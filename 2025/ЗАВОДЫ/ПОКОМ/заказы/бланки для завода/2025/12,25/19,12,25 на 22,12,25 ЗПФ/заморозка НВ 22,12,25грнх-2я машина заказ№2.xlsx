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0CB5030-36B4-47B3-B9A7-0E17A188654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O266" i="1"/>
  <c r="BM266" i="1"/>
  <c r="Z266" i="1"/>
  <c r="Y266" i="1"/>
  <c r="BP266" i="1" s="1"/>
  <c r="P266" i="1"/>
  <c r="BO265" i="1"/>
  <c r="BM265" i="1"/>
  <c r="Z265" i="1"/>
  <c r="Y265" i="1"/>
  <c r="P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M262" i="1"/>
  <c r="Z262" i="1"/>
  <c r="Y262" i="1"/>
  <c r="BP262" i="1" s="1"/>
  <c r="P262" i="1"/>
  <c r="BO261" i="1"/>
  <c r="BM261" i="1"/>
  <c r="Z261" i="1"/>
  <c r="Y261" i="1"/>
  <c r="P261" i="1"/>
  <c r="BO260" i="1"/>
  <c r="BM260" i="1"/>
  <c r="Z260" i="1"/>
  <c r="Y260" i="1"/>
  <c r="BP260" i="1" s="1"/>
  <c r="P260" i="1"/>
  <c r="BO259" i="1"/>
  <c r="BM259" i="1"/>
  <c r="Z259" i="1"/>
  <c r="Y259" i="1"/>
  <c r="P259" i="1"/>
  <c r="BO258" i="1"/>
  <c r="BM258" i="1"/>
  <c r="Z258" i="1"/>
  <c r="Y258" i="1"/>
  <c r="BP258" i="1" s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P252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O214" i="1"/>
  <c r="BM214" i="1"/>
  <c r="Z214" i="1"/>
  <c r="Y214" i="1"/>
  <c r="BP214" i="1" s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BO195" i="1"/>
  <c r="BM195" i="1"/>
  <c r="Z195" i="1"/>
  <c r="Z200" i="1" s="1"/>
  <c r="Y195" i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BP179" i="1" s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1" i="1" s="1"/>
  <c r="Y113" i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P22" i="1"/>
  <c r="H10" i="1"/>
  <c r="F10" i="1"/>
  <c r="F9" i="1"/>
  <c r="A9" i="1"/>
  <c r="A10" i="1" s="1"/>
  <c r="D7" i="1"/>
  <c r="Q6" i="1"/>
  <c r="P2" i="1"/>
  <c r="Z174" i="1" l="1"/>
  <c r="Z182" i="1"/>
  <c r="BN179" i="1"/>
  <c r="BN181" i="1"/>
  <c r="Y201" i="1"/>
  <c r="BN196" i="1"/>
  <c r="BN198" i="1"/>
  <c r="BN214" i="1"/>
  <c r="BN248" i="1"/>
  <c r="Y256" i="1"/>
  <c r="Z268" i="1"/>
  <c r="BN258" i="1"/>
  <c r="BN260" i="1"/>
  <c r="BN262" i="1"/>
  <c r="BN264" i="1"/>
  <c r="BN266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4" i="1"/>
  <c r="Z275" i="1"/>
  <c r="Y272" i="1"/>
  <c r="X273" i="1"/>
  <c r="Y270" i="1"/>
  <c r="B283" i="1" l="1"/>
  <c r="Y273" i="1"/>
  <c r="A283" i="1" s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<sst xmlns="http://schemas.openxmlformats.org/spreadsheetml/2006/main" count="1223" uniqueCount="395">
  <si>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</si>
  <si>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</si>
  <si>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</si>
  <si>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</si>
  <si>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</si>
  <si>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</si>
  <si>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</si>
  <si>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</si>
  <si>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</si>
  <si>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</si>
  <si>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</si>
  <si>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</si>
  <si>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</si>
  <si>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</si>
  <si>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</si>
  <si>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</si>
  <si>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</si>
  <si>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</si>
  <si>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</si>
  <si>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</si>
  <si>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</si>
  <si>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</si>
  <si>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</si>
  <si>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</si>
  <si>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</si>
  <si>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</si>
  <si>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</si>
  <si>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</si>
  <si>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</si>
  <si>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</si>
  <si>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</si>
  <si>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</si>
  <si>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</si>
  <si>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</si>
  <si>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</si>
  <si>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</si>
  <si>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</si>
  <si>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</si>
  <si>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</si>
  <si>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</si>
  <si>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</si>
  <si>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</si>
  <si>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</si>
  <si>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</si>
  <si>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</si>
  <si>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</si>
  <si>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</si>
  <si>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</si>
  <si>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</si>
  <si>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</si>
  <si>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</si>
  <si>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</si>
  <si>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</si>
  <si>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</si>
  <si>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</si>
  <si>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</si>
  <si>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</si>
  <si>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</si>
  <si>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</si>
  <si>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</si>
  <si>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</si>
  <si>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</si>
  <si>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</si>
  <si>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</si>
  <si>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</si>
  <si>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</si>
  <si>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</si>
  <si>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</si>
  <si>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</si>
  <si>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</si>
  <si>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</si>
  <si>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</si>
  <si>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</si>
  <si>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</si>
  <si>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</si>
  <si>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</si>
  <si>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</si>
  <si>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</si>
  <si>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</si>
  <si>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</si>
  <si>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</si>
  <si>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</si>
  <si>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</si>
  <si>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</si>
  <si>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</si>
  <si>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</si>
  <si>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</si>
  <si>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</si>
  <si>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</si>
  <si>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</si>
  <si>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</si>
  <si>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</si>
  <si>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</si>
  <si>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</si>
  <si>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</si>
  <si>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</si>
  <si>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</si>
  <si>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</si>
  <si>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</si>
  <si>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</si>
  <si>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</si>
  <si>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</si>
  <si>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</si>
  <si>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</si>
  <si>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</si>
  <si>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</si>
  <si>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</si>
  <si>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</si>
  <si>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</si>
  <si>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</si>
  <si>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</si>
  <si>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</si>
  <si>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</si>
  <si>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</si>
  <si>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</si>
  <si>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</si>
  <si>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</si>
  <si>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</si>
  <si>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</si>
  <si>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</si>
  <si>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</si>
  <si>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</si>
  <si>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</si>
  <si>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</si>
  <si>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</si>
  <si>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</si>
  <si>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</si>
  <si>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</si>
  <si>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</si>
  <si>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</si>
  <si>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</si>
  <si>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</si>
  <si>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</si>
  <si>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</si>
  <si>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</si>
  <si>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</si>
  <si>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</si>
  <si>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</si>
  <si>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</si>
  <si>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</si>
  <si>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</si>
  <si>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</si>
  <si>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</si>
  <si>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</si>
  <si>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</si>
  <si>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</si>
  <si>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</si>
  <si>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</si>
  <si>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</si>
  <si>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</si>
  <si>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</si>
  <si>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</si>
  <si>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</si>
  <si>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</si>
  <si>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</si>
  <si>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</si>
  <si>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</si>
  <si>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</si>
  <si>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</si>
  <si>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</si>
  <si>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</si>
  <si>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</si>
  <si>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</si>
  <si>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</si>
  <si>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</si>
  <si>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</si>
  <si>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</si>
  <si>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</si>
  <si>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</si>
  <si>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</si>
  <si>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</si>
  <si>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</si>
  <si>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</si>
  <si>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</si>
  <si>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</si>
  <si>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</si>
  <si>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</si>
  <si>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</si>
  <si>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</si>
  <si>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</si>
  <si>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</si>
  <si>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</si>
  <si>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</si>
  <si>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</si>
  <si>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</si>
  <si>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</si>
  <si>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</si>
  <si>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</si>
  <si>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</si>
  <si>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</si>
  <si>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</si>
  <si>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</si>
  <si>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</si>
  <si>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</si>
  <si>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</si>
  <si>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</si>
  <si>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</si>
  <si>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</si>
  <si>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</si>
  <si>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</si>
  <si>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</si>
  <si>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</si>
  <si>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</si>
  <si>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</si>
  <si>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</si>
  <si>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</si>
  <si>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</si>
  <si>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</si>
  <si>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</si>
  <si>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</si>
  <si>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</si>
  <si>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</si>
  <si>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</si>
  <si>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</si>
  <si>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</si>
  <si>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</si>
  <si>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</si>
  <si>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</si>
  <si>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</si>
  <si>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</si>
  <si>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</si>
  <si>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</si>
  <si>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</si>
  <si>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</si>
  <si>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</si>
  <si>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</si>
  <si>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</si>
  <si>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</si>
  <si>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</si>
  <si>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</si>
  <si>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</si>
  <si>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</si>
  <si>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</si>
  <si>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</si>
  <si>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</si>
  <si>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</si>
  <si>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</si>
  <si>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</si>
  <si>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</si>
  <si>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</si>
  <si>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</si>
  <si>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</si>
  <si>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</si>
  <si>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</si>
  <si>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</si>
  <si>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</si>
  <si>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</si>
  <si>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</si>
  <si>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</si>
  <si>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</si>
  <si>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</si>
  <si>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</si>
  <si>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</si>
  <si>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</si>
  <si>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</si>
  <si>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</si>
  <si>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</si>
  <si>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</si>
  <si>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</si>
  <si>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</si>
  <si>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</si>
  <si>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</si>
  <si>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</si>
  <si>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</si>
  <si>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</si>
  <si>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</si>
  <si>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</si>
  <si>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</si>
  <si>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</si>
  <si>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</si>
  <si>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</si>
  <si>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</si>
  <si>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</si>
  <si>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</si>
  <si>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</si>
  <si>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</si>
  <si>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</si>
  <si>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</si>
  <si>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</si>
  <si>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</si>
  <si>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</si>
  <si>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</si>
  <si>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</si>
  <si>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</si>
  <si>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</si>
  <si>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</si>
  <si>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</si>
  <si>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</si>
  <si>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</si>
  <si>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</si>
  <si>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</si>
  <si>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</si>
  <si>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</si>
  <si>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</si>
  <si>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</si>
  <si>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</si>
  <si>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</si>
  <si>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</si>
  <si>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</si>
  <si>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</si>
  <si>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</si>
  <si>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</si>
  <si>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</si>
  <si>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</si>
  <si>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</si>
  <si>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</si>
  <si>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</si>
  <si>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</si>
  <si>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</si>
  <si>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</si>
  <si>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</si>
  <si>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</si>
  <si>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</si>
  <si>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</si>
  <si>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</si>
  <si>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</si>
  <si>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</si>
  <si>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</si>
  <si>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</si>
  <si>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</si>
  <si>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</si>
  <si>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</si>
  <si>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</si>
  <si>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</si>
  <si>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</si>
  <si>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</si>
  <si>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</si>
  <si>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</si>
  <si>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</si>
  <si>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</si>
  <si>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</si>
  <si>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</si>
  <si>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</si>
  <si>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</si>
  <si>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</si>
  <si>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</si>
  <si>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</si>
  <si>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</si>
  <si>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</si>
  <si>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</si>
  <si>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</si>
  <si>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</si>
  <si>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</si>
  <si>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</si>
  <si>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</si>
  <si>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</si>
  <si>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</si>
  <si>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</si>
  <si>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</si>
  <si>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</si>
  <si>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</si>
  <si>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</si>
  <si>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</si>
  <si>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</si>
  <si>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</si>
  <si>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</si>
  <si>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</si>
  <si>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</si>
  <si>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</si>
  <si>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</si>
  <si>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</si>
  <si>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</si>
  <si>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</si>
  <si>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</si>
  <si>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</si>
  <si>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</si>
  <si>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</si>
  <si>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</si>
  <si>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</si>
  <si>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</si>
  <si>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</si>
  <si>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</si>
  <si>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</si>
  <si>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</si>
  <si>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</si>
  <si>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</si>
  <si>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</si>
  <si>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</si>
  <si>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</si>
  <si>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</si>
  <si>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</si>
  <si>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</si>
  <si>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</si>
  <si>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</si>
  <si>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</si>
  <si>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</si>
  <si>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</si>
  <si>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</si>
  <si>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</si>
  <si>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</si>
  <si>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</si>
  <si>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</si>
  <si>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</si>
  <si>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</si>
  <si>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8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</si>
</sst>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60" sqref="AA26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46013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hidden="1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hidden="1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hidden="1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hidden="1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hidden="1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0</v>
      </c>
      <c r="Y100" s="269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idden="1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0</v>
      </c>
      <c r="Y103" s="270">
        <f>IFERROR(SUM(Y97:Y102),"0")</f>
        <v>0</v>
      </c>
      <c r="Z103" s="270">
        <f>IFERROR(IF(Z97="",0,Z97),"0")+IFERROR(IF(Z98="",0,Z98),"0")+IFERROR(IF(Z99="",0,Z99),"0")+IFERROR(IF(Z100="",0,Z100),"0")+IFERROR(IF(Z101="",0,Z101),"0")+IFERROR(IF(Z102="",0,Z102),"0")</f>
        <v>0</v>
      </c>
      <c r="AA103" s="271"/>
      <c r="AB103" s="271"/>
      <c r="AC103" s="271"/>
    </row>
    <row r="104" spans="1:68" hidden="1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0</v>
      </c>
      <c r="Y104" s="270">
        <f>IFERROR(SUMPRODUCT(Y97:Y102*H97:H102),"0")</f>
        <v>0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idden="1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0</v>
      </c>
      <c r="Y121" s="270">
        <f>IFERROR(SUM(Y113:Y120),"0")</f>
        <v>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271"/>
      <c r="AB121" s="271"/>
      <c r="AC121" s="271"/>
    </row>
    <row r="122" spans="1:68" hidden="1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0</v>
      </c>
      <c r="Y122" s="270">
        <f>IFERROR(SUMPRODUCT(Y113:Y120*H113:H120),"0")</f>
        <v>0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hidden="1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hidden="1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hidden="1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hidden="1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hidden="1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hidden="1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hidden="1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hidden="1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168</v>
      </c>
      <c r="Y260" s="269">
        <f t="shared" si="18"/>
        <v>168</v>
      </c>
      <c r="Z260" s="36">
        <f>IFERROR(IF(X260="","",X260*0.0155),"")</f>
        <v>2.6040000000000001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963.48</v>
      </c>
      <c r="BN260" s="67">
        <f t="shared" si="20"/>
        <v>963.48</v>
      </c>
      <c r="BO260" s="67">
        <f t="shared" si="21"/>
        <v>2</v>
      </c>
      <c r="BP260" s="67">
        <f t="shared" si="22"/>
        <v>2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112</v>
      </c>
      <c r="Y261" s="269">
        <f t="shared" si="18"/>
        <v>112</v>
      </c>
      <c r="Z261" s="36">
        <f t="shared" ref="Z261:Z266" si="23">IFERROR(IF(X261="","",X261*0.00936),"")</f>
        <v>1.0483199999999999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357.50400000000002</v>
      </c>
      <c r="BN261" s="67">
        <f t="shared" si="20"/>
        <v>357.50400000000002</v>
      </c>
      <c r="BO261" s="67">
        <f t="shared" si="21"/>
        <v>0.88888888888888884</v>
      </c>
      <c r="BP261" s="67">
        <f t="shared" si="22"/>
        <v>0.88888888888888884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630</v>
      </c>
      <c r="Y262" s="269">
        <f t="shared" si="18"/>
        <v>630</v>
      </c>
      <c r="Z262" s="36">
        <f t="shared" si="23"/>
        <v>5.8967999999999998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2451.96</v>
      </c>
      <c r="BN262" s="67">
        <f t="shared" si="20"/>
        <v>2451.96</v>
      </c>
      <c r="BO262" s="67">
        <f t="shared" si="21"/>
        <v>5</v>
      </c>
      <c r="BP262" s="67">
        <f t="shared" si="22"/>
        <v>5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910</v>
      </c>
      <c r="Y268" s="270">
        <f>IFERROR(SUM(Y258:Y267),"0")</f>
        <v>910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9.5491200000000003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3591</v>
      </c>
      <c r="Y269" s="270">
        <f>IFERROR(SUMPRODUCT(Y258:Y267*H258:H267),"0")</f>
        <v>3591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3591</v>
      </c>
      <c r="Y270" s="270">
        <f>IFERROR(Y29+Y35+Y42+Y49+Y57+Y62+Y66+Y71+Y77+Y83+Y88+Y94+Y104+Y110+Y122+Y126+Y130+Y136+Y142+Y148+Y153+Y158+Y163+Y168+Y175+Y183+Y187+Y193+Y201+Y206+Y211+Y216+Y222+Y228+Y234+Y238+Y245+Y250+Y256+Y269,"0")</f>
        <v>3591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3772.944</v>
      </c>
      <c r="Y271" s="270">
        <f>IFERROR(SUM(BN22:BN267),"0")</f>
        <v>3772.944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8</v>
      </c>
      <c r="Y272" s="38">
        <f>ROUNDUP(SUM(BP22:BP267),0)</f>
        <v>8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3972.944</v>
      </c>
      <c r="Y273" s="270">
        <f>GrossWeightTotalR+PalletQtyTotalR*25</f>
        <v>3972.944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910</v>
      </c>
      <c r="Y274" s="270">
        <f>IFERROR(Y28+Y34+Y41+Y48+Y56+Y61+Y65+Y70+Y76+Y82+Y87+Y93+Y103+Y109+Y121+Y125+Y129+Y135+Y141+Y147+Y152+Y157+Y162+Y167+Y174+Y182+Y186+Y192+Y200+Y205+Y210+Y215+Y221+Y227+Y233+Y237+Y244+Y249+Y255+Y268,"0")</f>
        <v>910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9.5491200000000003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0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266"/>
      <c r="O280" s="46">
        <f>IFERROR(X133*H133,"0")+IFERROR(X134*H134,"0")</f>
        <v>0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3591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0</v>
      </c>
      <c r="B283" s="60">
        <f>SUMPRODUCT(--(BB:BB="ПГП"),--(W:W="кор"),H:H,Y:Y)+SUMPRODUCT(--(BB:BB="ПГП"),--(W:W="кг"),Y:Y)</f>
        <v>3591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2,00"/>
        <filter val="168,00"/>
        <filter val="3 591,00"/>
        <filter val="3 772,94"/>
        <filter val="3 972,94"/>
        <filter val="630,00"/>
        <filter val="8"/>
        <filter val="910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2025-12-19T12:04:01Z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