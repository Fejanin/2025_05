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73A666-54F1-4B19-A35C-4C4D71D633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Z269" i="1" s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BP253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Z245" i="1" s="1"/>
  <c r="Y244" i="1"/>
  <c r="P244" i="1"/>
  <c r="BO243" i="1"/>
  <c r="BM243" i="1"/>
  <c r="Z243" i="1"/>
  <c r="Y243" i="1"/>
  <c r="Y245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Z201" i="1" s="1"/>
  <c r="Y197" i="1"/>
  <c r="P197" i="1"/>
  <c r="BO196" i="1"/>
  <c r="BM196" i="1"/>
  <c r="Z196" i="1"/>
  <c r="Y196" i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Y159" i="1" s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BP140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5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28" i="1" s="1"/>
  <c r="P22" i="1"/>
  <c r="H10" i="1"/>
  <c r="A9" i="1"/>
  <c r="A10" i="1" s="1"/>
  <c r="D7" i="1"/>
  <c r="Q6" i="1"/>
  <c r="P2" i="1"/>
  <c r="Y93" i="1" l="1"/>
  <c r="Y104" i="1"/>
  <c r="BN98" i="1"/>
  <c r="BN100" i="1"/>
  <c r="BN102" i="1"/>
  <c r="Y109" i="1"/>
  <c r="Y122" i="1"/>
  <c r="Z122" i="1"/>
  <c r="BN114" i="1"/>
  <c r="BN116" i="1"/>
  <c r="BN118" i="1"/>
  <c r="BN120" i="1"/>
  <c r="Z136" i="1"/>
  <c r="Z142" i="1"/>
  <c r="BN140" i="1"/>
  <c r="Z148" i="1"/>
  <c r="BN146" i="1"/>
  <c r="J9" i="1"/>
  <c r="Y246" i="1"/>
  <c r="F9" i="1"/>
  <c r="F10" i="1"/>
  <c r="Z28" i="1"/>
  <c r="BN22" i="1"/>
  <c r="BP22" i="1"/>
  <c r="BN24" i="1"/>
  <c r="BN26" i="1"/>
  <c r="X275" i="1"/>
  <c r="Z34" i="1"/>
  <c r="Z41" i="1"/>
  <c r="BN39" i="1"/>
  <c r="BP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Z103" i="1"/>
  <c r="Z109" i="1"/>
  <c r="BN107" i="1"/>
  <c r="BP107" i="1"/>
  <c r="Y137" i="1"/>
  <c r="BN135" i="1"/>
  <c r="Y148" i="1"/>
  <c r="Y149" i="1"/>
  <c r="BN174" i="1"/>
  <c r="Z216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BN243" i="1"/>
  <c r="BP243" i="1"/>
  <c r="Z256" i="1"/>
  <c r="BN253" i="1"/>
  <c r="BN255" i="1"/>
  <c r="Y29" i="1"/>
  <c r="Y34" i="1"/>
  <c r="Y42" i="1"/>
  <c r="Y49" i="1"/>
  <c r="Y56" i="1"/>
  <c r="Y71" i="1"/>
  <c r="Y77" i="1"/>
  <c r="Y82" i="1"/>
  <c r="Y94" i="1"/>
  <c r="Y103" i="1"/>
  <c r="Y110" i="1"/>
  <c r="Y123" i="1"/>
  <c r="Y127" i="1"/>
  <c r="Y131" i="1"/>
  <c r="Y136" i="1"/>
  <c r="Y153" i="1"/>
  <c r="BP152" i="1"/>
  <c r="BN152" i="1"/>
  <c r="Y163" i="1"/>
  <c r="BP162" i="1"/>
  <c r="BN162" i="1"/>
  <c r="Y176" i="1"/>
  <c r="BP173" i="1"/>
  <c r="BN173" i="1"/>
  <c r="Y175" i="1"/>
  <c r="BP181" i="1"/>
  <c r="BN181" i="1"/>
  <c r="Y183" i="1"/>
  <c r="Y187" i="1"/>
  <c r="BP186" i="1"/>
  <c r="BN186" i="1"/>
  <c r="Y201" i="1"/>
  <c r="BP196" i="1"/>
  <c r="BN196" i="1"/>
  <c r="BP198" i="1"/>
  <c r="BN198" i="1"/>
  <c r="BP200" i="1"/>
  <c r="BN200" i="1"/>
  <c r="Y211" i="1"/>
  <c r="BP210" i="1"/>
  <c r="BN210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H9" i="1"/>
  <c r="X272" i="1"/>
  <c r="X273" i="1"/>
  <c r="BN23" i="1"/>
  <c r="BN25" i="1"/>
  <c r="BN27" i="1"/>
  <c r="X271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1" i="1"/>
  <c r="BN125" i="1"/>
  <c r="BP125" i="1"/>
  <c r="BN129" i="1"/>
  <c r="BP129" i="1"/>
  <c r="BN134" i="1"/>
  <c r="BP134" i="1"/>
  <c r="Y143" i="1"/>
  <c r="BN141" i="1"/>
  <c r="Y142" i="1"/>
  <c r="BP147" i="1"/>
  <c r="BN147" i="1"/>
  <c r="Y154" i="1"/>
  <c r="Y158" i="1"/>
  <c r="BP157" i="1"/>
  <c r="BN157" i="1"/>
  <c r="Y164" i="1"/>
  <c r="Y168" i="1"/>
  <c r="BP167" i="1"/>
  <c r="BN167" i="1"/>
  <c r="Z175" i="1"/>
  <c r="Y184" i="1"/>
  <c r="Y188" i="1"/>
  <c r="Y193" i="1"/>
  <c r="BP192" i="1"/>
  <c r="BN192" i="1"/>
  <c r="Y202" i="1"/>
  <c r="Y206" i="1"/>
  <c r="BP205" i="1"/>
  <c r="BN205" i="1"/>
  <c r="Y212" i="1"/>
  <c r="Y217" i="1"/>
  <c r="BP214" i="1"/>
  <c r="BN214" i="1"/>
  <c r="Y216" i="1"/>
  <c r="BP244" i="1"/>
  <c r="BN244" i="1"/>
  <c r="Z250" i="1"/>
  <c r="Y257" i="1"/>
  <c r="Y269" i="1"/>
  <c r="Y270" i="1"/>
  <c r="Y273" i="1" l="1"/>
  <c r="Z276" i="1"/>
  <c r="Y272" i="1"/>
  <c r="Y274" i="1" s="1"/>
  <c r="Y275" i="1"/>
  <c r="X274" i="1"/>
  <c r="Y271" i="1"/>
  <c r="C284" i="1" l="1"/>
  <c r="B284" i="1"/>
  <c r="A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<sst xmlns="http://schemas.openxmlformats.org/spreadsheetml/2006/main" count="1231" uniqueCount="397">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</sst>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8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4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2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5" t="s">
        <v>0</v>
      </c>
      <c r="E1" s="302"/>
      <c r="F1" s="302"/>
      <c r="G1" s="12" t="s">
        <v>1</v>
      </c>
      <c r="H1" s="325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48" t="s">
        <v>7</v>
      </c>
      <c r="B5" s="327"/>
      <c r="C5" s="328"/>
      <c r="D5" s="330"/>
      <c r="E5" s="331"/>
      <c r="F5" s="440" t="s">
        <v>8</v>
      </c>
      <c r="G5" s="328"/>
      <c r="H5" s="330"/>
      <c r="I5" s="421"/>
      <c r="J5" s="421"/>
      <c r="K5" s="421"/>
      <c r="L5" s="421"/>
      <c r="M5" s="331"/>
      <c r="N5" s="61"/>
      <c r="P5" s="24" t="s">
        <v>9</v>
      </c>
      <c r="Q5" s="441">
        <v>46004</v>
      </c>
      <c r="R5" s="347"/>
      <c r="T5" s="372" t="s">
        <v>10</v>
      </c>
      <c r="U5" s="306"/>
      <c r="V5" s="373" t="s">
        <v>11</v>
      </c>
      <c r="W5" s="347"/>
      <c r="AB5" s="51"/>
      <c r="AC5" s="51"/>
      <c r="AD5" s="51"/>
      <c r="AE5" s="51"/>
    </row>
    <row r="6" spans="1:32" s="267" customFormat="1" ht="24" customHeight="1" x14ac:dyDescent="0.2">
      <c r="A6" s="348" t="s">
        <v>12</v>
      </c>
      <c r="B6" s="327"/>
      <c r="C6" s="328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7"/>
      <c r="N6" s="62"/>
      <c r="P6" s="24" t="s">
        <v>14</v>
      </c>
      <c r="Q6" s="444" t="str">
        <f>IF(Q5=0," ",CHOOSE(WEEKDAY(Q5,2),"Понедельник","Вторник","Среда","Четверг","Пятница","Суббота","Воскресенье"))</f>
        <v>Суббота</v>
      </c>
      <c r="R6" s="282"/>
      <c r="T6" s="377" t="s">
        <v>15</v>
      </c>
      <c r="U6" s="306"/>
      <c r="V6" s="408" t="s">
        <v>16</v>
      </c>
      <c r="W6" s="310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86"/>
      <c r="U7" s="306"/>
      <c r="V7" s="409"/>
      <c r="W7" s="410"/>
      <c r="AB7" s="51"/>
      <c r="AC7" s="51"/>
      <c r="AD7" s="51"/>
      <c r="AE7" s="51"/>
    </row>
    <row r="8" spans="1:32" s="267" customFormat="1" ht="25.5" customHeight="1" x14ac:dyDescent="0.2">
      <c r="A8" s="457" t="s">
        <v>17</v>
      </c>
      <c r="B8" s="277"/>
      <c r="C8" s="278"/>
      <c r="D8" s="319" t="s">
        <v>18</v>
      </c>
      <c r="E8" s="320"/>
      <c r="F8" s="320"/>
      <c r="G8" s="320"/>
      <c r="H8" s="320"/>
      <c r="I8" s="320"/>
      <c r="J8" s="320"/>
      <c r="K8" s="320"/>
      <c r="L8" s="320"/>
      <c r="M8" s="321"/>
      <c r="N8" s="64"/>
      <c r="P8" s="24" t="s">
        <v>19</v>
      </c>
      <c r="Q8" s="374">
        <v>0.375</v>
      </c>
      <c r="R8" s="314"/>
      <c r="T8" s="286"/>
      <c r="U8" s="306"/>
      <c r="V8" s="409"/>
      <c r="W8" s="410"/>
      <c r="AB8" s="51"/>
      <c r="AC8" s="51"/>
      <c r="AD8" s="51"/>
      <c r="AE8" s="51"/>
    </row>
    <row r="9" spans="1:32" s="267" customFormat="1" ht="39.950000000000003" customHeight="1" x14ac:dyDescent="0.2">
      <c r="A9" s="3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49"/>
      <c r="E9" s="275"/>
      <c r="F9" s="3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8"/>
      <c r="P9" s="26" t="s">
        <v>20</v>
      </c>
      <c r="Q9" s="344"/>
      <c r="R9" s="345"/>
      <c r="T9" s="286"/>
      <c r="U9" s="30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49"/>
      <c r="E10" s="275"/>
      <c r="F10" s="3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8" t="str">
        <f>IFERROR(VLOOKUP($D$10,Proxy,2,FALSE),"")</f>
        <v/>
      </c>
      <c r="I10" s="286"/>
      <c r="J10" s="286"/>
      <c r="K10" s="286"/>
      <c r="L10" s="286"/>
      <c r="M10" s="286"/>
      <c r="N10" s="266"/>
      <c r="P10" s="26" t="s">
        <v>21</v>
      </c>
      <c r="Q10" s="388"/>
      <c r="R10" s="389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18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83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74"/>
      <c r="R12" s="314"/>
      <c r="S12" s="23"/>
      <c r="U12" s="24"/>
      <c r="V12" s="302"/>
      <c r="W12" s="286"/>
      <c r="AB12" s="51"/>
      <c r="AC12" s="51"/>
      <c r="AD12" s="51"/>
      <c r="AE12" s="51"/>
    </row>
    <row r="13" spans="1:32" s="267" customFormat="1" ht="23.25" customHeight="1" x14ac:dyDescent="0.2">
      <c r="A13" s="383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18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83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67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8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9"/>
      <c r="Q16" s="379"/>
      <c r="R16" s="379"/>
      <c r="S16" s="379"/>
      <c r="T16" s="37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3" t="s">
        <v>35</v>
      </c>
      <c r="B17" s="283" t="s">
        <v>36</v>
      </c>
      <c r="C17" s="370" t="s">
        <v>37</v>
      </c>
      <c r="D17" s="283" t="s">
        <v>38</v>
      </c>
      <c r="E17" s="339"/>
      <c r="F17" s="283" t="s">
        <v>39</v>
      </c>
      <c r="G17" s="283" t="s">
        <v>40</v>
      </c>
      <c r="H17" s="283" t="s">
        <v>41</v>
      </c>
      <c r="I17" s="283" t="s">
        <v>42</v>
      </c>
      <c r="J17" s="283" t="s">
        <v>43</v>
      </c>
      <c r="K17" s="283" t="s">
        <v>44</v>
      </c>
      <c r="L17" s="283" t="s">
        <v>45</v>
      </c>
      <c r="M17" s="283" t="s">
        <v>46</v>
      </c>
      <c r="N17" s="283" t="s">
        <v>47</v>
      </c>
      <c r="O17" s="283" t="s">
        <v>48</v>
      </c>
      <c r="P17" s="283" t="s">
        <v>49</v>
      </c>
      <c r="Q17" s="338"/>
      <c r="R17" s="338"/>
      <c r="S17" s="338"/>
      <c r="T17" s="339"/>
      <c r="U17" s="429" t="s">
        <v>50</v>
      </c>
      <c r="V17" s="328"/>
      <c r="W17" s="283" t="s">
        <v>51</v>
      </c>
      <c r="X17" s="283" t="s">
        <v>52</v>
      </c>
      <c r="Y17" s="455" t="s">
        <v>53</v>
      </c>
      <c r="Z17" s="416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5"/>
      <c r="AF17" s="436"/>
      <c r="AG17" s="69"/>
      <c r="BD17" s="68" t="s">
        <v>59</v>
      </c>
    </row>
    <row r="18" spans="1:68" ht="14.25" customHeight="1" x14ac:dyDescent="0.2">
      <c r="A18" s="284"/>
      <c r="B18" s="284"/>
      <c r="C18" s="284"/>
      <c r="D18" s="340"/>
      <c r="E18" s="342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340"/>
      <c r="Q18" s="341"/>
      <c r="R18" s="341"/>
      <c r="S18" s="341"/>
      <c r="T18" s="342"/>
      <c r="U18" s="70" t="s">
        <v>60</v>
      </c>
      <c r="V18" s="70" t="s">
        <v>61</v>
      </c>
      <c r="W18" s="284"/>
      <c r="X18" s="284"/>
      <c r="Y18" s="456"/>
      <c r="Z18" s="417"/>
      <c r="AA18" s="400"/>
      <c r="AB18" s="400"/>
      <c r="AC18" s="400"/>
      <c r="AD18" s="437"/>
      <c r="AE18" s="438"/>
      <c r="AF18" s="439"/>
      <c r="AG18" s="69"/>
      <c r="BD18" s="68"/>
    </row>
    <row r="19" spans="1:68" ht="27.75" hidden="1" customHeight="1" x14ac:dyDescent="0.2">
      <c r="A19" s="279" t="s">
        <v>62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5" t="s">
        <v>62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5"/>
      <c r="AB20" s="265"/>
      <c r="AC20" s="265"/>
    </row>
    <row r="21" spans="1:68" ht="14.25" hidden="1" customHeight="1" x14ac:dyDescent="0.25">
      <c r="A21" s="300" t="s">
        <v>63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1">
        <v>4607111035912</v>
      </c>
      <c r="E22" s="282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0"/>
      <c r="R22" s="290"/>
      <c r="S22" s="290"/>
      <c r="T22" s="291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1">
        <v>4607111035103</v>
      </c>
      <c r="E23" s="282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8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0"/>
      <c r="R23" s="290"/>
      <c r="S23" s="290"/>
      <c r="T23" s="291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1">
        <v>4607111035929</v>
      </c>
      <c r="E24" s="282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0"/>
      <c r="R24" s="290"/>
      <c r="S24" s="290"/>
      <c r="T24" s="291"/>
      <c r="U24" s="34"/>
      <c r="V24" s="34"/>
      <c r="W24" s="35" t="s">
        <v>69</v>
      </c>
      <c r="X24" s="270">
        <v>84</v>
      </c>
      <c r="Y24" s="271">
        <f t="shared" si="0"/>
        <v>84</v>
      </c>
      <c r="Z24" s="36">
        <f t="shared" si="1"/>
        <v>1.302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627.48</v>
      </c>
      <c r="BN24" s="67">
        <f t="shared" si="3"/>
        <v>627.48</v>
      </c>
      <c r="BO24" s="67">
        <f t="shared" si="4"/>
        <v>1</v>
      </c>
      <c r="BP24" s="67">
        <f t="shared" si="5"/>
        <v>1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1">
        <v>4607111035882</v>
      </c>
      <c r="E25" s="282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0"/>
      <c r="R25" s="290"/>
      <c r="S25" s="290"/>
      <c r="T25" s="291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1">
        <v>4607111035110</v>
      </c>
      <c r="E26" s="282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0"/>
      <c r="R26" s="290"/>
      <c r="S26" s="290"/>
      <c r="T26" s="291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1">
        <v>4607111035905</v>
      </c>
      <c r="E27" s="282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82</v>
      </c>
      <c r="Q28" s="277"/>
      <c r="R28" s="277"/>
      <c r="S28" s="277"/>
      <c r="T28" s="277"/>
      <c r="U28" s="277"/>
      <c r="V28" s="278"/>
      <c r="W28" s="37" t="s">
        <v>69</v>
      </c>
      <c r="X28" s="272">
        <f>IFERROR(SUM(X22:X27),"0")</f>
        <v>84</v>
      </c>
      <c r="Y28" s="272">
        <f>IFERROR(SUM(Y22:Y27),"0")</f>
        <v>84</v>
      </c>
      <c r="Z28" s="272">
        <f>IFERROR(IF(Z22="",0,Z22),"0")+IFERROR(IF(Z23="",0,Z23),"0")+IFERROR(IF(Z24="",0,Z24),"0")+IFERROR(IF(Z25="",0,Z25),"0")+IFERROR(IF(Z26="",0,Z26),"0")+IFERROR(IF(Z27="",0,Z27),"0")</f>
        <v>1.302</v>
      </c>
      <c r="AA28" s="273"/>
      <c r="AB28" s="273"/>
      <c r="AC28" s="273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82</v>
      </c>
      <c r="Q29" s="277"/>
      <c r="R29" s="277"/>
      <c r="S29" s="277"/>
      <c r="T29" s="277"/>
      <c r="U29" s="277"/>
      <c r="V29" s="278"/>
      <c r="W29" s="37" t="s">
        <v>83</v>
      </c>
      <c r="X29" s="272">
        <f>IFERROR(SUMPRODUCT(X22:X27*H22:H27),"0")</f>
        <v>604.80000000000007</v>
      </c>
      <c r="Y29" s="272">
        <f>IFERROR(SUMPRODUCT(Y22:Y27*H22:H27),"0")</f>
        <v>604.80000000000007</v>
      </c>
      <c r="Z29" s="37"/>
      <c r="AA29" s="273"/>
      <c r="AB29" s="273"/>
      <c r="AC29" s="273"/>
    </row>
    <row r="30" spans="1:68" ht="16.5" hidden="1" customHeight="1" x14ac:dyDescent="0.25">
      <c r="A30" s="285" t="s">
        <v>84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5"/>
      <c r="AB30" s="265"/>
      <c r="AC30" s="265"/>
    </row>
    <row r="31" spans="1:68" ht="14.25" hidden="1" customHeight="1" x14ac:dyDescent="0.25">
      <c r="A31" s="300" t="s">
        <v>63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1">
        <v>4607111039019</v>
      </c>
      <c r="E32" s="282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2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0"/>
      <c r="R32" s="290"/>
      <c r="S32" s="290"/>
      <c r="T32" s="291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1">
        <v>4607111038708</v>
      </c>
      <c r="E33" s="282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0"/>
      <c r="R33" s="290"/>
      <c r="S33" s="290"/>
      <c r="T33" s="291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82</v>
      </c>
      <c r="Q34" s="277"/>
      <c r="R34" s="277"/>
      <c r="S34" s="277"/>
      <c r="T34" s="277"/>
      <c r="U34" s="277"/>
      <c r="V34" s="278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hidden="1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82</v>
      </c>
      <c r="Q35" s="277"/>
      <c r="R35" s="277"/>
      <c r="S35" s="277"/>
      <c r="T35" s="277"/>
      <c r="U35" s="277"/>
      <c r="V35" s="278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hidden="1" customHeight="1" x14ac:dyDescent="0.2">
      <c r="A36" s="279" t="s">
        <v>90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5" t="s">
        <v>91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5"/>
      <c r="AB37" s="265"/>
      <c r="AC37" s="265"/>
    </row>
    <row r="38" spans="1:68" ht="14.25" hidden="1" customHeight="1" x14ac:dyDescent="0.25">
      <c r="A38" s="300" t="s">
        <v>92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1">
        <v>4607111036537</v>
      </c>
      <c r="E39" s="282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0"/>
      <c r="R39" s="290"/>
      <c r="S39" s="290"/>
      <c r="T39" s="291"/>
      <c r="U39" s="34"/>
      <c r="V39" s="34"/>
      <c r="W39" s="35" t="s">
        <v>69</v>
      </c>
      <c r="X39" s="270">
        <v>154</v>
      </c>
      <c r="Y39" s="271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1">
        <v>4607111036605</v>
      </c>
      <c r="E40" s="282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0"/>
      <c r="R40" s="290"/>
      <c r="S40" s="290"/>
      <c r="T40" s="291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82</v>
      </c>
      <c r="Q41" s="277"/>
      <c r="R41" s="277"/>
      <c r="S41" s="277"/>
      <c r="T41" s="277"/>
      <c r="U41" s="277"/>
      <c r="V41" s="278"/>
      <c r="W41" s="37" t="s">
        <v>69</v>
      </c>
      <c r="X41" s="272">
        <f>IFERROR(SUM(X39:X40),"0")</f>
        <v>154</v>
      </c>
      <c r="Y41" s="272">
        <f>IFERROR(SUM(Y39:Y40),"0")</f>
        <v>154</v>
      </c>
      <c r="Z41" s="272">
        <f>IFERROR(IF(Z39="",0,Z39),"0")+IFERROR(IF(Z40="",0,Z40),"0")</f>
        <v>1.4491400000000001</v>
      </c>
      <c r="AA41" s="273"/>
      <c r="AB41" s="273"/>
      <c r="AC41" s="273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82</v>
      </c>
      <c r="Q42" s="277"/>
      <c r="R42" s="277"/>
      <c r="S42" s="277"/>
      <c r="T42" s="277"/>
      <c r="U42" s="277"/>
      <c r="V42" s="278"/>
      <c r="W42" s="37" t="s">
        <v>83</v>
      </c>
      <c r="X42" s="272">
        <f>IFERROR(SUMPRODUCT(X39:X40*H39:H40),"0")</f>
        <v>231</v>
      </c>
      <c r="Y42" s="272">
        <f>IFERROR(SUMPRODUCT(Y39:Y40*H39:H40),"0")</f>
        <v>231</v>
      </c>
      <c r="Z42" s="37"/>
      <c r="AA42" s="273"/>
      <c r="AB42" s="273"/>
      <c r="AC42" s="273"/>
    </row>
    <row r="43" spans="1:68" ht="16.5" hidden="1" customHeight="1" x14ac:dyDescent="0.25">
      <c r="A43" s="285" t="s">
        <v>102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5"/>
      <c r="AB43" s="265"/>
      <c r="AC43" s="265"/>
    </row>
    <row r="44" spans="1:68" ht="14.25" hidden="1" customHeight="1" x14ac:dyDescent="0.25">
      <c r="A44" s="300" t="s">
        <v>63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1">
        <v>4620207490075</v>
      </c>
      <c r="E45" s="282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0"/>
      <c r="R45" s="290"/>
      <c r="S45" s="290"/>
      <c r="T45" s="291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1">
        <v>4620207490174</v>
      </c>
      <c r="E46" s="282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0"/>
      <c r="R46" s="290"/>
      <c r="S46" s="290"/>
      <c r="T46" s="291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81">
        <v>4620207490044</v>
      </c>
      <c r="E47" s="282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82</v>
      </c>
      <c r="Q48" s="277"/>
      <c r="R48" s="277"/>
      <c r="S48" s="277"/>
      <c r="T48" s="277"/>
      <c r="U48" s="277"/>
      <c r="V48" s="278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82</v>
      </c>
      <c r="Q49" s="277"/>
      <c r="R49" s="277"/>
      <c r="S49" s="277"/>
      <c r="T49" s="277"/>
      <c r="U49" s="277"/>
      <c r="V49" s="278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hidden="1" customHeight="1" x14ac:dyDescent="0.25">
      <c r="A50" s="285" t="s">
        <v>114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5"/>
      <c r="AB50" s="265"/>
      <c r="AC50" s="265"/>
    </row>
    <row r="51" spans="1:68" ht="14.25" hidden="1" customHeight="1" x14ac:dyDescent="0.25">
      <c r="A51" s="300" t="s">
        <v>63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4"/>
      <c r="AB51" s="264"/>
      <c r="AC51" s="264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81">
        <v>4607111039385</v>
      </c>
      <c r="E52" s="282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0"/>
      <c r="R52" s="290"/>
      <c r="S52" s="290"/>
      <c r="T52" s="291"/>
      <c r="U52" s="34"/>
      <c r="V52" s="34"/>
      <c r="W52" s="35" t="s">
        <v>69</v>
      </c>
      <c r="X52" s="270">
        <v>36</v>
      </c>
      <c r="Y52" s="271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81">
        <v>4607111038982</v>
      </c>
      <c r="E53" s="282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0"/>
      <c r="R53" s="290"/>
      <c r="S53" s="290"/>
      <c r="T53" s="291"/>
      <c r="U53" s="34"/>
      <c r="V53" s="34"/>
      <c r="W53" s="35" t="s">
        <v>69</v>
      </c>
      <c r="X53" s="270">
        <v>84</v>
      </c>
      <c r="Y53" s="271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81">
        <v>4607111039354</v>
      </c>
      <c r="E54" s="282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0"/>
      <c r="R54" s="290"/>
      <c r="S54" s="290"/>
      <c r="T54" s="291"/>
      <c r="U54" s="34"/>
      <c r="V54" s="34"/>
      <c r="W54" s="35" t="s">
        <v>69</v>
      </c>
      <c r="X54" s="270">
        <v>12</v>
      </c>
      <c r="Y54" s="271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81">
        <v>4607111039330</v>
      </c>
      <c r="E55" s="282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0"/>
      <c r="R55" s="290"/>
      <c r="S55" s="290"/>
      <c r="T55" s="291"/>
      <c r="U55" s="34"/>
      <c r="V55" s="34"/>
      <c r="W55" s="35" t="s">
        <v>69</v>
      </c>
      <c r="X55" s="270">
        <v>48</v>
      </c>
      <c r="Y55" s="271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82</v>
      </c>
      <c r="Q56" s="277"/>
      <c r="R56" s="277"/>
      <c r="S56" s="277"/>
      <c r="T56" s="277"/>
      <c r="U56" s="277"/>
      <c r="V56" s="278"/>
      <c r="W56" s="37" t="s">
        <v>69</v>
      </c>
      <c r="X56" s="272">
        <f>IFERROR(SUM(X52:X55),"0")</f>
        <v>180</v>
      </c>
      <c r="Y56" s="272">
        <f>IFERROR(SUM(Y52:Y55),"0")</f>
        <v>180</v>
      </c>
      <c r="Z56" s="272">
        <f>IFERROR(IF(Z52="",0,Z52),"0")+IFERROR(IF(Z53="",0,Z53),"0")+IFERROR(IF(Z54="",0,Z54),"0")+IFERROR(IF(Z55="",0,Z55),"0")</f>
        <v>2.79</v>
      </c>
      <c r="AA56" s="273"/>
      <c r="AB56" s="273"/>
      <c r="AC56" s="273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82</v>
      </c>
      <c r="Q57" s="277"/>
      <c r="R57" s="277"/>
      <c r="S57" s="277"/>
      <c r="T57" s="277"/>
      <c r="U57" s="277"/>
      <c r="V57" s="278"/>
      <c r="W57" s="37" t="s">
        <v>83</v>
      </c>
      <c r="X57" s="272">
        <f>IFERROR(SUMPRODUCT(X52:X55*H52:H55),"0")</f>
        <v>1252.8</v>
      </c>
      <c r="Y57" s="272">
        <f>IFERROR(SUMPRODUCT(Y52:Y55*H52:H55),"0")</f>
        <v>1252.8</v>
      </c>
      <c r="Z57" s="37"/>
      <c r="AA57" s="273"/>
      <c r="AB57" s="273"/>
      <c r="AC57" s="273"/>
    </row>
    <row r="58" spans="1:68" ht="16.5" hidden="1" customHeight="1" x14ac:dyDescent="0.25">
      <c r="A58" s="285" t="s">
        <v>125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5"/>
      <c r="AB58" s="265"/>
      <c r="AC58" s="265"/>
    </row>
    <row r="59" spans="1:68" ht="14.25" hidden="1" customHeight="1" x14ac:dyDescent="0.25">
      <c r="A59" s="300" t="s">
        <v>63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4"/>
      <c r="AB59" s="264"/>
      <c r="AC59" s="264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81">
        <v>4620207490822</v>
      </c>
      <c r="E60" s="282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0"/>
      <c r="R60" s="290"/>
      <c r="S60" s="290"/>
      <c r="T60" s="291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82</v>
      </c>
      <c r="Q61" s="277"/>
      <c r="R61" s="277"/>
      <c r="S61" s="277"/>
      <c r="T61" s="277"/>
      <c r="U61" s="277"/>
      <c r="V61" s="278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hidden="1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82</v>
      </c>
      <c r="Q62" s="277"/>
      <c r="R62" s="277"/>
      <c r="S62" s="277"/>
      <c r="T62" s="277"/>
      <c r="U62" s="277"/>
      <c r="V62" s="278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hidden="1" customHeight="1" x14ac:dyDescent="0.25">
      <c r="A63" s="300" t="s">
        <v>92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4"/>
      <c r="AB63" s="264"/>
      <c r="AC63" s="264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81">
        <v>4607111039712</v>
      </c>
      <c r="E64" s="282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0"/>
      <c r="R64" s="290"/>
      <c r="S64" s="290"/>
      <c r="T64" s="291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82</v>
      </c>
      <c r="Q65" s="277"/>
      <c r="R65" s="277"/>
      <c r="S65" s="277"/>
      <c r="T65" s="277"/>
      <c r="U65" s="277"/>
      <c r="V65" s="278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hidden="1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82</v>
      </c>
      <c r="Q66" s="277"/>
      <c r="R66" s="277"/>
      <c r="S66" s="277"/>
      <c r="T66" s="277"/>
      <c r="U66" s="277"/>
      <c r="V66" s="278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hidden="1" customHeight="1" x14ac:dyDescent="0.25">
      <c r="A67" s="300" t="s">
        <v>132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4"/>
      <c r="AB67" s="264"/>
      <c r="AC67" s="264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81">
        <v>4607111037008</v>
      </c>
      <c r="E68" s="282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0"/>
      <c r="R68" s="290"/>
      <c r="S68" s="290"/>
      <c r="T68" s="291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81">
        <v>4607111037398</v>
      </c>
      <c r="E69" s="282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0"/>
      <c r="R69" s="290"/>
      <c r="S69" s="290"/>
      <c r="T69" s="291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82</v>
      </c>
      <c r="Q70" s="277"/>
      <c r="R70" s="277"/>
      <c r="S70" s="277"/>
      <c r="T70" s="277"/>
      <c r="U70" s="277"/>
      <c r="V70" s="278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hidden="1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82</v>
      </c>
      <c r="Q71" s="277"/>
      <c r="R71" s="277"/>
      <c r="S71" s="277"/>
      <c r="T71" s="277"/>
      <c r="U71" s="277"/>
      <c r="V71" s="278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hidden="1" customHeight="1" x14ac:dyDescent="0.25">
      <c r="A72" s="300" t="s">
        <v>138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4"/>
      <c r="AB72" s="264"/>
      <c r="AC72" s="264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81">
        <v>4607111039705</v>
      </c>
      <c r="E73" s="282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0"/>
      <c r="R73" s="290"/>
      <c r="S73" s="290"/>
      <c r="T73" s="291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81">
        <v>4607111039729</v>
      </c>
      <c r="E74" s="282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0"/>
      <c r="R74" s="290"/>
      <c r="S74" s="290"/>
      <c r="T74" s="291"/>
      <c r="U74" s="34"/>
      <c r="V74" s="34"/>
      <c r="W74" s="35" t="s">
        <v>69</v>
      </c>
      <c r="X74" s="270">
        <v>42</v>
      </c>
      <c r="Y74" s="271">
        <f>IFERROR(IF(X74="","",X74),"")</f>
        <v>42</v>
      </c>
      <c r="Z74" s="36">
        <f>IFERROR(IF(X74="","",X74*0.00941),"")</f>
        <v>0.39522000000000002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65.52</v>
      </c>
      <c r="BN74" s="67">
        <f>IFERROR(Y74*I74,"0")</f>
        <v>65.52</v>
      </c>
      <c r="BO74" s="67">
        <f>IFERROR(X74/J74,"0")</f>
        <v>0.3</v>
      </c>
      <c r="BP74" s="67">
        <f>IFERROR(Y74/J74,"0")</f>
        <v>0.3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81">
        <v>4620207490228</v>
      </c>
      <c r="E75" s="282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69</v>
      </c>
      <c r="X75" s="270">
        <v>42</v>
      </c>
      <c r="Y75" s="271">
        <f>IFERROR(IF(X75="","",X75),"")</f>
        <v>42</v>
      </c>
      <c r="Z75" s="36">
        <f>IFERROR(IF(X75="","",X75*0.00941),"")</f>
        <v>0.39522000000000002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65.52</v>
      </c>
      <c r="BN75" s="67">
        <f>IFERROR(Y75*I75,"0")</f>
        <v>65.52</v>
      </c>
      <c r="BO75" s="67">
        <f>IFERROR(X75/J75,"0")</f>
        <v>0.3</v>
      </c>
      <c r="BP75" s="67">
        <f>IFERROR(Y75/J75,"0")</f>
        <v>0.3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82</v>
      </c>
      <c r="Q76" s="277"/>
      <c r="R76" s="277"/>
      <c r="S76" s="277"/>
      <c r="T76" s="277"/>
      <c r="U76" s="277"/>
      <c r="V76" s="278"/>
      <c r="W76" s="37" t="s">
        <v>69</v>
      </c>
      <c r="X76" s="272">
        <f>IFERROR(SUM(X73:X75),"0")</f>
        <v>84</v>
      </c>
      <c r="Y76" s="272">
        <f>IFERROR(SUM(Y73:Y75),"0")</f>
        <v>84</v>
      </c>
      <c r="Z76" s="272">
        <f>IFERROR(IF(Z73="",0,Z73),"0")+IFERROR(IF(Z74="",0,Z74),"0")+IFERROR(IF(Z75="",0,Z75),"0")</f>
        <v>0.79044000000000003</v>
      </c>
      <c r="AA76" s="273"/>
      <c r="AB76" s="273"/>
      <c r="AC76" s="273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82</v>
      </c>
      <c r="Q77" s="277"/>
      <c r="R77" s="277"/>
      <c r="S77" s="277"/>
      <c r="T77" s="277"/>
      <c r="U77" s="277"/>
      <c r="V77" s="278"/>
      <c r="W77" s="37" t="s">
        <v>83</v>
      </c>
      <c r="X77" s="272">
        <f>IFERROR(SUMPRODUCT(X73:X75*H73:H75),"0")</f>
        <v>100.8</v>
      </c>
      <c r="Y77" s="272">
        <f>IFERROR(SUMPRODUCT(Y73:Y75*H73:H75),"0")</f>
        <v>100.8</v>
      </c>
      <c r="Z77" s="37"/>
      <c r="AA77" s="273"/>
      <c r="AB77" s="273"/>
      <c r="AC77" s="273"/>
    </row>
    <row r="78" spans="1:68" ht="16.5" hidden="1" customHeight="1" x14ac:dyDescent="0.25">
      <c r="A78" s="285" t="s">
        <v>146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5"/>
      <c r="AB78" s="265"/>
      <c r="AC78" s="265"/>
    </row>
    <row r="79" spans="1:68" ht="14.25" hidden="1" customHeight="1" x14ac:dyDescent="0.25">
      <c r="A79" s="300" t="s">
        <v>63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1">
        <v>4607111037411</v>
      </c>
      <c r="E80" s="282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0"/>
      <c r="R80" s="290"/>
      <c r="S80" s="290"/>
      <c r="T80" s="291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1">
        <v>4607111036728</v>
      </c>
      <c r="E81" s="282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0"/>
      <c r="R81" s="290"/>
      <c r="S81" s="290"/>
      <c r="T81" s="291"/>
      <c r="U81" s="34"/>
      <c r="V81" s="34"/>
      <c r="W81" s="35" t="s">
        <v>69</v>
      </c>
      <c r="X81" s="270">
        <v>264</v>
      </c>
      <c r="Y81" s="271">
        <f>IFERROR(IF(X81="","",X81),"")</f>
        <v>264</v>
      </c>
      <c r="Z81" s="36">
        <f>IFERROR(IF(X81="","",X81*0.00866),"")</f>
        <v>2.2862399999999998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1376.2847999999999</v>
      </c>
      <c r="BN81" s="67">
        <f>IFERROR(Y81*I81,"0")</f>
        <v>1376.2847999999999</v>
      </c>
      <c r="BO81" s="67">
        <f>IFERROR(X81/J81,"0")</f>
        <v>1.8333333333333333</v>
      </c>
      <c r="BP81" s="67">
        <f>IFERROR(Y81/J81,"0")</f>
        <v>1.8333333333333333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82</v>
      </c>
      <c r="Q82" s="277"/>
      <c r="R82" s="277"/>
      <c r="S82" s="277"/>
      <c r="T82" s="277"/>
      <c r="U82" s="277"/>
      <c r="V82" s="278"/>
      <c r="W82" s="37" t="s">
        <v>69</v>
      </c>
      <c r="X82" s="272">
        <f>IFERROR(SUM(X80:X81),"0")</f>
        <v>264</v>
      </c>
      <c r="Y82" s="272">
        <f>IFERROR(SUM(Y80:Y81),"0")</f>
        <v>264</v>
      </c>
      <c r="Z82" s="272">
        <f>IFERROR(IF(Z80="",0,Z80),"0")+IFERROR(IF(Z81="",0,Z81),"0")</f>
        <v>2.2862399999999998</v>
      </c>
      <c r="AA82" s="273"/>
      <c r="AB82" s="273"/>
      <c r="AC82" s="273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82</v>
      </c>
      <c r="Q83" s="277"/>
      <c r="R83" s="277"/>
      <c r="S83" s="277"/>
      <c r="T83" s="277"/>
      <c r="U83" s="277"/>
      <c r="V83" s="278"/>
      <c r="W83" s="37" t="s">
        <v>83</v>
      </c>
      <c r="X83" s="272">
        <f>IFERROR(SUMPRODUCT(X80:X81*H80:H81),"0")</f>
        <v>1320</v>
      </c>
      <c r="Y83" s="272">
        <f>IFERROR(SUMPRODUCT(Y80:Y81*H80:H81),"0")</f>
        <v>1320</v>
      </c>
      <c r="Z83" s="37"/>
      <c r="AA83" s="273"/>
      <c r="AB83" s="273"/>
      <c r="AC83" s="273"/>
    </row>
    <row r="84" spans="1:68" ht="16.5" hidden="1" customHeight="1" x14ac:dyDescent="0.25">
      <c r="A84" s="285" t="s">
        <v>153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5"/>
      <c r="AB84" s="265"/>
      <c r="AC84" s="265"/>
    </row>
    <row r="85" spans="1:68" ht="14.25" hidden="1" customHeight="1" x14ac:dyDescent="0.25">
      <c r="A85" s="300" t="s">
        <v>138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1">
        <v>4607111033659</v>
      </c>
      <c r="E86" s="282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0"/>
      <c r="R86" s="290"/>
      <c r="S86" s="290"/>
      <c r="T86" s="291"/>
      <c r="U86" s="34"/>
      <c r="V86" s="34"/>
      <c r="W86" s="35" t="s">
        <v>69</v>
      </c>
      <c r="X86" s="270">
        <v>28</v>
      </c>
      <c r="Y86" s="271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82</v>
      </c>
      <c r="Q87" s="277"/>
      <c r="R87" s="277"/>
      <c r="S87" s="277"/>
      <c r="T87" s="277"/>
      <c r="U87" s="277"/>
      <c r="V87" s="278"/>
      <c r="W87" s="37" t="s">
        <v>69</v>
      </c>
      <c r="X87" s="272">
        <f>IFERROR(SUM(X86:X86),"0")</f>
        <v>28</v>
      </c>
      <c r="Y87" s="272">
        <f>IFERROR(SUM(Y86:Y86),"0")</f>
        <v>28</v>
      </c>
      <c r="Z87" s="272">
        <f>IFERROR(IF(Z86="",0,Z86),"0")</f>
        <v>0.50063999999999997</v>
      </c>
      <c r="AA87" s="273"/>
      <c r="AB87" s="273"/>
      <c r="AC87" s="273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82</v>
      </c>
      <c r="Q88" s="277"/>
      <c r="R88" s="277"/>
      <c r="S88" s="277"/>
      <c r="T88" s="277"/>
      <c r="U88" s="277"/>
      <c r="V88" s="278"/>
      <c r="W88" s="37" t="s">
        <v>83</v>
      </c>
      <c r="X88" s="272">
        <f>IFERROR(SUMPRODUCT(X86:X86*H86:H86),"0")</f>
        <v>100.8</v>
      </c>
      <c r="Y88" s="272">
        <f>IFERROR(SUMPRODUCT(Y86:Y86*H86:H86),"0")</f>
        <v>100.8</v>
      </c>
      <c r="Z88" s="37"/>
      <c r="AA88" s="273"/>
      <c r="AB88" s="273"/>
      <c r="AC88" s="273"/>
    </row>
    <row r="89" spans="1:68" ht="16.5" hidden="1" customHeight="1" x14ac:dyDescent="0.25">
      <c r="A89" s="285" t="s">
        <v>157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5"/>
      <c r="AB89" s="265"/>
      <c r="AC89" s="265"/>
    </row>
    <row r="90" spans="1:68" ht="14.25" hidden="1" customHeight="1" x14ac:dyDescent="0.25">
      <c r="A90" s="300" t="s">
        <v>158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1">
        <v>4607111034120</v>
      </c>
      <c r="E91" s="282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0"/>
      <c r="R91" s="290"/>
      <c r="S91" s="290"/>
      <c r="T91" s="291"/>
      <c r="U91" s="34"/>
      <c r="V91" s="34"/>
      <c r="W91" s="35" t="s">
        <v>69</v>
      </c>
      <c r="X91" s="270">
        <v>56</v>
      </c>
      <c r="Y91" s="271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1">
        <v>4607111034137</v>
      </c>
      <c r="E92" s="282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0"/>
      <c r="R92" s="290"/>
      <c r="S92" s="290"/>
      <c r="T92" s="291"/>
      <c r="U92" s="34"/>
      <c r="V92" s="34"/>
      <c r="W92" s="35" t="s">
        <v>69</v>
      </c>
      <c r="X92" s="270">
        <v>28</v>
      </c>
      <c r="Y92" s="271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82</v>
      </c>
      <c r="Q93" s="277"/>
      <c r="R93" s="277"/>
      <c r="S93" s="277"/>
      <c r="T93" s="277"/>
      <c r="U93" s="277"/>
      <c r="V93" s="278"/>
      <c r="W93" s="37" t="s">
        <v>69</v>
      </c>
      <c r="X93" s="272">
        <f>IFERROR(SUM(X91:X92),"0")</f>
        <v>84</v>
      </c>
      <c r="Y93" s="272">
        <f>IFERROR(SUM(Y91:Y92),"0")</f>
        <v>84</v>
      </c>
      <c r="Z93" s="272">
        <f>IFERROR(IF(Z91="",0,Z91),"0")+IFERROR(IF(Z92="",0,Z92),"0")</f>
        <v>1.5019199999999999</v>
      </c>
      <c r="AA93" s="273"/>
      <c r="AB93" s="273"/>
      <c r="AC93" s="273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82</v>
      </c>
      <c r="Q94" s="277"/>
      <c r="R94" s="277"/>
      <c r="S94" s="277"/>
      <c r="T94" s="277"/>
      <c r="U94" s="277"/>
      <c r="V94" s="278"/>
      <c r="W94" s="37" t="s">
        <v>83</v>
      </c>
      <c r="X94" s="272">
        <f>IFERROR(SUMPRODUCT(X91:X92*H91:H92),"0")</f>
        <v>302.39999999999998</v>
      </c>
      <c r="Y94" s="272">
        <f>IFERROR(SUMPRODUCT(Y91:Y92*H91:H92),"0")</f>
        <v>302.39999999999998</v>
      </c>
      <c r="Z94" s="37"/>
      <c r="AA94" s="273"/>
      <c r="AB94" s="273"/>
      <c r="AC94" s="273"/>
    </row>
    <row r="95" spans="1:68" ht="16.5" hidden="1" customHeight="1" x14ac:dyDescent="0.25">
      <c r="A95" s="285" t="s">
        <v>165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5"/>
      <c r="AB95" s="265"/>
      <c r="AC95" s="265"/>
    </row>
    <row r="96" spans="1:68" ht="14.25" hidden="1" customHeight="1" x14ac:dyDescent="0.25">
      <c r="A96" s="300" t="s">
        <v>138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1">
        <v>4620207491027</v>
      </c>
      <c r="E97" s="282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2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0"/>
      <c r="R97" s="290"/>
      <c r="S97" s="290"/>
      <c r="T97" s="291"/>
      <c r="U97" s="34"/>
      <c r="V97" s="34"/>
      <c r="W97" s="35" t="s">
        <v>69</v>
      </c>
      <c r="X97" s="270">
        <v>42</v>
      </c>
      <c r="Y97" s="271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1">
        <v>4620207491003</v>
      </c>
      <c r="E98" s="282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0"/>
      <c r="R98" s="290"/>
      <c r="S98" s="290"/>
      <c r="T98" s="291"/>
      <c r="U98" s="34"/>
      <c r="V98" s="34"/>
      <c r="W98" s="35" t="s">
        <v>69</v>
      </c>
      <c r="X98" s="270">
        <v>70</v>
      </c>
      <c r="Y98" s="271">
        <f t="shared" si="6"/>
        <v>70</v>
      </c>
      <c r="Z98" s="36">
        <f t="shared" si="7"/>
        <v>1.2516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1">
        <v>4620207491034</v>
      </c>
      <c r="E99" s="282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1">
        <v>4620207491010</v>
      </c>
      <c r="E100" s="282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69</v>
      </c>
      <c r="X100" s="270">
        <v>98</v>
      </c>
      <c r="Y100" s="271">
        <f t="shared" si="6"/>
        <v>98</v>
      </c>
      <c r="Z100" s="36">
        <f t="shared" si="7"/>
        <v>1.75224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1">
        <v>4607111035028</v>
      </c>
      <c r="E101" s="282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0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0"/>
      <c r="R101" s="290"/>
      <c r="S101" s="290"/>
      <c r="T101" s="291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81">
        <v>4607111036407</v>
      </c>
      <c r="E102" s="282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0"/>
      <c r="R102" s="290"/>
      <c r="S102" s="290"/>
      <c r="T102" s="291"/>
      <c r="U102" s="34"/>
      <c r="V102" s="34"/>
      <c r="W102" s="35" t="s">
        <v>69</v>
      </c>
      <c r="X102" s="270">
        <v>14</v>
      </c>
      <c r="Y102" s="271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82</v>
      </c>
      <c r="Q103" s="277"/>
      <c r="R103" s="277"/>
      <c r="S103" s="277"/>
      <c r="T103" s="277"/>
      <c r="U103" s="277"/>
      <c r="V103" s="278"/>
      <c r="W103" s="37" t="s">
        <v>69</v>
      </c>
      <c r="X103" s="272">
        <f>IFERROR(SUM(X97:X102),"0")</f>
        <v>224</v>
      </c>
      <c r="Y103" s="272">
        <f>IFERROR(SUM(Y97:Y102),"0")</f>
        <v>224</v>
      </c>
      <c r="Z103" s="272">
        <f>IFERROR(IF(Z97="",0,Z97),"0")+IFERROR(IF(Z98="",0,Z98),"0")+IFERROR(IF(Z99="",0,Z99),"0")+IFERROR(IF(Z100="",0,Z100),"0")+IFERROR(IF(Z101="",0,Z101),"0")+IFERROR(IF(Z102="",0,Z102),"0")</f>
        <v>4.0051199999999998</v>
      </c>
      <c r="AA103" s="273"/>
      <c r="AB103" s="273"/>
      <c r="AC103" s="273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82</v>
      </c>
      <c r="Q104" s="277"/>
      <c r="R104" s="277"/>
      <c r="S104" s="277"/>
      <c r="T104" s="277"/>
      <c r="U104" s="277"/>
      <c r="V104" s="278"/>
      <c r="W104" s="37" t="s">
        <v>83</v>
      </c>
      <c r="X104" s="272">
        <f>IFERROR(SUMPRODUCT(X97:X102*H97:H102),"0")</f>
        <v>663.59999999999991</v>
      </c>
      <c r="Y104" s="272">
        <f>IFERROR(SUMPRODUCT(Y97:Y102*H97:H102),"0")</f>
        <v>663.59999999999991</v>
      </c>
      <c r="Z104" s="37"/>
      <c r="AA104" s="273"/>
      <c r="AB104" s="273"/>
      <c r="AC104" s="273"/>
    </row>
    <row r="105" spans="1:68" ht="16.5" hidden="1" customHeight="1" x14ac:dyDescent="0.25">
      <c r="A105" s="285" t="s">
        <v>180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5"/>
      <c r="AB105" s="265"/>
      <c r="AC105" s="265"/>
    </row>
    <row r="106" spans="1:68" ht="14.25" hidden="1" customHeight="1" x14ac:dyDescent="0.25">
      <c r="A106" s="300" t="s">
        <v>132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81">
        <v>4607025784012</v>
      </c>
      <c r="E107" s="282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0"/>
      <c r="R107" s="290"/>
      <c r="S107" s="290"/>
      <c r="T107" s="291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1">
        <v>4607025784319</v>
      </c>
      <c r="E108" s="282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0"/>
      <c r="R108" s="290"/>
      <c r="S108" s="290"/>
      <c r="T108" s="291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82</v>
      </c>
      <c r="Q109" s="277"/>
      <c r="R109" s="277"/>
      <c r="S109" s="277"/>
      <c r="T109" s="277"/>
      <c r="U109" s="277"/>
      <c r="V109" s="278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82</v>
      </c>
      <c r="Q110" s="277"/>
      <c r="R110" s="277"/>
      <c r="S110" s="277"/>
      <c r="T110" s="277"/>
      <c r="U110" s="277"/>
      <c r="V110" s="278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hidden="1" customHeight="1" x14ac:dyDescent="0.25">
      <c r="A111" s="285" t="s">
        <v>186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5"/>
      <c r="AB111" s="265"/>
      <c r="AC111" s="265"/>
    </row>
    <row r="112" spans="1:68" ht="14.25" hidden="1" customHeight="1" x14ac:dyDescent="0.25">
      <c r="A112" s="300" t="s">
        <v>63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4"/>
      <c r="AB112" s="264"/>
      <c r="AC112" s="264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1">
        <v>4620207491393</v>
      </c>
      <c r="E113" s="282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0"/>
      <c r="R113" s="290"/>
      <c r="S113" s="290"/>
      <c r="T113" s="291"/>
      <c r="U113" s="34"/>
      <c r="V113" s="34"/>
      <c r="W113" s="35" t="s">
        <v>69</v>
      </c>
      <c r="X113" s="270">
        <v>0</v>
      </c>
      <c r="Y113" s="271">
        <f t="shared" ref="Y113:Y121" si="12">IFERROR(IF(X113="","",X113),"")</f>
        <v>0</v>
      </c>
      <c r="Z113" s="36">
        <f t="shared" ref="Z113:Z121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0</v>
      </c>
      <c r="BN113" s="67">
        <f t="shared" ref="BN113:BN121" si="15">IFERROR(Y113*I113,"0")</f>
        <v>0</v>
      </c>
      <c r="BO113" s="67">
        <f t="shared" ref="BO113:BO121" si="16">IFERROR(X113/J113,"0")</f>
        <v>0</v>
      </c>
      <c r="BP113" s="67">
        <f t="shared" ref="BP113:BP121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81">
        <v>4620207491157</v>
      </c>
      <c r="E114" s="282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0"/>
      <c r="R114" s="290"/>
      <c r="S114" s="290"/>
      <c r="T114" s="291"/>
      <c r="U114" s="34"/>
      <c r="V114" s="34"/>
      <c r="W114" s="35" t="s">
        <v>69</v>
      </c>
      <c r="X114" s="270">
        <v>36</v>
      </c>
      <c r="Y114" s="271">
        <f t="shared" si="12"/>
        <v>36</v>
      </c>
      <c r="Z114" s="36">
        <f t="shared" si="13"/>
        <v>0.55800000000000005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262.08</v>
      </c>
      <c r="BN114" s="67">
        <f t="shared" si="15"/>
        <v>262.08</v>
      </c>
      <c r="BO114" s="67">
        <f t="shared" si="16"/>
        <v>0.42857142857142855</v>
      </c>
      <c r="BP114" s="67">
        <f t="shared" si="17"/>
        <v>0.42857142857142855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81">
        <v>4607111039262</v>
      </c>
      <c r="E115" s="282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0"/>
      <c r="R115" s="290"/>
      <c r="S115" s="290"/>
      <c r="T115" s="291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1">
        <v>4607111039248</v>
      </c>
      <c r="E116" s="282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28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0"/>
      <c r="R116" s="290"/>
      <c r="S116" s="290"/>
      <c r="T116" s="291"/>
      <c r="U116" s="34"/>
      <c r="V116" s="34"/>
      <c r="W116" s="35" t="s">
        <v>69</v>
      </c>
      <c r="X116" s="270">
        <v>120</v>
      </c>
      <c r="Y116" s="271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1">
        <v>4607111037145</v>
      </c>
      <c r="E117" s="282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0"/>
      <c r="R117" s="290"/>
      <c r="S117" s="290"/>
      <c r="T117" s="291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81">
        <v>4607111039293</v>
      </c>
      <c r="E118" s="282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0"/>
      <c r="R118" s="290"/>
      <c r="S118" s="290"/>
      <c r="T118" s="291"/>
      <c r="U118" s="34"/>
      <c r="V118" s="34"/>
      <c r="W118" s="35" t="s">
        <v>69</v>
      </c>
      <c r="X118" s="270">
        <v>60</v>
      </c>
      <c r="Y118" s="271">
        <f t="shared" si="12"/>
        <v>60</v>
      </c>
      <c r="Z118" s="36">
        <f t="shared" si="13"/>
        <v>0.92999999999999994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403.17599999999999</v>
      </c>
      <c r="BN118" s="67">
        <f t="shared" si="15"/>
        <v>403.17599999999999</v>
      </c>
      <c r="BO118" s="67">
        <f t="shared" si="16"/>
        <v>0.7142857142857143</v>
      </c>
      <c r="BP118" s="67">
        <f t="shared" si="17"/>
        <v>0.7142857142857143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1">
        <v>4607111039279</v>
      </c>
      <c r="E119" s="282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0"/>
      <c r="R119" s="290"/>
      <c r="S119" s="290"/>
      <c r="T119" s="291"/>
      <c r="U119" s="34"/>
      <c r="V119" s="34"/>
      <c r="W119" s="35" t="s">
        <v>69</v>
      </c>
      <c r="X119" s="270">
        <v>144</v>
      </c>
      <c r="Y119" s="271">
        <f t="shared" si="12"/>
        <v>144</v>
      </c>
      <c r="Z119" s="36">
        <f t="shared" si="13"/>
        <v>2.2320000000000002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1051.2</v>
      </c>
      <c r="BN119" s="67">
        <f t="shared" si="15"/>
        <v>1051.2</v>
      </c>
      <c r="BO119" s="67">
        <f t="shared" si="16"/>
        <v>1.7142857142857142</v>
      </c>
      <c r="BP119" s="67">
        <f t="shared" si="17"/>
        <v>1.7142857142857142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1">
        <v>4607111037435</v>
      </c>
      <c r="E120" s="282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0"/>
      <c r="R120" s="290"/>
      <c r="S120" s="290"/>
      <c r="T120" s="291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208</v>
      </c>
      <c r="B121" s="54" t="s">
        <v>209</v>
      </c>
      <c r="C121" s="31">
        <v>4301071075</v>
      </c>
      <c r="D121" s="281">
        <v>4620207491102</v>
      </c>
      <c r="E121" s="282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90"/>
      <c r="R121" s="290"/>
      <c r="S121" s="290"/>
      <c r="T121" s="291"/>
      <c r="U121" s="34"/>
      <c r="V121" s="34"/>
      <c r="W121" s="35" t="s">
        <v>69</v>
      </c>
      <c r="X121" s="270">
        <v>0</v>
      </c>
      <c r="Y121" s="271">
        <f t="shared" si="12"/>
        <v>0</v>
      </c>
      <c r="Z121" s="36">
        <f t="shared" si="13"/>
        <v>0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7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8"/>
      <c r="P122" s="276" t="s">
        <v>82</v>
      </c>
      <c r="Q122" s="277"/>
      <c r="R122" s="277"/>
      <c r="S122" s="277"/>
      <c r="T122" s="277"/>
      <c r="U122" s="277"/>
      <c r="V122" s="278"/>
      <c r="W122" s="37" t="s">
        <v>69</v>
      </c>
      <c r="X122" s="272">
        <f>IFERROR(SUM(X113:X121),"0")</f>
        <v>396</v>
      </c>
      <c r="Y122" s="272">
        <f>IFERROR(SUM(Y113:Y121),"0")</f>
        <v>396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6.1379999999999999</v>
      </c>
      <c r="AA122" s="273"/>
      <c r="AB122" s="273"/>
      <c r="AC122" s="273"/>
    </row>
    <row r="123" spans="1:68" x14ac:dyDescent="0.2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8"/>
      <c r="P123" s="276" t="s">
        <v>82</v>
      </c>
      <c r="Q123" s="277"/>
      <c r="R123" s="277"/>
      <c r="S123" s="277"/>
      <c r="T123" s="277"/>
      <c r="U123" s="277"/>
      <c r="V123" s="278"/>
      <c r="W123" s="37" t="s">
        <v>83</v>
      </c>
      <c r="X123" s="272">
        <f>IFERROR(SUMPRODUCT(X113:X121*H113:H121),"0")</f>
        <v>2714.4</v>
      </c>
      <c r="Y123" s="272">
        <f>IFERROR(SUMPRODUCT(Y113:Y121*H113:H121),"0")</f>
        <v>2714.4</v>
      </c>
      <c r="Z123" s="37"/>
      <c r="AA123" s="273"/>
      <c r="AB123" s="273"/>
      <c r="AC123" s="273"/>
    </row>
    <row r="124" spans="1:68" ht="14.25" hidden="1" customHeight="1" x14ac:dyDescent="0.25">
      <c r="A124" s="300" t="s">
        <v>138</v>
      </c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64"/>
      <c r="AB124" s="264"/>
      <c r="AC124" s="264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81">
        <v>4620207490983</v>
      </c>
      <c r="E125" s="282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69</v>
      </c>
      <c r="X125" s="270">
        <v>14</v>
      </c>
      <c r="Y125" s="271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87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82</v>
      </c>
      <c r="Q126" s="277"/>
      <c r="R126" s="277"/>
      <c r="S126" s="277"/>
      <c r="T126" s="277"/>
      <c r="U126" s="277"/>
      <c r="V126" s="278"/>
      <c r="W126" s="37" t="s">
        <v>69</v>
      </c>
      <c r="X126" s="272">
        <f>IFERROR(SUM(X125:X125),"0")</f>
        <v>14</v>
      </c>
      <c r="Y126" s="272">
        <f>IFERROR(SUM(Y125:Y125),"0")</f>
        <v>14</v>
      </c>
      <c r="Z126" s="272">
        <f>IFERROR(IF(Z125="",0,Z125),"0")</f>
        <v>0.25031999999999999</v>
      </c>
      <c r="AA126" s="273"/>
      <c r="AB126" s="273"/>
      <c r="AC126" s="273"/>
    </row>
    <row r="127" spans="1:68" x14ac:dyDescent="0.2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8"/>
      <c r="P127" s="276" t="s">
        <v>82</v>
      </c>
      <c r="Q127" s="277"/>
      <c r="R127" s="277"/>
      <c r="S127" s="277"/>
      <c r="T127" s="277"/>
      <c r="U127" s="277"/>
      <c r="V127" s="278"/>
      <c r="W127" s="37" t="s">
        <v>83</v>
      </c>
      <c r="X127" s="272">
        <f>IFERROR(SUMPRODUCT(X125:X125*H125:H125),"0")</f>
        <v>36.96</v>
      </c>
      <c r="Y127" s="272">
        <f>IFERROR(SUMPRODUCT(Y125:Y125*H125:H125),"0")</f>
        <v>36.96</v>
      </c>
      <c r="Z127" s="37"/>
      <c r="AA127" s="273"/>
      <c r="AB127" s="273"/>
      <c r="AC127" s="273"/>
    </row>
    <row r="128" spans="1:68" ht="14.25" hidden="1" customHeight="1" x14ac:dyDescent="0.25">
      <c r="A128" s="300" t="s">
        <v>214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81">
        <v>4620207491140</v>
      </c>
      <c r="E129" s="282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69</v>
      </c>
      <c r="X129" s="270">
        <v>12</v>
      </c>
      <c r="Y129" s="271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7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82</v>
      </c>
      <c r="Q130" s="277"/>
      <c r="R130" s="277"/>
      <c r="S130" s="277"/>
      <c r="T130" s="277"/>
      <c r="U130" s="277"/>
      <c r="V130" s="278"/>
      <c r="W130" s="37" t="s">
        <v>69</v>
      </c>
      <c r="X130" s="272">
        <f>IFERROR(SUM(X129:X129),"0")</f>
        <v>12</v>
      </c>
      <c r="Y130" s="272">
        <f>IFERROR(SUM(Y129:Y129),"0")</f>
        <v>12</v>
      </c>
      <c r="Z130" s="272">
        <f>IFERROR(IF(Z129="",0,Z129),"0")</f>
        <v>0.186</v>
      </c>
      <c r="AA130" s="273"/>
      <c r="AB130" s="273"/>
      <c r="AC130" s="273"/>
    </row>
    <row r="131" spans="1:68" x14ac:dyDescent="0.2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8"/>
      <c r="P131" s="276" t="s">
        <v>82</v>
      </c>
      <c r="Q131" s="277"/>
      <c r="R131" s="277"/>
      <c r="S131" s="277"/>
      <c r="T131" s="277"/>
      <c r="U131" s="277"/>
      <c r="V131" s="278"/>
      <c r="W131" s="37" t="s">
        <v>83</v>
      </c>
      <c r="X131" s="272">
        <f>IFERROR(SUMPRODUCT(X129:X129*H129:H129),"0")</f>
        <v>72</v>
      </c>
      <c r="Y131" s="272">
        <f>IFERROR(SUMPRODUCT(Y129:Y129*H129:H129),"0")</f>
        <v>72</v>
      </c>
      <c r="Z131" s="37"/>
      <c r="AA131" s="273"/>
      <c r="AB131" s="273"/>
      <c r="AC131" s="273"/>
    </row>
    <row r="132" spans="1:68" ht="16.5" hidden="1" customHeight="1" x14ac:dyDescent="0.25">
      <c r="A132" s="285" t="s">
        <v>218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5"/>
      <c r="AB132" s="265"/>
      <c r="AC132" s="265"/>
    </row>
    <row r="133" spans="1:68" ht="14.25" hidden="1" customHeight="1" x14ac:dyDescent="0.25">
      <c r="A133" s="300" t="s">
        <v>138</v>
      </c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81">
        <v>4607111034014</v>
      </c>
      <c r="E134" s="282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4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90"/>
      <c r="R134" s="290"/>
      <c r="S134" s="290"/>
      <c r="T134" s="291"/>
      <c r="U134" s="34"/>
      <c r="V134" s="34"/>
      <c r="W134" s="35" t="s">
        <v>69</v>
      </c>
      <c r="X134" s="270">
        <v>140</v>
      </c>
      <c r="Y134" s="271">
        <f>IFERROR(IF(X134="","",X134),"")</f>
        <v>140</v>
      </c>
      <c r="Z134" s="36">
        <f>IFERROR(IF(X134="","",X134*0.01788),"")</f>
        <v>2.5032000000000001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518.50400000000002</v>
      </c>
      <c r="BN134" s="67">
        <f>IFERROR(Y134*I134,"0")</f>
        <v>518.50400000000002</v>
      </c>
      <c r="BO134" s="67">
        <f>IFERROR(X134/J134,"0")</f>
        <v>2</v>
      </c>
      <c r="BP134" s="67">
        <f>IFERROR(Y134/J134,"0")</f>
        <v>2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81">
        <v>4607111033994</v>
      </c>
      <c r="E135" s="282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90"/>
      <c r="R135" s="290"/>
      <c r="S135" s="290"/>
      <c r="T135" s="291"/>
      <c r="U135" s="34"/>
      <c r="V135" s="34"/>
      <c r="W135" s="35" t="s">
        <v>69</v>
      </c>
      <c r="X135" s="270">
        <v>168</v>
      </c>
      <c r="Y135" s="271">
        <f>IFERROR(IF(X135="","",X135),"")</f>
        <v>168</v>
      </c>
      <c r="Z135" s="36">
        <f>IFERROR(IF(X135="","",X135*0.01788),"")</f>
        <v>3.0038399999999998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622.20479999999998</v>
      </c>
      <c r="BN135" s="67">
        <f>IFERROR(Y135*I135,"0")</f>
        <v>622.20479999999998</v>
      </c>
      <c r="BO135" s="67">
        <f>IFERROR(X135/J135,"0")</f>
        <v>2.4</v>
      </c>
      <c r="BP135" s="67">
        <f>IFERROR(Y135/J135,"0")</f>
        <v>2.4</v>
      </c>
    </row>
    <row r="136" spans="1:68" x14ac:dyDescent="0.2">
      <c r="A136" s="287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82</v>
      </c>
      <c r="Q136" s="277"/>
      <c r="R136" s="277"/>
      <c r="S136" s="277"/>
      <c r="T136" s="277"/>
      <c r="U136" s="277"/>
      <c r="V136" s="278"/>
      <c r="W136" s="37" t="s">
        <v>69</v>
      </c>
      <c r="X136" s="272">
        <f>IFERROR(SUM(X134:X135),"0")</f>
        <v>308</v>
      </c>
      <c r="Y136" s="272">
        <f>IFERROR(SUM(Y134:Y135),"0")</f>
        <v>308</v>
      </c>
      <c r="Z136" s="272">
        <f>IFERROR(IF(Z134="",0,Z134),"0")+IFERROR(IF(Z135="",0,Z135),"0")</f>
        <v>5.5070399999999999</v>
      </c>
      <c r="AA136" s="273"/>
      <c r="AB136" s="273"/>
      <c r="AC136" s="273"/>
    </row>
    <row r="137" spans="1:68" x14ac:dyDescent="0.2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8"/>
      <c r="P137" s="276" t="s">
        <v>82</v>
      </c>
      <c r="Q137" s="277"/>
      <c r="R137" s="277"/>
      <c r="S137" s="277"/>
      <c r="T137" s="277"/>
      <c r="U137" s="277"/>
      <c r="V137" s="278"/>
      <c r="W137" s="37" t="s">
        <v>83</v>
      </c>
      <c r="X137" s="272">
        <f>IFERROR(SUMPRODUCT(X134:X135*H134:H135),"0")</f>
        <v>924</v>
      </c>
      <c r="Y137" s="272">
        <f>IFERROR(SUMPRODUCT(Y134:Y135*H134:H135),"0")</f>
        <v>924</v>
      </c>
      <c r="Z137" s="37"/>
      <c r="AA137" s="273"/>
      <c r="AB137" s="273"/>
      <c r="AC137" s="273"/>
    </row>
    <row r="138" spans="1:68" ht="16.5" hidden="1" customHeight="1" x14ac:dyDescent="0.25">
      <c r="A138" s="285" t="s">
        <v>224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5"/>
      <c r="AB138" s="265"/>
      <c r="AC138" s="265"/>
    </row>
    <row r="139" spans="1:68" ht="14.25" hidden="1" customHeight="1" x14ac:dyDescent="0.25">
      <c r="A139" s="300" t="s">
        <v>138</v>
      </c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81">
        <v>4607111039095</v>
      </c>
      <c r="E140" s="282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90"/>
      <c r="R140" s="290"/>
      <c r="S140" s="290"/>
      <c r="T140" s="291"/>
      <c r="U140" s="34"/>
      <c r="V140" s="34"/>
      <c r="W140" s="35" t="s">
        <v>69</v>
      </c>
      <c r="X140" s="270">
        <v>42</v>
      </c>
      <c r="Y140" s="271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157.416</v>
      </c>
      <c r="BN140" s="67">
        <f>IFERROR(Y140*I140,"0")</f>
        <v>157.416</v>
      </c>
      <c r="BO140" s="67">
        <f>IFERROR(X140/J140,"0")</f>
        <v>0.6</v>
      </c>
      <c r="BP140" s="67">
        <f>IFERROR(Y140/J140,"0")</f>
        <v>0.6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81">
        <v>4607111034199</v>
      </c>
      <c r="E141" s="282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90"/>
      <c r="R141" s="290"/>
      <c r="S141" s="290"/>
      <c r="T141" s="291"/>
      <c r="U141" s="34"/>
      <c r="V141" s="34"/>
      <c r="W141" s="35" t="s">
        <v>69</v>
      </c>
      <c r="X141" s="270">
        <v>98</v>
      </c>
      <c r="Y141" s="271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7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82</v>
      </c>
      <c r="Q142" s="277"/>
      <c r="R142" s="277"/>
      <c r="S142" s="277"/>
      <c r="T142" s="277"/>
      <c r="U142" s="277"/>
      <c r="V142" s="278"/>
      <c r="W142" s="37" t="s">
        <v>69</v>
      </c>
      <c r="X142" s="272">
        <f>IFERROR(SUM(X140:X141),"0")</f>
        <v>140</v>
      </c>
      <c r="Y142" s="272">
        <f>IFERROR(SUM(Y140:Y141),"0")</f>
        <v>140</v>
      </c>
      <c r="Z142" s="272">
        <f>IFERROR(IF(Z140="",0,Z140),"0")+IFERROR(IF(Z141="",0,Z141),"0")</f>
        <v>2.5032000000000001</v>
      </c>
      <c r="AA142" s="273"/>
      <c r="AB142" s="273"/>
      <c r="AC142" s="273"/>
    </row>
    <row r="143" spans="1:68" x14ac:dyDescent="0.2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8"/>
      <c r="P143" s="276" t="s">
        <v>82</v>
      </c>
      <c r="Q143" s="277"/>
      <c r="R143" s="277"/>
      <c r="S143" s="277"/>
      <c r="T143" s="277"/>
      <c r="U143" s="277"/>
      <c r="V143" s="278"/>
      <c r="W143" s="37" t="s">
        <v>83</v>
      </c>
      <c r="X143" s="272">
        <f>IFERROR(SUMPRODUCT(X140:X141*H140:H141),"0")</f>
        <v>420</v>
      </c>
      <c r="Y143" s="272">
        <f>IFERROR(SUMPRODUCT(Y140:Y141*H140:H141),"0")</f>
        <v>420</v>
      </c>
      <c r="Z143" s="37"/>
      <c r="AA143" s="273"/>
      <c r="AB143" s="273"/>
      <c r="AC143" s="273"/>
    </row>
    <row r="144" spans="1:68" ht="16.5" hidden="1" customHeight="1" x14ac:dyDescent="0.25">
      <c r="A144" s="285" t="s">
        <v>231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5"/>
      <c r="AB144" s="265"/>
      <c r="AC144" s="265"/>
    </row>
    <row r="145" spans="1:68" ht="14.25" hidden="1" customHeight="1" x14ac:dyDescent="0.25">
      <c r="A145" s="300" t="s">
        <v>138</v>
      </c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81">
        <v>4620207490914</v>
      </c>
      <c r="E146" s="282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5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90"/>
      <c r="R146" s="290"/>
      <c r="S146" s="290"/>
      <c r="T146" s="291"/>
      <c r="U146" s="34"/>
      <c r="V146" s="34"/>
      <c r="W146" s="35" t="s">
        <v>69</v>
      </c>
      <c r="X146" s="270">
        <v>42</v>
      </c>
      <c r="Y146" s="271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81">
        <v>4620207490853</v>
      </c>
      <c r="E147" s="282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2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90"/>
      <c r="R147" s="290"/>
      <c r="S147" s="290"/>
      <c r="T147" s="291"/>
      <c r="U147" s="34"/>
      <c r="V147" s="34"/>
      <c r="W147" s="35" t="s">
        <v>69</v>
      </c>
      <c r="X147" s="270">
        <v>28</v>
      </c>
      <c r="Y147" s="271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7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82</v>
      </c>
      <c r="Q148" s="277"/>
      <c r="R148" s="277"/>
      <c r="S148" s="277"/>
      <c r="T148" s="277"/>
      <c r="U148" s="277"/>
      <c r="V148" s="278"/>
      <c r="W148" s="37" t="s">
        <v>69</v>
      </c>
      <c r="X148" s="272">
        <f>IFERROR(SUM(X146:X147),"0")</f>
        <v>70</v>
      </c>
      <c r="Y148" s="272">
        <f>IFERROR(SUM(Y146:Y147),"0")</f>
        <v>70</v>
      </c>
      <c r="Z148" s="272">
        <f>IFERROR(IF(Z146="",0,Z146),"0")+IFERROR(IF(Z147="",0,Z147),"0")</f>
        <v>1.2515999999999998</v>
      </c>
      <c r="AA148" s="273"/>
      <c r="AB148" s="273"/>
      <c r="AC148" s="273"/>
    </row>
    <row r="149" spans="1:68" x14ac:dyDescent="0.2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8"/>
      <c r="P149" s="276" t="s">
        <v>82</v>
      </c>
      <c r="Q149" s="277"/>
      <c r="R149" s="277"/>
      <c r="S149" s="277"/>
      <c r="T149" s="277"/>
      <c r="U149" s="277"/>
      <c r="V149" s="278"/>
      <c r="W149" s="37" t="s">
        <v>83</v>
      </c>
      <c r="X149" s="272">
        <f>IFERROR(SUMPRODUCT(X146:X147*H146:H147),"0")</f>
        <v>168</v>
      </c>
      <c r="Y149" s="272">
        <f>IFERROR(SUMPRODUCT(Y146:Y147*H146:H147),"0")</f>
        <v>168</v>
      </c>
      <c r="Z149" s="37"/>
      <c r="AA149" s="273"/>
      <c r="AB149" s="273"/>
      <c r="AC149" s="273"/>
    </row>
    <row r="150" spans="1:68" ht="16.5" hidden="1" customHeight="1" x14ac:dyDescent="0.25">
      <c r="A150" s="285" t="s">
        <v>236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5"/>
      <c r="AB150" s="265"/>
      <c r="AC150" s="265"/>
    </row>
    <row r="151" spans="1:68" ht="14.25" hidden="1" customHeight="1" x14ac:dyDescent="0.25">
      <c r="A151" s="300" t="s">
        <v>138</v>
      </c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81">
        <v>4607111035806</v>
      </c>
      <c r="E152" s="282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90"/>
      <c r="R152" s="290"/>
      <c r="S152" s="290"/>
      <c r="T152" s="291"/>
      <c r="U152" s="34"/>
      <c r="V152" s="34"/>
      <c r="W152" s="35" t="s">
        <v>69</v>
      </c>
      <c r="X152" s="270">
        <v>28</v>
      </c>
      <c r="Y152" s="271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87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82</v>
      </c>
      <c r="Q153" s="277"/>
      <c r="R153" s="277"/>
      <c r="S153" s="277"/>
      <c r="T153" s="277"/>
      <c r="U153" s="277"/>
      <c r="V153" s="278"/>
      <c r="W153" s="37" t="s">
        <v>69</v>
      </c>
      <c r="X153" s="272">
        <f>IFERROR(SUM(X152:X152),"0")</f>
        <v>28</v>
      </c>
      <c r="Y153" s="272">
        <f>IFERROR(SUM(Y152:Y152),"0")</f>
        <v>28</v>
      </c>
      <c r="Z153" s="272">
        <f>IFERROR(IF(Z152="",0,Z152),"0")</f>
        <v>0.50063999999999997</v>
      </c>
      <c r="AA153" s="273"/>
      <c r="AB153" s="273"/>
      <c r="AC153" s="273"/>
    </row>
    <row r="154" spans="1:68" x14ac:dyDescent="0.2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8"/>
      <c r="P154" s="276" t="s">
        <v>82</v>
      </c>
      <c r="Q154" s="277"/>
      <c r="R154" s="277"/>
      <c r="S154" s="277"/>
      <c r="T154" s="277"/>
      <c r="U154" s="277"/>
      <c r="V154" s="278"/>
      <c r="W154" s="37" t="s">
        <v>83</v>
      </c>
      <c r="X154" s="272">
        <f>IFERROR(SUMPRODUCT(X152:X152*H152:H152),"0")</f>
        <v>84</v>
      </c>
      <c r="Y154" s="272">
        <f>IFERROR(SUMPRODUCT(Y152:Y152*H152:H152),"0")</f>
        <v>84</v>
      </c>
      <c r="Z154" s="37"/>
      <c r="AA154" s="273"/>
      <c r="AB154" s="273"/>
      <c r="AC154" s="273"/>
    </row>
    <row r="155" spans="1:68" ht="16.5" hidden="1" customHeight="1" x14ac:dyDescent="0.25">
      <c r="A155" s="285" t="s">
        <v>240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5"/>
      <c r="AB155" s="265"/>
      <c r="AC155" s="265"/>
    </row>
    <row r="156" spans="1:68" ht="14.25" hidden="1" customHeight="1" x14ac:dyDescent="0.25">
      <c r="A156" s="300" t="s">
        <v>138</v>
      </c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64"/>
      <c r="AB156" s="264"/>
      <c r="AC156" s="264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81">
        <v>4607111039613</v>
      </c>
      <c r="E157" s="282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90"/>
      <c r="R157" s="290"/>
      <c r="S157" s="290"/>
      <c r="T157" s="291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7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82</v>
      </c>
      <c r="Q158" s="277"/>
      <c r="R158" s="277"/>
      <c r="S158" s="277"/>
      <c r="T158" s="277"/>
      <c r="U158" s="277"/>
      <c r="V158" s="278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hidden="1" x14ac:dyDescent="0.2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8"/>
      <c r="P159" s="276" t="s">
        <v>82</v>
      </c>
      <c r="Q159" s="277"/>
      <c r="R159" s="277"/>
      <c r="S159" s="277"/>
      <c r="T159" s="277"/>
      <c r="U159" s="277"/>
      <c r="V159" s="278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hidden="1" customHeight="1" x14ac:dyDescent="0.25">
      <c r="A160" s="285" t="s">
        <v>243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5"/>
      <c r="AB160" s="265"/>
      <c r="AC160" s="265"/>
    </row>
    <row r="161" spans="1:68" ht="14.25" hidden="1" customHeight="1" x14ac:dyDescent="0.25">
      <c r="A161" s="300" t="s">
        <v>214</v>
      </c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64"/>
      <c r="AB161" s="264"/>
      <c r="AC161" s="264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81">
        <v>4607111035646</v>
      </c>
      <c r="E162" s="282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2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90"/>
      <c r="R162" s="290"/>
      <c r="S162" s="290"/>
      <c r="T162" s="291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7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82</v>
      </c>
      <c r="Q163" s="277"/>
      <c r="R163" s="277"/>
      <c r="S163" s="277"/>
      <c r="T163" s="277"/>
      <c r="U163" s="277"/>
      <c r="V163" s="278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hidden="1" x14ac:dyDescent="0.2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8"/>
      <c r="P164" s="276" t="s">
        <v>82</v>
      </c>
      <c r="Q164" s="277"/>
      <c r="R164" s="277"/>
      <c r="S164" s="277"/>
      <c r="T164" s="277"/>
      <c r="U164" s="277"/>
      <c r="V164" s="278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hidden="1" customHeight="1" x14ac:dyDescent="0.25">
      <c r="A165" s="285" t="s">
        <v>248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5"/>
      <c r="AB165" s="265"/>
      <c r="AC165" s="265"/>
    </row>
    <row r="166" spans="1:68" ht="14.25" hidden="1" customHeight="1" x14ac:dyDescent="0.25">
      <c r="A166" s="300" t="s">
        <v>138</v>
      </c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64"/>
      <c r="AB166" s="264"/>
      <c r="AC166" s="264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81">
        <v>4607111036568</v>
      </c>
      <c r="E167" s="282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90"/>
      <c r="R167" s="290"/>
      <c r="S167" s="290"/>
      <c r="T167" s="291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7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82</v>
      </c>
      <c r="Q168" s="277"/>
      <c r="R168" s="277"/>
      <c r="S168" s="277"/>
      <c r="T168" s="277"/>
      <c r="U168" s="277"/>
      <c r="V168" s="278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hidden="1" x14ac:dyDescent="0.2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8"/>
      <c r="P169" s="276" t="s">
        <v>82</v>
      </c>
      <c r="Q169" s="277"/>
      <c r="R169" s="277"/>
      <c r="S169" s="277"/>
      <c r="T169" s="277"/>
      <c r="U169" s="277"/>
      <c r="V169" s="278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hidden="1" customHeight="1" x14ac:dyDescent="0.2">
      <c r="A170" s="279" t="s">
        <v>252</v>
      </c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48"/>
      <c r="AB170" s="48"/>
      <c r="AC170" s="48"/>
    </row>
    <row r="171" spans="1:68" ht="16.5" hidden="1" customHeight="1" x14ac:dyDescent="0.25">
      <c r="A171" s="285" t="s">
        <v>253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5"/>
      <c r="AB171" s="265"/>
      <c r="AC171" s="265"/>
    </row>
    <row r="172" spans="1:68" ht="14.25" hidden="1" customHeight="1" x14ac:dyDescent="0.25">
      <c r="A172" s="300" t="s">
        <v>63</v>
      </c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64"/>
      <c r="AB172" s="264"/>
      <c r="AC172" s="264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81">
        <v>4607111036384</v>
      </c>
      <c r="E173" s="282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90"/>
      <c r="R173" s="290"/>
      <c r="S173" s="290"/>
      <c r="T173" s="291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81">
        <v>4607111036216</v>
      </c>
      <c r="E174" s="282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90"/>
      <c r="R174" s="290"/>
      <c r="S174" s="290"/>
      <c r="T174" s="291"/>
      <c r="U174" s="34"/>
      <c r="V174" s="34"/>
      <c r="W174" s="35" t="s">
        <v>69</v>
      </c>
      <c r="X174" s="270">
        <v>72</v>
      </c>
      <c r="Y174" s="271">
        <f>IFERROR(IF(X174="","",X174),"")</f>
        <v>72</v>
      </c>
      <c r="Z174" s="36">
        <f>IFERROR(IF(X174="","",X174*0.00866),"")</f>
        <v>0.62351999999999996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375.35039999999998</v>
      </c>
      <c r="BN174" s="67">
        <f>IFERROR(Y174*I174,"0")</f>
        <v>375.35039999999998</v>
      </c>
      <c r="BO174" s="67">
        <f>IFERROR(X174/J174,"0")</f>
        <v>0.5</v>
      </c>
      <c r="BP174" s="67">
        <f>IFERROR(Y174/J174,"0")</f>
        <v>0.5</v>
      </c>
    </row>
    <row r="175" spans="1:68" x14ac:dyDescent="0.2">
      <c r="A175" s="287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82</v>
      </c>
      <c r="Q175" s="277"/>
      <c r="R175" s="277"/>
      <c r="S175" s="277"/>
      <c r="T175" s="277"/>
      <c r="U175" s="277"/>
      <c r="V175" s="278"/>
      <c r="W175" s="37" t="s">
        <v>69</v>
      </c>
      <c r="X175" s="272">
        <f>IFERROR(SUM(X173:X174),"0")</f>
        <v>72</v>
      </c>
      <c r="Y175" s="272">
        <f>IFERROR(SUM(Y173:Y174),"0")</f>
        <v>72</v>
      </c>
      <c r="Z175" s="272">
        <f>IFERROR(IF(Z173="",0,Z173),"0")+IFERROR(IF(Z174="",0,Z174),"0")</f>
        <v>0.62351999999999996</v>
      </c>
      <c r="AA175" s="273"/>
      <c r="AB175" s="273"/>
      <c r="AC175" s="273"/>
    </row>
    <row r="176" spans="1:68" x14ac:dyDescent="0.2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8"/>
      <c r="P176" s="276" t="s">
        <v>82</v>
      </c>
      <c r="Q176" s="277"/>
      <c r="R176" s="277"/>
      <c r="S176" s="277"/>
      <c r="T176" s="277"/>
      <c r="U176" s="277"/>
      <c r="V176" s="278"/>
      <c r="W176" s="37" t="s">
        <v>83</v>
      </c>
      <c r="X176" s="272">
        <f>IFERROR(SUMPRODUCT(X173:X174*H173:H174),"0")</f>
        <v>360</v>
      </c>
      <c r="Y176" s="272">
        <f>IFERROR(SUMPRODUCT(Y173:Y174*H173:H174),"0")</f>
        <v>360</v>
      </c>
      <c r="Z176" s="37"/>
      <c r="AA176" s="273"/>
      <c r="AB176" s="273"/>
      <c r="AC176" s="273"/>
    </row>
    <row r="177" spans="1:68" ht="27.75" hidden="1" customHeight="1" x14ac:dyDescent="0.2">
      <c r="A177" s="279" t="s">
        <v>260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48"/>
      <c r="AB177" s="48"/>
      <c r="AC177" s="48"/>
    </row>
    <row r="178" spans="1:68" ht="16.5" hidden="1" customHeight="1" x14ac:dyDescent="0.25">
      <c r="A178" s="285" t="s">
        <v>261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5"/>
      <c r="AB178" s="265"/>
      <c r="AC178" s="265"/>
    </row>
    <row r="179" spans="1:68" ht="14.25" hidden="1" customHeight="1" x14ac:dyDescent="0.25">
      <c r="A179" s="300" t="s">
        <v>92</v>
      </c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81">
        <v>4607111035691</v>
      </c>
      <c r="E180" s="282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90"/>
      <c r="R180" s="290"/>
      <c r="S180" s="290"/>
      <c r="T180" s="291"/>
      <c r="U180" s="34"/>
      <c r="V180" s="34"/>
      <c r="W180" s="35" t="s">
        <v>69</v>
      </c>
      <c r="X180" s="270">
        <v>84</v>
      </c>
      <c r="Y180" s="271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81">
        <v>4607111035721</v>
      </c>
      <c r="E181" s="282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90"/>
      <c r="R181" s="290"/>
      <c r="S181" s="290"/>
      <c r="T181" s="291"/>
      <c r="U181" s="34"/>
      <c r="V181" s="34"/>
      <c r="W181" s="35" t="s">
        <v>69</v>
      </c>
      <c r="X181" s="270">
        <v>84</v>
      </c>
      <c r="Y181" s="271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81">
        <v>4607111038487</v>
      </c>
      <c r="E182" s="282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90"/>
      <c r="R182" s="290"/>
      <c r="S182" s="290"/>
      <c r="T182" s="291"/>
      <c r="U182" s="34"/>
      <c r="V182" s="34"/>
      <c r="W182" s="35" t="s">
        <v>69</v>
      </c>
      <c r="X182" s="270">
        <v>84</v>
      </c>
      <c r="Y182" s="271">
        <f>IFERROR(IF(X182="","",X182),"")</f>
        <v>84</v>
      </c>
      <c r="Z182" s="36">
        <f>IFERROR(IF(X182="","",X182*0.01788),"")</f>
        <v>1.5019199999999999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313.82400000000001</v>
      </c>
      <c r="BN182" s="67">
        <f>IFERROR(Y182*I182,"0")</f>
        <v>313.82400000000001</v>
      </c>
      <c r="BO182" s="67">
        <f>IFERROR(X182/J182,"0")</f>
        <v>1.2</v>
      </c>
      <c r="BP182" s="67">
        <f>IFERROR(Y182/J182,"0")</f>
        <v>1.2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82</v>
      </c>
      <c r="Q183" s="277"/>
      <c r="R183" s="277"/>
      <c r="S183" s="277"/>
      <c r="T183" s="277"/>
      <c r="U183" s="277"/>
      <c r="V183" s="278"/>
      <c r="W183" s="37" t="s">
        <v>69</v>
      </c>
      <c r="X183" s="272">
        <f>IFERROR(SUM(X180:X182),"0")</f>
        <v>252</v>
      </c>
      <c r="Y183" s="272">
        <f>IFERROR(SUM(Y180:Y182),"0")</f>
        <v>252</v>
      </c>
      <c r="Z183" s="272">
        <f>IFERROR(IF(Z180="",0,Z180),"0")+IFERROR(IF(Z181="",0,Z181),"0")+IFERROR(IF(Z182="",0,Z182),"0")</f>
        <v>4.5057599999999995</v>
      </c>
      <c r="AA183" s="273"/>
      <c r="AB183" s="273"/>
      <c r="AC183" s="273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82</v>
      </c>
      <c r="Q184" s="277"/>
      <c r="R184" s="277"/>
      <c r="S184" s="277"/>
      <c r="T184" s="277"/>
      <c r="U184" s="277"/>
      <c r="V184" s="278"/>
      <c r="W184" s="37" t="s">
        <v>83</v>
      </c>
      <c r="X184" s="272">
        <f>IFERROR(SUMPRODUCT(X180:X182*H180:H182),"0")</f>
        <v>756</v>
      </c>
      <c r="Y184" s="272">
        <f>IFERROR(SUMPRODUCT(Y180:Y182*H180:H182),"0")</f>
        <v>756</v>
      </c>
      <c r="Z184" s="37"/>
      <c r="AA184" s="273"/>
      <c r="AB184" s="273"/>
      <c r="AC184" s="273"/>
    </row>
    <row r="185" spans="1:68" ht="14.25" hidden="1" customHeight="1" x14ac:dyDescent="0.25">
      <c r="A185" s="300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4"/>
      <c r="AB185" s="264"/>
      <c r="AC185" s="264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81">
        <v>4680115885875</v>
      </c>
      <c r="E186" s="282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20" t="s">
        <v>276</v>
      </c>
      <c r="Q186" s="290"/>
      <c r="R186" s="290"/>
      <c r="S186" s="290"/>
      <c r="T186" s="291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82</v>
      </c>
      <c r="Q187" s="277"/>
      <c r="R187" s="277"/>
      <c r="S187" s="277"/>
      <c r="T187" s="277"/>
      <c r="U187" s="277"/>
      <c r="V187" s="278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hidden="1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82</v>
      </c>
      <c r="Q188" s="277"/>
      <c r="R188" s="277"/>
      <c r="S188" s="277"/>
      <c r="T188" s="277"/>
      <c r="U188" s="277"/>
      <c r="V188" s="278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5"/>
      <c r="AB190" s="265"/>
      <c r="AC190" s="265"/>
    </row>
    <row r="191" spans="1:68" ht="14.25" hidden="1" customHeight="1" x14ac:dyDescent="0.25">
      <c r="A191" s="300" t="s">
        <v>92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4"/>
      <c r="AB191" s="264"/>
      <c r="AC191" s="264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81">
        <v>4620207491133</v>
      </c>
      <c r="E192" s="282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90"/>
      <c r="R192" s="290"/>
      <c r="S192" s="290"/>
      <c r="T192" s="291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82</v>
      </c>
      <c r="Q193" s="277"/>
      <c r="R193" s="277"/>
      <c r="S193" s="277"/>
      <c r="T193" s="277"/>
      <c r="U193" s="277"/>
      <c r="V193" s="278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82</v>
      </c>
      <c r="Q194" s="277"/>
      <c r="R194" s="277"/>
      <c r="S194" s="277"/>
      <c r="T194" s="277"/>
      <c r="U194" s="277"/>
      <c r="V194" s="278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hidden="1" customHeight="1" x14ac:dyDescent="0.25">
      <c r="A195" s="300" t="s">
        <v>138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4"/>
      <c r="AB195" s="264"/>
      <c r="AC195" s="264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81">
        <v>4620207491188</v>
      </c>
      <c r="E196" s="282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6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90"/>
      <c r="R196" s="290"/>
      <c r="S196" s="290"/>
      <c r="T196" s="291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81">
        <v>4620207490198</v>
      </c>
      <c r="E197" s="282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90"/>
      <c r="R197" s="290"/>
      <c r="S197" s="290"/>
      <c r="T197" s="291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81">
        <v>4620207490235</v>
      </c>
      <c r="E198" s="282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90"/>
      <c r="R198" s="290"/>
      <c r="S198" s="290"/>
      <c r="T198" s="291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81">
        <v>4620207490259</v>
      </c>
      <c r="E199" s="282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90"/>
      <c r="R199" s="290"/>
      <c r="S199" s="290"/>
      <c r="T199" s="291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81">
        <v>4620207490143</v>
      </c>
      <c r="E200" s="282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90"/>
      <c r="R200" s="290"/>
      <c r="S200" s="290"/>
      <c r="T200" s="291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82</v>
      </c>
      <c r="Q201" s="277"/>
      <c r="R201" s="277"/>
      <c r="S201" s="277"/>
      <c r="T201" s="277"/>
      <c r="U201" s="277"/>
      <c r="V201" s="278"/>
      <c r="W201" s="37" t="s">
        <v>69</v>
      </c>
      <c r="X201" s="272">
        <f>IFERROR(SUM(X196:X200),"0")</f>
        <v>14</v>
      </c>
      <c r="Y201" s="272">
        <f>IFERROR(SUM(Y196:Y200),"0")</f>
        <v>14</v>
      </c>
      <c r="Z201" s="272">
        <f>IFERROR(IF(Z196="",0,Z196),"0")+IFERROR(IF(Z197="",0,Z197),"0")+IFERROR(IF(Z198="",0,Z198),"0")+IFERROR(IF(Z199="",0,Z199),"0")+IFERROR(IF(Z200="",0,Z200),"0")</f>
        <v>0.25031999999999999</v>
      </c>
      <c r="AA201" s="273"/>
      <c r="AB201" s="273"/>
      <c r="AC201" s="273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82</v>
      </c>
      <c r="Q202" s="277"/>
      <c r="R202" s="277"/>
      <c r="S202" s="277"/>
      <c r="T202" s="277"/>
      <c r="U202" s="277"/>
      <c r="V202" s="278"/>
      <c r="W202" s="37" t="s">
        <v>83</v>
      </c>
      <c r="X202" s="272">
        <f>IFERROR(SUMPRODUCT(X196:X200*H196:H200),"0")</f>
        <v>33.6</v>
      </c>
      <c r="Y202" s="272">
        <f>IFERROR(SUMPRODUCT(Y196:Y200*H196:H200),"0")</f>
        <v>33.6</v>
      </c>
      <c r="Z202" s="37"/>
      <c r="AA202" s="273"/>
      <c r="AB202" s="273"/>
      <c r="AC202" s="273"/>
    </row>
    <row r="203" spans="1:68" ht="16.5" hidden="1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5"/>
      <c r="AB203" s="265"/>
      <c r="AC203" s="265"/>
    </row>
    <row r="204" spans="1:68" ht="14.25" hidden="1" customHeight="1" x14ac:dyDescent="0.25">
      <c r="A204" s="300" t="s">
        <v>63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4"/>
      <c r="AB204" s="264"/>
      <c r="AC204" s="264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81">
        <v>4620207491096</v>
      </c>
      <c r="E205" s="282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90"/>
      <c r="R205" s="290"/>
      <c r="S205" s="290"/>
      <c r="T205" s="291"/>
      <c r="U205" s="34"/>
      <c r="V205" s="34"/>
      <c r="W205" s="35" t="s">
        <v>69</v>
      </c>
      <c r="X205" s="270">
        <v>84</v>
      </c>
      <c r="Y205" s="271">
        <f>IFERROR(IF(X205="","",X205),"")</f>
        <v>84</v>
      </c>
      <c r="Z205" s="36">
        <f>IFERROR(IF(X205="","",X205*0.0155),"")</f>
        <v>1.302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439.32000000000005</v>
      </c>
      <c r="BN205" s="67">
        <f>IFERROR(Y205*I205,"0")</f>
        <v>439.32000000000005</v>
      </c>
      <c r="BO205" s="67">
        <f>IFERROR(X205/J205,"0")</f>
        <v>1</v>
      </c>
      <c r="BP205" s="67">
        <f>IFERROR(Y205/J205,"0")</f>
        <v>1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82</v>
      </c>
      <c r="Q206" s="277"/>
      <c r="R206" s="277"/>
      <c r="S206" s="277"/>
      <c r="T206" s="277"/>
      <c r="U206" s="277"/>
      <c r="V206" s="278"/>
      <c r="W206" s="37" t="s">
        <v>69</v>
      </c>
      <c r="X206" s="272">
        <f>IFERROR(SUM(X205:X205),"0")</f>
        <v>84</v>
      </c>
      <c r="Y206" s="272">
        <f>IFERROR(SUM(Y205:Y205),"0")</f>
        <v>84</v>
      </c>
      <c r="Z206" s="272">
        <f>IFERROR(IF(Z205="",0,Z205),"0")</f>
        <v>1.302</v>
      </c>
      <c r="AA206" s="273"/>
      <c r="AB206" s="273"/>
      <c r="AC206" s="273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82</v>
      </c>
      <c r="Q207" s="277"/>
      <c r="R207" s="277"/>
      <c r="S207" s="277"/>
      <c r="T207" s="277"/>
      <c r="U207" s="277"/>
      <c r="V207" s="278"/>
      <c r="W207" s="37" t="s">
        <v>83</v>
      </c>
      <c r="X207" s="272">
        <f>IFERROR(SUMPRODUCT(X205:X205*H205:H205),"0")</f>
        <v>420</v>
      </c>
      <c r="Y207" s="272">
        <f>IFERROR(SUMPRODUCT(Y205:Y205*H205:H205),"0")</f>
        <v>420</v>
      </c>
      <c r="Z207" s="37"/>
      <c r="AA207" s="273"/>
      <c r="AB207" s="273"/>
      <c r="AC207" s="273"/>
    </row>
    <row r="208" spans="1:68" ht="16.5" hidden="1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5"/>
      <c r="AB208" s="265"/>
      <c r="AC208" s="265"/>
    </row>
    <row r="209" spans="1:68" ht="14.25" hidden="1" customHeight="1" x14ac:dyDescent="0.25">
      <c r="A209" s="300" t="s">
        <v>63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4"/>
      <c r="AB209" s="264"/>
      <c r="AC209" s="264"/>
    </row>
    <row r="210" spans="1:68" ht="27" hidden="1" customHeight="1" x14ac:dyDescent="0.25">
      <c r="A210" s="54" t="s">
        <v>303</v>
      </c>
      <c r="B210" s="54" t="s">
        <v>304</v>
      </c>
      <c r="C210" s="31">
        <v>4301071093</v>
      </c>
      <c r="D210" s="281">
        <v>4620207490709</v>
      </c>
      <c r="E210" s="282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8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90"/>
      <c r="R210" s="290"/>
      <c r="S210" s="290"/>
      <c r="T210" s="291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7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8"/>
      <c r="P211" s="276" t="s">
        <v>82</v>
      </c>
      <c r="Q211" s="277"/>
      <c r="R211" s="277"/>
      <c r="S211" s="277"/>
      <c r="T211" s="277"/>
      <c r="U211" s="277"/>
      <c r="V211" s="278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hidden="1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82</v>
      </c>
      <c r="Q212" s="277"/>
      <c r="R212" s="277"/>
      <c r="S212" s="277"/>
      <c r="T212" s="277"/>
      <c r="U212" s="277"/>
      <c r="V212" s="278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hidden="1" customHeight="1" x14ac:dyDescent="0.25">
      <c r="A213" s="300" t="s">
        <v>138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64"/>
      <c r="AB213" s="264"/>
      <c r="AC213" s="264"/>
    </row>
    <row r="214" spans="1:68" ht="27" hidden="1" customHeight="1" x14ac:dyDescent="0.25">
      <c r="A214" s="54" t="s">
        <v>306</v>
      </c>
      <c r="B214" s="54" t="s">
        <v>307</v>
      </c>
      <c r="C214" s="31">
        <v>4301135691</v>
      </c>
      <c r="D214" s="281">
        <v>4620207490549</v>
      </c>
      <c r="E214" s="282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0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309</v>
      </c>
      <c r="B215" s="54" t="s">
        <v>310</v>
      </c>
      <c r="C215" s="31">
        <v>4301135694</v>
      </c>
      <c r="D215" s="281">
        <v>4620207490501</v>
      </c>
      <c r="E215" s="282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7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8"/>
      <c r="P216" s="276" t="s">
        <v>82</v>
      </c>
      <c r="Q216" s="277"/>
      <c r="R216" s="277"/>
      <c r="S216" s="277"/>
      <c r="T216" s="277"/>
      <c r="U216" s="277"/>
      <c r="V216" s="278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hidden="1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8"/>
      <c r="P217" s="276" t="s">
        <v>82</v>
      </c>
      <c r="Q217" s="277"/>
      <c r="R217" s="277"/>
      <c r="S217" s="277"/>
      <c r="T217" s="277"/>
      <c r="U217" s="277"/>
      <c r="V217" s="278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hidden="1" customHeight="1" x14ac:dyDescent="0.2">
      <c r="A218" s="279" t="s">
        <v>311</v>
      </c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48"/>
      <c r="AB218" s="48"/>
      <c r="AC218" s="48"/>
    </row>
    <row r="219" spans="1:68" ht="16.5" hidden="1" customHeight="1" x14ac:dyDescent="0.25">
      <c r="A219" s="285" t="s">
        <v>312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65"/>
      <c r="AB219" s="265"/>
      <c r="AC219" s="265"/>
    </row>
    <row r="220" spans="1:68" ht="14.25" hidden="1" customHeight="1" x14ac:dyDescent="0.25">
      <c r="A220" s="300" t="s">
        <v>63</v>
      </c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64"/>
      <c r="AB220" s="264"/>
      <c r="AC220" s="264"/>
    </row>
    <row r="221" spans="1:68" ht="27" hidden="1" customHeight="1" x14ac:dyDescent="0.25">
      <c r="A221" s="54" t="s">
        <v>313</v>
      </c>
      <c r="B221" s="54" t="s">
        <v>314</v>
      </c>
      <c r="C221" s="31">
        <v>4301071036</v>
      </c>
      <c r="D221" s="281">
        <v>4607111036162</v>
      </c>
      <c r="E221" s="282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30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90"/>
      <c r="R221" s="290"/>
      <c r="S221" s="290"/>
      <c r="T221" s="291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7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8"/>
      <c r="P222" s="276" t="s">
        <v>82</v>
      </c>
      <c r="Q222" s="277"/>
      <c r="R222" s="277"/>
      <c r="S222" s="277"/>
      <c r="T222" s="277"/>
      <c r="U222" s="277"/>
      <c r="V222" s="278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hidden="1" x14ac:dyDescent="0.2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8"/>
      <c r="P223" s="276" t="s">
        <v>82</v>
      </c>
      <c r="Q223" s="277"/>
      <c r="R223" s="277"/>
      <c r="S223" s="277"/>
      <c r="T223" s="277"/>
      <c r="U223" s="277"/>
      <c r="V223" s="278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hidden="1" customHeight="1" x14ac:dyDescent="0.2">
      <c r="A224" s="279" t="s">
        <v>316</v>
      </c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48"/>
      <c r="AB224" s="48"/>
      <c r="AC224" s="48"/>
    </row>
    <row r="225" spans="1:68" ht="16.5" hidden="1" customHeight="1" x14ac:dyDescent="0.25">
      <c r="A225" s="285" t="s">
        <v>317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65"/>
      <c r="AB225" s="265"/>
      <c r="AC225" s="265"/>
    </row>
    <row r="226" spans="1:68" ht="14.25" hidden="1" customHeight="1" x14ac:dyDescent="0.25">
      <c r="A226" s="300" t="s">
        <v>63</v>
      </c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64"/>
      <c r="AB226" s="264"/>
      <c r="AC226" s="264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81">
        <v>4607111035899</v>
      </c>
      <c r="E227" s="282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2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90"/>
      <c r="R227" s="290"/>
      <c r="S227" s="290"/>
      <c r="T227" s="291"/>
      <c r="U227" s="34"/>
      <c r="V227" s="34"/>
      <c r="W227" s="35" t="s">
        <v>69</v>
      </c>
      <c r="X227" s="270">
        <v>96</v>
      </c>
      <c r="Y227" s="271">
        <f>IFERROR(IF(X227="","",X227),"")</f>
        <v>96</v>
      </c>
      <c r="Z227" s="36">
        <f>IFERROR(IF(X227="","",X227*0.0155),"")</f>
        <v>1.488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505.15199999999993</v>
      </c>
      <c r="BN227" s="67">
        <f>IFERROR(Y227*I227,"0")</f>
        <v>505.15199999999993</v>
      </c>
      <c r="BO227" s="67">
        <f>IFERROR(X227/J227,"0")</f>
        <v>1.1428571428571428</v>
      </c>
      <c r="BP227" s="67">
        <f>IFERROR(Y227/J227,"0")</f>
        <v>1.1428571428571428</v>
      </c>
    </row>
    <row r="228" spans="1:68" x14ac:dyDescent="0.2">
      <c r="A228" s="287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8"/>
      <c r="P228" s="276" t="s">
        <v>82</v>
      </c>
      <c r="Q228" s="277"/>
      <c r="R228" s="277"/>
      <c r="S228" s="277"/>
      <c r="T228" s="277"/>
      <c r="U228" s="277"/>
      <c r="V228" s="278"/>
      <c r="W228" s="37" t="s">
        <v>69</v>
      </c>
      <c r="X228" s="272">
        <f>IFERROR(SUM(X227:X227),"0")</f>
        <v>96</v>
      </c>
      <c r="Y228" s="272">
        <f>IFERROR(SUM(Y227:Y227),"0")</f>
        <v>96</v>
      </c>
      <c r="Z228" s="272">
        <f>IFERROR(IF(Z227="",0,Z227),"0")</f>
        <v>1.488</v>
      </c>
      <c r="AA228" s="273"/>
      <c r="AB228" s="273"/>
      <c r="AC228" s="273"/>
    </row>
    <row r="229" spans="1:68" x14ac:dyDescent="0.2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8"/>
      <c r="P229" s="276" t="s">
        <v>82</v>
      </c>
      <c r="Q229" s="277"/>
      <c r="R229" s="277"/>
      <c r="S229" s="277"/>
      <c r="T229" s="277"/>
      <c r="U229" s="277"/>
      <c r="V229" s="278"/>
      <c r="W229" s="37" t="s">
        <v>83</v>
      </c>
      <c r="X229" s="272">
        <f>IFERROR(SUMPRODUCT(X227:X227*H227:H227),"0")</f>
        <v>480</v>
      </c>
      <c r="Y229" s="272">
        <f>IFERROR(SUMPRODUCT(Y227:Y227*H227:H227),"0")</f>
        <v>480</v>
      </c>
      <c r="Z229" s="37"/>
      <c r="AA229" s="273"/>
      <c r="AB229" s="273"/>
      <c r="AC229" s="273"/>
    </row>
    <row r="230" spans="1:68" ht="27.75" hidden="1" customHeight="1" x14ac:dyDescent="0.2">
      <c r="A230" s="279" t="s">
        <v>320</v>
      </c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48"/>
      <c r="AB230" s="48"/>
      <c r="AC230" s="48"/>
    </row>
    <row r="231" spans="1:68" ht="16.5" hidden="1" customHeight="1" x14ac:dyDescent="0.25">
      <c r="A231" s="285" t="s">
        <v>321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65"/>
      <c r="AB231" s="265"/>
      <c r="AC231" s="265"/>
    </row>
    <row r="232" spans="1:68" ht="14.25" hidden="1" customHeight="1" x14ac:dyDescent="0.25">
      <c r="A232" s="300" t="s">
        <v>322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4"/>
      <c r="AB232" s="264"/>
      <c r="AC232" s="264"/>
    </row>
    <row r="233" spans="1:68" ht="27" hidden="1" customHeight="1" x14ac:dyDescent="0.25">
      <c r="A233" s="54" t="s">
        <v>323</v>
      </c>
      <c r="B233" s="54" t="s">
        <v>324</v>
      </c>
      <c r="C233" s="31">
        <v>4301133004</v>
      </c>
      <c r="D233" s="281">
        <v>4607111039774</v>
      </c>
      <c r="E233" s="282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0"/>
      <c r="R233" s="290"/>
      <c r="S233" s="290"/>
      <c r="T233" s="291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82</v>
      </c>
      <c r="Q234" s="277"/>
      <c r="R234" s="277"/>
      <c r="S234" s="277"/>
      <c r="T234" s="277"/>
      <c r="U234" s="277"/>
      <c r="V234" s="278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hidden="1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82</v>
      </c>
      <c r="Q235" s="277"/>
      <c r="R235" s="277"/>
      <c r="S235" s="277"/>
      <c r="T235" s="277"/>
      <c r="U235" s="277"/>
      <c r="V235" s="278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hidden="1" customHeight="1" x14ac:dyDescent="0.25">
      <c r="A236" s="300" t="s">
        <v>138</v>
      </c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64"/>
      <c r="AB236" s="264"/>
      <c r="AC236" s="264"/>
    </row>
    <row r="237" spans="1:68" ht="37.5" hidden="1" customHeight="1" x14ac:dyDescent="0.25">
      <c r="A237" s="54" t="s">
        <v>326</v>
      </c>
      <c r="B237" s="54" t="s">
        <v>327</v>
      </c>
      <c r="C237" s="31">
        <v>4301135400</v>
      </c>
      <c r="D237" s="281">
        <v>4607111039361</v>
      </c>
      <c r="E237" s="282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7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8"/>
      <c r="P238" s="276" t="s">
        <v>82</v>
      </c>
      <c r="Q238" s="277"/>
      <c r="R238" s="277"/>
      <c r="S238" s="277"/>
      <c r="T238" s="277"/>
      <c r="U238" s="277"/>
      <c r="V238" s="278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hidden="1" x14ac:dyDescent="0.2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8"/>
      <c r="P239" s="276" t="s">
        <v>82</v>
      </c>
      <c r="Q239" s="277"/>
      <c r="R239" s="277"/>
      <c r="S239" s="277"/>
      <c r="T239" s="277"/>
      <c r="U239" s="277"/>
      <c r="V239" s="278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hidden="1" customHeight="1" x14ac:dyDescent="0.2">
      <c r="A240" s="279" t="s">
        <v>328</v>
      </c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48"/>
      <c r="AB240" s="48"/>
      <c r="AC240" s="48"/>
    </row>
    <row r="241" spans="1:68" ht="16.5" hidden="1" customHeight="1" x14ac:dyDescent="0.25">
      <c r="A241" s="285" t="s">
        <v>328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65"/>
      <c r="AB241" s="265"/>
      <c r="AC241" s="265"/>
    </row>
    <row r="242" spans="1:68" ht="14.25" hidden="1" customHeight="1" x14ac:dyDescent="0.25">
      <c r="A242" s="300" t="s">
        <v>63</v>
      </c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64"/>
      <c r="AB242" s="264"/>
      <c r="AC242" s="264"/>
    </row>
    <row r="243" spans="1:68" ht="27" hidden="1" customHeight="1" x14ac:dyDescent="0.25">
      <c r="A243" s="54" t="s">
        <v>329</v>
      </c>
      <c r="B243" s="54" t="s">
        <v>330</v>
      </c>
      <c r="C243" s="31">
        <v>4301071014</v>
      </c>
      <c r="D243" s="281">
        <v>4640242181264</v>
      </c>
      <c r="E243" s="282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90"/>
      <c r="R243" s="290"/>
      <c r="S243" s="290"/>
      <c r="T243" s="291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332</v>
      </c>
      <c r="B244" s="54" t="s">
        <v>333</v>
      </c>
      <c r="C244" s="31">
        <v>4301071021</v>
      </c>
      <c r="D244" s="281">
        <v>4640242181325</v>
      </c>
      <c r="E244" s="282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8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90"/>
      <c r="R244" s="290"/>
      <c r="S244" s="290"/>
      <c r="T244" s="291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82</v>
      </c>
      <c r="Q245" s="277"/>
      <c r="R245" s="277"/>
      <c r="S245" s="277"/>
      <c r="T245" s="277"/>
      <c r="U245" s="277"/>
      <c r="V245" s="278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hidden="1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82</v>
      </c>
      <c r="Q246" s="277"/>
      <c r="R246" s="277"/>
      <c r="S246" s="277"/>
      <c r="T246" s="277"/>
      <c r="U246" s="277"/>
      <c r="V246" s="278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hidden="1" customHeight="1" x14ac:dyDescent="0.25">
      <c r="A247" s="300" t="s">
        <v>92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4"/>
      <c r="AB247" s="264"/>
      <c r="AC247" s="264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81">
        <v>4640242180397</v>
      </c>
      <c r="E248" s="282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90"/>
      <c r="R248" s="290"/>
      <c r="S248" s="290"/>
      <c r="T248" s="291"/>
      <c r="U248" s="34"/>
      <c r="V248" s="34"/>
      <c r="W248" s="35" t="s">
        <v>69</v>
      </c>
      <c r="X248" s="270">
        <v>120</v>
      </c>
      <c r="Y248" s="271">
        <f>IFERROR(IF(X248="","",X248),"")</f>
        <v>120</v>
      </c>
      <c r="Z248" s="36">
        <f>IFERROR(IF(X248="","",X248*0.0155),"")</f>
        <v>1.8599999999999999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751.19999999999993</v>
      </c>
      <c r="BN248" s="67">
        <f>IFERROR(Y248*I248,"0")</f>
        <v>751.19999999999993</v>
      </c>
      <c r="BO248" s="67">
        <f>IFERROR(X248/J248,"0")</f>
        <v>1.4285714285714286</v>
      </c>
      <c r="BP248" s="67">
        <f>IFERROR(Y248/J248,"0")</f>
        <v>1.4285714285714286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4301132104</v>
      </c>
      <c r="D249" s="281">
        <v>4640242181219</v>
      </c>
      <c r="E249" s="282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90"/>
      <c r="R249" s="290"/>
      <c r="S249" s="290"/>
      <c r="T249" s="291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8"/>
      <c r="P250" s="276" t="s">
        <v>82</v>
      </c>
      <c r="Q250" s="277"/>
      <c r="R250" s="277"/>
      <c r="S250" s="277"/>
      <c r="T250" s="277"/>
      <c r="U250" s="277"/>
      <c r="V250" s="278"/>
      <c r="W250" s="37" t="s">
        <v>69</v>
      </c>
      <c r="X250" s="272">
        <f>IFERROR(SUM(X248:X249),"0")</f>
        <v>120</v>
      </c>
      <c r="Y250" s="272">
        <f>IFERROR(SUM(Y248:Y249),"0")</f>
        <v>120</v>
      </c>
      <c r="Z250" s="272">
        <f>IFERROR(IF(Z248="",0,Z248),"0")+IFERROR(IF(Z249="",0,Z249),"0")</f>
        <v>1.8599999999999999</v>
      </c>
      <c r="AA250" s="273"/>
      <c r="AB250" s="273"/>
      <c r="AC250" s="273"/>
    </row>
    <row r="251" spans="1:68" x14ac:dyDescent="0.2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82</v>
      </c>
      <c r="Q251" s="277"/>
      <c r="R251" s="277"/>
      <c r="S251" s="277"/>
      <c r="T251" s="277"/>
      <c r="U251" s="277"/>
      <c r="V251" s="278"/>
      <c r="W251" s="37" t="s">
        <v>83</v>
      </c>
      <c r="X251" s="272">
        <f>IFERROR(SUMPRODUCT(X248:X249*H248:H249),"0")</f>
        <v>720</v>
      </c>
      <c r="Y251" s="272">
        <f>IFERROR(SUMPRODUCT(Y248:Y249*H248:H249),"0")</f>
        <v>720</v>
      </c>
      <c r="Z251" s="37"/>
      <c r="AA251" s="273"/>
      <c r="AB251" s="273"/>
      <c r="AC251" s="273"/>
    </row>
    <row r="252" spans="1:68" ht="14.25" hidden="1" customHeight="1" x14ac:dyDescent="0.25">
      <c r="A252" s="300" t="s">
        <v>132</v>
      </c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64"/>
      <c r="AB252" s="264"/>
      <c r="AC252" s="264"/>
    </row>
    <row r="253" spans="1:68" ht="27" hidden="1" customHeight="1" x14ac:dyDescent="0.25">
      <c r="A253" s="54" t="s">
        <v>339</v>
      </c>
      <c r="B253" s="54" t="s">
        <v>340</v>
      </c>
      <c r="C253" s="31">
        <v>4301136051</v>
      </c>
      <c r="D253" s="281">
        <v>4640242180304</v>
      </c>
      <c r="E253" s="282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3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90"/>
      <c r="R253" s="290"/>
      <c r="S253" s="290"/>
      <c r="T253" s="291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81">
        <v>4640242180236</v>
      </c>
      <c r="E254" s="282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90"/>
      <c r="R254" s="290"/>
      <c r="S254" s="290"/>
      <c r="T254" s="291"/>
      <c r="U254" s="34"/>
      <c r="V254" s="34"/>
      <c r="W254" s="35" t="s">
        <v>69</v>
      </c>
      <c r="X254" s="270">
        <v>168</v>
      </c>
      <c r="Y254" s="271">
        <f>IFERROR(IF(X254="","",X254),"")</f>
        <v>168</v>
      </c>
      <c r="Z254" s="36">
        <f>IFERROR(IF(X254="","",X254*0.0155),"")</f>
        <v>2.6040000000000001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879.48</v>
      </c>
      <c r="BN254" s="67">
        <f>IFERROR(Y254*I254,"0")</f>
        <v>879.48</v>
      </c>
      <c r="BO254" s="67">
        <f>IFERROR(X254/J254,"0")</f>
        <v>2</v>
      </c>
      <c r="BP254" s="67">
        <f>IFERROR(Y254/J254,"0")</f>
        <v>2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81">
        <v>4640242180410</v>
      </c>
      <c r="E255" s="282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90"/>
      <c r="R255" s="290"/>
      <c r="S255" s="290"/>
      <c r="T255" s="291"/>
      <c r="U255" s="34"/>
      <c r="V255" s="34"/>
      <c r="W255" s="35" t="s">
        <v>69</v>
      </c>
      <c r="X255" s="270">
        <v>56</v>
      </c>
      <c r="Y255" s="271">
        <f>IFERROR(IF(X255="","",X255),"")</f>
        <v>56</v>
      </c>
      <c r="Z255" s="36">
        <f>IFERROR(IF(X255="","",X255*0.00936),"")</f>
        <v>0.52415999999999996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136.19200000000001</v>
      </c>
      <c r="BN255" s="67">
        <f>IFERROR(Y255*I255,"0")</f>
        <v>136.19200000000001</v>
      </c>
      <c r="BO255" s="67">
        <f>IFERROR(X255/J255,"0")</f>
        <v>0.44444444444444442</v>
      </c>
      <c r="BP255" s="67">
        <f>IFERROR(Y255/J255,"0")</f>
        <v>0.44444444444444442</v>
      </c>
    </row>
    <row r="256" spans="1:68" x14ac:dyDescent="0.2">
      <c r="A256" s="287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8"/>
      <c r="P256" s="276" t="s">
        <v>82</v>
      </c>
      <c r="Q256" s="277"/>
      <c r="R256" s="277"/>
      <c r="S256" s="277"/>
      <c r="T256" s="277"/>
      <c r="U256" s="277"/>
      <c r="V256" s="278"/>
      <c r="W256" s="37" t="s">
        <v>69</v>
      </c>
      <c r="X256" s="272">
        <f>IFERROR(SUM(X253:X255),"0")</f>
        <v>224</v>
      </c>
      <c r="Y256" s="272">
        <f>IFERROR(SUM(Y253:Y255),"0")</f>
        <v>224</v>
      </c>
      <c r="Z256" s="272">
        <f>IFERROR(IF(Z253="",0,Z253),"0")+IFERROR(IF(Z254="",0,Z254),"0")+IFERROR(IF(Z255="",0,Z255),"0")</f>
        <v>3.1281600000000003</v>
      </c>
      <c r="AA256" s="273"/>
      <c r="AB256" s="273"/>
      <c r="AC256" s="273"/>
    </row>
    <row r="257" spans="1:68" x14ac:dyDescent="0.2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8"/>
      <c r="P257" s="276" t="s">
        <v>82</v>
      </c>
      <c r="Q257" s="277"/>
      <c r="R257" s="277"/>
      <c r="S257" s="277"/>
      <c r="T257" s="277"/>
      <c r="U257" s="277"/>
      <c r="V257" s="278"/>
      <c r="W257" s="37" t="s">
        <v>83</v>
      </c>
      <c r="X257" s="272">
        <f>IFERROR(SUMPRODUCT(X253:X255*H253:H255),"0")</f>
        <v>965.44</v>
      </c>
      <c r="Y257" s="272">
        <f>IFERROR(SUMPRODUCT(Y253:Y255*H253:H255),"0")</f>
        <v>965.44</v>
      </c>
      <c r="Z257" s="37"/>
      <c r="AA257" s="273"/>
      <c r="AB257" s="273"/>
      <c r="AC257" s="273"/>
    </row>
    <row r="258" spans="1:68" ht="14.25" hidden="1" customHeight="1" x14ac:dyDescent="0.25">
      <c r="A258" s="300" t="s">
        <v>138</v>
      </c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64"/>
      <c r="AB258" s="264"/>
      <c r="AC258" s="264"/>
    </row>
    <row r="259" spans="1:68" ht="37.5" hidden="1" customHeight="1" x14ac:dyDescent="0.25">
      <c r="A259" s="54" t="s">
        <v>346</v>
      </c>
      <c r="B259" s="54" t="s">
        <v>347</v>
      </c>
      <c r="C259" s="31">
        <v>4301135504</v>
      </c>
      <c r="D259" s="281">
        <v>4640242181554</v>
      </c>
      <c r="E259" s="282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90"/>
      <c r="R259" s="290"/>
      <c r="S259" s="290"/>
      <c r="T259" s="291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4301135518</v>
      </c>
      <c r="D260" s="281">
        <v>4640242181561</v>
      </c>
      <c r="E260" s="282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90"/>
      <c r="R260" s="290"/>
      <c r="S260" s="290"/>
      <c r="T260" s="291"/>
      <c r="U260" s="34"/>
      <c r="V260" s="34"/>
      <c r="W260" s="35" t="s">
        <v>69</v>
      </c>
      <c r="X260" s="270">
        <v>0</v>
      </c>
      <c r="Y260" s="271">
        <f t="shared" si="18"/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352</v>
      </c>
      <c r="B261" s="54" t="s">
        <v>353</v>
      </c>
      <c r="C261" s="31">
        <v>4301135374</v>
      </c>
      <c r="D261" s="281">
        <v>4640242181424</v>
      </c>
      <c r="E261" s="282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90"/>
      <c r="R261" s="290"/>
      <c r="S261" s="290"/>
      <c r="T261" s="291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354</v>
      </c>
      <c r="B262" s="54" t="s">
        <v>355</v>
      </c>
      <c r="C262" s="31">
        <v>4301135405</v>
      </c>
      <c r="D262" s="281">
        <v>4640242181523</v>
      </c>
      <c r="E262" s="282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90"/>
      <c r="R262" s="290"/>
      <c r="S262" s="290"/>
      <c r="T262" s="291"/>
      <c r="U262" s="34"/>
      <c r="V262" s="34"/>
      <c r="W262" s="35" t="s">
        <v>69</v>
      </c>
      <c r="X262" s="270">
        <v>0</v>
      </c>
      <c r="Y262" s="271">
        <f t="shared" si="18"/>
        <v>0</v>
      </c>
      <c r="Z262" s="36">
        <f t="shared" ref="Z262:Z267" si="23">IFERROR(IF(X262="","",X262*0.00936),"")</f>
        <v>0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81">
        <v>4640242181486</v>
      </c>
      <c r="E263" s="282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90"/>
      <c r="R263" s="290"/>
      <c r="S263" s="290"/>
      <c r="T263" s="291"/>
      <c r="U263" s="34"/>
      <c r="V263" s="34"/>
      <c r="W263" s="35" t="s">
        <v>69</v>
      </c>
      <c r="X263" s="270">
        <v>28</v>
      </c>
      <c r="Y263" s="271">
        <f t="shared" si="18"/>
        <v>28</v>
      </c>
      <c r="Z263" s="36">
        <f t="shared" si="23"/>
        <v>0.26207999999999998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108.976</v>
      </c>
      <c r="BN263" s="67">
        <f t="shared" si="20"/>
        <v>108.976</v>
      </c>
      <c r="BO263" s="67">
        <f t="shared" si="21"/>
        <v>0.22222222222222221</v>
      </c>
      <c r="BP263" s="67">
        <f t="shared" si="22"/>
        <v>0.22222222222222221</v>
      </c>
    </row>
    <row r="264" spans="1:68" ht="37.5" hidden="1" customHeight="1" x14ac:dyDescent="0.25">
      <c r="A264" s="54" t="s">
        <v>358</v>
      </c>
      <c r="B264" s="54" t="s">
        <v>359</v>
      </c>
      <c r="C264" s="31">
        <v>4301135402</v>
      </c>
      <c r="D264" s="281">
        <v>4640242181493</v>
      </c>
      <c r="E264" s="282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90"/>
      <c r="R264" s="290"/>
      <c r="S264" s="290"/>
      <c r="T264" s="291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360</v>
      </c>
      <c r="B265" s="54" t="s">
        <v>361</v>
      </c>
      <c r="C265" s="31">
        <v>4301135403</v>
      </c>
      <c r="D265" s="281">
        <v>4640242181509</v>
      </c>
      <c r="E265" s="282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90"/>
      <c r="R265" s="290"/>
      <c r="S265" s="290"/>
      <c r="T265" s="291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4301135304</v>
      </c>
      <c r="D266" s="281">
        <v>4640242181240</v>
      </c>
      <c r="E266" s="282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90"/>
      <c r="R266" s="290"/>
      <c r="S266" s="290"/>
      <c r="T266" s="291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364</v>
      </c>
      <c r="B267" s="54" t="s">
        <v>365</v>
      </c>
      <c r="C267" s="31">
        <v>4301135610</v>
      </c>
      <c r="D267" s="281">
        <v>4640242181318</v>
      </c>
      <c r="E267" s="282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90"/>
      <c r="R267" s="290"/>
      <c r="S267" s="290"/>
      <c r="T267" s="291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366</v>
      </c>
      <c r="B268" s="54" t="s">
        <v>367</v>
      </c>
      <c r="C268" s="31">
        <v>4301135306</v>
      </c>
      <c r="D268" s="281">
        <v>4640242181387</v>
      </c>
      <c r="E268" s="282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90"/>
      <c r="R268" s="290"/>
      <c r="S268" s="290"/>
      <c r="T268" s="291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8"/>
      <c r="P269" s="276" t="s">
        <v>82</v>
      </c>
      <c r="Q269" s="277"/>
      <c r="R269" s="277"/>
      <c r="S269" s="277"/>
      <c r="T269" s="277"/>
      <c r="U269" s="277"/>
      <c r="V269" s="278"/>
      <c r="W269" s="37" t="s">
        <v>69</v>
      </c>
      <c r="X269" s="272">
        <f>IFERROR(SUM(X259:X268),"0")</f>
        <v>28</v>
      </c>
      <c r="Y269" s="272">
        <f>IFERROR(SUM(Y259:Y268),"0")</f>
        <v>28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0.26207999999999998</v>
      </c>
      <c r="AA269" s="273"/>
      <c r="AB269" s="273"/>
      <c r="AC269" s="273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8"/>
      <c r="P270" s="276" t="s">
        <v>82</v>
      </c>
      <c r="Q270" s="277"/>
      <c r="R270" s="277"/>
      <c r="S270" s="277"/>
      <c r="T270" s="277"/>
      <c r="U270" s="277"/>
      <c r="V270" s="278"/>
      <c r="W270" s="37" t="s">
        <v>83</v>
      </c>
      <c r="X270" s="272">
        <f>IFERROR(SUMPRODUCT(X259:X268*H259:H268),"0")</f>
        <v>103.60000000000001</v>
      </c>
      <c r="Y270" s="272">
        <f>IFERROR(SUMPRODUCT(Y259:Y268*H259:H268),"0")</f>
        <v>103.60000000000001</v>
      </c>
      <c r="Z270" s="37"/>
      <c r="AA270" s="273"/>
      <c r="AB270" s="273"/>
      <c r="AC270" s="273"/>
    </row>
    <row r="271" spans="1:68" ht="15" customHeight="1" x14ac:dyDescent="0.2">
      <c r="A271" s="305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06"/>
      <c r="P271" s="326" t="s">
        <v>368</v>
      </c>
      <c r="Q271" s="327"/>
      <c r="R271" s="327"/>
      <c r="S271" s="327"/>
      <c r="T271" s="327"/>
      <c r="U271" s="327"/>
      <c r="V271" s="328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12970.28</v>
      </c>
      <c r="Y271" s="272">
        <f>IFERROR(Y29+Y35+Y42+Y49+Y57+Y62+Y66+Y71+Y77+Y83+Y88+Y94+Y104+Y110+Y123+Y127+Y131+Y137+Y143+Y149+Y154+Y159+Y164+Y169+Y176+Y184+Y188+Y194+Y202+Y207+Y212+Y217+Y223+Y229+Y235+Y239+Y246+Y251+Y257+Y270,"0")</f>
        <v>12970.28</v>
      </c>
      <c r="Z271" s="37"/>
      <c r="AA271" s="273"/>
      <c r="AB271" s="273"/>
      <c r="AC271" s="273"/>
    </row>
    <row r="272" spans="1:68" x14ac:dyDescent="0.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306"/>
      <c r="P272" s="326" t="s">
        <v>369</v>
      </c>
      <c r="Q272" s="327"/>
      <c r="R272" s="327"/>
      <c r="S272" s="327"/>
      <c r="T272" s="327"/>
      <c r="U272" s="327"/>
      <c r="V272" s="328"/>
      <c r="W272" s="37" t="s">
        <v>83</v>
      </c>
      <c r="X272" s="272">
        <f>IFERROR(SUM(BM22:BM268),"0")</f>
        <v>14212.665199999998</v>
      </c>
      <c r="Y272" s="272">
        <f>IFERROR(SUM(BN22:BN268),"0")</f>
        <v>14212.665199999998</v>
      </c>
      <c r="Z272" s="37"/>
      <c r="AA272" s="273"/>
      <c r="AB272" s="273"/>
      <c r="AC272" s="273"/>
    </row>
    <row r="273" spans="1:32" x14ac:dyDescent="0.2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306"/>
      <c r="P273" s="326" t="s">
        <v>370</v>
      </c>
      <c r="Q273" s="327"/>
      <c r="R273" s="327"/>
      <c r="S273" s="327"/>
      <c r="T273" s="327"/>
      <c r="U273" s="327"/>
      <c r="V273" s="328"/>
      <c r="W273" s="37" t="s">
        <v>371</v>
      </c>
      <c r="X273" s="38">
        <f>ROUNDUP(SUM(BO22:BO268),0)</f>
        <v>36</v>
      </c>
      <c r="Y273" s="38">
        <f>ROUNDUP(SUM(BP22:BP268),0)</f>
        <v>36</v>
      </c>
      <c r="Z273" s="37"/>
      <c r="AA273" s="273"/>
      <c r="AB273" s="273"/>
      <c r="AC273" s="273"/>
    </row>
    <row r="274" spans="1:32" x14ac:dyDescent="0.2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306"/>
      <c r="P274" s="326" t="s">
        <v>372</v>
      </c>
      <c r="Q274" s="327"/>
      <c r="R274" s="327"/>
      <c r="S274" s="327"/>
      <c r="T274" s="327"/>
      <c r="U274" s="327"/>
      <c r="V274" s="328"/>
      <c r="W274" s="37" t="s">
        <v>83</v>
      </c>
      <c r="X274" s="272">
        <f>GrossWeightTotal+PalletQtyTotal*25</f>
        <v>15112.665199999998</v>
      </c>
      <c r="Y274" s="272">
        <f>GrossWeightTotalR+PalletQtyTotalR*25</f>
        <v>15112.665199999998</v>
      </c>
      <c r="Z274" s="37"/>
      <c r="AA274" s="273"/>
      <c r="AB274" s="273"/>
      <c r="AC274" s="273"/>
    </row>
    <row r="275" spans="1:32" x14ac:dyDescent="0.2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306"/>
      <c r="P275" s="326" t="s">
        <v>373</v>
      </c>
      <c r="Q275" s="327"/>
      <c r="R275" s="327"/>
      <c r="S275" s="327"/>
      <c r="T275" s="327"/>
      <c r="U275" s="327"/>
      <c r="V275" s="328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3000</v>
      </c>
      <c r="Y275" s="272">
        <f>IFERROR(Y28+Y34+Y41+Y48+Y56+Y61+Y65+Y70+Y76+Y82+Y87+Y93+Y103+Y109+Y122+Y126+Y130+Y136+Y142+Y148+Y153+Y158+Y163+Y168+Y175+Y183+Y187+Y193+Y201+Y206+Y211+Y216+Y222+Y228+Y234+Y238+Y245+Y250+Y256+Y269,"0")</f>
        <v>3000</v>
      </c>
      <c r="Z275" s="37"/>
      <c r="AA275" s="273"/>
      <c r="AB275" s="273"/>
      <c r="AC275" s="273"/>
    </row>
    <row r="276" spans="1:32" ht="14.25" hidden="1" customHeight="1" x14ac:dyDescent="0.2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306"/>
      <c r="P276" s="326" t="s">
        <v>374</v>
      </c>
      <c r="Q276" s="327"/>
      <c r="R276" s="327"/>
      <c r="S276" s="327"/>
      <c r="T276" s="327"/>
      <c r="U276" s="327"/>
      <c r="V276" s="328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44.9495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4" t="s">
        <v>62</v>
      </c>
      <c r="C278" s="362"/>
      <c r="D278" s="294" t="s">
        <v>90</v>
      </c>
      <c r="E278" s="361"/>
      <c r="F278" s="361"/>
      <c r="G278" s="361"/>
      <c r="H278" s="361"/>
      <c r="I278" s="361"/>
      <c r="J278" s="361"/>
      <c r="K278" s="361"/>
      <c r="L278" s="361"/>
      <c r="M278" s="361"/>
      <c r="N278" s="361"/>
      <c r="O278" s="361"/>
      <c r="P278" s="361"/>
      <c r="Q278" s="361"/>
      <c r="R278" s="361"/>
      <c r="S278" s="361"/>
      <c r="T278" s="361"/>
      <c r="U278" s="362"/>
      <c r="V278" s="262" t="s">
        <v>252</v>
      </c>
      <c r="W278" s="262" t="s">
        <v>260</v>
      </c>
      <c r="X278" s="294" t="s">
        <v>279</v>
      </c>
      <c r="Y278" s="361"/>
      <c r="Z278" s="362"/>
      <c r="AA278" s="262" t="s">
        <v>311</v>
      </c>
      <c r="AB278" s="262" t="s">
        <v>316</v>
      </c>
      <c r="AC278" s="262" t="s">
        <v>320</v>
      </c>
      <c r="AD278" s="262" t="s">
        <v>328</v>
      </c>
      <c r="AF278" s="263"/>
    </row>
    <row r="279" spans="1:32" ht="14.25" customHeight="1" thickTop="1" x14ac:dyDescent="0.2">
      <c r="A279" s="452" t="s">
        <v>377</v>
      </c>
      <c r="B279" s="294" t="s">
        <v>62</v>
      </c>
      <c r="C279" s="294" t="s">
        <v>84</v>
      </c>
      <c r="D279" s="294" t="s">
        <v>91</v>
      </c>
      <c r="E279" s="294" t="s">
        <v>102</v>
      </c>
      <c r="F279" s="294" t="s">
        <v>114</v>
      </c>
      <c r="G279" s="294" t="s">
        <v>125</v>
      </c>
      <c r="H279" s="294" t="s">
        <v>146</v>
      </c>
      <c r="I279" s="294" t="s">
        <v>153</v>
      </c>
      <c r="J279" s="294" t="s">
        <v>157</v>
      </c>
      <c r="K279" s="294" t="s">
        <v>165</v>
      </c>
      <c r="L279" s="294" t="s">
        <v>180</v>
      </c>
      <c r="M279" s="294" t="s">
        <v>186</v>
      </c>
      <c r="N279" s="263"/>
      <c r="O279" s="294" t="s">
        <v>218</v>
      </c>
      <c r="P279" s="294" t="s">
        <v>224</v>
      </c>
      <c r="Q279" s="294" t="s">
        <v>231</v>
      </c>
      <c r="R279" s="294" t="s">
        <v>236</v>
      </c>
      <c r="S279" s="294" t="s">
        <v>240</v>
      </c>
      <c r="T279" s="294" t="s">
        <v>243</v>
      </c>
      <c r="U279" s="294" t="s">
        <v>248</v>
      </c>
      <c r="V279" s="294" t="s">
        <v>253</v>
      </c>
      <c r="W279" s="294" t="s">
        <v>261</v>
      </c>
      <c r="X279" s="294" t="s">
        <v>280</v>
      </c>
      <c r="Y279" s="294" t="s">
        <v>298</v>
      </c>
      <c r="Z279" s="294" t="s">
        <v>302</v>
      </c>
      <c r="AA279" s="294" t="s">
        <v>312</v>
      </c>
      <c r="AB279" s="294" t="s">
        <v>317</v>
      </c>
      <c r="AC279" s="294" t="s">
        <v>321</v>
      </c>
      <c r="AD279" s="294" t="s">
        <v>328</v>
      </c>
      <c r="AF279" s="263"/>
    </row>
    <row r="280" spans="1:32" ht="13.5" customHeight="1" thickBot="1" x14ac:dyDescent="0.25">
      <c r="A280" s="453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63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  <c r="AD280" s="295"/>
      <c r="AF280" s="263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604.80000000000007</v>
      </c>
      <c r="C281" s="46">
        <f>IFERROR(X32*H32,"0")+IFERROR(X33*H33,"0")</f>
        <v>0</v>
      </c>
      <c r="D281" s="46">
        <f>IFERROR(X39*H39,"0")+IFERROR(X40*H40,"0")</f>
        <v>231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1252.8</v>
      </c>
      <c r="G281" s="46">
        <f>IFERROR(X60*H60,"0")+IFERROR(X64*H64,"0")+IFERROR(X68*H68,"0")+IFERROR(X69*H69,"0")+IFERROR(X73*H73,"0")+IFERROR(X74*H74,"0")+IFERROR(X75*H75,"0")</f>
        <v>100.8</v>
      </c>
      <c r="H281" s="46">
        <f>IFERROR(X80*H80,"0")+IFERROR(X81*H81,"0")</f>
        <v>1320</v>
      </c>
      <c r="I281" s="46">
        <f>IFERROR(X86*H86,"0")</f>
        <v>100.8</v>
      </c>
      <c r="J281" s="46">
        <f>IFERROR(X91*H91,"0")+IFERROR(X92*H92,"0")</f>
        <v>302.39999999999998</v>
      </c>
      <c r="K281" s="46">
        <f>IFERROR(X97*H97,"0")+IFERROR(X98*H98,"0")+IFERROR(X99*H99,"0")+IFERROR(X100*H100,"0")+IFERROR(X101*H101,"0")+IFERROR(X102*H102,"0")</f>
        <v>663.59999999999991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2823.36</v>
      </c>
      <c r="N281" s="263"/>
      <c r="O281" s="46">
        <f>IFERROR(X134*H134,"0")+IFERROR(X135*H135,"0")</f>
        <v>924</v>
      </c>
      <c r="P281" s="46">
        <f>IFERROR(X140*H140,"0")+IFERROR(X141*H141,"0")</f>
        <v>420</v>
      </c>
      <c r="Q281" s="46">
        <f>IFERROR(X146*H146,"0")+IFERROR(X147*H147,"0")</f>
        <v>168</v>
      </c>
      <c r="R281" s="46">
        <f>IFERROR(X152*H152,"0")</f>
        <v>84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360</v>
      </c>
      <c r="W281" s="46">
        <f>IFERROR(X180*H180,"0")+IFERROR(X181*H181,"0")+IFERROR(X182*H182,"0")+IFERROR(X186*H186,"0")</f>
        <v>756</v>
      </c>
      <c r="X281" s="46">
        <f>IFERROR(X192*H192,"0")+IFERROR(X196*H196,"0")+IFERROR(X197*H197,"0")+IFERROR(X198*H198,"0")+IFERROR(X199*H199,"0")+IFERROR(X200*H200,"0")</f>
        <v>72.240000000000009</v>
      </c>
      <c r="Y281" s="46">
        <f>IFERROR(X205*H205,"0")</f>
        <v>420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480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1789.04</v>
      </c>
      <c r="AF281" s="263"/>
    </row>
    <row r="282" spans="1:32" ht="13.5" customHeight="1" thickTop="1" x14ac:dyDescent="0.2">
      <c r="C282" s="263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7219.2000000000007</v>
      </c>
      <c r="B284" s="60">
        <f>SUMPRODUCT(--(BB:BB="ПГП"),--(W:W="кор"),H:H,Y:Y)+SUMPRODUCT(--(BB:BB="ПГП"),--(W:W="кг"),Y:Y)</f>
        <v>5751.08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2,80"/>
        <filter val="1 320,00"/>
        <filter val="100,80"/>
        <filter val="103,60"/>
        <filter val="12 970,28"/>
        <filter val="12,00"/>
        <filter val="120,00"/>
        <filter val="14 212,67"/>
        <filter val="14,00"/>
        <filter val="140,00"/>
        <filter val="144,00"/>
        <filter val="15 112,67"/>
        <filter val="154,00"/>
        <filter val="168,00"/>
        <filter val="180,00"/>
        <filter val="2 714,40"/>
        <filter val="224,00"/>
        <filter val="231,00"/>
        <filter val="252,00"/>
        <filter val="264,00"/>
        <filter val="28,00"/>
        <filter val="3 000,00"/>
        <filter val="30,24"/>
        <filter val="302,40"/>
        <filter val="308,00"/>
        <filter val="33,60"/>
        <filter val="36"/>
        <filter val="36,00"/>
        <filter val="36,96"/>
        <filter val="360,00"/>
        <filter val="38,64"/>
        <filter val="396,00"/>
        <filter val="42,00"/>
        <filter val="420,00"/>
        <filter val="48,00"/>
        <filter val="480,00"/>
        <filter val="56,00"/>
        <filter val="60,00"/>
        <filter val="604,80"/>
        <filter val="663,60"/>
        <filter val="67,20"/>
        <filter val="70,00"/>
        <filter val="72,00"/>
        <filter val="720,00"/>
        <filter val="756,00"/>
        <filter val="84,00"/>
        <filter val="924,00"/>
        <filter val="96,00"/>
        <filter val="965,44"/>
        <filter val="98,00"/>
      </filters>
    </filterColumn>
    <filterColumn colId="29" showButton="0"/>
    <filterColumn colId="30" showButton="0"/>
  </autoFilter>
  <mergeCells count="492"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A163:O164"/>
    <mergeCell ref="P216:V216"/>
    <mergeCell ref="P146:T146"/>
    <mergeCell ref="D152:E152"/>
    <mergeCell ref="A136:O137"/>
    <mergeCell ref="P121:T121"/>
    <mergeCell ref="P181:T181"/>
    <mergeCell ref="D23:E23"/>
    <mergeCell ref="N17:N18"/>
    <mergeCell ref="AC279:AC280"/>
    <mergeCell ref="P243:T243"/>
    <mergeCell ref="W279:W280"/>
    <mergeCell ref="D102:E102"/>
    <mergeCell ref="A204:Z204"/>
    <mergeCell ref="D25:E25"/>
    <mergeCell ref="D196:E196"/>
    <mergeCell ref="A126:O127"/>
    <mergeCell ref="P272:V272"/>
    <mergeCell ref="A231:Z231"/>
    <mergeCell ref="D54:E54"/>
    <mergeCell ref="D262:E262"/>
    <mergeCell ref="P122:V122"/>
    <mergeCell ref="D237:E237"/>
    <mergeCell ref="P25:T25"/>
    <mergeCell ref="A30:Z30"/>
    <mergeCell ref="A142:O143"/>
    <mergeCell ref="P60:T60"/>
    <mergeCell ref="P174:T174"/>
    <mergeCell ref="D266:E266"/>
    <mergeCell ref="P279:P280"/>
    <mergeCell ref="A279:A280"/>
    <mergeCell ref="C279:C280"/>
    <mergeCell ref="P75:T75"/>
    <mergeCell ref="B278:C278"/>
    <mergeCell ref="D107:E107"/>
    <mergeCell ref="P263:T263"/>
    <mergeCell ref="D244:E244"/>
    <mergeCell ref="Q6:R6"/>
    <mergeCell ref="P200:T200"/>
    <mergeCell ref="P134:T134"/>
    <mergeCell ref="D265:E265"/>
    <mergeCell ref="A20:Z20"/>
    <mergeCell ref="A112:Z112"/>
    <mergeCell ref="P66:V66"/>
    <mergeCell ref="P137:V137"/>
    <mergeCell ref="P239:V239"/>
    <mergeCell ref="A191:Z191"/>
    <mergeCell ref="D249:E249"/>
    <mergeCell ref="A51:Z51"/>
    <mergeCell ref="P262:T262"/>
    <mergeCell ref="A178:Z178"/>
    <mergeCell ref="D221:E221"/>
    <mergeCell ref="V11:W11"/>
    <mergeCell ref="Y17:Y18"/>
    <mergeCell ref="A8:C8"/>
    <mergeCell ref="P163:V163"/>
    <mergeCell ref="D32:E32"/>
    <mergeCell ref="AD279:AD280"/>
    <mergeCell ref="P2:W3"/>
    <mergeCell ref="A269:O270"/>
    <mergeCell ref="P198:T198"/>
    <mergeCell ref="A43:Z43"/>
    <mergeCell ref="P54:T54"/>
    <mergeCell ref="A170:Z170"/>
    <mergeCell ref="D10:E10"/>
    <mergeCell ref="P64:T64"/>
    <mergeCell ref="F10:G10"/>
    <mergeCell ref="P135:T135"/>
    <mergeCell ref="M279:M280"/>
    <mergeCell ref="D243:E243"/>
    <mergeCell ref="O279:O280"/>
    <mergeCell ref="D99:E99"/>
    <mergeCell ref="A245:O246"/>
    <mergeCell ref="AD17:AF18"/>
    <mergeCell ref="D101:E101"/>
    <mergeCell ref="P142:V142"/>
    <mergeCell ref="A132:Z132"/>
    <mergeCell ref="F5:G5"/>
    <mergeCell ref="A172:Z172"/>
    <mergeCell ref="Q5:R5"/>
    <mergeCell ref="F17:F18"/>
    <mergeCell ref="H5:M5"/>
    <mergeCell ref="P158:V158"/>
    <mergeCell ref="P98:T98"/>
    <mergeCell ref="A228:O229"/>
    <mergeCell ref="D146:E146"/>
    <mergeCell ref="D6:M6"/>
    <mergeCell ref="A85:Z85"/>
    <mergeCell ref="P162:T162"/>
    <mergeCell ref="P227:T227"/>
    <mergeCell ref="P33:T33"/>
    <mergeCell ref="G17:G18"/>
    <mergeCell ref="P57:V57"/>
    <mergeCell ref="P184:V184"/>
    <mergeCell ref="D80:E80"/>
    <mergeCell ref="P42:V42"/>
    <mergeCell ref="A225:Z225"/>
    <mergeCell ref="P148:V148"/>
    <mergeCell ref="P123:V123"/>
    <mergeCell ref="P46:T46"/>
    <mergeCell ref="D200:E200"/>
    <mergeCell ref="D227:E227"/>
    <mergeCell ref="A9:C9"/>
    <mergeCell ref="V12:W12"/>
    <mergeCell ref="U17:V17"/>
    <mergeCell ref="P29:V29"/>
    <mergeCell ref="P94:V94"/>
    <mergeCell ref="A90:Z90"/>
    <mergeCell ref="A230:Z230"/>
    <mergeCell ref="A232:Z232"/>
    <mergeCell ref="P70:V70"/>
    <mergeCell ref="A156:Z156"/>
    <mergeCell ref="P103:V103"/>
    <mergeCell ref="Q13:R13"/>
    <mergeCell ref="A155:Z155"/>
    <mergeCell ref="A220:Z220"/>
    <mergeCell ref="P114:T114"/>
    <mergeCell ref="P169:V169"/>
    <mergeCell ref="P186:T186"/>
    <mergeCell ref="D120:E120"/>
    <mergeCell ref="P199:T199"/>
    <mergeCell ref="D97:E97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P214:T214"/>
    <mergeCell ref="P107:T107"/>
    <mergeCell ref="P101:T101"/>
    <mergeCell ref="D215:E215"/>
    <mergeCell ref="P194:V194"/>
    <mergeCell ref="P250:V250"/>
    <mergeCell ref="A103:O104"/>
    <mergeCell ref="M17:M18"/>
    <mergeCell ref="A168:O169"/>
    <mergeCell ref="O17:O18"/>
    <mergeCell ref="P131:V131"/>
    <mergeCell ref="P187:V187"/>
    <mergeCell ref="P125:T125"/>
    <mergeCell ref="A179:Z179"/>
    <mergeCell ref="D199:E199"/>
    <mergeCell ref="P248:T248"/>
    <mergeCell ref="A38:Z38"/>
    <mergeCell ref="A209:Z209"/>
    <mergeCell ref="P28:V28"/>
    <mergeCell ref="A67:Z67"/>
    <mergeCell ref="Y279:Y280"/>
    <mergeCell ref="D140:E140"/>
    <mergeCell ref="D267:E267"/>
    <mergeCell ref="H17:H18"/>
    <mergeCell ref="P261:T261"/>
    <mergeCell ref="D198:E198"/>
    <mergeCell ref="P104:V104"/>
    <mergeCell ref="A252:Z252"/>
    <mergeCell ref="P275:V275"/>
    <mergeCell ref="D22:E22"/>
    <mergeCell ref="D86:E86"/>
    <mergeCell ref="P234:V234"/>
    <mergeCell ref="A59:Z59"/>
    <mergeCell ref="D186:E186"/>
    <mergeCell ref="A93:O94"/>
    <mergeCell ref="P22:T22"/>
    <mergeCell ref="P40:T40"/>
    <mergeCell ref="P80:T80"/>
    <mergeCell ref="Z17:Z18"/>
    <mergeCell ref="P256:V256"/>
    <mergeCell ref="A37:Z37"/>
    <mergeCell ref="A208:Z208"/>
    <mergeCell ref="Q279:Q280"/>
    <mergeCell ref="P149:V149"/>
    <mergeCell ref="A145:Z145"/>
    <mergeCell ref="S279:S280"/>
    <mergeCell ref="A139:Z139"/>
    <mergeCell ref="D74:E74"/>
    <mergeCell ref="D68:E68"/>
    <mergeCell ref="A203:Z203"/>
    <mergeCell ref="P126:V126"/>
    <mergeCell ref="P260:T260"/>
    <mergeCell ref="A206:O207"/>
    <mergeCell ref="A63:Z63"/>
    <mergeCell ref="P71:V71"/>
    <mergeCell ref="A138:Z138"/>
    <mergeCell ref="P202:V202"/>
    <mergeCell ref="P223:V223"/>
    <mergeCell ref="P102:T102"/>
    <mergeCell ref="D279:D280"/>
    <mergeCell ref="P141:T141"/>
    <mergeCell ref="A65:O66"/>
    <mergeCell ref="P233:T233"/>
    <mergeCell ref="D254:E254"/>
    <mergeCell ref="A12:M12"/>
    <mergeCell ref="A240:Z240"/>
    <mergeCell ref="P74:T74"/>
    <mergeCell ref="A19:Z19"/>
    <mergeCell ref="A190:Z190"/>
    <mergeCell ref="D182:E182"/>
    <mergeCell ref="A14:M14"/>
    <mergeCell ref="A111:Z111"/>
    <mergeCell ref="Q12:R12"/>
    <mergeCell ref="A183:O184"/>
    <mergeCell ref="D60:E60"/>
    <mergeCell ref="P73:T73"/>
    <mergeCell ref="P244:T244"/>
    <mergeCell ref="D174:E174"/>
    <mergeCell ref="P87:V87"/>
    <mergeCell ref="P245:V245"/>
    <mergeCell ref="D45:E45"/>
    <mergeCell ref="P27:T27"/>
    <mergeCell ref="D75:E75"/>
    <mergeCell ref="P24:T24"/>
    <mergeCell ref="P26:T26"/>
    <mergeCell ref="A13:M13"/>
    <mergeCell ref="A56:O57"/>
    <mergeCell ref="T5:U5"/>
    <mergeCell ref="D119:E119"/>
    <mergeCell ref="V5:W5"/>
    <mergeCell ref="D46:E46"/>
    <mergeCell ref="D40:E40"/>
    <mergeCell ref="D233:E233"/>
    <mergeCell ref="P212:V212"/>
    <mergeCell ref="A34:O35"/>
    <mergeCell ref="Q8:R8"/>
    <mergeCell ref="A28:O29"/>
    <mergeCell ref="P69:T69"/>
    <mergeCell ref="P140:T140"/>
    <mergeCell ref="P83:V83"/>
    <mergeCell ref="A79:Z79"/>
    <mergeCell ref="A82:O83"/>
    <mergeCell ref="T6:U9"/>
    <mergeCell ref="P15:T16"/>
    <mergeCell ref="D116:E116"/>
    <mergeCell ref="A177:Z177"/>
    <mergeCell ref="D91:E91"/>
    <mergeCell ref="P23:T23"/>
    <mergeCell ref="D162:E162"/>
    <mergeCell ref="P210:T210"/>
    <mergeCell ref="A41:O42"/>
    <mergeCell ref="D264:E264"/>
    <mergeCell ref="A195:Z195"/>
    <mergeCell ref="P65:V65"/>
    <mergeCell ref="D157:E157"/>
    <mergeCell ref="P136:V136"/>
    <mergeCell ref="P228:V228"/>
    <mergeCell ref="D248:E248"/>
    <mergeCell ref="A15:M15"/>
    <mergeCell ref="A61:O62"/>
    <mergeCell ref="A153:O154"/>
    <mergeCell ref="A133:Z133"/>
    <mergeCell ref="D125:E125"/>
    <mergeCell ref="A222:O223"/>
    <mergeCell ref="P41:V41"/>
    <mergeCell ref="D181:E181"/>
    <mergeCell ref="P91:T91"/>
    <mergeCell ref="A122:O123"/>
    <mergeCell ref="A44:Z44"/>
    <mergeCell ref="A31:Z31"/>
    <mergeCell ref="P68:T68"/>
    <mergeCell ref="A17:A18"/>
    <mergeCell ref="K17:K18"/>
    <mergeCell ref="C17:C18"/>
    <mergeCell ref="P53:T53"/>
    <mergeCell ref="D278:U278"/>
    <mergeCell ref="G279:G280"/>
    <mergeCell ref="A201:O202"/>
    <mergeCell ref="D52:E52"/>
    <mergeCell ref="P110:V110"/>
    <mergeCell ref="D27:E27"/>
    <mergeCell ref="X278:Z278"/>
    <mergeCell ref="P267:T267"/>
    <mergeCell ref="P56:V56"/>
    <mergeCell ref="D39:E39"/>
    <mergeCell ref="A160:Z160"/>
    <mergeCell ref="F279:F280"/>
    <mergeCell ref="E279:E280"/>
    <mergeCell ref="P271:V271"/>
    <mergeCell ref="P273:V273"/>
    <mergeCell ref="A247:Z247"/>
    <mergeCell ref="A185:Z185"/>
    <mergeCell ref="P196:T196"/>
    <mergeCell ref="D33:E33"/>
    <mergeCell ref="A106:Z106"/>
    <mergeCell ref="A236:Z236"/>
    <mergeCell ref="P197:T197"/>
    <mergeCell ref="P238:V238"/>
    <mergeCell ref="P264:T264"/>
    <mergeCell ref="Z279:Z280"/>
    <mergeCell ref="AB279:AB280"/>
    <mergeCell ref="R279:R280"/>
    <mergeCell ref="T279:T280"/>
    <mergeCell ref="P82:V82"/>
    <mergeCell ref="P253:T253"/>
    <mergeCell ref="I279:I280"/>
    <mergeCell ref="P167:T167"/>
    <mergeCell ref="D26:E26"/>
    <mergeCell ref="A161:Z161"/>
    <mergeCell ref="P117:T117"/>
    <mergeCell ref="P55:T55"/>
    <mergeCell ref="D115:E115"/>
    <mergeCell ref="P182:T182"/>
    <mergeCell ref="D261:E261"/>
    <mergeCell ref="A130:O131"/>
    <mergeCell ref="P119:T119"/>
    <mergeCell ref="P183:V183"/>
    <mergeCell ref="L279:L280"/>
    <mergeCell ref="P62:V62"/>
    <mergeCell ref="P127:V127"/>
    <mergeCell ref="A189:Z189"/>
    <mergeCell ref="D180:E180"/>
    <mergeCell ref="D118:E118"/>
    <mergeCell ref="AA279:AA280"/>
    <mergeCell ref="A166:Z166"/>
    <mergeCell ref="D108:E108"/>
    <mergeCell ref="P52:T52"/>
    <mergeCell ref="P201:V201"/>
    <mergeCell ref="I17:I18"/>
    <mergeCell ref="D141:E141"/>
    <mergeCell ref="A48:O49"/>
    <mergeCell ref="D135:E135"/>
    <mergeCell ref="P176:V176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P118:T118"/>
    <mergeCell ref="A96:Z96"/>
    <mergeCell ref="P268:T268"/>
    <mergeCell ref="P130:V130"/>
    <mergeCell ref="D1:F1"/>
    <mergeCell ref="A242:Z242"/>
    <mergeCell ref="P47:T47"/>
    <mergeCell ref="J17:J18"/>
    <mergeCell ref="L17:L18"/>
    <mergeCell ref="P61:V61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P129:T129"/>
    <mergeCell ref="Q9:R9"/>
    <mergeCell ref="Q11:R11"/>
    <mergeCell ref="A6:C6"/>
    <mergeCell ref="A5:C5"/>
    <mergeCell ref="D9:E9"/>
    <mergeCell ref="F9:G9"/>
    <mergeCell ref="D167:E167"/>
    <mergeCell ref="H1:Q1"/>
    <mergeCell ref="P109:V109"/>
    <mergeCell ref="P274:V274"/>
    <mergeCell ref="B279:B280"/>
    <mergeCell ref="D214:E214"/>
    <mergeCell ref="P222:V222"/>
    <mergeCell ref="P193:V193"/>
    <mergeCell ref="P246:V246"/>
    <mergeCell ref="P120:T120"/>
    <mergeCell ref="D259:E259"/>
    <mergeCell ref="K279:K280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D129:E129"/>
    <mergeCell ref="P92:T92"/>
    <mergeCell ref="P173:T173"/>
    <mergeCell ref="P100:T100"/>
    <mergeCell ref="D81:E81"/>
    <mergeCell ref="P265:T265"/>
    <mergeCell ref="U279:U28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R1:T1"/>
    <mergeCell ref="A158:O159"/>
    <mergeCell ref="P221:T221"/>
    <mergeCell ref="P215:T215"/>
    <mergeCell ref="A271:O276"/>
    <mergeCell ref="P229:V229"/>
    <mergeCell ref="D98:E98"/>
    <mergeCell ref="D73:E73"/>
    <mergeCell ref="P77:V77"/>
    <mergeCell ref="P152:T152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P153:V153"/>
    <mergeCell ref="X279:X280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H9:I9"/>
    <mergeCell ref="P211:V211"/>
    <mergeCell ref="A36:Z36"/>
    <mergeCell ref="D53:E53"/>
    <mergeCell ref="D47:E47"/>
    <mergeCell ref="W17:W18"/>
    <mergeCell ref="A50:Z50"/>
    <mergeCell ref="P154:V154"/>
    <mergeCell ref="A150:Z150"/>
    <mergeCell ref="A144:Z144"/>
    <mergeCell ref="D147:E147"/>
    <mergeCell ref="P188:V188"/>
    <mergeCell ref="A187:O188"/>
    <mergeCell ref="P116:T116"/>
    <mergeCell ref="A105:Z105"/>
    <mergeCell ref="P32:T32"/>
    <mergeCell ref="P97:T97"/>
    <mergeCell ref="P115:T115"/>
    <mergeCell ref="Q10:R10"/>
    <mergeCell ref="J9:M9"/>
    <mergeCell ref="D114:E114"/>
    <mergeCell ref="D64:E64"/>
    <mergeCell ref="H10:M10"/>
    <mergeCell ref="V6:W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