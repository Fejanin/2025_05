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EDAB386-A147-48BC-A5EE-FA53763C50A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X274" i="1"/>
  <c r="Z34" i="1"/>
  <c r="Z41" i="1"/>
  <c r="BN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Z121" i="1"/>
  <c r="BN124" i="1"/>
  <c r="BP124" i="1"/>
  <c r="Y125" i="1"/>
  <c r="BN128" i="1"/>
  <c r="BP128" i="1"/>
  <c r="Y129" i="1"/>
  <c r="Z135" i="1"/>
  <c r="BN133" i="1"/>
  <c r="Z147" i="1"/>
  <c r="BN145" i="1"/>
  <c r="Z200" i="1"/>
  <c r="J9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2" i="1" l="1"/>
  <c r="Y274" i="1"/>
  <c r="Y271" i="1"/>
  <c r="Y273" i="1" s="1"/>
  <c r="A283" i="1" s="1"/>
  <c r="X273" i="1"/>
  <c r="Y270" i="1"/>
  <c r="C283" i="1" l="1"/>
  <c r="B28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<sst xmlns="http://schemas.openxmlformats.org/spreadsheetml/2006/main" count="1222" uniqueCount="394">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</sst>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/>
      <c r="I5" s="410"/>
      <c r="J5" s="410"/>
      <c r="K5" s="410"/>
      <c r="L5" s="410"/>
      <c r="M5" s="333"/>
      <c r="N5" s="61"/>
      <c r="P5" s="24" t="s">
        <v>9</v>
      </c>
      <c r="Q5" s="429">
        <v>45997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Суббота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84</v>
      </c>
      <c r="Y39" s="269">
        <f>IFERROR(IF(X39="","",X39),"")</f>
        <v>84</v>
      </c>
      <c r="Z39" s="36">
        <f>IFERROR(IF(X39="","",X39*0.00941),"")</f>
        <v>0.79044000000000003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161.43119999999999</v>
      </c>
      <c r="BN39" s="67">
        <f>IFERROR(Y39*I39,"0")</f>
        <v>161.43119999999999</v>
      </c>
      <c r="BO39" s="67">
        <f>IFERROR(X39/J39,"0")</f>
        <v>0.6</v>
      </c>
      <c r="BP39" s="67">
        <f>IFERROR(Y39/J39,"0")</f>
        <v>0.6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42</v>
      </c>
      <c r="Y40" s="269">
        <f>IFERROR(IF(X40="","",X40),"")</f>
        <v>42</v>
      </c>
      <c r="Z40" s="36">
        <f>IFERROR(IF(X40="","",X40*0.00941),"")</f>
        <v>0.39522000000000002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80.715599999999995</v>
      </c>
      <c r="BN40" s="67">
        <f>IFERROR(Y40*I40,"0")</f>
        <v>80.715599999999995</v>
      </c>
      <c r="BO40" s="67">
        <f>IFERROR(X40/J40,"0")</f>
        <v>0.3</v>
      </c>
      <c r="BP40" s="67">
        <f>IFERROR(Y40/J40,"0")</f>
        <v>0.3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126</v>
      </c>
      <c r="Y41" s="270">
        <f>IFERROR(SUM(Y39:Y40),"0")</f>
        <v>126</v>
      </c>
      <c r="Z41" s="270">
        <f>IFERROR(IF(Z39="",0,Z39),"0")+IFERROR(IF(Z40="",0,Z40),"0")</f>
        <v>1.1856599999999999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189</v>
      </c>
      <c r="Y42" s="270">
        <f>IFERROR(SUMPRODUCT(Y39:Y40*H39:H40),"0")</f>
        <v>189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96</v>
      </c>
      <c r="Y45" s="269">
        <f>IFERROR(IF(X45="","",X45),"")</f>
        <v>96</v>
      </c>
      <c r="Z45" s="36">
        <f>IFERROR(IF(X45="","",X45*0.0155),"")</f>
        <v>1.488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563.52</v>
      </c>
      <c r="BN45" s="67">
        <f>IFERROR(Y45*I45,"0")</f>
        <v>563.52</v>
      </c>
      <c r="BO45" s="67">
        <f>IFERROR(X45/J45,"0")</f>
        <v>1.1428571428571428</v>
      </c>
      <c r="BP45" s="67">
        <f>IFERROR(Y45/J45,"0")</f>
        <v>1.1428571428571428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96</v>
      </c>
      <c r="Y47" s="269">
        <f>IFERROR(IF(X47="","",X47),"")</f>
        <v>96</v>
      </c>
      <c r="Z47" s="36">
        <f>IFERROR(IF(X47="","",X47*0.0155),"")</f>
        <v>1.488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563.52</v>
      </c>
      <c r="BN47" s="67">
        <f>IFERROR(Y47*I47,"0")</f>
        <v>563.52</v>
      </c>
      <c r="BO47" s="67">
        <f>IFERROR(X47/J47,"0")</f>
        <v>1.1428571428571428</v>
      </c>
      <c r="BP47" s="67">
        <f>IFERROR(Y47/J47,"0")</f>
        <v>1.1428571428571428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204</v>
      </c>
      <c r="Y48" s="270">
        <f>IFERROR(SUM(Y45:Y47),"0")</f>
        <v>204</v>
      </c>
      <c r="Z48" s="270">
        <f>IFERROR(IF(Z45="",0,Z45),"0")+IFERROR(IF(Z46="",0,Z46),"0")+IFERROR(IF(Z47="",0,Z47),"0")</f>
        <v>3.1619999999999999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1142.3999999999999</v>
      </c>
      <c r="Y49" s="270">
        <f>IFERROR(SUMPRODUCT(Y45:Y47*H45:H47),"0")</f>
        <v>1142.3999999999999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24</v>
      </c>
      <c r="Y55" s="269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175.2</v>
      </c>
      <c r="BN55" s="67">
        <f>IFERROR(Y55*I55,"0")</f>
        <v>175.2</v>
      </c>
      <c r="BO55" s="67">
        <f>IFERROR(X55/J55,"0")</f>
        <v>0.2857142857142857</v>
      </c>
      <c r="BP55" s="67">
        <f>IFERROR(Y55/J55,"0")</f>
        <v>0.2857142857142857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24</v>
      </c>
      <c r="Y56" s="270">
        <f>IFERROR(SUM(Y52:Y55),"0")</f>
        <v>24</v>
      </c>
      <c r="Z56" s="270">
        <f>IFERROR(IF(Z52="",0,Z52),"0")+IFERROR(IF(Z53="",0,Z53),"0")+IFERROR(IF(Z54="",0,Z54),"0")+IFERROR(IF(Z55="",0,Z55),"0")</f>
        <v>0.372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168</v>
      </c>
      <c r="Y57" s="270">
        <f>IFERROR(SUMPRODUCT(Y52:Y55*H52:H55),"0")</f>
        <v>168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72</v>
      </c>
      <c r="Y81" s="269">
        <f>IFERROR(IF(X81="","",X81),"")</f>
        <v>72</v>
      </c>
      <c r="Z81" s="36">
        <f>IFERROR(IF(X81="","",X81*0.00866),"")</f>
        <v>0.62351999999999996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375.35039999999998</v>
      </c>
      <c r="BN81" s="67">
        <f>IFERROR(Y81*I81,"0")</f>
        <v>375.35039999999998</v>
      </c>
      <c r="BO81" s="67">
        <f>IFERROR(X81/J81,"0")</f>
        <v>0.5</v>
      </c>
      <c r="BP81" s="67">
        <f>IFERROR(Y81/J81,"0")</f>
        <v>0.5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72</v>
      </c>
      <c r="Y82" s="270">
        <f>IFERROR(SUM(Y80:Y81),"0")</f>
        <v>72</v>
      </c>
      <c r="Z82" s="270">
        <f>IFERROR(IF(Z80="",0,Z80),"0")+IFERROR(IF(Z81="",0,Z81),"0")</f>
        <v>0.62351999999999996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360</v>
      </c>
      <c r="Y83" s="270">
        <f>IFERROR(SUMPRODUCT(Y80:Y81*H80:H81),"0")</f>
        <v>360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98</v>
      </c>
      <c r="Y91" s="269">
        <f>IFERROR(IF(X91="","",X91),"")</f>
        <v>98</v>
      </c>
      <c r="Z91" s="36">
        <f>IFERROR(IF(X91="","",X91*0.01788),"")</f>
        <v>1.75224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421.75280000000004</v>
      </c>
      <c r="BN91" s="67">
        <f>IFERROR(Y91*I91,"0")</f>
        <v>421.75280000000004</v>
      </c>
      <c r="BO91" s="67">
        <f>IFERROR(X91/J91,"0")</f>
        <v>1.4</v>
      </c>
      <c r="BP91" s="67">
        <f>IFERROR(Y91/J91,"0")</f>
        <v>1.4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84</v>
      </c>
      <c r="Y92" s="269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182</v>
      </c>
      <c r="Y93" s="270">
        <f>IFERROR(SUM(Y91:Y92),"0")</f>
        <v>182</v>
      </c>
      <c r="Z93" s="270">
        <f>IFERROR(IF(Z91="",0,Z91),"0")+IFERROR(IF(Z92="",0,Z92),"0")</f>
        <v>3.2541599999999997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655.20000000000005</v>
      </c>
      <c r="Y94" s="270">
        <f>IFERROR(SUMPRODUCT(Y91:Y92*H91:H92),"0")</f>
        <v>655.20000000000005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42</v>
      </c>
      <c r="Y97" s="269">
        <f t="shared" ref="Y97:Y102" si="6">IFERROR(IF(X97="","",X97),"")</f>
        <v>42</v>
      </c>
      <c r="Z97" s="36">
        <f t="shared" ref="Z97:Z102" si="7">IFERROR(IF(X97="","",X97*0.01788),"")</f>
        <v>0.75095999999999996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150.5112</v>
      </c>
      <c r="BN97" s="67">
        <f t="shared" ref="BN97:BN102" si="9">IFERROR(Y97*I97,"0")</f>
        <v>150.5112</v>
      </c>
      <c r="BO97" s="67">
        <f t="shared" ref="BO97:BO102" si="10">IFERROR(X97/J97,"0")</f>
        <v>0.6</v>
      </c>
      <c r="BP97" s="67">
        <f t="shared" ref="BP97:BP102" si="11">IFERROR(Y97/J97,"0")</f>
        <v>0.6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84</v>
      </c>
      <c r="Y98" s="269">
        <f t="shared" si="6"/>
        <v>84</v>
      </c>
      <c r="Z98" s="36">
        <f t="shared" si="7"/>
        <v>1.5019199999999999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70</v>
      </c>
      <c r="Y99" s="269">
        <f t="shared" si="6"/>
        <v>70</v>
      </c>
      <c r="Z99" s="36">
        <f t="shared" si="7"/>
        <v>1.2516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84</v>
      </c>
      <c r="Y100" s="269">
        <f t="shared" si="6"/>
        <v>84</v>
      </c>
      <c r="Z100" s="36">
        <f t="shared" si="7"/>
        <v>1.5019199999999999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28</v>
      </c>
      <c r="Y101" s="269">
        <f t="shared" si="6"/>
        <v>28</v>
      </c>
      <c r="Z101" s="36">
        <f t="shared" si="7"/>
        <v>0.50063999999999997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28</v>
      </c>
      <c r="Y102" s="269">
        <f t="shared" si="6"/>
        <v>28</v>
      </c>
      <c r="Z102" s="36">
        <f t="shared" si="7"/>
        <v>0.50063999999999997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126.81760000000001</v>
      </c>
      <c r="BN102" s="67">
        <f t="shared" si="9"/>
        <v>126.81760000000001</v>
      </c>
      <c r="BO102" s="67">
        <f t="shared" si="10"/>
        <v>0.4</v>
      </c>
      <c r="BP102" s="67">
        <f t="shared" si="11"/>
        <v>0.4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336</v>
      </c>
      <c r="Y103" s="270">
        <f>IFERROR(SUM(Y97:Y102),"0")</f>
        <v>336</v>
      </c>
      <c r="Z103" s="270">
        <f>IFERROR(IF(Z97="",0,Z97),"0")+IFERROR(IF(Z98="",0,Z98),"0")+IFERROR(IF(Z99="",0,Z99),"0")+IFERROR(IF(Z100="",0,Z100),"0")+IFERROR(IF(Z101="",0,Z101),"0")+IFERROR(IF(Z102="",0,Z102),"0")</f>
        <v>6.0076799999999997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1031.52</v>
      </c>
      <c r="Y104" s="270">
        <f>IFERROR(SUMPRODUCT(Y97:Y102*H97:H102),"0")</f>
        <v>1031.52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24</v>
      </c>
      <c r="Y115" s="269">
        <f t="shared" si="12"/>
        <v>24</v>
      </c>
      <c r="Z115" s="36">
        <f t="shared" si="13"/>
        <v>0.372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161.2704</v>
      </c>
      <c r="BN115" s="67">
        <f t="shared" si="15"/>
        <v>161.2704</v>
      </c>
      <c r="BO115" s="67">
        <f t="shared" si="16"/>
        <v>0.2857142857142857</v>
      </c>
      <c r="BP115" s="67">
        <f t="shared" si="17"/>
        <v>0.2857142857142857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60</v>
      </c>
      <c r="Y116" s="269">
        <f t="shared" si="12"/>
        <v>60</v>
      </c>
      <c r="Z116" s="36">
        <f t="shared" si="13"/>
        <v>0.92999999999999994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438</v>
      </c>
      <c r="BN116" s="67">
        <f t="shared" si="15"/>
        <v>438</v>
      </c>
      <c r="BO116" s="67">
        <f t="shared" si="16"/>
        <v>0.7142857142857143</v>
      </c>
      <c r="BP116" s="67">
        <f t="shared" si="17"/>
        <v>0.7142857142857143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24</v>
      </c>
      <c r="Y118" s="269">
        <f t="shared" si="12"/>
        <v>24</v>
      </c>
      <c r="Z118" s="36">
        <f t="shared" si="13"/>
        <v>0.372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108</v>
      </c>
      <c r="Y119" s="269">
        <f t="shared" si="12"/>
        <v>108</v>
      </c>
      <c r="Z119" s="36">
        <f t="shared" si="13"/>
        <v>1.6739999999999999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788.4</v>
      </c>
      <c r="BN119" s="67">
        <f t="shared" si="15"/>
        <v>788.4</v>
      </c>
      <c r="BO119" s="67">
        <f t="shared" si="16"/>
        <v>1.2857142857142858</v>
      </c>
      <c r="BP119" s="67">
        <f t="shared" si="17"/>
        <v>1.2857142857142858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216</v>
      </c>
      <c r="Y121" s="270">
        <f>IFERROR(SUM(Y113:Y120),"0")</f>
        <v>216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3.3479999999999999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1483.2</v>
      </c>
      <c r="Y122" s="270">
        <f>IFERROR(SUMPRODUCT(Y113:Y120*H113:H120),"0")</f>
        <v>1483.2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280</v>
      </c>
      <c r="Y133" s="269">
        <f>IFERROR(IF(X133="","",X133),"")</f>
        <v>280</v>
      </c>
      <c r="Z133" s="36">
        <f>IFERROR(IF(X133="","",X133*0.01788),"")</f>
        <v>5.0064000000000002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1037.008</v>
      </c>
      <c r="BN133" s="67">
        <f>IFERROR(Y133*I133,"0")</f>
        <v>1037.008</v>
      </c>
      <c r="BO133" s="67">
        <f>IFERROR(X133/J133,"0")</f>
        <v>4</v>
      </c>
      <c r="BP133" s="67">
        <f>IFERROR(Y133/J133,"0")</f>
        <v>4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210</v>
      </c>
      <c r="Y134" s="269">
        <f>IFERROR(IF(X134="","",X134),"")</f>
        <v>210</v>
      </c>
      <c r="Z134" s="36">
        <f>IFERROR(IF(X134="","",X134*0.01788),"")</f>
        <v>3.7547999999999999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777.75599999999997</v>
      </c>
      <c r="BN134" s="67">
        <f>IFERROR(Y134*I134,"0")</f>
        <v>777.75599999999997</v>
      </c>
      <c r="BO134" s="67">
        <f>IFERROR(X134/J134,"0")</f>
        <v>3</v>
      </c>
      <c r="BP134" s="67">
        <f>IFERROR(Y134/J134,"0")</f>
        <v>3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490</v>
      </c>
      <c r="Y135" s="270">
        <f>IFERROR(SUM(Y133:Y134),"0")</f>
        <v>490</v>
      </c>
      <c r="Z135" s="270">
        <f>IFERROR(IF(Z133="",0,Z133),"0")+IFERROR(IF(Z134="",0,Z134),"0")</f>
        <v>8.7612000000000005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1470</v>
      </c>
      <c r="Y136" s="270">
        <f>IFERROR(SUMPRODUCT(Y133:Y134*H133:H134),"0")</f>
        <v>1470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56</v>
      </c>
      <c r="Y140" s="269">
        <f>IFERROR(IF(X140="","",X140),"")</f>
        <v>56</v>
      </c>
      <c r="Z140" s="36">
        <f>IFERROR(IF(X140="","",X140*0.01788),"")</f>
        <v>1.0012799999999999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207.40159999999997</v>
      </c>
      <c r="BN140" s="67">
        <f>IFERROR(Y140*I140,"0")</f>
        <v>207.40159999999997</v>
      </c>
      <c r="BO140" s="67">
        <f>IFERROR(X140/J140,"0")</f>
        <v>0.8</v>
      </c>
      <c r="BP140" s="67">
        <f>IFERROR(Y140/J140,"0")</f>
        <v>0.8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56</v>
      </c>
      <c r="Y141" s="270">
        <f>IFERROR(SUM(Y139:Y140),"0")</f>
        <v>56</v>
      </c>
      <c r="Z141" s="270">
        <f>IFERROR(IF(Z139="",0,Z139),"0")+IFERROR(IF(Z140="",0,Z140),"0")</f>
        <v>1.0012799999999999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168</v>
      </c>
      <c r="Y142" s="270">
        <f>IFERROR(SUMPRODUCT(Y139:Y140*H139:H140),"0")</f>
        <v>168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28</v>
      </c>
      <c r="Y145" s="269">
        <f>IFERROR(IF(X145="","",X145),"")</f>
        <v>28</v>
      </c>
      <c r="Z145" s="36">
        <f>IFERROR(IF(X145="","",X145*0.01788),"")</f>
        <v>0.50063999999999997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75.040000000000006</v>
      </c>
      <c r="BN145" s="67">
        <f>IFERROR(Y145*I145,"0")</f>
        <v>75.040000000000006</v>
      </c>
      <c r="BO145" s="67">
        <f>IFERROR(X145/J145,"0")</f>
        <v>0.4</v>
      </c>
      <c r="BP145" s="67">
        <f>IFERROR(Y145/J145,"0")</f>
        <v>0.4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56</v>
      </c>
      <c r="Y146" s="269">
        <f>IFERROR(IF(X146="","",X146),"")</f>
        <v>56</v>
      </c>
      <c r="Z146" s="36">
        <f>IFERROR(IF(X146="","",X146*0.01788),"")</f>
        <v>1.0012799999999999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150.08000000000001</v>
      </c>
      <c r="BN146" s="67">
        <f>IFERROR(Y146*I146,"0")</f>
        <v>150.08000000000001</v>
      </c>
      <c r="BO146" s="67">
        <f>IFERROR(X146/J146,"0")</f>
        <v>0.8</v>
      </c>
      <c r="BP146" s="67">
        <f>IFERROR(Y146/J146,"0")</f>
        <v>0.8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84</v>
      </c>
      <c r="Y147" s="270">
        <f>IFERROR(SUM(Y145:Y146),"0")</f>
        <v>84</v>
      </c>
      <c r="Z147" s="270">
        <f>IFERROR(IF(Z145="",0,Z145),"0")+IFERROR(IF(Z146="",0,Z146),"0")</f>
        <v>1.5019199999999999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201.60000000000002</v>
      </c>
      <c r="Y148" s="270">
        <f>IFERROR(SUMPRODUCT(Y145:Y146*H145:H146),"0")</f>
        <v>201.60000000000002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28</v>
      </c>
      <c r="Y151" s="269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28</v>
      </c>
      <c r="Y152" s="270">
        <f>IFERROR(SUM(Y151:Y151),"0")</f>
        <v>28</v>
      </c>
      <c r="Z152" s="270">
        <f>IFERROR(IF(Z151="",0,Z151),"0")</f>
        <v>0.50063999999999997</v>
      </c>
      <c r="AA152" s="271"/>
      <c r="AB152" s="271"/>
      <c r="AC152" s="271"/>
    </row>
    <row r="153" spans="1:68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84</v>
      </c>
      <c r="Y153" s="270">
        <f>IFERROR(SUMPRODUCT(Y151:Y151*H151:H151),"0")</f>
        <v>84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56</v>
      </c>
      <c r="Y166" s="269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56</v>
      </c>
      <c r="Y167" s="270">
        <f>IFERROR(SUM(Y166:Y166),"0")</f>
        <v>56</v>
      </c>
      <c r="Z167" s="270">
        <f>IFERROR(IF(Z166="",0,Z166),"0")</f>
        <v>0.52695999999999998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94.08</v>
      </c>
      <c r="Y168" s="270">
        <f>IFERROR(SUMPRODUCT(Y166:Y166*H166:H166),"0")</f>
        <v>94.08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56</v>
      </c>
      <c r="Y179" s="269">
        <f>IFERROR(IF(X179="","",X179),"")</f>
        <v>56</v>
      </c>
      <c r="Z179" s="36">
        <f>IFERROR(IF(X179="","",X179*0.01788),"")</f>
        <v>1.0012799999999999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189.72800000000001</v>
      </c>
      <c r="BN179" s="67">
        <f>IFERROR(Y179*I179,"0")</f>
        <v>189.72800000000001</v>
      </c>
      <c r="BO179" s="67">
        <f>IFERROR(X179/J179,"0")</f>
        <v>0.8</v>
      </c>
      <c r="BP179" s="67">
        <f>IFERROR(Y179/J179,"0")</f>
        <v>0.8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42</v>
      </c>
      <c r="Y180" s="269">
        <f>IFERROR(IF(X180="","",X180),"")</f>
        <v>42</v>
      </c>
      <c r="Z180" s="36">
        <f>IFERROR(IF(X180="","",X180*0.01788),"")</f>
        <v>0.75095999999999996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142.29599999999999</v>
      </c>
      <c r="BN180" s="67">
        <f>IFERROR(Y180*I180,"0")</f>
        <v>142.29599999999999</v>
      </c>
      <c r="BO180" s="67">
        <f>IFERROR(X180/J180,"0")</f>
        <v>0.6</v>
      </c>
      <c r="BP180" s="67">
        <f>IFERROR(Y180/J180,"0")</f>
        <v>0.6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98</v>
      </c>
      <c r="Y182" s="270">
        <f>IFERROR(SUM(Y179:Y181),"0")</f>
        <v>98</v>
      </c>
      <c r="Z182" s="270">
        <f>IFERROR(IF(Z179="",0,Z179),"0")+IFERROR(IF(Z180="",0,Z180),"0")+IFERROR(IF(Z181="",0,Z181),"0")</f>
        <v>1.75224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294</v>
      </c>
      <c r="Y183" s="270">
        <f>IFERROR(SUMPRODUCT(Y179:Y181*H179:H181),"0")</f>
        <v>294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228</v>
      </c>
      <c r="Y247" s="269">
        <f>IFERROR(IF(X247="","",X247),"")</f>
        <v>228</v>
      </c>
      <c r="Z247" s="36">
        <f>IFERROR(IF(X247="","",X247*0.0155),"")</f>
        <v>3.5339999999999998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1427.28</v>
      </c>
      <c r="BN247" s="67">
        <f>IFERROR(Y247*I247,"0")</f>
        <v>1427.28</v>
      </c>
      <c r="BO247" s="67">
        <f>IFERROR(X247/J247,"0")</f>
        <v>2.7142857142857144</v>
      </c>
      <c r="BP247" s="67">
        <f>IFERROR(Y247/J247,"0")</f>
        <v>2.7142857142857144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228</v>
      </c>
      <c r="Y249" s="270">
        <f>IFERROR(SUM(Y247:Y248),"0")</f>
        <v>228</v>
      </c>
      <c r="Z249" s="270">
        <f>IFERROR(IF(Z247="",0,Z247),"0")+IFERROR(IF(Z248="",0,Z248),"0")</f>
        <v>3.5339999999999998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1368</v>
      </c>
      <c r="Y250" s="270">
        <f>IFERROR(SUMPRODUCT(Y247:Y248*H247:H248),"0")</f>
        <v>1368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378</v>
      </c>
      <c r="Y259" s="269">
        <f t="shared" si="18"/>
        <v>378</v>
      </c>
      <c r="Z259" s="36">
        <f>IFERROR(IF(X259="","",X259*0.00936),"")</f>
        <v>3.5380799999999999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1471.1759999999999</v>
      </c>
      <c r="BN259" s="67">
        <f t="shared" si="20"/>
        <v>1471.1759999999999</v>
      </c>
      <c r="BO259" s="67">
        <f t="shared" si="21"/>
        <v>3</v>
      </c>
      <c r="BP259" s="67">
        <f t="shared" si="22"/>
        <v>3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72</v>
      </c>
      <c r="Y260" s="269">
        <f t="shared" si="18"/>
        <v>72</v>
      </c>
      <c r="Z260" s="36">
        <f>IFERROR(IF(X260="","",X260*0.0155),"")</f>
        <v>1.1160000000000001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412.92</v>
      </c>
      <c r="BN260" s="67">
        <f t="shared" si="20"/>
        <v>412.92</v>
      </c>
      <c r="BO260" s="67">
        <f t="shared" si="21"/>
        <v>0.8571428571428571</v>
      </c>
      <c r="BP260" s="67">
        <f t="shared" si="22"/>
        <v>0.8571428571428571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56</v>
      </c>
      <c r="Y261" s="269">
        <f t="shared" si="18"/>
        <v>56</v>
      </c>
      <c r="Z261" s="36">
        <f t="shared" ref="Z261:Z266" si="23">IFERROR(IF(X261="","",X261*0.00936),"")</f>
        <v>0.52415999999999996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178.75200000000001</v>
      </c>
      <c r="BN261" s="67">
        <f t="shared" si="20"/>
        <v>178.75200000000001</v>
      </c>
      <c r="BO261" s="67">
        <f t="shared" si="21"/>
        <v>0.44444444444444442</v>
      </c>
      <c r="BP261" s="67">
        <f t="shared" si="22"/>
        <v>0.44444444444444442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378</v>
      </c>
      <c r="Y262" s="269">
        <f t="shared" si="18"/>
        <v>378</v>
      </c>
      <c r="Z262" s="36">
        <f t="shared" si="23"/>
        <v>3.5380799999999999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1471.1759999999999</v>
      </c>
      <c r="BN262" s="67">
        <f t="shared" si="20"/>
        <v>1471.1759999999999</v>
      </c>
      <c r="BO262" s="67">
        <f t="shared" si="21"/>
        <v>3</v>
      </c>
      <c r="BP262" s="67">
        <f t="shared" si="22"/>
        <v>3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884</v>
      </c>
      <c r="Y268" s="270">
        <f>IFERROR(SUM(Y258:Y267),"0")</f>
        <v>884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8.7163199999999996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3361.2000000000003</v>
      </c>
      <c r="Y269" s="270">
        <f>IFERROR(SUMPRODUCT(Y258:Y267*H258:H267),"0")</f>
        <v>3361.2000000000003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12120.600000000002</v>
      </c>
      <c r="Y270" s="270">
        <f>IFERROR(Y29+Y35+Y42+Y49+Y57+Y62+Y66+Y71+Y77+Y83+Y88+Y94+Y104+Y110+Y122+Y126+Y130+Y136+Y142+Y148+Y153+Y158+Y163+Y168+Y175+Y183+Y187+Y193+Y201+Y206+Y211+Y216+Y222+Y228+Y234+Y238+Y245+Y250+Y256+Y269,"0")</f>
        <v>12120.600000000002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13399.430799999998</v>
      </c>
      <c r="Y271" s="270">
        <f>IFERROR(SUM(BN22:BN267),"0")</f>
        <v>13399.430799999998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36</v>
      </c>
      <c r="Y272" s="38">
        <f>ROUNDUP(SUM(BP22:BP267),0)</f>
        <v>36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14299.430799999998</v>
      </c>
      <c r="Y273" s="270">
        <f>GrossWeightTotalR+PalletQtyTotalR*25</f>
        <v>14299.430799999998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3098</v>
      </c>
      <c r="Y274" s="270">
        <f>IFERROR(Y28+Y34+Y41+Y48+Y56+Y61+Y65+Y70+Y76+Y82+Y87+Y93+Y103+Y109+Y121+Y125+Y129+Y135+Y141+Y147+Y152+Y157+Y162+Y167+Y174+Y182+Y186+Y192+Y200+Y205+Y210+Y215+Y221+Y227+Y233+Y237+Y244+Y249+Y255+Y268,"0")</f>
        <v>3098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44.497900000000001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189</v>
      </c>
      <c r="E280" s="46">
        <f>IFERROR(X45*H45,"0")+IFERROR(X46*H46,"0")+IFERROR(X47*H47,"0")</f>
        <v>1142.3999999999999</v>
      </c>
      <c r="F280" s="46">
        <f>IFERROR(X52*H52,"0")+IFERROR(X53*H53,"0")+IFERROR(X54*H54,"0")+IFERROR(X55*H55,"0")</f>
        <v>168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360</v>
      </c>
      <c r="I280" s="46">
        <f>IFERROR(X86*H86,"0")</f>
        <v>50.4</v>
      </c>
      <c r="J280" s="46">
        <f>IFERROR(X91*H91,"0")+IFERROR(X92*H92,"0")</f>
        <v>655.20000000000005</v>
      </c>
      <c r="K280" s="46">
        <f>IFERROR(X97*H97,"0")+IFERROR(X98*H98,"0")+IFERROR(X99*H99,"0")+IFERROR(X100*H100,"0")+IFERROR(X101*H101,"0")+IFERROR(X102*H102,"0")</f>
        <v>1031.52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1483.2</v>
      </c>
      <c r="N280" s="266"/>
      <c r="O280" s="46">
        <f>IFERROR(X133*H133,"0")+IFERROR(X134*H134,"0")</f>
        <v>1470</v>
      </c>
      <c r="P280" s="46">
        <f>IFERROR(X139*H139,"0")+IFERROR(X140*H140,"0")</f>
        <v>168</v>
      </c>
      <c r="Q280" s="46">
        <f>IFERROR(X145*H145,"0")+IFERROR(X146*H146,"0")</f>
        <v>201.60000000000002</v>
      </c>
      <c r="R280" s="46">
        <f>IFERROR(X151*H151,"0")</f>
        <v>84</v>
      </c>
      <c r="S280" s="46">
        <f>IFERROR(X156*H156,"0")</f>
        <v>0</v>
      </c>
      <c r="T280" s="46">
        <f>IFERROR(X161*H161,"0")</f>
        <v>0</v>
      </c>
      <c r="U280" s="46">
        <f>IFERROR(X166*H166,"0")</f>
        <v>94.08</v>
      </c>
      <c r="V280" s="46">
        <f>IFERROR(X172*H172,"0")+IFERROR(X173*H173,"0")</f>
        <v>0</v>
      </c>
      <c r="W280" s="46">
        <f>IFERROR(X179*H179,"0")+IFERROR(X180*H180,"0")+IFERROR(X181*H181,"0")+IFERROR(X185*H185,"0")</f>
        <v>294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4729.2000000000007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3153.6</v>
      </c>
      <c r="B283" s="60">
        <f>SUMPRODUCT(--(BB:BB="ПГП"),--(W:W="кор"),H:H,Y:Y)+SUMPRODUCT(--(BB:BB="ПГП"),--(W:W="кг"),Y:Y)</f>
        <v>8967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1,52"/>
        <filter val="1 142,40"/>
        <filter val="1 368,00"/>
        <filter val="1 470,00"/>
        <filter val="1 483,20"/>
        <filter val="108,00"/>
        <filter val="12 120,60"/>
        <filter val="12,00"/>
        <filter val="126,00"/>
        <filter val="13 399,43"/>
        <filter val="14 299,43"/>
        <filter val="14,00"/>
        <filter val="168,00"/>
        <filter val="182,00"/>
        <filter val="189,00"/>
        <filter val="201,60"/>
        <filter val="204,00"/>
        <filter val="210,00"/>
        <filter val="216,00"/>
        <filter val="228,00"/>
        <filter val="24,00"/>
        <filter val="28,00"/>
        <filter val="280,00"/>
        <filter val="294,00"/>
        <filter val="3 098,00"/>
        <filter val="3 361,20"/>
        <filter val="336,00"/>
        <filter val="36"/>
        <filter val="360,00"/>
        <filter val="378,00"/>
        <filter val="42,00"/>
        <filter val="490,00"/>
        <filter val="50,40"/>
        <filter val="56,00"/>
        <filter val="60,00"/>
        <filter val="655,20"/>
        <filter val="70,00"/>
        <filter val="72,00"/>
        <filter val="84,00"/>
        <filter val="884,00"/>
        <filter val="94,08"/>
        <filter val="96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2025-12-04T11:16:35Z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