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F15A443-EFB6-4AE0-ADB0-63C969CF533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P219" i="1"/>
  <c r="X217" i="1"/>
  <c r="X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BP186" i="1" s="1"/>
  <c r="P186" i="1"/>
  <c r="X183" i="1"/>
  <c r="X182" i="1"/>
  <c r="BO181" i="1"/>
  <c r="BM181" i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BP175" i="1" s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P87" i="1"/>
  <c r="BP86" i="1"/>
  <c r="BO86" i="1"/>
  <c r="BN86" i="1"/>
  <c r="BM86" i="1"/>
  <c r="Z86" i="1"/>
  <c r="Y86" i="1"/>
  <c r="P86" i="1"/>
  <c r="X83" i="1"/>
  <c r="Y82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H10" i="1"/>
  <c r="F10" i="1"/>
  <c r="F9" i="1"/>
  <c r="A9" i="1"/>
  <c r="A10" i="1" s="1"/>
  <c r="D7" i="1"/>
  <c r="Q6" i="1"/>
  <c r="P2" i="1"/>
  <c r="BP92" i="1" l="1"/>
  <c r="BN92" i="1"/>
  <c r="Z92" i="1"/>
  <c r="BP126" i="1"/>
  <c r="BN126" i="1"/>
  <c r="Z126" i="1"/>
  <c r="BP171" i="1"/>
  <c r="BN171" i="1"/>
  <c r="Z171" i="1"/>
  <c r="BP209" i="1"/>
  <c r="BN209" i="1"/>
  <c r="Z209" i="1"/>
  <c r="BP232" i="1"/>
  <c r="BN232" i="1"/>
  <c r="Z232" i="1"/>
  <c r="BP264" i="1"/>
  <c r="BN264" i="1"/>
  <c r="Z264" i="1"/>
  <c r="BP299" i="1"/>
  <c r="BN299" i="1"/>
  <c r="Z299" i="1"/>
  <c r="BP323" i="1"/>
  <c r="BN323" i="1"/>
  <c r="Z323" i="1"/>
  <c r="BP373" i="1"/>
  <c r="BN373" i="1"/>
  <c r="Z373" i="1"/>
  <c r="BP410" i="1"/>
  <c r="BN410" i="1"/>
  <c r="Z410" i="1"/>
  <c r="BP432" i="1"/>
  <c r="BN432" i="1"/>
  <c r="Z432" i="1"/>
  <c r="BP460" i="1"/>
  <c r="BN460" i="1"/>
  <c r="Z460" i="1"/>
  <c r="B501" i="1"/>
  <c r="X493" i="1"/>
  <c r="Z31" i="1"/>
  <c r="BN31" i="1"/>
  <c r="Z54" i="1"/>
  <c r="BN54" i="1"/>
  <c r="BP73" i="1"/>
  <c r="BN73" i="1"/>
  <c r="Z73" i="1"/>
  <c r="BP107" i="1"/>
  <c r="BN107" i="1"/>
  <c r="Z107" i="1"/>
  <c r="BP163" i="1"/>
  <c r="BN163" i="1"/>
  <c r="Z163" i="1"/>
  <c r="BP192" i="1"/>
  <c r="BN192" i="1"/>
  <c r="Z192" i="1"/>
  <c r="BP196" i="1"/>
  <c r="BN196" i="1"/>
  <c r="Z196" i="1"/>
  <c r="BP219" i="1"/>
  <c r="BN219" i="1"/>
  <c r="Z219" i="1"/>
  <c r="BP250" i="1"/>
  <c r="BN250" i="1"/>
  <c r="Z250" i="1"/>
  <c r="BP284" i="1"/>
  <c r="BN284" i="1"/>
  <c r="Z284" i="1"/>
  <c r="BP311" i="1"/>
  <c r="BN311" i="1"/>
  <c r="Z311" i="1"/>
  <c r="BP346" i="1"/>
  <c r="BN346" i="1"/>
  <c r="Z346" i="1"/>
  <c r="BP391" i="1"/>
  <c r="BN391" i="1"/>
  <c r="Z391" i="1"/>
  <c r="BP424" i="1"/>
  <c r="BN424" i="1"/>
  <c r="Z424" i="1"/>
  <c r="BP448" i="1"/>
  <c r="BN448" i="1"/>
  <c r="Z448" i="1"/>
  <c r="Y480" i="1"/>
  <c r="Y479" i="1"/>
  <c r="BP478" i="1"/>
  <c r="BN478" i="1"/>
  <c r="Z478" i="1"/>
  <c r="Z479" i="1" s="1"/>
  <c r="BP482" i="1"/>
  <c r="BN482" i="1"/>
  <c r="Z482" i="1"/>
  <c r="U501" i="1"/>
  <c r="BP248" i="1"/>
  <c r="BN248" i="1"/>
  <c r="BP255" i="1"/>
  <c r="BN255" i="1"/>
  <c r="Z255" i="1"/>
  <c r="BP266" i="1"/>
  <c r="BN266" i="1"/>
  <c r="Z266" i="1"/>
  <c r="BP291" i="1"/>
  <c r="BN291" i="1"/>
  <c r="Z291" i="1"/>
  <c r="BP301" i="1"/>
  <c r="BN301" i="1"/>
  <c r="Z301" i="1"/>
  <c r="BP315" i="1"/>
  <c r="BN315" i="1"/>
  <c r="Z315" i="1"/>
  <c r="BP329" i="1"/>
  <c r="BN329" i="1"/>
  <c r="Z329" i="1"/>
  <c r="BP348" i="1"/>
  <c r="BN348" i="1"/>
  <c r="Z348" i="1"/>
  <c r="BP379" i="1"/>
  <c r="BN379" i="1"/>
  <c r="Z379" i="1"/>
  <c r="BP393" i="1"/>
  <c r="BN393" i="1"/>
  <c r="Z393" i="1"/>
  <c r="BP426" i="1"/>
  <c r="BN426" i="1"/>
  <c r="Z426" i="1"/>
  <c r="BP438" i="1"/>
  <c r="BN438" i="1"/>
  <c r="Z438" i="1"/>
  <c r="Y456" i="1"/>
  <c r="BP452" i="1"/>
  <c r="BN452" i="1"/>
  <c r="Z452" i="1"/>
  <c r="BP474" i="1"/>
  <c r="BN474" i="1"/>
  <c r="Z474" i="1"/>
  <c r="J9" i="1"/>
  <c r="X492" i="1"/>
  <c r="X494" i="1" s="1"/>
  <c r="Z23" i="1"/>
  <c r="BN23" i="1"/>
  <c r="X491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9" i="1"/>
  <c r="BN69" i="1"/>
  <c r="Z75" i="1"/>
  <c r="BN75" i="1"/>
  <c r="Z88" i="1"/>
  <c r="BN88" i="1"/>
  <c r="Y96" i="1"/>
  <c r="Z94" i="1"/>
  <c r="BN94" i="1"/>
  <c r="Z103" i="1"/>
  <c r="BN103" i="1"/>
  <c r="Z109" i="1"/>
  <c r="BN109" i="1"/>
  <c r="Y117" i="1"/>
  <c r="Z115" i="1"/>
  <c r="BN115" i="1"/>
  <c r="Z130" i="1"/>
  <c r="BN130" i="1"/>
  <c r="BP130" i="1"/>
  <c r="Z147" i="1"/>
  <c r="BN147" i="1"/>
  <c r="Z165" i="1"/>
  <c r="BN165" i="1"/>
  <c r="Z169" i="1"/>
  <c r="BN169" i="1"/>
  <c r="Z175" i="1"/>
  <c r="BN175" i="1"/>
  <c r="Z181" i="1"/>
  <c r="Z182" i="1" s="1"/>
  <c r="BN181" i="1"/>
  <c r="BP181" i="1"/>
  <c r="Y182" i="1"/>
  <c r="Z186" i="1"/>
  <c r="BN186" i="1"/>
  <c r="Z198" i="1"/>
  <c r="BN198" i="1"/>
  <c r="Z202" i="1"/>
  <c r="BN202" i="1"/>
  <c r="Z211" i="1"/>
  <c r="BN211" i="1"/>
  <c r="Z215" i="1"/>
  <c r="BN215" i="1"/>
  <c r="Y221" i="1"/>
  <c r="Z226" i="1"/>
  <c r="BN226" i="1"/>
  <c r="Z230" i="1"/>
  <c r="BN230" i="1"/>
  <c r="Z234" i="1"/>
  <c r="BN234" i="1"/>
  <c r="Z248" i="1"/>
  <c r="BP259" i="1"/>
  <c r="BN259" i="1"/>
  <c r="Z259" i="1"/>
  <c r="BP280" i="1"/>
  <c r="BN280" i="1"/>
  <c r="Z280" i="1"/>
  <c r="BP295" i="1"/>
  <c r="BN295" i="1"/>
  <c r="Z295" i="1"/>
  <c r="BP309" i="1"/>
  <c r="BN309" i="1"/>
  <c r="Z309" i="1"/>
  <c r="Y325" i="1"/>
  <c r="BP321" i="1"/>
  <c r="BN321" i="1"/>
  <c r="Z321" i="1"/>
  <c r="BP344" i="1"/>
  <c r="BN344" i="1"/>
  <c r="Z344" i="1"/>
  <c r="BP369" i="1"/>
  <c r="BN369" i="1"/>
  <c r="Z369" i="1"/>
  <c r="BP389" i="1"/>
  <c r="BN389" i="1"/>
  <c r="Z389" i="1"/>
  <c r="Y405" i="1"/>
  <c r="BP404" i="1"/>
  <c r="BN404" i="1"/>
  <c r="Z404" i="1"/>
  <c r="Z405" i="1" s="1"/>
  <c r="Y412" i="1"/>
  <c r="BP408" i="1"/>
  <c r="BN408" i="1"/>
  <c r="Z408" i="1"/>
  <c r="BP430" i="1"/>
  <c r="BN430" i="1"/>
  <c r="Z430" i="1"/>
  <c r="BP446" i="1"/>
  <c r="BN446" i="1"/>
  <c r="Z446" i="1"/>
  <c r="Y455" i="1"/>
  <c r="BP462" i="1"/>
  <c r="BN462" i="1"/>
  <c r="Z462" i="1"/>
  <c r="Y286" i="1"/>
  <c r="Y375" i="1"/>
  <c r="Y484" i="1"/>
  <c r="Y24" i="1"/>
  <c r="Y32" i="1"/>
  <c r="Y44" i="1"/>
  <c r="Y59" i="1"/>
  <c r="Y65" i="1"/>
  <c r="Y70" i="1"/>
  <c r="BP74" i="1"/>
  <c r="BN74" i="1"/>
  <c r="Z74" i="1"/>
  <c r="BP87" i="1"/>
  <c r="BN87" i="1"/>
  <c r="Z87" i="1"/>
  <c r="Z89" i="1" s="1"/>
  <c r="BP95" i="1"/>
  <c r="BN95" i="1"/>
  <c r="Z95" i="1"/>
  <c r="Y97" i="1"/>
  <c r="F501" i="1"/>
  <c r="Y105" i="1"/>
  <c r="BP100" i="1"/>
  <c r="BN100" i="1"/>
  <c r="Z100" i="1"/>
  <c r="Y104" i="1"/>
  <c r="Z110" i="1"/>
  <c r="BP108" i="1"/>
  <c r="BN108" i="1"/>
  <c r="Z108" i="1"/>
  <c r="BP116" i="1"/>
  <c r="BN116" i="1"/>
  <c r="Z116" i="1"/>
  <c r="Y118" i="1"/>
  <c r="Y121" i="1"/>
  <c r="BP120" i="1"/>
  <c r="BN120" i="1"/>
  <c r="Z120" i="1"/>
  <c r="Z121" i="1" s="1"/>
  <c r="Y122" i="1"/>
  <c r="G501" i="1"/>
  <c r="Y128" i="1"/>
  <c r="BP125" i="1"/>
  <c r="BN125" i="1"/>
  <c r="Z125" i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BP197" i="1"/>
  <c r="BN197" i="1"/>
  <c r="Z197" i="1"/>
  <c r="BP201" i="1"/>
  <c r="BN201" i="1"/>
  <c r="Z201" i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Z318" i="1"/>
  <c r="BP316" i="1"/>
  <c r="BN316" i="1"/>
  <c r="Z316" i="1"/>
  <c r="Y318" i="1"/>
  <c r="D501" i="1"/>
  <c r="H9" i="1"/>
  <c r="Z22" i="1"/>
  <c r="Z24" i="1" s="1"/>
  <c r="BN22" i="1"/>
  <c r="BP22" i="1"/>
  <c r="X495" i="1"/>
  <c r="Y25" i="1"/>
  <c r="Z28" i="1"/>
  <c r="BN28" i="1"/>
  <c r="Z30" i="1"/>
  <c r="BN30" i="1"/>
  <c r="C501" i="1"/>
  <c r="Z42" i="1"/>
  <c r="Z44" i="1" s="1"/>
  <c r="BN42" i="1"/>
  <c r="Y45" i="1"/>
  <c r="Z53" i="1"/>
  <c r="BN53" i="1"/>
  <c r="Z55" i="1"/>
  <c r="BN55" i="1"/>
  <c r="Z57" i="1"/>
  <c r="BN57" i="1"/>
  <c r="Z61" i="1"/>
  <c r="Z64" i="1" s="1"/>
  <c r="BN61" i="1"/>
  <c r="BP61" i="1"/>
  <c r="Z63" i="1"/>
  <c r="BN63" i="1"/>
  <c r="Z67" i="1"/>
  <c r="BN67" i="1"/>
  <c r="BP67" i="1"/>
  <c r="BP68" i="1"/>
  <c r="BN68" i="1"/>
  <c r="Z68" i="1"/>
  <c r="Y77" i="1"/>
  <c r="BP76" i="1"/>
  <c r="BN76" i="1"/>
  <c r="Z76" i="1"/>
  <c r="Y78" i="1"/>
  <c r="Y83" i="1"/>
  <c r="BP80" i="1"/>
  <c r="BN80" i="1"/>
  <c r="Z80" i="1"/>
  <c r="Z82" i="1" s="1"/>
  <c r="Y89" i="1"/>
  <c r="BP93" i="1"/>
  <c r="BN93" i="1"/>
  <c r="Z93" i="1"/>
  <c r="BP102" i="1"/>
  <c r="BN102" i="1"/>
  <c r="Z102" i="1"/>
  <c r="Y111" i="1"/>
  <c r="Y110" i="1"/>
  <c r="BP114" i="1"/>
  <c r="BN114" i="1"/>
  <c r="Z114" i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L501" i="1"/>
  <c r="Y260" i="1"/>
  <c r="BP265" i="1"/>
  <c r="BN265" i="1"/>
  <c r="Z265" i="1"/>
  <c r="Y269" i="1"/>
  <c r="BP274" i="1"/>
  <c r="BN274" i="1"/>
  <c r="Z274" i="1"/>
  <c r="Y276" i="1"/>
  <c r="P501" i="1"/>
  <c r="Y282" i="1"/>
  <c r="BP279" i="1"/>
  <c r="BN279" i="1"/>
  <c r="Z279" i="1"/>
  <c r="Z281" i="1" s="1"/>
  <c r="Y281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Z370" i="1" s="1"/>
  <c r="Y370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BP461" i="1"/>
  <c r="BN461" i="1"/>
  <c r="Z461" i="1"/>
  <c r="Y465" i="1"/>
  <c r="Y501" i="1"/>
  <c r="BP469" i="1"/>
  <c r="BN469" i="1"/>
  <c r="Z469" i="1"/>
  <c r="Y471" i="1"/>
  <c r="Y476" i="1"/>
  <c r="BP473" i="1"/>
  <c r="BN473" i="1"/>
  <c r="Z473" i="1"/>
  <c r="Y475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Y261" i="1"/>
  <c r="BP258" i="1"/>
  <c r="BN258" i="1"/>
  <c r="Z258" i="1"/>
  <c r="BP267" i="1"/>
  <c r="BN267" i="1"/>
  <c r="Z267" i="1"/>
  <c r="O501" i="1"/>
  <c r="Y275" i="1"/>
  <c r="BP272" i="1"/>
  <c r="BN272" i="1"/>
  <c r="Z272" i="1"/>
  <c r="Z275" i="1" s="1"/>
  <c r="BP285" i="1"/>
  <c r="BN285" i="1"/>
  <c r="Z285" i="1"/>
  <c r="Z286" i="1" s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Z325" i="1" s="1"/>
  <c r="BP330" i="1"/>
  <c r="BN330" i="1"/>
  <c r="Z330" i="1"/>
  <c r="R501" i="1"/>
  <c r="Y338" i="1"/>
  <c r="BP335" i="1"/>
  <c r="BN335" i="1"/>
  <c r="Z335" i="1"/>
  <c r="Z338" i="1" s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M501" i="1"/>
  <c r="Y268" i="1"/>
  <c r="BP374" i="1"/>
  <c r="BN374" i="1"/>
  <c r="Z374" i="1"/>
  <c r="Z375" i="1" s="1"/>
  <c r="Y376" i="1"/>
  <c r="Y381" i="1"/>
  <c r="BP378" i="1"/>
  <c r="BN378" i="1"/>
  <c r="Z378" i="1"/>
  <c r="BP388" i="1"/>
  <c r="BN388" i="1"/>
  <c r="Z388" i="1"/>
  <c r="BP392" i="1"/>
  <c r="BN392" i="1"/>
  <c r="Z392" i="1"/>
  <c r="BP409" i="1"/>
  <c r="BN409" i="1"/>
  <c r="Z409" i="1"/>
  <c r="Z412" i="1" s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BP445" i="1"/>
  <c r="BN445" i="1"/>
  <c r="Z445" i="1"/>
  <c r="BP453" i="1"/>
  <c r="BN453" i="1"/>
  <c r="Z453" i="1"/>
  <c r="Z455" i="1" s="1"/>
  <c r="Y464" i="1"/>
  <c r="BP463" i="1"/>
  <c r="BN463" i="1"/>
  <c r="Z463" i="1"/>
  <c r="Y470" i="1"/>
  <c r="BP467" i="1"/>
  <c r="BN467" i="1"/>
  <c r="Z467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Z470" i="1" l="1"/>
  <c r="Z464" i="1"/>
  <c r="Z251" i="1"/>
  <c r="Z221" i="1"/>
  <c r="Z475" i="1"/>
  <c r="Z193" i="1"/>
  <c r="Z117" i="1"/>
  <c r="Z96" i="1"/>
  <c r="Z178" i="1"/>
  <c r="Z127" i="1"/>
  <c r="Z260" i="1"/>
  <c r="Z58" i="1"/>
  <c r="Z496" i="1" s="1"/>
  <c r="Z32" i="1"/>
  <c r="Z305" i="1"/>
  <c r="Z204" i="1"/>
  <c r="Z77" i="1"/>
  <c r="Z440" i="1"/>
  <c r="Z381" i="1"/>
  <c r="Z268" i="1"/>
  <c r="Z449" i="1"/>
  <c r="Z395" i="1"/>
  <c r="Z235" i="1"/>
  <c r="Z434" i="1"/>
  <c r="Z350" i="1"/>
  <c r="Z331" i="1"/>
  <c r="Z216" i="1"/>
  <c r="Y492" i="1"/>
  <c r="Z312" i="1"/>
  <c r="Z104" i="1"/>
  <c r="Z296" i="1"/>
  <c r="Z172" i="1"/>
  <c r="Z70" i="1"/>
  <c r="Y491" i="1"/>
  <c r="Y493" i="1"/>
  <c r="Z149" i="1"/>
  <c r="Y495" i="1"/>
  <c r="Y494" i="1" l="1"/>
</calcChain>
</file>

<file path=xl/sharedStrings.xml><?xml version="1.0" encoding="utf-8"?>
<sst xmlns="http://schemas.openxmlformats.org/spreadsheetml/2006/main" count="2353" uniqueCount="769">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</sst>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topLeftCell="A313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6" t="s">
        <v>0</v>
      </c>
      <c r="E1" s="582"/>
      <c r="F1" s="582"/>
      <c r="G1" s="12" t="s">
        <v>1</v>
      </c>
      <c r="H1" s="636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9" t="s">
        <v>8</v>
      </c>
      <c r="B5" s="671"/>
      <c r="C5" s="672"/>
      <c r="D5" s="640"/>
      <c r="E5" s="641"/>
      <c r="F5" s="840" t="s">
        <v>9</v>
      </c>
      <c r="G5" s="672"/>
      <c r="H5" s="640" t="s">
        <v>768</v>
      </c>
      <c r="I5" s="786"/>
      <c r="J5" s="786"/>
      <c r="K5" s="786"/>
      <c r="L5" s="786"/>
      <c r="M5" s="641"/>
      <c r="N5" s="58"/>
      <c r="P5" s="24" t="s">
        <v>10</v>
      </c>
      <c r="Q5" s="851">
        <v>46001</v>
      </c>
      <c r="R5" s="678"/>
      <c r="T5" s="717" t="s">
        <v>11</v>
      </c>
      <c r="U5" s="718"/>
      <c r="V5" s="723" t="s">
        <v>12</v>
      </c>
      <c r="W5" s="678"/>
      <c r="AB5" s="51"/>
      <c r="AC5" s="51"/>
      <c r="AD5" s="51"/>
      <c r="AE5" s="51"/>
    </row>
    <row r="6" spans="1:32" s="539" customFormat="1" ht="24" customHeight="1" x14ac:dyDescent="0.2">
      <c r="A6" s="679" t="s">
        <v>13</v>
      </c>
      <c r="B6" s="671"/>
      <c r="C6" s="672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8"/>
      <c r="N6" s="59"/>
      <c r="P6" s="24" t="s">
        <v>15</v>
      </c>
      <c r="Q6" s="860" t="str">
        <f>IF(Q5=0," ",CHOOSE(WEEKDAY(Q5,2),"Понедельник","Вторник","Среда","Четверг","Пятница","Суббота","Воскресенье"))</f>
        <v>Среда</v>
      </c>
      <c r="R6" s="550"/>
      <c r="T6" s="731" t="s">
        <v>16</v>
      </c>
      <c r="U6" s="718"/>
      <c r="V6" s="769" t="s">
        <v>17</v>
      </c>
      <c r="W6" s="594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20" t="str">
        <f>IFERROR(VLOOKUP(DeliveryAddress,Table,3,0),1)</f>
        <v>1</v>
      </c>
      <c r="E7" s="621"/>
      <c r="F7" s="621"/>
      <c r="G7" s="621"/>
      <c r="H7" s="621"/>
      <c r="I7" s="621"/>
      <c r="J7" s="621"/>
      <c r="K7" s="621"/>
      <c r="L7" s="621"/>
      <c r="M7" s="622"/>
      <c r="N7" s="60"/>
      <c r="P7" s="24"/>
      <c r="Q7" s="42"/>
      <c r="R7" s="42"/>
      <c r="T7" s="559"/>
      <c r="U7" s="718"/>
      <c r="V7" s="770"/>
      <c r="W7" s="771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2"/>
      <c r="C8" s="563"/>
      <c r="D8" s="629" t="s">
        <v>19</v>
      </c>
      <c r="E8" s="630"/>
      <c r="F8" s="630"/>
      <c r="G8" s="630"/>
      <c r="H8" s="630"/>
      <c r="I8" s="630"/>
      <c r="J8" s="630"/>
      <c r="K8" s="630"/>
      <c r="L8" s="630"/>
      <c r="M8" s="631"/>
      <c r="N8" s="61"/>
      <c r="P8" s="24" t="s">
        <v>20</v>
      </c>
      <c r="Q8" s="685">
        <v>0.5</v>
      </c>
      <c r="R8" s="622"/>
      <c r="T8" s="559"/>
      <c r="U8" s="718"/>
      <c r="V8" s="770"/>
      <c r="W8" s="771"/>
      <c r="AB8" s="51"/>
      <c r="AC8" s="51"/>
      <c r="AD8" s="51"/>
      <c r="AE8" s="51"/>
    </row>
    <row r="9" spans="1:32" s="539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9"/>
      <c r="E9" s="566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7"/>
      <c r="P9" s="26" t="s">
        <v>21</v>
      </c>
      <c r="Q9" s="675"/>
      <c r="R9" s="676"/>
      <c r="T9" s="559"/>
      <c r="U9" s="718"/>
      <c r="V9" s="772"/>
      <c r="W9" s="773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9"/>
      <c r="E10" s="566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0"/>
      <c r="R10" s="721"/>
      <c r="U10" s="24" t="s">
        <v>23</v>
      </c>
      <c r="V10" s="593" t="s">
        <v>24</v>
      </c>
      <c r="W10" s="594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7"/>
      <c r="R11" s="678"/>
      <c r="U11" s="24" t="s">
        <v>27</v>
      </c>
      <c r="V11" s="766" t="s">
        <v>28</v>
      </c>
      <c r="W11" s="67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5"/>
      <c r="R12" s="62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766"/>
      <c r="R13" s="67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8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69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6" t="s">
        <v>38</v>
      </c>
      <c r="D17" s="596" t="s">
        <v>39</v>
      </c>
      <c r="E17" s="662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1"/>
      <c r="R17" s="661"/>
      <c r="S17" s="661"/>
      <c r="T17" s="662"/>
      <c r="U17" s="868" t="s">
        <v>51</v>
      </c>
      <c r="V17" s="672"/>
      <c r="W17" s="596" t="s">
        <v>52</v>
      </c>
      <c r="X17" s="596" t="s">
        <v>53</v>
      </c>
      <c r="Y17" s="866" t="s">
        <v>54</v>
      </c>
      <c r="Z17" s="764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3"/>
      <c r="E18" s="665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3"/>
      <c r="Q18" s="664"/>
      <c r="R18" s="664"/>
      <c r="S18" s="664"/>
      <c r="T18" s="665"/>
      <c r="U18" s="67" t="s">
        <v>61</v>
      </c>
      <c r="V18" s="67" t="s">
        <v>62</v>
      </c>
      <c r="W18" s="597"/>
      <c r="X18" s="597"/>
      <c r="Y18" s="867"/>
      <c r="Z18" s="765"/>
      <c r="AA18" s="758"/>
      <c r="AB18" s="758"/>
      <c r="AC18" s="758"/>
      <c r="AD18" s="835"/>
      <c r="AE18" s="836"/>
      <c r="AF18" s="837"/>
      <c r="AG18" s="66"/>
      <c r="BD18" s="65"/>
    </row>
    <row r="19" spans="1:68" ht="27.75" hidden="1" customHeight="1" x14ac:dyDescent="0.2">
      <c r="A19" s="568" t="s">
        <v>63</v>
      </c>
      <c r="B19" s="569"/>
      <c r="C19" s="569"/>
      <c r="D19" s="569"/>
      <c r="E19" s="569"/>
      <c r="F19" s="569"/>
      <c r="G19" s="569"/>
      <c r="H19" s="569"/>
      <c r="I19" s="569"/>
      <c r="J19" s="569"/>
      <c r="K19" s="569"/>
      <c r="L19" s="569"/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48"/>
      <c r="AB19" s="48"/>
      <c r="AC19" s="48"/>
    </row>
    <row r="20" spans="1:68" ht="16.5" hidden="1" customHeight="1" x14ac:dyDescent="0.25">
      <c r="A20" s="564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hidden="1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68" t="s">
        <v>103</v>
      </c>
      <c r="B38" s="569"/>
      <c r="C38" s="569"/>
      <c r="D38" s="569"/>
      <c r="E38" s="569"/>
      <c r="F38" s="569"/>
      <c r="G38" s="569"/>
      <c r="H38" s="569"/>
      <c r="I38" s="569"/>
      <c r="J38" s="569"/>
      <c r="K38" s="569"/>
      <c r="L38" s="569"/>
      <c r="M38" s="569"/>
      <c r="N38" s="569"/>
      <c r="O38" s="569"/>
      <c r="P38" s="569"/>
      <c r="Q38" s="569"/>
      <c r="R38" s="569"/>
      <c r="S38" s="569"/>
      <c r="T38" s="569"/>
      <c r="U38" s="569"/>
      <c r="V38" s="569"/>
      <c r="W38" s="569"/>
      <c r="X38" s="569"/>
      <c r="Y38" s="569"/>
      <c r="Z38" s="569"/>
      <c r="AA38" s="48"/>
      <c r="AB38" s="48"/>
      <c r="AC38" s="48"/>
    </row>
    <row r="39" spans="1:68" ht="16.5" hidden="1" customHeight="1" x14ac:dyDescent="0.25">
      <c r="A39" s="564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hidden="1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79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50</v>
      </c>
      <c r="Y41" s="546">
        <f>IFERROR(IF(X41="",0,CEILING((X41/$H41),1)*$H41),"")</f>
        <v>54</v>
      </c>
      <c r="Z41" s="36">
        <f>IFERROR(IF(Y41=0,"",ROUNDUP(Y41/H41,0)*0.01898),"")</f>
        <v>9.4899999999999998E-2</v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51.898148148148145</v>
      </c>
      <c r="BN41" s="64">
        <f>IFERROR(Y41*I41/H41,"0")</f>
        <v>56.05</v>
      </c>
      <c r="BO41" s="64">
        <f>IFERROR(1/J41*(X41/H41),"0")</f>
        <v>7.2337962962962965E-2</v>
      </c>
      <c r="BP41" s="64">
        <f>IFERROR(1/J41*(Y41/H41),"0")</f>
        <v>7.8125E-2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7">
        <f>IFERROR(X41/H41,"0")+IFERROR(X42/H42,"0")+IFERROR(X43/H43,"0")</f>
        <v>4.6296296296296298</v>
      </c>
      <c r="Y44" s="547">
        <f>IFERROR(Y41/H41,"0")+IFERROR(Y42/H42,"0")+IFERROR(Y43/H43,"0")</f>
        <v>5</v>
      </c>
      <c r="Z44" s="547">
        <f>IFERROR(IF(Z41="",0,Z41),"0")+IFERROR(IF(Z42="",0,Z42),"0")+IFERROR(IF(Z43="",0,Z43),"0")</f>
        <v>9.4899999999999998E-2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7">
        <f>IFERROR(SUM(X41:X43),"0")</f>
        <v>50</v>
      </c>
      <c r="Y45" s="547">
        <f>IFERROR(SUM(Y41:Y43),"0")</f>
        <v>54</v>
      </c>
      <c r="Z45" s="37"/>
      <c r="AA45" s="548"/>
      <c r="AB45" s="548"/>
      <c r="AC45" s="548"/>
    </row>
    <row r="46" spans="1:68" ht="14.25" hidden="1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hidden="1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64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hidden="1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hidden="1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50</v>
      </c>
      <c r="Y53" s="546">
        <f t="shared" si="0"/>
        <v>54</v>
      </c>
      <c r="Z53" s="36">
        <f>IFERROR(IF(Y53=0,"",ROUNDUP(Y53/H53,0)*0.01898),"")</f>
        <v>9.4899999999999998E-2</v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51.898148148148145</v>
      </c>
      <c r="BN53" s="64">
        <f t="shared" si="2"/>
        <v>56.05</v>
      </c>
      <c r="BO53" s="64">
        <f t="shared" si="3"/>
        <v>7.2337962962962965E-2</v>
      </c>
      <c r="BP53" s="64">
        <f t="shared" si="4"/>
        <v>7.8125E-2</v>
      </c>
    </row>
    <row r="54" spans="1:68" ht="27" hidden="1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45</v>
      </c>
      <c r="Y57" s="546">
        <f t="shared" si="0"/>
        <v>45</v>
      </c>
      <c r="Z57" s="36">
        <f>IFERROR(IF(Y57=0,"",ROUNDUP(Y57/H57,0)*0.00902),"")</f>
        <v>9.0200000000000002E-2</v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46.900000000000006</v>
      </c>
      <c r="BN57" s="64">
        <f t="shared" si="2"/>
        <v>46.900000000000006</v>
      </c>
      <c r="BO57" s="64">
        <f t="shared" si="3"/>
        <v>7.575757575757576E-2</v>
      </c>
      <c r="BP57" s="64">
        <f t="shared" si="4"/>
        <v>7.575757575757576E-2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7">
        <f>IFERROR(X52/H52,"0")+IFERROR(X53/H53,"0")+IFERROR(X54/H54,"0")+IFERROR(X55/H55,"0")+IFERROR(X56/H56,"0")+IFERROR(X57/H57,"0")</f>
        <v>14.62962962962963</v>
      </c>
      <c r="Y58" s="547">
        <f>IFERROR(Y52/H52,"0")+IFERROR(Y53/H53,"0")+IFERROR(Y54/H54,"0")+IFERROR(Y55/H55,"0")+IFERROR(Y56/H56,"0")+IFERROR(Y57/H57,"0")</f>
        <v>15</v>
      </c>
      <c r="Z58" s="547">
        <f>IFERROR(IF(Z52="",0,Z52),"0")+IFERROR(IF(Z53="",0,Z53),"0")+IFERROR(IF(Z54="",0,Z54),"0")+IFERROR(IF(Z55="",0,Z55),"0")+IFERROR(IF(Z56="",0,Z56),"0")+IFERROR(IF(Z57="",0,Z57),"0")</f>
        <v>0.18509999999999999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7">
        <f>IFERROR(SUM(X52:X57),"0")</f>
        <v>95</v>
      </c>
      <c r="Y59" s="547">
        <f>IFERROR(SUM(Y52:Y57),"0")</f>
        <v>99</v>
      </c>
      <c r="Z59" s="37"/>
      <c r="AA59" s="548"/>
      <c r="AB59" s="548"/>
      <c r="AC59" s="548"/>
    </row>
    <row r="60" spans="1:68" ht="14.25" hidden="1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8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50</v>
      </c>
      <c r="Y61" s="546">
        <f>IFERROR(IF(X61="",0,CEILING((X61/$H61),1)*$H61),"")</f>
        <v>54</v>
      </c>
      <c r="Z61" s="36">
        <f>IFERROR(IF(Y61=0,"",ROUNDUP(Y61/H61,0)*0.01898),"")</f>
        <v>9.4899999999999998E-2</v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51.898148148148145</v>
      </c>
      <c r="BN61" s="64">
        <f>IFERROR(Y61*I61/H61,"0")</f>
        <v>56.05</v>
      </c>
      <c r="BO61" s="64">
        <f>IFERROR(1/J61*(X61/H61),"0")</f>
        <v>7.2337962962962965E-2</v>
      </c>
      <c r="BP61" s="64">
        <f>IFERROR(1/J61*(Y61/H61),"0")</f>
        <v>7.8125E-2</v>
      </c>
    </row>
    <row r="62" spans="1:68" ht="16.5" hidden="1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45</v>
      </c>
      <c r="Y63" s="546">
        <f>IFERROR(IF(X63="",0,CEILING((X63/$H63),1)*$H63),"")</f>
        <v>45.900000000000006</v>
      </c>
      <c r="Z63" s="36">
        <f>IFERROR(IF(Y63=0,"",ROUNDUP(Y63/H63,0)*0.00651),"")</f>
        <v>0.11067</v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47.999999999999993</v>
      </c>
      <c r="BN63" s="64">
        <f>IFERROR(Y63*I63/H63,"0")</f>
        <v>48.96</v>
      </c>
      <c r="BO63" s="64">
        <f>IFERROR(1/J63*(X63/H63),"0")</f>
        <v>9.1575091575091569E-2</v>
      </c>
      <c r="BP63" s="64">
        <f>IFERROR(1/J63*(Y63/H63),"0")</f>
        <v>9.3406593406593408E-2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7">
        <f>IFERROR(X61/H61,"0")+IFERROR(X62/H62,"0")+IFERROR(X63/H63,"0")</f>
        <v>21.296296296296294</v>
      </c>
      <c r="Y64" s="547">
        <f>IFERROR(Y61/H61,"0")+IFERROR(Y62/H62,"0")+IFERROR(Y63/H63,"0")</f>
        <v>22</v>
      </c>
      <c r="Z64" s="547">
        <f>IFERROR(IF(Z61="",0,Z61),"0")+IFERROR(IF(Z62="",0,Z62),"0")+IFERROR(IF(Z63="",0,Z63),"0")</f>
        <v>0.20557</v>
      </c>
      <c r="AA64" s="548"/>
      <c r="AB64" s="548"/>
      <c r="AC64" s="548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7">
        <f>IFERROR(SUM(X61:X63),"0")</f>
        <v>95</v>
      </c>
      <c r="Y65" s="547">
        <f>IFERROR(SUM(Y61:Y63),"0")</f>
        <v>99.9</v>
      </c>
      <c r="Z65" s="37"/>
      <c r="AA65" s="548"/>
      <c r="AB65" s="548"/>
      <c r="AC65" s="548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hidden="1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hidden="1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hidden="1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64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hidden="1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hidden="1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9</v>
      </c>
      <c r="Y88" s="546">
        <f>IFERROR(IF(X88="",0,CEILING((X88/$H88),1)*$H88),"")</f>
        <v>9</v>
      </c>
      <c r="Z88" s="36">
        <f>IFERROR(IF(Y88=0,"",ROUNDUP(Y88/H88,0)*0.00902),"")</f>
        <v>1.804E-2</v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9.3800000000000008</v>
      </c>
      <c r="BN88" s="64">
        <f>IFERROR(Y88*I88/H88,"0")</f>
        <v>9.3800000000000008</v>
      </c>
      <c r="BO88" s="64">
        <f>IFERROR(1/J88*(X88/H88),"0")</f>
        <v>1.5151515151515152E-2</v>
      </c>
      <c r="BP88" s="64">
        <f>IFERROR(1/J88*(Y88/H88),"0")</f>
        <v>1.5151515151515152E-2</v>
      </c>
    </row>
    <row r="89" spans="1:68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7">
        <f>IFERROR(X86/H86,"0")+IFERROR(X87/H87,"0")+IFERROR(X88/H88,"0")</f>
        <v>2</v>
      </c>
      <c r="Y89" s="547">
        <f>IFERROR(Y86/H86,"0")+IFERROR(Y87/H87,"0")+IFERROR(Y88/H88,"0")</f>
        <v>2</v>
      </c>
      <c r="Z89" s="547">
        <f>IFERROR(IF(Z86="",0,Z86),"0")+IFERROR(IF(Z87="",0,Z87),"0")+IFERROR(IF(Z88="",0,Z88),"0")</f>
        <v>1.804E-2</v>
      </c>
      <c r="AA89" s="548"/>
      <c r="AB89" s="548"/>
      <c r="AC89" s="548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7">
        <f>IFERROR(SUM(X86:X88),"0")</f>
        <v>9</v>
      </c>
      <c r="Y90" s="547">
        <f>IFERROR(SUM(Y86:Y88),"0")</f>
        <v>9</v>
      </c>
      <c r="Z90" s="37"/>
      <c r="AA90" s="548"/>
      <c r="AB90" s="548"/>
      <c r="AC90" s="548"/>
    </row>
    <row r="91" spans="1:68" ht="14.25" hidden="1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hidden="1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0</v>
      </c>
      <c r="Y92" s="54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2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1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7">
        <f>IFERROR(X92/H92,"0")+IFERROR(X93/H93,"0")+IFERROR(X94/H94,"0")+IFERROR(X95/H95,"0")</f>
        <v>0</v>
      </c>
      <c r="Y96" s="547">
        <f>IFERROR(Y92/H92,"0")+IFERROR(Y93/H93,"0")+IFERROR(Y94/H94,"0")+IFERROR(Y95/H95,"0")</f>
        <v>0</v>
      </c>
      <c r="Z96" s="547">
        <f>IFERROR(IF(Z92="",0,Z92),"0")+IFERROR(IF(Z93="",0,Z93),"0")+IFERROR(IF(Z94="",0,Z94),"0")+IFERROR(IF(Z95="",0,Z95),"0")</f>
        <v>0</v>
      </c>
      <c r="AA96" s="548"/>
      <c r="AB96" s="548"/>
      <c r="AC96" s="548"/>
    </row>
    <row r="97" spans="1:68" hidden="1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7">
        <f>IFERROR(SUM(X92:X95),"0")</f>
        <v>0</v>
      </c>
      <c r="Y97" s="547">
        <f>IFERROR(SUM(Y92:Y95),"0")</f>
        <v>0</v>
      </c>
      <c r="Z97" s="37"/>
      <c r="AA97" s="548"/>
      <c r="AB97" s="548"/>
      <c r="AC97" s="548"/>
    </row>
    <row r="98" spans="1:68" ht="16.5" hidden="1" customHeight="1" x14ac:dyDescent="0.25">
      <c r="A98" s="564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hidden="1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hidden="1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2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7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7">
        <f>IFERROR(X100/H100,"0")+IFERROR(X101/H101,"0")+IFERROR(X102/H102,"0")+IFERROR(X103/H103,"0")</f>
        <v>0</v>
      </c>
      <c r="Y104" s="547">
        <f>IFERROR(Y100/H100,"0")+IFERROR(Y101/H101,"0")+IFERROR(Y102/H102,"0")+IFERROR(Y103/H103,"0")</f>
        <v>0</v>
      </c>
      <c r="Z104" s="547">
        <f>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hidden="1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7">
        <f>IFERROR(SUM(X100:X103),"0")</f>
        <v>0</v>
      </c>
      <c r="Y105" s="547">
        <f>IFERROR(SUM(Y100:Y103),"0")</f>
        <v>0</v>
      </c>
      <c r="Z105" s="37"/>
      <c r="AA105" s="548"/>
      <c r="AB105" s="548"/>
      <c r="AC105" s="548"/>
    </row>
    <row r="106" spans="1:68" ht="14.25" hidden="1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hidden="1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hidden="1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6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15</v>
      </c>
      <c r="Y113" s="546">
        <f>IFERROR(IF(X113="",0,CEILING((X113/$H113),1)*$H113),"")</f>
        <v>16.2</v>
      </c>
      <c r="Z113" s="36">
        <f>IFERROR(IF(Y113=0,"",ROUNDUP(Y113/H113,0)*0.01898),"")</f>
        <v>3.7960000000000001E-2</v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15.903703703703703</v>
      </c>
      <c r="BN113" s="64">
        <f>IFERROR(Y113*I113/H113,"0")</f>
        <v>17.175999999999998</v>
      </c>
      <c r="BO113" s="64">
        <f>IFERROR(1/J113*(X113/H113),"0")</f>
        <v>2.8935185185185185E-2</v>
      </c>
      <c r="BP113" s="64">
        <f>IFERROR(1/J113*(Y113/H113),"0")</f>
        <v>3.125E-2</v>
      </c>
    </row>
    <row r="114" spans="1:68" ht="27" hidden="1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1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5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7">
        <f>IFERROR(X113/H113,"0")+IFERROR(X114/H114,"0")+IFERROR(X115/H115,"0")+IFERROR(X116/H116,"0")</f>
        <v>1.8518518518518519</v>
      </c>
      <c r="Y117" s="547">
        <f>IFERROR(Y113/H113,"0")+IFERROR(Y114/H114,"0")+IFERROR(Y115/H115,"0")+IFERROR(Y116/H116,"0")</f>
        <v>2</v>
      </c>
      <c r="Z117" s="547">
        <f>IFERROR(IF(Z113="",0,Z113),"0")+IFERROR(IF(Z114="",0,Z114),"0")+IFERROR(IF(Z115="",0,Z115),"0")+IFERROR(IF(Z116="",0,Z116),"0")</f>
        <v>3.7960000000000001E-2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7">
        <f>IFERROR(SUM(X113:X116),"0")</f>
        <v>15</v>
      </c>
      <c r="Y118" s="547">
        <f>IFERROR(SUM(Y113:Y116),"0")</f>
        <v>16.2</v>
      </c>
      <c r="Z118" s="37"/>
      <c r="AA118" s="548"/>
      <c r="AB118" s="548"/>
      <c r="AC118" s="548"/>
    </row>
    <row r="119" spans="1:68" ht="14.25" hidden="1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hidden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hidden="1" customHeight="1" x14ac:dyDescent="0.25">
      <c r="A123" s="564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hidden="1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hidden="1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hidden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hidden="1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hidden="1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4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hidden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hidden="1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hidden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hidden="1" customHeight="1" x14ac:dyDescent="0.25">
      <c r="A139" s="564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hidden="1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hidden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hidden="1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8</v>
      </c>
      <c r="Y146" s="546">
        <f>IFERROR(IF(X146="",0,CEILING((X146/$H146),1)*$H146),"")</f>
        <v>9</v>
      </c>
      <c r="Z146" s="36">
        <f>IFERROR(IF(Y146=0,"",ROUNDUP(Y146/H146,0)*0.01898),"")</f>
        <v>1.898E-2</v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8.4977777777777774</v>
      </c>
      <c r="BN146" s="64">
        <f>IFERROR(Y146*I146/H146,"0")</f>
        <v>9.56</v>
      </c>
      <c r="BO146" s="64">
        <f>IFERROR(1/J146*(X146/H146),"0")</f>
        <v>1.3888888888888888E-2</v>
      </c>
      <c r="BP146" s="64">
        <f>IFERROR(1/J146*(Y146/H146),"0")</f>
        <v>1.5625E-2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8</v>
      </c>
      <c r="Y148" s="546">
        <f>IFERROR(IF(X148="",0,CEILING((X148/$H148),1)*$H148),"")</f>
        <v>9</v>
      </c>
      <c r="Z148" s="36">
        <f>IFERROR(IF(Y148=0,"",ROUNDUP(Y148/H148,0)*0.01898),"")</f>
        <v>1.898E-2</v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8.4977777777777774</v>
      </c>
      <c r="BN148" s="64">
        <f>IFERROR(Y148*I148/H148,"0")</f>
        <v>9.56</v>
      </c>
      <c r="BO148" s="64">
        <f>IFERROR(1/J148*(X148/H148),"0")</f>
        <v>1.3888888888888888E-2</v>
      </c>
      <c r="BP148" s="64">
        <f>IFERROR(1/J148*(Y148/H148),"0")</f>
        <v>1.5625E-2</v>
      </c>
    </row>
    <row r="149" spans="1:68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7">
        <f>IFERROR(X146/H146,"0")+IFERROR(X147/H147,"0")+IFERROR(X148/H148,"0")</f>
        <v>1.7777777777777777</v>
      </c>
      <c r="Y149" s="547">
        <f>IFERROR(Y146/H146,"0")+IFERROR(Y147/H147,"0")+IFERROR(Y148/H148,"0")</f>
        <v>2</v>
      </c>
      <c r="Z149" s="547">
        <f>IFERROR(IF(Z146="",0,Z146),"0")+IFERROR(IF(Z147="",0,Z147),"0")+IFERROR(IF(Z148="",0,Z148),"0")</f>
        <v>3.7960000000000001E-2</v>
      </c>
      <c r="AA149" s="548"/>
      <c r="AB149" s="548"/>
      <c r="AC149" s="548"/>
    </row>
    <row r="150" spans="1:68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7">
        <f>IFERROR(SUM(X146:X148),"0")</f>
        <v>16</v>
      </c>
      <c r="Y150" s="547">
        <f>IFERROR(SUM(Y146:Y148),"0")</f>
        <v>18</v>
      </c>
      <c r="Z150" s="37"/>
      <c r="AA150" s="548"/>
      <c r="AB150" s="548"/>
      <c r="AC150" s="548"/>
    </row>
    <row r="151" spans="1:68" ht="14.25" hidden="1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hidden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hidden="1" customHeight="1" x14ac:dyDescent="0.2">
      <c r="A155" s="568" t="s">
        <v>254</v>
      </c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69"/>
      <c r="P155" s="569"/>
      <c r="Q155" s="569"/>
      <c r="R155" s="569"/>
      <c r="S155" s="569"/>
      <c r="T155" s="569"/>
      <c r="U155" s="569"/>
      <c r="V155" s="569"/>
      <c r="W155" s="569"/>
      <c r="X155" s="569"/>
      <c r="Y155" s="569"/>
      <c r="Z155" s="569"/>
      <c r="AA155" s="48"/>
      <c r="AB155" s="48"/>
      <c r="AC155" s="48"/>
    </row>
    <row r="156" spans="1:68" ht="16.5" hidden="1" customHeight="1" x14ac:dyDescent="0.25">
      <c r="A156" s="564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hidden="1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hidden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hidden="1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5</v>
      </c>
      <c r="Y162" s="546">
        <f t="shared" ref="Y162:Y171" si="5">IFERROR(IF(X162="",0,CEILING((X162/$H162),1)*$H162),"")</f>
        <v>8.4</v>
      </c>
      <c r="Z162" s="36">
        <f>IFERROR(IF(Y162=0,"",ROUNDUP(Y162/H162,0)*0.00902),"")</f>
        <v>1.804E-2</v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5.2976190476190474</v>
      </c>
      <c r="BN162" s="64">
        <f t="shared" ref="BN162:BN171" si="7">IFERROR(Y162*I162/H162,"0")</f>
        <v>8.9</v>
      </c>
      <c r="BO162" s="64">
        <f t="shared" ref="BO162:BO171" si="8">IFERROR(1/J162*(X162/H162),"0")</f>
        <v>9.0187590187590181E-3</v>
      </c>
      <c r="BP162" s="64">
        <f t="shared" ref="BP162:BP171" si="9">IFERROR(1/J162*(Y162/H162),"0")</f>
        <v>1.5151515151515152E-2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8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6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1.1904761904761905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2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1.804E-2</v>
      </c>
      <c r="AA172" s="548"/>
      <c r="AB172" s="548"/>
      <c r="AC172" s="548"/>
    </row>
    <row r="173" spans="1:68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7">
        <f>IFERROR(SUM(X162:X171),"0")</f>
        <v>5</v>
      </c>
      <c r="Y173" s="547">
        <f>IFERROR(SUM(Y162:Y171),"0")</f>
        <v>8.4</v>
      </c>
      <c r="Z173" s="37"/>
      <c r="AA173" s="548"/>
      <c r="AB173" s="548"/>
      <c r="AC173" s="548"/>
    </row>
    <row r="174" spans="1:68" ht="14.25" hidden="1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9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hidden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hidden="1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hidden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hidden="1" customHeight="1" x14ac:dyDescent="0.25">
      <c r="A184" s="564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hidden="1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hidden="1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hidden="1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7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0</v>
      </c>
      <c r="Y196" s="546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7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0</v>
      </c>
      <c r="Y197" s="546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0</v>
      </c>
      <c r="Y198" s="546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0</v>
      </c>
      <c r="Y204" s="547">
        <f>IFERROR(Y196/H196,"0")+IFERROR(Y197/H197,"0")+IFERROR(Y198/H198,"0")+IFERROR(Y199/H199,"0")+IFERROR(Y200/H200,"0")+IFERROR(Y201/H201,"0")+IFERROR(Y202/H202,"0")+IFERROR(Y203/H203,"0")</f>
        <v>0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8"/>
      <c r="AB204" s="548"/>
      <c r="AC204" s="548"/>
    </row>
    <row r="205" spans="1:68" hidden="1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7">
        <f>IFERROR(SUM(X196:X203),"0")</f>
        <v>0</v>
      </c>
      <c r="Y205" s="547">
        <f>IFERROR(SUM(Y196:Y203),"0")</f>
        <v>0</v>
      </c>
      <c r="Z205" s="37"/>
      <c r="AA205" s="548"/>
      <c r="AB205" s="548"/>
      <c r="AC205" s="548"/>
    </row>
    <row r="206" spans="1:68" ht="14.25" hidden="1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5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6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0</v>
      </c>
      <c r="Y212" s="546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0</v>
      </c>
      <c r="Y213" s="546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0</v>
      </c>
      <c r="Y216" s="547">
        <f>IFERROR(Y207/H207,"0")+IFERROR(Y208/H208,"0")+IFERROR(Y209/H209,"0")+IFERROR(Y210/H210,"0")+IFERROR(Y211/H211,"0")+IFERROR(Y212/H212,"0")+IFERROR(Y213/H213,"0")+IFERROR(Y214/H214,"0")+IFERROR(Y215/H215,"0")</f>
        <v>0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8"/>
      <c r="AB216" s="548"/>
      <c r="AC216" s="548"/>
    </row>
    <row r="217" spans="1:68" hidden="1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7">
        <f>IFERROR(SUM(X207:X215),"0")</f>
        <v>0</v>
      </c>
      <c r="Y217" s="547">
        <f>IFERROR(SUM(Y207:Y215),"0")</f>
        <v>0</v>
      </c>
      <c r="Z217" s="37"/>
      <c r="AA217" s="548"/>
      <c r="AB217" s="548"/>
      <c r="AC217" s="548"/>
    </row>
    <row r="218" spans="1:68" ht="14.25" hidden="1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hidden="1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hidden="1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hidden="1" customHeight="1" x14ac:dyDescent="0.25">
      <c r="A223" s="564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hidden="1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1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hidden="1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hidden="1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hidden="1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hidden="1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hidden="1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hidden="1" customHeight="1" x14ac:dyDescent="0.25">
      <c r="A253" s="564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hidden="1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40</v>
      </c>
      <c r="Y257" s="546">
        <f>IFERROR(IF(X257="",0,CEILING((X257/$H257),1)*$H257),"")</f>
        <v>43.2</v>
      </c>
      <c r="Z257" s="36">
        <f>IFERROR(IF(Y257=0,"",ROUNDUP(Y257/H257,0)*0.01898),"")</f>
        <v>7.5920000000000001E-2</v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41.518518518518519</v>
      </c>
      <c r="BN257" s="64">
        <f>IFERROR(Y257*I257/H257,"0")</f>
        <v>44.84</v>
      </c>
      <c r="BO257" s="64">
        <f>IFERROR(1/J257*(X257/H257),"0")</f>
        <v>5.7870370370370364E-2</v>
      </c>
      <c r="BP257" s="64">
        <f>IFERROR(1/J257*(Y257/H257),"0")</f>
        <v>6.25E-2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4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7">
        <f>IFERROR(X255/H255,"0")+IFERROR(X256/H256,"0")+IFERROR(X257/H257,"0")+IFERROR(X258/H258,"0")+IFERROR(X259/H259,"0")</f>
        <v>3.7037037037037033</v>
      </c>
      <c r="Y260" s="547">
        <f>IFERROR(Y255/H255,"0")+IFERROR(Y256/H256,"0")+IFERROR(Y257/H257,"0")+IFERROR(Y258/H258,"0")+IFERROR(Y259/H259,"0")</f>
        <v>4</v>
      </c>
      <c r="Z260" s="547">
        <f>IFERROR(IF(Z255="",0,Z255),"0")+IFERROR(IF(Z256="",0,Z256),"0")+IFERROR(IF(Z257="",0,Z257),"0")+IFERROR(IF(Z258="",0,Z258),"0")+IFERROR(IF(Z259="",0,Z259),"0")</f>
        <v>7.5920000000000001E-2</v>
      </c>
      <c r="AA260" s="548"/>
      <c r="AB260" s="548"/>
      <c r="AC260" s="548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7">
        <f>IFERROR(SUM(X255:X259),"0")</f>
        <v>40</v>
      </c>
      <c r="Y261" s="547">
        <f>IFERROR(SUM(Y255:Y259),"0")</f>
        <v>43.2</v>
      </c>
      <c r="Z261" s="37"/>
      <c r="AA261" s="548"/>
      <c r="AB261" s="548"/>
      <c r="AC261" s="548"/>
    </row>
    <row r="262" spans="1:68" ht="16.5" hidden="1" customHeight="1" x14ac:dyDescent="0.25">
      <c r="A262" s="564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hidden="1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7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2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hidden="1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hidden="1" customHeight="1" x14ac:dyDescent="0.25">
      <c r="A270" s="564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hidden="1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6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hidden="1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hidden="1" customHeight="1" x14ac:dyDescent="0.25">
      <c r="A277" s="564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hidden="1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hidden="1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hidden="1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hidden="1" customHeight="1" x14ac:dyDescent="0.25">
      <c r="A288" s="564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hidden="1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hidden="1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40</v>
      </c>
      <c r="Y291" s="546">
        <f t="shared" si="26"/>
        <v>43.2</v>
      </c>
      <c r="Z291" s="36">
        <f>IFERROR(IF(Y291=0,"",ROUNDUP(Y291/H291,0)*0.01898),"")</f>
        <v>7.5920000000000001E-2</v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41.518518518518519</v>
      </c>
      <c r="BN291" s="64">
        <f t="shared" si="28"/>
        <v>44.84</v>
      </c>
      <c r="BO291" s="64">
        <f t="shared" si="29"/>
        <v>5.7870370370370364E-2</v>
      </c>
      <c r="BP291" s="64">
        <f t="shared" si="30"/>
        <v>6.25E-2</v>
      </c>
    </row>
    <row r="292" spans="1:68" ht="37.5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40</v>
      </c>
      <c r="Y292" s="546">
        <f t="shared" si="26"/>
        <v>43.2</v>
      </c>
      <c r="Z292" s="36">
        <f>IFERROR(IF(Y292=0,"",ROUNDUP(Y292/H292,0)*0.01898),"")</f>
        <v>7.5920000000000001E-2</v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41.518518518518519</v>
      </c>
      <c r="BN292" s="64">
        <f t="shared" si="28"/>
        <v>44.84</v>
      </c>
      <c r="BO292" s="64">
        <f t="shared" si="29"/>
        <v>5.7870370370370364E-2</v>
      </c>
      <c r="BP292" s="64">
        <f t="shared" si="30"/>
        <v>6.25E-2</v>
      </c>
    </row>
    <row r="293" spans="1:68" ht="27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120</v>
      </c>
      <c r="Y293" s="546">
        <f t="shared" si="26"/>
        <v>129.60000000000002</v>
      </c>
      <c r="Z293" s="36">
        <f>IFERROR(IF(Y293=0,"",ROUNDUP(Y293/H293,0)*0.01898),"")</f>
        <v>0.22776000000000002</v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124.55555555555556</v>
      </c>
      <c r="BN293" s="64">
        <f t="shared" si="28"/>
        <v>134.52000000000001</v>
      </c>
      <c r="BO293" s="64">
        <f t="shared" si="29"/>
        <v>0.1736111111111111</v>
      </c>
      <c r="BP293" s="64">
        <f t="shared" si="30"/>
        <v>0.18750000000000003</v>
      </c>
    </row>
    <row r="294" spans="1:68" ht="27" hidden="1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28</v>
      </c>
      <c r="Y295" s="546">
        <f t="shared" si="26"/>
        <v>28</v>
      </c>
      <c r="Z295" s="36">
        <f>IFERROR(IF(Y295=0,"",ROUNDUP(Y295/H295,0)*0.00902),"")</f>
        <v>6.3140000000000002E-2</v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29.330000000000002</v>
      </c>
      <c r="BN295" s="64">
        <f t="shared" si="28"/>
        <v>29.330000000000002</v>
      </c>
      <c r="BO295" s="64">
        <f t="shared" si="29"/>
        <v>5.3030303030303032E-2</v>
      </c>
      <c r="BP295" s="64">
        <f t="shared" si="30"/>
        <v>5.3030303030303032E-2</v>
      </c>
    </row>
    <row r="296" spans="1:68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1" t="s">
        <v>76</v>
      </c>
      <c r="Q296" s="562"/>
      <c r="R296" s="562"/>
      <c r="S296" s="562"/>
      <c r="T296" s="562"/>
      <c r="U296" s="562"/>
      <c r="V296" s="563"/>
      <c r="W296" s="37" t="s">
        <v>77</v>
      </c>
      <c r="X296" s="547">
        <f>IFERROR(X290/H290,"0")+IFERROR(X291/H291,"0")+IFERROR(X292/H292,"0")+IFERROR(X293/H293,"0")+IFERROR(X294/H294,"0")+IFERROR(X295/H295,"0")</f>
        <v>25.518518518518519</v>
      </c>
      <c r="Y296" s="547">
        <f>IFERROR(Y290/H290,"0")+IFERROR(Y291/H291,"0")+IFERROR(Y292/H292,"0")+IFERROR(Y293/H293,"0")+IFERROR(Y294/H294,"0")+IFERROR(Y295/H295,"0")</f>
        <v>27</v>
      </c>
      <c r="Z296" s="547">
        <f>IFERROR(IF(Z290="",0,Z290),"0")+IFERROR(IF(Z291="",0,Z291),"0")+IFERROR(IF(Z292="",0,Z292),"0")+IFERROR(IF(Z293="",0,Z293),"0")+IFERROR(IF(Z294="",0,Z294),"0")+IFERROR(IF(Z295="",0,Z295),"0")</f>
        <v>0.44274000000000002</v>
      </c>
      <c r="AA296" s="548"/>
      <c r="AB296" s="548"/>
      <c r="AC296" s="548"/>
    </row>
    <row r="297" spans="1:68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1" t="s">
        <v>76</v>
      </c>
      <c r="Q297" s="562"/>
      <c r="R297" s="562"/>
      <c r="S297" s="562"/>
      <c r="T297" s="562"/>
      <c r="U297" s="562"/>
      <c r="V297" s="563"/>
      <c r="W297" s="37" t="s">
        <v>70</v>
      </c>
      <c r="X297" s="547">
        <f>IFERROR(SUM(X290:X295),"0")</f>
        <v>228</v>
      </c>
      <c r="Y297" s="547">
        <f>IFERROR(SUM(Y290:Y295),"0")</f>
        <v>244.00000000000003</v>
      </c>
      <c r="Z297" s="37"/>
      <c r="AA297" s="548"/>
      <c r="AB297" s="548"/>
      <c r="AC297" s="548"/>
    </row>
    <row r="298" spans="1:68" ht="14.25" hidden="1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30</v>
      </c>
      <c r="Y299" s="546">
        <f t="shared" ref="Y299:Y304" si="31">IFERROR(IF(X299="",0,CEILING((X299/$H299),1)*$H299),"")</f>
        <v>33.6</v>
      </c>
      <c r="Z299" s="36">
        <f>IFERROR(IF(Y299=0,"",ROUNDUP(Y299/H299,0)*0.00902),"")</f>
        <v>7.2160000000000002E-2</v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31.785714285714285</v>
      </c>
      <c r="BN299" s="64">
        <f t="shared" ref="BN299:BN304" si="33">IFERROR(Y299*I299/H299,"0")</f>
        <v>35.6</v>
      </c>
      <c r="BO299" s="64">
        <f t="shared" ref="BO299:BO304" si="34">IFERROR(1/J299*(X299/H299),"0")</f>
        <v>5.4112554112554112E-2</v>
      </c>
      <c r="BP299" s="64">
        <f t="shared" ref="BP299:BP304" si="35">IFERROR(1/J299*(Y299/H299),"0")</f>
        <v>6.0606060606060608E-2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9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100</v>
      </c>
      <c r="Y300" s="546">
        <f t="shared" si="31"/>
        <v>100.80000000000001</v>
      </c>
      <c r="Z300" s="36">
        <f>IFERROR(IF(Y300=0,"",ROUNDUP(Y300/H300,0)*0.00902),"")</f>
        <v>0.21648000000000001</v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105.95238095238095</v>
      </c>
      <c r="BN300" s="64">
        <f t="shared" si="33"/>
        <v>106.80000000000001</v>
      </c>
      <c r="BO300" s="64">
        <f t="shared" si="34"/>
        <v>0.18037518037518038</v>
      </c>
      <c r="BP300" s="64">
        <f t="shared" si="35"/>
        <v>0.18181818181818182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6.3</v>
      </c>
      <c r="Y302" s="546">
        <f t="shared" si="31"/>
        <v>6.3000000000000007</v>
      </c>
      <c r="Z302" s="36">
        <f>IFERROR(IF(Y302=0,"",ROUNDUP(Y302/H302,0)*0.00502),"")</f>
        <v>1.506E-2</v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6.6899999999999995</v>
      </c>
      <c r="BN302" s="64">
        <f t="shared" si="33"/>
        <v>6.69</v>
      </c>
      <c r="BO302" s="64">
        <f t="shared" si="34"/>
        <v>1.2820512820512822E-2</v>
      </c>
      <c r="BP302" s="64">
        <f t="shared" si="35"/>
        <v>1.2820512820512822E-2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7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1" t="s">
        <v>76</v>
      </c>
      <c r="Q305" s="562"/>
      <c r="R305" s="562"/>
      <c r="S305" s="562"/>
      <c r="T305" s="562"/>
      <c r="U305" s="562"/>
      <c r="V305" s="563"/>
      <c r="W305" s="37" t="s">
        <v>77</v>
      </c>
      <c r="X305" s="547">
        <f>IFERROR(X299/H299,"0")+IFERROR(X300/H300,"0")+IFERROR(X301/H301,"0")+IFERROR(X302/H302,"0")+IFERROR(X303/H303,"0")+IFERROR(X304/H304,"0")</f>
        <v>33.952380952380949</v>
      </c>
      <c r="Y305" s="547">
        <f>IFERROR(Y299/H299,"0")+IFERROR(Y300/H300,"0")+IFERROR(Y301/H301,"0")+IFERROR(Y302/H302,"0")+IFERROR(Y303/H303,"0")+IFERROR(Y304/H304,"0")</f>
        <v>35</v>
      </c>
      <c r="Z305" s="547">
        <f>IFERROR(IF(Z299="",0,Z299),"0")+IFERROR(IF(Z300="",0,Z300),"0")+IFERROR(IF(Z301="",0,Z301),"0")+IFERROR(IF(Z302="",0,Z302),"0")+IFERROR(IF(Z303="",0,Z303),"0")+IFERROR(IF(Z304="",0,Z304),"0")</f>
        <v>0.30370000000000003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1" t="s">
        <v>76</v>
      </c>
      <c r="Q306" s="562"/>
      <c r="R306" s="562"/>
      <c r="S306" s="562"/>
      <c r="T306" s="562"/>
      <c r="U306" s="562"/>
      <c r="V306" s="563"/>
      <c r="W306" s="37" t="s">
        <v>70</v>
      </c>
      <c r="X306" s="547">
        <f>IFERROR(SUM(X299:X304),"0")</f>
        <v>136.30000000000001</v>
      </c>
      <c r="Y306" s="547">
        <f>IFERROR(SUM(Y299:Y304),"0")</f>
        <v>140.70000000000002</v>
      </c>
      <c r="Z306" s="37"/>
      <c r="AA306" s="548"/>
      <c r="AB306" s="548"/>
      <c r="AC306" s="548"/>
    </row>
    <row r="307" spans="1:68" ht="14.25" hidden="1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6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100</v>
      </c>
      <c r="Y308" s="546">
        <f>IFERROR(IF(X308="",0,CEILING((X308/$H308),1)*$H308),"")</f>
        <v>101.39999999999999</v>
      </c>
      <c r="Z308" s="36">
        <f>IFERROR(IF(Y308=0,"",ROUNDUP(Y308/H308,0)*0.01898),"")</f>
        <v>0.24674000000000001</v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106.25641025641026</v>
      </c>
      <c r="BN308" s="64">
        <f>IFERROR(Y308*I308/H308,"0")</f>
        <v>107.744</v>
      </c>
      <c r="BO308" s="64">
        <f>IFERROR(1/J308*(X308/H308),"0")</f>
        <v>0.20032051282051283</v>
      </c>
      <c r="BP308" s="64">
        <f>IFERROR(1/J308*(Y308/H308),"0")</f>
        <v>0.203125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1" t="s">
        <v>76</v>
      </c>
      <c r="Q312" s="562"/>
      <c r="R312" s="562"/>
      <c r="S312" s="562"/>
      <c r="T312" s="562"/>
      <c r="U312" s="562"/>
      <c r="V312" s="563"/>
      <c r="W312" s="37" t="s">
        <v>77</v>
      </c>
      <c r="X312" s="547">
        <f>IFERROR(X308/H308,"0")+IFERROR(X309/H309,"0")+IFERROR(X310/H310,"0")+IFERROR(X311/H311,"0")</f>
        <v>12.820512820512821</v>
      </c>
      <c r="Y312" s="547">
        <f>IFERROR(Y308/H308,"0")+IFERROR(Y309/H309,"0")+IFERROR(Y310/H310,"0")+IFERROR(Y311/H311,"0")</f>
        <v>13</v>
      </c>
      <c r="Z312" s="547">
        <f>IFERROR(IF(Z308="",0,Z308),"0")+IFERROR(IF(Z309="",0,Z309),"0")+IFERROR(IF(Z310="",0,Z310),"0")+IFERROR(IF(Z311="",0,Z311),"0")</f>
        <v>0.24674000000000001</v>
      </c>
      <c r="AA312" s="548"/>
      <c r="AB312" s="548"/>
      <c r="AC312" s="548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1" t="s">
        <v>76</v>
      </c>
      <c r="Q313" s="562"/>
      <c r="R313" s="562"/>
      <c r="S313" s="562"/>
      <c r="T313" s="562"/>
      <c r="U313" s="562"/>
      <c r="V313" s="563"/>
      <c r="W313" s="37" t="s">
        <v>70</v>
      </c>
      <c r="X313" s="547">
        <f>IFERROR(SUM(X308:X311),"0")</f>
        <v>100</v>
      </c>
      <c r="Y313" s="547">
        <f>IFERROR(SUM(Y308:Y311),"0")</f>
        <v>101.39999999999999</v>
      </c>
      <c r="Z313" s="37"/>
      <c r="AA313" s="548"/>
      <c r="AB313" s="548"/>
      <c r="AC313" s="548"/>
    </row>
    <row r="314" spans="1:68" ht="14.25" hidden="1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hidden="1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30</v>
      </c>
      <c r="Y316" s="546">
        <f>IFERROR(IF(X316="",0,CEILING((X316/$H316),1)*$H316),"")</f>
        <v>31.2</v>
      </c>
      <c r="Z316" s="36">
        <f>IFERROR(IF(Y316=0,"",ROUNDUP(Y316/H316,0)*0.01898),"")</f>
        <v>7.5920000000000001E-2</v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31.900000000000002</v>
      </c>
      <c r="BN316" s="64">
        <f>IFERROR(Y316*I316/H316,"0")</f>
        <v>33.176000000000002</v>
      </c>
      <c r="BO316" s="64">
        <f>IFERROR(1/J316*(X316/H316),"0")</f>
        <v>6.0096153846153848E-2</v>
      </c>
      <c r="BP316" s="64">
        <f>IFERROR(1/J316*(Y316/H316),"0")</f>
        <v>6.25E-2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25</v>
      </c>
      <c r="Y317" s="546">
        <f>IFERROR(IF(X317="",0,CEILING((X317/$H317),1)*$H317),"")</f>
        <v>25.200000000000003</v>
      </c>
      <c r="Z317" s="36">
        <f>IFERROR(IF(Y317=0,"",ROUNDUP(Y317/H317,0)*0.01898),"")</f>
        <v>5.6940000000000004E-2</v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26.470238095238095</v>
      </c>
      <c r="BN317" s="64">
        <f>IFERROR(Y317*I317/H317,"0")</f>
        <v>26.682000000000002</v>
      </c>
      <c r="BO317" s="64">
        <f>IFERROR(1/J317*(X317/H317),"0")</f>
        <v>4.6502976190476192E-2</v>
      </c>
      <c r="BP317" s="64">
        <f>IFERROR(1/J317*(Y317/H317),"0")</f>
        <v>4.6875E-2</v>
      </c>
    </row>
    <row r="318" spans="1:68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76</v>
      </c>
      <c r="Q318" s="562"/>
      <c r="R318" s="562"/>
      <c r="S318" s="562"/>
      <c r="T318" s="562"/>
      <c r="U318" s="562"/>
      <c r="V318" s="563"/>
      <c r="W318" s="37" t="s">
        <v>77</v>
      </c>
      <c r="X318" s="547">
        <f>IFERROR(X315/H315,"0")+IFERROR(X316/H316,"0")+IFERROR(X317/H317,"0")</f>
        <v>6.822344322344323</v>
      </c>
      <c r="Y318" s="547">
        <f>IFERROR(Y315/H315,"0")+IFERROR(Y316/H316,"0")+IFERROR(Y317/H317,"0")</f>
        <v>7</v>
      </c>
      <c r="Z318" s="547">
        <f>IFERROR(IF(Z315="",0,Z315),"0")+IFERROR(IF(Z316="",0,Z316),"0")+IFERROR(IF(Z317="",0,Z317),"0")</f>
        <v>0.13286000000000001</v>
      </c>
      <c r="AA318" s="548"/>
      <c r="AB318" s="548"/>
      <c r="AC318" s="548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1" t="s">
        <v>76</v>
      </c>
      <c r="Q319" s="562"/>
      <c r="R319" s="562"/>
      <c r="S319" s="562"/>
      <c r="T319" s="562"/>
      <c r="U319" s="562"/>
      <c r="V319" s="563"/>
      <c r="W319" s="37" t="s">
        <v>70</v>
      </c>
      <c r="X319" s="547">
        <f>IFERROR(SUM(X315:X317),"0")</f>
        <v>55</v>
      </c>
      <c r="Y319" s="547">
        <f>IFERROR(SUM(Y315:Y317),"0")</f>
        <v>56.400000000000006</v>
      </c>
      <c r="Z319" s="37"/>
      <c r="AA319" s="548"/>
      <c r="AB319" s="548"/>
      <c r="AC319" s="548"/>
    </row>
    <row r="320" spans="1:68" ht="14.25" hidden="1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hidden="1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2.5499999999999998</v>
      </c>
      <c r="Y324" s="546">
        <f>IFERROR(IF(X324="",0,CEILING((X324/$H324),1)*$H324),"")</f>
        <v>2.5499999999999998</v>
      </c>
      <c r="Z324" s="36">
        <f>IFERROR(IF(Y324=0,"",ROUNDUP(Y324/H324,0)*0.00651),"")</f>
        <v>6.5100000000000002E-3</v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2.88</v>
      </c>
      <c r="BN324" s="64">
        <f>IFERROR(Y324*I324/H324,"0")</f>
        <v>2.88</v>
      </c>
      <c r="BO324" s="64">
        <f>IFERROR(1/J324*(X324/H324),"0")</f>
        <v>5.4945054945054949E-3</v>
      </c>
      <c r="BP324" s="64">
        <f>IFERROR(1/J324*(Y324/H324),"0")</f>
        <v>5.4945054945054949E-3</v>
      </c>
    </row>
    <row r="325" spans="1:68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1" t="s">
        <v>76</v>
      </c>
      <c r="Q325" s="562"/>
      <c r="R325" s="562"/>
      <c r="S325" s="562"/>
      <c r="T325" s="562"/>
      <c r="U325" s="562"/>
      <c r="V325" s="563"/>
      <c r="W325" s="37" t="s">
        <v>77</v>
      </c>
      <c r="X325" s="547">
        <f>IFERROR(X321/H321,"0")+IFERROR(X322/H322,"0")+IFERROR(X323/H323,"0")+IFERROR(X324/H324,"0")</f>
        <v>1</v>
      </c>
      <c r="Y325" s="547">
        <f>IFERROR(Y321/H321,"0")+IFERROR(Y322/H322,"0")+IFERROR(Y323/H323,"0")+IFERROR(Y324/H324,"0")</f>
        <v>1</v>
      </c>
      <c r="Z325" s="547">
        <f>IFERROR(IF(Z321="",0,Z321),"0")+IFERROR(IF(Z322="",0,Z322),"0")+IFERROR(IF(Z323="",0,Z323),"0")+IFERROR(IF(Z324="",0,Z324),"0")</f>
        <v>6.5100000000000002E-3</v>
      </c>
      <c r="AA325" s="548"/>
      <c r="AB325" s="548"/>
      <c r="AC325" s="548"/>
    </row>
    <row r="326" spans="1:68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1" t="s">
        <v>76</v>
      </c>
      <c r="Q326" s="562"/>
      <c r="R326" s="562"/>
      <c r="S326" s="562"/>
      <c r="T326" s="562"/>
      <c r="U326" s="562"/>
      <c r="V326" s="563"/>
      <c r="W326" s="37" t="s">
        <v>70</v>
      </c>
      <c r="X326" s="547">
        <f>IFERROR(SUM(X321:X324),"0")</f>
        <v>2.5499999999999998</v>
      </c>
      <c r="Y326" s="547">
        <f>IFERROR(SUM(Y321:Y324),"0")</f>
        <v>2.5499999999999998</v>
      </c>
      <c r="Z326" s="37"/>
      <c r="AA326" s="548"/>
      <c r="AB326" s="548"/>
      <c r="AC326" s="548"/>
    </row>
    <row r="327" spans="1:68" ht="14.25" hidden="1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hidden="1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76</v>
      </c>
      <c r="Q331" s="562"/>
      <c r="R331" s="562"/>
      <c r="S331" s="562"/>
      <c r="T331" s="562"/>
      <c r="U331" s="562"/>
      <c r="V331" s="563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hidden="1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1" t="s">
        <v>76</v>
      </c>
      <c r="Q332" s="562"/>
      <c r="R332" s="562"/>
      <c r="S332" s="562"/>
      <c r="T332" s="562"/>
      <c r="U332" s="562"/>
      <c r="V332" s="563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hidden="1" customHeight="1" x14ac:dyDescent="0.25">
      <c r="A333" s="564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hidden="1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8</v>
      </c>
      <c r="Y335" s="546">
        <f>IFERROR(IF(X335="",0,CEILING((X335/$H335),1)*$H335),"")</f>
        <v>8.1</v>
      </c>
      <c r="Z335" s="36">
        <f>IFERROR(IF(Y335=0,"",ROUNDUP(Y335/H335,0)*0.01898),"")</f>
        <v>1.898E-2</v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8.4879012345679019</v>
      </c>
      <c r="BN335" s="64">
        <f>IFERROR(Y335*I335/H335,"0")</f>
        <v>8.5939999999999994</v>
      </c>
      <c r="BO335" s="64">
        <f>IFERROR(1/J335*(X335/H335),"0")</f>
        <v>1.54320987654321E-2</v>
      </c>
      <c r="BP335" s="64">
        <f>IFERROR(1/J335*(Y335/H335),"0")</f>
        <v>1.5625E-2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4.1999999999999993</v>
      </c>
      <c r="Y336" s="546">
        <f>IFERROR(IF(X336="",0,CEILING((X336/$H336),1)*$H336),"")</f>
        <v>4.2</v>
      </c>
      <c r="Z336" s="36">
        <f>IFERROR(IF(Y336=0,"",ROUNDUP(Y336/H336,0)*0.00651),"")</f>
        <v>1.302E-2</v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4.7039999999999988</v>
      </c>
      <c r="BN336" s="64">
        <f>IFERROR(Y336*I336/H336,"0")</f>
        <v>4.7039999999999997</v>
      </c>
      <c r="BO336" s="64">
        <f>IFERROR(1/J336*(X336/H336),"0")</f>
        <v>1.0989010989010988E-2</v>
      </c>
      <c r="BP336" s="64">
        <f>IFERROR(1/J336*(Y336/H336),"0")</f>
        <v>1.098901098901099E-2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2.1</v>
      </c>
      <c r="Y337" s="546">
        <f>IFERROR(IF(X337="",0,CEILING((X337/$H337),1)*$H337),"")</f>
        <v>2.1</v>
      </c>
      <c r="Z337" s="36">
        <f>IFERROR(IF(Y337=0,"",ROUNDUP(Y337/H337,0)*0.00651),"")</f>
        <v>6.5100000000000002E-3</v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2.34</v>
      </c>
      <c r="BN337" s="64">
        <f>IFERROR(Y337*I337/H337,"0")</f>
        <v>2.34</v>
      </c>
      <c r="BO337" s="64">
        <f>IFERROR(1/J337*(X337/H337),"0")</f>
        <v>5.4945054945054949E-3</v>
      </c>
      <c r="BP337" s="64">
        <f>IFERROR(1/J337*(Y337/H337),"0")</f>
        <v>5.4945054945054949E-3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1" t="s">
        <v>76</v>
      </c>
      <c r="Q338" s="562"/>
      <c r="R338" s="562"/>
      <c r="S338" s="562"/>
      <c r="T338" s="562"/>
      <c r="U338" s="562"/>
      <c r="V338" s="563"/>
      <c r="W338" s="37" t="s">
        <v>77</v>
      </c>
      <c r="X338" s="547">
        <f>IFERROR(X335/H335,"0")+IFERROR(X336/H336,"0")+IFERROR(X337/H337,"0")</f>
        <v>3.9876543209876538</v>
      </c>
      <c r="Y338" s="547">
        <f>IFERROR(Y335/H335,"0")+IFERROR(Y336/H336,"0")+IFERROR(Y337/H337,"0")</f>
        <v>4</v>
      </c>
      <c r="Z338" s="547">
        <f>IFERROR(IF(Z335="",0,Z335),"0")+IFERROR(IF(Z336="",0,Z336),"0")+IFERROR(IF(Z337="",0,Z337),"0")</f>
        <v>3.8510000000000003E-2</v>
      </c>
      <c r="AA338" s="548"/>
      <c r="AB338" s="548"/>
      <c r="AC338" s="548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1" t="s">
        <v>76</v>
      </c>
      <c r="Q339" s="562"/>
      <c r="R339" s="562"/>
      <c r="S339" s="562"/>
      <c r="T339" s="562"/>
      <c r="U339" s="562"/>
      <c r="V339" s="563"/>
      <c r="W339" s="37" t="s">
        <v>70</v>
      </c>
      <c r="X339" s="547">
        <f>IFERROR(SUM(X335:X337),"0")</f>
        <v>14.299999999999999</v>
      </c>
      <c r="Y339" s="547">
        <f>IFERROR(SUM(Y335:Y337),"0")</f>
        <v>14.4</v>
      </c>
      <c r="Z339" s="37"/>
      <c r="AA339" s="548"/>
      <c r="AB339" s="548"/>
      <c r="AC339" s="548"/>
    </row>
    <row r="340" spans="1:68" ht="27.75" hidden="1" customHeight="1" x14ac:dyDescent="0.2">
      <c r="A340" s="568" t="s">
        <v>534</v>
      </c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69"/>
      <c r="P340" s="569"/>
      <c r="Q340" s="569"/>
      <c r="R340" s="569"/>
      <c r="S340" s="569"/>
      <c r="T340" s="569"/>
      <c r="U340" s="569"/>
      <c r="V340" s="569"/>
      <c r="W340" s="569"/>
      <c r="X340" s="569"/>
      <c r="Y340" s="569"/>
      <c r="Z340" s="569"/>
      <c r="AA340" s="48"/>
      <c r="AB340" s="48"/>
      <c r="AC340" s="48"/>
    </row>
    <row r="341" spans="1:68" ht="16.5" hidden="1" customHeight="1" x14ac:dyDescent="0.25">
      <c r="A341" s="564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hidden="1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15</v>
      </c>
      <c r="Y343" s="546">
        <f t="shared" ref="Y343:Y349" si="36">IFERROR(IF(X343="",0,CEILING((X343/$H343),1)*$H343),"")</f>
        <v>15</v>
      </c>
      <c r="Z343" s="36">
        <f>IFERROR(IF(Y343=0,"",ROUNDUP(Y343/H343,0)*0.02175),"")</f>
        <v>2.1749999999999999E-2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15.47</v>
      </c>
      <c r="BN343" s="64">
        <f t="shared" ref="BN343:BN349" si="38">IFERROR(Y343*I343/H343,"0")</f>
        <v>15.47</v>
      </c>
      <c r="BO343" s="64">
        <f t="shared" ref="BO343:BO349" si="39">IFERROR(1/J343*(X343/H343),"0")</f>
        <v>2.0833333333333332E-2</v>
      </c>
      <c r="BP343" s="64">
        <f t="shared" ref="BP343:BP349" si="40">IFERROR(1/J343*(Y343/H343),"0")</f>
        <v>2.0833333333333332E-2</v>
      </c>
    </row>
    <row r="344" spans="1:68" ht="27" hidden="1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0</v>
      </c>
      <c r="Y344" s="546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hidden="1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200</v>
      </c>
      <c r="Y346" s="546">
        <f t="shared" si="36"/>
        <v>210</v>
      </c>
      <c r="Z346" s="36">
        <f>IFERROR(IF(Y346=0,"",ROUNDUP(Y346/H346,0)*0.02175),"")</f>
        <v>0.30449999999999999</v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206.26666666666668</v>
      </c>
      <c r="BN346" s="64">
        <f t="shared" si="38"/>
        <v>216.58</v>
      </c>
      <c r="BO346" s="64">
        <f t="shared" si="39"/>
        <v>0.27777777777777779</v>
      </c>
      <c r="BP346" s="64">
        <f t="shared" si="40"/>
        <v>0.29166666666666663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1" t="s">
        <v>76</v>
      </c>
      <c r="Q350" s="562"/>
      <c r="R350" s="562"/>
      <c r="S350" s="562"/>
      <c r="T350" s="562"/>
      <c r="U350" s="562"/>
      <c r="V350" s="563"/>
      <c r="W350" s="37" t="s">
        <v>77</v>
      </c>
      <c r="X350" s="547">
        <f>IFERROR(X343/H343,"0")+IFERROR(X344/H344,"0")+IFERROR(X345/H345,"0")+IFERROR(X346/H346,"0")+IFERROR(X347/H347,"0")+IFERROR(X348/H348,"0")+IFERROR(X349/H349,"0")</f>
        <v>14.333333333333334</v>
      </c>
      <c r="Y350" s="547">
        <f>IFERROR(Y343/H343,"0")+IFERROR(Y344/H344,"0")+IFERROR(Y345/H345,"0")+IFERROR(Y346/H346,"0")+IFERROR(Y347/H347,"0")+IFERROR(Y348/H348,"0")+IFERROR(Y349/H349,"0")</f>
        <v>15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0.32624999999999998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1" t="s">
        <v>76</v>
      </c>
      <c r="Q351" s="562"/>
      <c r="R351" s="562"/>
      <c r="S351" s="562"/>
      <c r="T351" s="562"/>
      <c r="U351" s="562"/>
      <c r="V351" s="563"/>
      <c r="W351" s="37" t="s">
        <v>70</v>
      </c>
      <c r="X351" s="547">
        <f>IFERROR(SUM(X343:X349),"0")</f>
        <v>215</v>
      </c>
      <c r="Y351" s="547">
        <f>IFERROR(SUM(Y343:Y349),"0")</f>
        <v>225</v>
      </c>
      <c r="Z351" s="37"/>
      <c r="AA351" s="548"/>
      <c r="AB351" s="548"/>
      <c r="AC351" s="548"/>
    </row>
    <row r="352" spans="1:68" ht="14.25" hidden="1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hidden="1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0</v>
      </c>
      <c r="Y353" s="546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76</v>
      </c>
      <c r="Q355" s="562"/>
      <c r="R355" s="562"/>
      <c r="S355" s="562"/>
      <c r="T355" s="562"/>
      <c r="U355" s="562"/>
      <c r="V355" s="563"/>
      <c r="W355" s="37" t="s">
        <v>77</v>
      </c>
      <c r="X355" s="547">
        <f>IFERROR(X353/H353,"0")+IFERROR(X354/H354,"0")</f>
        <v>0</v>
      </c>
      <c r="Y355" s="547">
        <f>IFERROR(Y353/H353,"0")+IFERROR(Y354/H354,"0")</f>
        <v>0</v>
      </c>
      <c r="Z355" s="547">
        <f>IFERROR(IF(Z353="",0,Z353),"0")+IFERROR(IF(Z354="",0,Z354),"0")</f>
        <v>0</v>
      </c>
      <c r="AA355" s="548"/>
      <c r="AB355" s="548"/>
      <c r="AC355" s="548"/>
    </row>
    <row r="356" spans="1:68" hidden="1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76</v>
      </c>
      <c r="Q356" s="562"/>
      <c r="R356" s="562"/>
      <c r="S356" s="562"/>
      <c r="T356" s="562"/>
      <c r="U356" s="562"/>
      <c r="V356" s="563"/>
      <c r="W356" s="37" t="s">
        <v>70</v>
      </c>
      <c r="X356" s="547">
        <f>IFERROR(SUM(X353:X354),"0")</f>
        <v>0</v>
      </c>
      <c r="Y356" s="547">
        <f>IFERROR(SUM(Y353:Y354),"0")</f>
        <v>0</v>
      </c>
      <c r="Z356" s="37"/>
      <c r="AA356" s="548"/>
      <c r="AB356" s="548"/>
      <c r="AC356" s="548"/>
    </row>
    <row r="357" spans="1:68" ht="14.25" hidden="1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8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76</v>
      </c>
      <c r="Q360" s="562"/>
      <c r="R360" s="562"/>
      <c r="S360" s="562"/>
      <c r="T360" s="562"/>
      <c r="U360" s="562"/>
      <c r="V360" s="563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hidden="1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76</v>
      </c>
      <c r="Q361" s="562"/>
      <c r="R361" s="562"/>
      <c r="S361" s="562"/>
      <c r="T361" s="562"/>
      <c r="U361" s="562"/>
      <c r="V361" s="563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hidden="1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1" t="s">
        <v>76</v>
      </c>
      <c r="Q364" s="562"/>
      <c r="R364" s="562"/>
      <c r="S364" s="562"/>
      <c r="T364" s="562"/>
      <c r="U364" s="562"/>
      <c r="V364" s="563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hidden="1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76</v>
      </c>
      <c r="Q365" s="562"/>
      <c r="R365" s="562"/>
      <c r="S365" s="562"/>
      <c r="T365" s="562"/>
      <c r="U365" s="562"/>
      <c r="V365" s="563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hidden="1" customHeight="1" x14ac:dyDescent="0.25">
      <c r="A366" s="564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hidden="1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76</v>
      </c>
      <c r="Q370" s="562"/>
      <c r="R370" s="562"/>
      <c r="S370" s="562"/>
      <c r="T370" s="562"/>
      <c r="U370" s="562"/>
      <c r="V370" s="563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1" t="s">
        <v>76</v>
      </c>
      <c r="Q371" s="562"/>
      <c r="R371" s="562"/>
      <c r="S371" s="562"/>
      <c r="T371" s="562"/>
      <c r="U371" s="562"/>
      <c r="V371" s="563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hidden="1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76</v>
      </c>
      <c r="Q375" s="562"/>
      <c r="R375" s="562"/>
      <c r="S375" s="562"/>
      <c r="T375" s="562"/>
      <c r="U375" s="562"/>
      <c r="V375" s="563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76</v>
      </c>
      <c r="Q376" s="562"/>
      <c r="R376" s="562"/>
      <c r="S376" s="562"/>
      <c r="T376" s="562"/>
      <c r="U376" s="562"/>
      <c r="V376" s="563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76</v>
      </c>
      <c r="Q381" s="562"/>
      <c r="R381" s="562"/>
      <c r="S381" s="562"/>
      <c r="T381" s="562"/>
      <c r="U381" s="562"/>
      <c r="V381" s="563"/>
      <c r="W381" s="37" t="s">
        <v>77</v>
      </c>
      <c r="X381" s="547">
        <f>IFERROR(X378/H378,"0")+IFERROR(X379/H379,"0")+IFERROR(X380/H380,"0")</f>
        <v>0</v>
      </c>
      <c r="Y381" s="547">
        <f>IFERROR(Y378/H378,"0")+IFERROR(Y379/H379,"0")+IFERROR(Y380/H380,"0")</f>
        <v>0</v>
      </c>
      <c r="Z381" s="547">
        <f>IFERROR(IF(Z378="",0,Z378),"0")+IFERROR(IF(Z379="",0,Z379),"0")+IFERROR(IF(Z380="",0,Z380),"0")</f>
        <v>0</v>
      </c>
      <c r="AA381" s="548"/>
      <c r="AB381" s="548"/>
      <c r="AC381" s="548"/>
    </row>
    <row r="382" spans="1:68" hidden="1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1" t="s">
        <v>76</v>
      </c>
      <c r="Q382" s="562"/>
      <c r="R382" s="562"/>
      <c r="S382" s="562"/>
      <c r="T382" s="562"/>
      <c r="U382" s="562"/>
      <c r="V382" s="563"/>
      <c r="W382" s="37" t="s">
        <v>70</v>
      </c>
      <c r="X382" s="547">
        <f>IFERROR(SUM(X378:X380),"0")</f>
        <v>0</v>
      </c>
      <c r="Y382" s="547">
        <f>IFERROR(SUM(Y378:Y380),"0")</f>
        <v>0</v>
      </c>
      <c r="Z382" s="37"/>
      <c r="AA382" s="548"/>
      <c r="AB382" s="548"/>
      <c r="AC382" s="548"/>
    </row>
    <row r="383" spans="1:68" ht="27.75" hidden="1" customHeight="1" x14ac:dyDescent="0.2">
      <c r="A383" s="568" t="s">
        <v>588</v>
      </c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69"/>
      <c r="P383" s="569"/>
      <c r="Q383" s="569"/>
      <c r="R383" s="569"/>
      <c r="S383" s="569"/>
      <c r="T383" s="569"/>
      <c r="U383" s="569"/>
      <c r="V383" s="569"/>
      <c r="W383" s="569"/>
      <c r="X383" s="569"/>
      <c r="Y383" s="569"/>
      <c r="Z383" s="569"/>
      <c r="AA383" s="48"/>
      <c r="AB383" s="48"/>
      <c r="AC383" s="48"/>
    </row>
    <row r="384" spans="1:68" ht="16.5" hidden="1" customHeight="1" x14ac:dyDescent="0.25">
      <c r="A384" s="564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hidden="1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hidden="1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4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1" t="s">
        <v>76</v>
      </c>
      <c r="Q395" s="562"/>
      <c r="R395" s="562"/>
      <c r="S395" s="562"/>
      <c r="T395" s="562"/>
      <c r="U395" s="562"/>
      <c r="V395" s="563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0</v>
      </c>
      <c r="Y395" s="547">
        <f>IFERROR(Y386/H386,"0")+IFERROR(Y387/H387,"0")+IFERROR(Y388/H388,"0")+IFERROR(Y389/H389,"0")+IFERROR(Y390/H390,"0")+IFERROR(Y391/H391,"0")+IFERROR(Y392/H392,"0")+IFERROR(Y393/H393,"0")+IFERROR(Y394/H394,"0")</f>
        <v>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8"/>
      <c r="AB395" s="548"/>
      <c r="AC395" s="548"/>
    </row>
    <row r="396" spans="1:68" hidden="1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1" t="s">
        <v>76</v>
      </c>
      <c r="Q396" s="562"/>
      <c r="R396" s="562"/>
      <c r="S396" s="562"/>
      <c r="T396" s="562"/>
      <c r="U396" s="562"/>
      <c r="V396" s="563"/>
      <c r="W396" s="37" t="s">
        <v>70</v>
      </c>
      <c r="X396" s="547">
        <f>IFERROR(SUM(X386:X394),"0")</f>
        <v>0</v>
      </c>
      <c r="Y396" s="547">
        <f>IFERROR(SUM(Y386:Y394),"0")</f>
        <v>0</v>
      </c>
      <c r="Z396" s="37"/>
      <c r="AA396" s="548"/>
      <c r="AB396" s="548"/>
      <c r="AC396" s="548"/>
    </row>
    <row r="397" spans="1:68" ht="14.25" hidden="1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hidden="1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76</v>
      </c>
      <c r="Q400" s="562"/>
      <c r="R400" s="562"/>
      <c r="S400" s="562"/>
      <c r="T400" s="562"/>
      <c r="U400" s="562"/>
      <c r="V400" s="563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76</v>
      </c>
      <c r="Q401" s="562"/>
      <c r="R401" s="562"/>
      <c r="S401" s="562"/>
      <c r="T401" s="562"/>
      <c r="U401" s="562"/>
      <c r="V401" s="563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hidden="1" customHeight="1" x14ac:dyDescent="0.25">
      <c r="A402" s="564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hidden="1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76</v>
      </c>
      <c r="Q405" s="562"/>
      <c r="R405" s="562"/>
      <c r="S405" s="562"/>
      <c r="T405" s="562"/>
      <c r="U405" s="562"/>
      <c r="V405" s="563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76</v>
      </c>
      <c r="Q406" s="562"/>
      <c r="R406" s="562"/>
      <c r="S406" s="562"/>
      <c r="T406" s="562"/>
      <c r="U406" s="562"/>
      <c r="V406" s="563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hidden="1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hidden="1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8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1" t="s">
        <v>76</v>
      </c>
      <c r="Q412" s="562"/>
      <c r="R412" s="562"/>
      <c r="S412" s="562"/>
      <c r="T412" s="562"/>
      <c r="U412" s="562"/>
      <c r="V412" s="563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hidden="1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1" t="s">
        <v>76</v>
      </c>
      <c r="Q413" s="562"/>
      <c r="R413" s="562"/>
      <c r="S413" s="562"/>
      <c r="T413" s="562"/>
      <c r="U413" s="562"/>
      <c r="V413" s="563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hidden="1" customHeight="1" x14ac:dyDescent="0.25">
      <c r="A414" s="564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hidden="1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76</v>
      </c>
      <c r="Q417" s="562"/>
      <c r="R417" s="562"/>
      <c r="S417" s="562"/>
      <c r="T417" s="562"/>
      <c r="U417" s="562"/>
      <c r="V417" s="563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76</v>
      </c>
      <c r="Q418" s="562"/>
      <c r="R418" s="562"/>
      <c r="S418" s="562"/>
      <c r="T418" s="562"/>
      <c r="U418" s="562"/>
      <c r="V418" s="563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hidden="1" customHeight="1" x14ac:dyDescent="0.2">
      <c r="A419" s="568" t="s">
        <v>639</v>
      </c>
      <c r="B419" s="569"/>
      <c r="C419" s="569"/>
      <c r="D419" s="569"/>
      <c r="E419" s="569"/>
      <c r="F419" s="569"/>
      <c r="G419" s="569"/>
      <c r="H419" s="569"/>
      <c r="I419" s="569"/>
      <c r="J419" s="569"/>
      <c r="K419" s="569"/>
      <c r="L419" s="569"/>
      <c r="M419" s="569"/>
      <c r="N419" s="569"/>
      <c r="O419" s="569"/>
      <c r="P419" s="569"/>
      <c r="Q419" s="569"/>
      <c r="R419" s="569"/>
      <c r="S419" s="569"/>
      <c r="T419" s="569"/>
      <c r="U419" s="569"/>
      <c r="V419" s="569"/>
      <c r="W419" s="569"/>
      <c r="X419" s="569"/>
      <c r="Y419" s="569"/>
      <c r="Z419" s="569"/>
      <c r="AA419" s="48"/>
      <c r="AB419" s="48"/>
      <c r="AC419" s="48"/>
    </row>
    <row r="420" spans="1:68" ht="16.5" hidden="1" customHeight="1" x14ac:dyDescent="0.25">
      <c r="A420" s="564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hidden="1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7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5</v>
      </c>
      <c r="Y422" s="546">
        <f t="shared" ref="Y422:Y433" si="47">IFERROR(IF(X422="",0,CEILING((X422/$H422),1)*$H422),"")</f>
        <v>5.28</v>
      </c>
      <c r="Z422" s="36">
        <f t="shared" ref="Z422:Z428" si="48">IFERROR(IF(Y422=0,"",ROUNDUP(Y422/H422,0)*0.01196),"")</f>
        <v>1.196E-2</v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5.3314393939393936</v>
      </c>
      <c r="BN422" s="64">
        <f t="shared" ref="BN422:BN433" si="50">IFERROR(Y422*I422/H422,"0")</f>
        <v>5.63</v>
      </c>
      <c r="BO422" s="64">
        <f t="shared" ref="BO422:BO433" si="51">IFERROR(1/J422*(X422/H422),"0")</f>
        <v>9.1054778554778559E-3</v>
      </c>
      <c r="BP422" s="64">
        <f t="shared" ref="BP422:BP433" si="52">IFERROR(1/J422*(Y422/H422),"0")</f>
        <v>9.6153846153846159E-3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12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hidden="1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61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1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0</v>
      </c>
      <c r="Y428" s="546">
        <f t="shared" si="47"/>
        <v>0</v>
      </c>
      <c r="Z428" s="36" t="str">
        <f t="shared" si="48"/>
        <v/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1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1" t="s">
        <v>76</v>
      </c>
      <c r="Q434" s="562"/>
      <c r="R434" s="562"/>
      <c r="S434" s="562"/>
      <c r="T434" s="562"/>
      <c r="U434" s="562"/>
      <c r="V434" s="563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0.94696969696969691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1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1.196E-2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1" t="s">
        <v>76</v>
      </c>
      <c r="Q435" s="562"/>
      <c r="R435" s="562"/>
      <c r="S435" s="562"/>
      <c r="T435" s="562"/>
      <c r="U435" s="562"/>
      <c r="V435" s="563"/>
      <c r="W435" s="37" t="s">
        <v>70</v>
      </c>
      <c r="X435" s="547">
        <f>IFERROR(SUM(X422:X433),"0")</f>
        <v>5</v>
      </c>
      <c r="Y435" s="547">
        <f>IFERROR(SUM(Y422:Y433),"0")</f>
        <v>5.28</v>
      </c>
      <c r="Z435" s="37"/>
      <c r="AA435" s="548"/>
      <c r="AB435" s="548"/>
      <c r="AC435" s="548"/>
    </row>
    <row r="436" spans="1:68" ht="14.25" hidden="1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5</v>
      </c>
      <c r="Y437" s="546">
        <f>IFERROR(IF(X437="",0,CEILING((X437/$H437),1)*$H437),"")</f>
        <v>5.28</v>
      </c>
      <c r="Z437" s="36">
        <f>IFERROR(IF(Y437=0,"",ROUNDUP(Y437/H437,0)*0.01196),"")</f>
        <v>1.196E-2</v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5.3314393939393936</v>
      </c>
      <c r="BN437" s="64">
        <f>IFERROR(Y437*I437/H437,"0")</f>
        <v>5.63</v>
      </c>
      <c r="BO437" s="64">
        <f>IFERROR(1/J437*(X437/H437),"0")</f>
        <v>9.1054778554778559E-3</v>
      </c>
      <c r="BP437" s="64">
        <f>IFERROR(1/J437*(Y437/H437),"0")</f>
        <v>9.6153846153846159E-3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hidden="1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76</v>
      </c>
      <c r="Q440" s="562"/>
      <c r="R440" s="562"/>
      <c r="S440" s="562"/>
      <c r="T440" s="562"/>
      <c r="U440" s="562"/>
      <c r="V440" s="563"/>
      <c r="W440" s="37" t="s">
        <v>77</v>
      </c>
      <c r="X440" s="547">
        <f>IFERROR(X437/H437,"0")+IFERROR(X438/H438,"0")+IFERROR(X439/H439,"0")</f>
        <v>0.94696969696969691</v>
      </c>
      <c r="Y440" s="547">
        <f>IFERROR(Y437/H437,"0")+IFERROR(Y438/H438,"0")+IFERROR(Y439/H439,"0")</f>
        <v>1</v>
      </c>
      <c r="Z440" s="547">
        <f>IFERROR(IF(Z437="",0,Z437),"0")+IFERROR(IF(Z438="",0,Z438),"0")+IFERROR(IF(Z439="",0,Z439),"0")</f>
        <v>1.196E-2</v>
      </c>
      <c r="AA440" s="548"/>
      <c r="AB440" s="548"/>
      <c r="AC440" s="548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1" t="s">
        <v>76</v>
      </c>
      <c r="Q441" s="562"/>
      <c r="R441" s="562"/>
      <c r="S441" s="562"/>
      <c r="T441" s="562"/>
      <c r="U441" s="562"/>
      <c r="V441" s="563"/>
      <c r="W441" s="37" t="s">
        <v>70</v>
      </c>
      <c r="X441" s="547">
        <f>IFERROR(SUM(X437:X439),"0")</f>
        <v>5</v>
      </c>
      <c r="Y441" s="547">
        <f>IFERROR(SUM(Y437:Y439),"0")</f>
        <v>5.28</v>
      </c>
      <c r="Z441" s="37"/>
      <c r="AA441" s="548"/>
      <c r="AB441" s="548"/>
      <c r="AC441" s="548"/>
    </row>
    <row r="442" spans="1:68" ht="14.25" hidden="1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hidden="1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0</v>
      </c>
      <c r="Y443" s="546">
        <f t="shared" ref="Y443:Y448" si="53"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0</v>
      </c>
      <c r="BN443" s="64">
        <f t="shared" ref="BN443:BN448" si="55">IFERROR(Y443*I443/H443,"0")</f>
        <v>0</v>
      </c>
      <c r="BO443" s="64">
        <f t="shared" ref="BO443:BO448" si="56">IFERROR(1/J443*(X443/H443),"0")</f>
        <v>0</v>
      </c>
      <c r="BP443" s="64">
        <f t="shared" ref="BP443:BP448" si="57">IFERROR(1/J443*(Y443/H443),"0")</f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0</v>
      </c>
      <c r="Y444" s="546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0</v>
      </c>
      <c r="Y445" s="546">
        <f t="shared" si="53"/>
        <v>0</v>
      </c>
      <c r="Z445" s="36" t="str">
        <f>IFERROR(IF(Y445=0,"",ROUNDUP(Y445/H445,0)*0.01196),"")</f>
        <v/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hidden="1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hidden="1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1" t="s">
        <v>76</v>
      </c>
      <c r="Q449" s="562"/>
      <c r="R449" s="562"/>
      <c r="S449" s="562"/>
      <c r="T449" s="562"/>
      <c r="U449" s="562"/>
      <c r="V449" s="563"/>
      <c r="W449" s="37" t="s">
        <v>77</v>
      </c>
      <c r="X449" s="547">
        <f>IFERROR(X443/H443,"0")+IFERROR(X444/H444,"0")+IFERROR(X445/H445,"0")+IFERROR(X446/H446,"0")+IFERROR(X447/H447,"0")+IFERROR(X448/H448,"0")</f>
        <v>0</v>
      </c>
      <c r="Y449" s="547">
        <f>IFERROR(Y443/H443,"0")+IFERROR(Y444/H444,"0")+IFERROR(Y445/H445,"0")+IFERROR(Y446/H446,"0")+IFERROR(Y447/H447,"0")+IFERROR(Y448/H448,"0")</f>
        <v>0</v>
      </c>
      <c r="Z449" s="547">
        <f>IFERROR(IF(Z443="",0,Z443),"0")+IFERROR(IF(Z444="",0,Z444),"0")+IFERROR(IF(Z445="",0,Z445),"0")+IFERROR(IF(Z446="",0,Z446),"0")+IFERROR(IF(Z447="",0,Z447),"0")+IFERROR(IF(Z448="",0,Z448),"0")</f>
        <v>0</v>
      </c>
      <c r="AA449" s="548"/>
      <c r="AB449" s="548"/>
      <c r="AC449" s="548"/>
    </row>
    <row r="450" spans="1:68" hidden="1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1" t="s">
        <v>76</v>
      </c>
      <c r="Q450" s="562"/>
      <c r="R450" s="562"/>
      <c r="S450" s="562"/>
      <c r="T450" s="562"/>
      <c r="U450" s="562"/>
      <c r="V450" s="563"/>
      <c r="W450" s="37" t="s">
        <v>70</v>
      </c>
      <c r="X450" s="547">
        <f>IFERROR(SUM(X443:X448),"0")</f>
        <v>0</v>
      </c>
      <c r="Y450" s="547">
        <f>IFERROR(SUM(Y443:Y448),"0")</f>
        <v>0</v>
      </c>
      <c r="Z450" s="37"/>
      <c r="AA450" s="548"/>
      <c r="AB450" s="548"/>
      <c r="AC450" s="548"/>
    </row>
    <row r="451" spans="1:68" ht="14.25" hidden="1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hidden="1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76</v>
      </c>
      <c r="Q455" s="562"/>
      <c r="R455" s="562"/>
      <c r="S455" s="562"/>
      <c r="T455" s="562"/>
      <c r="U455" s="562"/>
      <c r="V455" s="563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hidden="1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1" t="s">
        <v>76</v>
      </c>
      <c r="Q456" s="562"/>
      <c r="R456" s="562"/>
      <c r="S456" s="562"/>
      <c r="T456" s="562"/>
      <c r="U456" s="562"/>
      <c r="V456" s="563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hidden="1" customHeight="1" x14ac:dyDescent="0.2">
      <c r="A457" s="568" t="s">
        <v>702</v>
      </c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69"/>
      <c r="P457" s="569"/>
      <c r="Q457" s="569"/>
      <c r="R457" s="569"/>
      <c r="S457" s="569"/>
      <c r="T457" s="569"/>
      <c r="U457" s="569"/>
      <c r="V457" s="569"/>
      <c r="W457" s="569"/>
      <c r="X457" s="569"/>
      <c r="Y457" s="569"/>
      <c r="Z457" s="569"/>
      <c r="AA457" s="48"/>
      <c r="AB457" s="48"/>
      <c r="AC457" s="48"/>
    </row>
    <row r="458" spans="1:68" ht="16.5" hidden="1" customHeight="1" x14ac:dyDescent="0.25">
      <c r="A458" s="564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hidden="1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hidden="1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9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76</v>
      </c>
      <c r="Q464" s="562"/>
      <c r="R464" s="562"/>
      <c r="S464" s="562"/>
      <c r="T464" s="562"/>
      <c r="U464" s="562"/>
      <c r="V464" s="563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hidden="1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1" t="s">
        <v>76</v>
      </c>
      <c r="Q465" s="562"/>
      <c r="R465" s="562"/>
      <c r="S465" s="562"/>
      <c r="T465" s="562"/>
      <c r="U465" s="562"/>
      <c r="V465" s="563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hidden="1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hidden="1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1" t="s">
        <v>76</v>
      </c>
      <c r="Q470" s="562"/>
      <c r="R470" s="562"/>
      <c r="S470" s="562"/>
      <c r="T470" s="562"/>
      <c r="U470" s="562"/>
      <c r="V470" s="563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1" t="s">
        <v>76</v>
      </c>
      <c r="Q471" s="562"/>
      <c r="R471" s="562"/>
      <c r="S471" s="562"/>
      <c r="T471" s="562"/>
      <c r="U471" s="562"/>
      <c r="V471" s="563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hidden="1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3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5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1" t="s">
        <v>76</v>
      </c>
      <c r="Q475" s="562"/>
      <c r="R475" s="562"/>
      <c r="S475" s="562"/>
      <c r="T475" s="562"/>
      <c r="U475" s="562"/>
      <c r="V475" s="563"/>
      <c r="W475" s="37" t="s">
        <v>77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76</v>
      </c>
      <c r="Q476" s="562"/>
      <c r="R476" s="562"/>
      <c r="S476" s="562"/>
      <c r="T476" s="562"/>
      <c r="U476" s="562"/>
      <c r="V476" s="563"/>
      <c r="W476" s="37" t="s">
        <v>70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hidden="1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1" t="s">
        <v>76</v>
      </c>
      <c r="Q479" s="562"/>
      <c r="R479" s="562"/>
      <c r="S479" s="562"/>
      <c r="T479" s="562"/>
      <c r="U479" s="562"/>
      <c r="V479" s="563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1" t="s">
        <v>76</v>
      </c>
      <c r="Q480" s="562"/>
      <c r="R480" s="562"/>
      <c r="S480" s="562"/>
      <c r="T480" s="562"/>
      <c r="U480" s="562"/>
      <c r="V480" s="563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hidden="1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0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1" t="s">
        <v>76</v>
      </c>
      <c r="Q484" s="562"/>
      <c r="R484" s="562"/>
      <c r="S484" s="562"/>
      <c r="T484" s="562"/>
      <c r="U484" s="562"/>
      <c r="V484" s="563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1" t="s">
        <v>76</v>
      </c>
      <c r="Q485" s="562"/>
      <c r="R485" s="562"/>
      <c r="S485" s="562"/>
      <c r="T485" s="562"/>
      <c r="U485" s="562"/>
      <c r="V485" s="563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64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hidden="1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hidden="1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80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1" t="s">
        <v>76</v>
      </c>
      <c r="Q489" s="562"/>
      <c r="R489" s="562"/>
      <c r="S489" s="562"/>
      <c r="T489" s="562"/>
      <c r="U489" s="562"/>
      <c r="V489" s="563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1" t="s">
        <v>76</v>
      </c>
      <c r="Q490" s="562"/>
      <c r="R490" s="562"/>
      <c r="S490" s="562"/>
      <c r="T490" s="562"/>
      <c r="U490" s="562"/>
      <c r="V490" s="563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3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8"/>
      <c r="P491" s="670" t="s">
        <v>742</v>
      </c>
      <c r="Q491" s="671"/>
      <c r="R491" s="671"/>
      <c r="S491" s="671"/>
      <c r="T491" s="671"/>
      <c r="U491" s="671"/>
      <c r="V491" s="672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1086.1499999999999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1142.7099999999998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8"/>
      <c r="P492" s="670" t="s">
        <v>743</v>
      </c>
      <c r="Q492" s="671"/>
      <c r="R492" s="671"/>
      <c r="S492" s="671"/>
      <c r="T492" s="671"/>
      <c r="U492" s="671"/>
      <c r="V492" s="672"/>
      <c r="W492" s="37" t="s">
        <v>70</v>
      </c>
      <c r="X492" s="547">
        <f>IFERROR(SUM(BM22:BM488),"0")</f>
        <v>1136.4786241412912</v>
      </c>
      <c r="Y492" s="547">
        <f>IFERROR(SUM(BN22:BN488),"0")</f>
        <v>1195.4760000000003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8"/>
      <c r="P493" s="670" t="s">
        <v>744</v>
      </c>
      <c r="Q493" s="671"/>
      <c r="R493" s="671"/>
      <c r="S493" s="671"/>
      <c r="T493" s="671"/>
      <c r="U493" s="671"/>
      <c r="V493" s="672"/>
      <c r="W493" s="37" t="s">
        <v>745</v>
      </c>
      <c r="X493" s="38">
        <f>ROUNDUP(SUM(BO22:BO488),0)</f>
        <v>2</v>
      </c>
      <c r="Y493" s="38">
        <f>ROUNDUP(SUM(BP22:BP488),0)</f>
        <v>2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8"/>
      <c r="P494" s="670" t="s">
        <v>746</v>
      </c>
      <c r="Q494" s="671"/>
      <c r="R494" s="671"/>
      <c r="S494" s="671"/>
      <c r="T494" s="671"/>
      <c r="U494" s="671"/>
      <c r="V494" s="672"/>
      <c r="W494" s="37" t="s">
        <v>70</v>
      </c>
      <c r="X494" s="547">
        <f>GrossWeightTotal+PalletQtyTotal*25</f>
        <v>1186.4786241412912</v>
      </c>
      <c r="Y494" s="547">
        <f>GrossWeightTotalR+PalletQtyTotalR*25</f>
        <v>1245.4760000000003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8"/>
      <c r="P495" s="670" t="s">
        <v>747</v>
      </c>
      <c r="Q495" s="671"/>
      <c r="R495" s="671"/>
      <c r="S495" s="671"/>
      <c r="T495" s="671"/>
      <c r="U495" s="671"/>
      <c r="V495" s="672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151.40804874138206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158</v>
      </c>
      <c r="Z495" s="37"/>
      <c r="AA495" s="548"/>
      <c r="AB495" s="548"/>
      <c r="AC495" s="548"/>
    </row>
    <row r="496" spans="1:68" ht="14.25" hidden="1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8"/>
      <c r="P496" s="670" t="s">
        <v>748</v>
      </c>
      <c r="Q496" s="671"/>
      <c r="R496" s="671"/>
      <c r="S496" s="671"/>
      <c r="T496" s="671"/>
      <c r="U496" s="671"/>
      <c r="V496" s="672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2.1947200000000002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4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5"/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43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54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198.9</v>
      </c>
      <c r="E501" s="46">
        <f>IFERROR(Y86*1,"0")+IFERROR(Y87*1,"0")+IFERROR(Y88*1,"0")+IFERROR(Y92*1,"0")+IFERROR(Y93*1,"0")+IFERROR(Y94*1,"0")+IFERROR(Y95*1,"0")</f>
        <v>9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16.2</v>
      </c>
      <c r="G501" s="46">
        <f>IFERROR(Y125*1,"0")+IFERROR(Y126*1,"0")+IFERROR(Y130*1,"0")+IFERROR(Y131*1,"0")+IFERROR(Y135*1,"0")+IFERROR(Y136*1,"0")</f>
        <v>0</v>
      </c>
      <c r="H501" s="46">
        <f>IFERROR(Y141*1,"0")+IFERROR(Y142*1,"0")+IFERROR(Y146*1,"0")+IFERROR(Y147*1,"0")+IFERROR(Y148*1,"0")+IFERROR(Y152*1,"0")</f>
        <v>18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8.4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43.2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545.05000000000007</v>
      </c>
      <c r="R501" s="46">
        <f>IFERROR(Y335*1,"0")+IFERROR(Y336*1,"0")+IFERROR(Y337*1,"0")</f>
        <v>14.4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225</v>
      </c>
      <c r="T501" s="46">
        <f>IFERROR(Y368*1,"0")+IFERROR(Y369*1,"0")+IFERROR(Y373*1,"0")+IFERROR(Y374*1,"0")+IFERROR(Y378*1,"0")+IFERROR(Y379*1,"0")+IFERROR(Y380*1,"0")</f>
        <v>0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10.56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5"/>
        <filter val="1 086,15"/>
        <filter val="1 136,48"/>
        <filter val="1 186,48"/>
        <filter val="1,00"/>
        <filter val="1,19"/>
        <filter val="1,78"/>
        <filter val="1,85"/>
        <filter val="100,00"/>
        <filter val="12,82"/>
        <filter val="120,00"/>
        <filter val="136,30"/>
        <filter val="14,30"/>
        <filter val="14,33"/>
        <filter val="14,63"/>
        <filter val="15,00"/>
        <filter val="151,41"/>
        <filter val="16,00"/>
        <filter val="2"/>
        <filter val="2,00"/>
        <filter val="2,10"/>
        <filter val="2,55"/>
        <filter val="200,00"/>
        <filter val="21,30"/>
        <filter val="215,00"/>
        <filter val="228,00"/>
        <filter val="25,00"/>
        <filter val="25,52"/>
        <filter val="28,00"/>
        <filter val="3,70"/>
        <filter val="3,99"/>
        <filter val="30,00"/>
        <filter val="33,95"/>
        <filter val="4,20"/>
        <filter val="4,63"/>
        <filter val="40,00"/>
        <filter val="45,00"/>
        <filter val="5,00"/>
        <filter val="50,00"/>
        <filter val="55,00"/>
        <filter val="6,30"/>
        <filter val="6,82"/>
        <filter val="8,00"/>
        <filter val="9,00"/>
        <filter val="95,00"/>
      </filters>
    </filterColumn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D425:E425"/>
    <mergeCell ref="D359:E359"/>
    <mergeCell ref="A486:Z486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D427:E427"/>
    <mergeCell ref="P27:T27"/>
    <mergeCell ref="D75:E75"/>
    <mergeCell ref="P390:T390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N17:N18"/>
    <mergeCell ref="X17:X18"/>
    <mergeCell ref="P216:V216"/>
    <mergeCell ref="A26:Z26"/>
    <mergeCell ref="P230:T230"/>
    <mergeCell ref="P59:V59"/>
    <mergeCell ref="J9:M9"/>
    <mergeCell ref="A296:O297"/>
    <mergeCell ref="D348:E348"/>
    <mergeCell ref="P141:T141"/>
    <mergeCell ref="D62:E62"/>
    <mergeCell ref="D56:E56"/>
    <mergeCell ref="P233:T233"/>
    <mergeCell ref="D347:E347"/>
    <mergeCell ref="P304:T304"/>
    <mergeCell ref="D285:E285"/>
    <mergeCell ref="D176:E176"/>
    <mergeCell ref="D114:E114"/>
    <mergeCell ref="P248:T248"/>
    <mergeCell ref="H17:H18"/>
    <mergeCell ref="D198:E198"/>
    <mergeCell ref="P275:V275"/>
    <mergeCell ref="P104:V104"/>
    <mergeCell ref="A340:Z340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58:V58"/>
    <mergeCell ref="A13:M13"/>
    <mergeCell ref="A119:Z119"/>
    <mergeCell ref="D87:E87"/>
    <mergeCell ref="P244:V244"/>
    <mergeCell ref="P115:T115"/>
    <mergeCell ref="D61:E61"/>
    <mergeCell ref="A15:M15"/>
    <mergeCell ref="P238:T238"/>
    <mergeCell ref="D346:E346"/>
    <mergeCell ref="P229:T229"/>
    <mergeCell ref="A153:O154"/>
    <mergeCell ref="D125:E125"/>
    <mergeCell ref="A66:Z66"/>
    <mergeCell ref="D181:E181"/>
    <mergeCell ref="D52:E52"/>
    <mergeCell ref="P110:V110"/>
    <mergeCell ref="D27:E27"/>
    <mergeCell ref="P484:V484"/>
    <mergeCell ref="P43:T43"/>
    <mergeCell ref="D328:E328"/>
    <mergeCell ref="P285:T285"/>
    <mergeCell ref="P65:V65"/>
    <mergeCell ref="P434:V434"/>
    <mergeCell ref="A253:Z253"/>
    <mergeCell ref="P380:T380"/>
    <mergeCell ref="A367:Z367"/>
    <mergeCell ref="A419:Z419"/>
    <mergeCell ref="P446:T446"/>
    <mergeCell ref="A221:O222"/>
    <mergeCell ref="A286:O287"/>
    <mergeCell ref="D273:E273"/>
    <mergeCell ref="P252:V252"/>
    <mergeCell ref="P105:V105"/>
    <mergeCell ref="P212:T212"/>
    <mergeCell ref="D177:E177"/>
    <mergeCell ref="P448:T448"/>
    <mergeCell ref="D349:E349"/>
    <mergeCell ref="P388:T388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P196:T196"/>
    <mergeCell ref="A185:Z185"/>
    <mergeCell ref="P287:V28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A132:O133"/>
    <mergeCell ref="A325:O326"/>
    <mergeCell ref="A275:O276"/>
    <mergeCell ref="P219:T219"/>
    <mergeCell ref="D162:E162"/>
    <mergeCell ref="D167:E167"/>
    <mergeCell ref="P422:T422"/>
    <mergeCell ref="D232:E232"/>
    <mergeCell ref="A263:Z263"/>
    <mergeCell ref="P264:T264"/>
    <mergeCell ref="A312:O313"/>
    <mergeCell ref="P353:T353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24:E324"/>
    <mergeCell ref="D311:E311"/>
    <mergeCell ref="D115:E115"/>
    <mergeCell ref="P55:T55"/>
    <mergeCell ref="P417:V417"/>
    <mergeCell ref="Q12:R12"/>
    <mergeCell ref="P411:T411"/>
    <mergeCell ref="D388:E388"/>
    <mergeCell ref="P15:T16"/>
    <mergeCell ref="D116:E116"/>
    <mergeCell ref="P23:T23"/>
    <mergeCell ref="F9:G9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A32:O33"/>
    <mergeCell ref="D290:E290"/>
    <mergeCell ref="D94:E94"/>
    <mergeCell ref="Q9:R9"/>
    <mergeCell ref="D255:E255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A182:O183"/>
    <mergeCell ref="P52:T52"/>
    <mergeCell ref="D108:E108"/>
    <mergeCell ref="A34:Z34"/>
    <mergeCell ref="D211:E211"/>
    <mergeCell ref="P168:T168"/>
    <mergeCell ref="P49:V49"/>
    <mergeCell ref="P36:V36"/>
    <mergeCell ref="D322:E322"/>
    <mergeCell ref="P53:T53"/>
    <mergeCell ref="P68:T6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266:T266"/>
    <mergeCell ref="P95:T95"/>
    <mergeCell ref="P182:V182"/>
    <mergeCell ref="D303:E303"/>
    <mergeCell ref="P453:T453"/>
    <mergeCell ref="P396:V396"/>
    <mergeCell ref="A395:O396"/>
    <mergeCell ref="P259:T259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W17:W18"/>
    <mergeCell ref="P45:V45"/>
    <mergeCell ref="P42:T42"/>
    <mergeCell ref="P148:T148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  <mergeCell ref="D410:E410"/>
    <mergeCell ref="A270:Z270"/>
    <mergeCell ref="P391:T391"/>
    <mergeCell ref="D369:E369"/>
    <mergeCell ref="P465:V465"/>
    <mergeCell ref="A459:Z459"/>
    <mergeCell ref="P467:T46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2025-12-08T11:11:21Z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