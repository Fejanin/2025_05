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87F168C-EAA7-4384-B50A-A186E833465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X480" i="1"/>
  <c r="X479" i="1"/>
  <c r="BO478" i="1"/>
  <c r="BM478" i="1"/>
  <c r="Y478" i="1"/>
  <c r="BP478" i="1" s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O468" i="1"/>
  <c r="BM468" i="1"/>
  <c r="Y468" i="1"/>
  <c r="BP468" i="1" s="1"/>
  <c r="P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BP454" i="1" s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O450" i="1"/>
  <c r="BM450" i="1"/>
  <c r="Y450" i="1"/>
  <c r="BP450" i="1" s="1"/>
  <c r="P450" i="1"/>
  <c r="X448" i="1"/>
  <c r="X447" i="1"/>
  <c r="BO446" i="1"/>
  <c r="BM446" i="1"/>
  <c r="Y446" i="1"/>
  <c r="BP446" i="1" s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BP440" i="1" s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O436" i="1"/>
  <c r="BM436" i="1"/>
  <c r="Y436" i="1"/>
  <c r="BP436" i="1" s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BP432" i="1" s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O417" i="1"/>
  <c r="BM417" i="1"/>
  <c r="Y417" i="1"/>
  <c r="BP417" i="1" s="1"/>
  <c r="P417" i="1"/>
  <c r="BO416" i="1"/>
  <c r="BM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U505" i="1" s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O360" i="1"/>
  <c r="BM360" i="1"/>
  <c r="Y360" i="1"/>
  <c r="Y362" i="1" s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P292" i="1"/>
  <c r="X290" i="1"/>
  <c r="X289" i="1"/>
  <c r="BO288" i="1"/>
  <c r="BN288" i="1"/>
  <c r="BM288" i="1"/>
  <c r="Z288" i="1"/>
  <c r="Y288" i="1"/>
  <c r="BP288" i="1" s="1"/>
  <c r="P288" i="1"/>
  <c r="BO287" i="1"/>
  <c r="BM287" i="1"/>
  <c r="Y287" i="1"/>
  <c r="Y289" i="1" s="1"/>
  <c r="P287" i="1"/>
  <c r="X284" i="1"/>
  <c r="X283" i="1"/>
  <c r="BO282" i="1"/>
  <c r="BM282" i="1"/>
  <c r="Y282" i="1"/>
  <c r="P282" i="1"/>
  <c r="BO281" i="1"/>
  <c r="BM281" i="1"/>
  <c r="Y281" i="1"/>
  <c r="BP281" i="1" s="1"/>
  <c r="P281" i="1"/>
  <c r="BO280" i="1"/>
  <c r="BM280" i="1"/>
  <c r="Y280" i="1"/>
  <c r="P280" i="1"/>
  <c r="X277" i="1"/>
  <c r="X276" i="1"/>
  <c r="BO275" i="1"/>
  <c r="BM275" i="1"/>
  <c r="Y275" i="1"/>
  <c r="P275" i="1"/>
  <c r="BO274" i="1"/>
  <c r="BM274" i="1"/>
  <c r="Y274" i="1"/>
  <c r="BP274" i="1" s="1"/>
  <c r="P274" i="1"/>
  <c r="BO273" i="1"/>
  <c r="BM273" i="1"/>
  <c r="Y273" i="1"/>
  <c r="P273" i="1"/>
  <c r="BO272" i="1"/>
  <c r="BM272" i="1"/>
  <c r="Y272" i="1"/>
  <c r="BP272" i="1" s="1"/>
  <c r="P272" i="1"/>
  <c r="X269" i="1"/>
  <c r="X268" i="1"/>
  <c r="BO267" i="1"/>
  <c r="BM267" i="1"/>
  <c r="Y267" i="1"/>
  <c r="BP267" i="1" s="1"/>
  <c r="P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BO263" i="1"/>
  <c r="BM263" i="1"/>
  <c r="Y263" i="1"/>
  <c r="Y269" i="1" s="1"/>
  <c r="P263" i="1"/>
  <c r="X260" i="1"/>
  <c r="X259" i="1"/>
  <c r="BO258" i="1"/>
  <c r="BM258" i="1"/>
  <c r="Y258" i="1"/>
  <c r="BP258" i="1" s="1"/>
  <c r="P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P255" i="1"/>
  <c r="BO254" i="1"/>
  <c r="BM254" i="1"/>
  <c r="Y254" i="1"/>
  <c r="P254" i="1"/>
  <c r="X252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X243" i="1"/>
  <c r="BO242" i="1"/>
  <c r="BM242" i="1"/>
  <c r="Y242" i="1"/>
  <c r="BP242" i="1" s="1"/>
  <c r="P242" i="1"/>
  <c r="BO241" i="1"/>
  <c r="BM241" i="1"/>
  <c r="Y241" i="1"/>
  <c r="P241" i="1"/>
  <c r="BO240" i="1"/>
  <c r="BM240" i="1"/>
  <c r="Y240" i="1"/>
  <c r="P240" i="1"/>
  <c r="BO239" i="1"/>
  <c r="BM239" i="1"/>
  <c r="Y239" i="1"/>
  <c r="P239" i="1"/>
  <c r="BO238" i="1"/>
  <c r="BM238" i="1"/>
  <c r="Y238" i="1"/>
  <c r="BP238" i="1" s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O234" i="1"/>
  <c r="BM234" i="1"/>
  <c r="Y234" i="1"/>
  <c r="BP234" i="1" s="1"/>
  <c r="P234" i="1"/>
  <c r="X231" i="1"/>
  <c r="X230" i="1"/>
  <c r="BO229" i="1"/>
  <c r="BM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O223" i="1"/>
  <c r="BM223" i="1"/>
  <c r="Y223" i="1"/>
  <c r="BP223" i="1" s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O211" i="1"/>
  <c r="BM211" i="1"/>
  <c r="Y211" i="1"/>
  <c r="BP211" i="1" s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BP206" i="1" s="1"/>
  <c r="P206" i="1"/>
  <c r="BO205" i="1"/>
  <c r="BM205" i="1"/>
  <c r="Y205" i="1"/>
  <c r="P205" i="1"/>
  <c r="X203" i="1"/>
  <c r="X202" i="1"/>
  <c r="BO201" i="1"/>
  <c r="BM201" i="1"/>
  <c r="Y201" i="1"/>
  <c r="P201" i="1"/>
  <c r="BO200" i="1"/>
  <c r="BM200" i="1"/>
  <c r="Y200" i="1"/>
  <c r="P200" i="1"/>
  <c r="X198" i="1"/>
  <c r="X197" i="1"/>
  <c r="BO196" i="1"/>
  <c r="BM196" i="1"/>
  <c r="Y196" i="1"/>
  <c r="BP196" i="1" s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BP185" i="1" s="1"/>
  <c r="P185" i="1"/>
  <c r="BO184" i="1"/>
  <c r="BM184" i="1"/>
  <c r="Y184" i="1"/>
  <c r="P184" i="1"/>
  <c r="X182" i="1"/>
  <c r="X181" i="1"/>
  <c r="BO180" i="1"/>
  <c r="BM180" i="1"/>
  <c r="Y180" i="1"/>
  <c r="P180" i="1"/>
  <c r="BO179" i="1"/>
  <c r="BM179" i="1"/>
  <c r="Y179" i="1"/>
  <c r="BP179" i="1" s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P174" i="1"/>
  <c r="BO173" i="1"/>
  <c r="BM173" i="1"/>
  <c r="Y173" i="1"/>
  <c r="BP173" i="1" s="1"/>
  <c r="P173" i="1"/>
  <c r="BO172" i="1"/>
  <c r="BM172" i="1"/>
  <c r="Y172" i="1"/>
  <c r="P172" i="1"/>
  <c r="BO171" i="1"/>
  <c r="BM171" i="1"/>
  <c r="Y171" i="1"/>
  <c r="BP171" i="1" s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BO167" i="1"/>
  <c r="BM167" i="1"/>
  <c r="Y167" i="1"/>
  <c r="X165" i="1"/>
  <c r="X164" i="1"/>
  <c r="BO163" i="1"/>
  <c r="BM163" i="1"/>
  <c r="Y163" i="1"/>
  <c r="P163" i="1"/>
  <c r="X159" i="1"/>
  <c r="X158" i="1"/>
  <c r="BO157" i="1"/>
  <c r="BM157" i="1"/>
  <c r="Y157" i="1"/>
  <c r="P157" i="1"/>
  <c r="X155" i="1"/>
  <c r="X154" i="1"/>
  <c r="BO153" i="1"/>
  <c r="BM153" i="1"/>
  <c r="Y153" i="1"/>
  <c r="BP153" i="1" s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O149" i="1"/>
  <c r="BM149" i="1"/>
  <c r="Y149" i="1"/>
  <c r="BP149" i="1" s="1"/>
  <c r="P149" i="1"/>
  <c r="BO148" i="1"/>
  <c r="BM148" i="1"/>
  <c r="Y148" i="1"/>
  <c r="P148" i="1"/>
  <c r="X146" i="1"/>
  <c r="X145" i="1"/>
  <c r="BO144" i="1"/>
  <c r="BM144" i="1"/>
  <c r="Y144" i="1"/>
  <c r="P144" i="1"/>
  <c r="BO143" i="1"/>
  <c r="BM143" i="1"/>
  <c r="Y143" i="1"/>
  <c r="P143" i="1"/>
  <c r="X140" i="1"/>
  <c r="X139" i="1"/>
  <c r="BO138" i="1"/>
  <c r="BM138" i="1"/>
  <c r="Y138" i="1"/>
  <c r="BP138" i="1" s="1"/>
  <c r="P138" i="1"/>
  <c r="BO137" i="1"/>
  <c r="BM137" i="1"/>
  <c r="Y137" i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P132" i="1"/>
  <c r="X130" i="1"/>
  <c r="Y129" i="1"/>
  <c r="X129" i="1"/>
  <c r="BP128" i="1"/>
  <c r="BO128" i="1"/>
  <c r="BN128" i="1"/>
  <c r="BM128" i="1"/>
  <c r="Z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BP117" i="1" s="1"/>
  <c r="P117" i="1"/>
  <c r="BO116" i="1"/>
  <c r="BM116" i="1"/>
  <c r="Y116" i="1"/>
  <c r="P116" i="1"/>
  <c r="BO115" i="1"/>
  <c r="BM115" i="1"/>
  <c r="Y115" i="1"/>
  <c r="P115" i="1"/>
  <c r="X113" i="1"/>
  <c r="X112" i="1"/>
  <c r="BO111" i="1"/>
  <c r="BM111" i="1"/>
  <c r="Y111" i="1"/>
  <c r="BP111" i="1" s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O103" i="1"/>
  <c r="BM103" i="1"/>
  <c r="Y103" i="1"/>
  <c r="BP103" i="1" s="1"/>
  <c r="P103" i="1"/>
  <c r="BO102" i="1"/>
  <c r="BM102" i="1"/>
  <c r="Y102" i="1"/>
  <c r="P102" i="1"/>
  <c r="BO101" i="1"/>
  <c r="BM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O94" i="1"/>
  <c r="BM94" i="1"/>
  <c r="Y94" i="1"/>
  <c r="BP94" i="1" s="1"/>
  <c r="P94" i="1"/>
  <c r="BO93" i="1"/>
  <c r="BM93" i="1"/>
  <c r="Y93" i="1"/>
  <c r="P93" i="1"/>
  <c r="BP92" i="1"/>
  <c r="BO92" i="1"/>
  <c r="BN92" i="1"/>
  <c r="BM92" i="1"/>
  <c r="Z92" i="1"/>
  <c r="Y92" i="1"/>
  <c r="P92" i="1"/>
  <c r="X90" i="1"/>
  <c r="X89" i="1"/>
  <c r="BO88" i="1"/>
  <c r="BM88" i="1"/>
  <c r="Y88" i="1"/>
  <c r="BP88" i="1" s="1"/>
  <c r="P88" i="1"/>
  <c r="BO87" i="1"/>
  <c r="BM87" i="1"/>
  <c r="Y87" i="1"/>
  <c r="P87" i="1"/>
  <c r="BO86" i="1"/>
  <c r="BM86" i="1"/>
  <c r="Y86" i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Y59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2" i="1" s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55" i="1" l="1"/>
  <c r="BN55" i="1"/>
  <c r="Z55" i="1"/>
  <c r="BP86" i="1"/>
  <c r="BN86" i="1"/>
  <c r="Z86" i="1"/>
  <c r="BP115" i="1"/>
  <c r="BN115" i="1"/>
  <c r="Z115" i="1"/>
  <c r="Y159" i="1"/>
  <c r="Y158" i="1"/>
  <c r="BP157" i="1"/>
  <c r="BN157" i="1"/>
  <c r="Z157" i="1"/>
  <c r="Z158" i="1" s="1"/>
  <c r="Y164" i="1"/>
  <c r="BP163" i="1"/>
  <c r="BN163" i="1"/>
  <c r="Z163" i="1"/>
  <c r="Z164" i="1" s="1"/>
  <c r="BP169" i="1"/>
  <c r="BN169" i="1"/>
  <c r="Z169" i="1"/>
  <c r="Y202" i="1"/>
  <c r="BP200" i="1"/>
  <c r="BN200" i="1"/>
  <c r="Z200" i="1"/>
  <c r="BP229" i="1"/>
  <c r="BN229" i="1"/>
  <c r="Z229" i="1"/>
  <c r="Y260" i="1"/>
  <c r="BP254" i="1"/>
  <c r="BN254" i="1"/>
  <c r="Z254" i="1"/>
  <c r="BP317" i="1"/>
  <c r="BN317" i="1"/>
  <c r="Z317" i="1"/>
  <c r="BP352" i="1"/>
  <c r="BN352" i="1"/>
  <c r="Z352" i="1"/>
  <c r="BP396" i="1"/>
  <c r="BN396" i="1"/>
  <c r="Z396" i="1"/>
  <c r="BP434" i="1"/>
  <c r="BN434" i="1"/>
  <c r="Z434" i="1"/>
  <c r="BP466" i="1"/>
  <c r="BN466" i="1"/>
  <c r="Z466" i="1"/>
  <c r="X499" i="1"/>
  <c r="Z28" i="1"/>
  <c r="BN28" i="1"/>
  <c r="BP67" i="1"/>
  <c r="BN67" i="1"/>
  <c r="Z67" i="1"/>
  <c r="BP101" i="1"/>
  <c r="BN101" i="1"/>
  <c r="Z101" i="1"/>
  <c r="BP143" i="1"/>
  <c r="BN143" i="1"/>
  <c r="Z143" i="1"/>
  <c r="BP217" i="1"/>
  <c r="BN217" i="1"/>
  <c r="Z217" i="1"/>
  <c r="BP240" i="1"/>
  <c r="BN240" i="1"/>
  <c r="Z240" i="1"/>
  <c r="BP307" i="1"/>
  <c r="BN307" i="1"/>
  <c r="Z307" i="1"/>
  <c r="BP335" i="1"/>
  <c r="BN335" i="1"/>
  <c r="Z335" i="1"/>
  <c r="BP376" i="1"/>
  <c r="BN376" i="1"/>
  <c r="Z376" i="1"/>
  <c r="Y412" i="1"/>
  <c r="BP411" i="1"/>
  <c r="BN411" i="1"/>
  <c r="Z411" i="1"/>
  <c r="Z412" i="1" s="1"/>
  <c r="BP415" i="1"/>
  <c r="BN415" i="1"/>
  <c r="Z415" i="1"/>
  <c r="BP444" i="1"/>
  <c r="BN444" i="1"/>
  <c r="Z444" i="1"/>
  <c r="Y484" i="1"/>
  <c r="Y483" i="1"/>
  <c r="BP482" i="1"/>
  <c r="BN482" i="1"/>
  <c r="Z482" i="1"/>
  <c r="Z483" i="1" s="1"/>
  <c r="BP486" i="1"/>
  <c r="BN486" i="1"/>
  <c r="Z486" i="1"/>
  <c r="C505" i="1"/>
  <c r="J9" i="1"/>
  <c r="F9" i="1"/>
  <c r="F10" i="1"/>
  <c r="Z22" i="1"/>
  <c r="BN22" i="1"/>
  <c r="Z30" i="1"/>
  <c r="BN30" i="1"/>
  <c r="Z53" i="1"/>
  <c r="BN53" i="1"/>
  <c r="Z57" i="1"/>
  <c r="BN57" i="1"/>
  <c r="Y65" i="1"/>
  <c r="Z63" i="1"/>
  <c r="BN63" i="1"/>
  <c r="Z73" i="1"/>
  <c r="BN73" i="1"/>
  <c r="Z79" i="1"/>
  <c r="BN79" i="1"/>
  <c r="BP79" i="1"/>
  <c r="Z88" i="1"/>
  <c r="BN88" i="1"/>
  <c r="Y96" i="1"/>
  <c r="Z94" i="1"/>
  <c r="BN94" i="1"/>
  <c r="Z103" i="1"/>
  <c r="BN103" i="1"/>
  <c r="Z111" i="1"/>
  <c r="BN111" i="1"/>
  <c r="Z117" i="1"/>
  <c r="BN117" i="1"/>
  <c r="Z138" i="1"/>
  <c r="BN138" i="1"/>
  <c r="Z149" i="1"/>
  <c r="BN149" i="1"/>
  <c r="Z153" i="1"/>
  <c r="BN153" i="1"/>
  <c r="Z171" i="1"/>
  <c r="BN171" i="1"/>
  <c r="Z175" i="1"/>
  <c r="BN175" i="1"/>
  <c r="Z179" i="1"/>
  <c r="BN179" i="1"/>
  <c r="Z196" i="1"/>
  <c r="BN196" i="1"/>
  <c r="Z206" i="1"/>
  <c r="BN206" i="1"/>
  <c r="Z207" i="1"/>
  <c r="BN207" i="1"/>
  <c r="Z211" i="1"/>
  <c r="BN211" i="1"/>
  <c r="Z219" i="1"/>
  <c r="BN219" i="1"/>
  <c r="Z223" i="1"/>
  <c r="BN223" i="1"/>
  <c r="Z234" i="1"/>
  <c r="BN234" i="1"/>
  <c r="Z238" i="1"/>
  <c r="BN238" i="1"/>
  <c r="Z242" i="1"/>
  <c r="BN242" i="1"/>
  <c r="Z256" i="1"/>
  <c r="BN256" i="1"/>
  <c r="Z263" i="1"/>
  <c r="BN263" i="1"/>
  <c r="BP263" i="1"/>
  <c r="Z267" i="1"/>
  <c r="BN267" i="1"/>
  <c r="Z274" i="1"/>
  <c r="BN274" i="1"/>
  <c r="BP301" i="1"/>
  <c r="BN301" i="1"/>
  <c r="Z301" i="1"/>
  <c r="Y319" i="1"/>
  <c r="BP315" i="1"/>
  <c r="BN315" i="1"/>
  <c r="Z315" i="1"/>
  <c r="BP331" i="1"/>
  <c r="BN331" i="1"/>
  <c r="Z331" i="1"/>
  <c r="BP350" i="1"/>
  <c r="BN350" i="1"/>
  <c r="Z350" i="1"/>
  <c r="BP361" i="1"/>
  <c r="BN361" i="1"/>
  <c r="Z361" i="1"/>
  <c r="BP365" i="1"/>
  <c r="BN365" i="1"/>
  <c r="Z365" i="1"/>
  <c r="BP394" i="1"/>
  <c r="BN394" i="1"/>
  <c r="Z394" i="1"/>
  <c r="BP406" i="1"/>
  <c r="BN406" i="1"/>
  <c r="Z406" i="1"/>
  <c r="Z173" i="1"/>
  <c r="BN173" i="1"/>
  <c r="Z177" i="1"/>
  <c r="BN177" i="1"/>
  <c r="Z185" i="1"/>
  <c r="BN185" i="1"/>
  <c r="Y251" i="1"/>
  <c r="Z258" i="1"/>
  <c r="BN258" i="1"/>
  <c r="Z265" i="1"/>
  <c r="BN265" i="1"/>
  <c r="Z272" i="1"/>
  <c r="BN272" i="1"/>
  <c r="Z281" i="1"/>
  <c r="BN281" i="1"/>
  <c r="BP292" i="1"/>
  <c r="BN292" i="1"/>
  <c r="Z292" i="1"/>
  <c r="BP309" i="1"/>
  <c r="BN309" i="1"/>
  <c r="Z309" i="1"/>
  <c r="BP323" i="1"/>
  <c r="BN323" i="1"/>
  <c r="Z323" i="1"/>
  <c r="BP337" i="1"/>
  <c r="BN337" i="1"/>
  <c r="Z337" i="1"/>
  <c r="BP342" i="1"/>
  <c r="BN342" i="1"/>
  <c r="Z342" i="1"/>
  <c r="BP354" i="1"/>
  <c r="BN354" i="1"/>
  <c r="Z354" i="1"/>
  <c r="Y382" i="1"/>
  <c r="BP380" i="1"/>
  <c r="BN380" i="1"/>
  <c r="Z380" i="1"/>
  <c r="BP398" i="1"/>
  <c r="BN398" i="1"/>
  <c r="Z398" i="1"/>
  <c r="Y339" i="1"/>
  <c r="Y338" i="1"/>
  <c r="Y419" i="1"/>
  <c r="Z417" i="1"/>
  <c r="BN417" i="1"/>
  <c r="Z432" i="1"/>
  <c r="BN432" i="1"/>
  <c r="Z436" i="1"/>
  <c r="BN436" i="1"/>
  <c r="Z440" i="1"/>
  <c r="BN440" i="1"/>
  <c r="Y448" i="1"/>
  <c r="Z446" i="1"/>
  <c r="BN446" i="1"/>
  <c r="Y447" i="1"/>
  <c r="Z450" i="1"/>
  <c r="BN450" i="1"/>
  <c r="Z454" i="1"/>
  <c r="BN454" i="1"/>
  <c r="Z468" i="1"/>
  <c r="BN468" i="1"/>
  <c r="Z478" i="1"/>
  <c r="BN478" i="1"/>
  <c r="Y488" i="1"/>
  <c r="Y25" i="1"/>
  <c r="Y33" i="1"/>
  <c r="Y37" i="1"/>
  <c r="Y45" i="1"/>
  <c r="Y49" i="1"/>
  <c r="Y58" i="1"/>
  <c r="Y64" i="1"/>
  <c r="BP74" i="1"/>
  <c r="BN74" i="1"/>
  <c r="Z74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BP133" i="1"/>
  <c r="BN133" i="1"/>
  <c r="Z133" i="1"/>
  <c r="Z134" i="1" s="1"/>
  <c r="Y135" i="1"/>
  <c r="Y140" i="1"/>
  <c r="BP137" i="1"/>
  <c r="BN137" i="1"/>
  <c r="Z137" i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Z197" i="1" s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BP343" i="1"/>
  <c r="BN343" i="1"/>
  <c r="Z343" i="1"/>
  <c r="Z345" i="1" s="1"/>
  <c r="Y345" i="1"/>
  <c r="D505" i="1"/>
  <c r="H9" i="1"/>
  <c r="B505" i="1"/>
  <c r="X496" i="1"/>
  <c r="X497" i="1"/>
  <c r="Z23" i="1"/>
  <c r="Z24" i="1" s="1"/>
  <c r="BN23" i="1"/>
  <c r="Y24" i="1"/>
  <c r="X495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Z58" i="1" s="1"/>
  <c r="BN52" i="1"/>
  <c r="BP52" i="1"/>
  <c r="Z54" i="1"/>
  <c r="BN54" i="1"/>
  <c r="Z56" i="1"/>
  <c r="BN56" i="1"/>
  <c r="Z62" i="1"/>
  <c r="BN62" i="1"/>
  <c r="Y69" i="1"/>
  <c r="Z68" i="1"/>
  <c r="Z69" i="1" s="1"/>
  <c r="BN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505" i="1"/>
  <c r="Y90" i="1"/>
  <c r="BP85" i="1"/>
  <c r="BN85" i="1"/>
  <c r="Z85" i="1"/>
  <c r="Z89" i="1" s="1"/>
  <c r="Y89" i="1"/>
  <c r="BP93" i="1"/>
  <c r="BN93" i="1"/>
  <c r="Z93" i="1"/>
  <c r="Z96" i="1" s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Z129" i="1" s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Z367" i="1" s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BP239" i="1"/>
  <c r="BN239" i="1"/>
  <c r="Z239" i="1"/>
  <c r="Y243" i="1"/>
  <c r="BP255" i="1"/>
  <c r="BN255" i="1"/>
  <c r="Z255" i="1"/>
  <c r="Z259" i="1" s="1"/>
  <c r="Y259" i="1"/>
  <c r="Z268" i="1"/>
  <c r="BP264" i="1"/>
  <c r="BN264" i="1"/>
  <c r="Z264" i="1"/>
  <c r="Y268" i="1"/>
  <c r="BP273" i="1"/>
  <c r="BN273" i="1"/>
  <c r="Z273" i="1"/>
  <c r="Z276" i="1" s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BP324" i="1"/>
  <c r="BN324" i="1"/>
  <c r="Z324" i="1"/>
  <c r="Y333" i="1"/>
  <c r="BP328" i="1"/>
  <c r="BN328" i="1"/>
  <c r="Z328" i="1"/>
  <c r="Z332" i="1" s="1"/>
  <c r="Y332" i="1"/>
  <c r="Z338" i="1"/>
  <c r="BP336" i="1"/>
  <c r="BN336" i="1"/>
  <c r="Z336" i="1"/>
  <c r="BP351" i="1"/>
  <c r="BN351" i="1"/>
  <c r="Z351" i="1"/>
  <c r="BP355" i="1"/>
  <c r="BN355" i="1"/>
  <c r="Z355" i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Z382" i="1" s="1"/>
  <c r="Y383" i="1"/>
  <c r="Y388" i="1"/>
  <c r="BP385" i="1"/>
  <c r="BN385" i="1"/>
  <c r="Z385" i="1"/>
  <c r="BP395" i="1"/>
  <c r="BN395" i="1"/>
  <c r="Z395" i="1"/>
  <c r="BP399" i="1"/>
  <c r="BN399" i="1"/>
  <c r="Z399" i="1"/>
  <c r="BP416" i="1"/>
  <c r="BN416" i="1"/>
  <c r="Z416" i="1"/>
  <c r="Z419" i="1" s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Z447" i="1" s="1"/>
  <c r="Y456" i="1"/>
  <c r="BP453" i="1"/>
  <c r="BN453" i="1"/>
  <c r="Z453" i="1"/>
  <c r="BP467" i="1"/>
  <c r="BN467" i="1"/>
  <c r="Z467" i="1"/>
  <c r="Y474" i="1"/>
  <c r="BP487" i="1"/>
  <c r="BN487" i="1"/>
  <c r="Z487" i="1"/>
  <c r="Y489" i="1"/>
  <c r="Z505" i="1"/>
  <c r="Y493" i="1"/>
  <c r="BP492" i="1"/>
  <c r="BN492" i="1"/>
  <c r="Z492" i="1"/>
  <c r="Z493" i="1" s="1"/>
  <c r="Y494" i="1"/>
  <c r="Z488" i="1" l="1"/>
  <c r="Z388" i="1"/>
  <c r="Z319" i="1"/>
  <c r="Z377" i="1"/>
  <c r="Z187" i="1"/>
  <c r="Z64" i="1"/>
  <c r="Z139" i="1"/>
  <c r="Z357" i="1"/>
  <c r="Z243" i="1"/>
  <c r="Z456" i="1"/>
  <c r="Y497" i="1"/>
  <c r="Z119" i="1"/>
  <c r="Y496" i="1"/>
  <c r="Y498" i="1" s="1"/>
  <c r="Z402" i="1"/>
  <c r="Z213" i="1"/>
  <c r="Z312" i="1"/>
  <c r="Z303" i="1"/>
  <c r="Z283" i="1"/>
  <c r="Z225" i="1"/>
  <c r="Z181" i="1"/>
  <c r="Z112" i="1"/>
  <c r="Z105" i="1"/>
  <c r="Z441" i="1"/>
  <c r="Z469" i="1"/>
  <c r="Z325" i="1"/>
  <c r="Z154" i="1"/>
  <c r="Z44" i="1"/>
  <c r="Z32" i="1"/>
  <c r="Z500" i="1" s="1"/>
  <c r="Y499" i="1"/>
  <c r="X498" i="1"/>
  <c r="Y495" i="1"/>
</calcChain>
</file>

<file path=xl/sharedStrings.xml><?xml version="1.0" encoding="utf-8"?>
<sst xmlns="http://schemas.openxmlformats.org/spreadsheetml/2006/main" count="2359" uniqueCount="782">
  <si>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</si>
  <si>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</si>
  <si>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</si>
  <si>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</si>
  <si>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</si>
  <si>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</si>
  <si>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</si>
  <si>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</si>
  <si>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</si>
  <si>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</si>
  <si>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</si>
  <si>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</si>
  <si>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</si>
  <si>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</si>
  <si>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</si>
  <si>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</si>
  <si>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</si>
  <si>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</si>
  <si>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</si>
  <si>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</si>
  <si>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</si>
  <si>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</si>
  <si>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</si>
  <si>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</si>
  <si>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</si>
  <si>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</si>
  <si>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</si>
  <si>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</si>
  <si>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</si>
  <si>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</si>
  <si>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</si>
  <si>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</si>
  <si>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</si>
  <si>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</si>
  <si>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</si>
  <si>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</si>
  <si>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</si>
  <si>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</si>
  <si>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</si>
  <si>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</si>
  <si>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</si>
  <si>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</si>
  <si>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</si>
  <si>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</si>
  <si>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</si>
  <si>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</si>
  <si>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</si>
  <si>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</si>
  <si>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</si>
  <si>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</si>
  <si>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</si>
  <si>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</si>
  <si>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</si>
  <si>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</si>
  <si>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</si>
  <si>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</si>
  <si>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</si>
  <si>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</si>
  <si>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</si>
  <si>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</si>
  <si>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</si>
  <si>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</si>
  <si>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</si>
  <si>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</si>
  <si>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</si>
  <si>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</si>
  <si>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</si>
  <si>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</si>
  <si>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</si>
  <si>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</si>
  <si>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</si>
  <si>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</si>
  <si>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</si>
  <si>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</si>
  <si>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</si>
  <si>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</si>
  <si>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</si>
  <si>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</si>
  <si>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</si>
  <si>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</si>
  <si>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</si>
  <si>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</si>
  <si>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</si>
  <si>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</si>
  <si>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</si>
  <si>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</si>
  <si>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</si>
  <si>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</si>
  <si>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</si>
  <si>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</si>
  <si>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</si>
  <si>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</si>
  <si>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</si>
  <si>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</si>
  <si>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</si>
  <si>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</si>
  <si>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</si>
  <si>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</si>
  <si>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</si>
  <si>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</si>
  <si>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</si>
  <si>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</si>
  <si>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</si>
  <si>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</si>
  <si>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</si>
  <si>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</si>
  <si>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</si>
  <si>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</si>
  <si>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</si>
  <si>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</si>
  <si>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</si>
  <si>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</si>
  <si>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Короб, мин. 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</si>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</sst>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7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5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5"/>
  <sheetViews>
    <sheetView showGridLines="0" tabSelected="1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27" t="s">
        <v>0</v>
      </c>
      <c r="E1" s="588"/>
      <c r="F1" s="588"/>
      <c r="G1" s="12" t="s">
        <v>1</v>
      </c>
      <c r="H1" s="627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707" t="s">
        <v>8</v>
      </c>
      <c r="B5" s="646"/>
      <c r="C5" s="647"/>
      <c r="D5" s="632"/>
      <c r="E5" s="633"/>
      <c r="F5" s="841" t="s">
        <v>9</v>
      </c>
      <c r="G5" s="647"/>
      <c r="H5" s="632" t="s">
        <v>781</v>
      </c>
      <c r="I5" s="804"/>
      <c r="J5" s="804"/>
      <c r="K5" s="804"/>
      <c r="L5" s="804"/>
      <c r="M5" s="633"/>
      <c r="N5" s="58"/>
      <c r="P5" s="24" t="s">
        <v>10</v>
      </c>
      <c r="Q5" s="859">
        <v>46025</v>
      </c>
      <c r="R5" s="697"/>
      <c r="T5" s="746" t="s">
        <v>11</v>
      </c>
      <c r="U5" s="747"/>
      <c r="V5" s="748" t="s">
        <v>12</v>
      </c>
      <c r="W5" s="697"/>
      <c r="AB5" s="51"/>
      <c r="AC5" s="51"/>
      <c r="AD5" s="51"/>
      <c r="AE5" s="51"/>
    </row>
    <row r="6" spans="1:32" s="547" customFormat="1" ht="24" customHeight="1" x14ac:dyDescent="0.2">
      <c r="A6" s="707" t="s">
        <v>13</v>
      </c>
      <c r="B6" s="646"/>
      <c r="C6" s="647"/>
      <c r="D6" s="806" t="s">
        <v>14</v>
      </c>
      <c r="E6" s="807"/>
      <c r="F6" s="807"/>
      <c r="G6" s="807"/>
      <c r="H6" s="807"/>
      <c r="I6" s="807"/>
      <c r="J6" s="807"/>
      <c r="K6" s="807"/>
      <c r="L6" s="807"/>
      <c r="M6" s="697"/>
      <c r="N6" s="59"/>
      <c r="P6" s="24" t="s">
        <v>15</v>
      </c>
      <c r="Q6" s="867" t="str">
        <f>IF(Q5=0," ",CHOOSE(WEEKDAY(Q5,2),"Понедельник","Вторник","Среда","Четверг","Пятница","Суббота","Воскресенье"))</f>
        <v>Суббота</v>
      </c>
      <c r="R6" s="563"/>
      <c r="T6" s="753" t="s">
        <v>16</v>
      </c>
      <c r="U6" s="747"/>
      <c r="V6" s="789" t="s">
        <v>17</v>
      </c>
      <c r="W6" s="599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8"/>
      <c r="U7" s="747"/>
      <c r="V7" s="790"/>
      <c r="W7" s="791"/>
      <c r="AB7" s="51"/>
      <c r="AC7" s="51"/>
      <c r="AD7" s="51"/>
      <c r="AE7" s="51"/>
    </row>
    <row r="8" spans="1:32" s="547" customFormat="1" ht="25.5" customHeight="1" x14ac:dyDescent="0.2">
      <c r="A8" s="877" t="s">
        <v>18</v>
      </c>
      <c r="B8" s="565"/>
      <c r="C8" s="566"/>
      <c r="D8" s="618" t="s">
        <v>19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20</v>
      </c>
      <c r="Q8" s="715">
        <v>0.41666666666666669</v>
      </c>
      <c r="R8" s="609"/>
      <c r="T8" s="568"/>
      <c r="U8" s="747"/>
      <c r="V8" s="790"/>
      <c r="W8" s="791"/>
      <c r="AB8" s="51"/>
      <c r="AC8" s="51"/>
      <c r="AD8" s="51"/>
      <c r="AE8" s="51"/>
    </row>
    <row r="9" spans="1:32" s="547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699"/>
      <c r="E9" s="581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80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545"/>
      <c r="P9" s="26" t="s">
        <v>21</v>
      </c>
      <c r="Q9" s="692"/>
      <c r="R9" s="693"/>
      <c r="T9" s="568"/>
      <c r="U9" s="747"/>
      <c r="V9" s="792"/>
      <c r="W9" s="793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699"/>
      <c r="E10" s="581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81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54"/>
      <c r="R10" s="755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96"/>
      <c r="R11" s="697"/>
      <c r="U11" s="24" t="s">
        <v>27</v>
      </c>
      <c r="V11" s="815" t="s">
        <v>28</v>
      </c>
      <c r="W11" s="693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37" t="s">
        <v>29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30</v>
      </c>
      <c r="Q12" s="715"/>
      <c r="R12" s="609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37" t="s">
        <v>31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32</v>
      </c>
      <c r="Q13" s="815"/>
      <c r="R13" s="69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37" t="s">
        <v>33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8" t="s">
        <v>34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6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6"/>
      <c r="Q16" s="766"/>
      <c r="R16" s="766"/>
      <c r="S16" s="766"/>
      <c r="T16" s="76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5" t="s">
        <v>36</v>
      </c>
      <c r="B17" s="585" t="s">
        <v>37</v>
      </c>
      <c r="C17" s="718" t="s">
        <v>38</v>
      </c>
      <c r="D17" s="585" t="s">
        <v>39</v>
      </c>
      <c r="E17" s="681"/>
      <c r="F17" s="585" t="s">
        <v>40</v>
      </c>
      <c r="G17" s="585" t="s">
        <v>41</v>
      </c>
      <c r="H17" s="585" t="s">
        <v>42</v>
      </c>
      <c r="I17" s="585" t="s">
        <v>43</v>
      </c>
      <c r="J17" s="585" t="s">
        <v>44</v>
      </c>
      <c r="K17" s="585" t="s">
        <v>45</v>
      </c>
      <c r="L17" s="585" t="s">
        <v>46</v>
      </c>
      <c r="M17" s="585" t="s">
        <v>47</v>
      </c>
      <c r="N17" s="585" t="s">
        <v>48</v>
      </c>
      <c r="O17" s="585" t="s">
        <v>49</v>
      </c>
      <c r="P17" s="585" t="s">
        <v>50</v>
      </c>
      <c r="Q17" s="680"/>
      <c r="R17" s="680"/>
      <c r="S17" s="680"/>
      <c r="T17" s="681"/>
      <c r="U17" s="870" t="s">
        <v>51</v>
      </c>
      <c r="V17" s="647"/>
      <c r="W17" s="585" t="s">
        <v>52</v>
      </c>
      <c r="X17" s="585" t="s">
        <v>53</v>
      </c>
      <c r="Y17" s="872" t="s">
        <v>54</v>
      </c>
      <c r="Z17" s="800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36"/>
      <c r="AF17" s="837"/>
      <c r="AG17" s="66"/>
      <c r="BD17" s="65" t="s">
        <v>60</v>
      </c>
    </row>
    <row r="18" spans="1:68" ht="14.25" customHeight="1" x14ac:dyDescent="0.2">
      <c r="A18" s="586"/>
      <c r="B18" s="586"/>
      <c r="C18" s="586"/>
      <c r="D18" s="682"/>
      <c r="E18" s="684"/>
      <c r="F18" s="586"/>
      <c r="G18" s="586"/>
      <c r="H18" s="586"/>
      <c r="I18" s="586"/>
      <c r="J18" s="586"/>
      <c r="K18" s="586"/>
      <c r="L18" s="586"/>
      <c r="M18" s="586"/>
      <c r="N18" s="586"/>
      <c r="O18" s="586"/>
      <c r="P18" s="682"/>
      <c r="Q18" s="683"/>
      <c r="R18" s="683"/>
      <c r="S18" s="683"/>
      <c r="T18" s="684"/>
      <c r="U18" s="67" t="s">
        <v>61</v>
      </c>
      <c r="V18" s="67" t="s">
        <v>62</v>
      </c>
      <c r="W18" s="586"/>
      <c r="X18" s="586"/>
      <c r="Y18" s="873"/>
      <c r="Z18" s="801"/>
      <c r="AA18" s="780"/>
      <c r="AB18" s="780"/>
      <c r="AC18" s="780"/>
      <c r="AD18" s="838"/>
      <c r="AE18" s="839"/>
      <c r="AF18" s="840"/>
      <c r="AG18" s="66"/>
      <c r="BD18" s="65"/>
    </row>
    <row r="19" spans="1:68" ht="27.75" hidden="1" customHeight="1" x14ac:dyDescent="0.2">
      <c r="A19" s="560" t="s">
        <v>63</v>
      </c>
      <c r="B19" s="561"/>
      <c r="C19" s="561"/>
      <c r="D19" s="561"/>
      <c r="E19" s="561"/>
      <c r="F19" s="561"/>
      <c r="G19" s="561"/>
      <c r="H19" s="561"/>
      <c r="I19" s="561"/>
      <c r="J19" s="561"/>
      <c r="K19" s="561"/>
      <c r="L19" s="561"/>
      <c r="M19" s="561"/>
      <c r="N19" s="561"/>
      <c r="O19" s="561"/>
      <c r="P19" s="561"/>
      <c r="Q19" s="561"/>
      <c r="R19" s="561"/>
      <c r="S19" s="561"/>
      <c r="T19" s="561"/>
      <c r="U19" s="561"/>
      <c r="V19" s="561"/>
      <c r="W19" s="561"/>
      <c r="X19" s="561"/>
      <c r="Y19" s="561"/>
      <c r="Z19" s="561"/>
      <c r="AA19" s="48"/>
      <c r="AB19" s="48"/>
      <c r="AC19" s="48"/>
    </row>
    <row r="20" spans="1:68" ht="16.5" hidden="1" customHeight="1" x14ac:dyDescent="0.25">
      <c r="A20" s="578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hidden="1" customHeight="1" x14ac:dyDescent="0.25">
      <c r="A21" s="567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9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70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hidden="1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70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hidden="1" customHeight="1" x14ac:dyDescent="0.25">
      <c r="A26" s="567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62">
        <v>4607091388244</v>
      </c>
      <c r="E31" s="563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9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70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hidden="1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70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hidden="1" customHeight="1" x14ac:dyDescent="0.25">
      <c r="A34" s="567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62">
        <v>4607091388503</v>
      </c>
      <c r="E35" s="563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9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70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hidden="1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70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hidden="1" customHeight="1" x14ac:dyDescent="0.2">
      <c r="A38" s="560" t="s">
        <v>99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48"/>
      <c r="AB38" s="48"/>
      <c r="AC38" s="48"/>
    </row>
    <row r="39" spans="1:68" ht="16.5" hidden="1" customHeight="1" x14ac:dyDescent="0.25">
      <c r="A39" s="578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hidden="1" customHeight="1" x14ac:dyDescent="0.25">
      <c r="A40" s="567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2">
        <v>4607091385670</v>
      </c>
      <c r="E41" s="563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56</v>
      </c>
      <c r="Y41" s="554">
        <f>IFERROR(IF(X41="",0,CEILING((X41/$H41),1)*$H41),"")</f>
        <v>64.800000000000011</v>
      </c>
      <c r="Z41" s="36">
        <f>IFERROR(IF(Y41=0,"",ROUNDUP(Y41/H41,0)*0.01898),"")</f>
        <v>0.11388000000000001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58.12592592592592</v>
      </c>
      <c r="BN41" s="64">
        <f>IFERROR(Y41*I41/H41,"0")</f>
        <v>67.260000000000005</v>
      </c>
      <c r="BO41" s="64">
        <f>IFERROR(1/J41*(X41/H41),"0")</f>
        <v>8.1018518518518517E-2</v>
      </c>
      <c r="BP41" s="64">
        <f>IFERROR(1/J41*(Y41/H41),"0")</f>
        <v>9.3750000000000014E-2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2">
        <v>4680115882539</v>
      </c>
      <c r="E42" s="563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 t="s">
        <v>112</v>
      </c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84</v>
      </c>
      <c r="Y42" s="554">
        <f>IFERROR(IF(X42="",0,CEILING((X42/$H42),1)*$H42),"")</f>
        <v>85.100000000000009</v>
      </c>
      <c r="Z42" s="36">
        <f>IFERROR(IF(Y42=0,"",ROUNDUP(Y42/H42,0)*0.00902),"")</f>
        <v>0.20746000000000001</v>
      </c>
      <c r="AA42" s="56"/>
      <c r="AB42" s="57"/>
      <c r="AC42" s="87" t="s">
        <v>107</v>
      </c>
      <c r="AG42" s="64"/>
      <c r="AJ42" s="68" t="s">
        <v>108</v>
      </c>
      <c r="AK42" s="68">
        <v>44.4</v>
      </c>
      <c r="BB42" s="88" t="s">
        <v>1</v>
      </c>
      <c r="BM42" s="64">
        <f>IFERROR(X42*I42/H42,"0")</f>
        <v>88.313513513513513</v>
      </c>
      <c r="BN42" s="64">
        <f>IFERROR(Y42*I42/H42,"0")</f>
        <v>89.470000000000013</v>
      </c>
      <c r="BO42" s="64">
        <f>IFERROR(1/J42*(X42/H42),"0")</f>
        <v>0.171990171990172</v>
      </c>
      <c r="BP42" s="64">
        <f>IFERROR(1/J42*(Y42/H42),"0")</f>
        <v>0.17424242424242425</v>
      </c>
    </row>
    <row r="43" spans="1:68" ht="27" hidden="1" customHeight="1" x14ac:dyDescent="0.25">
      <c r="A43" s="54" t="s">
        <v>113</v>
      </c>
      <c r="B43" s="54" t="s">
        <v>114</v>
      </c>
      <c r="C43" s="31">
        <v>4301011382</v>
      </c>
      <c r="D43" s="562">
        <v>4607091385687</v>
      </c>
      <c r="E43" s="563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112</v>
      </c>
      <c r="M43" s="33" t="s">
        <v>80</v>
      </c>
      <c r="N43" s="33"/>
      <c r="O43" s="32">
        <v>50</v>
      </c>
      <c r="P43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9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70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55">
        <f>IFERROR(X41/H41,"0")+IFERROR(X42/H42,"0")+IFERROR(X43/H43,"0")</f>
        <v>27.887887887887885</v>
      </c>
      <c r="Y44" s="555">
        <f>IFERROR(Y41/H41,"0")+IFERROR(Y42/H42,"0")+IFERROR(Y43/H43,"0")</f>
        <v>29</v>
      </c>
      <c r="Z44" s="555">
        <f>IFERROR(IF(Z41="",0,Z41),"0")+IFERROR(IF(Z42="",0,Z42),"0")+IFERROR(IF(Z43="",0,Z43),"0")</f>
        <v>0.32134000000000001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70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55">
        <f>IFERROR(SUM(X41:X43),"0")</f>
        <v>140</v>
      </c>
      <c r="Y45" s="555">
        <f>IFERROR(SUM(Y41:Y43),"0")</f>
        <v>149.90000000000003</v>
      </c>
      <c r="Z45" s="37"/>
      <c r="AA45" s="556"/>
      <c r="AB45" s="556"/>
      <c r="AC45" s="556"/>
    </row>
    <row r="46" spans="1:68" ht="14.25" hidden="1" customHeight="1" x14ac:dyDescent="0.25">
      <c r="A46" s="567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hidden="1" customHeight="1" x14ac:dyDescent="0.25">
      <c r="A47" s="54" t="s">
        <v>115</v>
      </c>
      <c r="B47" s="54" t="s">
        <v>116</v>
      </c>
      <c r="C47" s="31">
        <v>4301051820</v>
      </c>
      <c r="D47" s="562">
        <v>4680115884915</v>
      </c>
      <c r="E47" s="563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9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70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hidden="1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70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hidden="1" customHeight="1" x14ac:dyDescent="0.25">
      <c r="A50" s="578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hidden="1" customHeight="1" x14ac:dyDescent="0.25">
      <c r="A51" s="567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62">
        <v>4680115885882</v>
      </c>
      <c r="E52" s="563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 t="s">
        <v>105</v>
      </c>
      <c r="M52" s="33" t="s">
        <v>80</v>
      </c>
      <c r="N52" s="33"/>
      <c r="O52" s="32">
        <v>50</v>
      </c>
      <c r="P52" s="6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18</v>
      </c>
      <c r="Y52" s="554">
        <f t="shared" ref="Y52:Y57" si="0">IFERROR(IF(X52="",0,CEILING((X52/$H52),1)*$H52),"")</f>
        <v>22.4</v>
      </c>
      <c r="Z52" s="36">
        <f>IFERROR(IF(Y52=0,"",ROUNDUP(Y52/H52,0)*0.01898),"")</f>
        <v>3.7960000000000001E-2</v>
      </c>
      <c r="AA52" s="56"/>
      <c r="AB52" s="57"/>
      <c r="AC52" s="93" t="s">
        <v>121</v>
      </c>
      <c r="AG52" s="64"/>
      <c r="AJ52" s="68" t="s">
        <v>108</v>
      </c>
      <c r="AK52" s="68">
        <v>89.6</v>
      </c>
      <c r="BB52" s="94" t="s">
        <v>1</v>
      </c>
      <c r="BM52" s="64">
        <f t="shared" ref="BM52:BM57" si="1">IFERROR(X52*I52/H52,"0")</f>
        <v>18.658928571428572</v>
      </c>
      <c r="BN52" s="64">
        <f t="shared" ref="BN52:BN57" si="2">IFERROR(Y52*I52/H52,"0")</f>
        <v>23.22</v>
      </c>
      <c r="BO52" s="64">
        <f t="shared" ref="BO52:BO57" si="3">IFERROR(1/J52*(X52/H52),"0")</f>
        <v>2.5111607142857144E-2</v>
      </c>
      <c r="BP52" s="64">
        <f t="shared" ref="BP52:BP57" si="4">IFERROR(1/J52*(Y52/H52),"0")</f>
        <v>3.125E-2</v>
      </c>
    </row>
    <row r="53" spans="1:68" ht="27" hidden="1" customHeight="1" x14ac:dyDescent="0.25">
      <c r="A53" s="54" t="s">
        <v>122</v>
      </c>
      <c r="B53" s="54" t="s">
        <v>123</v>
      </c>
      <c r="C53" s="31">
        <v>4301011816</v>
      </c>
      <c r="D53" s="562">
        <v>4680115881426</v>
      </c>
      <c r="E53" s="563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0</v>
      </c>
      <c r="Y53" s="55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4301011386</v>
      </c>
      <c r="D54" s="562">
        <v>4680115880283</v>
      </c>
      <c r="E54" s="563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128</v>
      </c>
      <c r="B55" s="54" t="s">
        <v>129</v>
      </c>
      <c r="C55" s="31">
        <v>4301011806</v>
      </c>
      <c r="D55" s="562">
        <v>4680115881525</v>
      </c>
      <c r="E55" s="563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112</v>
      </c>
      <c r="M55" s="33" t="s">
        <v>106</v>
      </c>
      <c r="N55" s="33"/>
      <c r="O55" s="32">
        <v>50</v>
      </c>
      <c r="P55" s="7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4301011589</v>
      </c>
      <c r="D56" s="562">
        <v>4680115885899</v>
      </c>
      <c r="E56" s="563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134</v>
      </c>
      <c r="B57" s="54" t="s">
        <v>135</v>
      </c>
      <c r="C57" s="31">
        <v>4301011801</v>
      </c>
      <c r="D57" s="562">
        <v>4680115881419</v>
      </c>
      <c r="E57" s="563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 t="s">
        <v>112</v>
      </c>
      <c r="M57" s="33" t="s">
        <v>106</v>
      </c>
      <c r="N57" s="33"/>
      <c r="O57" s="32">
        <v>50</v>
      </c>
      <c r="P57" s="8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 t="s">
        <v>108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9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70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55">
        <f>IFERROR(X52/H52,"0")+IFERROR(X53/H53,"0")+IFERROR(X54/H54,"0")+IFERROR(X55/H55,"0")+IFERROR(X56/H56,"0")+IFERROR(X57/H57,"0")</f>
        <v>1.6071428571428572</v>
      </c>
      <c r="Y58" s="555">
        <f>IFERROR(Y52/H52,"0")+IFERROR(Y53/H53,"0")+IFERROR(Y54/H54,"0")+IFERROR(Y55/H55,"0")+IFERROR(Y56/H56,"0")+IFERROR(Y57/H57,"0")</f>
        <v>2</v>
      </c>
      <c r="Z58" s="555">
        <f>IFERROR(IF(Z52="",0,Z52),"0")+IFERROR(IF(Z53="",0,Z53),"0")+IFERROR(IF(Z54="",0,Z54),"0")+IFERROR(IF(Z55="",0,Z55),"0")+IFERROR(IF(Z56="",0,Z56),"0")+IFERROR(IF(Z57="",0,Z57),"0")</f>
        <v>3.7960000000000001E-2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70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55">
        <f>IFERROR(SUM(X52:X57),"0")</f>
        <v>18</v>
      </c>
      <c r="Y59" s="555">
        <f>IFERROR(SUM(Y52:Y57),"0")</f>
        <v>22.4</v>
      </c>
      <c r="Z59" s="37"/>
      <c r="AA59" s="556"/>
      <c r="AB59" s="556"/>
      <c r="AC59" s="556"/>
    </row>
    <row r="60" spans="1:68" ht="14.25" hidden="1" customHeight="1" x14ac:dyDescent="0.25">
      <c r="A60" s="567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2">
        <v>4680115881440</v>
      </c>
      <c r="E61" s="563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30</v>
      </c>
      <c r="Y61" s="554">
        <f>IFERROR(IF(X61="",0,CEILING((X61/$H61),1)*$H61),"")</f>
        <v>32.400000000000006</v>
      </c>
      <c r="Z61" s="36">
        <f>IFERROR(IF(Y61=0,"",ROUNDUP(Y61/H61,0)*0.01898),"")</f>
        <v>5.6940000000000004E-2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31.138888888888889</v>
      </c>
      <c r="BN61" s="64">
        <f>IFERROR(Y61*I61/H61,"0")</f>
        <v>33.630000000000003</v>
      </c>
      <c r="BO61" s="64">
        <f>IFERROR(1/J61*(X61/H61),"0")</f>
        <v>4.3402777777777776E-2</v>
      </c>
      <c r="BP61" s="64">
        <f>IFERROR(1/J61*(Y61/H61),"0")</f>
        <v>4.6875000000000007E-2</v>
      </c>
    </row>
    <row r="62" spans="1:68" ht="16.5" hidden="1" customHeight="1" x14ac:dyDescent="0.25">
      <c r="A62" s="54" t="s">
        <v>141</v>
      </c>
      <c r="B62" s="54" t="s">
        <v>142</v>
      </c>
      <c r="C62" s="31">
        <v>4301020358</v>
      </c>
      <c r="D62" s="562">
        <v>4680115885950</v>
      </c>
      <c r="E62" s="563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77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143</v>
      </c>
      <c r="B63" s="54" t="s">
        <v>144</v>
      </c>
      <c r="C63" s="31">
        <v>4301020296</v>
      </c>
      <c r="D63" s="562">
        <v>4680115881433</v>
      </c>
      <c r="E63" s="563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8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9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70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55">
        <f>IFERROR(X61/H61,"0")+IFERROR(X62/H62,"0")+IFERROR(X63/H63,"0")</f>
        <v>2.7777777777777777</v>
      </c>
      <c r="Y64" s="555">
        <f>IFERROR(Y61/H61,"0")+IFERROR(Y62/H62,"0")+IFERROR(Y63/H63,"0")</f>
        <v>3.0000000000000004</v>
      </c>
      <c r="Z64" s="555">
        <f>IFERROR(IF(Z61="",0,Z61),"0")+IFERROR(IF(Z62="",0,Z62),"0")+IFERROR(IF(Z63="",0,Z63),"0")</f>
        <v>5.6940000000000004E-2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70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55">
        <f>IFERROR(SUM(X61:X63),"0")</f>
        <v>30</v>
      </c>
      <c r="Y65" s="555">
        <f>IFERROR(SUM(Y61:Y63),"0")</f>
        <v>32.400000000000006</v>
      </c>
      <c r="Z65" s="37"/>
      <c r="AA65" s="556"/>
      <c r="AB65" s="556"/>
      <c r="AC65" s="556"/>
    </row>
    <row r="66" spans="1:68" ht="14.25" hidden="1" customHeight="1" x14ac:dyDescent="0.25">
      <c r="A66" s="567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hidden="1" customHeight="1" x14ac:dyDescent="0.25">
      <c r="A67" s="54" t="s">
        <v>145</v>
      </c>
      <c r="B67" s="54" t="s">
        <v>146</v>
      </c>
      <c r="C67" s="31">
        <v>4301031243</v>
      </c>
      <c r="D67" s="562">
        <v>4680115885073</v>
      </c>
      <c r="E67" s="563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62">
        <v>4680115885097</v>
      </c>
      <c r="E68" s="563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9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70"/>
      <c r="P69" s="564" t="s">
        <v>75</v>
      </c>
      <c r="Q69" s="565"/>
      <c r="R69" s="565"/>
      <c r="S69" s="565"/>
      <c r="T69" s="565"/>
      <c r="U69" s="565"/>
      <c r="V69" s="566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hidden="1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70"/>
      <c r="P70" s="564" t="s">
        <v>75</v>
      </c>
      <c r="Q70" s="565"/>
      <c r="R70" s="565"/>
      <c r="S70" s="565"/>
      <c r="T70" s="565"/>
      <c r="U70" s="565"/>
      <c r="V70" s="566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hidden="1" customHeight="1" x14ac:dyDescent="0.25">
      <c r="A71" s="567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62">
        <v>4680115885769</v>
      </c>
      <c r="E72" s="563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 t="s">
        <v>105</v>
      </c>
      <c r="M72" s="33" t="s">
        <v>80</v>
      </c>
      <c r="N72" s="33"/>
      <c r="O72" s="32">
        <v>45</v>
      </c>
      <c r="P72" s="85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108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62">
        <v>4680115884311</v>
      </c>
      <c r="E73" s="563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62">
        <v>4680115885929</v>
      </c>
      <c r="E74" s="563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62">
        <v>4680115884403</v>
      </c>
      <c r="E75" s="563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9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70"/>
      <c r="P76" s="564" t="s">
        <v>75</v>
      </c>
      <c r="Q76" s="565"/>
      <c r="R76" s="565"/>
      <c r="S76" s="565"/>
      <c r="T76" s="565"/>
      <c r="U76" s="565"/>
      <c r="V76" s="566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hidden="1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70"/>
      <c r="P77" s="564" t="s">
        <v>75</v>
      </c>
      <c r="Q77" s="565"/>
      <c r="R77" s="565"/>
      <c r="S77" s="565"/>
      <c r="T77" s="565"/>
      <c r="U77" s="565"/>
      <c r="V77" s="566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hidden="1" customHeight="1" x14ac:dyDescent="0.25">
      <c r="A78" s="567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2">
        <v>4680115881532</v>
      </c>
      <c r="E79" s="563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6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34</v>
      </c>
      <c r="Y79" s="554">
        <f>IFERROR(IF(X79="",0,CEILING((X79/$H79),1)*$H79),"")</f>
        <v>39</v>
      </c>
      <c r="Z79" s="36">
        <f>IFERROR(IF(Y79=0,"",ROUNDUP(Y79/H79,0)*0.01898),"")</f>
        <v>9.4899999999999998E-2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35.787179487179493</v>
      </c>
      <c r="BN79" s="64">
        <f>IFERROR(Y79*I79/H79,"0")</f>
        <v>41.050000000000011</v>
      </c>
      <c r="BO79" s="64">
        <f>IFERROR(1/J79*(X79/H79),"0")</f>
        <v>6.8108974358974367E-2</v>
      </c>
      <c r="BP79" s="64">
        <f>IFERROR(1/J79*(Y79/H79),"0")</f>
        <v>7.8125E-2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62">
        <v>4680115881464</v>
      </c>
      <c r="E80" s="563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9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70"/>
      <c r="P81" s="564" t="s">
        <v>75</v>
      </c>
      <c r="Q81" s="565"/>
      <c r="R81" s="565"/>
      <c r="S81" s="565"/>
      <c r="T81" s="565"/>
      <c r="U81" s="565"/>
      <c r="V81" s="566"/>
      <c r="W81" s="37" t="s">
        <v>76</v>
      </c>
      <c r="X81" s="555">
        <f>IFERROR(X79/H79,"0")+IFERROR(X80/H80,"0")</f>
        <v>4.3589743589743595</v>
      </c>
      <c r="Y81" s="555">
        <f>IFERROR(Y79/H79,"0")+IFERROR(Y80/H80,"0")</f>
        <v>5</v>
      </c>
      <c r="Z81" s="555">
        <f>IFERROR(IF(Z79="",0,Z79),"0")+IFERROR(IF(Z80="",0,Z80),"0")</f>
        <v>9.4899999999999998E-2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70"/>
      <c r="P82" s="564" t="s">
        <v>75</v>
      </c>
      <c r="Q82" s="565"/>
      <c r="R82" s="565"/>
      <c r="S82" s="565"/>
      <c r="T82" s="565"/>
      <c r="U82" s="565"/>
      <c r="V82" s="566"/>
      <c r="W82" s="37" t="s">
        <v>69</v>
      </c>
      <c r="X82" s="555">
        <f>IFERROR(SUM(X79:X80),"0")</f>
        <v>34</v>
      </c>
      <c r="Y82" s="555">
        <f>IFERROR(SUM(Y79:Y80),"0")</f>
        <v>39</v>
      </c>
      <c r="Z82" s="37"/>
      <c r="AA82" s="556"/>
      <c r="AB82" s="556"/>
      <c r="AC82" s="556"/>
    </row>
    <row r="83" spans="1:68" ht="16.5" hidden="1" customHeight="1" x14ac:dyDescent="0.25">
      <c r="A83" s="578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hidden="1" customHeight="1" x14ac:dyDescent="0.25">
      <c r="A84" s="567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2">
        <v>4680115881327</v>
      </c>
      <c r="E85" s="563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8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93</v>
      </c>
      <c r="Y85" s="554">
        <f>IFERROR(IF(X85="",0,CEILING((X85/$H85),1)*$H85),"")</f>
        <v>97.2</v>
      </c>
      <c r="Z85" s="36">
        <f>IFERROR(IF(Y85=0,"",ROUNDUP(Y85/H85,0)*0.01898),"")</f>
        <v>0.17082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96.530555555555551</v>
      </c>
      <c r="BN85" s="64">
        <f>IFERROR(Y85*I85/H85,"0")</f>
        <v>100.89</v>
      </c>
      <c r="BO85" s="64">
        <f>IFERROR(1/J85*(X85/H85),"0")</f>
        <v>0.1345486111111111</v>
      </c>
      <c r="BP85" s="64">
        <f>IFERROR(1/J85*(Y85/H85),"0")</f>
        <v>0.140625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4301011261</v>
      </c>
      <c r="D86" s="562">
        <v>4680115887732</v>
      </c>
      <c r="E86" s="563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66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62">
        <v>4680115881518</v>
      </c>
      <c r="E87" s="563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2">
        <v>4680115881303</v>
      </c>
      <c r="E88" s="563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112</v>
      </c>
      <c r="M88" s="33" t="s">
        <v>86</v>
      </c>
      <c r="N88" s="33"/>
      <c r="O88" s="32">
        <v>50</v>
      </c>
      <c r="P88" s="5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68</v>
      </c>
      <c r="Y88" s="554">
        <f>IFERROR(IF(X88="",0,CEILING((X88/$H88),1)*$H88),"")</f>
        <v>72</v>
      </c>
      <c r="Z88" s="36">
        <f>IFERROR(IF(Y88=0,"",ROUNDUP(Y88/H88,0)*0.00902),"")</f>
        <v>0.14432</v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70.871111111111119</v>
      </c>
      <c r="BN88" s="64">
        <f>IFERROR(Y88*I88/H88,"0")</f>
        <v>75.040000000000006</v>
      </c>
      <c r="BO88" s="64">
        <f>IFERROR(1/J88*(X88/H88),"0")</f>
        <v>0.11447811447811448</v>
      </c>
      <c r="BP88" s="64">
        <f>IFERROR(1/J88*(Y88/H88),"0")</f>
        <v>0.12121212121212122</v>
      </c>
    </row>
    <row r="89" spans="1:68" x14ac:dyDescent="0.2">
      <c r="A89" s="569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70"/>
      <c r="P89" s="564" t="s">
        <v>75</v>
      </c>
      <c r="Q89" s="565"/>
      <c r="R89" s="565"/>
      <c r="S89" s="565"/>
      <c r="T89" s="565"/>
      <c r="U89" s="565"/>
      <c r="V89" s="566"/>
      <c r="W89" s="37" t="s">
        <v>76</v>
      </c>
      <c r="X89" s="555">
        <f>IFERROR(X85/H85,"0")+IFERROR(X86/H86,"0")+IFERROR(X87/H87,"0")+IFERROR(X88/H88,"0")</f>
        <v>23.722222222222221</v>
      </c>
      <c r="Y89" s="555">
        <f>IFERROR(Y85/H85,"0")+IFERROR(Y86/H86,"0")+IFERROR(Y87/H87,"0")+IFERROR(Y88/H88,"0")</f>
        <v>25</v>
      </c>
      <c r="Z89" s="555">
        <f>IFERROR(IF(Z85="",0,Z85),"0")+IFERROR(IF(Z86="",0,Z86),"0")+IFERROR(IF(Z87="",0,Z87),"0")+IFERROR(IF(Z88="",0,Z88),"0")</f>
        <v>0.31513999999999998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70"/>
      <c r="P90" s="564" t="s">
        <v>75</v>
      </c>
      <c r="Q90" s="565"/>
      <c r="R90" s="565"/>
      <c r="S90" s="565"/>
      <c r="T90" s="565"/>
      <c r="U90" s="565"/>
      <c r="V90" s="566"/>
      <c r="W90" s="37" t="s">
        <v>69</v>
      </c>
      <c r="X90" s="555">
        <f>IFERROR(SUM(X85:X88),"0")</f>
        <v>161</v>
      </c>
      <c r="Y90" s="555">
        <f>IFERROR(SUM(Y85:Y88),"0")</f>
        <v>169.2</v>
      </c>
      <c r="Z90" s="37"/>
      <c r="AA90" s="556"/>
      <c r="AB90" s="556"/>
      <c r="AC90" s="556"/>
    </row>
    <row r="91" spans="1:68" ht="14.25" hidden="1" customHeight="1" x14ac:dyDescent="0.25">
      <c r="A91" s="567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2">
        <v>4607091386967</v>
      </c>
      <c r="E92" s="563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34</v>
      </c>
      <c r="Y92" s="554">
        <f>IFERROR(IF(X92="",0,CEILING((X92/$H92),1)*$H92),"")</f>
        <v>40.5</v>
      </c>
      <c r="Z92" s="36">
        <f>IFERROR(IF(Y92=0,"",ROUNDUP(Y92/H92,0)*0.01898),"")</f>
        <v>9.4899999999999998E-2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36.073580246913579</v>
      </c>
      <c r="BN92" s="64">
        <f>IFERROR(Y92*I92/H92,"0")</f>
        <v>42.97</v>
      </c>
      <c r="BO92" s="64">
        <f>IFERROR(1/J92*(X92/H92),"0")</f>
        <v>6.558641975308642E-2</v>
      </c>
      <c r="BP92" s="64">
        <f>IFERROR(1/J92*(Y92/H92),"0")</f>
        <v>7.8125E-2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62">
        <v>4680115884953</v>
      </c>
      <c r="E93" s="563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2">
        <v>4607091385731</v>
      </c>
      <c r="E94" s="563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 t="s">
        <v>188</v>
      </c>
      <c r="M94" s="33" t="s">
        <v>86</v>
      </c>
      <c r="N94" s="33"/>
      <c r="O94" s="32">
        <v>45</v>
      </c>
      <c r="P94" s="6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34</v>
      </c>
      <c r="Y94" s="554">
        <f>IFERROR(IF(X94="",0,CEILING((X94/$H94),1)*$H94),"")</f>
        <v>35.1</v>
      </c>
      <c r="Z94" s="36">
        <f>IFERROR(IF(Y94=0,"",ROUNDUP(Y94/H94,0)*0.00651),"")</f>
        <v>8.4629999999999997E-2</v>
      </c>
      <c r="AA94" s="56"/>
      <c r="AB94" s="57"/>
      <c r="AC94" s="139" t="s">
        <v>183</v>
      </c>
      <c r="AG94" s="64"/>
      <c r="AJ94" s="68" t="s">
        <v>108</v>
      </c>
      <c r="AK94" s="68">
        <v>37.799999999999997</v>
      </c>
      <c r="BB94" s="140" t="s">
        <v>1</v>
      </c>
      <c r="BM94" s="64">
        <f>IFERROR(X94*I94/H94,"0")</f>
        <v>37.173333333333332</v>
      </c>
      <c r="BN94" s="64">
        <f>IFERROR(Y94*I94/H94,"0")</f>
        <v>38.375999999999998</v>
      </c>
      <c r="BO94" s="64">
        <f>IFERROR(1/J94*(X94/H94),"0")</f>
        <v>6.9190069190069189E-2</v>
      </c>
      <c r="BP94" s="64">
        <f>IFERROR(1/J94*(Y94/H94),"0")</f>
        <v>7.1428571428571438E-2</v>
      </c>
    </row>
    <row r="95" spans="1:68" ht="16.5" hidden="1" customHeight="1" x14ac:dyDescent="0.25">
      <c r="A95" s="54" t="s">
        <v>189</v>
      </c>
      <c r="B95" s="54" t="s">
        <v>190</v>
      </c>
      <c r="C95" s="31">
        <v>4301051438</v>
      </c>
      <c r="D95" s="562">
        <v>4680115880894</v>
      </c>
      <c r="E95" s="563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 t="s">
        <v>188</v>
      </c>
      <c r="M95" s="33" t="s">
        <v>80</v>
      </c>
      <c r="N95" s="33"/>
      <c r="O95" s="32">
        <v>45</v>
      </c>
      <c r="P95" s="6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108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9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70"/>
      <c r="P96" s="564" t="s">
        <v>75</v>
      </c>
      <c r="Q96" s="565"/>
      <c r="R96" s="565"/>
      <c r="S96" s="565"/>
      <c r="T96" s="565"/>
      <c r="U96" s="565"/>
      <c r="V96" s="566"/>
      <c r="W96" s="37" t="s">
        <v>76</v>
      </c>
      <c r="X96" s="555">
        <f>IFERROR(X92/H92,"0")+IFERROR(X93/H93,"0")+IFERROR(X94/H94,"0")+IFERROR(X95/H95,"0")</f>
        <v>16.790123456790123</v>
      </c>
      <c r="Y96" s="555">
        <f>IFERROR(Y92/H92,"0")+IFERROR(Y93/H93,"0")+IFERROR(Y94/H94,"0")+IFERROR(Y95/H95,"0")</f>
        <v>18</v>
      </c>
      <c r="Z96" s="555">
        <f>IFERROR(IF(Z92="",0,Z92),"0")+IFERROR(IF(Z93="",0,Z93),"0")+IFERROR(IF(Z94="",0,Z94),"0")+IFERROR(IF(Z95="",0,Z95),"0")</f>
        <v>0.17953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70"/>
      <c r="P97" s="564" t="s">
        <v>75</v>
      </c>
      <c r="Q97" s="565"/>
      <c r="R97" s="565"/>
      <c r="S97" s="565"/>
      <c r="T97" s="565"/>
      <c r="U97" s="565"/>
      <c r="V97" s="566"/>
      <c r="W97" s="37" t="s">
        <v>69</v>
      </c>
      <c r="X97" s="555">
        <f>IFERROR(SUM(X92:X95),"0")</f>
        <v>68</v>
      </c>
      <c r="Y97" s="555">
        <f>IFERROR(SUM(Y92:Y95),"0")</f>
        <v>75.599999999999994</v>
      </c>
      <c r="Z97" s="37"/>
      <c r="AA97" s="556"/>
      <c r="AB97" s="556"/>
      <c r="AC97" s="556"/>
    </row>
    <row r="98" spans="1:68" ht="16.5" hidden="1" customHeight="1" x14ac:dyDescent="0.25">
      <c r="A98" s="578" t="s">
        <v>192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hidden="1" customHeight="1" x14ac:dyDescent="0.25">
      <c r="A99" s="567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2">
        <v>4680115882133</v>
      </c>
      <c r="E100" s="563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89</v>
      </c>
      <c r="Y100" s="554">
        <f>IFERROR(IF(X100="",0,CEILING((X100/$H100),1)*$H100),"")</f>
        <v>97.2</v>
      </c>
      <c r="Z100" s="36">
        <f>IFERROR(IF(Y100=0,"",ROUNDUP(Y100/H100,0)*0.01898),"")</f>
        <v>0.17082</v>
      </c>
      <c r="AA100" s="56"/>
      <c r="AB100" s="57"/>
      <c r="AC100" s="143" t="s">
        <v>195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92.378703703703707</v>
      </c>
      <c r="BN100" s="64">
        <f>IFERROR(Y100*I100/H100,"0")</f>
        <v>100.89</v>
      </c>
      <c r="BO100" s="64">
        <f>IFERROR(1/J100*(X100/H100),"0")</f>
        <v>0.12876157407407407</v>
      </c>
      <c r="BP100" s="64">
        <f>IFERROR(1/J100*(Y100/H100),"0")</f>
        <v>0.140625</v>
      </c>
    </row>
    <row r="101" spans="1:68" ht="27" hidden="1" customHeight="1" x14ac:dyDescent="0.25">
      <c r="A101" s="54" t="s">
        <v>196</v>
      </c>
      <c r="B101" s="54" t="s">
        <v>197</v>
      </c>
      <c r="C101" s="31">
        <v>4301012051</v>
      </c>
      <c r="D101" s="562">
        <v>4680115887718</v>
      </c>
      <c r="E101" s="563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4301011417</v>
      </c>
      <c r="D102" s="562">
        <v>4680115880269</v>
      </c>
      <c r="E102" s="563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 t="s">
        <v>112</v>
      </c>
      <c r="M102" s="33" t="s">
        <v>80</v>
      </c>
      <c r="N102" s="33"/>
      <c r="O102" s="32">
        <v>50</v>
      </c>
      <c r="P102" s="8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108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62">
        <v>4680115880429</v>
      </c>
      <c r="E103" s="563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112</v>
      </c>
      <c r="M103" s="33" t="s">
        <v>80</v>
      </c>
      <c r="N103" s="33"/>
      <c r="O103" s="32">
        <v>50</v>
      </c>
      <c r="P103" s="6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22</v>
      </c>
      <c r="Y103" s="554">
        <f>IFERROR(IF(X103="",0,CEILING((X103/$H103),1)*$H103),"")</f>
        <v>22.5</v>
      </c>
      <c r="Z103" s="36">
        <f>IFERROR(IF(Y103=0,"",ROUNDUP(Y103/H103,0)*0.00902),"")</f>
        <v>4.5100000000000001E-2</v>
      </c>
      <c r="AA103" s="56"/>
      <c r="AB103" s="57"/>
      <c r="AC103" s="149" t="s">
        <v>195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22.928888888888892</v>
      </c>
      <c r="BN103" s="64">
        <f>IFERROR(Y103*I103/H103,"0")</f>
        <v>23.450000000000003</v>
      </c>
      <c r="BO103" s="64">
        <f>IFERROR(1/J103*(X103/H103),"0")</f>
        <v>3.7037037037037042E-2</v>
      </c>
      <c r="BP103" s="64">
        <f>IFERROR(1/J103*(Y103/H103),"0")</f>
        <v>3.787878787878788E-2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562">
        <v>4680115881457</v>
      </c>
      <c r="E104" s="563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9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70"/>
      <c r="P105" s="564" t="s">
        <v>75</v>
      </c>
      <c r="Q105" s="565"/>
      <c r="R105" s="565"/>
      <c r="S105" s="565"/>
      <c r="T105" s="565"/>
      <c r="U105" s="565"/>
      <c r="V105" s="566"/>
      <c r="W105" s="37" t="s">
        <v>76</v>
      </c>
      <c r="X105" s="555">
        <f>IFERROR(X100/H100,"0")+IFERROR(X101/H101,"0")+IFERROR(X102/H102,"0")+IFERROR(X103/H103,"0")+IFERROR(X104/H104,"0")</f>
        <v>13.12962962962963</v>
      </c>
      <c r="Y105" s="555">
        <f>IFERROR(Y100/H100,"0")+IFERROR(Y101/H101,"0")+IFERROR(Y102/H102,"0")+IFERROR(Y103/H103,"0")+IFERROR(Y104/H104,"0")</f>
        <v>14</v>
      </c>
      <c r="Z105" s="555">
        <f>IFERROR(IF(Z100="",0,Z100),"0")+IFERROR(IF(Z101="",0,Z101),"0")+IFERROR(IF(Z102="",0,Z102),"0")+IFERROR(IF(Z103="",0,Z103),"0")+IFERROR(IF(Z104="",0,Z104),"0")</f>
        <v>0.21592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70"/>
      <c r="P106" s="564" t="s">
        <v>75</v>
      </c>
      <c r="Q106" s="565"/>
      <c r="R106" s="565"/>
      <c r="S106" s="565"/>
      <c r="T106" s="565"/>
      <c r="U106" s="565"/>
      <c r="V106" s="566"/>
      <c r="W106" s="37" t="s">
        <v>69</v>
      </c>
      <c r="X106" s="555">
        <f>IFERROR(SUM(X100:X104),"0")</f>
        <v>111</v>
      </c>
      <c r="Y106" s="555">
        <f>IFERROR(SUM(Y100:Y104),"0")</f>
        <v>119.7</v>
      </c>
      <c r="Z106" s="37"/>
      <c r="AA106" s="556"/>
      <c r="AB106" s="556"/>
      <c r="AC106" s="556"/>
    </row>
    <row r="107" spans="1:68" ht="14.25" hidden="1" customHeight="1" x14ac:dyDescent="0.25">
      <c r="A107" s="567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62">
        <v>4680115881488</v>
      </c>
      <c r="E108" s="563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4</v>
      </c>
      <c r="Y108" s="554">
        <f>IFERROR(IF(X108="",0,CEILING((X108/$H108),1)*$H108),"")</f>
        <v>10.8</v>
      </c>
      <c r="Z108" s="36">
        <f>IFERROR(IF(Y108=0,"",ROUNDUP(Y108/H108,0)*0.01898),"")</f>
        <v>1.898E-2</v>
      </c>
      <c r="AA108" s="56"/>
      <c r="AB108" s="57"/>
      <c r="AC108" s="153" t="s">
        <v>207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4.1518518518518519</v>
      </c>
      <c r="BN108" s="64">
        <f>IFERROR(Y108*I108/H108,"0")</f>
        <v>11.21</v>
      </c>
      <c r="BO108" s="64">
        <f>IFERROR(1/J108*(X108/H108),"0")</f>
        <v>5.7870370370370367E-3</v>
      </c>
      <c r="BP108" s="64">
        <f>IFERROR(1/J108*(Y108/H108),"0")</f>
        <v>1.5625E-2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562">
        <v>4680115887664</v>
      </c>
      <c r="E109" s="563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4301020346</v>
      </c>
      <c r="D110" s="562">
        <v>4680115882775</v>
      </c>
      <c r="E110" s="563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214</v>
      </c>
      <c r="B111" s="54" t="s">
        <v>215</v>
      </c>
      <c r="C111" s="31">
        <v>4301020344</v>
      </c>
      <c r="D111" s="562">
        <v>4680115880658</v>
      </c>
      <c r="E111" s="563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 t="s">
        <v>188</v>
      </c>
      <c r="M111" s="33" t="s">
        <v>106</v>
      </c>
      <c r="N111" s="33"/>
      <c r="O111" s="32">
        <v>55</v>
      </c>
      <c r="P111" s="87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 t="s">
        <v>108</v>
      </c>
      <c r="AK111" s="68">
        <v>33.6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69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70"/>
      <c r="P112" s="564" t="s">
        <v>75</v>
      </c>
      <c r="Q112" s="565"/>
      <c r="R112" s="565"/>
      <c r="S112" s="565"/>
      <c r="T112" s="565"/>
      <c r="U112" s="565"/>
      <c r="V112" s="566"/>
      <c r="W112" s="37" t="s">
        <v>76</v>
      </c>
      <c r="X112" s="555">
        <f>IFERROR(X108/H108,"0")+IFERROR(X109/H109,"0")+IFERROR(X110/H110,"0")+IFERROR(X111/H111,"0")</f>
        <v>0.37037037037037035</v>
      </c>
      <c r="Y112" s="555">
        <f>IFERROR(Y108/H108,"0")+IFERROR(Y109/H109,"0")+IFERROR(Y110/H110,"0")+IFERROR(Y111/H111,"0")</f>
        <v>1</v>
      </c>
      <c r="Z112" s="555">
        <f>IFERROR(IF(Z108="",0,Z108),"0")+IFERROR(IF(Z109="",0,Z109),"0")+IFERROR(IF(Z110="",0,Z110),"0")+IFERROR(IF(Z111="",0,Z111),"0")</f>
        <v>1.898E-2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70"/>
      <c r="P113" s="564" t="s">
        <v>75</v>
      </c>
      <c r="Q113" s="565"/>
      <c r="R113" s="565"/>
      <c r="S113" s="565"/>
      <c r="T113" s="565"/>
      <c r="U113" s="565"/>
      <c r="V113" s="566"/>
      <c r="W113" s="37" t="s">
        <v>69</v>
      </c>
      <c r="X113" s="555">
        <f>IFERROR(SUM(X108:X111),"0")</f>
        <v>4</v>
      </c>
      <c r="Y113" s="555">
        <f>IFERROR(SUM(Y108:Y111),"0")</f>
        <v>10.8</v>
      </c>
      <c r="Z113" s="37"/>
      <c r="AA113" s="556"/>
      <c r="AB113" s="556"/>
      <c r="AC113" s="556"/>
    </row>
    <row r="114" spans="1:68" ht="14.25" hidden="1" customHeight="1" x14ac:dyDescent="0.25">
      <c r="A114" s="567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2">
        <v>4607091385168</v>
      </c>
      <c r="E115" s="563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105</v>
      </c>
      <c r="Y115" s="554">
        <f>IFERROR(IF(X115="",0,CEILING((X115/$H115),1)*$H115),"")</f>
        <v>105.3</v>
      </c>
      <c r="Z115" s="36">
        <f>IFERROR(IF(Y115=0,"",ROUNDUP(Y115/H115,0)*0.01898),"")</f>
        <v>0.24674000000000001</v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111.32592592592592</v>
      </c>
      <c r="BN115" s="64">
        <f>IFERROR(Y115*I115/H115,"0")</f>
        <v>111.64399999999999</v>
      </c>
      <c r="BO115" s="64">
        <f>IFERROR(1/J115*(X115/H115),"0")</f>
        <v>0.20254629629629631</v>
      </c>
      <c r="BP115" s="64">
        <f>IFERROR(1/J115*(Y115/H115),"0")</f>
        <v>0.203125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4301051730</v>
      </c>
      <c r="D116" s="562">
        <v>4607091383256</v>
      </c>
      <c r="E116" s="563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2">
        <v>4607091385748</v>
      </c>
      <c r="E117" s="563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188</v>
      </c>
      <c r="M117" s="33" t="s">
        <v>86</v>
      </c>
      <c r="N117" s="33"/>
      <c r="O117" s="32">
        <v>45</v>
      </c>
      <c r="P117" s="71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14</v>
      </c>
      <c r="Y117" s="554">
        <f>IFERROR(IF(X117="",0,CEILING((X117/$H117),1)*$H117),"")</f>
        <v>16.200000000000003</v>
      </c>
      <c r="Z117" s="36">
        <f>IFERROR(IF(Y117=0,"",ROUNDUP(Y117/H117,0)*0.00651),"")</f>
        <v>3.9059999999999997E-2</v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15.306666666666667</v>
      </c>
      <c r="BN117" s="64">
        <f>IFERROR(Y117*I117/H117,"0")</f>
        <v>17.712000000000003</v>
      </c>
      <c r="BO117" s="64">
        <f>IFERROR(1/J117*(X117/H117),"0")</f>
        <v>2.8490028490028491E-2</v>
      </c>
      <c r="BP117" s="64">
        <f>IFERROR(1/J117*(Y117/H117),"0")</f>
        <v>3.2967032967032975E-2</v>
      </c>
    </row>
    <row r="118" spans="1:68" ht="16.5" hidden="1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70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9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70"/>
      <c r="P119" s="564" t="s">
        <v>75</v>
      </c>
      <c r="Q119" s="565"/>
      <c r="R119" s="565"/>
      <c r="S119" s="565"/>
      <c r="T119" s="565"/>
      <c r="U119" s="565"/>
      <c r="V119" s="566"/>
      <c r="W119" s="37" t="s">
        <v>76</v>
      </c>
      <c r="X119" s="555">
        <f>IFERROR(X115/H115,"0")+IFERROR(X116/H116,"0")+IFERROR(X117/H117,"0")+IFERROR(X118/H118,"0")</f>
        <v>18.148148148148149</v>
      </c>
      <c r="Y119" s="555">
        <f>IFERROR(Y115/H115,"0")+IFERROR(Y116/H116,"0")+IFERROR(Y117/H117,"0")+IFERROR(Y118/H118,"0")</f>
        <v>19</v>
      </c>
      <c r="Z119" s="555">
        <f>IFERROR(IF(Z115="",0,Z115),"0")+IFERROR(IF(Z116="",0,Z116),"0")+IFERROR(IF(Z117="",0,Z117),"0")+IFERROR(IF(Z118="",0,Z118),"0")</f>
        <v>0.2858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70"/>
      <c r="P120" s="564" t="s">
        <v>75</v>
      </c>
      <c r="Q120" s="565"/>
      <c r="R120" s="565"/>
      <c r="S120" s="565"/>
      <c r="T120" s="565"/>
      <c r="U120" s="565"/>
      <c r="V120" s="566"/>
      <c r="W120" s="37" t="s">
        <v>69</v>
      </c>
      <c r="X120" s="555">
        <f>IFERROR(SUM(X115:X118),"0")</f>
        <v>119</v>
      </c>
      <c r="Y120" s="555">
        <f>IFERROR(SUM(Y115:Y118),"0")</f>
        <v>121.5</v>
      </c>
      <c r="Z120" s="37"/>
      <c r="AA120" s="556"/>
      <c r="AB120" s="556"/>
      <c r="AC120" s="556"/>
    </row>
    <row r="121" spans="1:68" ht="14.25" hidden="1" customHeight="1" x14ac:dyDescent="0.25">
      <c r="A121" s="567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hidden="1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3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9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70"/>
      <c r="P123" s="564" t="s">
        <v>75</v>
      </c>
      <c r="Q123" s="565"/>
      <c r="R123" s="565"/>
      <c r="S123" s="565"/>
      <c r="T123" s="565"/>
      <c r="U123" s="565"/>
      <c r="V123" s="566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hidden="1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70"/>
      <c r="P124" s="564" t="s">
        <v>75</v>
      </c>
      <c r="Q124" s="565"/>
      <c r="R124" s="565"/>
      <c r="S124" s="565"/>
      <c r="T124" s="565"/>
      <c r="U124" s="565"/>
      <c r="V124" s="566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hidden="1" customHeight="1" x14ac:dyDescent="0.25">
      <c r="A125" s="578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hidden="1" customHeight="1" x14ac:dyDescent="0.25">
      <c r="A126" s="567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hidden="1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188</v>
      </c>
      <c r="M127" s="33" t="s">
        <v>96</v>
      </c>
      <c r="N127" s="33"/>
      <c r="O127" s="32">
        <v>90</v>
      </c>
      <c r="P127" s="8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 t="s">
        <v>188</v>
      </c>
      <c r="M128" s="33" t="s">
        <v>96</v>
      </c>
      <c r="N128" s="33"/>
      <c r="O128" s="32">
        <v>90</v>
      </c>
      <c r="P128" s="8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108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9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70"/>
      <c r="P129" s="564" t="s">
        <v>75</v>
      </c>
      <c r="Q129" s="565"/>
      <c r="R129" s="565"/>
      <c r="S129" s="565"/>
      <c r="T129" s="565"/>
      <c r="U129" s="565"/>
      <c r="V129" s="566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hidden="1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70"/>
      <c r="P130" s="564" t="s">
        <v>75</v>
      </c>
      <c r="Q130" s="565"/>
      <c r="R130" s="565"/>
      <c r="S130" s="565"/>
      <c r="T130" s="565"/>
      <c r="U130" s="565"/>
      <c r="V130" s="566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hidden="1" customHeight="1" x14ac:dyDescent="0.25">
      <c r="A131" s="567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188</v>
      </c>
      <c r="M133" s="33" t="s">
        <v>96</v>
      </c>
      <c r="N133" s="33"/>
      <c r="O133" s="32">
        <v>90</v>
      </c>
      <c r="P133" s="83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9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70"/>
      <c r="P134" s="564" t="s">
        <v>75</v>
      </c>
      <c r="Q134" s="565"/>
      <c r="R134" s="565"/>
      <c r="S134" s="565"/>
      <c r="T134" s="565"/>
      <c r="U134" s="565"/>
      <c r="V134" s="566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hidden="1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70"/>
      <c r="P135" s="564" t="s">
        <v>75</v>
      </c>
      <c r="Q135" s="565"/>
      <c r="R135" s="565"/>
      <c r="S135" s="565"/>
      <c r="T135" s="565"/>
      <c r="U135" s="565"/>
      <c r="V135" s="566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hidden="1" customHeight="1" x14ac:dyDescent="0.25">
      <c r="A136" s="567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4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9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70"/>
      <c r="P139" s="564" t="s">
        <v>75</v>
      </c>
      <c r="Q139" s="565"/>
      <c r="R139" s="565"/>
      <c r="S139" s="565"/>
      <c r="T139" s="565"/>
      <c r="U139" s="565"/>
      <c r="V139" s="566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hidden="1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70"/>
      <c r="P140" s="564" t="s">
        <v>75</v>
      </c>
      <c r="Q140" s="565"/>
      <c r="R140" s="565"/>
      <c r="S140" s="565"/>
      <c r="T140" s="565"/>
      <c r="U140" s="565"/>
      <c r="V140" s="566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hidden="1" customHeight="1" x14ac:dyDescent="0.25">
      <c r="A141" s="578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hidden="1" customHeight="1" x14ac:dyDescent="0.25">
      <c r="A142" s="567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9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70"/>
      <c r="P145" s="564" t="s">
        <v>75</v>
      </c>
      <c r="Q145" s="565"/>
      <c r="R145" s="565"/>
      <c r="S145" s="565"/>
      <c r="T145" s="565"/>
      <c r="U145" s="565"/>
      <c r="V145" s="566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hidden="1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70"/>
      <c r="P146" s="564" t="s">
        <v>75</v>
      </c>
      <c r="Q146" s="565"/>
      <c r="R146" s="565"/>
      <c r="S146" s="565"/>
      <c r="T146" s="565"/>
      <c r="U146" s="565"/>
      <c r="V146" s="566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hidden="1" customHeight="1" x14ac:dyDescent="0.25">
      <c r="A147" s="567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hidden="1" customHeight="1" x14ac:dyDescent="0.25">
      <c r="A148" s="54" t="s">
        <v>247</v>
      </c>
      <c r="B148" s="54" t="s">
        <v>248</v>
      </c>
      <c r="C148" s="31">
        <v>4301030895</v>
      </c>
      <c r="D148" s="562">
        <v>4607091387667</v>
      </c>
      <c r="E148" s="563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3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4301031450</v>
      </c>
      <c r="D149" s="562">
        <v>4680115887428</v>
      </c>
      <c r="E149" s="563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8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6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7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5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9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70"/>
      <c r="P154" s="564" t="s">
        <v>75</v>
      </c>
      <c r="Q154" s="565"/>
      <c r="R154" s="565"/>
      <c r="S154" s="565"/>
      <c r="T154" s="565"/>
      <c r="U154" s="565"/>
      <c r="V154" s="566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hidden="1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70"/>
      <c r="P155" s="564" t="s">
        <v>75</v>
      </c>
      <c r="Q155" s="565"/>
      <c r="R155" s="565"/>
      <c r="S155" s="565"/>
      <c r="T155" s="565"/>
      <c r="U155" s="565"/>
      <c r="V155" s="566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hidden="1" customHeight="1" x14ac:dyDescent="0.25">
      <c r="A156" s="567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6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9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70"/>
      <c r="P158" s="564" t="s">
        <v>75</v>
      </c>
      <c r="Q158" s="565"/>
      <c r="R158" s="565"/>
      <c r="S158" s="565"/>
      <c r="T158" s="565"/>
      <c r="U158" s="565"/>
      <c r="V158" s="566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hidden="1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70"/>
      <c r="P159" s="564" t="s">
        <v>75</v>
      </c>
      <c r="Q159" s="565"/>
      <c r="R159" s="565"/>
      <c r="S159" s="565"/>
      <c r="T159" s="565"/>
      <c r="U159" s="565"/>
      <c r="V159" s="566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hidden="1" customHeight="1" x14ac:dyDescent="0.2">
      <c r="A160" s="560" t="s">
        <v>268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48"/>
      <c r="AB160" s="48"/>
      <c r="AC160" s="48"/>
    </row>
    <row r="161" spans="1:68" ht="16.5" hidden="1" customHeight="1" x14ac:dyDescent="0.25">
      <c r="A161" s="578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hidden="1" customHeight="1" x14ac:dyDescent="0.25">
      <c r="A162" s="567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9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70"/>
      <c r="P164" s="564" t="s">
        <v>75</v>
      </c>
      <c r="Q164" s="565"/>
      <c r="R164" s="565"/>
      <c r="S164" s="565"/>
      <c r="T164" s="565"/>
      <c r="U164" s="565"/>
      <c r="V164" s="566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hidden="1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70"/>
      <c r="P165" s="564" t="s">
        <v>75</v>
      </c>
      <c r="Q165" s="565"/>
      <c r="R165" s="565"/>
      <c r="S165" s="565"/>
      <c r="T165" s="565"/>
      <c r="U165" s="565"/>
      <c r="V165" s="566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hidden="1" customHeight="1" x14ac:dyDescent="0.25">
      <c r="A166" s="567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711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75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112</v>
      </c>
      <c r="M169" s="33" t="s">
        <v>68</v>
      </c>
      <c r="N169" s="33"/>
      <c r="O169" s="32">
        <v>40</v>
      </c>
      <c r="P169" s="7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17</v>
      </c>
      <c r="Y169" s="554">
        <f t="shared" si="10"/>
        <v>21</v>
      </c>
      <c r="Z169" s="36">
        <f>IFERROR(IF(Y169=0,"",ROUNDUP(Y169/H169,0)*0.00902),"")</f>
        <v>4.5100000000000001E-2</v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18.011904761904763</v>
      </c>
      <c r="BN169" s="64">
        <f t="shared" si="12"/>
        <v>22.25</v>
      </c>
      <c r="BO169" s="64">
        <f t="shared" si="13"/>
        <v>3.0663780663780664E-2</v>
      </c>
      <c r="BP169" s="64">
        <f t="shared" si="14"/>
        <v>3.787878787878788E-2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112</v>
      </c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45</v>
      </c>
      <c r="Y171" s="554">
        <f t="shared" si="10"/>
        <v>46.2</v>
      </c>
      <c r="Z171" s="36">
        <f>IFERROR(IF(Y171=0,"",ROUNDUP(Y171/H171,0)*0.00902),"")</f>
        <v>9.9220000000000003E-2</v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47.035714285714278</v>
      </c>
      <c r="BN171" s="64">
        <f t="shared" si="12"/>
        <v>48.289999999999992</v>
      </c>
      <c r="BO171" s="64">
        <f t="shared" si="13"/>
        <v>8.1168831168831168E-2</v>
      </c>
      <c r="BP171" s="64">
        <f t="shared" si="14"/>
        <v>8.3333333333333343E-2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6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28</v>
      </c>
      <c r="Y173" s="554">
        <f t="shared" si="10"/>
        <v>29.400000000000002</v>
      </c>
      <c r="Z173" s="36">
        <f>IFERROR(IF(Y173=0,"",ROUNDUP(Y173/H173,0)*0.00502),"")</f>
        <v>7.0280000000000009E-2</v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29.733333333333331</v>
      </c>
      <c r="BN173" s="64">
        <f t="shared" si="12"/>
        <v>31.22</v>
      </c>
      <c r="BO173" s="64">
        <f t="shared" si="13"/>
        <v>5.6980056980056981E-2</v>
      </c>
      <c r="BP173" s="64">
        <f t="shared" si="14"/>
        <v>5.9829059829059839E-2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 t="s">
        <v>296</v>
      </c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7</v>
      </c>
      <c r="Y176" s="554">
        <f t="shared" si="10"/>
        <v>7.2</v>
      </c>
      <c r="Z176" s="36">
        <f>IFERROR(IF(Y176=0,"",ROUNDUP(Y176/H176,0)*0.00502),"")</f>
        <v>2.0080000000000001E-2</v>
      </c>
      <c r="AA176" s="56"/>
      <c r="AB176" s="57"/>
      <c r="AC176" s="221" t="s">
        <v>304</v>
      </c>
      <c r="AG176" s="64"/>
      <c r="AJ176" s="68" t="s">
        <v>108</v>
      </c>
      <c r="AK176" s="68">
        <v>32.4</v>
      </c>
      <c r="BB176" s="222" t="s">
        <v>1</v>
      </c>
      <c r="BM176" s="64">
        <f t="shared" si="11"/>
        <v>7.5055555555555555</v>
      </c>
      <c r="BN176" s="64">
        <f t="shared" si="12"/>
        <v>7.7199999999999989</v>
      </c>
      <c r="BO176" s="64">
        <f t="shared" si="13"/>
        <v>1.6619183285849954E-2</v>
      </c>
      <c r="BP176" s="64">
        <f t="shared" si="14"/>
        <v>1.7094017094017096E-2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78</v>
      </c>
      <c r="Y178" s="554">
        <f t="shared" si="10"/>
        <v>79.8</v>
      </c>
      <c r="Z178" s="36">
        <f>IFERROR(IF(Y178=0,"",ROUNDUP(Y178/H178,0)*0.00502),"")</f>
        <v>0.19076000000000001</v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81.714285714285722</v>
      </c>
      <c r="BN178" s="64">
        <f t="shared" si="12"/>
        <v>83.6</v>
      </c>
      <c r="BO178" s="64">
        <f t="shared" si="13"/>
        <v>0.15873015873015872</v>
      </c>
      <c r="BP178" s="64">
        <f t="shared" si="14"/>
        <v>0.1623931623931624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69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70"/>
      <c r="P181" s="564" t="s">
        <v>75</v>
      </c>
      <c r="Q181" s="565"/>
      <c r="R181" s="565"/>
      <c r="S181" s="565"/>
      <c r="T181" s="565"/>
      <c r="U181" s="565"/>
      <c r="V181" s="566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69.126984126984127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72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0.42544000000000004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70"/>
      <c r="P182" s="564" t="s">
        <v>75</v>
      </c>
      <c r="Q182" s="565"/>
      <c r="R182" s="565"/>
      <c r="S182" s="565"/>
      <c r="T182" s="565"/>
      <c r="U182" s="565"/>
      <c r="V182" s="566"/>
      <c r="W182" s="37" t="s">
        <v>69</v>
      </c>
      <c r="X182" s="555">
        <f>IFERROR(SUM(X167:X180),"0")</f>
        <v>175</v>
      </c>
      <c r="Y182" s="555">
        <f>IFERROR(SUM(Y167:Y180),"0")</f>
        <v>183.60000000000002</v>
      </c>
      <c r="Z182" s="37"/>
      <c r="AA182" s="556"/>
      <c r="AB182" s="556"/>
      <c r="AC182" s="556"/>
    </row>
    <row r="183" spans="1:68" ht="14.25" hidden="1" customHeight="1" x14ac:dyDescent="0.25">
      <c r="A183" s="567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hidden="1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3</v>
      </c>
      <c r="Y185" s="554">
        <f>IFERROR(IF(X185="",0,CEILING((X185/$H185),1)*$H185),"")</f>
        <v>3.7800000000000002</v>
      </c>
      <c r="Z185" s="36">
        <f>IFERROR(IF(Y185=0,"",ROUNDUP(Y185/H185,0)*0.0059),"")</f>
        <v>1.77E-2</v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3.4523809523809521</v>
      </c>
      <c r="BN185" s="64">
        <f>IFERROR(Y185*I185/H185,"0")</f>
        <v>4.3499999999999996</v>
      </c>
      <c r="BO185" s="64">
        <f>IFERROR(1/J185*(X185/H185),"0")</f>
        <v>1.1022927689594356E-2</v>
      </c>
      <c r="BP185" s="64">
        <f>IFERROR(1/J185*(Y185/H185),"0")</f>
        <v>1.3888888888888888E-2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2</v>
      </c>
      <c r="Y186" s="554">
        <f>IFERROR(IF(X186="",0,CEILING((X186/$H186),1)*$H186),"")</f>
        <v>2.52</v>
      </c>
      <c r="Z186" s="36">
        <f>IFERROR(IF(Y186=0,"",ROUNDUP(Y186/H186,0)*0.0059),"")</f>
        <v>1.18E-2</v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2.3015873015873014</v>
      </c>
      <c r="BN186" s="64">
        <f>IFERROR(Y186*I186/H186,"0")</f>
        <v>2.9</v>
      </c>
      <c r="BO186" s="64">
        <f>IFERROR(1/J186*(X186/H186),"0")</f>
        <v>7.3486184597295699E-3</v>
      </c>
      <c r="BP186" s="64">
        <f>IFERROR(1/J186*(Y186/H186),"0")</f>
        <v>9.2592592592592587E-3</v>
      </c>
    </row>
    <row r="187" spans="1:68" x14ac:dyDescent="0.2">
      <c r="A187" s="569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70"/>
      <c r="P187" s="564" t="s">
        <v>75</v>
      </c>
      <c r="Q187" s="565"/>
      <c r="R187" s="565"/>
      <c r="S187" s="565"/>
      <c r="T187" s="565"/>
      <c r="U187" s="565"/>
      <c r="V187" s="566"/>
      <c r="W187" s="37" t="s">
        <v>76</v>
      </c>
      <c r="X187" s="555">
        <f>IFERROR(X184/H184,"0")+IFERROR(X185/H185,"0")+IFERROR(X186/H186,"0")</f>
        <v>3.9682539682539684</v>
      </c>
      <c r="Y187" s="555">
        <f>IFERROR(Y184/H184,"0")+IFERROR(Y185/H185,"0")+IFERROR(Y186/H186,"0")</f>
        <v>5</v>
      </c>
      <c r="Z187" s="555">
        <f>IFERROR(IF(Z184="",0,Z184),"0")+IFERROR(IF(Z185="",0,Z185),"0")+IFERROR(IF(Z186="",0,Z186),"0")</f>
        <v>2.9499999999999998E-2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70"/>
      <c r="P188" s="564" t="s">
        <v>75</v>
      </c>
      <c r="Q188" s="565"/>
      <c r="R188" s="565"/>
      <c r="S188" s="565"/>
      <c r="T188" s="565"/>
      <c r="U188" s="565"/>
      <c r="V188" s="566"/>
      <c r="W188" s="37" t="s">
        <v>69</v>
      </c>
      <c r="X188" s="555">
        <f>IFERROR(SUM(X184:X186),"0")</f>
        <v>5</v>
      </c>
      <c r="Y188" s="555">
        <f>IFERROR(SUM(Y184:Y186),"0")</f>
        <v>6.3000000000000007</v>
      </c>
      <c r="Z188" s="37"/>
      <c r="AA188" s="556"/>
      <c r="AB188" s="556"/>
      <c r="AC188" s="556"/>
    </row>
    <row r="189" spans="1:68" ht="14.25" hidden="1" customHeight="1" x14ac:dyDescent="0.25">
      <c r="A189" s="567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2</v>
      </c>
      <c r="Y190" s="554">
        <f>IFERROR(IF(X190="",0,CEILING((X190/$H190),1)*$H190),"")</f>
        <v>2.52</v>
      </c>
      <c r="Z190" s="36">
        <f>IFERROR(IF(Y190=0,"",ROUNDUP(Y190/H190,0)*0.0059),"")</f>
        <v>1.18E-2</v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2.3015873015873014</v>
      </c>
      <c r="BN190" s="64">
        <f>IFERROR(Y190*I190/H190,"0")</f>
        <v>2.9</v>
      </c>
      <c r="BO190" s="64">
        <f>IFERROR(1/J190*(X190/H190),"0")</f>
        <v>7.3486184597295699E-3</v>
      </c>
      <c r="BP190" s="64">
        <f>IFERROR(1/J190*(Y190/H190),"0")</f>
        <v>9.2592592592592587E-3</v>
      </c>
    </row>
    <row r="191" spans="1:68" x14ac:dyDescent="0.2">
      <c r="A191" s="569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70"/>
      <c r="P191" s="564" t="s">
        <v>75</v>
      </c>
      <c r="Q191" s="565"/>
      <c r="R191" s="565"/>
      <c r="S191" s="565"/>
      <c r="T191" s="565"/>
      <c r="U191" s="565"/>
      <c r="V191" s="566"/>
      <c r="W191" s="37" t="s">
        <v>76</v>
      </c>
      <c r="X191" s="555">
        <f>IFERROR(X190/H190,"0")</f>
        <v>1.5873015873015872</v>
      </c>
      <c r="Y191" s="555">
        <f>IFERROR(Y190/H190,"0")</f>
        <v>2</v>
      </c>
      <c r="Z191" s="555">
        <f>IFERROR(IF(Z190="",0,Z190),"0")</f>
        <v>1.18E-2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70"/>
      <c r="P192" s="564" t="s">
        <v>75</v>
      </c>
      <c r="Q192" s="565"/>
      <c r="R192" s="565"/>
      <c r="S192" s="565"/>
      <c r="T192" s="565"/>
      <c r="U192" s="565"/>
      <c r="V192" s="566"/>
      <c r="W192" s="37" t="s">
        <v>69</v>
      </c>
      <c r="X192" s="555">
        <f>IFERROR(SUM(X190:X190),"0")</f>
        <v>2</v>
      </c>
      <c r="Y192" s="555">
        <f>IFERROR(SUM(Y190:Y190),"0")</f>
        <v>2.52</v>
      </c>
      <c r="Z192" s="37"/>
      <c r="AA192" s="556"/>
      <c r="AB192" s="556"/>
      <c r="AC192" s="556"/>
    </row>
    <row r="193" spans="1:68" ht="16.5" hidden="1" customHeight="1" x14ac:dyDescent="0.25">
      <c r="A193" s="578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hidden="1" customHeight="1" x14ac:dyDescent="0.25">
      <c r="A194" s="567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7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69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70"/>
      <c r="P197" s="564" t="s">
        <v>75</v>
      </c>
      <c r="Q197" s="565"/>
      <c r="R197" s="565"/>
      <c r="S197" s="565"/>
      <c r="T197" s="565"/>
      <c r="U197" s="565"/>
      <c r="V197" s="566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hidden="1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70"/>
      <c r="P198" s="564" t="s">
        <v>75</v>
      </c>
      <c r="Q198" s="565"/>
      <c r="R198" s="565"/>
      <c r="S198" s="565"/>
      <c r="T198" s="565"/>
      <c r="U198" s="565"/>
      <c r="V198" s="566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hidden="1" customHeight="1" x14ac:dyDescent="0.25">
      <c r="A199" s="567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 t="s">
        <v>188</v>
      </c>
      <c r="M201" s="33" t="s">
        <v>106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 t="s">
        <v>108</v>
      </c>
      <c r="AK201" s="68">
        <v>29.4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69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70"/>
      <c r="P202" s="564" t="s">
        <v>75</v>
      </c>
      <c r="Q202" s="565"/>
      <c r="R202" s="565"/>
      <c r="S202" s="565"/>
      <c r="T202" s="565"/>
      <c r="U202" s="565"/>
      <c r="V202" s="566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hidden="1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70"/>
      <c r="P203" s="564" t="s">
        <v>75</v>
      </c>
      <c r="Q203" s="565"/>
      <c r="R203" s="565"/>
      <c r="S203" s="565"/>
      <c r="T203" s="565"/>
      <c r="U203" s="565"/>
      <c r="V203" s="566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hidden="1" customHeight="1" x14ac:dyDescent="0.25">
      <c r="A204" s="567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112</v>
      </c>
      <c r="M205" s="33" t="s">
        <v>68</v>
      </c>
      <c r="N205" s="33"/>
      <c r="O205" s="32">
        <v>40</v>
      </c>
      <c r="P205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254</v>
      </c>
      <c r="Y205" s="554">
        <f t="shared" ref="Y205:Y212" si="15">IFERROR(IF(X205="",0,CEILING((X205/$H205),1)*$H205),"")</f>
        <v>259.20000000000005</v>
      </c>
      <c r="Z205" s="36">
        <f>IFERROR(IF(Y205=0,"",ROUNDUP(Y205/H205,0)*0.00902),"")</f>
        <v>0.43296000000000001</v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262.93703703703699</v>
      </c>
      <c r="BN205" s="64">
        <f t="shared" ref="BN205:BN212" si="17">IFERROR(Y205*I205/H205,"0")</f>
        <v>268.32</v>
      </c>
      <c r="BO205" s="64">
        <f t="shared" ref="BO205:BO212" si="18">IFERROR(1/J205*(X205/H205),"0")</f>
        <v>0.356341189674523</v>
      </c>
      <c r="BP205" s="64">
        <f t="shared" ref="BP205:BP212" si="19">IFERROR(1/J205*(Y205/H205),"0")</f>
        <v>0.3636363636363637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112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293</v>
      </c>
      <c r="Y206" s="554">
        <f t="shared" si="15"/>
        <v>297</v>
      </c>
      <c r="Z206" s="36">
        <f>IFERROR(IF(Y206=0,"",ROUNDUP(Y206/H206,0)*0.00902),"")</f>
        <v>0.49609999999999999</v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303.30925925925919</v>
      </c>
      <c r="BN206" s="64">
        <f t="shared" si="17"/>
        <v>307.45</v>
      </c>
      <c r="BO206" s="64">
        <f t="shared" si="18"/>
        <v>0.41105499438832765</v>
      </c>
      <c r="BP206" s="64">
        <f t="shared" si="19"/>
        <v>0.41666666666666663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112</v>
      </c>
      <c r="M207" s="33" t="s">
        <v>68</v>
      </c>
      <c r="N207" s="33"/>
      <c r="O207" s="32">
        <v>40</v>
      </c>
      <c r="P207" s="7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112</v>
      </c>
      <c r="M208" s="33" t="s">
        <v>68</v>
      </c>
      <c r="N208" s="33"/>
      <c r="O208" s="32">
        <v>40</v>
      </c>
      <c r="P208" s="7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53</v>
      </c>
      <c r="Y208" s="554">
        <f t="shared" si="15"/>
        <v>54</v>
      </c>
      <c r="Z208" s="36">
        <f>IFERROR(IF(Y208=0,"",ROUNDUP(Y208/H208,0)*0.00902),"")</f>
        <v>9.0200000000000002E-2</v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54.864814814814807</v>
      </c>
      <c r="BN208" s="64">
        <f t="shared" si="17"/>
        <v>55.9</v>
      </c>
      <c r="BO208" s="64">
        <f t="shared" si="18"/>
        <v>7.435465768799103E-2</v>
      </c>
      <c r="BP208" s="64">
        <f t="shared" si="19"/>
        <v>7.575757575757576E-2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14</v>
      </c>
      <c r="Y209" s="554">
        <f t="shared" si="15"/>
        <v>14.4</v>
      </c>
      <c r="Z209" s="36">
        <f>IFERROR(IF(Y209=0,"",ROUNDUP(Y209/H209,0)*0.00502),"")</f>
        <v>4.0160000000000001E-2</v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15.011111111111111</v>
      </c>
      <c r="BN209" s="64">
        <f t="shared" si="17"/>
        <v>15.439999999999998</v>
      </c>
      <c r="BO209" s="64">
        <f t="shared" si="18"/>
        <v>3.3238366571699908E-2</v>
      </c>
      <c r="BP209" s="64">
        <f t="shared" si="19"/>
        <v>3.4188034188034191E-2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22</v>
      </c>
      <c r="Y210" s="554">
        <f t="shared" si="15"/>
        <v>23.400000000000002</v>
      </c>
      <c r="Z210" s="36">
        <f>IFERROR(IF(Y210=0,"",ROUNDUP(Y210/H210,0)*0.00502),"")</f>
        <v>6.5259999999999999E-2</v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23.222222222222221</v>
      </c>
      <c r="BN210" s="64">
        <f t="shared" si="17"/>
        <v>24.7</v>
      </c>
      <c r="BO210" s="64">
        <f t="shared" si="18"/>
        <v>5.2231718898385564E-2</v>
      </c>
      <c r="BP210" s="64">
        <f t="shared" si="19"/>
        <v>5.5555555555555559E-2</v>
      </c>
    </row>
    <row r="211" spans="1:68" ht="27" hidden="1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6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25</v>
      </c>
      <c r="Y212" s="554">
        <f t="shared" si="15"/>
        <v>25.2</v>
      </c>
      <c r="Z212" s="36">
        <f>IFERROR(IF(Y212=0,"",ROUNDUP(Y212/H212,0)*0.00502),"")</f>
        <v>7.0280000000000009E-2</v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26.388888888888889</v>
      </c>
      <c r="BN212" s="64">
        <f t="shared" si="17"/>
        <v>26.599999999999998</v>
      </c>
      <c r="BO212" s="64">
        <f t="shared" si="18"/>
        <v>5.9354226020892693E-2</v>
      </c>
      <c r="BP212" s="64">
        <f t="shared" si="19"/>
        <v>5.9829059829059839E-2</v>
      </c>
    </row>
    <row r="213" spans="1:68" x14ac:dyDescent="0.2">
      <c r="A213" s="569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70"/>
      <c r="P213" s="564" t="s">
        <v>75</v>
      </c>
      <c r="Q213" s="565"/>
      <c r="R213" s="565"/>
      <c r="S213" s="565"/>
      <c r="T213" s="565"/>
      <c r="U213" s="565"/>
      <c r="V213" s="566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144.99999999999997</v>
      </c>
      <c r="Y213" s="555">
        <f>IFERROR(Y205/H205,"0")+IFERROR(Y206/H206,"0")+IFERROR(Y207/H207,"0")+IFERROR(Y208/H208,"0")+IFERROR(Y209/H209,"0")+IFERROR(Y210/H210,"0")+IFERROR(Y211/H211,"0")+IFERROR(Y212/H212,"0")</f>
        <v>148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1.19496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70"/>
      <c r="P214" s="564" t="s">
        <v>75</v>
      </c>
      <c r="Q214" s="565"/>
      <c r="R214" s="565"/>
      <c r="S214" s="565"/>
      <c r="T214" s="565"/>
      <c r="U214" s="565"/>
      <c r="V214" s="566"/>
      <c r="W214" s="37" t="s">
        <v>69</v>
      </c>
      <c r="X214" s="555">
        <f>IFERROR(SUM(X205:X212),"0")</f>
        <v>661</v>
      </c>
      <c r="Y214" s="555">
        <f>IFERROR(SUM(Y205:Y212),"0")</f>
        <v>673.2</v>
      </c>
      <c r="Z214" s="37"/>
      <c r="AA214" s="556"/>
      <c r="AB214" s="556"/>
      <c r="AC214" s="556"/>
    </row>
    <row r="215" spans="1:68" ht="14.25" hidden="1" customHeight="1" x14ac:dyDescent="0.25">
      <c r="A215" s="567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hidden="1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 t="s">
        <v>108</v>
      </c>
      <c r="AK216" s="68">
        <v>64.8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 t="s">
        <v>105</v>
      </c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 t="s">
        <v>108</v>
      </c>
      <c r="AK217" s="68">
        <v>64.8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hidden="1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0</v>
      </c>
      <c r="Y218" s="554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188</v>
      </c>
      <c r="M219" s="33" t="s">
        <v>80</v>
      </c>
      <c r="N219" s="33"/>
      <c r="O219" s="32">
        <v>40</v>
      </c>
      <c r="P219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99</v>
      </c>
      <c r="Y219" s="554">
        <f t="shared" si="20"/>
        <v>100.8</v>
      </c>
      <c r="Z219" s="36">
        <f t="shared" ref="Z219:Z224" si="25">IFERROR(IF(Y219=0,"",ROUNDUP(Y219/H219,0)*0.00651),"")</f>
        <v>0.27342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110.1375</v>
      </c>
      <c r="BN219" s="64">
        <f t="shared" si="22"/>
        <v>112.13999999999999</v>
      </c>
      <c r="BO219" s="64">
        <f t="shared" si="23"/>
        <v>0.22664835164835168</v>
      </c>
      <c r="BP219" s="64">
        <f t="shared" si="24"/>
        <v>0.23076923076923078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188</v>
      </c>
      <c r="M221" s="33" t="s">
        <v>80</v>
      </c>
      <c r="N221" s="33"/>
      <c r="O221" s="32">
        <v>45</v>
      </c>
      <c r="P221" s="6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82</v>
      </c>
      <c r="Y221" s="554">
        <f t="shared" si="20"/>
        <v>84</v>
      </c>
      <c r="Z221" s="36">
        <f t="shared" si="25"/>
        <v>0.22785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90.61</v>
      </c>
      <c r="BN221" s="64">
        <f t="shared" si="22"/>
        <v>92.820000000000007</v>
      </c>
      <c r="BO221" s="64">
        <f t="shared" si="23"/>
        <v>0.18772893772893776</v>
      </c>
      <c r="BP221" s="64">
        <f t="shared" si="24"/>
        <v>0.19230769230769232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188</v>
      </c>
      <c r="M222" s="33" t="s">
        <v>80</v>
      </c>
      <c r="N222" s="33"/>
      <c r="O222" s="32">
        <v>45</v>
      </c>
      <c r="P222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42</v>
      </c>
      <c r="Y222" s="554">
        <f t="shared" si="20"/>
        <v>43.199999999999996</v>
      </c>
      <c r="Z222" s="36">
        <f t="shared" si="25"/>
        <v>0.11718000000000001</v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46.410000000000004</v>
      </c>
      <c r="BN222" s="64">
        <f t="shared" si="22"/>
        <v>47.736000000000004</v>
      </c>
      <c r="BO222" s="64">
        <f t="shared" si="23"/>
        <v>9.6153846153846159E-2</v>
      </c>
      <c r="BP222" s="64">
        <f t="shared" si="24"/>
        <v>9.8901098901098911E-2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188</v>
      </c>
      <c r="M223" s="33" t="s">
        <v>86</v>
      </c>
      <c r="N223" s="33"/>
      <c r="O223" s="32">
        <v>40</v>
      </c>
      <c r="P223" s="6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7</v>
      </c>
      <c r="Y223" s="554">
        <f t="shared" si="20"/>
        <v>7.1999999999999993</v>
      </c>
      <c r="Z223" s="36">
        <f t="shared" si="25"/>
        <v>1.9529999999999999E-2</v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7.7350000000000003</v>
      </c>
      <c r="BN223" s="64">
        <f t="shared" si="22"/>
        <v>7.9560000000000004</v>
      </c>
      <c r="BO223" s="64">
        <f t="shared" si="23"/>
        <v>1.6025641025641028E-2</v>
      </c>
      <c r="BP223" s="64">
        <f t="shared" si="24"/>
        <v>1.6483516483516484E-2</v>
      </c>
    </row>
    <row r="224" spans="1:68" ht="27" hidden="1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188</v>
      </c>
      <c r="M224" s="33" t="s">
        <v>80</v>
      </c>
      <c r="N224" s="33"/>
      <c r="O224" s="32">
        <v>40</v>
      </c>
      <c r="P224" s="6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0</v>
      </c>
      <c r="Y224" s="554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69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70"/>
      <c r="P225" s="564" t="s">
        <v>75</v>
      </c>
      <c r="Q225" s="565"/>
      <c r="R225" s="565"/>
      <c r="S225" s="565"/>
      <c r="T225" s="565"/>
      <c r="U225" s="565"/>
      <c r="V225" s="566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95.833333333333343</v>
      </c>
      <c r="Y225" s="555">
        <f>IFERROR(Y216/H216,"0")+IFERROR(Y217/H217,"0")+IFERROR(Y218/H218,"0")+IFERROR(Y219/H219,"0")+IFERROR(Y220/H220,"0")+IFERROR(Y221/H221,"0")+IFERROR(Y222/H222,"0")+IFERROR(Y223/H223,"0")+IFERROR(Y224/H224,"0")</f>
        <v>98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0.63797999999999999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70"/>
      <c r="P226" s="564" t="s">
        <v>75</v>
      </c>
      <c r="Q226" s="565"/>
      <c r="R226" s="565"/>
      <c r="S226" s="565"/>
      <c r="T226" s="565"/>
      <c r="U226" s="565"/>
      <c r="V226" s="566"/>
      <c r="W226" s="37" t="s">
        <v>69</v>
      </c>
      <c r="X226" s="555">
        <f>IFERROR(SUM(X216:X224),"0")</f>
        <v>230</v>
      </c>
      <c r="Y226" s="555">
        <f>IFERROR(SUM(Y216:Y224),"0")</f>
        <v>235.2</v>
      </c>
      <c r="Z226" s="37"/>
      <c r="AA226" s="556"/>
      <c r="AB226" s="556"/>
      <c r="AC226" s="556"/>
    </row>
    <row r="227" spans="1:68" ht="14.25" hidden="1" customHeight="1" x14ac:dyDescent="0.25">
      <c r="A227" s="567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 t="s">
        <v>188</v>
      </c>
      <c r="M228" s="33" t="s">
        <v>86</v>
      </c>
      <c r="N228" s="33"/>
      <c r="O228" s="32">
        <v>40</v>
      </c>
      <c r="P22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10</v>
      </c>
      <c r="Y228" s="554">
        <f>IFERROR(IF(X228="",0,CEILING((X228/$H228),1)*$H228),"")</f>
        <v>12</v>
      </c>
      <c r="Z228" s="36">
        <f>IFERROR(IF(Y228=0,"",ROUNDUP(Y228/H228,0)*0.00651),"")</f>
        <v>3.2550000000000003E-2</v>
      </c>
      <c r="AA228" s="56"/>
      <c r="AB228" s="57"/>
      <c r="AC228" s="281" t="s">
        <v>383</v>
      </c>
      <c r="AG228" s="64"/>
      <c r="AJ228" s="68" t="s">
        <v>108</v>
      </c>
      <c r="AK228" s="68">
        <v>33.6</v>
      </c>
      <c r="BB228" s="282" t="s">
        <v>1</v>
      </c>
      <c r="BM228" s="64">
        <f>IFERROR(X228*I228/H228,"0")</f>
        <v>11.050000000000002</v>
      </c>
      <c r="BN228" s="64">
        <f>IFERROR(Y228*I228/H228,"0")</f>
        <v>13.260000000000002</v>
      </c>
      <c r="BO228" s="64">
        <f>IFERROR(1/J228*(X228/H228),"0")</f>
        <v>2.2893772893772896E-2</v>
      </c>
      <c r="BP228" s="64">
        <f>IFERROR(1/J228*(Y228/H228),"0")</f>
        <v>2.7472527472527476E-2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188</v>
      </c>
      <c r="M229" s="33" t="s">
        <v>80</v>
      </c>
      <c r="N229" s="33"/>
      <c r="O229" s="32">
        <v>40</v>
      </c>
      <c r="P229" s="7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10</v>
      </c>
      <c r="Y229" s="554">
        <f>IFERROR(IF(X229="",0,CEILING((X229/$H229),1)*$H229),"")</f>
        <v>12</v>
      </c>
      <c r="Z229" s="36">
        <f>IFERROR(IF(Y229=0,"",ROUNDUP(Y229/H229,0)*0.00651),"")</f>
        <v>3.2550000000000003E-2</v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11.050000000000002</v>
      </c>
      <c r="BN229" s="64">
        <f>IFERROR(Y229*I229/H229,"0")</f>
        <v>13.260000000000002</v>
      </c>
      <c r="BO229" s="64">
        <f>IFERROR(1/J229*(X229/H229),"0")</f>
        <v>2.2893772893772896E-2</v>
      </c>
      <c r="BP229" s="64">
        <f>IFERROR(1/J229*(Y229/H229),"0")</f>
        <v>2.7472527472527476E-2</v>
      </c>
    </row>
    <row r="230" spans="1:68" x14ac:dyDescent="0.2">
      <c r="A230" s="569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70"/>
      <c r="P230" s="564" t="s">
        <v>75</v>
      </c>
      <c r="Q230" s="565"/>
      <c r="R230" s="565"/>
      <c r="S230" s="565"/>
      <c r="T230" s="565"/>
      <c r="U230" s="565"/>
      <c r="V230" s="566"/>
      <c r="W230" s="37" t="s">
        <v>76</v>
      </c>
      <c r="X230" s="555">
        <f>IFERROR(X228/H228,"0")+IFERROR(X229/H229,"0")</f>
        <v>8.3333333333333339</v>
      </c>
      <c r="Y230" s="555">
        <f>IFERROR(Y228/H228,"0")+IFERROR(Y229/H229,"0")</f>
        <v>10</v>
      </c>
      <c r="Z230" s="555">
        <f>IFERROR(IF(Z228="",0,Z228),"0")+IFERROR(IF(Z229="",0,Z229),"0")</f>
        <v>6.5100000000000005E-2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70"/>
      <c r="P231" s="564" t="s">
        <v>75</v>
      </c>
      <c r="Q231" s="565"/>
      <c r="R231" s="565"/>
      <c r="S231" s="565"/>
      <c r="T231" s="565"/>
      <c r="U231" s="565"/>
      <c r="V231" s="566"/>
      <c r="W231" s="37" t="s">
        <v>69</v>
      </c>
      <c r="X231" s="555">
        <f>IFERROR(SUM(X228:X229),"0")</f>
        <v>20</v>
      </c>
      <c r="Y231" s="555">
        <f>IFERROR(SUM(Y228:Y229),"0")</f>
        <v>24</v>
      </c>
      <c r="Z231" s="37"/>
      <c r="AA231" s="556"/>
      <c r="AB231" s="556"/>
      <c r="AC231" s="556"/>
    </row>
    <row r="232" spans="1:68" ht="16.5" hidden="1" customHeight="1" x14ac:dyDescent="0.25">
      <c r="A232" s="578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hidden="1" customHeight="1" x14ac:dyDescent="0.25">
      <c r="A233" s="567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22</v>
      </c>
      <c r="Y234" s="554">
        <f t="shared" ref="Y234:Y242" si="26">IFERROR(IF(X234="",0,CEILING((X234/$H234),1)*$H234),"")</f>
        <v>23.2</v>
      </c>
      <c r="Z234" s="36">
        <f>IFERROR(IF(Y234=0,"",ROUNDUP(Y234/H234,0)*0.01898),"")</f>
        <v>3.7960000000000001E-2</v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22.777586206896551</v>
      </c>
      <c r="BN234" s="64">
        <f t="shared" ref="BN234:BN242" si="28">IFERROR(Y234*I234/H234,"0")</f>
        <v>24.02</v>
      </c>
      <c r="BO234" s="64">
        <f t="shared" ref="BO234:BO242" si="29">IFERROR(1/J234*(X234/H234),"0")</f>
        <v>2.9633620689655173E-2</v>
      </c>
      <c r="BP234" s="64">
        <f t="shared" ref="BP234:BP242" si="30">IFERROR(1/J234*(Y234/H234),"0")</f>
        <v>3.125E-2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/>
      <c r="M241" s="33" t="s">
        <v>106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69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70"/>
      <c r="P243" s="564" t="s">
        <v>75</v>
      </c>
      <c r="Q243" s="565"/>
      <c r="R243" s="565"/>
      <c r="S243" s="565"/>
      <c r="T243" s="565"/>
      <c r="U243" s="565"/>
      <c r="V243" s="566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1.896551724137931</v>
      </c>
      <c r="Y243" s="555">
        <f>IFERROR(Y234/H234,"0")+IFERROR(Y235/H235,"0")+IFERROR(Y236/H236,"0")+IFERROR(Y237/H237,"0")+IFERROR(Y238/H238,"0")+IFERROR(Y239/H239,"0")+IFERROR(Y240/H240,"0")+IFERROR(Y241/H241,"0")+IFERROR(Y242/H242,"0")</f>
        <v>2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3.7960000000000001E-2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70"/>
      <c r="P244" s="564" t="s">
        <v>75</v>
      </c>
      <c r="Q244" s="565"/>
      <c r="R244" s="565"/>
      <c r="S244" s="565"/>
      <c r="T244" s="565"/>
      <c r="U244" s="565"/>
      <c r="V244" s="566"/>
      <c r="W244" s="37" t="s">
        <v>69</v>
      </c>
      <c r="X244" s="555">
        <f>IFERROR(SUM(X234:X242),"0")</f>
        <v>22</v>
      </c>
      <c r="Y244" s="555">
        <f>IFERROR(SUM(Y234:Y242),"0")</f>
        <v>23.2</v>
      </c>
      <c r="Z244" s="37"/>
      <c r="AA244" s="556"/>
      <c r="AB244" s="556"/>
      <c r="AC244" s="556"/>
    </row>
    <row r="245" spans="1:68" ht="14.25" hidden="1" customHeight="1" x14ac:dyDescent="0.25">
      <c r="A245" s="567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2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9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70"/>
      <c r="P247" s="564" t="s">
        <v>75</v>
      </c>
      <c r="Q247" s="565"/>
      <c r="R247" s="565"/>
      <c r="S247" s="565"/>
      <c r="T247" s="565"/>
      <c r="U247" s="565"/>
      <c r="V247" s="566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hidden="1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70"/>
      <c r="P248" s="564" t="s">
        <v>75</v>
      </c>
      <c r="Q248" s="565"/>
      <c r="R248" s="565"/>
      <c r="S248" s="565"/>
      <c r="T248" s="565"/>
      <c r="U248" s="565"/>
      <c r="V248" s="566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hidden="1" customHeight="1" x14ac:dyDescent="0.25">
      <c r="A249" s="567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3</v>
      </c>
      <c r="Y250" s="554">
        <f>IFERROR(IF(X250="",0,CEILING((X250/$H250),1)*$H250),"")</f>
        <v>3.6</v>
      </c>
      <c r="Z250" s="36">
        <f>IFERROR(IF(Y250=0,"",ROUNDUP(Y250/H250,0)*0.0059),"")</f>
        <v>1.18E-2</v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3.291666666666667</v>
      </c>
      <c r="BN250" s="64">
        <f>IFERROR(Y250*I250/H250,"0")</f>
        <v>3.95</v>
      </c>
      <c r="BO250" s="64">
        <f>IFERROR(1/J250*(X250/H250),"0")</f>
        <v>7.7160493827160481E-3</v>
      </c>
      <c r="BP250" s="64">
        <f>IFERROR(1/J250*(Y250/H250),"0")</f>
        <v>9.2592592592592587E-3</v>
      </c>
    </row>
    <row r="251" spans="1:68" x14ac:dyDescent="0.2">
      <c r="A251" s="569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70"/>
      <c r="P251" s="564" t="s">
        <v>75</v>
      </c>
      <c r="Q251" s="565"/>
      <c r="R251" s="565"/>
      <c r="S251" s="565"/>
      <c r="T251" s="565"/>
      <c r="U251" s="565"/>
      <c r="V251" s="566"/>
      <c r="W251" s="37" t="s">
        <v>76</v>
      </c>
      <c r="X251" s="555">
        <f>IFERROR(X250/H250,"0")</f>
        <v>1.6666666666666665</v>
      </c>
      <c r="Y251" s="555">
        <f>IFERROR(Y250/H250,"0")</f>
        <v>2</v>
      </c>
      <c r="Z251" s="555">
        <f>IFERROR(IF(Z250="",0,Z250),"0")</f>
        <v>1.18E-2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70"/>
      <c r="P252" s="564" t="s">
        <v>75</v>
      </c>
      <c r="Q252" s="565"/>
      <c r="R252" s="565"/>
      <c r="S252" s="565"/>
      <c r="T252" s="565"/>
      <c r="U252" s="565"/>
      <c r="V252" s="566"/>
      <c r="W252" s="37" t="s">
        <v>69</v>
      </c>
      <c r="X252" s="555">
        <f>IFERROR(SUM(X250:X250),"0")</f>
        <v>3</v>
      </c>
      <c r="Y252" s="555">
        <f>IFERROR(SUM(Y250:Y250),"0")</f>
        <v>3.6</v>
      </c>
      <c r="Z252" s="37"/>
      <c r="AA252" s="556"/>
      <c r="AB252" s="556"/>
      <c r="AC252" s="556"/>
    </row>
    <row r="253" spans="1:68" ht="14.25" hidden="1" customHeight="1" x14ac:dyDescent="0.25">
      <c r="A253" s="567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1</v>
      </c>
      <c r="Y256" s="554">
        <f>IFERROR(IF(X256="",0,CEILING((X256/$H256),1)*$H256),"")</f>
        <v>1.8</v>
      </c>
      <c r="Z256" s="36">
        <f>IFERROR(IF(Y256=0,"",ROUNDUP(Y256/H256,0)*0.0059),"")</f>
        <v>1.18E-2</v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1.2111111111111112</v>
      </c>
      <c r="BN256" s="64">
        <f>IFERROR(Y256*I256/H256,"0")</f>
        <v>2.1800000000000002</v>
      </c>
      <c r="BO256" s="64">
        <f>IFERROR(1/J256*(X256/H256),"0")</f>
        <v>5.1440329218106996E-3</v>
      </c>
      <c r="BP256" s="64">
        <f>IFERROR(1/J256*(Y256/H256),"0")</f>
        <v>9.2592592592592587E-3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5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3</v>
      </c>
      <c r="Y258" s="554">
        <f>IFERROR(IF(X258="",0,CEILING((X258/$H258),1)*$H258),"")</f>
        <v>3.96</v>
      </c>
      <c r="Z258" s="36">
        <f>IFERROR(IF(Y258=0,"",ROUNDUP(Y258/H258,0)*0.0059),"")</f>
        <v>2.3599999999999999E-2</v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3.5757575757575757</v>
      </c>
      <c r="BN258" s="64">
        <f>IFERROR(Y258*I258/H258,"0")</f>
        <v>4.72</v>
      </c>
      <c r="BO258" s="64">
        <f>IFERROR(1/J258*(X258/H258),"0")</f>
        <v>1.4029180695847361E-2</v>
      </c>
      <c r="BP258" s="64">
        <f>IFERROR(1/J258*(Y258/H258),"0")</f>
        <v>1.8518518518518517E-2</v>
      </c>
    </row>
    <row r="259" spans="1:68" x14ac:dyDescent="0.2">
      <c r="A259" s="569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70"/>
      <c r="P259" s="564" t="s">
        <v>75</v>
      </c>
      <c r="Q259" s="565"/>
      <c r="R259" s="565"/>
      <c r="S259" s="565"/>
      <c r="T259" s="565"/>
      <c r="U259" s="565"/>
      <c r="V259" s="566"/>
      <c r="W259" s="37" t="s">
        <v>76</v>
      </c>
      <c r="X259" s="555">
        <f>IFERROR(X254/H254,"0")+IFERROR(X255/H255,"0")+IFERROR(X256/H256,"0")+IFERROR(X257/H257,"0")+IFERROR(X258/H258,"0")</f>
        <v>4.1414141414141419</v>
      </c>
      <c r="Y259" s="555">
        <f>IFERROR(Y254/H254,"0")+IFERROR(Y255/H255,"0")+IFERROR(Y256/H256,"0")+IFERROR(Y257/H257,"0")+IFERROR(Y258/H258,"0")</f>
        <v>6</v>
      </c>
      <c r="Z259" s="555">
        <f>IFERROR(IF(Z254="",0,Z254),"0")+IFERROR(IF(Z255="",0,Z255),"0")+IFERROR(IF(Z256="",0,Z256),"0")+IFERROR(IF(Z257="",0,Z257),"0")+IFERROR(IF(Z258="",0,Z258),"0")</f>
        <v>3.5400000000000001E-2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70"/>
      <c r="P260" s="564" t="s">
        <v>75</v>
      </c>
      <c r="Q260" s="565"/>
      <c r="R260" s="565"/>
      <c r="S260" s="565"/>
      <c r="T260" s="565"/>
      <c r="U260" s="565"/>
      <c r="V260" s="566"/>
      <c r="W260" s="37" t="s">
        <v>69</v>
      </c>
      <c r="X260" s="555">
        <f>IFERROR(SUM(X254:X258),"0")</f>
        <v>4</v>
      </c>
      <c r="Y260" s="555">
        <f>IFERROR(SUM(Y254:Y258),"0")</f>
        <v>5.76</v>
      </c>
      <c r="Z260" s="37"/>
      <c r="AA260" s="556"/>
      <c r="AB260" s="556"/>
      <c r="AC260" s="556"/>
    </row>
    <row r="261" spans="1:68" ht="16.5" hidden="1" customHeight="1" x14ac:dyDescent="0.25">
      <c r="A261" s="578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hidden="1" customHeight="1" x14ac:dyDescent="0.25">
      <c r="A262" s="567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108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2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9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70"/>
      <c r="P268" s="564" t="s">
        <v>75</v>
      </c>
      <c r="Q268" s="565"/>
      <c r="R268" s="565"/>
      <c r="S268" s="565"/>
      <c r="T268" s="565"/>
      <c r="U268" s="565"/>
      <c r="V268" s="566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hidden="1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70"/>
      <c r="P269" s="564" t="s">
        <v>75</v>
      </c>
      <c r="Q269" s="565"/>
      <c r="R269" s="565"/>
      <c r="S269" s="565"/>
      <c r="T269" s="565"/>
      <c r="U269" s="565"/>
      <c r="V269" s="566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hidden="1" customHeight="1" x14ac:dyDescent="0.25">
      <c r="A270" s="578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hidden="1" customHeight="1" x14ac:dyDescent="0.25">
      <c r="A271" s="567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3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4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69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70"/>
      <c r="P276" s="564" t="s">
        <v>75</v>
      </c>
      <c r="Q276" s="565"/>
      <c r="R276" s="565"/>
      <c r="S276" s="565"/>
      <c r="T276" s="565"/>
      <c r="U276" s="565"/>
      <c r="V276" s="566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hidden="1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70"/>
      <c r="P277" s="564" t="s">
        <v>75</v>
      </c>
      <c r="Q277" s="565"/>
      <c r="R277" s="565"/>
      <c r="S277" s="565"/>
      <c r="T277" s="565"/>
      <c r="U277" s="565"/>
      <c r="V277" s="566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hidden="1" customHeight="1" x14ac:dyDescent="0.25">
      <c r="A278" s="578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hidden="1" customHeight="1" x14ac:dyDescent="0.25">
      <c r="A279" s="567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188</v>
      </c>
      <c r="M281" s="33" t="s">
        <v>86</v>
      </c>
      <c r="N281" s="33"/>
      <c r="O281" s="32">
        <v>40</v>
      </c>
      <c r="P281" s="6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188</v>
      </c>
      <c r="M282" s="33" t="s">
        <v>80</v>
      </c>
      <c r="N282" s="33"/>
      <c r="O282" s="32">
        <v>45</v>
      </c>
      <c r="P282" s="82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7</v>
      </c>
      <c r="Y282" s="554">
        <f>IFERROR(IF(X282="",0,CEILING((X282/$H282),1)*$H282),"")</f>
        <v>7.1999999999999993</v>
      </c>
      <c r="Z282" s="36">
        <f>IFERROR(IF(Y282=0,"",ROUNDUP(Y282/H282,0)*0.00651),"")</f>
        <v>1.9529999999999999E-2</v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7.5250000000000012</v>
      </c>
      <c r="BN282" s="64">
        <f>IFERROR(Y282*I282/H282,"0")</f>
        <v>7.7399999999999993</v>
      </c>
      <c r="BO282" s="64">
        <f>IFERROR(1/J282*(X282/H282),"0")</f>
        <v>1.6025641025641028E-2</v>
      </c>
      <c r="BP282" s="64">
        <f>IFERROR(1/J282*(Y282/H282),"0")</f>
        <v>1.6483516483516484E-2</v>
      </c>
    </row>
    <row r="283" spans="1:68" x14ac:dyDescent="0.2">
      <c r="A283" s="569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70"/>
      <c r="P283" s="564" t="s">
        <v>75</v>
      </c>
      <c r="Q283" s="565"/>
      <c r="R283" s="565"/>
      <c r="S283" s="565"/>
      <c r="T283" s="565"/>
      <c r="U283" s="565"/>
      <c r="V283" s="566"/>
      <c r="W283" s="37" t="s">
        <v>76</v>
      </c>
      <c r="X283" s="555">
        <f>IFERROR(X280/H280,"0")+IFERROR(X281/H281,"0")+IFERROR(X282/H282,"0")</f>
        <v>2.916666666666667</v>
      </c>
      <c r="Y283" s="555">
        <f>IFERROR(Y280/H280,"0")+IFERROR(Y281/H281,"0")+IFERROR(Y282/H282,"0")</f>
        <v>3</v>
      </c>
      <c r="Z283" s="555">
        <f>IFERROR(IF(Z280="",0,Z280),"0")+IFERROR(IF(Z281="",0,Z281),"0")+IFERROR(IF(Z282="",0,Z282),"0")</f>
        <v>1.9529999999999999E-2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70"/>
      <c r="P284" s="564" t="s">
        <v>75</v>
      </c>
      <c r="Q284" s="565"/>
      <c r="R284" s="565"/>
      <c r="S284" s="565"/>
      <c r="T284" s="565"/>
      <c r="U284" s="565"/>
      <c r="V284" s="566"/>
      <c r="W284" s="37" t="s">
        <v>69</v>
      </c>
      <c r="X284" s="555">
        <f>IFERROR(SUM(X280:X282),"0")</f>
        <v>7</v>
      </c>
      <c r="Y284" s="555">
        <f>IFERROR(SUM(Y280:Y282),"0")</f>
        <v>7.1999999999999993</v>
      </c>
      <c r="Z284" s="37"/>
      <c r="AA284" s="556"/>
      <c r="AB284" s="556"/>
      <c r="AC284" s="556"/>
    </row>
    <row r="285" spans="1:68" ht="16.5" hidden="1" customHeight="1" x14ac:dyDescent="0.25">
      <c r="A285" s="578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hidden="1" customHeight="1" x14ac:dyDescent="0.25">
      <c r="A286" s="567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69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70"/>
      <c r="P289" s="564" t="s">
        <v>75</v>
      </c>
      <c r="Q289" s="565"/>
      <c r="R289" s="565"/>
      <c r="S289" s="565"/>
      <c r="T289" s="565"/>
      <c r="U289" s="565"/>
      <c r="V289" s="566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hidden="1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70"/>
      <c r="P290" s="564" t="s">
        <v>75</v>
      </c>
      <c r="Q290" s="565"/>
      <c r="R290" s="565"/>
      <c r="S290" s="565"/>
      <c r="T290" s="565"/>
      <c r="U290" s="565"/>
      <c r="V290" s="566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hidden="1" customHeight="1" x14ac:dyDescent="0.25">
      <c r="A291" s="567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9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70"/>
      <c r="P294" s="564" t="s">
        <v>75</v>
      </c>
      <c r="Q294" s="565"/>
      <c r="R294" s="565"/>
      <c r="S294" s="565"/>
      <c r="T294" s="565"/>
      <c r="U294" s="565"/>
      <c r="V294" s="566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hidden="1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70"/>
      <c r="P295" s="564" t="s">
        <v>75</v>
      </c>
      <c r="Q295" s="565"/>
      <c r="R295" s="565"/>
      <c r="S295" s="565"/>
      <c r="T295" s="565"/>
      <c r="U295" s="565"/>
      <c r="V295" s="566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hidden="1" customHeight="1" x14ac:dyDescent="0.25">
      <c r="A296" s="578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hidden="1" customHeight="1" x14ac:dyDescent="0.25">
      <c r="A297" s="567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hidden="1" customHeight="1" x14ac:dyDescent="0.25">
      <c r="A298" s="54" t="s">
        <v>478</v>
      </c>
      <c r="B298" s="54" t="s">
        <v>479</v>
      </c>
      <c r="C298" s="31">
        <v>4301012024</v>
      </c>
      <c r="D298" s="562">
        <v>4680115885615</v>
      </c>
      <c r="E298" s="563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hidden="1" customHeight="1" x14ac:dyDescent="0.25">
      <c r="A299" s="54" t="s">
        <v>481</v>
      </c>
      <c r="B299" s="54" t="s">
        <v>482</v>
      </c>
      <c r="C299" s="31">
        <v>4301011858</v>
      </c>
      <c r="D299" s="562">
        <v>4680115885646</v>
      </c>
      <c r="E299" s="563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7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4301012016</v>
      </c>
      <c r="D300" s="562">
        <v>4680115885554</v>
      </c>
      <c r="E300" s="563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4301011857</v>
      </c>
      <c r="D301" s="562">
        <v>4680115885622</v>
      </c>
      <c r="E301" s="563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77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hidden="1" customHeight="1" x14ac:dyDescent="0.25">
      <c r="A302" s="54" t="s">
        <v>489</v>
      </c>
      <c r="B302" s="54" t="s">
        <v>490</v>
      </c>
      <c r="C302" s="31">
        <v>4301011859</v>
      </c>
      <c r="D302" s="562">
        <v>4680115885608</v>
      </c>
      <c r="E302" s="563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569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70"/>
      <c r="P303" s="564" t="s">
        <v>75</v>
      </c>
      <c r="Q303" s="565"/>
      <c r="R303" s="565"/>
      <c r="S303" s="565"/>
      <c r="T303" s="565"/>
      <c r="U303" s="565"/>
      <c r="V303" s="566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hidden="1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70"/>
      <c r="P304" s="564" t="s">
        <v>75</v>
      </c>
      <c r="Q304" s="565"/>
      <c r="R304" s="565"/>
      <c r="S304" s="565"/>
      <c r="T304" s="565"/>
      <c r="U304" s="565"/>
      <c r="V304" s="566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hidden="1" customHeight="1" x14ac:dyDescent="0.25">
      <c r="A305" s="567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hidden="1" customHeight="1" x14ac:dyDescent="0.25">
      <c r="A306" s="54" t="s">
        <v>492</v>
      </c>
      <c r="B306" s="54" t="s">
        <v>493</v>
      </c>
      <c r="C306" s="31">
        <v>4301030878</v>
      </c>
      <c r="D306" s="562">
        <v>4607091387193</v>
      </c>
      <c r="E306" s="563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7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hidden="1" customHeight="1" x14ac:dyDescent="0.25">
      <c r="A307" s="54" t="s">
        <v>495</v>
      </c>
      <c r="B307" s="54" t="s">
        <v>496</v>
      </c>
      <c r="C307" s="31">
        <v>4301031153</v>
      </c>
      <c r="D307" s="562">
        <v>4607091387230</v>
      </c>
      <c r="E307" s="563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 t="s">
        <v>112</v>
      </c>
      <c r="M307" s="33" t="s">
        <v>68</v>
      </c>
      <c r="N307" s="33"/>
      <c r="O307" s="32">
        <v>40</v>
      </c>
      <c r="P307" s="8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108</v>
      </c>
      <c r="AK307" s="68">
        <v>50.4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4301031154</v>
      </c>
      <c r="D308" s="562">
        <v>4607091387292</v>
      </c>
      <c r="E308" s="563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4301031152</v>
      </c>
      <c r="D309" s="562">
        <v>4607091387285</v>
      </c>
      <c r="E309" s="563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6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503</v>
      </c>
      <c r="B310" s="54" t="s">
        <v>504</v>
      </c>
      <c r="C310" s="31">
        <v>4301031305</v>
      </c>
      <c r="D310" s="562">
        <v>4607091389845</v>
      </c>
      <c r="E310" s="563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4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 t="s">
        <v>108</v>
      </c>
      <c r="AK310" s="68">
        <v>37.799999999999997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2">
        <v>4607091383836</v>
      </c>
      <c r="E311" s="563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13</v>
      </c>
      <c r="Y311" s="554">
        <f t="shared" si="31"/>
        <v>14.4</v>
      </c>
      <c r="Z311" s="36">
        <f>IFERROR(IF(Y311=0,"",ROUNDUP(Y311/H311,0)*0.00651),"")</f>
        <v>5.2080000000000001E-2</v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14.646666666666667</v>
      </c>
      <c r="BN311" s="64">
        <f t="shared" si="33"/>
        <v>16.224</v>
      </c>
      <c r="BO311" s="64">
        <f t="shared" si="34"/>
        <v>3.9682539682539687E-2</v>
      </c>
      <c r="BP311" s="64">
        <f t="shared" si="35"/>
        <v>4.3956043956043959E-2</v>
      </c>
    </row>
    <row r="312" spans="1:68" x14ac:dyDescent="0.2">
      <c r="A312" s="569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70"/>
      <c r="P312" s="564" t="s">
        <v>75</v>
      </c>
      <c r="Q312" s="565"/>
      <c r="R312" s="565"/>
      <c r="S312" s="565"/>
      <c r="T312" s="565"/>
      <c r="U312" s="565"/>
      <c r="V312" s="566"/>
      <c r="W312" s="37" t="s">
        <v>76</v>
      </c>
      <c r="X312" s="555">
        <f>IFERROR(X306/H306,"0")+IFERROR(X307/H307,"0")+IFERROR(X308/H308,"0")+IFERROR(X309/H309,"0")+IFERROR(X310/H310,"0")+IFERROR(X311/H311,"0")</f>
        <v>7.2222222222222223</v>
      </c>
      <c r="Y312" s="555">
        <f>IFERROR(Y306/H306,"0")+IFERROR(Y307/H307,"0")+IFERROR(Y308/H308,"0")+IFERROR(Y309/H309,"0")+IFERROR(Y310/H310,"0")+IFERROR(Y311/H311,"0")</f>
        <v>8</v>
      </c>
      <c r="Z312" s="555">
        <f>IFERROR(IF(Z306="",0,Z306),"0")+IFERROR(IF(Z307="",0,Z307),"0")+IFERROR(IF(Z308="",0,Z308),"0")+IFERROR(IF(Z309="",0,Z309),"0")+IFERROR(IF(Z310="",0,Z310),"0")+IFERROR(IF(Z311="",0,Z311),"0")</f>
        <v>5.2080000000000001E-2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70"/>
      <c r="P313" s="564" t="s">
        <v>75</v>
      </c>
      <c r="Q313" s="565"/>
      <c r="R313" s="565"/>
      <c r="S313" s="565"/>
      <c r="T313" s="565"/>
      <c r="U313" s="565"/>
      <c r="V313" s="566"/>
      <c r="W313" s="37" t="s">
        <v>69</v>
      </c>
      <c r="X313" s="555">
        <f>IFERROR(SUM(X306:X311),"0")</f>
        <v>13</v>
      </c>
      <c r="Y313" s="555">
        <f>IFERROR(SUM(Y306:Y311),"0")</f>
        <v>14.4</v>
      </c>
      <c r="Z313" s="37"/>
      <c r="AA313" s="556"/>
      <c r="AB313" s="556"/>
      <c r="AC313" s="556"/>
    </row>
    <row r="314" spans="1:68" ht="14.25" hidden="1" customHeight="1" x14ac:dyDescent="0.25">
      <c r="A314" s="567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hidden="1" customHeight="1" x14ac:dyDescent="0.25">
      <c r="A315" s="54" t="s">
        <v>509</v>
      </c>
      <c r="B315" s="54" t="s">
        <v>510</v>
      </c>
      <c r="C315" s="31">
        <v>4301051100</v>
      </c>
      <c r="D315" s="562">
        <v>4607091387766</v>
      </c>
      <c r="E315" s="563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 t="s">
        <v>105</v>
      </c>
      <c r="M315" s="33" t="s">
        <v>80</v>
      </c>
      <c r="N315" s="33"/>
      <c r="O315" s="32">
        <v>40</v>
      </c>
      <c r="P315" s="5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 t="s">
        <v>108</v>
      </c>
      <c r="AK315" s="68">
        <v>62.4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512</v>
      </c>
      <c r="B316" s="54" t="s">
        <v>513</v>
      </c>
      <c r="C316" s="31">
        <v>4301051818</v>
      </c>
      <c r="D316" s="562">
        <v>4607091387957</v>
      </c>
      <c r="E316" s="563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4301051819</v>
      </c>
      <c r="D317" s="562">
        <v>4607091387964</v>
      </c>
      <c r="E317" s="563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4301051734</v>
      </c>
      <c r="D318" s="562">
        <v>4680115884588</v>
      </c>
      <c r="E318" s="563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9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70"/>
      <c r="P319" s="564" t="s">
        <v>75</v>
      </c>
      <c r="Q319" s="565"/>
      <c r="R319" s="565"/>
      <c r="S319" s="565"/>
      <c r="T319" s="565"/>
      <c r="U319" s="565"/>
      <c r="V319" s="566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hidden="1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70"/>
      <c r="P320" s="564" t="s">
        <v>75</v>
      </c>
      <c r="Q320" s="565"/>
      <c r="R320" s="565"/>
      <c r="S320" s="565"/>
      <c r="T320" s="565"/>
      <c r="U320" s="565"/>
      <c r="V320" s="566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hidden="1" customHeight="1" x14ac:dyDescent="0.25">
      <c r="A321" s="567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2">
        <v>4607091380880</v>
      </c>
      <c r="E322" s="563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65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18</v>
      </c>
      <c r="Y322" s="554">
        <f>IFERROR(IF(X322="",0,CEILING((X322/$H322),1)*$H322),"")</f>
        <v>25.200000000000003</v>
      </c>
      <c r="Z322" s="36">
        <f>IFERROR(IF(Y322=0,"",ROUNDUP(Y322/H322,0)*0.01898),"")</f>
        <v>5.6940000000000004E-2</v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19.05857142857143</v>
      </c>
      <c r="BN322" s="64">
        <f>IFERROR(Y322*I322/H322,"0")</f>
        <v>26.682000000000002</v>
      </c>
      <c r="BO322" s="64">
        <f>IFERROR(1/J322*(X322/H322),"0")</f>
        <v>3.3482142857142856E-2</v>
      </c>
      <c r="BP322" s="64">
        <f>IFERROR(1/J322*(Y322/H322),"0")</f>
        <v>4.6875E-2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2">
        <v>4607091384482</v>
      </c>
      <c r="E323" s="563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58</v>
      </c>
      <c r="Y323" s="554">
        <f>IFERROR(IF(X323="",0,CEILING((X323/$H323),1)*$H323),"")</f>
        <v>62.4</v>
      </c>
      <c r="Z323" s="36">
        <f>IFERROR(IF(Y323=0,"",ROUNDUP(Y323/H323,0)*0.01898),"")</f>
        <v>0.15184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61.673333333333339</v>
      </c>
      <c r="BN323" s="64">
        <f>IFERROR(Y323*I323/H323,"0")</f>
        <v>66.352000000000004</v>
      </c>
      <c r="BO323" s="64">
        <f>IFERROR(1/J323*(X323/H323),"0")</f>
        <v>0.11618589743589744</v>
      </c>
      <c r="BP323" s="64">
        <f>IFERROR(1/J323*(Y323/H323),"0")</f>
        <v>0.125</v>
      </c>
    </row>
    <row r="324" spans="1:68" ht="16.5" hidden="1" customHeight="1" x14ac:dyDescent="0.25">
      <c r="A324" s="54" t="s">
        <v>527</v>
      </c>
      <c r="B324" s="54" t="s">
        <v>528</v>
      </c>
      <c r="C324" s="31">
        <v>4301060484</v>
      </c>
      <c r="D324" s="562">
        <v>4607091380897</v>
      </c>
      <c r="E324" s="563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6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0</v>
      </c>
      <c r="Y324" s="55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69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70"/>
      <c r="P325" s="564" t="s">
        <v>75</v>
      </c>
      <c r="Q325" s="565"/>
      <c r="R325" s="565"/>
      <c r="S325" s="565"/>
      <c r="T325" s="565"/>
      <c r="U325" s="565"/>
      <c r="V325" s="566"/>
      <c r="W325" s="37" t="s">
        <v>76</v>
      </c>
      <c r="X325" s="555">
        <f>IFERROR(X322/H322,"0")+IFERROR(X323/H323,"0")+IFERROR(X324/H324,"0")</f>
        <v>9.5787545787545785</v>
      </c>
      <c r="Y325" s="555">
        <f>IFERROR(Y322/H322,"0")+IFERROR(Y323/H323,"0")+IFERROR(Y324/H324,"0")</f>
        <v>11</v>
      </c>
      <c r="Z325" s="555">
        <f>IFERROR(IF(Z322="",0,Z322),"0")+IFERROR(IF(Z323="",0,Z323),"0")+IFERROR(IF(Z324="",0,Z324),"0")</f>
        <v>0.20878000000000002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70"/>
      <c r="P326" s="564" t="s">
        <v>75</v>
      </c>
      <c r="Q326" s="565"/>
      <c r="R326" s="565"/>
      <c r="S326" s="565"/>
      <c r="T326" s="565"/>
      <c r="U326" s="565"/>
      <c r="V326" s="566"/>
      <c r="W326" s="37" t="s">
        <v>69</v>
      </c>
      <c r="X326" s="555">
        <f>IFERROR(SUM(X322:X324),"0")</f>
        <v>76</v>
      </c>
      <c r="Y326" s="555">
        <f>IFERROR(SUM(Y322:Y324),"0")</f>
        <v>87.6</v>
      </c>
      <c r="Z326" s="37"/>
      <c r="AA326" s="556"/>
      <c r="AB326" s="556"/>
      <c r="AC326" s="556"/>
    </row>
    <row r="327" spans="1:68" ht="14.25" hidden="1" customHeight="1" x14ac:dyDescent="0.25">
      <c r="A327" s="567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customHeight="1" x14ac:dyDescent="0.25">
      <c r="A328" s="54" t="s">
        <v>530</v>
      </c>
      <c r="B328" s="54" t="s">
        <v>531</v>
      </c>
      <c r="C328" s="31">
        <v>4301030235</v>
      </c>
      <c r="D328" s="562">
        <v>4607091388381</v>
      </c>
      <c r="E328" s="563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6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12</v>
      </c>
      <c r="Y328" s="554">
        <f>IFERROR(IF(X328="",0,CEILING((X328/$H328),1)*$H328),"")</f>
        <v>12.16</v>
      </c>
      <c r="Z328" s="36">
        <f>IFERROR(IF(Y328=0,"",ROUNDUP(Y328/H328,0)*0.00902),"")</f>
        <v>3.6080000000000001E-2</v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13.065789473684211</v>
      </c>
      <c r="BN328" s="64">
        <f>IFERROR(Y328*I328/H328,"0")</f>
        <v>13.24</v>
      </c>
      <c r="BO328" s="64">
        <f>IFERROR(1/J328*(X328/H328),"0")</f>
        <v>2.9904306220095694E-2</v>
      </c>
      <c r="BP328" s="64">
        <f>IFERROR(1/J328*(Y328/H328),"0")</f>
        <v>3.0303030303030304E-2</v>
      </c>
    </row>
    <row r="329" spans="1:68" ht="27" customHeight="1" x14ac:dyDescent="0.25">
      <c r="A329" s="54" t="s">
        <v>533</v>
      </c>
      <c r="B329" s="54" t="s">
        <v>534</v>
      </c>
      <c r="C329" s="31">
        <v>4301030232</v>
      </c>
      <c r="D329" s="562">
        <v>4607091388374</v>
      </c>
      <c r="E329" s="563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18</v>
      </c>
      <c r="Y329" s="554">
        <f>IFERROR(IF(X329="",0,CEILING((X329/$H329),1)*$H329),"")</f>
        <v>18.240000000000002</v>
      </c>
      <c r="Z329" s="36">
        <f>IFERROR(IF(Y329=0,"",ROUNDUP(Y329/H329,0)*0.00902),"")</f>
        <v>5.4120000000000001E-2</v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19.361842105263158</v>
      </c>
      <c r="BN329" s="64">
        <f>IFERROR(Y329*I329/H329,"0")</f>
        <v>19.62</v>
      </c>
      <c r="BO329" s="64">
        <f>IFERROR(1/J329*(X329/H329),"0")</f>
        <v>4.4856459330143539E-2</v>
      </c>
      <c r="BP329" s="64">
        <f>IFERROR(1/J329*(Y329/H329),"0")</f>
        <v>4.5454545454545463E-2</v>
      </c>
    </row>
    <row r="330" spans="1:68" ht="27" hidden="1" customHeight="1" x14ac:dyDescent="0.25">
      <c r="A330" s="54" t="s">
        <v>535</v>
      </c>
      <c r="B330" s="54" t="s">
        <v>536</v>
      </c>
      <c r="C330" s="31">
        <v>4301032015</v>
      </c>
      <c r="D330" s="562">
        <v>4607091383102</v>
      </c>
      <c r="E330" s="563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188</v>
      </c>
      <c r="M330" s="33" t="s">
        <v>96</v>
      </c>
      <c r="N330" s="33"/>
      <c r="O330" s="32">
        <v>180</v>
      </c>
      <c r="P330" s="6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2">
        <v>4607091388404</v>
      </c>
      <c r="E331" s="563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188</v>
      </c>
      <c r="M331" s="33" t="s">
        <v>96</v>
      </c>
      <c r="N331" s="33"/>
      <c r="O331" s="32">
        <v>180</v>
      </c>
      <c r="P331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5</v>
      </c>
      <c r="Y331" s="554">
        <f>IFERROR(IF(X331="",0,CEILING((X331/$H331),1)*$H331),"")</f>
        <v>5.0999999999999996</v>
      </c>
      <c r="Z331" s="36">
        <f>IFERROR(IF(Y331=0,"",ROUNDUP(Y331/H331,0)*0.00651),"")</f>
        <v>1.302E-2</v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5.6470588235294112</v>
      </c>
      <c r="BN331" s="64">
        <f>IFERROR(Y331*I331/H331,"0")</f>
        <v>5.76</v>
      </c>
      <c r="BO331" s="64">
        <f>IFERROR(1/J331*(X331/H331),"0")</f>
        <v>1.0773540185304893E-2</v>
      </c>
      <c r="BP331" s="64">
        <f>IFERROR(1/J331*(Y331/H331),"0")</f>
        <v>1.098901098901099E-2</v>
      </c>
    </row>
    <row r="332" spans="1:68" x14ac:dyDescent="0.2">
      <c r="A332" s="569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70"/>
      <c r="P332" s="564" t="s">
        <v>75</v>
      </c>
      <c r="Q332" s="565"/>
      <c r="R332" s="565"/>
      <c r="S332" s="565"/>
      <c r="T332" s="565"/>
      <c r="U332" s="565"/>
      <c r="V332" s="566"/>
      <c r="W332" s="37" t="s">
        <v>76</v>
      </c>
      <c r="X332" s="555">
        <f>IFERROR(X328/H328,"0")+IFERROR(X329/H329,"0")+IFERROR(X330/H330,"0")+IFERROR(X331/H331,"0")</f>
        <v>11.829205366357069</v>
      </c>
      <c r="Y332" s="555">
        <f>IFERROR(Y328/H328,"0")+IFERROR(Y329/H329,"0")+IFERROR(Y330/H330,"0")+IFERROR(Y331/H331,"0")</f>
        <v>12</v>
      </c>
      <c r="Z332" s="555">
        <f>IFERROR(IF(Z328="",0,Z328),"0")+IFERROR(IF(Z329="",0,Z329),"0")+IFERROR(IF(Z330="",0,Z330),"0")+IFERROR(IF(Z331="",0,Z331),"0")</f>
        <v>0.10322000000000001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70"/>
      <c r="P333" s="564" t="s">
        <v>75</v>
      </c>
      <c r="Q333" s="565"/>
      <c r="R333" s="565"/>
      <c r="S333" s="565"/>
      <c r="T333" s="565"/>
      <c r="U333" s="565"/>
      <c r="V333" s="566"/>
      <c r="W333" s="37" t="s">
        <v>69</v>
      </c>
      <c r="X333" s="555">
        <f>IFERROR(SUM(X328:X331),"0")</f>
        <v>35</v>
      </c>
      <c r="Y333" s="555">
        <f>IFERROR(SUM(Y328:Y331),"0")</f>
        <v>35.5</v>
      </c>
      <c r="Z333" s="37"/>
      <c r="AA333" s="556"/>
      <c r="AB333" s="556"/>
      <c r="AC333" s="556"/>
    </row>
    <row r="334" spans="1:68" ht="14.25" hidden="1" customHeight="1" x14ac:dyDescent="0.25">
      <c r="A334" s="567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customHeight="1" x14ac:dyDescent="0.25">
      <c r="A335" s="54" t="s">
        <v>541</v>
      </c>
      <c r="B335" s="54" t="s">
        <v>542</v>
      </c>
      <c r="C335" s="31">
        <v>4301180007</v>
      </c>
      <c r="D335" s="562">
        <v>4680115881808</v>
      </c>
      <c r="E335" s="563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 t="s">
        <v>188</v>
      </c>
      <c r="M335" s="33" t="s">
        <v>543</v>
      </c>
      <c r="N335" s="33"/>
      <c r="O335" s="32">
        <v>730</v>
      </c>
      <c r="P335" s="8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2</v>
      </c>
      <c r="Y335" s="554">
        <f>IFERROR(IF(X335="",0,CEILING((X335/$H335),1)*$H335),"")</f>
        <v>2</v>
      </c>
      <c r="Z335" s="36">
        <f>IFERROR(IF(Y335=0,"",ROUNDUP(Y335/H335,0)*0.00474),"")</f>
        <v>4.7400000000000003E-3</v>
      </c>
      <c r="AA335" s="56"/>
      <c r="AB335" s="57"/>
      <c r="AC335" s="393" t="s">
        <v>544</v>
      </c>
      <c r="AG335" s="64"/>
      <c r="AJ335" s="68" t="s">
        <v>108</v>
      </c>
      <c r="AK335" s="68">
        <v>28</v>
      </c>
      <c r="BB335" s="394" t="s">
        <v>1</v>
      </c>
      <c r="BM335" s="64">
        <f>IFERROR(X335*I335/H335,"0")</f>
        <v>2.2400000000000002</v>
      </c>
      <c r="BN335" s="64">
        <f>IFERROR(Y335*I335/H335,"0")</f>
        <v>2.2400000000000002</v>
      </c>
      <c r="BO335" s="64">
        <f>IFERROR(1/J335*(X335/H335),"0")</f>
        <v>4.2016806722689074E-3</v>
      </c>
      <c r="BP335" s="64">
        <f>IFERROR(1/J335*(Y335/H335),"0")</f>
        <v>4.2016806722689074E-3</v>
      </c>
    </row>
    <row r="336" spans="1:68" ht="27" customHeight="1" x14ac:dyDescent="0.25">
      <c r="A336" s="54" t="s">
        <v>545</v>
      </c>
      <c r="B336" s="54" t="s">
        <v>546</v>
      </c>
      <c r="C336" s="31">
        <v>4301180006</v>
      </c>
      <c r="D336" s="562">
        <v>4680115881822</v>
      </c>
      <c r="E336" s="563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 t="s">
        <v>188</v>
      </c>
      <c r="M336" s="33" t="s">
        <v>543</v>
      </c>
      <c r="N336" s="33"/>
      <c r="O336" s="32">
        <v>730</v>
      </c>
      <c r="P336" s="8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2</v>
      </c>
      <c r="Y336" s="554">
        <f>IFERROR(IF(X336="",0,CEILING((X336/$H336),1)*$H336),"")</f>
        <v>2</v>
      </c>
      <c r="Z336" s="36">
        <f>IFERROR(IF(Y336=0,"",ROUNDUP(Y336/H336,0)*0.00474),"")</f>
        <v>4.7400000000000003E-3</v>
      </c>
      <c r="AA336" s="56"/>
      <c r="AB336" s="57"/>
      <c r="AC336" s="395" t="s">
        <v>544</v>
      </c>
      <c r="AG336" s="64"/>
      <c r="AJ336" s="68" t="s">
        <v>108</v>
      </c>
      <c r="AK336" s="68">
        <v>28</v>
      </c>
      <c r="BB336" s="396" t="s">
        <v>1</v>
      </c>
      <c r="BM336" s="64">
        <f>IFERROR(X336*I336/H336,"0")</f>
        <v>2.2400000000000002</v>
      </c>
      <c r="BN336" s="64">
        <f>IFERROR(Y336*I336/H336,"0")</f>
        <v>2.2400000000000002</v>
      </c>
      <c r="BO336" s="64">
        <f>IFERROR(1/J336*(X336/H336),"0")</f>
        <v>4.2016806722689074E-3</v>
      </c>
      <c r="BP336" s="64">
        <f>IFERROR(1/J336*(Y336/H336),"0")</f>
        <v>4.2016806722689074E-3</v>
      </c>
    </row>
    <row r="337" spans="1:68" ht="27" customHeight="1" x14ac:dyDescent="0.25">
      <c r="A337" s="54" t="s">
        <v>547</v>
      </c>
      <c r="B337" s="54" t="s">
        <v>548</v>
      </c>
      <c r="C337" s="31">
        <v>4301180001</v>
      </c>
      <c r="D337" s="562">
        <v>4680115880016</v>
      </c>
      <c r="E337" s="563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 t="s">
        <v>188</v>
      </c>
      <c r="M337" s="33" t="s">
        <v>543</v>
      </c>
      <c r="N337" s="33"/>
      <c r="O337" s="32">
        <v>730</v>
      </c>
      <c r="P337" s="65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2</v>
      </c>
      <c r="Y337" s="554">
        <f>IFERROR(IF(X337="",0,CEILING((X337/$H337),1)*$H337),"")</f>
        <v>2</v>
      </c>
      <c r="Z337" s="36">
        <f>IFERROR(IF(Y337=0,"",ROUNDUP(Y337/H337,0)*0.00474),"")</f>
        <v>4.7400000000000003E-3</v>
      </c>
      <c r="AA337" s="56"/>
      <c r="AB337" s="57"/>
      <c r="AC337" s="397" t="s">
        <v>544</v>
      </c>
      <c r="AG337" s="64"/>
      <c r="AJ337" s="68" t="s">
        <v>108</v>
      </c>
      <c r="AK337" s="68">
        <v>28</v>
      </c>
      <c r="BB337" s="398" t="s">
        <v>1</v>
      </c>
      <c r="BM337" s="64">
        <f>IFERROR(X337*I337/H337,"0")</f>
        <v>2.2400000000000002</v>
      </c>
      <c r="BN337" s="64">
        <f>IFERROR(Y337*I337/H337,"0")</f>
        <v>2.2400000000000002</v>
      </c>
      <c r="BO337" s="64">
        <f>IFERROR(1/J337*(X337/H337),"0")</f>
        <v>4.2016806722689074E-3</v>
      </c>
      <c r="BP337" s="64">
        <f>IFERROR(1/J337*(Y337/H337),"0")</f>
        <v>4.2016806722689074E-3</v>
      </c>
    </row>
    <row r="338" spans="1:68" x14ac:dyDescent="0.2">
      <c r="A338" s="569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70"/>
      <c r="P338" s="564" t="s">
        <v>75</v>
      </c>
      <c r="Q338" s="565"/>
      <c r="R338" s="565"/>
      <c r="S338" s="565"/>
      <c r="T338" s="565"/>
      <c r="U338" s="565"/>
      <c r="V338" s="566"/>
      <c r="W338" s="37" t="s">
        <v>76</v>
      </c>
      <c r="X338" s="555">
        <f>IFERROR(X335/H335,"0")+IFERROR(X336/H336,"0")+IFERROR(X337/H337,"0")</f>
        <v>3</v>
      </c>
      <c r="Y338" s="555">
        <f>IFERROR(Y335/H335,"0")+IFERROR(Y336/H336,"0")+IFERROR(Y337/H337,"0")</f>
        <v>3</v>
      </c>
      <c r="Z338" s="555">
        <f>IFERROR(IF(Z335="",0,Z335),"0")+IFERROR(IF(Z336="",0,Z336),"0")+IFERROR(IF(Z337="",0,Z337),"0")</f>
        <v>1.422E-2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70"/>
      <c r="P339" s="564" t="s">
        <v>75</v>
      </c>
      <c r="Q339" s="565"/>
      <c r="R339" s="565"/>
      <c r="S339" s="565"/>
      <c r="T339" s="565"/>
      <c r="U339" s="565"/>
      <c r="V339" s="566"/>
      <c r="W339" s="37" t="s">
        <v>69</v>
      </c>
      <c r="X339" s="555">
        <f>IFERROR(SUM(X335:X337),"0")</f>
        <v>6</v>
      </c>
      <c r="Y339" s="555">
        <f>IFERROR(SUM(Y335:Y337),"0")</f>
        <v>6</v>
      </c>
      <c r="Z339" s="37"/>
      <c r="AA339" s="556"/>
      <c r="AB339" s="556"/>
      <c r="AC339" s="556"/>
    </row>
    <row r="340" spans="1:68" ht="16.5" hidden="1" customHeight="1" x14ac:dyDescent="0.25">
      <c r="A340" s="578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hidden="1" customHeight="1" x14ac:dyDescent="0.25">
      <c r="A341" s="567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hidden="1" customHeight="1" x14ac:dyDescent="0.25">
      <c r="A342" s="54" t="s">
        <v>550</v>
      </c>
      <c r="B342" s="54" t="s">
        <v>551</v>
      </c>
      <c r="C342" s="31">
        <v>4301051489</v>
      </c>
      <c r="D342" s="562">
        <v>4607091387919</v>
      </c>
      <c r="E342" s="563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 t="s">
        <v>105</v>
      </c>
      <c r="M342" s="33" t="s">
        <v>86</v>
      </c>
      <c r="N342" s="33"/>
      <c r="O342" s="32">
        <v>45</v>
      </c>
      <c r="P342" s="8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 t="s">
        <v>108</v>
      </c>
      <c r="AK342" s="68">
        <v>64.8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553</v>
      </c>
      <c r="B343" s="54" t="s">
        <v>554</v>
      </c>
      <c r="C343" s="31">
        <v>4301051461</v>
      </c>
      <c r="D343" s="562">
        <v>4680115883604</v>
      </c>
      <c r="E343" s="563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188</v>
      </c>
      <c r="M343" s="33" t="s">
        <v>80</v>
      </c>
      <c r="N343" s="33"/>
      <c r="O343" s="32">
        <v>45</v>
      </c>
      <c r="P343" s="7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556</v>
      </c>
      <c r="B344" s="54" t="s">
        <v>557</v>
      </c>
      <c r="C344" s="31">
        <v>4301051864</v>
      </c>
      <c r="D344" s="562">
        <v>4680115883567</v>
      </c>
      <c r="E344" s="563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188</v>
      </c>
      <c r="M344" s="33" t="s">
        <v>86</v>
      </c>
      <c r="N344" s="33"/>
      <c r="O344" s="32">
        <v>40</v>
      </c>
      <c r="P344" s="8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569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70"/>
      <c r="P345" s="564" t="s">
        <v>75</v>
      </c>
      <c r="Q345" s="565"/>
      <c r="R345" s="565"/>
      <c r="S345" s="565"/>
      <c r="T345" s="565"/>
      <c r="U345" s="565"/>
      <c r="V345" s="566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hidden="1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70"/>
      <c r="P346" s="564" t="s">
        <v>75</v>
      </c>
      <c r="Q346" s="565"/>
      <c r="R346" s="565"/>
      <c r="S346" s="565"/>
      <c r="T346" s="565"/>
      <c r="U346" s="565"/>
      <c r="V346" s="566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hidden="1" customHeight="1" x14ac:dyDescent="0.2">
      <c r="A347" s="560" t="s">
        <v>559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48"/>
      <c r="AB347" s="48"/>
      <c r="AC347" s="48"/>
    </row>
    <row r="348" spans="1:68" ht="16.5" hidden="1" customHeight="1" x14ac:dyDescent="0.25">
      <c r="A348" s="578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hidden="1" customHeight="1" x14ac:dyDescent="0.25">
      <c r="A349" s="567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2">
        <v>4680115884847</v>
      </c>
      <c r="E350" s="563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1165</v>
      </c>
      <c r="Y350" s="554">
        <f t="shared" ref="Y350:Y356" si="36">IFERROR(IF(X350="",0,CEILING((X350/$H350),1)*$H350),"")</f>
        <v>1170</v>
      </c>
      <c r="Z350" s="36">
        <f>IFERROR(IF(Y350=0,"",ROUNDUP(Y350/H350,0)*0.02175),"")</f>
        <v>1.6964999999999999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1201.5033333333333</v>
      </c>
      <c r="BN350" s="64">
        <f t="shared" ref="BN350:BN356" si="38">IFERROR(Y350*I350/H350,"0")</f>
        <v>1206.6600000000001</v>
      </c>
      <c r="BO350" s="64">
        <f t="shared" ref="BO350:BO356" si="39">IFERROR(1/J350*(X350/H350),"0")</f>
        <v>1.6180555555555556</v>
      </c>
      <c r="BP350" s="64">
        <f t="shared" ref="BP350:BP356" si="40">IFERROR(1/J350*(Y350/H350),"0")</f>
        <v>1.625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2">
        <v>4680115884854</v>
      </c>
      <c r="E351" s="563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483</v>
      </c>
      <c r="Y351" s="554">
        <f t="shared" si="36"/>
        <v>495</v>
      </c>
      <c r="Z351" s="36">
        <f>IFERROR(IF(Y351=0,"",ROUNDUP(Y351/H351,0)*0.02175),"")</f>
        <v>0.71775</v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498.13400000000001</v>
      </c>
      <c r="BN351" s="64">
        <f t="shared" si="38"/>
        <v>510.51000000000005</v>
      </c>
      <c r="BO351" s="64">
        <f t="shared" si="39"/>
        <v>0.67083333333333339</v>
      </c>
      <c r="BP351" s="64">
        <f t="shared" si="40"/>
        <v>0.6875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2">
        <v>4680115884830</v>
      </c>
      <c r="E352" s="563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 t="s">
        <v>105</v>
      </c>
      <c r="M352" s="33" t="s">
        <v>68</v>
      </c>
      <c r="N352" s="33"/>
      <c r="O352" s="32">
        <v>60</v>
      </c>
      <c r="P352" s="6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402</v>
      </c>
      <c r="Y352" s="554">
        <f t="shared" si="36"/>
        <v>405</v>
      </c>
      <c r="Z352" s="36">
        <f>IFERROR(IF(Y352=0,"",ROUNDUP(Y352/H352,0)*0.02175),"")</f>
        <v>0.58724999999999994</v>
      </c>
      <c r="AA352" s="56"/>
      <c r="AB352" s="57"/>
      <c r="AC352" s="409" t="s">
        <v>569</v>
      </c>
      <c r="AG352" s="64"/>
      <c r="AJ352" s="68" t="s">
        <v>108</v>
      </c>
      <c r="AK352" s="68">
        <v>120</v>
      </c>
      <c r="BB352" s="410" t="s">
        <v>1</v>
      </c>
      <c r="BM352" s="64">
        <f t="shared" si="37"/>
        <v>414.59600000000006</v>
      </c>
      <c r="BN352" s="64">
        <f t="shared" si="38"/>
        <v>417.69</v>
      </c>
      <c r="BO352" s="64">
        <f t="shared" si="39"/>
        <v>0.55833333333333335</v>
      </c>
      <c r="BP352" s="64">
        <f t="shared" si="40"/>
        <v>0.5625</v>
      </c>
    </row>
    <row r="353" spans="1:68" ht="27" customHeight="1" x14ac:dyDescent="0.25">
      <c r="A353" s="54" t="s">
        <v>570</v>
      </c>
      <c r="B353" s="54" t="s">
        <v>571</v>
      </c>
      <c r="C353" s="31">
        <v>4301012215</v>
      </c>
      <c r="D353" s="562">
        <v>4680115887046</v>
      </c>
      <c r="E353" s="563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700</v>
      </c>
      <c r="Y353" s="554">
        <f t="shared" si="36"/>
        <v>705</v>
      </c>
      <c r="Z353" s="36">
        <f>IFERROR(IF(Y353=0,"",ROUNDUP(Y353/H353,0)*0.02175),"")</f>
        <v>1.0222499999999999</v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721.93333333333328</v>
      </c>
      <c r="BN353" s="64">
        <f t="shared" si="38"/>
        <v>727.09</v>
      </c>
      <c r="BO353" s="64">
        <f t="shared" si="39"/>
        <v>0.9722222222222221</v>
      </c>
      <c r="BP353" s="64">
        <f t="shared" si="40"/>
        <v>0.97916666666666663</v>
      </c>
    </row>
    <row r="354" spans="1:68" ht="27" hidden="1" customHeight="1" x14ac:dyDescent="0.25">
      <c r="A354" s="54" t="s">
        <v>573</v>
      </c>
      <c r="B354" s="54" t="s">
        <v>574</v>
      </c>
      <c r="C354" s="31">
        <v>4301011433</v>
      </c>
      <c r="D354" s="562">
        <v>4680115882638</v>
      </c>
      <c r="E354" s="563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4301011952</v>
      </c>
      <c r="D355" s="562">
        <v>4680115884922</v>
      </c>
      <c r="E355" s="563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hidden="1" customHeight="1" x14ac:dyDescent="0.25">
      <c r="A356" s="54" t="s">
        <v>578</v>
      </c>
      <c r="B356" s="54" t="s">
        <v>579</v>
      </c>
      <c r="C356" s="31">
        <v>4301011868</v>
      </c>
      <c r="D356" s="562">
        <v>4680115884861</v>
      </c>
      <c r="E356" s="563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69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70"/>
      <c r="P357" s="564" t="s">
        <v>75</v>
      </c>
      <c r="Q357" s="565"/>
      <c r="R357" s="565"/>
      <c r="S357" s="565"/>
      <c r="T357" s="565"/>
      <c r="U357" s="565"/>
      <c r="V357" s="566"/>
      <c r="W357" s="37" t="s">
        <v>76</v>
      </c>
      <c r="X357" s="555">
        <f>IFERROR(X350/H350,"0")+IFERROR(X351/H351,"0")+IFERROR(X352/H352,"0")+IFERROR(X353/H353,"0")+IFERROR(X354/H354,"0")+IFERROR(X355/H355,"0")+IFERROR(X356/H356,"0")</f>
        <v>183.33333333333334</v>
      </c>
      <c r="Y357" s="555">
        <f>IFERROR(Y350/H350,"0")+IFERROR(Y351/H351,"0")+IFERROR(Y352/H352,"0")+IFERROR(Y353/H353,"0")+IFERROR(Y354/H354,"0")+IFERROR(Y355/H355,"0")+IFERROR(Y356/H356,"0")</f>
        <v>185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4.0237499999999997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70"/>
      <c r="P358" s="564" t="s">
        <v>75</v>
      </c>
      <c r="Q358" s="565"/>
      <c r="R358" s="565"/>
      <c r="S358" s="565"/>
      <c r="T358" s="565"/>
      <c r="U358" s="565"/>
      <c r="V358" s="566"/>
      <c r="W358" s="37" t="s">
        <v>69</v>
      </c>
      <c r="X358" s="555">
        <f>IFERROR(SUM(X350:X356),"0")</f>
        <v>2750</v>
      </c>
      <c r="Y358" s="555">
        <f>IFERROR(SUM(Y350:Y356),"0")</f>
        <v>2775</v>
      </c>
      <c r="Z358" s="37"/>
      <c r="AA358" s="556"/>
      <c r="AB358" s="556"/>
      <c r="AC358" s="556"/>
    </row>
    <row r="359" spans="1:68" ht="14.25" hidden="1" customHeight="1" x14ac:dyDescent="0.25">
      <c r="A359" s="567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2">
        <v>4607091383980</v>
      </c>
      <c r="E360" s="563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841</v>
      </c>
      <c r="Y360" s="554">
        <f>IFERROR(IF(X360="",0,CEILING((X360/$H360),1)*$H360),"")</f>
        <v>855</v>
      </c>
      <c r="Z360" s="36">
        <f>IFERROR(IF(Y360=0,"",ROUNDUP(Y360/H360,0)*0.02175),"")</f>
        <v>1.2397499999999999</v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867.3513333333334</v>
      </c>
      <c r="BN360" s="64">
        <f>IFERROR(Y360*I360/H360,"0")</f>
        <v>881.79000000000008</v>
      </c>
      <c r="BO360" s="64">
        <f>IFERROR(1/J360*(X360/H360),"0")</f>
        <v>1.1680555555555556</v>
      </c>
      <c r="BP360" s="64">
        <f>IFERROR(1/J360*(Y360/H360),"0")</f>
        <v>1.1875</v>
      </c>
    </row>
    <row r="361" spans="1:68" ht="27" hidden="1" customHeight="1" x14ac:dyDescent="0.25">
      <c r="A361" s="54" t="s">
        <v>583</v>
      </c>
      <c r="B361" s="54" t="s">
        <v>584</v>
      </c>
      <c r="C361" s="31">
        <v>4301020179</v>
      </c>
      <c r="D361" s="562">
        <v>4607091384178</v>
      </c>
      <c r="E361" s="563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69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70"/>
      <c r="P362" s="564" t="s">
        <v>75</v>
      </c>
      <c r="Q362" s="565"/>
      <c r="R362" s="565"/>
      <c r="S362" s="565"/>
      <c r="T362" s="565"/>
      <c r="U362" s="565"/>
      <c r="V362" s="566"/>
      <c r="W362" s="37" t="s">
        <v>76</v>
      </c>
      <c r="X362" s="555">
        <f>IFERROR(X360/H360,"0")+IFERROR(X361/H361,"0")</f>
        <v>56.06666666666667</v>
      </c>
      <c r="Y362" s="555">
        <f>IFERROR(Y360/H360,"0")+IFERROR(Y361/H361,"0")</f>
        <v>57</v>
      </c>
      <c r="Z362" s="555">
        <f>IFERROR(IF(Z360="",0,Z360),"0")+IFERROR(IF(Z361="",0,Z361),"0")</f>
        <v>1.2397499999999999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70"/>
      <c r="P363" s="564" t="s">
        <v>75</v>
      </c>
      <c r="Q363" s="565"/>
      <c r="R363" s="565"/>
      <c r="S363" s="565"/>
      <c r="T363" s="565"/>
      <c r="U363" s="565"/>
      <c r="V363" s="566"/>
      <c r="W363" s="37" t="s">
        <v>69</v>
      </c>
      <c r="X363" s="555">
        <f>IFERROR(SUM(X360:X361),"0")</f>
        <v>841</v>
      </c>
      <c r="Y363" s="555">
        <f>IFERROR(SUM(Y360:Y361),"0")</f>
        <v>855</v>
      </c>
      <c r="Z363" s="37"/>
      <c r="AA363" s="556"/>
      <c r="AB363" s="556"/>
      <c r="AC363" s="556"/>
    </row>
    <row r="364" spans="1:68" ht="14.25" hidden="1" customHeight="1" x14ac:dyDescent="0.25">
      <c r="A364" s="567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hidden="1" customHeight="1" x14ac:dyDescent="0.25">
      <c r="A365" s="54" t="s">
        <v>586</v>
      </c>
      <c r="B365" s="54" t="s">
        <v>587</v>
      </c>
      <c r="C365" s="31">
        <v>4301051903</v>
      </c>
      <c r="D365" s="562">
        <v>4607091383928</v>
      </c>
      <c r="E365" s="563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2">
        <v>4607091384260</v>
      </c>
      <c r="E366" s="563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 t="s">
        <v>105</v>
      </c>
      <c r="M366" s="33" t="s">
        <v>80</v>
      </c>
      <c r="N366" s="33"/>
      <c r="O366" s="32">
        <v>40</v>
      </c>
      <c r="P366" s="6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91</v>
      </c>
      <c r="Y366" s="554">
        <f>IFERROR(IF(X366="",0,CEILING((X366/$H366),1)*$H366),"")</f>
        <v>99</v>
      </c>
      <c r="Z366" s="36">
        <f>IFERROR(IF(Y366=0,"",ROUNDUP(Y366/H366,0)*0.01898),"")</f>
        <v>0.20877999999999999</v>
      </c>
      <c r="AA366" s="56"/>
      <c r="AB366" s="57"/>
      <c r="AC366" s="425" t="s">
        <v>591</v>
      </c>
      <c r="AG366" s="64"/>
      <c r="AJ366" s="68" t="s">
        <v>108</v>
      </c>
      <c r="AK366" s="68">
        <v>72</v>
      </c>
      <c r="BB366" s="426" t="s">
        <v>1</v>
      </c>
      <c r="BM366" s="64">
        <f>IFERROR(X366*I366/H366,"0")</f>
        <v>95.99488888888888</v>
      </c>
      <c r="BN366" s="64">
        <f>IFERROR(Y366*I366/H366,"0")</f>
        <v>104.434</v>
      </c>
      <c r="BO366" s="64">
        <f>IFERROR(1/J366*(X366/H366),"0")</f>
        <v>0.1579861111111111</v>
      </c>
      <c r="BP366" s="64">
        <f>IFERROR(1/J366*(Y366/H366),"0")</f>
        <v>0.171875</v>
      </c>
    </row>
    <row r="367" spans="1:68" x14ac:dyDescent="0.2">
      <c r="A367" s="569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70"/>
      <c r="P367" s="564" t="s">
        <v>75</v>
      </c>
      <c r="Q367" s="565"/>
      <c r="R367" s="565"/>
      <c r="S367" s="565"/>
      <c r="T367" s="565"/>
      <c r="U367" s="565"/>
      <c r="V367" s="566"/>
      <c r="W367" s="37" t="s">
        <v>76</v>
      </c>
      <c r="X367" s="555">
        <f>IFERROR(X365/H365,"0")+IFERROR(X366/H366,"0")</f>
        <v>10.111111111111111</v>
      </c>
      <c r="Y367" s="555">
        <f>IFERROR(Y365/H365,"0")+IFERROR(Y366/H366,"0")</f>
        <v>11</v>
      </c>
      <c r="Z367" s="555">
        <f>IFERROR(IF(Z365="",0,Z365),"0")+IFERROR(IF(Z366="",0,Z366),"0")</f>
        <v>0.20877999999999999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70"/>
      <c r="P368" s="564" t="s">
        <v>75</v>
      </c>
      <c r="Q368" s="565"/>
      <c r="R368" s="565"/>
      <c r="S368" s="565"/>
      <c r="T368" s="565"/>
      <c r="U368" s="565"/>
      <c r="V368" s="566"/>
      <c r="W368" s="37" t="s">
        <v>69</v>
      </c>
      <c r="X368" s="555">
        <f>IFERROR(SUM(X365:X366),"0")</f>
        <v>91</v>
      </c>
      <c r="Y368" s="555">
        <f>IFERROR(SUM(Y365:Y366),"0")</f>
        <v>99</v>
      </c>
      <c r="Z368" s="37"/>
      <c r="AA368" s="556"/>
      <c r="AB368" s="556"/>
      <c r="AC368" s="556"/>
    </row>
    <row r="369" spans="1:68" ht="14.25" hidden="1" customHeight="1" x14ac:dyDescent="0.25">
      <c r="A369" s="567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2">
        <v>4607091384673</v>
      </c>
      <c r="E370" s="563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7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44</v>
      </c>
      <c r="Y370" s="554">
        <f>IFERROR(IF(X370="",0,CEILING((X370/$H370),1)*$H370),"")</f>
        <v>45</v>
      </c>
      <c r="Z370" s="36">
        <f>IFERROR(IF(Y370=0,"",ROUNDUP(Y370/H370,0)*0.01898),"")</f>
        <v>9.4899999999999998E-2</v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46.415111111111109</v>
      </c>
      <c r="BN370" s="64">
        <f>IFERROR(Y370*I370/H370,"0")</f>
        <v>47.47</v>
      </c>
      <c r="BO370" s="64">
        <f>IFERROR(1/J370*(X370/H370),"0")</f>
        <v>7.6388888888888895E-2</v>
      </c>
      <c r="BP370" s="64">
        <f>IFERROR(1/J370*(Y370/H370),"0")</f>
        <v>7.8125E-2</v>
      </c>
    </row>
    <row r="371" spans="1:68" x14ac:dyDescent="0.2">
      <c r="A371" s="569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70"/>
      <c r="P371" s="564" t="s">
        <v>75</v>
      </c>
      <c r="Q371" s="565"/>
      <c r="R371" s="565"/>
      <c r="S371" s="565"/>
      <c r="T371" s="565"/>
      <c r="U371" s="565"/>
      <c r="V371" s="566"/>
      <c r="W371" s="37" t="s">
        <v>76</v>
      </c>
      <c r="X371" s="555">
        <f>IFERROR(X370/H370,"0")</f>
        <v>4.8888888888888893</v>
      </c>
      <c r="Y371" s="555">
        <f>IFERROR(Y370/H370,"0")</f>
        <v>5</v>
      </c>
      <c r="Z371" s="555">
        <f>IFERROR(IF(Z370="",0,Z370),"0")</f>
        <v>9.4899999999999998E-2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70"/>
      <c r="P372" s="564" t="s">
        <v>75</v>
      </c>
      <c r="Q372" s="565"/>
      <c r="R372" s="565"/>
      <c r="S372" s="565"/>
      <c r="T372" s="565"/>
      <c r="U372" s="565"/>
      <c r="V372" s="566"/>
      <c r="W372" s="37" t="s">
        <v>69</v>
      </c>
      <c r="X372" s="555">
        <f>IFERROR(SUM(X370:X370),"0")</f>
        <v>44</v>
      </c>
      <c r="Y372" s="555">
        <f>IFERROR(SUM(Y370:Y370),"0")</f>
        <v>45</v>
      </c>
      <c r="Z372" s="37"/>
      <c r="AA372" s="556"/>
      <c r="AB372" s="556"/>
      <c r="AC372" s="556"/>
    </row>
    <row r="373" spans="1:68" ht="16.5" hidden="1" customHeight="1" x14ac:dyDescent="0.25">
      <c r="A373" s="578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hidden="1" customHeight="1" x14ac:dyDescent="0.25">
      <c r="A374" s="567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hidden="1" customHeight="1" x14ac:dyDescent="0.25">
      <c r="A375" s="54" t="s">
        <v>596</v>
      </c>
      <c r="B375" s="54" t="s">
        <v>597</v>
      </c>
      <c r="C375" s="31">
        <v>4301011875</v>
      </c>
      <c r="D375" s="562">
        <v>4680115884885</v>
      </c>
      <c r="E375" s="563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hidden="1" customHeight="1" x14ac:dyDescent="0.25">
      <c r="A376" s="54" t="s">
        <v>599</v>
      </c>
      <c r="B376" s="54" t="s">
        <v>600</v>
      </c>
      <c r="C376" s="31">
        <v>4301011871</v>
      </c>
      <c r="D376" s="562">
        <v>4680115884908</v>
      </c>
      <c r="E376" s="563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9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569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70"/>
      <c r="P377" s="564" t="s">
        <v>75</v>
      </c>
      <c r="Q377" s="565"/>
      <c r="R377" s="565"/>
      <c r="S377" s="565"/>
      <c r="T377" s="565"/>
      <c r="U377" s="565"/>
      <c r="V377" s="566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hidden="1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70"/>
      <c r="P378" s="564" t="s">
        <v>75</v>
      </c>
      <c r="Q378" s="565"/>
      <c r="R378" s="565"/>
      <c r="S378" s="565"/>
      <c r="T378" s="565"/>
      <c r="U378" s="565"/>
      <c r="V378" s="566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hidden="1" customHeight="1" x14ac:dyDescent="0.25">
      <c r="A379" s="567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hidden="1" customHeight="1" x14ac:dyDescent="0.25">
      <c r="A380" s="54" t="s">
        <v>601</v>
      </c>
      <c r="B380" s="54" t="s">
        <v>602</v>
      </c>
      <c r="C380" s="31">
        <v>4301031303</v>
      </c>
      <c r="D380" s="562">
        <v>4607091384802</v>
      </c>
      <c r="E380" s="563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 t="s">
        <v>112</v>
      </c>
      <c r="M380" s="33" t="s">
        <v>68</v>
      </c>
      <c r="N380" s="33"/>
      <c r="O380" s="32">
        <v>35</v>
      </c>
      <c r="P380" s="64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 t="s">
        <v>108</v>
      </c>
      <c r="AK380" s="68">
        <v>52.56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601</v>
      </c>
      <c r="B381" s="54" t="s">
        <v>604</v>
      </c>
      <c r="C381" s="31">
        <v>4301031457</v>
      </c>
      <c r="D381" s="562">
        <v>4607091384802</v>
      </c>
      <c r="E381" s="563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9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70"/>
      <c r="P382" s="564" t="s">
        <v>75</v>
      </c>
      <c r="Q382" s="565"/>
      <c r="R382" s="565"/>
      <c r="S382" s="565"/>
      <c r="T382" s="565"/>
      <c r="U382" s="565"/>
      <c r="V382" s="566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hidden="1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70"/>
      <c r="P383" s="564" t="s">
        <v>75</v>
      </c>
      <c r="Q383" s="565"/>
      <c r="R383" s="565"/>
      <c r="S383" s="565"/>
      <c r="T383" s="565"/>
      <c r="U383" s="565"/>
      <c r="V383" s="566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hidden="1" customHeight="1" x14ac:dyDescent="0.25">
      <c r="A384" s="567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2">
        <v>4607091384246</v>
      </c>
      <c r="E385" s="563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341</v>
      </c>
      <c r="Y385" s="554">
        <f>IFERROR(IF(X385="",0,CEILING((X385/$H385),1)*$H385),"")</f>
        <v>342</v>
      </c>
      <c r="Z385" s="36">
        <f>IFERROR(IF(Y385=0,"",ROUNDUP(Y385/H385,0)*0.01898),"")</f>
        <v>0.72123999999999999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359.71711111111108</v>
      </c>
      <c r="BN385" s="64">
        <f>IFERROR(Y385*I385/H385,"0")</f>
        <v>360.77199999999999</v>
      </c>
      <c r="BO385" s="64">
        <f>IFERROR(1/J385*(X385/H385),"0")</f>
        <v>0.59201388888888884</v>
      </c>
      <c r="BP385" s="64">
        <f>IFERROR(1/J385*(Y385/H385),"0")</f>
        <v>0.59375</v>
      </c>
    </row>
    <row r="386" spans="1:68" ht="27" hidden="1" customHeight="1" x14ac:dyDescent="0.25">
      <c r="A386" s="54" t="s">
        <v>609</v>
      </c>
      <c r="B386" s="54" t="s">
        <v>610</v>
      </c>
      <c r="C386" s="31">
        <v>4301051660</v>
      </c>
      <c r="D386" s="562">
        <v>4607091384253</v>
      </c>
      <c r="E386" s="563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188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609</v>
      </c>
      <c r="B387" s="54" t="s">
        <v>611</v>
      </c>
      <c r="C387" s="31">
        <v>4301052069</v>
      </c>
      <c r="D387" s="562">
        <v>4607091384253</v>
      </c>
      <c r="E387" s="563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69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70"/>
      <c r="P388" s="564" t="s">
        <v>75</v>
      </c>
      <c r="Q388" s="565"/>
      <c r="R388" s="565"/>
      <c r="S388" s="565"/>
      <c r="T388" s="565"/>
      <c r="U388" s="565"/>
      <c r="V388" s="566"/>
      <c r="W388" s="37" t="s">
        <v>76</v>
      </c>
      <c r="X388" s="555">
        <f>IFERROR(X385/H385,"0")+IFERROR(X386/H386,"0")+IFERROR(X387/H387,"0")</f>
        <v>37.888888888888886</v>
      </c>
      <c r="Y388" s="555">
        <f>IFERROR(Y385/H385,"0")+IFERROR(Y386/H386,"0")+IFERROR(Y387/H387,"0")</f>
        <v>38</v>
      </c>
      <c r="Z388" s="555">
        <f>IFERROR(IF(Z385="",0,Z385),"0")+IFERROR(IF(Z386="",0,Z386),"0")+IFERROR(IF(Z387="",0,Z387),"0")</f>
        <v>0.72123999999999999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70"/>
      <c r="P389" s="564" t="s">
        <v>75</v>
      </c>
      <c r="Q389" s="565"/>
      <c r="R389" s="565"/>
      <c r="S389" s="565"/>
      <c r="T389" s="565"/>
      <c r="U389" s="565"/>
      <c r="V389" s="566"/>
      <c r="W389" s="37" t="s">
        <v>69</v>
      </c>
      <c r="X389" s="555">
        <f>IFERROR(SUM(X385:X387),"0")</f>
        <v>341</v>
      </c>
      <c r="Y389" s="555">
        <f>IFERROR(SUM(Y385:Y387),"0")</f>
        <v>342</v>
      </c>
      <c r="Z389" s="37"/>
      <c r="AA389" s="556"/>
      <c r="AB389" s="556"/>
      <c r="AC389" s="556"/>
    </row>
    <row r="390" spans="1:68" ht="27.75" hidden="1" customHeight="1" x14ac:dyDescent="0.2">
      <c r="A390" s="560" t="s">
        <v>613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48"/>
      <c r="AB390" s="48"/>
      <c r="AC390" s="48"/>
    </row>
    <row r="391" spans="1:68" ht="16.5" hidden="1" customHeight="1" x14ac:dyDescent="0.25">
      <c r="A391" s="578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hidden="1" customHeight="1" x14ac:dyDescent="0.25">
      <c r="A392" s="567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hidden="1" customHeight="1" x14ac:dyDescent="0.25">
      <c r="A393" s="54" t="s">
        <v>615</v>
      </c>
      <c r="B393" s="54" t="s">
        <v>616</v>
      </c>
      <c r="C393" s="31">
        <v>4301031405</v>
      </c>
      <c r="D393" s="562">
        <v>4680115886100</v>
      </c>
      <c r="E393" s="563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 t="s">
        <v>112</v>
      </c>
      <c r="M393" s="33" t="s">
        <v>68</v>
      </c>
      <c r="N393" s="33"/>
      <c r="O393" s="32">
        <v>50</v>
      </c>
      <c r="P393" s="6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 t="s">
        <v>108</v>
      </c>
      <c r="AK393" s="68">
        <v>64.8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hidden="1" customHeight="1" x14ac:dyDescent="0.25">
      <c r="A394" s="54" t="s">
        <v>618</v>
      </c>
      <c r="B394" s="54" t="s">
        <v>619</v>
      </c>
      <c r="C394" s="31">
        <v>4301031406</v>
      </c>
      <c r="D394" s="562">
        <v>4680115886117</v>
      </c>
      <c r="E394" s="563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4301031402</v>
      </c>
      <c r="D395" s="562">
        <v>4680115886124</v>
      </c>
      <c r="E395" s="563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 t="s">
        <v>112</v>
      </c>
      <c r="M395" s="33" t="s">
        <v>68</v>
      </c>
      <c r="N395" s="33"/>
      <c r="O395" s="32">
        <v>50</v>
      </c>
      <c r="P395" s="5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 t="s">
        <v>108</v>
      </c>
      <c r="AK395" s="68">
        <v>64.8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4301031366</v>
      </c>
      <c r="D396" s="562">
        <v>4680115883147</v>
      </c>
      <c r="E396" s="563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626</v>
      </c>
      <c r="B397" s="54" t="s">
        <v>627</v>
      </c>
      <c r="C397" s="31">
        <v>4301031362</v>
      </c>
      <c r="D397" s="562">
        <v>4607091384338</v>
      </c>
      <c r="E397" s="563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hidden="1" customHeight="1" x14ac:dyDescent="0.25">
      <c r="A398" s="54" t="s">
        <v>628</v>
      </c>
      <c r="B398" s="54" t="s">
        <v>629</v>
      </c>
      <c r="C398" s="31">
        <v>4301031361</v>
      </c>
      <c r="D398" s="562">
        <v>4607091389524</v>
      </c>
      <c r="E398" s="563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631</v>
      </c>
      <c r="B399" s="54" t="s">
        <v>632</v>
      </c>
      <c r="C399" s="31">
        <v>4301031364</v>
      </c>
      <c r="D399" s="562">
        <v>4680115883161</v>
      </c>
      <c r="E399" s="563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hidden="1" customHeight="1" x14ac:dyDescent="0.25">
      <c r="A400" s="54" t="s">
        <v>634</v>
      </c>
      <c r="B400" s="54" t="s">
        <v>635</v>
      </c>
      <c r="C400" s="31">
        <v>4301031358</v>
      </c>
      <c r="D400" s="562">
        <v>4607091389531</v>
      </c>
      <c r="E400" s="563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 t="s">
        <v>296</v>
      </c>
      <c r="M400" s="33" t="s">
        <v>68</v>
      </c>
      <c r="N400" s="33"/>
      <c r="O400" s="32">
        <v>50</v>
      </c>
      <c r="P400" s="64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 t="s">
        <v>108</v>
      </c>
      <c r="AK400" s="68">
        <v>37.799999999999997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hidden="1" customHeight="1" x14ac:dyDescent="0.25">
      <c r="A401" s="54" t="s">
        <v>637</v>
      </c>
      <c r="B401" s="54" t="s">
        <v>638</v>
      </c>
      <c r="C401" s="31">
        <v>4301031360</v>
      </c>
      <c r="D401" s="562">
        <v>4607091384345</v>
      </c>
      <c r="E401" s="563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7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hidden="1" x14ac:dyDescent="0.2">
      <c r="A402" s="569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70"/>
      <c r="P402" s="564" t="s">
        <v>75</v>
      </c>
      <c r="Q402" s="565"/>
      <c r="R402" s="565"/>
      <c r="S402" s="565"/>
      <c r="T402" s="565"/>
      <c r="U402" s="565"/>
      <c r="V402" s="566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hidden="1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70"/>
      <c r="P403" s="564" t="s">
        <v>75</v>
      </c>
      <c r="Q403" s="565"/>
      <c r="R403" s="565"/>
      <c r="S403" s="565"/>
      <c r="T403" s="565"/>
      <c r="U403" s="565"/>
      <c r="V403" s="566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hidden="1" customHeight="1" x14ac:dyDescent="0.25">
      <c r="A404" s="567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hidden="1" customHeight="1" x14ac:dyDescent="0.25">
      <c r="A405" s="54" t="s">
        <v>639</v>
      </c>
      <c r="B405" s="54" t="s">
        <v>640</v>
      </c>
      <c r="C405" s="31">
        <v>4301051284</v>
      </c>
      <c r="D405" s="562">
        <v>4607091384352</v>
      </c>
      <c r="E405" s="563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642</v>
      </c>
      <c r="B406" s="54" t="s">
        <v>643</v>
      </c>
      <c r="C406" s="31">
        <v>4301051431</v>
      </c>
      <c r="D406" s="562">
        <v>4607091389654</v>
      </c>
      <c r="E406" s="563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7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9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70"/>
      <c r="P407" s="564" t="s">
        <v>75</v>
      </c>
      <c r="Q407" s="565"/>
      <c r="R407" s="565"/>
      <c r="S407" s="565"/>
      <c r="T407" s="565"/>
      <c r="U407" s="565"/>
      <c r="V407" s="566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hidden="1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70"/>
      <c r="P408" s="564" t="s">
        <v>75</v>
      </c>
      <c r="Q408" s="565"/>
      <c r="R408" s="565"/>
      <c r="S408" s="565"/>
      <c r="T408" s="565"/>
      <c r="U408" s="565"/>
      <c r="V408" s="566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hidden="1" customHeight="1" x14ac:dyDescent="0.25">
      <c r="A409" s="578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hidden="1" customHeight="1" x14ac:dyDescent="0.25">
      <c r="A410" s="567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hidden="1" customHeight="1" x14ac:dyDescent="0.25">
      <c r="A411" s="54" t="s">
        <v>646</v>
      </c>
      <c r="B411" s="54" t="s">
        <v>647</v>
      </c>
      <c r="C411" s="31">
        <v>4301020319</v>
      </c>
      <c r="D411" s="562">
        <v>4680115885240</v>
      </c>
      <c r="E411" s="563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1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9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70"/>
      <c r="P412" s="564" t="s">
        <v>75</v>
      </c>
      <c r="Q412" s="565"/>
      <c r="R412" s="565"/>
      <c r="S412" s="565"/>
      <c r="T412" s="565"/>
      <c r="U412" s="565"/>
      <c r="V412" s="566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hidden="1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70"/>
      <c r="P413" s="564" t="s">
        <v>75</v>
      </c>
      <c r="Q413" s="565"/>
      <c r="R413" s="565"/>
      <c r="S413" s="565"/>
      <c r="T413" s="565"/>
      <c r="U413" s="565"/>
      <c r="V413" s="566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hidden="1" customHeight="1" x14ac:dyDescent="0.25">
      <c r="A414" s="567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hidden="1" customHeight="1" x14ac:dyDescent="0.25">
      <c r="A415" s="54" t="s">
        <v>649</v>
      </c>
      <c r="B415" s="54" t="s">
        <v>650</v>
      </c>
      <c r="C415" s="31">
        <v>4301031403</v>
      </c>
      <c r="D415" s="562">
        <v>4680115886094</v>
      </c>
      <c r="E415" s="563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 t="s">
        <v>112</v>
      </c>
      <c r="M415" s="33" t="s">
        <v>106</v>
      </c>
      <c r="N415" s="33"/>
      <c r="O415" s="32">
        <v>50</v>
      </c>
      <c r="P415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 t="s">
        <v>108</v>
      </c>
      <c r="AK415" s="68">
        <v>64.8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652</v>
      </c>
      <c r="B416" s="54" t="s">
        <v>653</v>
      </c>
      <c r="C416" s="31">
        <v>4301031363</v>
      </c>
      <c r="D416" s="562">
        <v>4607091389425</v>
      </c>
      <c r="E416" s="563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1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4301031373</v>
      </c>
      <c r="D417" s="562">
        <v>4680115880771</v>
      </c>
      <c r="E417" s="563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5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4301031359</v>
      </c>
      <c r="D418" s="562">
        <v>4607091389500</v>
      </c>
      <c r="E418" s="563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569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70"/>
      <c r="P419" s="564" t="s">
        <v>75</v>
      </c>
      <c r="Q419" s="565"/>
      <c r="R419" s="565"/>
      <c r="S419" s="565"/>
      <c r="T419" s="565"/>
      <c r="U419" s="565"/>
      <c r="V419" s="566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hidden="1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70"/>
      <c r="P420" s="564" t="s">
        <v>75</v>
      </c>
      <c r="Q420" s="565"/>
      <c r="R420" s="565"/>
      <c r="S420" s="565"/>
      <c r="T420" s="565"/>
      <c r="U420" s="565"/>
      <c r="V420" s="566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hidden="1" customHeight="1" x14ac:dyDescent="0.25">
      <c r="A421" s="578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hidden="1" customHeight="1" x14ac:dyDescent="0.25">
      <c r="A422" s="567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hidden="1" customHeight="1" x14ac:dyDescent="0.25">
      <c r="A423" s="54" t="s">
        <v>661</v>
      </c>
      <c r="B423" s="54" t="s">
        <v>662</v>
      </c>
      <c r="C423" s="31">
        <v>4301031347</v>
      </c>
      <c r="D423" s="562">
        <v>4680115885110</v>
      </c>
      <c r="E423" s="563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6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569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70"/>
      <c r="P424" s="564" t="s">
        <v>75</v>
      </c>
      <c r="Q424" s="565"/>
      <c r="R424" s="565"/>
      <c r="S424" s="565"/>
      <c r="T424" s="565"/>
      <c r="U424" s="565"/>
      <c r="V424" s="566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hidden="1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70"/>
      <c r="P425" s="564" t="s">
        <v>75</v>
      </c>
      <c r="Q425" s="565"/>
      <c r="R425" s="565"/>
      <c r="S425" s="565"/>
      <c r="T425" s="565"/>
      <c r="U425" s="565"/>
      <c r="V425" s="566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hidden="1" customHeight="1" x14ac:dyDescent="0.2">
      <c r="A426" s="560" t="s">
        <v>664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48"/>
      <c r="AB426" s="48"/>
      <c r="AC426" s="48"/>
    </row>
    <row r="427" spans="1:68" ht="16.5" hidden="1" customHeight="1" x14ac:dyDescent="0.25">
      <c r="A427" s="578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hidden="1" customHeight="1" x14ac:dyDescent="0.25">
      <c r="A428" s="567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2">
        <v>4607091389067</v>
      </c>
      <c r="E429" s="563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124</v>
      </c>
      <c r="Y429" s="554">
        <f t="shared" ref="Y429:Y440" si="47">IFERROR(IF(X429="",0,CEILING((X429/$H429),1)*$H429),"")</f>
        <v>126.72</v>
      </c>
      <c r="Z429" s="36">
        <f t="shared" ref="Z429:Z435" si="48">IFERROR(IF(Y429=0,"",ROUNDUP(Y429/H429,0)*0.01196),"")</f>
        <v>0.28704000000000002</v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132.21969696969697</v>
      </c>
      <c r="BN429" s="64">
        <f t="shared" ref="BN429:BN440" si="50">IFERROR(Y429*I429/H429,"0")</f>
        <v>135.11999999999998</v>
      </c>
      <c r="BO429" s="64">
        <f t="shared" ref="BO429:BO440" si="51">IFERROR(1/J429*(X429/H429),"0")</f>
        <v>0.22581585081585082</v>
      </c>
      <c r="BP429" s="64">
        <f t="shared" ref="BP429:BP440" si="52">IFERROR(1/J429*(Y429/H429),"0")</f>
        <v>0.23076923076923078</v>
      </c>
    </row>
    <row r="430" spans="1:68" ht="27" hidden="1" customHeight="1" x14ac:dyDescent="0.25">
      <c r="A430" s="54" t="s">
        <v>667</v>
      </c>
      <c r="B430" s="54" t="s">
        <v>668</v>
      </c>
      <c r="C430" s="31">
        <v>4301012210</v>
      </c>
      <c r="D430" s="562">
        <v>4607091383522</v>
      </c>
      <c r="E430" s="563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5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667</v>
      </c>
      <c r="B431" s="54" t="s">
        <v>670</v>
      </c>
      <c r="C431" s="31">
        <v>4301012145</v>
      </c>
      <c r="D431" s="562">
        <v>4607091383522</v>
      </c>
      <c r="E431" s="563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2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671</v>
      </c>
      <c r="B432" s="54" t="s">
        <v>672</v>
      </c>
      <c r="C432" s="31">
        <v>4301011961</v>
      </c>
      <c r="D432" s="562">
        <v>4680115885271</v>
      </c>
      <c r="E432" s="563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2">
        <v>4680115885226</v>
      </c>
      <c r="E433" s="563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115</v>
      </c>
      <c r="Y433" s="554">
        <f t="shared" si="47"/>
        <v>116.16000000000001</v>
      </c>
      <c r="Z433" s="36">
        <f t="shared" si="48"/>
        <v>0.26312000000000002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122.62310606060605</v>
      </c>
      <c r="BN433" s="64">
        <f t="shared" si="50"/>
        <v>123.86</v>
      </c>
      <c r="BO433" s="64">
        <f t="shared" si="51"/>
        <v>0.20942599067599066</v>
      </c>
      <c r="BP433" s="64">
        <f t="shared" si="52"/>
        <v>0.21153846153846156</v>
      </c>
    </row>
    <row r="434" spans="1:68" ht="16.5" hidden="1" customHeight="1" x14ac:dyDescent="0.25">
      <c r="A434" s="54" t="s">
        <v>677</v>
      </c>
      <c r="B434" s="54" t="s">
        <v>678</v>
      </c>
      <c r="C434" s="31">
        <v>4301011774</v>
      </c>
      <c r="D434" s="562">
        <v>4680115884502</v>
      </c>
      <c r="E434" s="563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2">
        <v>4607091389104</v>
      </c>
      <c r="E435" s="563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363</v>
      </c>
      <c r="Y435" s="554">
        <f t="shared" si="47"/>
        <v>364.32</v>
      </c>
      <c r="Z435" s="36">
        <f t="shared" si="48"/>
        <v>0.82523999999999997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387.0625</v>
      </c>
      <c r="BN435" s="64">
        <f t="shared" si="50"/>
        <v>388.46999999999997</v>
      </c>
      <c r="BO435" s="64">
        <f t="shared" si="51"/>
        <v>0.66105769230769229</v>
      </c>
      <c r="BP435" s="64">
        <f t="shared" si="52"/>
        <v>0.66346153846153855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4301012125</v>
      </c>
      <c r="D436" s="562">
        <v>4680115886391</v>
      </c>
      <c r="E436" s="563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685</v>
      </c>
      <c r="B437" s="54" t="s">
        <v>686</v>
      </c>
      <c r="C437" s="31">
        <v>4301012035</v>
      </c>
      <c r="D437" s="562">
        <v>4680115880603</v>
      </c>
      <c r="E437" s="563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4301012036</v>
      </c>
      <c r="D438" s="562">
        <v>4680115882782</v>
      </c>
      <c r="E438" s="563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689</v>
      </c>
      <c r="B439" s="54" t="s">
        <v>690</v>
      </c>
      <c r="C439" s="31">
        <v>4301012050</v>
      </c>
      <c r="D439" s="562">
        <v>4680115885479</v>
      </c>
      <c r="E439" s="563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2">
        <v>4607091389982</v>
      </c>
      <c r="E440" s="563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 t="s">
        <v>112</v>
      </c>
      <c r="M440" s="33" t="s">
        <v>106</v>
      </c>
      <c r="N440" s="33"/>
      <c r="O440" s="32">
        <v>60</v>
      </c>
      <c r="P440" s="76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11</v>
      </c>
      <c r="Y440" s="554">
        <f t="shared" si="47"/>
        <v>14.399999999999999</v>
      </c>
      <c r="Z440" s="36">
        <f>IFERROR(IF(Y440=0,"",ROUNDUP(Y440/H440,0)*0.00902),"")</f>
        <v>2.7060000000000001E-2</v>
      </c>
      <c r="AA440" s="56"/>
      <c r="AB440" s="57"/>
      <c r="AC440" s="499" t="s">
        <v>682</v>
      </c>
      <c r="AG440" s="64"/>
      <c r="AJ440" s="68" t="s">
        <v>108</v>
      </c>
      <c r="AK440" s="68">
        <v>57.6</v>
      </c>
      <c r="BB440" s="500" t="s">
        <v>1</v>
      </c>
      <c r="BM440" s="64">
        <f t="shared" si="49"/>
        <v>15.835416666666669</v>
      </c>
      <c r="BN440" s="64">
        <f t="shared" si="50"/>
        <v>20.73</v>
      </c>
      <c r="BO440" s="64">
        <f t="shared" si="51"/>
        <v>1.7361111111111115E-2</v>
      </c>
      <c r="BP440" s="64">
        <f t="shared" si="52"/>
        <v>2.2727272727272728E-2</v>
      </c>
    </row>
    <row r="441" spans="1:68" x14ac:dyDescent="0.2">
      <c r="A441" s="569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70"/>
      <c r="P441" s="564" t="s">
        <v>75</v>
      </c>
      <c r="Q441" s="565"/>
      <c r="R441" s="565"/>
      <c r="S441" s="565"/>
      <c r="T441" s="565"/>
      <c r="U441" s="565"/>
      <c r="V441" s="566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116.30681818181819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118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1.40246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70"/>
      <c r="P442" s="564" t="s">
        <v>75</v>
      </c>
      <c r="Q442" s="565"/>
      <c r="R442" s="565"/>
      <c r="S442" s="565"/>
      <c r="T442" s="565"/>
      <c r="U442" s="565"/>
      <c r="V442" s="566"/>
      <c r="W442" s="37" t="s">
        <v>69</v>
      </c>
      <c r="X442" s="555">
        <f>IFERROR(SUM(X429:X440),"0")</f>
        <v>613</v>
      </c>
      <c r="Y442" s="555">
        <f>IFERROR(SUM(Y429:Y440),"0")</f>
        <v>621.6</v>
      </c>
      <c r="Z442" s="37"/>
      <c r="AA442" s="556"/>
      <c r="AB442" s="556"/>
      <c r="AC442" s="556"/>
    </row>
    <row r="443" spans="1:68" ht="14.25" hidden="1" customHeight="1" x14ac:dyDescent="0.25">
      <c r="A443" s="567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2">
        <v>4607091388930</v>
      </c>
      <c r="E444" s="563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177</v>
      </c>
      <c r="Y444" s="554">
        <f>IFERROR(IF(X444="",0,CEILING((X444/$H444),1)*$H444),"")</f>
        <v>179.52</v>
      </c>
      <c r="Z444" s="36">
        <f>IFERROR(IF(Y444=0,"",ROUNDUP(Y444/H444,0)*0.01196),"")</f>
        <v>0.40664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188.73295454545453</v>
      </c>
      <c r="BN444" s="64">
        <f>IFERROR(Y444*I444/H444,"0")</f>
        <v>191.42000000000002</v>
      </c>
      <c r="BO444" s="64">
        <f>IFERROR(1/J444*(X444/H444),"0")</f>
        <v>0.32233391608391609</v>
      </c>
      <c r="BP444" s="64">
        <f>IFERROR(1/J444*(Y444/H444),"0")</f>
        <v>0.32692307692307693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4301020384</v>
      </c>
      <c r="D445" s="562">
        <v>4680115886407</v>
      </c>
      <c r="E445" s="563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7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699</v>
      </c>
      <c r="B446" s="54" t="s">
        <v>700</v>
      </c>
      <c r="C446" s="31">
        <v>4301020385</v>
      </c>
      <c r="D446" s="562">
        <v>4680115880054</v>
      </c>
      <c r="E446" s="563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112</v>
      </c>
      <c r="M446" s="33" t="s">
        <v>106</v>
      </c>
      <c r="N446" s="33"/>
      <c r="O446" s="32">
        <v>70</v>
      </c>
      <c r="P446" s="7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69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70"/>
      <c r="P447" s="564" t="s">
        <v>75</v>
      </c>
      <c r="Q447" s="565"/>
      <c r="R447" s="565"/>
      <c r="S447" s="565"/>
      <c r="T447" s="565"/>
      <c r="U447" s="565"/>
      <c r="V447" s="566"/>
      <c r="W447" s="37" t="s">
        <v>76</v>
      </c>
      <c r="X447" s="555">
        <f>IFERROR(X444/H444,"0")+IFERROR(X445/H445,"0")+IFERROR(X446/H446,"0")</f>
        <v>33.522727272727273</v>
      </c>
      <c r="Y447" s="555">
        <f>IFERROR(Y444/H444,"0")+IFERROR(Y445/H445,"0")+IFERROR(Y446/H446,"0")</f>
        <v>34</v>
      </c>
      <c r="Z447" s="555">
        <f>IFERROR(IF(Z444="",0,Z444),"0")+IFERROR(IF(Z445="",0,Z445),"0")+IFERROR(IF(Z446="",0,Z446),"0")</f>
        <v>0.40664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70"/>
      <c r="P448" s="564" t="s">
        <v>75</v>
      </c>
      <c r="Q448" s="565"/>
      <c r="R448" s="565"/>
      <c r="S448" s="565"/>
      <c r="T448" s="565"/>
      <c r="U448" s="565"/>
      <c r="V448" s="566"/>
      <c r="W448" s="37" t="s">
        <v>69</v>
      </c>
      <c r="X448" s="555">
        <f>IFERROR(SUM(X444:X446),"0")</f>
        <v>177</v>
      </c>
      <c r="Y448" s="555">
        <f>IFERROR(SUM(Y444:Y446),"0")</f>
        <v>179.52</v>
      </c>
      <c r="Z448" s="37"/>
      <c r="AA448" s="556"/>
      <c r="AB448" s="556"/>
      <c r="AC448" s="556"/>
    </row>
    <row r="449" spans="1:68" ht="14.25" hidden="1" customHeight="1" x14ac:dyDescent="0.25">
      <c r="A449" s="567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2">
        <v>4680115883116</v>
      </c>
      <c r="E450" s="563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2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55</v>
      </c>
      <c r="Y450" s="554">
        <f t="shared" ref="Y450:Y455" si="53">IFERROR(IF(X450="",0,CEILING((X450/$H450),1)*$H450),"")</f>
        <v>58.080000000000005</v>
      </c>
      <c r="Z450" s="36">
        <f>IFERROR(IF(Y450=0,"",ROUNDUP(Y450/H450,0)*0.01196),"")</f>
        <v>0.13156000000000001</v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58.645833333333329</v>
      </c>
      <c r="BN450" s="64">
        <f t="shared" ref="BN450:BN455" si="55">IFERROR(Y450*I450/H450,"0")</f>
        <v>61.93</v>
      </c>
      <c r="BO450" s="64">
        <f t="shared" ref="BO450:BO455" si="56">IFERROR(1/J450*(X450/H450),"0")</f>
        <v>0.10016025641025642</v>
      </c>
      <c r="BP450" s="64">
        <f t="shared" ref="BP450:BP455" si="57">IFERROR(1/J450*(Y450/H450),"0")</f>
        <v>0.10576923076923078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2">
        <v>4680115883093</v>
      </c>
      <c r="E451" s="563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73</v>
      </c>
      <c r="Y451" s="554">
        <f t="shared" si="53"/>
        <v>73.92</v>
      </c>
      <c r="Z451" s="36">
        <f>IFERROR(IF(Y451=0,"",ROUNDUP(Y451/H451,0)*0.01196),"")</f>
        <v>0.16744000000000001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77.839015151515156</v>
      </c>
      <c r="BN451" s="64">
        <f t="shared" si="55"/>
        <v>78.819999999999993</v>
      </c>
      <c r="BO451" s="64">
        <f t="shared" si="56"/>
        <v>0.13293997668997667</v>
      </c>
      <c r="BP451" s="64">
        <f t="shared" si="57"/>
        <v>0.13461538461538464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2">
        <v>4680115883109</v>
      </c>
      <c r="E452" s="563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154</v>
      </c>
      <c r="Y452" s="554">
        <f t="shared" si="53"/>
        <v>158.4</v>
      </c>
      <c r="Z452" s="36">
        <f>IFERROR(IF(Y452=0,"",ROUNDUP(Y452/H452,0)*0.01196),"")</f>
        <v>0.35880000000000001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164.20833333333331</v>
      </c>
      <c r="BN452" s="64">
        <f t="shared" si="55"/>
        <v>168.9</v>
      </c>
      <c r="BO452" s="64">
        <f t="shared" si="56"/>
        <v>0.28044871794871795</v>
      </c>
      <c r="BP452" s="64">
        <f t="shared" si="57"/>
        <v>0.28846153846153849</v>
      </c>
    </row>
    <row r="453" spans="1:68" ht="27" hidden="1" customHeight="1" x14ac:dyDescent="0.25">
      <c r="A453" s="54" t="s">
        <v>710</v>
      </c>
      <c r="B453" s="54" t="s">
        <v>711</v>
      </c>
      <c r="C453" s="31">
        <v>4301031419</v>
      </c>
      <c r="D453" s="562">
        <v>4680115882072</v>
      </c>
      <c r="E453" s="563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3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712</v>
      </c>
      <c r="B454" s="54" t="s">
        <v>713</v>
      </c>
      <c r="C454" s="31">
        <v>4301031418</v>
      </c>
      <c r="D454" s="562">
        <v>4680115882102</v>
      </c>
      <c r="E454" s="563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hidden="1" customHeight="1" x14ac:dyDescent="0.25">
      <c r="A455" s="54" t="s">
        <v>714</v>
      </c>
      <c r="B455" s="54" t="s">
        <v>715</v>
      </c>
      <c r="C455" s="31">
        <v>4301031417</v>
      </c>
      <c r="D455" s="562">
        <v>4680115882096</v>
      </c>
      <c r="E455" s="563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69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70"/>
      <c r="P456" s="564" t="s">
        <v>75</v>
      </c>
      <c r="Q456" s="565"/>
      <c r="R456" s="565"/>
      <c r="S456" s="565"/>
      <c r="T456" s="565"/>
      <c r="U456" s="565"/>
      <c r="V456" s="566"/>
      <c r="W456" s="37" t="s">
        <v>76</v>
      </c>
      <c r="X456" s="555">
        <f>IFERROR(X450/H450,"0")+IFERROR(X451/H451,"0")+IFERROR(X452/H452,"0")+IFERROR(X453/H453,"0")+IFERROR(X454/H454,"0")+IFERROR(X455/H455,"0")</f>
        <v>53.409090909090907</v>
      </c>
      <c r="Y456" s="555">
        <f>IFERROR(Y450/H450,"0")+IFERROR(Y451/H451,"0")+IFERROR(Y452/H452,"0")+IFERROR(Y453/H453,"0")+IFERROR(Y454/H454,"0")+IFERROR(Y455/H455,"0")</f>
        <v>55</v>
      </c>
      <c r="Z456" s="555">
        <f>IFERROR(IF(Z450="",0,Z450),"0")+IFERROR(IF(Z451="",0,Z451),"0")+IFERROR(IF(Z452="",0,Z452),"0")+IFERROR(IF(Z453="",0,Z453),"0")+IFERROR(IF(Z454="",0,Z454),"0")+IFERROR(IF(Z455="",0,Z455),"0")</f>
        <v>0.65780000000000005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70"/>
      <c r="P457" s="564" t="s">
        <v>75</v>
      </c>
      <c r="Q457" s="565"/>
      <c r="R457" s="565"/>
      <c r="S457" s="565"/>
      <c r="T457" s="565"/>
      <c r="U457" s="565"/>
      <c r="V457" s="566"/>
      <c r="W457" s="37" t="s">
        <v>69</v>
      </c>
      <c r="X457" s="555">
        <f>IFERROR(SUM(X450:X455),"0")</f>
        <v>282</v>
      </c>
      <c r="Y457" s="555">
        <f>IFERROR(SUM(Y450:Y455),"0")</f>
        <v>290.39999999999998</v>
      </c>
      <c r="Z457" s="37"/>
      <c r="AA457" s="556"/>
      <c r="AB457" s="556"/>
      <c r="AC457" s="556"/>
    </row>
    <row r="458" spans="1:68" ht="14.25" hidden="1" customHeight="1" x14ac:dyDescent="0.25">
      <c r="A458" s="567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hidden="1" customHeight="1" x14ac:dyDescent="0.25">
      <c r="A459" s="54" t="s">
        <v>716</v>
      </c>
      <c r="B459" s="54" t="s">
        <v>717</v>
      </c>
      <c r="C459" s="31">
        <v>4301051064</v>
      </c>
      <c r="D459" s="562">
        <v>4680115883536</v>
      </c>
      <c r="E459" s="563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9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70"/>
      <c r="P460" s="564" t="s">
        <v>75</v>
      </c>
      <c r="Q460" s="565"/>
      <c r="R460" s="565"/>
      <c r="S460" s="565"/>
      <c r="T460" s="565"/>
      <c r="U460" s="565"/>
      <c r="V460" s="566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hidden="1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70"/>
      <c r="P461" s="564" t="s">
        <v>75</v>
      </c>
      <c r="Q461" s="565"/>
      <c r="R461" s="565"/>
      <c r="S461" s="565"/>
      <c r="T461" s="565"/>
      <c r="U461" s="565"/>
      <c r="V461" s="566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hidden="1" customHeight="1" x14ac:dyDescent="0.2">
      <c r="A462" s="560" t="s">
        <v>719</v>
      </c>
      <c r="B462" s="561"/>
      <c r="C462" s="561"/>
      <c r="D462" s="561"/>
      <c r="E462" s="561"/>
      <c r="F462" s="561"/>
      <c r="G462" s="561"/>
      <c r="H462" s="561"/>
      <c r="I462" s="561"/>
      <c r="J462" s="561"/>
      <c r="K462" s="561"/>
      <c r="L462" s="561"/>
      <c r="M462" s="561"/>
      <c r="N462" s="561"/>
      <c r="O462" s="561"/>
      <c r="P462" s="561"/>
      <c r="Q462" s="561"/>
      <c r="R462" s="561"/>
      <c r="S462" s="561"/>
      <c r="T462" s="561"/>
      <c r="U462" s="561"/>
      <c r="V462" s="561"/>
      <c r="W462" s="561"/>
      <c r="X462" s="561"/>
      <c r="Y462" s="561"/>
      <c r="Z462" s="561"/>
      <c r="AA462" s="48"/>
      <c r="AB462" s="48"/>
      <c r="AC462" s="48"/>
    </row>
    <row r="463" spans="1:68" ht="16.5" hidden="1" customHeight="1" x14ac:dyDescent="0.25">
      <c r="A463" s="578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hidden="1" customHeight="1" x14ac:dyDescent="0.25">
      <c r="A464" s="567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hidden="1" customHeight="1" x14ac:dyDescent="0.25">
      <c r="A465" s="54" t="s">
        <v>720</v>
      </c>
      <c r="B465" s="54" t="s">
        <v>721</v>
      </c>
      <c r="C465" s="31">
        <v>4301011763</v>
      </c>
      <c r="D465" s="562">
        <v>4640242181011</v>
      </c>
      <c r="E465" s="563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723</v>
      </c>
      <c r="B466" s="54" t="s">
        <v>724</v>
      </c>
      <c r="C466" s="31">
        <v>4301011585</v>
      </c>
      <c r="D466" s="562">
        <v>4640242180441</v>
      </c>
      <c r="E466" s="563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4301011584</v>
      </c>
      <c r="D467" s="562">
        <v>4640242180564</v>
      </c>
      <c r="E467" s="563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 t="s">
        <v>105</v>
      </c>
      <c r="M467" s="33" t="s">
        <v>106</v>
      </c>
      <c r="N467" s="33"/>
      <c r="O467" s="32">
        <v>50</v>
      </c>
      <c r="P467" s="71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 t="s">
        <v>108</v>
      </c>
      <c r="AK467" s="68">
        <v>96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4301011764</v>
      </c>
      <c r="D468" s="562">
        <v>4640242181189</v>
      </c>
      <c r="E468" s="563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9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70"/>
      <c r="P469" s="564" t="s">
        <v>75</v>
      </c>
      <c r="Q469" s="565"/>
      <c r="R469" s="565"/>
      <c r="S469" s="565"/>
      <c r="T469" s="565"/>
      <c r="U469" s="565"/>
      <c r="V469" s="566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hidden="1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70"/>
      <c r="P470" s="564" t="s">
        <v>75</v>
      </c>
      <c r="Q470" s="565"/>
      <c r="R470" s="565"/>
      <c r="S470" s="565"/>
      <c r="T470" s="565"/>
      <c r="U470" s="565"/>
      <c r="V470" s="566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hidden="1" customHeight="1" x14ac:dyDescent="0.25">
      <c r="A471" s="567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hidden="1" customHeight="1" x14ac:dyDescent="0.25">
      <c r="A472" s="54" t="s">
        <v>731</v>
      </c>
      <c r="B472" s="54" t="s">
        <v>732</v>
      </c>
      <c r="C472" s="31">
        <v>4301020400</v>
      </c>
      <c r="D472" s="562">
        <v>4640242180519</v>
      </c>
      <c r="E472" s="563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734</v>
      </c>
      <c r="B473" s="54" t="s">
        <v>735</v>
      </c>
      <c r="C473" s="31">
        <v>4301020260</v>
      </c>
      <c r="D473" s="562">
        <v>4640242180526</v>
      </c>
      <c r="E473" s="563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55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9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70"/>
      <c r="P474" s="564" t="s">
        <v>75</v>
      </c>
      <c r="Q474" s="565"/>
      <c r="R474" s="565"/>
      <c r="S474" s="565"/>
      <c r="T474" s="565"/>
      <c r="U474" s="565"/>
      <c r="V474" s="566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hidden="1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70"/>
      <c r="P475" s="564" t="s">
        <v>75</v>
      </c>
      <c r="Q475" s="565"/>
      <c r="R475" s="565"/>
      <c r="S475" s="565"/>
      <c r="T475" s="565"/>
      <c r="U475" s="565"/>
      <c r="V475" s="566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hidden="1" customHeight="1" x14ac:dyDescent="0.25">
      <c r="A476" s="567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hidden="1" customHeight="1" x14ac:dyDescent="0.25">
      <c r="A477" s="54" t="s">
        <v>737</v>
      </c>
      <c r="B477" s="54" t="s">
        <v>738</v>
      </c>
      <c r="C477" s="31">
        <v>4301031244</v>
      </c>
      <c r="D477" s="562">
        <v>4640242180595</v>
      </c>
      <c r="E477" s="563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 t="s">
        <v>112</v>
      </c>
      <c r="M477" s="33" t="s">
        <v>68</v>
      </c>
      <c r="N477" s="33"/>
      <c r="O477" s="32">
        <v>40</v>
      </c>
      <c r="P477" s="76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 t="s">
        <v>108</v>
      </c>
      <c r="AK477" s="68">
        <v>50.4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737</v>
      </c>
      <c r="B478" s="54" t="s">
        <v>740</v>
      </c>
      <c r="C478" s="31">
        <v>4301031467</v>
      </c>
      <c r="D478" s="562">
        <v>4640242180595</v>
      </c>
      <c r="E478" s="563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1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9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70"/>
      <c r="P479" s="564" t="s">
        <v>75</v>
      </c>
      <c r="Q479" s="565"/>
      <c r="R479" s="565"/>
      <c r="S479" s="565"/>
      <c r="T479" s="565"/>
      <c r="U479" s="565"/>
      <c r="V479" s="566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hidden="1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70"/>
      <c r="P480" s="564" t="s">
        <v>75</v>
      </c>
      <c r="Q480" s="565"/>
      <c r="R480" s="565"/>
      <c r="S480" s="565"/>
      <c r="T480" s="565"/>
      <c r="U480" s="565"/>
      <c r="V480" s="566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hidden="1" customHeight="1" x14ac:dyDescent="0.25">
      <c r="A481" s="567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2">
        <v>4640242180533</v>
      </c>
      <c r="E482" s="563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3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77</v>
      </c>
      <c r="Y482" s="554">
        <f>IFERROR(IF(X482="",0,CEILING((X482/$H482),1)*$H482),"")</f>
        <v>81</v>
      </c>
      <c r="Z482" s="36">
        <f>IFERROR(IF(Y482=0,"",ROUNDUP(Y482/H482,0)*0.01898),"")</f>
        <v>0.17082</v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81.226444444444439</v>
      </c>
      <c r="BN482" s="64">
        <f>IFERROR(Y482*I482/H482,"0")</f>
        <v>85.445999999999998</v>
      </c>
      <c r="BO482" s="64">
        <f>IFERROR(1/J482*(X482/H482),"0")</f>
        <v>0.13368055555555555</v>
      </c>
      <c r="BP482" s="64">
        <f>IFERROR(1/J482*(Y482/H482),"0")</f>
        <v>0.140625</v>
      </c>
    </row>
    <row r="483" spans="1:68" x14ac:dyDescent="0.2">
      <c r="A483" s="569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70"/>
      <c r="P483" s="564" t="s">
        <v>75</v>
      </c>
      <c r="Q483" s="565"/>
      <c r="R483" s="565"/>
      <c r="S483" s="565"/>
      <c r="T483" s="565"/>
      <c r="U483" s="565"/>
      <c r="V483" s="566"/>
      <c r="W483" s="37" t="s">
        <v>76</v>
      </c>
      <c r="X483" s="555">
        <f>IFERROR(X482/H482,"0")</f>
        <v>8.5555555555555554</v>
      </c>
      <c r="Y483" s="555">
        <f>IFERROR(Y482/H482,"0")</f>
        <v>9</v>
      </c>
      <c r="Z483" s="555">
        <f>IFERROR(IF(Z482="",0,Z482),"0")</f>
        <v>0.17082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70"/>
      <c r="P484" s="564" t="s">
        <v>75</v>
      </c>
      <c r="Q484" s="565"/>
      <c r="R484" s="565"/>
      <c r="S484" s="565"/>
      <c r="T484" s="565"/>
      <c r="U484" s="565"/>
      <c r="V484" s="566"/>
      <c r="W484" s="37" t="s">
        <v>69</v>
      </c>
      <c r="X484" s="555">
        <f>IFERROR(SUM(X482:X482),"0")</f>
        <v>77</v>
      </c>
      <c r="Y484" s="555">
        <f>IFERROR(SUM(Y482:Y482),"0")</f>
        <v>81</v>
      </c>
      <c r="Z484" s="37"/>
      <c r="AA484" s="556"/>
      <c r="AB484" s="556"/>
      <c r="AC484" s="556"/>
    </row>
    <row r="485" spans="1:68" ht="14.25" hidden="1" customHeight="1" x14ac:dyDescent="0.25">
      <c r="A485" s="567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hidden="1" customHeight="1" x14ac:dyDescent="0.25">
      <c r="A486" s="54" t="s">
        <v>745</v>
      </c>
      <c r="B486" s="54" t="s">
        <v>746</v>
      </c>
      <c r="C486" s="31">
        <v>4301060491</v>
      </c>
      <c r="D486" s="562">
        <v>4640242180120</v>
      </c>
      <c r="E486" s="563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4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4301060493</v>
      </c>
      <c r="D487" s="562">
        <v>4640242180137</v>
      </c>
      <c r="E487" s="563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69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70"/>
      <c r="P488" s="564" t="s">
        <v>75</v>
      </c>
      <c r="Q488" s="565"/>
      <c r="R488" s="565"/>
      <c r="S488" s="565"/>
      <c r="T488" s="565"/>
      <c r="U488" s="565"/>
      <c r="V488" s="566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hidden="1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70"/>
      <c r="P489" s="564" t="s">
        <v>75</v>
      </c>
      <c r="Q489" s="565"/>
      <c r="R489" s="565"/>
      <c r="S489" s="565"/>
      <c r="T489" s="565"/>
      <c r="U489" s="565"/>
      <c r="V489" s="566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hidden="1" customHeight="1" x14ac:dyDescent="0.25">
      <c r="A490" s="578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hidden="1" customHeight="1" x14ac:dyDescent="0.25">
      <c r="A491" s="567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hidden="1" customHeight="1" x14ac:dyDescent="0.25">
      <c r="A492" s="54" t="s">
        <v>752</v>
      </c>
      <c r="B492" s="54" t="s">
        <v>753</v>
      </c>
      <c r="C492" s="31">
        <v>4301020314</v>
      </c>
      <c r="D492" s="562">
        <v>4640242180090</v>
      </c>
      <c r="E492" s="563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8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569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70"/>
      <c r="P493" s="564" t="s">
        <v>75</v>
      </c>
      <c r="Q493" s="565"/>
      <c r="R493" s="565"/>
      <c r="S493" s="565"/>
      <c r="T493" s="565"/>
      <c r="U493" s="565"/>
      <c r="V493" s="566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hidden="1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70"/>
      <c r="P494" s="564" t="s">
        <v>75</v>
      </c>
      <c r="Q494" s="565"/>
      <c r="R494" s="565"/>
      <c r="S494" s="565"/>
      <c r="T494" s="565"/>
      <c r="U494" s="565"/>
      <c r="V494" s="566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4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47"/>
      <c r="P495" s="645" t="s">
        <v>755</v>
      </c>
      <c r="Q495" s="646"/>
      <c r="R495" s="646"/>
      <c r="S495" s="646"/>
      <c r="T495" s="646"/>
      <c r="U495" s="646"/>
      <c r="V495" s="647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7160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7337.1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47"/>
      <c r="P496" s="645" t="s">
        <v>756</v>
      </c>
      <c r="Q496" s="646"/>
      <c r="R496" s="646"/>
      <c r="S496" s="646"/>
      <c r="T496" s="646"/>
      <c r="U496" s="646"/>
      <c r="V496" s="647"/>
      <c r="W496" s="37" t="s">
        <v>69</v>
      </c>
      <c r="X496" s="555">
        <f>IFERROR(SUM(BM22:BM492),"0")</f>
        <v>7486.1400312182113</v>
      </c>
      <c r="Y496" s="555">
        <f>IFERROR(SUM(BN22:BN492),"0")</f>
        <v>7673.9439999999986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47"/>
      <c r="P497" s="645" t="s">
        <v>757</v>
      </c>
      <c r="Q497" s="646"/>
      <c r="R497" s="646"/>
      <c r="S497" s="646"/>
      <c r="T497" s="646"/>
      <c r="U497" s="646"/>
      <c r="V497" s="647"/>
      <c r="W497" s="37" t="s">
        <v>758</v>
      </c>
      <c r="X497" s="38">
        <f>ROUNDUP(SUM(BO22:BO492),0)</f>
        <v>12</v>
      </c>
      <c r="Y497" s="38">
        <f>ROUNDUP(SUM(BP22:BP492),0)</f>
        <v>12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47"/>
      <c r="P498" s="645" t="s">
        <v>759</v>
      </c>
      <c r="Q498" s="646"/>
      <c r="R498" s="646"/>
      <c r="S498" s="646"/>
      <c r="T498" s="646"/>
      <c r="U498" s="646"/>
      <c r="V498" s="647"/>
      <c r="W498" s="37" t="s">
        <v>69</v>
      </c>
      <c r="X498" s="555">
        <f>GrossWeightTotal+PalletQtyTotal*25</f>
        <v>7786.1400312182113</v>
      </c>
      <c r="Y498" s="555">
        <f>GrossWeightTotalR+PalletQtyTotalR*25</f>
        <v>7973.9439999999986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47"/>
      <c r="P499" s="645" t="s">
        <v>760</v>
      </c>
      <c r="Q499" s="646"/>
      <c r="R499" s="646"/>
      <c r="S499" s="646"/>
      <c r="T499" s="646"/>
      <c r="U499" s="646"/>
      <c r="V499" s="647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978.97604523244991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1010</v>
      </c>
      <c r="Z499" s="37"/>
      <c r="AA499" s="556"/>
      <c r="AB499" s="556"/>
      <c r="AC499" s="556"/>
    </row>
    <row r="500" spans="1:32" ht="14.25" hidden="1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47"/>
      <c r="P500" s="645" t="s">
        <v>761</v>
      </c>
      <c r="Q500" s="646"/>
      <c r="R500" s="646"/>
      <c r="S500" s="646"/>
      <c r="T500" s="646"/>
      <c r="U500" s="646"/>
      <c r="V500" s="647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13.300420000000001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5" t="s">
        <v>99</v>
      </c>
      <c r="D502" s="639"/>
      <c r="E502" s="639"/>
      <c r="F502" s="639"/>
      <c r="G502" s="639"/>
      <c r="H502" s="640"/>
      <c r="I502" s="595" t="s">
        <v>268</v>
      </c>
      <c r="J502" s="639"/>
      <c r="K502" s="639"/>
      <c r="L502" s="639"/>
      <c r="M502" s="639"/>
      <c r="N502" s="639"/>
      <c r="O502" s="639"/>
      <c r="P502" s="639"/>
      <c r="Q502" s="639"/>
      <c r="R502" s="640"/>
      <c r="S502" s="595" t="s">
        <v>559</v>
      </c>
      <c r="T502" s="640"/>
      <c r="U502" s="595" t="s">
        <v>613</v>
      </c>
      <c r="V502" s="639"/>
      <c r="W502" s="640"/>
      <c r="X502" s="550" t="s">
        <v>664</v>
      </c>
      <c r="Y502" s="595" t="s">
        <v>719</v>
      </c>
      <c r="Z502" s="640"/>
      <c r="AB502" s="52"/>
      <c r="AC502" s="52"/>
      <c r="AF502" s="551"/>
    </row>
    <row r="503" spans="1:32" ht="14.25" customHeight="1" thickTop="1" x14ac:dyDescent="0.2">
      <c r="A503" s="600" t="s">
        <v>764</v>
      </c>
      <c r="B503" s="595" t="s">
        <v>63</v>
      </c>
      <c r="C503" s="595" t="s">
        <v>100</v>
      </c>
      <c r="D503" s="595" t="s">
        <v>118</v>
      </c>
      <c r="E503" s="595" t="s">
        <v>169</v>
      </c>
      <c r="F503" s="595" t="s">
        <v>192</v>
      </c>
      <c r="G503" s="595" t="s">
        <v>229</v>
      </c>
      <c r="H503" s="595" t="s">
        <v>99</v>
      </c>
      <c r="I503" s="595" t="s">
        <v>269</v>
      </c>
      <c r="J503" s="595" t="s">
        <v>327</v>
      </c>
      <c r="K503" s="595" t="s">
        <v>387</v>
      </c>
      <c r="L503" s="595" t="s">
        <v>428</v>
      </c>
      <c r="M503" s="595" t="s">
        <v>444</v>
      </c>
      <c r="N503" s="551"/>
      <c r="O503" s="595" t="s">
        <v>455</v>
      </c>
      <c r="P503" s="595" t="s">
        <v>464</v>
      </c>
      <c r="Q503" s="595" t="s">
        <v>477</v>
      </c>
      <c r="R503" s="595" t="s">
        <v>549</v>
      </c>
      <c r="S503" s="595" t="s">
        <v>560</v>
      </c>
      <c r="T503" s="595" t="s">
        <v>595</v>
      </c>
      <c r="U503" s="595" t="s">
        <v>614</v>
      </c>
      <c r="V503" s="595" t="s">
        <v>645</v>
      </c>
      <c r="W503" s="595" t="s">
        <v>660</v>
      </c>
      <c r="X503" s="595" t="s">
        <v>664</v>
      </c>
      <c r="Y503" s="595" t="s">
        <v>719</v>
      </c>
      <c r="Z503" s="595" t="s">
        <v>751</v>
      </c>
      <c r="AB503" s="52"/>
      <c r="AC503" s="52"/>
      <c r="AF503" s="551"/>
    </row>
    <row r="504" spans="1:32" ht="13.5" customHeight="1" thickBot="1" x14ac:dyDescent="0.25">
      <c r="A504" s="601"/>
      <c r="B504" s="596"/>
      <c r="C504" s="596"/>
      <c r="D504" s="596"/>
      <c r="E504" s="596"/>
      <c r="F504" s="596"/>
      <c r="G504" s="596"/>
      <c r="H504" s="596"/>
      <c r="I504" s="596"/>
      <c r="J504" s="596"/>
      <c r="K504" s="596"/>
      <c r="L504" s="596"/>
      <c r="M504" s="596"/>
      <c r="N504" s="551"/>
      <c r="O504" s="596"/>
      <c r="P504" s="596"/>
      <c r="Q504" s="596"/>
      <c r="R504" s="596"/>
      <c r="S504" s="596"/>
      <c r="T504" s="596"/>
      <c r="U504" s="596"/>
      <c r="V504" s="596"/>
      <c r="W504" s="596"/>
      <c r="X504" s="596"/>
      <c r="Y504" s="596"/>
      <c r="Z504" s="596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149.90000000000003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93.800000000000011</v>
      </c>
      <c r="E505" s="46">
        <f>IFERROR(Y85*1,"0")+IFERROR(Y86*1,"0")+IFERROR(Y87*1,"0")+IFERROR(Y88*1,"0")+IFERROR(Y92*1,"0")+IFERROR(Y93*1,"0")+IFERROR(Y94*1,"0")+IFERROR(Y95*1,"0")</f>
        <v>244.79999999999998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252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192.42000000000004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932.40000000000009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32.56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7.1999999999999993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143.5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3774</v>
      </c>
      <c r="T505" s="46">
        <f>IFERROR(Y375*1,"0")+IFERROR(Y376*1,"0")+IFERROR(Y380*1,"0")+IFERROR(Y381*1,"0")+IFERROR(Y385*1,"0")+IFERROR(Y386*1,"0")+IFERROR(Y387*1,"0")</f>
        <v>342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1091.52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81</v>
      </c>
      <c r="Z505" s="46">
        <f>IFERROR(Y492*1,"0")</f>
        <v>0</v>
      </c>
      <c r="AB505" s="52"/>
      <c r="AC505" s="52"/>
      <c r="AF505" s="551"/>
    </row>
  </sheetData>
  <sheetProtection sheet="1" objects="1" scenarios="1" sort="0" autoFilter="0" pivotTables="0"/>
  <autoFilter ref="A18:AF50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37"/>
        <filter val="1 165,00"/>
        <filter val="1,00"/>
        <filter val="1,59"/>
        <filter val="1,61"/>
        <filter val="1,67"/>
        <filter val="1,90"/>
        <filter val="10,00"/>
        <filter val="10,11"/>
        <filter val="105,00"/>
        <filter val="11,00"/>
        <filter val="11,83"/>
        <filter val="111,00"/>
        <filter val="115,00"/>
        <filter val="116,31"/>
        <filter val="119,00"/>
        <filter val="12"/>
        <filter val="12,00"/>
        <filter val="124,00"/>
        <filter val="13,00"/>
        <filter val="13,13"/>
        <filter val="14,00"/>
        <filter val="140,00"/>
        <filter val="145,00"/>
        <filter val="154,00"/>
        <filter val="16,79"/>
        <filter val="161,00"/>
        <filter val="17,00"/>
        <filter val="175,00"/>
        <filter val="177,00"/>
        <filter val="18,00"/>
        <filter val="18,15"/>
        <filter val="183,33"/>
        <filter val="2 750,00"/>
        <filter val="2,00"/>
        <filter val="2,78"/>
        <filter val="2,92"/>
        <filter val="20,00"/>
        <filter val="22,00"/>
        <filter val="23,72"/>
        <filter val="230,00"/>
        <filter val="25,00"/>
        <filter val="254,00"/>
        <filter val="27,89"/>
        <filter val="28,00"/>
        <filter val="282,00"/>
        <filter val="293,00"/>
        <filter val="3,00"/>
        <filter val="3,97"/>
        <filter val="30,00"/>
        <filter val="33,52"/>
        <filter val="34,00"/>
        <filter val="341,00"/>
        <filter val="35,00"/>
        <filter val="363,00"/>
        <filter val="37,89"/>
        <filter val="4,00"/>
        <filter val="4,14"/>
        <filter val="4,36"/>
        <filter val="4,89"/>
        <filter val="402,00"/>
        <filter val="42,00"/>
        <filter val="44,00"/>
        <filter val="45,00"/>
        <filter val="483,00"/>
        <filter val="5,00"/>
        <filter val="53,00"/>
        <filter val="53,41"/>
        <filter val="55,00"/>
        <filter val="56,00"/>
        <filter val="56,07"/>
        <filter val="58,00"/>
        <filter val="6,00"/>
        <filter val="613,00"/>
        <filter val="661,00"/>
        <filter val="68,00"/>
        <filter val="69,13"/>
        <filter val="7 160,00"/>
        <filter val="7 486,14"/>
        <filter val="7 786,14"/>
        <filter val="7,00"/>
        <filter val="7,22"/>
        <filter val="700,00"/>
        <filter val="73,00"/>
        <filter val="76,00"/>
        <filter val="77,00"/>
        <filter val="78,00"/>
        <filter val="8,33"/>
        <filter val="8,56"/>
        <filter val="82,00"/>
        <filter val="84,00"/>
        <filter val="841,00"/>
        <filter val="89,00"/>
        <filter val="9,58"/>
        <filter val="91,00"/>
        <filter val="93,00"/>
        <filter val="95,83"/>
        <filter val="978,98"/>
        <filter val="99,00"/>
      </filters>
    </filterColumn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P85:T85"/>
    <mergeCell ref="A202:O203"/>
    <mergeCell ref="D239:E239"/>
    <mergeCell ref="D266:E266"/>
    <mergeCell ref="P174:T174"/>
    <mergeCell ref="P149:T149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P197:V197"/>
    <mergeCell ref="A249:Z249"/>
    <mergeCell ref="D23:E23"/>
    <mergeCell ref="P354:T354"/>
    <mergeCell ref="A64:O65"/>
    <mergeCell ref="P111:T111"/>
    <mergeCell ref="A227:Z227"/>
    <mergeCell ref="D200:E200"/>
    <mergeCell ref="D29:E29"/>
    <mergeCell ref="P58:V58"/>
    <mergeCell ref="A325:O326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102:E102"/>
    <mergeCell ref="P81:V81"/>
    <mergeCell ref="D54:E54"/>
    <mergeCell ref="P102:T102"/>
    <mergeCell ref="P456:V456"/>
    <mergeCell ref="P196:T196"/>
    <mergeCell ref="D177:E177"/>
    <mergeCell ref="D95:E95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A204:Z204"/>
    <mergeCell ref="D196:E196"/>
    <mergeCell ref="A424:O425"/>
    <mergeCell ref="P419:V419"/>
    <mergeCell ref="P145:V145"/>
    <mergeCell ref="D133:E133"/>
    <mergeCell ref="A262:Z262"/>
    <mergeCell ref="P283:V283"/>
    <mergeCell ref="P494:V494"/>
    <mergeCell ref="P430:T430"/>
    <mergeCell ref="A297:Z297"/>
    <mergeCell ref="P417:T417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A495:O500"/>
    <mergeCell ref="P178:T178"/>
    <mergeCell ref="D257:E257"/>
    <mergeCell ref="D86:E86"/>
    <mergeCell ref="P192:V192"/>
    <mergeCell ref="D151:E151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495:V495"/>
    <mergeCell ref="A347:Z347"/>
    <mergeCell ref="A314:Z314"/>
    <mergeCell ref="P289:V289"/>
    <mergeCell ref="A114:Z114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P483:V483"/>
    <mergeCell ref="D298:E298"/>
    <mergeCell ref="D273:E273"/>
    <mergeCell ref="P252:V252"/>
    <mergeCell ref="P105:V105"/>
    <mergeCell ref="A464:Z464"/>
    <mergeCell ref="A160:Z160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A404:Z404"/>
    <mergeCell ref="D152:E152"/>
    <mergeCell ref="D394:E394"/>
    <mergeCell ref="D450:E450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P15:T16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157:E157"/>
    <mergeCell ref="P65:V65"/>
    <mergeCell ref="A126:Z126"/>
    <mergeCell ref="A253:Z253"/>
    <mergeCell ref="D137:E137"/>
    <mergeCell ref="P124:V124"/>
    <mergeCell ref="D74:E74"/>
    <mergeCell ref="A26:Z26"/>
    <mergeCell ref="P59:V59"/>
    <mergeCell ref="A276:O277"/>
    <mergeCell ref="D267:E267"/>
    <mergeCell ref="D223:E223"/>
    <mergeCell ref="A107:Z107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71:Z71"/>
    <mergeCell ref="P488:V488"/>
    <mergeCell ref="A456:O457"/>
    <mergeCell ref="D453:E453"/>
    <mergeCell ref="D466:E466"/>
    <mergeCell ref="A483:O484"/>
    <mergeCell ref="D486:E486"/>
    <mergeCell ref="D376:E376"/>
    <mergeCell ref="D205:E205"/>
    <mergeCell ref="A158:O159"/>
    <mergeCell ref="D482:E482"/>
    <mergeCell ref="P388:V388"/>
    <mergeCell ref="A384:Z384"/>
    <mergeCell ref="A449:Z449"/>
    <mergeCell ref="P234:T234"/>
    <mergeCell ref="P325:V325"/>
    <mergeCell ref="P79:T79"/>
    <mergeCell ref="D473:E473"/>
    <mergeCell ref="D116:E116"/>
    <mergeCell ref="D352:E352"/>
    <mergeCell ref="P219:T219"/>
    <mergeCell ref="D328:E328"/>
    <mergeCell ref="D436:E436"/>
    <mergeCell ref="A340:Z340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P181:V181"/>
    <mergeCell ref="P86:T86"/>
    <mergeCell ref="P328:T328"/>
    <mergeCell ref="P157:T157"/>
    <mergeCell ref="P455:T455"/>
    <mergeCell ref="P172:T172"/>
    <mergeCell ref="P150:T150"/>
    <mergeCell ref="P221:T221"/>
    <mergeCell ref="P452:T452"/>
    <mergeCell ref="P448:V448"/>
    <mergeCell ref="P209:T209"/>
    <mergeCell ref="P445:T445"/>
    <mergeCell ref="P96:V96"/>
    <mergeCell ref="P90:V90"/>
    <mergeCell ref="P332:V332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88:T88"/>
    <mergeCell ref="P401:T401"/>
    <mergeCell ref="A469:O470"/>
    <mergeCell ref="D211:E211"/>
    <mergeCell ref="P168:T168"/>
    <mergeCell ref="P130:V130"/>
    <mergeCell ref="P466:T466"/>
    <mergeCell ref="P439:T439"/>
    <mergeCell ref="P433:T43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3 X52:X53 X55 X57 X61 X72 X79 X85 X88 X92 X94:X95 X100 X102:X103 X108 X111 X115 X117 X127:X128 X133 X169 X171 X173 X176 X178 X201 X205:X210 X212 X216:X219 X221:X224 X228:X229 X234 X263 X281:X282 X307 X310 X315 X322:X324 X330:X331 X335:X337 X342:X344 X350:X352 X360 X366 X375 X380 X385:X386 X393 X395 X400 X415 X429 X432:X433 X435 X440 X444 X446 X450:X452 X467 X477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2025-12-26T12:17:41Z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