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821441A-A86B-4709-AF7E-35F55BC58A8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U505" i="1" s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N288" i="1"/>
  <c r="BM288" i="1"/>
  <c r="Z288" i="1"/>
  <c r="Y288" i="1"/>
  <c r="BP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BP229" i="1" s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Y164" i="1" s="1"/>
  <c r="P163" i="1"/>
  <c r="X159" i="1"/>
  <c r="X158" i="1"/>
  <c r="BO157" i="1"/>
  <c r="BM157" i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N57" i="1"/>
  <c r="BM57" i="1"/>
  <c r="Z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73" i="1" l="1"/>
  <c r="BN73" i="1"/>
  <c r="Z73" i="1"/>
  <c r="BP103" i="1"/>
  <c r="BN103" i="1"/>
  <c r="Z103" i="1"/>
  <c r="BP149" i="1"/>
  <c r="BN149" i="1"/>
  <c r="Z149" i="1"/>
  <c r="BP179" i="1"/>
  <c r="BN179" i="1"/>
  <c r="Z179" i="1"/>
  <c r="BP219" i="1"/>
  <c r="BN219" i="1"/>
  <c r="Z219" i="1"/>
  <c r="BP242" i="1"/>
  <c r="BN242" i="1"/>
  <c r="Z242" i="1"/>
  <c r="BP274" i="1"/>
  <c r="BN274" i="1"/>
  <c r="Z274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22" i="1"/>
  <c r="BN22" i="1"/>
  <c r="Y32" i="1"/>
  <c r="Z53" i="1"/>
  <c r="BN53" i="1"/>
  <c r="BP88" i="1"/>
  <c r="BN88" i="1"/>
  <c r="Z88" i="1"/>
  <c r="BP117" i="1"/>
  <c r="BN117" i="1"/>
  <c r="Z117" i="1"/>
  <c r="BP171" i="1"/>
  <c r="BN171" i="1"/>
  <c r="Z171" i="1"/>
  <c r="BP206" i="1"/>
  <c r="BN206" i="1"/>
  <c r="Z206" i="1"/>
  <c r="BP207" i="1"/>
  <c r="BN207" i="1"/>
  <c r="Z207" i="1"/>
  <c r="BP234" i="1"/>
  <c r="BN234" i="1"/>
  <c r="Z234" i="1"/>
  <c r="BP263" i="1"/>
  <c r="BN263" i="1"/>
  <c r="Z263" i="1"/>
  <c r="Z268" i="1" s="1"/>
  <c r="BP307" i="1"/>
  <c r="BN307" i="1"/>
  <c r="Z307" i="1"/>
  <c r="BP335" i="1"/>
  <c r="BN335" i="1"/>
  <c r="Z335" i="1"/>
  <c r="Z338" i="1" s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Y96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J9" i="1"/>
  <c r="X499" i="1"/>
  <c r="Z28" i="1"/>
  <c r="BN28" i="1"/>
  <c r="Z42" i="1"/>
  <c r="BN42" i="1"/>
  <c r="Y59" i="1"/>
  <c r="Z55" i="1"/>
  <c r="BN55" i="1"/>
  <c r="Z61" i="1"/>
  <c r="BN61" i="1"/>
  <c r="BP61" i="1"/>
  <c r="Z67" i="1"/>
  <c r="BN6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Z128" i="1"/>
  <c r="BN128" i="1"/>
  <c r="Z132" i="1"/>
  <c r="BN132" i="1"/>
  <c r="Z143" i="1"/>
  <c r="BN143" i="1"/>
  <c r="Z151" i="1"/>
  <c r="BN151" i="1"/>
  <c r="Z157" i="1"/>
  <c r="Z158" i="1" s="1"/>
  <c r="BN157" i="1"/>
  <c r="BP157" i="1"/>
  <c r="Y158" i="1"/>
  <c r="Z163" i="1"/>
  <c r="Z164" i="1" s="1"/>
  <c r="BN163" i="1"/>
  <c r="BP163" i="1"/>
  <c r="Z169" i="1"/>
  <c r="BN169" i="1"/>
  <c r="Z173" i="1"/>
  <c r="BN173" i="1"/>
  <c r="Z177" i="1"/>
  <c r="BN177" i="1"/>
  <c r="Z185" i="1"/>
  <c r="BN185" i="1"/>
  <c r="Z200" i="1"/>
  <c r="BN200" i="1"/>
  <c r="BP200" i="1"/>
  <c r="Z209" i="1"/>
  <c r="BN209" i="1"/>
  <c r="Z217" i="1"/>
  <c r="BN217" i="1"/>
  <c r="Z221" i="1"/>
  <c r="BN221" i="1"/>
  <c r="Z229" i="1"/>
  <c r="BN229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BP254" i="1"/>
  <c r="Z258" i="1"/>
  <c r="BN258" i="1"/>
  <c r="Y269" i="1"/>
  <c r="Z265" i="1"/>
  <c r="BN265" i="1"/>
  <c r="Z272" i="1"/>
  <c r="BN272" i="1"/>
  <c r="Z281" i="1"/>
  <c r="BN281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Y76" i="1"/>
  <c r="BP80" i="1"/>
  <c r="BN80" i="1"/>
  <c r="Z80" i="1"/>
  <c r="Z81" i="1" s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47" i="1" l="1"/>
  <c r="Z382" i="1"/>
  <c r="Z407" i="1"/>
  <c r="Z332" i="1"/>
  <c r="Z259" i="1"/>
  <c r="Z479" i="1"/>
  <c r="Z367" i="1"/>
  <c r="Z96" i="1"/>
  <c r="Z89" i="1"/>
  <c r="Z76" i="1"/>
  <c r="Z58" i="1"/>
  <c r="Z388" i="1"/>
  <c r="Z357" i="1"/>
  <c r="Z243" i="1"/>
  <c r="Z456" i="1"/>
  <c r="Z303" i="1"/>
  <c r="Z119" i="1"/>
  <c r="Z105" i="1"/>
  <c r="Y497" i="1"/>
  <c r="Y496" i="1"/>
  <c r="Y498" i="1" s="1"/>
  <c r="Z402" i="1"/>
  <c r="Z213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Y499" i="1"/>
  <c r="X498" i="1"/>
  <c r="Y495" i="1"/>
  <c r="Z500" i="1" l="1"/>
</calcChain>
</file>

<file path=xl/sharedStrings.xml><?xml version="1.0" encoding="utf-8"?>
<sst xmlns="http://schemas.openxmlformats.org/spreadsheetml/2006/main" count="2295" uniqueCount="782">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</sst>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46025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0.5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700</v>
      </c>
      <c r="Y41" s="554">
        <f>IFERROR(IF(X41="",0,CEILING((X41/$H41),1)*$H41),"")</f>
        <v>702</v>
      </c>
      <c r="Z41" s="36">
        <f>IFERROR(IF(Y41=0,"",ROUNDUP(Y41/H41,0)*0.01898),"")</f>
        <v>1.2337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726.57407407407413</v>
      </c>
      <c r="BN41" s="64">
        <f>IFERROR(Y41*I41/H41,"0")</f>
        <v>728.65000000000009</v>
      </c>
      <c r="BO41" s="64">
        <f>IFERROR(1/J41*(X41/H41),"0")</f>
        <v>1.0127314814814814</v>
      </c>
      <c r="BP41" s="64">
        <f>IFERROR(1/J41*(Y41/H41),"0")</f>
        <v>1.015625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64.81481481481481</v>
      </c>
      <c r="Y44" s="555">
        <f>IFERROR(Y41/H41,"0")+IFERROR(Y42/H42,"0")+IFERROR(Y43/H43,"0")</f>
        <v>65</v>
      </c>
      <c r="Z44" s="555">
        <f>IFERROR(IF(Z41="",0,Z41),"0")+IFERROR(IF(Z42="",0,Z42),"0")+IFERROR(IF(Z43="",0,Z43),"0")</f>
        <v>1.2337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700</v>
      </c>
      <c r="Y45" s="555">
        <f>IFERROR(SUM(Y41:Y43),"0")</f>
        <v>702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200</v>
      </c>
      <c r="Y53" s="554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200</v>
      </c>
      <c r="Y55" s="554">
        <f t="shared" si="0"/>
        <v>200</v>
      </c>
      <c r="Z55" s="36">
        <f>IFERROR(IF(Y55=0,"",ROUNDUP(Y55/H55,0)*0.00902),"")</f>
        <v>0.45100000000000001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209.50000000000003</v>
      </c>
      <c r="BN55" s="64">
        <f t="shared" si="2"/>
        <v>209.50000000000003</v>
      </c>
      <c r="BO55" s="64">
        <f t="shared" si="3"/>
        <v>0.37878787878787878</v>
      </c>
      <c r="BP55" s="64">
        <f t="shared" si="4"/>
        <v>0.37878787878787878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68.518518518518519</v>
      </c>
      <c r="Y58" s="555">
        <f>IFERROR(Y52/H52,"0")+IFERROR(Y53/H53,"0")+IFERROR(Y54/H54,"0")+IFERROR(Y55/H55,"0")+IFERROR(Y56/H56,"0")+IFERROR(Y57/H57,"0")</f>
        <v>69</v>
      </c>
      <c r="Z58" s="555">
        <f>IFERROR(IF(Z52="",0,Z52),"0")+IFERROR(IF(Z53="",0,Z53),"0")+IFERROR(IF(Z54="",0,Z54),"0")+IFERROR(IF(Z55="",0,Z55),"0")+IFERROR(IF(Z56="",0,Z56),"0")+IFERROR(IF(Z57="",0,Z57),"0")</f>
        <v>0.81162000000000001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400</v>
      </c>
      <c r="Y59" s="555">
        <f>IFERROR(SUM(Y52:Y57),"0")</f>
        <v>405.20000000000005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300</v>
      </c>
      <c r="Y61" s="554">
        <f>IFERROR(IF(X61="",0,CEILING((X61/$H61),1)*$H61),"")</f>
        <v>302.40000000000003</v>
      </c>
      <c r="Z61" s="36">
        <f>IFERROR(IF(Y61=0,"",ROUNDUP(Y61/H61,0)*0.01898),"")</f>
        <v>0.53144000000000002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311.38888888888891</v>
      </c>
      <c r="BN61" s="64">
        <f>IFERROR(Y61*I61/H61,"0")</f>
        <v>313.88</v>
      </c>
      <c r="BO61" s="64">
        <f>IFERROR(1/J61*(X61/H61),"0")</f>
        <v>0.43402777777777773</v>
      </c>
      <c r="BP61" s="64">
        <f>IFERROR(1/J61*(Y61/H61),"0")</f>
        <v>0.4375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27.777777777777775</v>
      </c>
      <c r="Y64" s="555">
        <f>IFERROR(Y61/H61,"0")+IFERROR(Y62/H62,"0")+IFERROR(Y63/H63,"0")</f>
        <v>28</v>
      </c>
      <c r="Z64" s="555">
        <f>IFERROR(IF(Z61="",0,Z61),"0")+IFERROR(IF(Z62="",0,Z62),"0")+IFERROR(IF(Z63="",0,Z63),"0")</f>
        <v>0.53144000000000002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300</v>
      </c>
      <c r="Y65" s="555">
        <f>IFERROR(SUM(Y61:Y63),"0")</f>
        <v>302.40000000000003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400</v>
      </c>
      <c r="Y85" s="554">
        <f>IFERROR(IF(X85="",0,CEILING((X85/$H85),1)*$H85),"")</f>
        <v>410.40000000000003</v>
      </c>
      <c r="Z85" s="36">
        <f>IFERROR(IF(Y85=0,"",ROUNDUP(Y85/H85,0)*0.01898),"")</f>
        <v>0.72123999999999999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415.18518518518516</v>
      </c>
      <c r="BN85" s="64">
        <f>IFERROR(Y85*I85/H85,"0")</f>
        <v>425.98</v>
      </c>
      <c r="BO85" s="64">
        <f>IFERROR(1/J85*(X85/H85),"0")</f>
        <v>0.57870370370370372</v>
      </c>
      <c r="BP85" s="64">
        <f>IFERROR(1/J85*(Y85/H85),"0")</f>
        <v>0.59375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37.037037037037038</v>
      </c>
      <c r="Y89" s="555">
        <f>IFERROR(Y85/H85,"0")+IFERROR(Y86/H86,"0")+IFERROR(Y87/H87,"0")+IFERROR(Y88/H88,"0")</f>
        <v>38</v>
      </c>
      <c r="Z89" s="555">
        <f>IFERROR(IF(Z85="",0,Z85),"0")+IFERROR(IF(Z86="",0,Z86),"0")+IFERROR(IF(Z87="",0,Z87),"0")+IFERROR(IF(Z88="",0,Z88),"0")</f>
        <v>0.72123999999999999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400</v>
      </c>
      <c r="Y90" s="555">
        <f>IFERROR(SUM(Y85:Y88),"0")</f>
        <v>410.40000000000003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hidden="1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hidden="1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500</v>
      </c>
      <c r="Y100" s="554">
        <f>IFERROR(IF(X100="",0,CEILING((X100/$H100),1)*$H100),"")</f>
        <v>507.6</v>
      </c>
      <c r="Z100" s="36">
        <f>IFERROR(IF(Y100=0,"",ROUNDUP(Y100/H100,0)*0.01898),"")</f>
        <v>0.89205999999999996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518.98148148148141</v>
      </c>
      <c r="BN100" s="64">
        <f>IFERROR(Y100*I100/H100,"0")</f>
        <v>526.87</v>
      </c>
      <c r="BO100" s="64">
        <f>IFERROR(1/J100*(X100/H100),"0")</f>
        <v>0.72337962962962954</v>
      </c>
      <c r="BP100" s="64">
        <f>IFERROR(1/J100*(Y100/H100),"0")</f>
        <v>0.734375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90</v>
      </c>
      <c r="Y103" s="554">
        <f>IFERROR(IF(X103="",0,CEILING((X103/$H103),1)*$H103),"")</f>
        <v>90</v>
      </c>
      <c r="Z103" s="36">
        <f>IFERROR(IF(Y103=0,"",ROUNDUP(Y103/H103,0)*0.00902),"")</f>
        <v>0.1804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93.800000000000011</v>
      </c>
      <c r="BN103" s="64">
        <f>IFERROR(Y103*I103/H103,"0")</f>
        <v>93.800000000000011</v>
      </c>
      <c r="BO103" s="64">
        <f>IFERROR(1/J103*(X103/H103),"0")</f>
        <v>0.15151515151515152</v>
      </c>
      <c r="BP103" s="64">
        <f>IFERROR(1/J103*(Y103/H103),"0")</f>
        <v>0.15151515151515152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66.296296296296291</v>
      </c>
      <c r="Y105" s="555">
        <f>IFERROR(Y100/H100,"0")+IFERROR(Y101/H101,"0")+IFERROR(Y102/H102,"0")+IFERROR(Y103/H103,"0")+IFERROR(Y104/H104,"0")</f>
        <v>67</v>
      </c>
      <c r="Z105" s="555">
        <f>IFERROR(IF(Z100="",0,Z100),"0")+IFERROR(IF(Z101="",0,Z101),"0")+IFERROR(IF(Z102="",0,Z102),"0")+IFERROR(IF(Z103="",0,Z103),"0")+IFERROR(IF(Z104="",0,Z104),"0")</f>
        <v>1.07246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590</v>
      </c>
      <c r="Y106" s="555">
        <f>IFERROR(SUM(Y100:Y104),"0")</f>
        <v>597.6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225</v>
      </c>
      <c r="Y117" s="554">
        <f>IFERROR(IF(X117="",0,CEILING((X117/$H117),1)*$H117),"")</f>
        <v>226.8</v>
      </c>
      <c r="Z117" s="36">
        <f>IFERROR(IF(Y117=0,"",ROUNDUP(Y117/H117,0)*0.00651),"")</f>
        <v>0.54683999999999999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246</v>
      </c>
      <c r="BN117" s="64">
        <f>IFERROR(Y117*I117/H117,"0")</f>
        <v>247.96799999999999</v>
      </c>
      <c r="BO117" s="64">
        <f>IFERROR(1/J117*(X117/H117),"0")</f>
        <v>0.45787545787545786</v>
      </c>
      <c r="BP117" s="64">
        <f>IFERROR(1/J117*(Y117/H117),"0")</f>
        <v>0.46153846153846156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83.333333333333329</v>
      </c>
      <c r="Y119" s="555">
        <f>IFERROR(Y115/H115,"0")+IFERROR(Y116/H116,"0")+IFERROR(Y117/H117,"0")+IFERROR(Y118/H118,"0")</f>
        <v>84</v>
      </c>
      <c r="Z119" s="555">
        <f>IFERROR(IF(Z115="",0,Z115),"0")+IFERROR(IF(Z116="",0,Z116),"0")+IFERROR(IF(Z117="",0,Z117),"0")+IFERROR(IF(Z118="",0,Z118),"0")</f>
        <v>0.54683999999999999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225</v>
      </c>
      <c r="Y120" s="555">
        <f>IFERROR(SUM(Y115:Y118),"0")</f>
        <v>226.8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35</v>
      </c>
      <c r="Y178" s="554">
        <f t="shared" si="10"/>
        <v>35.700000000000003</v>
      </c>
      <c r="Z178" s="36">
        <f>IFERROR(IF(Y178=0,"",ROUNDUP(Y178/H178,0)*0.00502),"")</f>
        <v>8.5339999999999999E-2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36.666666666666664</v>
      </c>
      <c r="BN178" s="64">
        <f t="shared" si="12"/>
        <v>37.4</v>
      </c>
      <c r="BO178" s="64">
        <f t="shared" si="13"/>
        <v>7.1225071225071226E-2</v>
      </c>
      <c r="BP178" s="64">
        <f t="shared" si="14"/>
        <v>7.2649572649572655E-2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16.666666666666664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17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8.5339999999999999E-2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35</v>
      </c>
      <c r="Y182" s="555">
        <f>IFERROR(SUM(Y167:Y180),"0")</f>
        <v>35.700000000000003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300</v>
      </c>
      <c r="Y205" s="554">
        <f t="shared" ref="Y205:Y212" si="15">IFERROR(IF(X205="",0,CEILING((X205/$H205),1)*$H205),"")</f>
        <v>302.40000000000003</v>
      </c>
      <c r="Z205" s="36">
        <f>IFERROR(IF(Y205=0,"",ROUNDUP(Y205/H205,0)*0.00902),"")</f>
        <v>0.50512000000000001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310.55555555555554</v>
      </c>
      <c r="BN205" s="64">
        <f t="shared" ref="BN205:BN212" si="17">IFERROR(Y205*I205/H205,"0")</f>
        <v>313.04000000000002</v>
      </c>
      <c r="BO205" s="64">
        <f t="shared" ref="BO205:BO212" si="18">IFERROR(1/J205*(X205/H205),"0")</f>
        <v>0.42087542087542085</v>
      </c>
      <c r="BP205" s="64">
        <f t="shared" ref="BP205:BP212" si="19">IFERROR(1/J205*(Y205/H205),"0")</f>
        <v>0.42424242424242425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55.55555555555555</v>
      </c>
      <c r="Y213" s="555">
        <f>IFERROR(Y205/H205,"0")+IFERROR(Y206/H206,"0")+IFERROR(Y207/H207,"0")+IFERROR(Y208/H208,"0")+IFERROR(Y209/H209,"0")+IFERROR(Y210/H210,"0")+IFERROR(Y211/H211,"0")+IFERROR(Y212/H212,"0")</f>
        <v>56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0.50512000000000001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300</v>
      </c>
      <c r="Y214" s="555">
        <f>IFERROR(SUM(Y205:Y212),"0")</f>
        <v>302.40000000000003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100</v>
      </c>
      <c r="Y219" s="554">
        <f t="shared" si="20"/>
        <v>100.8</v>
      </c>
      <c r="Z219" s="36">
        <f t="shared" ref="Z219:Z224" si="25">IFERROR(IF(Y219=0,"",ROUNDUP(Y219/H219,0)*0.00651),"")</f>
        <v>0.27342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111.25</v>
      </c>
      <c r="BN219" s="64">
        <f t="shared" si="22"/>
        <v>112.13999999999999</v>
      </c>
      <c r="BO219" s="64">
        <f t="shared" si="23"/>
        <v>0.22893772893772898</v>
      </c>
      <c r="BP219" s="64">
        <f t="shared" si="24"/>
        <v>0.23076923076923078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200</v>
      </c>
      <c r="Y221" s="554">
        <f t="shared" si="20"/>
        <v>201.6</v>
      </c>
      <c r="Z221" s="36">
        <f t="shared" si="25"/>
        <v>0.54683999999999999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221</v>
      </c>
      <c r="BN221" s="64">
        <f t="shared" si="22"/>
        <v>222.768</v>
      </c>
      <c r="BO221" s="64">
        <f t="shared" si="23"/>
        <v>0.45787545787545797</v>
      </c>
      <c r="BP221" s="64">
        <f t="shared" si="24"/>
        <v>0.46153846153846156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200</v>
      </c>
      <c r="Y222" s="554">
        <f t="shared" si="20"/>
        <v>201.6</v>
      </c>
      <c r="Z222" s="36">
        <f t="shared" si="25"/>
        <v>0.54683999999999999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221</v>
      </c>
      <c r="BN222" s="64">
        <f t="shared" si="22"/>
        <v>222.768</v>
      </c>
      <c r="BO222" s="64">
        <f t="shared" si="23"/>
        <v>0.45787545787545797</v>
      </c>
      <c r="BP222" s="64">
        <f t="shared" si="24"/>
        <v>0.46153846153846156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100</v>
      </c>
      <c r="Y224" s="554">
        <f t="shared" si="20"/>
        <v>100.8</v>
      </c>
      <c r="Z224" s="36">
        <f t="shared" si="25"/>
        <v>0.27342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110.75000000000001</v>
      </c>
      <c r="BN224" s="64">
        <f t="shared" si="22"/>
        <v>111.63600000000001</v>
      </c>
      <c r="BO224" s="64">
        <f t="shared" si="23"/>
        <v>0.22893772893772898</v>
      </c>
      <c r="BP224" s="64">
        <f t="shared" si="24"/>
        <v>0.23076923076923078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250.00000000000006</v>
      </c>
      <c r="Y225" s="555">
        <f>IFERROR(Y216/H216,"0")+IFERROR(Y217/H217,"0")+IFERROR(Y218/H218,"0")+IFERROR(Y219/H219,"0")+IFERROR(Y220/H220,"0")+IFERROR(Y221/H221,"0")+IFERROR(Y222/H222,"0")+IFERROR(Y223/H223,"0")+IFERROR(Y224/H224,"0")</f>
        <v>252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1.64052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600</v>
      </c>
      <c r="Y226" s="555">
        <f>IFERROR(SUM(Y216:Y224),"0")</f>
        <v>604.79999999999995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250</v>
      </c>
      <c r="Y323" s="554">
        <f>IFERROR(IF(X323="",0,CEILING((X323/$H323),1)*$H323),"")</f>
        <v>257.39999999999998</v>
      </c>
      <c r="Z323" s="36">
        <f>IFERROR(IF(Y323=0,"",ROUNDUP(Y323/H323,0)*0.01898),"")</f>
        <v>0.62634000000000001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265.83333333333331</v>
      </c>
      <c r="BN323" s="64">
        <f>IFERROR(Y323*I323/H323,"0")</f>
        <v>273.702</v>
      </c>
      <c r="BO323" s="64">
        <f>IFERROR(1/J323*(X323/H323),"0")</f>
        <v>0.50080128205128205</v>
      </c>
      <c r="BP323" s="64">
        <f>IFERROR(1/J323*(Y323/H323),"0")</f>
        <v>0.515625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32.051282051282051</v>
      </c>
      <c r="Y325" s="555">
        <f>IFERROR(Y322/H322,"0")+IFERROR(Y323/H323,"0")+IFERROR(Y324/H324,"0")</f>
        <v>33</v>
      </c>
      <c r="Z325" s="555">
        <f>IFERROR(IF(Z322="",0,Z322),"0")+IFERROR(IF(Z323="",0,Z323),"0")+IFERROR(IF(Z324="",0,Z324),"0")</f>
        <v>0.62634000000000001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250</v>
      </c>
      <c r="Y326" s="555">
        <f>IFERROR(SUM(Y322:Y324),"0")</f>
        <v>257.39999999999998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600</v>
      </c>
      <c r="Y350" s="554">
        <f t="shared" ref="Y350:Y356" si="36">IFERROR(IF(X350="",0,CEILING((X350/$H350),1)*$H350),"")</f>
        <v>600</v>
      </c>
      <c r="Z350" s="36">
        <f>IFERROR(IF(Y350=0,"",ROUNDUP(Y350/H350,0)*0.02175),"")</f>
        <v>0.86999999999999988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618.79999999999995</v>
      </c>
      <c r="BN350" s="64">
        <f t="shared" ref="BN350:BN356" si="38">IFERROR(Y350*I350/H350,"0")</f>
        <v>618.79999999999995</v>
      </c>
      <c r="BO350" s="64">
        <f t="shared" ref="BO350:BO356" si="39">IFERROR(1/J350*(X350/H350),"0")</f>
        <v>0.83333333333333326</v>
      </c>
      <c r="BP350" s="64">
        <f t="shared" ref="BP350:BP356" si="40">IFERROR(1/J350*(Y350/H350),"0")</f>
        <v>0.83333333333333326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300</v>
      </c>
      <c r="Y351" s="554">
        <f t="shared" si="36"/>
        <v>300</v>
      </c>
      <c r="Z351" s="36">
        <f>IFERROR(IF(Y351=0,"",ROUNDUP(Y351/H351,0)*0.02175),"")</f>
        <v>0.43499999999999994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309.39999999999998</v>
      </c>
      <c r="BN351" s="64">
        <f t="shared" si="38"/>
        <v>309.39999999999998</v>
      </c>
      <c r="BO351" s="64">
        <f t="shared" si="39"/>
        <v>0.41666666666666663</v>
      </c>
      <c r="BP351" s="64">
        <f t="shared" si="40"/>
        <v>0.41666666666666663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600</v>
      </c>
      <c r="Y352" s="554">
        <f t="shared" si="36"/>
        <v>600</v>
      </c>
      <c r="Z352" s="36">
        <f>IFERROR(IF(Y352=0,"",ROUNDUP(Y352/H352,0)*0.02175),"")</f>
        <v>0.86999999999999988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618.79999999999995</v>
      </c>
      <c r="BN352" s="64">
        <f t="shared" si="38"/>
        <v>618.79999999999995</v>
      </c>
      <c r="BO352" s="64">
        <f t="shared" si="39"/>
        <v>0.83333333333333326</v>
      </c>
      <c r="BP352" s="64">
        <f t="shared" si="40"/>
        <v>0.83333333333333326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800</v>
      </c>
      <c r="Y353" s="554">
        <f t="shared" si="36"/>
        <v>810</v>
      </c>
      <c r="Z353" s="36">
        <f>IFERROR(IF(Y353=0,"",ROUNDUP(Y353/H353,0)*0.02175),"")</f>
        <v>1.1744999999999999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825.06666666666672</v>
      </c>
      <c r="BN353" s="64">
        <f t="shared" si="38"/>
        <v>835.38</v>
      </c>
      <c r="BO353" s="64">
        <f t="shared" si="39"/>
        <v>1.1111111111111112</v>
      </c>
      <c r="BP353" s="64">
        <f t="shared" si="40"/>
        <v>1.125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153.33333333333334</v>
      </c>
      <c r="Y357" s="555">
        <f>IFERROR(Y350/H350,"0")+IFERROR(Y351/H351,"0")+IFERROR(Y352/H352,"0")+IFERROR(Y353/H353,"0")+IFERROR(Y354/H354,"0")+IFERROR(Y355/H355,"0")+IFERROR(Y356/H356,"0")</f>
        <v>154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3.3494999999999999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2300</v>
      </c>
      <c r="Y358" s="555">
        <f>IFERROR(SUM(Y350:Y356),"0")</f>
        <v>2310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800</v>
      </c>
      <c r="Y360" s="554">
        <f>IFERROR(IF(X360="",0,CEILING((X360/$H360),1)*$H360),"")</f>
        <v>810</v>
      </c>
      <c r="Z360" s="36">
        <f>IFERROR(IF(Y360=0,"",ROUNDUP(Y360/H360,0)*0.02175),"")</f>
        <v>1.1744999999999999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825.06666666666672</v>
      </c>
      <c r="BN360" s="64">
        <f>IFERROR(Y360*I360/H360,"0")</f>
        <v>835.38</v>
      </c>
      <c r="BO360" s="64">
        <f>IFERROR(1/J360*(X360/H360),"0")</f>
        <v>1.1111111111111112</v>
      </c>
      <c r="BP360" s="64">
        <f>IFERROR(1/J360*(Y360/H360),"0")</f>
        <v>1.125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53.333333333333336</v>
      </c>
      <c r="Y362" s="555">
        <f>IFERROR(Y360/H360,"0")+IFERROR(Y361/H361,"0")</f>
        <v>54</v>
      </c>
      <c r="Z362" s="555">
        <f>IFERROR(IF(Z360="",0,Z360),"0")+IFERROR(IF(Z361="",0,Z361),"0")</f>
        <v>1.1744999999999999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800</v>
      </c>
      <c r="Y363" s="555">
        <f>IFERROR(SUM(Y360:Y361),"0")</f>
        <v>810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500</v>
      </c>
      <c r="Y385" s="554">
        <f>IFERROR(IF(X385="",0,CEILING((X385/$H385),1)*$H385),"")</f>
        <v>504</v>
      </c>
      <c r="Z385" s="36">
        <f>IFERROR(IF(Y385=0,"",ROUNDUP(Y385/H385,0)*0.01898),"")</f>
        <v>1.06288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527.44444444444446</v>
      </c>
      <c r="BN385" s="64">
        <f>IFERROR(Y385*I385/H385,"0")</f>
        <v>531.66399999999999</v>
      </c>
      <c r="BO385" s="64">
        <f>IFERROR(1/J385*(X385/H385),"0")</f>
        <v>0.86805555555555558</v>
      </c>
      <c r="BP385" s="64">
        <f>IFERROR(1/J385*(Y385/H385),"0")</f>
        <v>0.875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55.555555555555557</v>
      </c>
      <c r="Y388" s="555">
        <f>IFERROR(Y385/H385,"0")+IFERROR(Y386/H386,"0")+IFERROR(Y387/H387,"0")</f>
        <v>56</v>
      </c>
      <c r="Z388" s="555">
        <f>IFERROR(IF(Z385="",0,Z385),"0")+IFERROR(IF(Z386="",0,Z386),"0")+IFERROR(IF(Z387="",0,Z387),"0")</f>
        <v>1.06288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500</v>
      </c>
      <c r="Y389" s="555">
        <f>IFERROR(SUM(Y385:Y387),"0")</f>
        <v>504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300</v>
      </c>
      <c r="Y433" s="554">
        <f t="shared" si="47"/>
        <v>300.96000000000004</v>
      </c>
      <c r="Z433" s="36">
        <f t="shared" si="48"/>
        <v>0.68171999999999999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319.88636363636363</v>
      </c>
      <c r="BN433" s="64">
        <f t="shared" si="50"/>
        <v>320.91000000000003</v>
      </c>
      <c r="BO433" s="64">
        <f t="shared" si="51"/>
        <v>0.54632867132867136</v>
      </c>
      <c r="BP433" s="64">
        <f t="shared" si="52"/>
        <v>0.54807692307692313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500</v>
      </c>
      <c r="Y435" s="554">
        <f t="shared" si="47"/>
        <v>501.6</v>
      </c>
      <c r="Z435" s="36">
        <f t="shared" si="48"/>
        <v>1.1362000000000001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533.14393939393938</v>
      </c>
      <c r="BN435" s="64">
        <f t="shared" si="50"/>
        <v>534.85</v>
      </c>
      <c r="BO435" s="64">
        <f t="shared" si="51"/>
        <v>0.91054778554778548</v>
      </c>
      <c r="BP435" s="64">
        <f t="shared" si="52"/>
        <v>0.91346153846153855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151.5151515151515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152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1.81792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800</v>
      </c>
      <c r="Y442" s="555">
        <f>IFERROR(SUM(Y429:Y440),"0")</f>
        <v>802.56000000000006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300</v>
      </c>
      <c r="Y444" s="554">
        <f>IFERROR(IF(X444="",0,CEILING((X444/$H444),1)*$H444),"")</f>
        <v>300.96000000000004</v>
      </c>
      <c r="Z444" s="36">
        <f>IFERROR(IF(Y444=0,"",ROUNDUP(Y444/H444,0)*0.01196),"")</f>
        <v>0.68171999999999999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319.88636363636363</v>
      </c>
      <c r="BN444" s="64">
        <f>IFERROR(Y444*I444/H444,"0")</f>
        <v>320.91000000000003</v>
      </c>
      <c r="BO444" s="64">
        <f>IFERROR(1/J444*(X444/H444),"0")</f>
        <v>0.54632867132867136</v>
      </c>
      <c r="BP444" s="64">
        <f>IFERROR(1/J444*(Y444/H444),"0")</f>
        <v>0.54807692307692313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56.818181818181813</v>
      </c>
      <c r="Y447" s="555">
        <f>IFERROR(Y444/H444,"0")+IFERROR(Y445/H445,"0")+IFERROR(Y446/H446,"0")</f>
        <v>57.000000000000007</v>
      </c>
      <c r="Z447" s="555">
        <f>IFERROR(IF(Z444="",0,Z444),"0")+IFERROR(IF(Z445="",0,Z445),"0")+IFERROR(IF(Z446="",0,Z446),"0")</f>
        <v>0.68171999999999999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300</v>
      </c>
      <c r="Y448" s="555">
        <f>IFERROR(SUM(Y444:Y446),"0")</f>
        <v>300.96000000000004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200</v>
      </c>
      <c r="Y452" s="554">
        <f t="shared" si="53"/>
        <v>200.64000000000001</v>
      </c>
      <c r="Z452" s="36">
        <f>IFERROR(IF(Y452=0,"",ROUNDUP(Y452/H452,0)*0.01196),"")</f>
        <v>0.45448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213.25757575757575</v>
      </c>
      <c r="BN452" s="64">
        <f t="shared" si="55"/>
        <v>213.94</v>
      </c>
      <c r="BO452" s="64">
        <f t="shared" si="56"/>
        <v>0.36421911421911418</v>
      </c>
      <c r="BP452" s="64">
        <f t="shared" si="57"/>
        <v>0.36538461538461542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37.878787878787875</v>
      </c>
      <c r="Y456" s="555">
        <f>IFERROR(Y450/H450,"0")+IFERROR(Y451/H451,"0")+IFERROR(Y452/H452,"0")+IFERROR(Y453/H453,"0")+IFERROR(Y454/H454,"0")+IFERROR(Y455/H455,"0")</f>
        <v>38</v>
      </c>
      <c r="Z456" s="555">
        <f>IFERROR(IF(Z450="",0,Z450),"0")+IFERROR(IF(Z451="",0,Z451),"0")+IFERROR(IF(Z452="",0,Z452),"0")+IFERROR(IF(Z453="",0,Z453),"0")+IFERROR(IF(Z454="",0,Z454),"0")+IFERROR(IF(Z455="",0,Z455),"0")</f>
        <v>0.45448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200</v>
      </c>
      <c r="Y457" s="555">
        <f>IFERROR(SUM(Y450:Y455),"0")</f>
        <v>200.64000000000001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8700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8772.86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9116.829797979799</v>
      </c>
      <c r="Y496" s="555">
        <f>IFERROR(SUM(BN22:BN492),"0")</f>
        <v>9193.1260000000002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14</v>
      </c>
      <c r="Y497" s="38">
        <f>ROUNDUP(SUM(BP22:BP492),0)</f>
        <v>15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9466.829797979799</v>
      </c>
      <c r="Y498" s="555">
        <f>GrossWeightTotalR+PalletQtyTotalR*25</f>
        <v>9568.1260000000002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1210.4856254856254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1220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16.315619999999999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702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707.60000000000014</v>
      </c>
      <c r="E505" s="46">
        <f>IFERROR(Y85*1,"0")+IFERROR(Y86*1,"0")+IFERROR(Y87*1,"0")+IFERROR(Y88*1,"0")+IFERROR(Y92*1,"0")+IFERROR(Y93*1,"0")+IFERROR(Y94*1,"0")+IFERROR(Y95*1,"0")</f>
        <v>410.40000000000003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824.40000000000009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35.700000000000003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907.2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257.39999999999998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3120</v>
      </c>
      <c r="T505" s="46">
        <f>IFERROR(Y375*1,"0")+IFERROR(Y376*1,"0")+IFERROR(Y380*1,"0")+IFERROR(Y381*1,"0")+IFERROR(Y385*1,"0")+IFERROR(Y386*1,"0")+IFERROR(Y387*1,"0")</f>
        <v>504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1304.1600000000001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10,49"/>
        <filter val="100,00"/>
        <filter val="14"/>
        <filter val="151,52"/>
        <filter val="153,33"/>
        <filter val="16,67"/>
        <filter val="2 300,00"/>
        <filter val="200,00"/>
        <filter val="225,00"/>
        <filter val="250,00"/>
        <filter val="27,78"/>
        <filter val="300,00"/>
        <filter val="32,05"/>
        <filter val="35,00"/>
        <filter val="37,04"/>
        <filter val="37,88"/>
        <filter val="400,00"/>
        <filter val="500,00"/>
        <filter val="53,33"/>
        <filter val="55,56"/>
        <filter val="56,82"/>
        <filter val="590,00"/>
        <filter val="600,00"/>
        <filter val="64,81"/>
        <filter val="66,30"/>
        <filter val="68,52"/>
        <filter val="700,00"/>
        <filter val="8 700,00"/>
        <filter val="800,00"/>
        <filter val="83,33"/>
        <filter val="9 116,83"/>
        <filter val="9 466,83"/>
        <filter val="90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2025-12-26T12:22:55Z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