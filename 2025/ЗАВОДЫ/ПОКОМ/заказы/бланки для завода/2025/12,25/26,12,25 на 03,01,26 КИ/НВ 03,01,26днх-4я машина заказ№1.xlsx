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EEA146-A0F5-4A10-B493-45495786161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Z259" i="1" s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J9" i="1"/>
  <c r="BP171" i="1"/>
  <c r="BN171" i="1"/>
  <c r="Z171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38" i="1" l="1"/>
  <c r="Z243" i="1"/>
  <c r="Z367" i="1"/>
  <c r="Z81" i="1"/>
  <c r="Z69" i="1"/>
  <c r="Z119" i="1"/>
  <c r="Z456" i="1"/>
  <c r="Z325" i="1"/>
  <c r="Z154" i="1"/>
  <c r="Z44" i="1"/>
  <c r="Y496" i="1"/>
  <c r="Y497" i="1"/>
  <c r="Z32" i="1"/>
  <c r="Z469" i="1"/>
  <c r="Y499" i="1"/>
  <c r="Z388" i="1"/>
  <c r="Z402" i="1"/>
  <c r="Z332" i="1"/>
  <c r="Z213" i="1"/>
  <c r="Z89" i="1"/>
  <c r="Z58" i="1"/>
  <c r="Z312" i="1"/>
  <c r="Z303" i="1"/>
  <c r="Z283" i="1"/>
  <c r="Z225" i="1"/>
  <c r="Z181" i="1"/>
  <c r="Z112" i="1"/>
  <c r="Z105" i="1"/>
  <c r="Z441" i="1"/>
  <c r="Y495" i="1"/>
  <c r="Z500" i="1" l="1"/>
  <c r="Y498" i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<sst xmlns="http://schemas.openxmlformats.org/spreadsheetml/2006/main" count="2321" uniqueCount="782">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</sst>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46025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200</v>
      </c>
      <c r="Y85" s="554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18.518518518518519</v>
      </c>
      <c r="Y89" s="555">
        <f>IFERROR(Y85/H85,"0")+IFERROR(Y86/H86,"0")+IFERROR(Y87/H87,"0")+IFERROR(Y88/H88,"0")</f>
        <v>19</v>
      </c>
      <c r="Z89" s="555">
        <f>IFERROR(IF(Z85="",0,Z85),"0")+IFERROR(IF(Z86="",0,Z86),"0")+IFERROR(IF(Z87="",0,Z87),"0")+IFERROR(IF(Z88="",0,Z88),"0")</f>
        <v>0.36062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200</v>
      </c>
      <c r="Y90" s="555">
        <f>IFERROR(SUM(Y85:Y88),"0")</f>
        <v>205.20000000000002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500</v>
      </c>
      <c r="Y205" s="554">
        <f t="shared" ref="Y205:Y212" si="15">IFERROR(IF(X205="",0,CEILING((X205/$H205),1)*$H205),"")</f>
        <v>502.20000000000005</v>
      </c>
      <c r="Z205" s="36">
        <f>IFERROR(IF(Y205=0,"",ROUNDUP(Y205/H205,0)*0.00902),"")</f>
        <v>0.83886000000000005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517.59259259259261</v>
      </c>
      <c r="BN205" s="64">
        <f t="shared" ref="BN205:BN212" si="17">IFERROR(Y205*I205/H205,"0")</f>
        <v>519.87</v>
      </c>
      <c r="BO205" s="64">
        <f t="shared" ref="BO205:BO212" si="18">IFERROR(1/J205*(X205/H205),"0")</f>
        <v>0.70145903479236804</v>
      </c>
      <c r="BP205" s="64">
        <f t="shared" ref="BP205:BP212" si="19">IFERROR(1/J205*(Y205/H205),"0")</f>
        <v>0.70454545454545459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92.592592592592581</v>
      </c>
      <c r="Y213" s="555">
        <f>IFERROR(Y205/H205,"0")+IFERROR(Y206/H206,"0")+IFERROR(Y207/H207,"0")+IFERROR(Y208/H208,"0")+IFERROR(Y209/H209,"0")+IFERROR(Y210/H210,"0")+IFERROR(Y211/H211,"0")+IFERROR(Y212/H212,"0")</f>
        <v>93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0.83886000000000005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500</v>
      </c>
      <c r="Y214" s="555">
        <f>IFERROR(SUM(Y205:Y212),"0")</f>
        <v>502.20000000000005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240</v>
      </c>
      <c r="Y222" s="554">
        <f t="shared" si="20"/>
        <v>240</v>
      </c>
      <c r="Z222" s="36">
        <f t="shared" si="25"/>
        <v>0.65100000000000002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265.20000000000005</v>
      </c>
      <c r="BN222" s="64">
        <f t="shared" si="22"/>
        <v>265.20000000000005</v>
      </c>
      <c r="BO222" s="64">
        <f t="shared" si="23"/>
        <v>0.5494505494505495</v>
      </c>
      <c r="BP222" s="64">
        <f t="shared" si="24"/>
        <v>0.5494505494505495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183.33333333333334</v>
      </c>
      <c r="Y225" s="555">
        <f>IFERROR(Y216/H216,"0")+IFERROR(Y217/H217,"0")+IFERROR(Y218/H218,"0")+IFERROR(Y219/H219,"0")+IFERROR(Y220/H220,"0")+IFERROR(Y221/H221,"0")+IFERROR(Y222/H222,"0")+IFERROR(Y223/H223,"0")+IFERROR(Y224/H224,"0")</f>
        <v>184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1.19784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440</v>
      </c>
      <c r="Y226" s="555">
        <f>IFERROR(SUM(Y216:Y224),"0")</f>
        <v>441.6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200</v>
      </c>
      <c r="Y323" s="554">
        <f>IFERROR(IF(X323="",0,CEILING((X323/$H323),1)*$H323),"")</f>
        <v>202.79999999999998</v>
      </c>
      <c r="Z323" s="36">
        <f>IFERROR(IF(Y323=0,"",ROUNDUP(Y323/H323,0)*0.01898),"")</f>
        <v>0.49348000000000003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212.66666666666669</v>
      </c>
      <c r="BN323" s="64">
        <f>IFERROR(Y323*I323/H323,"0")</f>
        <v>215.64399999999998</v>
      </c>
      <c r="BO323" s="64">
        <f>IFERROR(1/J323*(X323/H323),"0")</f>
        <v>0.40064102564102566</v>
      </c>
      <c r="BP323" s="64">
        <f>IFERROR(1/J323*(Y323/H323),"0")</f>
        <v>0.40625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25.641025641025642</v>
      </c>
      <c r="Y325" s="555">
        <f>IFERROR(Y322/H322,"0")+IFERROR(Y323/H323,"0")+IFERROR(Y324/H324,"0")</f>
        <v>26</v>
      </c>
      <c r="Z325" s="555">
        <f>IFERROR(IF(Z322="",0,Z322),"0")+IFERROR(IF(Z323="",0,Z323),"0")+IFERROR(IF(Z324="",0,Z324),"0")</f>
        <v>0.49348000000000003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200</v>
      </c>
      <c r="Y326" s="555">
        <f>IFERROR(SUM(Y322:Y324),"0")</f>
        <v>202.79999999999998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700</v>
      </c>
      <c r="Y350" s="554">
        <f t="shared" ref="Y350:Y356" si="36">IFERROR(IF(X350="",0,CEILING((X350/$H350),1)*$H350),"")</f>
        <v>705</v>
      </c>
      <c r="Z350" s="36">
        <f>IFERROR(IF(Y350=0,"",ROUNDUP(Y350/H350,0)*0.02175),"")</f>
        <v>1.0222499999999999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721.93333333333328</v>
      </c>
      <c r="BN350" s="64">
        <f t="shared" ref="BN350:BN356" si="38">IFERROR(Y350*I350/H350,"0")</f>
        <v>727.09</v>
      </c>
      <c r="BO350" s="64">
        <f t="shared" ref="BO350:BO356" si="39">IFERROR(1/J350*(X350/H350),"0")</f>
        <v>0.9722222222222221</v>
      </c>
      <c r="BP350" s="64">
        <f t="shared" ref="BP350:BP356" si="40">IFERROR(1/J350*(Y350/H350),"0")</f>
        <v>0.97916666666666663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100</v>
      </c>
      <c r="Y351" s="554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460</v>
      </c>
      <c r="Y352" s="554">
        <f t="shared" si="36"/>
        <v>465</v>
      </c>
      <c r="Z352" s="36">
        <f>IFERROR(IF(Y352=0,"",ROUNDUP(Y352/H352,0)*0.02175),"")</f>
        <v>0.6742499999999999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474.41333333333336</v>
      </c>
      <c r="BN352" s="64">
        <f t="shared" si="38"/>
        <v>479.57</v>
      </c>
      <c r="BO352" s="64">
        <f t="shared" si="39"/>
        <v>0.63888888888888884</v>
      </c>
      <c r="BP352" s="64">
        <f t="shared" si="40"/>
        <v>0.64583333333333326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100</v>
      </c>
      <c r="Y353" s="554">
        <f t="shared" si="36"/>
        <v>105</v>
      </c>
      <c r="Z353" s="36">
        <f>IFERROR(IF(Y353=0,"",ROUNDUP(Y353/H353,0)*0.02175),"")</f>
        <v>0.15225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103.13333333333334</v>
      </c>
      <c r="BN353" s="64">
        <f t="shared" si="38"/>
        <v>108.29</v>
      </c>
      <c r="BO353" s="64">
        <f t="shared" si="39"/>
        <v>0.1388888888888889</v>
      </c>
      <c r="BP353" s="64">
        <f t="shared" si="40"/>
        <v>0.14583333333333331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90.666666666666671</v>
      </c>
      <c r="Y357" s="555">
        <f>IFERROR(Y350/H350,"0")+IFERROR(Y351/H351,"0")+IFERROR(Y352/H352,"0")+IFERROR(Y353/H353,"0")+IFERROR(Y354/H354,"0")+IFERROR(Y355/H355,"0")+IFERROR(Y356/H356,"0")</f>
        <v>92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2.0009999999999999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1360</v>
      </c>
      <c r="Y358" s="555">
        <f>IFERROR(SUM(Y350:Y356),"0")</f>
        <v>1380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1000</v>
      </c>
      <c r="Y360" s="554">
        <f>IFERROR(IF(X360="",0,CEILING((X360/$H360),1)*$H360),"")</f>
        <v>1005</v>
      </c>
      <c r="Z360" s="36">
        <f>IFERROR(IF(Y360=0,"",ROUNDUP(Y360/H360,0)*0.02175),"")</f>
        <v>1.4572499999999999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1031.3333333333333</v>
      </c>
      <c r="BN360" s="64">
        <f>IFERROR(Y360*I360/H360,"0")</f>
        <v>1036.49</v>
      </c>
      <c r="BO360" s="64">
        <f>IFERROR(1/J360*(X360/H360),"0")</f>
        <v>1.3888888888888888</v>
      </c>
      <c r="BP360" s="64">
        <f>IFERROR(1/J360*(Y360/H360),"0")</f>
        <v>1.3958333333333333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66.666666666666671</v>
      </c>
      <c r="Y362" s="555">
        <f>IFERROR(Y360/H360,"0")+IFERROR(Y361/H361,"0")</f>
        <v>67</v>
      </c>
      <c r="Z362" s="555">
        <f>IFERROR(IF(Z360="",0,Z360),"0")+IFERROR(IF(Z361="",0,Z361),"0")</f>
        <v>1.4572499999999999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1000</v>
      </c>
      <c r="Y363" s="555">
        <f>IFERROR(SUM(Y360:Y361),"0")</f>
        <v>1005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1000</v>
      </c>
      <c r="Y385" s="554">
        <f>IFERROR(IF(X385="",0,CEILING((X385/$H385),1)*$H385),"")</f>
        <v>1008</v>
      </c>
      <c r="Z385" s="36">
        <f>IFERROR(IF(Y385=0,"",ROUNDUP(Y385/H385,0)*0.01898),"")</f>
        <v>2.1257600000000001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1054.8888888888889</v>
      </c>
      <c r="BN385" s="64">
        <f>IFERROR(Y385*I385/H385,"0")</f>
        <v>1063.328</v>
      </c>
      <c r="BO385" s="64">
        <f>IFERROR(1/J385*(X385/H385),"0")</f>
        <v>1.7361111111111112</v>
      </c>
      <c r="BP385" s="64">
        <f>IFERROR(1/J385*(Y385/H385),"0")</f>
        <v>1.75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111.11111111111111</v>
      </c>
      <c r="Y388" s="555">
        <f>IFERROR(Y385/H385,"0")+IFERROR(Y386/H386,"0")+IFERROR(Y387/H387,"0")</f>
        <v>112</v>
      </c>
      <c r="Z388" s="555">
        <f>IFERROR(IF(Z385="",0,Z385),"0")+IFERROR(IF(Z386="",0,Z386),"0")+IFERROR(IF(Z387="",0,Z387),"0")</f>
        <v>2.1257600000000001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1000</v>
      </c>
      <c r="Y389" s="555">
        <f>IFERROR(SUM(Y385:Y387),"0")</f>
        <v>1008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800</v>
      </c>
      <c r="Y433" s="554">
        <f t="shared" si="47"/>
        <v>802.56000000000006</v>
      </c>
      <c r="Z433" s="36">
        <f t="shared" si="48"/>
        <v>1.81792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853.030303030303</v>
      </c>
      <c r="BN433" s="64">
        <f t="shared" si="50"/>
        <v>855.76</v>
      </c>
      <c r="BO433" s="64">
        <f t="shared" si="51"/>
        <v>1.4568764568764567</v>
      </c>
      <c r="BP433" s="64">
        <f t="shared" si="52"/>
        <v>1.4615384615384617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1200</v>
      </c>
      <c r="Y435" s="554">
        <f t="shared" si="47"/>
        <v>1203.8400000000001</v>
      </c>
      <c r="Z435" s="36">
        <f t="shared" si="48"/>
        <v>2.72688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1279.5454545454545</v>
      </c>
      <c r="BN435" s="64">
        <f t="shared" si="50"/>
        <v>1283.6400000000001</v>
      </c>
      <c r="BO435" s="64">
        <f t="shared" si="51"/>
        <v>2.1853146853146854</v>
      </c>
      <c r="BP435" s="64">
        <f t="shared" si="52"/>
        <v>2.1923076923076925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378.78787878787875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380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4.5448000000000004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2000</v>
      </c>
      <c r="Y442" s="555">
        <f>IFERROR(SUM(Y429:Y440),"0")</f>
        <v>2006.4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800</v>
      </c>
      <c r="Y444" s="554">
        <f>IFERROR(IF(X444="",0,CEILING((X444/$H444),1)*$H444),"")</f>
        <v>802.56000000000006</v>
      </c>
      <c r="Z444" s="36">
        <f>IFERROR(IF(Y444=0,"",ROUNDUP(Y444/H444,0)*0.01196),"")</f>
        <v>1.81792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853.030303030303</v>
      </c>
      <c r="BN444" s="64">
        <f>IFERROR(Y444*I444/H444,"0")</f>
        <v>855.76</v>
      </c>
      <c r="BO444" s="64">
        <f>IFERROR(1/J444*(X444/H444),"0")</f>
        <v>1.4568764568764567</v>
      </c>
      <c r="BP444" s="64">
        <f>IFERROR(1/J444*(Y444/H444),"0")</f>
        <v>1.4615384615384617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151.5151515151515</v>
      </c>
      <c r="Y447" s="555">
        <f>IFERROR(Y444/H444,"0")+IFERROR(Y445/H445,"0")+IFERROR(Y446/H446,"0")</f>
        <v>152</v>
      </c>
      <c r="Z447" s="555">
        <f>IFERROR(IF(Z444="",0,Z444),"0")+IFERROR(IF(Z445="",0,Z445),"0")+IFERROR(IF(Z446="",0,Z446),"0")</f>
        <v>1.81792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800</v>
      </c>
      <c r="Y448" s="555">
        <f>IFERROR(SUM(Y444:Y446),"0")</f>
        <v>802.56000000000006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300</v>
      </c>
      <c r="Y451" s="554">
        <f t="shared" si="53"/>
        <v>300.96000000000004</v>
      </c>
      <c r="Z451" s="36">
        <f>IFERROR(IF(Y451=0,"",ROUNDUP(Y451/H451,0)*0.01196),"")</f>
        <v>0.68171999999999999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319.88636363636363</v>
      </c>
      <c r="BN451" s="64">
        <f t="shared" si="55"/>
        <v>320.91000000000003</v>
      </c>
      <c r="BO451" s="64">
        <f t="shared" si="56"/>
        <v>0.54632867132867136</v>
      </c>
      <c r="BP451" s="64">
        <f t="shared" si="57"/>
        <v>0.54807692307692313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700</v>
      </c>
      <c r="Y452" s="554">
        <f t="shared" si="53"/>
        <v>702.24</v>
      </c>
      <c r="Z452" s="36">
        <f>IFERROR(IF(Y452=0,"",ROUNDUP(Y452/H452,0)*0.01196),"")</f>
        <v>1.5906800000000001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746.40151515151513</v>
      </c>
      <c r="BN452" s="64">
        <f t="shared" si="55"/>
        <v>748.79</v>
      </c>
      <c r="BO452" s="64">
        <f t="shared" si="56"/>
        <v>1.2747668997668997</v>
      </c>
      <c r="BP452" s="64">
        <f t="shared" si="57"/>
        <v>1.278846153846154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189.39393939393938</v>
      </c>
      <c r="Y456" s="555">
        <f>IFERROR(Y450/H450,"0")+IFERROR(Y451/H451,"0")+IFERROR(Y452/H452,"0")+IFERROR(Y453/H453,"0")+IFERROR(Y454/H454,"0")+IFERROR(Y455/H455,"0")</f>
        <v>190</v>
      </c>
      <c r="Z456" s="555">
        <f>IFERROR(IF(Z450="",0,Z450),"0")+IFERROR(IF(Z451="",0,Z451),"0")+IFERROR(IF(Z452="",0,Z452),"0")+IFERROR(IF(Z453="",0,Z453),"0")+IFERROR(IF(Z454="",0,Z454),"0")+IFERROR(IF(Z455="",0,Z455),"0")</f>
        <v>2.2724000000000002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1000</v>
      </c>
      <c r="Y457" s="555">
        <f>IFERROR(SUM(Y450:Y455),"0")</f>
        <v>1003.2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8500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8556.9600000000009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8964.7813468013464</v>
      </c>
      <c r="Y496" s="555">
        <f>IFERROR(SUM(BN22:BN492),"0")</f>
        <v>9024.3900000000031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15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9339.7813468013464</v>
      </c>
      <c r="Y498" s="555">
        <f>GrossWeightTotalR+PalletQtyTotalR*25</f>
        <v>9399.3900000000031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1308.2268842268841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1315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17.109930000000002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205.20000000000002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943.80000000000007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202.79999999999998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2385</v>
      </c>
      <c r="T505" s="46">
        <f>IFERROR(Y375*1,"0")+IFERROR(Y376*1,"0")+IFERROR(Y380*1,"0")+IFERROR(Y381*1,"0")+IFERROR(Y385*1,"0")+IFERROR(Y386*1,"0")+IFERROR(Y387*1,"0")</f>
        <v>1008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3812.16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08,23"/>
        <filter val="1 360,00"/>
        <filter val="100,00"/>
        <filter val="111,11"/>
        <filter val="15"/>
        <filter val="151,52"/>
        <filter val="18,52"/>
        <filter val="183,33"/>
        <filter val="189,39"/>
        <filter val="2 000,00"/>
        <filter val="200,00"/>
        <filter val="240,00"/>
        <filter val="25,64"/>
        <filter val="300,00"/>
        <filter val="378,79"/>
        <filter val="440,00"/>
        <filter val="460,00"/>
        <filter val="500,00"/>
        <filter val="66,67"/>
        <filter val="700,00"/>
        <filter val="8 500,00"/>
        <filter val="8 964,78"/>
        <filter val="800,00"/>
        <filter val="9 339,78"/>
        <filter val="90,67"/>
        <filter val="92,59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