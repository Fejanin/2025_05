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264CB45-3C51-4BD5-9AD4-13218545092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O482" i="1"/>
  <c r="BM482" i="1"/>
  <c r="Y482" i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BP474" i="1" s="1"/>
  <c r="P474" i="1"/>
  <c r="BO473" i="1"/>
  <c r="BM473" i="1"/>
  <c r="Y473" i="1"/>
  <c r="P473" i="1"/>
  <c r="X471" i="1"/>
  <c r="X470" i="1"/>
  <c r="BO469" i="1"/>
  <c r="BM469" i="1"/>
  <c r="Y469" i="1"/>
  <c r="P469" i="1"/>
  <c r="BO468" i="1"/>
  <c r="BM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O462" i="1"/>
  <c r="BM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O450" i="1"/>
  <c r="BM450" i="1"/>
  <c r="Y450" i="1"/>
  <c r="BP450" i="1" s="1"/>
  <c r="P450" i="1"/>
  <c r="BO449" i="1"/>
  <c r="BM449" i="1"/>
  <c r="Y449" i="1"/>
  <c r="P449" i="1"/>
  <c r="BO448" i="1"/>
  <c r="BM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X443" i="1"/>
  <c r="BO442" i="1"/>
  <c r="BM442" i="1"/>
  <c r="Y442" i="1"/>
  <c r="BP442" i="1" s="1"/>
  <c r="P442" i="1"/>
  <c r="BO441" i="1"/>
  <c r="BM441" i="1"/>
  <c r="Y441" i="1"/>
  <c r="P441" i="1"/>
  <c r="BO440" i="1"/>
  <c r="BM440" i="1"/>
  <c r="Y440" i="1"/>
  <c r="Y443" i="1" s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BP432" i="1" s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6" i="1"/>
  <c r="X415" i="1"/>
  <c r="BO414" i="1"/>
  <c r="BM414" i="1"/>
  <c r="Y414" i="1"/>
  <c r="P414" i="1"/>
  <c r="BO413" i="1"/>
  <c r="BM413" i="1"/>
  <c r="Y413" i="1"/>
  <c r="P413" i="1"/>
  <c r="BO412" i="1"/>
  <c r="BM412" i="1"/>
  <c r="Y412" i="1"/>
  <c r="BP412" i="1" s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O401" i="1"/>
  <c r="BM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BP393" i="1" s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5" i="1"/>
  <c r="Y384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BP377" i="1" s="1"/>
  <c r="P377" i="1"/>
  <c r="BO376" i="1"/>
  <c r="BM376" i="1"/>
  <c r="Y376" i="1"/>
  <c r="P376" i="1"/>
  <c r="X374" i="1"/>
  <c r="X373" i="1"/>
  <c r="BO372" i="1"/>
  <c r="BM372" i="1"/>
  <c r="Y372" i="1"/>
  <c r="P372" i="1"/>
  <c r="BO371" i="1"/>
  <c r="BM371" i="1"/>
  <c r="Y371" i="1"/>
  <c r="P371" i="1"/>
  <c r="X368" i="1"/>
  <c r="X367" i="1"/>
  <c r="BO366" i="1"/>
  <c r="BM366" i="1"/>
  <c r="Y366" i="1"/>
  <c r="P366" i="1"/>
  <c r="X364" i="1"/>
  <c r="X363" i="1"/>
  <c r="BO362" i="1"/>
  <c r="BM362" i="1"/>
  <c r="Y362" i="1"/>
  <c r="P362" i="1"/>
  <c r="BO361" i="1"/>
  <c r="BM361" i="1"/>
  <c r="Y361" i="1"/>
  <c r="Y363" i="1" s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P350" i="1" s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Y341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O338" i="1"/>
  <c r="BM338" i="1"/>
  <c r="Y338" i="1"/>
  <c r="P338" i="1"/>
  <c r="X335" i="1"/>
  <c r="X334" i="1"/>
  <c r="BO333" i="1"/>
  <c r="BM333" i="1"/>
  <c r="Y333" i="1"/>
  <c r="BP333" i="1" s="1"/>
  <c r="P333" i="1"/>
  <c r="BO332" i="1"/>
  <c r="BM332" i="1"/>
  <c r="Y332" i="1"/>
  <c r="P332" i="1"/>
  <c r="BO331" i="1"/>
  <c r="BM331" i="1"/>
  <c r="Y331" i="1"/>
  <c r="P331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O325" i="1"/>
  <c r="BM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O319" i="1"/>
  <c r="BM319" i="1"/>
  <c r="Y319" i="1"/>
  <c r="BP319" i="1" s="1"/>
  <c r="P319" i="1"/>
  <c r="BO318" i="1"/>
  <c r="BM318" i="1"/>
  <c r="Y318" i="1"/>
  <c r="P318" i="1"/>
  <c r="X316" i="1"/>
  <c r="X315" i="1"/>
  <c r="BO314" i="1"/>
  <c r="BM314" i="1"/>
  <c r="Y314" i="1"/>
  <c r="P314" i="1"/>
  <c r="BO313" i="1"/>
  <c r="BM313" i="1"/>
  <c r="Y313" i="1"/>
  <c r="P313" i="1"/>
  <c r="BO312" i="1"/>
  <c r="BM312" i="1"/>
  <c r="Y312" i="1"/>
  <c r="P312" i="1"/>
  <c r="BP311" i="1"/>
  <c r="BO311" i="1"/>
  <c r="BN311" i="1"/>
  <c r="BM311" i="1"/>
  <c r="Z311" i="1"/>
  <c r="Y311" i="1"/>
  <c r="P311" i="1"/>
  <c r="X309" i="1"/>
  <c r="X308" i="1"/>
  <c r="BO307" i="1"/>
  <c r="BM307" i="1"/>
  <c r="Y307" i="1"/>
  <c r="P307" i="1"/>
  <c r="BO306" i="1"/>
  <c r="BM306" i="1"/>
  <c r="Y306" i="1"/>
  <c r="P306" i="1"/>
  <c r="BO305" i="1"/>
  <c r="BM305" i="1"/>
  <c r="Y305" i="1"/>
  <c r="BP305" i="1" s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O288" i="1"/>
  <c r="BM288" i="1"/>
  <c r="Y288" i="1"/>
  <c r="BP288" i="1" s="1"/>
  <c r="P288" i="1"/>
  <c r="X286" i="1"/>
  <c r="X285" i="1"/>
  <c r="BO284" i="1"/>
  <c r="BM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O270" i="1"/>
  <c r="BM270" i="1"/>
  <c r="Y270" i="1"/>
  <c r="Z270" i="1" s="1"/>
  <c r="P270" i="1"/>
  <c r="BO269" i="1"/>
  <c r="BM269" i="1"/>
  <c r="Y269" i="1"/>
  <c r="P269" i="1"/>
  <c r="BO268" i="1"/>
  <c r="BM268" i="1"/>
  <c r="Y268" i="1"/>
  <c r="BP268" i="1" s="1"/>
  <c r="P268" i="1"/>
  <c r="X265" i="1"/>
  <c r="X264" i="1"/>
  <c r="BO263" i="1"/>
  <c r="BM263" i="1"/>
  <c r="Y263" i="1"/>
  <c r="BP263" i="1" s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O259" i="1"/>
  <c r="BM259" i="1"/>
  <c r="Y259" i="1"/>
  <c r="BP259" i="1" s="1"/>
  <c r="P259" i="1"/>
  <c r="X256" i="1"/>
  <c r="X255" i="1"/>
  <c r="BO254" i="1"/>
  <c r="BM254" i="1"/>
  <c r="Y254" i="1"/>
  <c r="BP254" i="1" s="1"/>
  <c r="P254" i="1"/>
  <c r="BO253" i="1"/>
  <c r="BM253" i="1"/>
  <c r="Y253" i="1"/>
  <c r="P253" i="1"/>
  <c r="BO252" i="1"/>
  <c r="BM252" i="1"/>
  <c r="Y252" i="1"/>
  <c r="BP252" i="1" s="1"/>
  <c r="P252" i="1"/>
  <c r="BO251" i="1"/>
  <c r="BM251" i="1"/>
  <c r="Y251" i="1"/>
  <c r="P251" i="1"/>
  <c r="BP250" i="1"/>
  <c r="BO250" i="1"/>
  <c r="BN250" i="1"/>
  <c r="BM250" i="1"/>
  <c r="Z250" i="1"/>
  <c r="Y250" i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O238" i="1"/>
  <c r="BM238" i="1"/>
  <c r="Y238" i="1"/>
  <c r="BP238" i="1" s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BP230" i="1" s="1"/>
  <c r="P230" i="1"/>
  <c r="X227" i="1"/>
  <c r="X226" i="1"/>
  <c r="BO225" i="1"/>
  <c r="BM225" i="1"/>
  <c r="Y225" i="1"/>
  <c r="BP225" i="1" s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O201" i="1"/>
  <c r="BM201" i="1"/>
  <c r="Y201" i="1"/>
  <c r="BP201" i="1" s="1"/>
  <c r="P201" i="1"/>
  <c r="X199" i="1"/>
  <c r="X198" i="1"/>
  <c r="BO197" i="1"/>
  <c r="BM197" i="1"/>
  <c r="Y197" i="1"/>
  <c r="BP197" i="1" s="1"/>
  <c r="P197" i="1"/>
  <c r="BO196" i="1"/>
  <c r="BM196" i="1"/>
  <c r="Y196" i="1"/>
  <c r="Y198" i="1" s="1"/>
  <c r="P196" i="1"/>
  <c r="X194" i="1"/>
  <c r="X193" i="1"/>
  <c r="BO192" i="1"/>
  <c r="BM192" i="1"/>
  <c r="Y192" i="1"/>
  <c r="BP192" i="1" s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O173" i="1"/>
  <c r="BM173" i="1"/>
  <c r="Y173" i="1"/>
  <c r="BP173" i="1" s="1"/>
  <c r="BO172" i="1"/>
  <c r="BM172" i="1"/>
  <c r="Y172" i="1"/>
  <c r="BP172" i="1" s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BO166" i="1"/>
  <c r="BM166" i="1"/>
  <c r="Y166" i="1"/>
  <c r="BP166" i="1" s="1"/>
  <c r="P166" i="1"/>
  <c r="BO165" i="1"/>
  <c r="BM165" i="1"/>
  <c r="Y165" i="1"/>
  <c r="X163" i="1"/>
  <c r="X162" i="1"/>
  <c r="BO161" i="1"/>
  <c r="BM161" i="1"/>
  <c r="Y161" i="1"/>
  <c r="Y162" i="1" s="1"/>
  <c r="P161" i="1"/>
  <c r="X157" i="1"/>
  <c r="X156" i="1"/>
  <c r="BO155" i="1"/>
  <c r="BM155" i="1"/>
  <c r="Y155" i="1"/>
  <c r="Y157" i="1" s="1"/>
  <c r="P155" i="1"/>
  <c r="X153" i="1"/>
  <c r="X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BP149" i="1" s="1"/>
  <c r="P149" i="1"/>
  <c r="X147" i="1"/>
  <c r="X146" i="1"/>
  <c r="BO145" i="1"/>
  <c r="BM145" i="1"/>
  <c r="Y145" i="1"/>
  <c r="BP145" i="1" s="1"/>
  <c r="P145" i="1"/>
  <c r="BO144" i="1"/>
  <c r="BM144" i="1"/>
  <c r="Y144" i="1"/>
  <c r="P144" i="1"/>
  <c r="X141" i="1"/>
  <c r="X140" i="1"/>
  <c r="BO139" i="1"/>
  <c r="BM139" i="1"/>
  <c r="Y139" i="1"/>
  <c r="P139" i="1"/>
  <c r="BO138" i="1"/>
  <c r="BM138" i="1"/>
  <c r="Z138" i="1"/>
  <c r="Y138" i="1"/>
  <c r="BP138" i="1" s="1"/>
  <c r="P138" i="1"/>
  <c r="X136" i="1"/>
  <c r="X135" i="1"/>
  <c r="BO134" i="1"/>
  <c r="BM134" i="1"/>
  <c r="Y134" i="1"/>
  <c r="BP134" i="1" s="1"/>
  <c r="P134" i="1"/>
  <c r="BO133" i="1"/>
  <c r="BM133" i="1"/>
  <c r="Y133" i="1"/>
  <c r="Y135" i="1" s="1"/>
  <c r="P133" i="1"/>
  <c r="X131" i="1"/>
  <c r="X130" i="1"/>
  <c r="BO129" i="1"/>
  <c r="BM129" i="1"/>
  <c r="Y129" i="1"/>
  <c r="P129" i="1"/>
  <c r="BO128" i="1"/>
  <c r="BM128" i="1"/>
  <c r="Y128" i="1"/>
  <c r="BP128" i="1" s="1"/>
  <c r="P128" i="1"/>
  <c r="X125" i="1"/>
  <c r="X124" i="1"/>
  <c r="BO123" i="1"/>
  <c r="BM123" i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P118" i="1"/>
  <c r="BO117" i="1"/>
  <c r="BM117" i="1"/>
  <c r="Y117" i="1"/>
  <c r="BP117" i="1" s="1"/>
  <c r="P117" i="1"/>
  <c r="BO116" i="1"/>
  <c r="BM116" i="1"/>
  <c r="Y116" i="1"/>
  <c r="P116" i="1"/>
  <c r="X114" i="1"/>
  <c r="X113" i="1"/>
  <c r="BO112" i="1"/>
  <c r="BM112" i="1"/>
  <c r="Y112" i="1"/>
  <c r="P112" i="1"/>
  <c r="BO111" i="1"/>
  <c r="BM111" i="1"/>
  <c r="Y111" i="1"/>
  <c r="BP111" i="1" s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O104" i="1"/>
  <c r="BM104" i="1"/>
  <c r="Y104" i="1"/>
  <c r="BP104" i="1" s="1"/>
  <c r="P104" i="1"/>
  <c r="BO103" i="1"/>
  <c r="BM103" i="1"/>
  <c r="Y103" i="1"/>
  <c r="P103" i="1"/>
  <c r="BO102" i="1"/>
  <c r="BM102" i="1"/>
  <c r="Y102" i="1"/>
  <c r="BP102" i="1" s="1"/>
  <c r="BO101" i="1"/>
  <c r="BM101" i="1"/>
  <c r="Y101" i="1"/>
  <c r="BP101" i="1" s="1"/>
  <c r="P101" i="1"/>
  <c r="X98" i="1"/>
  <c r="X97" i="1"/>
  <c r="BP96" i="1"/>
  <c r="BO96" i="1"/>
  <c r="BN96" i="1"/>
  <c r="BM96" i="1"/>
  <c r="Z96" i="1"/>
  <c r="Y96" i="1"/>
  <c r="P96" i="1"/>
  <c r="BO95" i="1"/>
  <c r="BM95" i="1"/>
  <c r="Y95" i="1"/>
  <c r="P95" i="1"/>
  <c r="BO94" i="1"/>
  <c r="BM94" i="1"/>
  <c r="Y94" i="1"/>
  <c r="BP94" i="1" s="1"/>
  <c r="P94" i="1"/>
  <c r="BO93" i="1"/>
  <c r="BM93" i="1"/>
  <c r="Y93" i="1"/>
  <c r="P93" i="1"/>
  <c r="X91" i="1"/>
  <c r="X90" i="1"/>
  <c r="BO89" i="1"/>
  <c r="BM89" i="1"/>
  <c r="Y89" i="1"/>
  <c r="P89" i="1"/>
  <c r="BO88" i="1"/>
  <c r="BM88" i="1"/>
  <c r="Y88" i="1"/>
  <c r="BP88" i="1" s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BP80" i="1" s="1"/>
  <c r="P80" i="1"/>
  <c r="X78" i="1"/>
  <c r="X77" i="1"/>
  <c r="BO76" i="1"/>
  <c r="BM76" i="1"/>
  <c r="Y76" i="1"/>
  <c r="BP76" i="1" s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X71" i="1"/>
  <c r="X70" i="1"/>
  <c r="BO69" i="1"/>
  <c r="BM69" i="1"/>
  <c r="Y69" i="1"/>
  <c r="P69" i="1"/>
  <c r="BO68" i="1"/>
  <c r="BM68" i="1"/>
  <c r="Y68" i="1"/>
  <c r="BP68" i="1" s="1"/>
  <c r="P68" i="1"/>
  <c r="BO67" i="1"/>
  <c r="BM67" i="1"/>
  <c r="Y67" i="1"/>
  <c r="P67" i="1"/>
  <c r="X65" i="1"/>
  <c r="X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491" i="1" s="1"/>
  <c r="X24" i="1"/>
  <c r="BP23" i="1"/>
  <c r="BO23" i="1"/>
  <c r="BN23" i="1"/>
  <c r="BM23" i="1"/>
  <c r="Z23" i="1"/>
  <c r="Y23" i="1"/>
  <c r="P23" i="1"/>
  <c r="BO22" i="1"/>
  <c r="BM22" i="1"/>
  <c r="X492" i="1" s="1"/>
  <c r="Y22" i="1"/>
  <c r="P22" i="1"/>
  <c r="H10" i="1"/>
  <c r="A9" i="1"/>
  <c r="F10" i="1" s="1"/>
  <c r="D7" i="1"/>
  <c r="Q6" i="1"/>
  <c r="P2" i="1"/>
  <c r="B501" i="1" l="1"/>
  <c r="X493" i="1"/>
  <c r="X494" i="1" s="1"/>
  <c r="Z27" i="1"/>
  <c r="BN27" i="1"/>
  <c r="BP27" i="1"/>
  <c r="Z43" i="1"/>
  <c r="BN43" i="1"/>
  <c r="Z62" i="1"/>
  <c r="BN62" i="1"/>
  <c r="Z80" i="1"/>
  <c r="BN80" i="1"/>
  <c r="Z88" i="1"/>
  <c r="BN88" i="1"/>
  <c r="Z111" i="1"/>
  <c r="BN111" i="1"/>
  <c r="Z134" i="1"/>
  <c r="BN134" i="1"/>
  <c r="Z149" i="1"/>
  <c r="BN149" i="1"/>
  <c r="Z166" i="1"/>
  <c r="BN166" i="1"/>
  <c r="Z192" i="1"/>
  <c r="BN192" i="1"/>
  <c r="Z207" i="1"/>
  <c r="BN207" i="1"/>
  <c r="Z219" i="1"/>
  <c r="BN219" i="1"/>
  <c r="Z236" i="1"/>
  <c r="BN236" i="1"/>
  <c r="Z254" i="1"/>
  <c r="BN254" i="1"/>
  <c r="Z268" i="1"/>
  <c r="BN268" i="1"/>
  <c r="Z288" i="1"/>
  <c r="BN288" i="1"/>
  <c r="Z305" i="1"/>
  <c r="BN305" i="1"/>
  <c r="Z319" i="1"/>
  <c r="BN319" i="1"/>
  <c r="Z333" i="1"/>
  <c r="BN333" i="1"/>
  <c r="Z350" i="1"/>
  <c r="BN350" i="1"/>
  <c r="Z377" i="1"/>
  <c r="BN377" i="1"/>
  <c r="Z393" i="1"/>
  <c r="BN393" i="1"/>
  <c r="Z412" i="1"/>
  <c r="BN412" i="1"/>
  <c r="Z432" i="1"/>
  <c r="BN432" i="1"/>
  <c r="Z442" i="1"/>
  <c r="BN442" i="1"/>
  <c r="Z450" i="1"/>
  <c r="BN450" i="1"/>
  <c r="Z474" i="1"/>
  <c r="BN474" i="1"/>
  <c r="Z29" i="1"/>
  <c r="BN29" i="1"/>
  <c r="Z35" i="1"/>
  <c r="Z36" i="1" s="1"/>
  <c r="BN35" i="1"/>
  <c r="BP35" i="1"/>
  <c r="Y36" i="1"/>
  <c r="Z41" i="1"/>
  <c r="BN41" i="1"/>
  <c r="Z47" i="1"/>
  <c r="Z48" i="1" s="1"/>
  <c r="BN47" i="1"/>
  <c r="BP47" i="1"/>
  <c r="Y48" i="1"/>
  <c r="Z52" i="1"/>
  <c r="BN52" i="1"/>
  <c r="Z56" i="1"/>
  <c r="BN56" i="1"/>
  <c r="Z68" i="1"/>
  <c r="BN68" i="1"/>
  <c r="Z76" i="1"/>
  <c r="BN76" i="1"/>
  <c r="Z94" i="1"/>
  <c r="BN94" i="1"/>
  <c r="Z101" i="1"/>
  <c r="BN101" i="1"/>
  <c r="Z102" i="1"/>
  <c r="BN102" i="1"/>
  <c r="Z117" i="1"/>
  <c r="BN117" i="1"/>
  <c r="Z123" i="1"/>
  <c r="Z124" i="1" s="1"/>
  <c r="BN123" i="1"/>
  <c r="BP123" i="1"/>
  <c r="Y124" i="1"/>
  <c r="Z128" i="1"/>
  <c r="BN128" i="1"/>
  <c r="Z145" i="1"/>
  <c r="BN145" i="1"/>
  <c r="Y153" i="1"/>
  <c r="Z151" i="1"/>
  <c r="BN151" i="1"/>
  <c r="Y152" i="1"/>
  <c r="Z155" i="1"/>
  <c r="Z156" i="1" s="1"/>
  <c r="BN155" i="1"/>
  <c r="BP155" i="1"/>
  <c r="Y156" i="1"/>
  <c r="Z161" i="1"/>
  <c r="Z162" i="1" s="1"/>
  <c r="BN161" i="1"/>
  <c r="BP161" i="1"/>
  <c r="Z168" i="1"/>
  <c r="BN168" i="1"/>
  <c r="Z172" i="1"/>
  <c r="BN172" i="1"/>
  <c r="Z173" i="1"/>
  <c r="BN173" i="1"/>
  <c r="Z181" i="1"/>
  <c r="BN181" i="1"/>
  <c r="Z196" i="1"/>
  <c r="BN196" i="1"/>
  <c r="Z197" i="1"/>
  <c r="BN197" i="1"/>
  <c r="Z201" i="1"/>
  <c r="BN201" i="1"/>
  <c r="Z205" i="1"/>
  <c r="BN205" i="1"/>
  <c r="Z213" i="1"/>
  <c r="BN213" i="1"/>
  <c r="Z217" i="1"/>
  <c r="BN217" i="1"/>
  <c r="Z225" i="1"/>
  <c r="BN225" i="1"/>
  <c r="Z230" i="1"/>
  <c r="BN230" i="1"/>
  <c r="Z234" i="1"/>
  <c r="BN234" i="1"/>
  <c r="Z238" i="1"/>
  <c r="BN238" i="1"/>
  <c r="Z252" i="1"/>
  <c r="BN252" i="1"/>
  <c r="Z259" i="1"/>
  <c r="BN259" i="1"/>
  <c r="Z263" i="1"/>
  <c r="BN263" i="1"/>
  <c r="BP295" i="1"/>
  <c r="BN295" i="1"/>
  <c r="Z295" i="1"/>
  <c r="BP307" i="1"/>
  <c r="BN307" i="1"/>
  <c r="Z307" i="1"/>
  <c r="BP325" i="1"/>
  <c r="BN325" i="1"/>
  <c r="Z325" i="1"/>
  <c r="BP338" i="1"/>
  <c r="BN338" i="1"/>
  <c r="Z338" i="1"/>
  <c r="BP352" i="1"/>
  <c r="BN352" i="1"/>
  <c r="Z352" i="1"/>
  <c r="Y385" i="1"/>
  <c r="BP381" i="1"/>
  <c r="BN381" i="1"/>
  <c r="Z381" i="1"/>
  <c r="BP395" i="1"/>
  <c r="BN395" i="1"/>
  <c r="Z395" i="1"/>
  <c r="BP414" i="1"/>
  <c r="BN414" i="1"/>
  <c r="Z414" i="1"/>
  <c r="BP434" i="1"/>
  <c r="BN434" i="1"/>
  <c r="Z434" i="1"/>
  <c r="BP448" i="1"/>
  <c r="BN448" i="1"/>
  <c r="Z448" i="1"/>
  <c r="BP468" i="1"/>
  <c r="BN468" i="1"/>
  <c r="Z468" i="1"/>
  <c r="Z104" i="1"/>
  <c r="BN104" i="1"/>
  <c r="BN138" i="1"/>
  <c r="BP270" i="1"/>
  <c r="BN270" i="1"/>
  <c r="BP284" i="1"/>
  <c r="BN284" i="1"/>
  <c r="Z284" i="1"/>
  <c r="BP303" i="1"/>
  <c r="BN303" i="1"/>
  <c r="Z303" i="1"/>
  <c r="BP313" i="1"/>
  <c r="BN313" i="1"/>
  <c r="Z313" i="1"/>
  <c r="BP331" i="1"/>
  <c r="BN331" i="1"/>
  <c r="Z331" i="1"/>
  <c r="BP348" i="1"/>
  <c r="BN348" i="1"/>
  <c r="Z348" i="1"/>
  <c r="BP362" i="1"/>
  <c r="BN362" i="1"/>
  <c r="Z362" i="1"/>
  <c r="Y368" i="1"/>
  <c r="Y367" i="1"/>
  <c r="BP366" i="1"/>
  <c r="BN366" i="1"/>
  <c r="Z366" i="1"/>
  <c r="Z367" i="1" s="1"/>
  <c r="BP371" i="1"/>
  <c r="BN371" i="1"/>
  <c r="Z371" i="1"/>
  <c r="BP391" i="1"/>
  <c r="BN391" i="1"/>
  <c r="Z391" i="1"/>
  <c r="BP401" i="1"/>
  <c r="BN401" i="1"/>
  <c r="Z401" i="1"/>
  <c r="BP430" i="1"/>
  <c r="BN430" i="1"/>
  <c r="Z430" i="1"/>
  <c r="Y444" i="1"/>
  <c r="BP440" i="1"/>
  <c r="BN440" i="1"/>
  <c r="Z440" i="1"/>
  <c r="BP462" i="1"/>
  <c r="BN462" i="1"/>
  <c r="Z462" i="1"/>
  <c r="Y480" i="1"/>
  <c r="Y479" i="1"/>
  <c r="BP478" i="1"/>
  <c r="BN478" i="1"/>
  <c r="Z478" i="1"/>
  <c r="Z479" i="1" s="1"/>
  <c r="Y484" i="1"/>
  <c r="BP482" i="1"/>
  <c r="BN482" i="1"/>
  <c r="Z482" i="1"/>
  <c r="Y290" i="1"/>
  <c r="Y358" i="1"/>
  <c r="H9" i="1"/>
  <c r="A10" i="1"/>
  <c r="Y24" i="1"/>
  <c r="Y32" i="1"/>
  <c r="Y44" i="1"/>
  <c r="Y59" i="1"/>
  <c r="Y64" i="1"/>
  <c r="BP61" i="1"/>
  <c r="BN61" i="1"/>
  <c r="Z61" i="1"/>
  <c r="BP69" i="1"/>
  <c r="BN69" i="1"/>
  <c r="Z69" i="1"/>
  <c r="Y71" i="1"/>
  <c r="Y78" i="1"/>
  <c r="BP73" i="1"/>
  <c r="BN73" i="1"/>
  <c r="Z73" i="1"/>
  <c r="Y77" i="1"/>
  <c r="BP81" i="1"/>
  <c r="BN81" i="1"/>
  <c r="Z81" i="1"/>
  <c r="Z82" i="1" s="1"/>
  <c r="Y83" i="1"/>
  <c r="E501" i="1"/>
  <c r="Y90" i="1"/>
  <c r="BP86" i="1"/>
  <c r="BN86" i="1"/>
  <c r="Z86" i="1"/>
  <c r="BP89" i="1"/>
  <c r="BN89" i="1"/>
  <c r="Z89" i="1"/>
  <c r="Y91" i="1"/>
  <c r="Y98" i="1"/>
  <c r="BP93" i="1"/>
  <c r="BN93" i="1"/>
  <c r="Z93" i="1"/>
  <c r="Y97" i="1"/>
  <c r="BP103" i="1"/>
  <c r="BN103" i="1"/>
  <c r="Z103" i="1"/>
  <c r="BP110" i="1"/>
  <c r="BN110" i="1"/>
  <c r="Z110" i="1"/>
  <c r="BP118" i="1"/>
  <c r="BN118" i="1"/>
  <c r="Z118" i="1"/>
  <c r="BP139" i="1"/>
  <c r="BN139" i="1"/>
  <c r="Z139" i="1"/>
  <c r="Z140" i="1" s="1"/>
  <c r="Y141" i="1"/>
  <c r="H501" i="1"/>
  <c r="Y147" i="1"/>
  <c r="BP144" i="1"/>
  <c r="BN144" i="1"/>
  <c r="Z144" i="1"/>
  <c r="Z146" i="1" s="1"/>
  <c r="Y177" i="1"/>
  <c r="BP165" i="1"/>
  <c r="BN165" i="1"/>
  <c r="Z165" i="1"/>
  <c r="BP169" i="1"/>
  <c r="BN169" i="1"/>
  <c r="Z169" i="1"/>
  <c r="BP174" i="1"/>
  <c r="BN174" i="1"/>
  <c r="Z174" i="1"/>
  <c r="BP182" i="1"/>
  <c r="BN182" i="1"/>
  <c r="Z182" i="1"/>
  <c r="Y184" i="1"/>
  <c r="Y187" i="1"/>
  <c r="BP186" i="1"/>
  <c r="BN186" i="1"/>
  <c r="Z186" i="1"/>
  <c r="Z187" i="1" s="1"/>
  <c r="Y188" i="1"/>
  <c r="J501" i="1"/>
  <c r="Y194" i="1"/>
  <c r="BP191" i="1"/>
  <c r="BN191" i="1"/>
  <c r="Z191" i="1"/>
  <c r="Z193" i="1" s="1"/>
  <c r="BP296" i="1"/>
  <c r="BN296" i="1"/>
  <c r="Z296" i="1"/>
  <c r="BP304" i="1"/>
  <c r="BN304" i="1"/>
  <c r="Z304" i="1"/>
  <c r="Y308" i="1"/>
  <c r="BP312" i="1"/>
  <c r="BN312" i="1"/>
  <c r="Z312" i="1"/>
  <c r="Y316" i="1"/>
  <c r="BP320" i="1"/>
  <c r="BN320" i="1"/>
  <c r="Z320" i="1"/>
  <c r="Y322" i="1"/>
  <c r="Y329" i="1"/>
  <c r="BP324" i="1"/>
  <c r="BN324" i="1"/>
  <c r="Z324" i="1"/>
  <c r="Y328" i="1"/>
  <c r="BP332" i="1"/>
  <c r="BN332" i="1"/>
  <c r="Z332" i="1"/>
  <c r="Y334" i="1"/>
  <c r="D501" i="1"/>
  <c r="F9" i="1"/>
  <c r="J9" i="1"/>
  <c r="Z22" i="1"/>
  <c r="Z24" i="1" s="1"/>
  <c r="BN22" i="1"/>
  <c r="BP22" i="1"/>
  <c r="X495" i="1"/>
  <c r="Y25" i="1"/>
  <c r="Z28" i="1"/>
  <c r="BN28" i="1"/>
  <c r="Z30" i="1"/>
  <c r="BN30" i="1"/>
  <c r="C501" i="1"/>
  <c r="Z42" i="1"/>
  <c r="Z44" i="1" s="1"/>
  <c r="BN42" i="1"/>
  <c r="Y45" i="1"/>
  <c r="Y58" i="1"/>
  <c r="Z53" i="1"/>
  <c r="BN53" i="1"/>
  <c r="Z55" i="1"/>
  <c r="BN55" i="1"/>
  <c r="Z57" i="1"/>
  <c r="BN57" i="1"/>
  <c r="BP63" i="1"/>
  <c r="BN63" i="1"/>
  <c r="Z63" i="1"/>
  <c r="Y65" i="1"/>
  <c r="Y70" i="1"/>
  <c r="BP67" i="1"/>
  <c r="BN67" i="1"/>
  <c r="Z67" i="1"/>
  <c r="BP75" i="1"/>
  <c r="BN75" i="1"/>
  <c r="Z75" i="1"/>
  <c r="Y82" i="1"/>
  <c r="BP87" i="1"/>
  <c r="BN87" i="1"/>
  <c r="Z87" i="1"/>
  <c r="BP95" i="1"/>
  <c r="BN95" i="1"/>
  <c r="Z95" i="1"/>
  <c r="BP105" i="1"/>
  <c r="BN105" i="1"/>
  <c r="Z105" i="1"/>
  <c r="Y107" i="1"/>
  <c r="Y113" i="1"/>
  <c r="BP109" i="1"/>
  <c r="BN109" i="1"/>
  <c r="Z109" i="1"/>
  <c r="BP112" i="1"/>
  <c r="BN112" i="1"/>
  <c r="Z112" i="1"/>
  <c r="Y114" i="1"/>
  <c r="Y121" i="1"/>
  <c r="BP116" i="1"/>
  <c r="BN116" i="1"/>
  <c r="Z116" i="1"/>
  <c r="Z120" i="1" s="1"/>
  <c r="Y120" i="1"/>
  <c r="BP129" i="1"/>
  <c r="BN129" i="1"/>
  <c r="Z129" i="1"/>
  <c r="Z130" i="1" s="1"/>
  <c r="Y131" i="1"/>
  <c r="Y136" i="1"/>
  <c r="BP133" i="1"/>
  <c r="BN133" i="1"/>
  <c r="Z133" i="1"/>
  <c r="Z135" i="1" s="1"/>
  <c r="Y140" i="1"/>
  <c r="Y146" i="1"/>
  <c r="BP150" i="1"/>
  <c r="BN150" i="1"/>
  <c r="Z150" i="1"/>
  <c r="Z152" i="1" s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Z183" i="1" s="1"/>
  <c r="Y193" i="1"/>
  <c r="BP202" i="1"/>
  <c r="BN202" i="1"/>
  <c r="Z202" i="1"/>
  <c r="Y210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Y239" i="1"/>
  <c r="BP251" i="1"/>
  <c r="BN251" i="1"/>
  <c r="Z251" i="1"/>
  <c r="Y255" i="1"/>
  <c r="BP260" i="1"/>
  <c r="BN260" i="1"/>
  <c r="Z260" i="1"/>
  <c r="L501" i="1"/>
  <c r="Y264" i="1"/>
  <c r="BP269" i="1"/>
  <c r="BN269" i="1"/>
  <c r="Z269" i="1"/>
  <c r="Y273" i="1"/>
  <c r="BP278" i="1"/>
  <c r="BN278" i="1"/>
  <c r="Z278" i="1"/>
  <c r="Y280" i="1"/>
  <c r="P501" i="1"/>
  <c r="Y286" i="1"/>
  <c r="BP283" i="1"/>
  <c r="BN283" i="1"/>
  <c r="Z283" i="1"/>
  <c r="Z285" i="1" s="1"/>
  <c r="Y285" i="1"/>
  <c r="BP347" i="1"/>
  <c r="BN347" i="1"/>
  <c r="Z347" i="1"/>
  <c r="BP351" i="1"/>
  <c r="BN351" i="1"/>
  <c r="Z351" i="1"/>
  <c r="BP390" i="1"/>
  <c r="BN390" i="1"/>
  <c r="Z390" i="1"/>
  <c r="BP394" i="1"/>
  <c r="BN394" i="1"/>
  <c r="Z394" i="1"/>
  <c r="Y398" i="1"/>
  <c r="BP402" i="1"/>
  <c r="BN402" i="1"/>
  <c r="Z402" i="1"/>
  <c r="Z403" i="1" s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501" i="1"/>
  <c r="Y465" i="1"/>
  <c r="BP469" i="1"/>
  <c r="BN469" i="1"/>
  <c r="Z469" i="1"/>
  <c r="Z470" i="1" s="1"/>
  <c r="Y471" i="1"/>
  <c r="Y476" i="1"/>
  <c r="BP473" i="1"/>
  <c r="BN473" i="1"/>
  <c r="Z473" i="1"/>
  <c r="Z475" i="1" s="1"/>
  <c r="Y475" i="1"/>
  <c r="U501" i="1"/>
  <c r="F501" i="1"/>
  <c r="Y106" i="1"/>
  <c r="G501" i="1"/>
  <c r="Y130" i="1"/>
  <c r="I501" i="1"/>
  <c r="Y163" i="1"/>
  <c r="Y199" i="1"/>
  <c r="BP196" i="1"/>
  <c r="Y209" i="1"/>
  <c r="BP204" i="1"/>
  <c r="BN204" i="1"/>
  <c r="Z204" i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56" i="1"/>
  <c r="BP253" i="1"/>
  <c r="BN253" i="1"/>
  <c r="Z253" i="1"/>
  <c r="Y265" i="1"/>
  <c r="BP262" i="1"/>
  <c r="BN262" i="1"/>
  <c r="Z262" i="1"/>
  <c r="BP271" i="1"/>
  <c r="BN271" i="1"/>
  <c r="Z271" i="1"/>
  <c r="Z272" i="1" s="1"/>
  <c r="O501" i="1"/>
  <c r="Y279" i="1"/>
  <c r="BP276" i="1"/>
  <c r="BN276" i="1"/>
  <c r="Z276" i="1"/>
  <c r="Z279" i="1" s="1"/>
  <c r="BP289" i="1"/>
  <c r="BN289" i="1"/>
  <c r="Z289" i="1"/>
  <c r="Z290" i="1" s="1"/>
  <c r="Y291" i="1"/>
  <c r="Q501" i="1"/>
  <c r="Y299" i="1"/>
  <c r="BP294" i="1"/>
  <c r="BN294" i="1"/>
  <c r="Z294" i="1"/>
  <c r="BP298" i="1"/>
  <c r="BN298" i="1"/>
  <c r="Z298" i="1"/>
  <c r="Y300" i="1"/>
  <c r="Y309" i="1"/>
  <c r="BP302" i="1"/>
  <c r="BN302" i="1"/>
  <c r="Z302" i="1"/>
  <c r="BP306" i="1"/>
  <c r="BN306" i="1"/>
  <c r="Z306" i="1"/>
  <c r="Y315" i="1"/>
  <c r="BP314" i="1"/>
  <c r="BN314" i="1"/>
  <c r="Z314" i="1"/>
  <c r="Z315" i="1" s="1"/>
  <c r="Y321" i="1"/>
  <c r="BP318" i="1"/>
  <c r="BN318" i="1"/>
  <c r="Z318" i="1"/>
  <c r="Z321" i="1" s="1"/>
  <c r="BP326" i="1"/>
  <c r="BN326" i="1"/>
  <c r="Z326" i="1"/>
  <c r="Y335" i="1"/>
  <c r="BP339" i="1"/>
  <c r="BN339" i="1"/>
  <c r="Z339" i="1"/>
  <c r="Z341" i="1" s="1"/>
  <c r="BP349" i="1"/>
  <c r="BN349" i="1"/>
  <c r="Z349" i="1"/>
  <c r="BP372" i="1"/>
  <c r="BN372" i="1"/>
  <c r="Z372" i="1"/>
  <c r="Z373" i="1" s="1"/>
  <c r="Y374" i="1"/>
  <c r="Y379" i="1"/>
  <c r="BP376" i="1"/>
  <c r="BN376" i="1"/>
  <c r="Z376" i="1"/>
  <c r="Z378" i="1" s="1"/>
  <c r="Y378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BP382" i="1"/>
  <c r="BN382" i="1"/>
  <c r="Z382" i="1"/>
  <c r="Z384" i="1" s="1"/>
  <c r="Y399" i="1"/>
  <c r="BP392" i="1"/>
  <c r="BN392" i="1"/>
  <c r="Z392" i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BP429" i="1"/>
  <c r="BN429" i="1"/>
  <c r="Z429" i="1"/>
  <c r="BP433" i="1"/>
  <c r="BN433" i="1"/>
  <c r="Z433" i="1"/>
  <c r="Y437" i="1"/>
  <c r="BP441" i="1"/>
  <c r="BN441" i="1"/>
  <c r="Z441" i="1"/>
  <c r="Z443" i="1" s="1"/>
  <c r="Y452" i="1"/>
  <c r="BP449" i="1"/>
  <c r="BN449" i="1"/>
  <c r="Z449" i="1"/>
  <c r="BP463" i="1"/>
  <c r="BN463" i="1"/>
  <c r="Z463" i="1"/>
  <c r="Y470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W501" i="1"/>
  <c r="Y438" i="1"/>
  <c r="Z264" i="1" l="1"/>
  <c r="Z437" i="1"/>
  <c r="Z363" i="1"/>
  <c r="Z353" i="1"/>
  <c r="Z308" i="1"/>
  <c r="Z299" i="1"/>
  <c r="Z113" i="1"/>
  <c r="Z70" i="1"/>
  <c r="Z334" i="1"/>
  <c r="Z106" i="1"/>
  <c r="Z221" i="1"/>
  <c r="Z465" i="1"/>
  <c r="Z239" i="1"/>
  <c r="Z32" i="1"/>
  <c r="Z198" i="1"/>
  <c r="Z398" i="1"/>
  <c r="Z452" i="1"/>
  <c r="Z255" i="1"/>
  <c r="Z209" i="1"/>
  <c r="Z58" i="1"/>
  <c r="Z415" i="1"/>
  <c r="Y491" i="1"/>
  <c r="Y493" i="1"/>
  <c r="Z97" i="1"/>
  <c r="Z90" i="1"/>
  <c r="Z77" i="1"/>
  <c r="Z64" i="1"/>
  <c r="Y492" i="1"/>
  <c r="Y494" i="1" s="1"/>
  <c r="Z328" i="1"/>
  <c r="Z177" i="1"/>
  <c r="Y495" i="1"/>
  <c r="Z496" i="1" l="1"/>
</calcChain>
</file>

<file path=xl/sharedStrings.xml><?xml version="1.0" encoding="utf-8"?>
<sst xmlns="http://schemas.openxmlformats.org/spreadsheetml/2006/main" count="2272" uniqueCount="776">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</sst>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2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9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10" t="s">
        <v>0</v>
      </c>
      <c r="E1" s="578"/>
      <c r="F1" s="578"/>
      <c r="G1" s="12" t="s">
        <v>1</v>
      </c>
      <c r="H1" s="610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0" t="s">
        <v>8</v>
      </c>
      <c r="B5" s="655"/>
      <c r="C5" s="656"/>
      <c r="D5" s="615"/>
      <c r="E5" s="616"/>
      <c r="F5" s="833" t="s">
        <v>9</v>
      </c>
      <c r="G5" s="656"/>
      <c r="H5" s="615" t="s">
        <v>775</v>
      </c>
      <c r="I5" s="787"/>
      <c r="J5" s="787"/>
      <c r="K5" s="787"/>
      <c r="L5" s="787"/>
      <c r="M5" s="616"/>
      <c r="N5" s="58"/>
      <c r="P5" s="24" t="s">
        <v>10</v>
      </c>
      <c r="Q5" s="854">
        <v>46004</v>
      </c>
      <c r="R5" s="664"/>
      <c r="T5" s="705" t="s">
        <v>11</v>
      </c>
      <c r="U5" s="706"/>
      <c r="V5" s="708" t="s">
        <v>12</v>
      </c>
      <c r="W5" s="664"/>
      <c r="AB5" s="51"/>
      <c r="AC5" s="51"/>
      <c r="AD5" s="51"/>
      <c r="AE5" s="51"/>
    </row>
    <row r="6" spans="1:32" s="539" customFormat="1" ht="24" customHeight="1" x14ac:dyDescent="0.2">
      <c r="A6" s="670" t="s">
        <v>13</v>
      </c>
      <c r="B6" s="655"/>
      <c r="C6" s="656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64"/>
      <c r="N6" s="59"/>
      <c r="P6" s="24" t="s">
        <v>15</v>
      </c>
      <c r="Q6" s="863" t="str">
        <f>IF(Q5=0," ",CHOOSE(WEEKDAY(Q5,2),"Понедельник","Вторник","Среда","Четверг","Пятница","Суббота","Воскресенье"))</f>
        <v>Суббота</v>
      </c>
      <c r="R6" s="555"/>
      <c r="T6" s="714" t="s">
        <v>16</v>
      </c>
      <c r="U6" s="706"/>
      <c r="V6" s="742" t="s">
        <v>17</v>
      </c>
      <c r="W6" s="589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7"/>
      <c r="U7" s="706"/>
      <c r="V7" s="743"/>
      <c r="W7" s="744"/>
      <c r="AB7" s="51"/>
      <c r="AC7" s="51"/>
      <c r="AD7" s="51"/>
      <c r="AE7" s="51"/>
    </row>
    <row r="8" spans="1:32" s="539" customFormat="1" ht="25.5" customHeight="1" x14ac:dyDescent="0.2">
      <c r="A8" s="720" t="s">
        <v>18</v>
      </c>
      <c r="B8" s="561"/>
      <c r="C8" s="562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77">
        <v>0.58333333333333337</v>
      </c>
      <c r="R8" s="599"/>
      <c r="T8" s="557"/>
      <c r="U8" s="706"/>
      <c r="V8" s="743"/>
      <c r="W8" s="744"/>
      <c r="AB8" s="51"/>
      <c r="AC8" s="51"/>
      <c r="AD8" s="51"/>
      <c r="AE8" s="51"/>
    </row>
    <row r="9" spans="1:32" s="539" customFormat="1" ht="39.950000000000003" customHeight="1" x14ac:dyDescent="0.2">
      <c r="A9" s="6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65"/>
      <c r="E9" s="559"/>
      <c r="F9" s="6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58" t="str">
        <f>IF(AND($A$9="Тип доверенности/получателя при получении в адресе перегруза:",$D$9="Разовая доверенность"),"Введите ФИО","")</f>
        <v/>
      </c>
      <c r="I9" s="559"/>
      <c r="J9" s="55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9"/>
      <c r="L9" s="559"/>
      <c r="M9" s="559"/>
      <c r="N9" s="537"/>
      <c r="P9" s="26" t="s">
        <v>21</v>
      </c>
      <c r="Q9" s="658"/>
      <c r="R9" s="659"/>
      <c r="T9" s="557"/>
      <c r="U9" s="706"/>
      <c r="V9" s="745"/>
      <c r="W9" s="746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65"/>
      <c r="E10" s="559"/>
      <c r="F10" s="6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9" t="str">
        <f>IFERROR(VLOOKUP($D$10,Proxy,2,FALSE),"")</f>
        <v/>
      </c>
      <c r="I10" s="557"/>
      <c r="J10" s="557"/>
      <c r="K10" s="557"/>
      <c r="L10" s="557"/>
      <c r="M10" s="557"/>
      <c r="N10" s="538"/>
      <c r="P10" s="26" t="s">
        <v>22</v>
      </c>
      <c r="Q10" s="715"/>
      <c r="R10" s="716"/>
      <c r="U10" s="24" t="s">
        <v>23</v>
      </c>
      <c r="V10" s="588" t="s">
        <v>24</v>
      </c>
      <c r="W10" s="589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3"/>
      <c r="R11" s="664"/>
      <c r="U11" s="24" t="s">
        <v>27</v>
      </c>
      <c r="V11" s="805" t="s">
        <v>28</v>
      </c>
      <c r="W11" s="659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699" t="s">
        <v>29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30</v>
      </c>
      <c r="Q12" s="677"/>
      <c r="R12" s="599"/>
      <c r="S12" s="23"/>
      <c r="U12" s="24"/>
      <c r="V12" s="578"/>
      <c r="W12" s="557"/>
      <c r="AB12" s="51"/>
      <c r="AC12" s="51"/>
      <c r="AD12" s="51"/>
      <c r="AE12" s="51"/>
    </row>
    <row r="13" spans="1:32" s="539" customFormat="1" ht="23.25" customHeight="1" x14ac:dyDescent="0.2">
      <c r="A13" s="699" t="s">
        <v>31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32</v>
      </c>
      <c r="Q13" s="805"/>
      <c r="R13" s="65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699" t="s">
        <v>33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0" t="s">
        <v>34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688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9"/>
      <c r="Q16" s="689"/>
      <c r="R16" s="689"/>
      <c r="S16" s="689"/>
      <c r="T16" s="68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32" t="s">
        <v>36</v>
      </c>
      <c r="B17" s="632" t="s">
        <v>37</v>
      </c>
      <c r="C17" s="685" t="s">
        <v>38</v>
      </c>
      <c r="D17" s="632" t="s">
        <v>39</v>
      </c>
      <c r="E17" s="639"/>
      <c r="F17" s="632" t="s">
        <v>40</v>
      </c>
      <c r="G17" s="632" t="s">
        <v>41</v>
      </c>
      <c r="H17" s="632" t="s">
        <v>42</v>
      </c>
      <c r="I17" s="632" t="s">
        <v>43</v>
      </c>
      <c r="J17" s="632" t="s">
        <v>44</v>
      </c>
      <c r="K17" s="632" t="s">
        <v>45</v>
      </c>
      <c r="L17" s="632" t="s">
        <v>46</v>
      </c>
      <c r="M17" s="632" t="s">
        <v>47</v>
      </c>
      <c r="N17" s="632" t="s">
        <v>48</v>
      </c>
      <c r="O17" s="632" t="s">
        <v>49</v>
      </c>
      <c r="P17" s="632" t="s">
        <v>50</v>
      </c>
      <c r="Q17" s="638"/>
      <c r="R17" s="638"/>
      <c r="S17" s="638"/>
      <c r="T17" s="639"/>
      <c r="U17" s="735" t="s">
        <v>51</v>
      </c>
      <c r="V17" s="656"/>
      <c r="W17" s="632" t="s">
        <v>52</v>
      </c>
      <c r="X17" s="632" t="s">
        <v>53</v>
      </c>
      <c r="Y17" s="733" t="s">
        <v>54</v>
      </c>
      <c r="Z17" s="774" t="s">
        <v>55</v>
      </c>
      <c r="AA17" s="767" t="s">
        <v>56</v>
      </c>
      <c r="AB17" s="767" t="s">
        <v>57</v>
      </c>
      <c r="AC17" s="767" t="s">
        <v>58</v>
      </c>
      <c r="AD17" s="767" t="s">
        <v>59</v>
      </c>
      <c r="AE17" s="837"/>
      <c r="AF17" s="838"/>
      <c r="AG17" s="66"/>
      <c r="BD17" s="65" t="s">
        <v>60</v>
      </c>
    </row>
    <row r="18" spans="1:68" ht="14.25" customHeight="1" x14ac:dyDescent="0.2">
      <c r="A18" s="633"/>
      <c r="B18" s="633"/>
      <c r="C18" s="633"/>
      <c r="D18" s="640"/>
      <c r="E18" s="642"/>
      <c r="F18" s="633"/>
      <c r="G18" s="633"/>
      <c r="H18" s="633"/>
      <c r="I18" s="633"/>
      <c r="J18" s="633"/>
      <c r="K18" s="633"/>
      <c r="L18" s="633"/>
      <c r="M18" s="633"/>
      <c r="N18" s="633"/>
      <c r="O18" s="633"/>
      <c r="P18" s="640"/>
      <c r="Q18" s="641"/>
      <c r="R18" s="641"/>
      <c r="S18" s="641"/>
      <c r="T18" s="642"/>
      <c r="U18" s="67" t="s">
        <v>61</v>
      </c>
      <c r="V18" s="67" t="s">
        <v>62</v>
      </c>
      <c r="W18" s="633"/>
      <c r="X18" s="633"/>
      <c r="Y18" s="734"/>
      <c r="Z18" s="775"/>
      <c r="AA18" s="768"/>
      <c r="AB18" s="768"/>
      <c r="AC18" s="768"/>
      <c r="AD18" s="839"/>
      <c r="AE18" s="840"/>
      <c r="AF18" s="841"/>
      <c r="AG18" s="66"/>
      <c r="BD18" s="65"/>
    </row>
    <row r="19" spans="1:68" ht="27.75" hidden="1" customHeight="1" x14ac:dyDescent="0.2">
      <c r="A19" s="575" t="s">
        <v>63</v>
      </c>
      <c r="B19" s="576"/>
      <c r="C19" s="576"/>
      <c r="D19" s="576"/>
      <c r="E19" s="576"/>
      <c r="F19" s="576"/>
      <c r="G19" s="576"/>
      <c r="H19" s="576"/>
      <c r="I19" s="576"/>
      <c r="J19" s="576"/>
      <c r="K19" s="576"/>
      <c r="L19" s="576"/>
      <c r="M19" s="576"/>
      <c r="N19" s="576"/>
      <c r="O19" s="576"/>
      <c r="P19" s="576"/>
      <c r="Q19" s="576"/>
      <c r="R19" s="576"/>
      <c r="S19" s="576"/>
      <c r="T19" s="576"/>
      <c r="U19" s="576"/>
      <c r="V19" s="576"/>
      <c r="W19" s="576"/>
      <c r="X19" s="576"/>
      <c r="Y19" s="576"/>
      <c r="Z19" s="576"/>
      <c r="AA19" s="48"/>
      <c r="AB19" s="48"/>
      <c r="AC19" s="48"/>
    </row>
    <row r="20" spans="1:68" ht="16.5" hidden="1" customHeight="1" x14ac:dyDescent="0.25">
      <c r="A20" s="574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0"/>
      <c r="AB20" s="540"/>
      <c r="AC20" s="540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8"/>
      <c r="P24" s="560" t="s">
        <v>75</v>
      </c>
      <c r="Q24" s="561"/>
      <c r="R24" s="561"/>
      <c r="S24" s="561"/>
      <c r="T24" s="561"/>
      <c r="U24" s="561"/>
      <c r="V24" s="562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8"/>
      <c r="P25" s="560" t="s">
        <v>75</v>
      </c>
      <c r="Q25" s="561"/>
      <c r="R25" s="561"/>
      <c r="S25" s="561"/>
      <c r="T25" s="561"/>
      <c r="U25" s="561"/>
      <c r="V25" s="562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6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4301052063</v>
      </c>
      <c r="D29" s="554">
        <v>4680115887350</v>
      </c>
      <c r="E29" s="555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0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4301051863</v>
      </c>
      <c r="D30" s="554">
        <v>4680115885905</v>
      </c>
      <c r="E30" s="555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92</v>
      </c>
      <c r="B31" s="54" t="s">
        <v>93</v>
      </c>
      <c r="C31" s="31">
        <v>4301051851</v>
      </c>
      <c r="D31" s="554">
        <v>4607091388244</v>
      </c>
      <c r="E31" s="555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59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0"/>
      <c r="R31" s="550"/>
      <c r="S31" s="550"/>
      <c r="T31" s="551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8"/>
      <c r="P32" s="560" t="s">
        <v>75</v>
      </c>
      <c r="Q32" s="561"/>
      <c r="R32" s="561"/>
      <c r="S32" s="561"/>
      <c r="T32" s="561"/>
      <c r="U32" s="561"/>
      <c r="V32" s="562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8"/>
      <c r="P33" s="560" t="s">
        <v>75</v>
      </c>
      <c r="Q33" s="561"/>
      <c r="R33" s="561"/>
      <c r="S33" s="561"/>
      <c r="T33" s="561"/>
      <c r="U33" s="561"/>
      <c r="V33" s="562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56" t="s">
        <v>94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1"/>
      <c r="AB34" s="541"/>
      <c r="AC34" s="541"/>
    </row>
    <row r="35" spans="1:68" ht="27" hidden="1" customHeight="1" x14ac:dyDescent="0.25">
      <c r="A35" s="54" t="s">
        <v>95</v>
      </c>
      <c r="B35" s="54" t="s">
        <v>96</v>
      </c>
      <c r="C35" s="31">
        <v>4301032013</v>
      </c>
      <c r="D35" s="554">
        <v>4607091388503</v>
      </c>
      <c r="E35" s="555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8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0"/>
      <c r="R35" s="550"/>
      <c r="S35" s="550"/>
      <c r="T35" s="551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8"/>
      <c r="P36" s="560" t="s">
        <v>75</v>
      </c>
      <c r="Q36" s="561"/>
      <c r="R36" s="561"/>
      <c r="S36" s="561"/>
      <c r="T36" s="561"/>
      <c r="U36" s="561"/>
      <c r="V36" s="562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8"/>
      <c r="P37" s="560" t="s">
        <v>75</v>
      </c>
      <c r="Q37" s="561"/>
      <c r="R37" s="561"/>
      <c r="S37" s="561"/>
      <c r="T37" s="561"/>
      <c r="U37" s="561"/>
      <c r="V37" s="562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575" t="s">
        <v>100</v>
      </c>
      <c r="B38" s="576"/>
      <c r="C38" s="576"/>
      <c r="D38" s="576"/>
      <c r="E38" s="576"/>
      <c r="F38" s="576"/>
      <c r="G38" s="576"/>
      <c r="H38" s="576"/>
      <c r="I38" s="576"/>
      <c r="J38" s="576"/>
      <c r="K38" s="576"/>
      <c r="L38" s="576"/>
      <c r="M38" s="576"/>
      <c r="N38" s="576"/>
      <c r="O38" s="576"/>
      <c r="P38" s="576"/>
      <c r="Q38" s="576"/>
      <c r="R38" s="576"/>
      <c r="S38" s="576"/>
      <c r="T38" s="576"/>
      <c r="U38" s="576"/>
      <c r="V38" s="576"/>
      <c r="W38" s="576"/>
      <c r="X38" s="576"/>
      <c r="Y38" s="576"/>
      <c r="Z38" s="576"/>
      <c r="AA38" s="48"/>
      <c r="AB38" s="48"/>
      <c r="AC38" s="48"/>
    </row>
    <row r="39" spans="1:68" ht="16.5" hidden="1" customHeight="1" x14ac:dyDescent="0.25">
      <c r="A39" s="574" t="s">
        <v>101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0"/>
      <c r="AB39" s="540"/>
      <c r="AC39" s="540"/>
    </row>
    <row r="40" spans="1:68" ht="14.25" hidden="1" customHeight="1" x14ac:dyDescent="0.25">
      <c r="A40" s="556" t="s">
        <v>102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54">
        <v>4607091385670</v>
      </c>
      <c r="E41" s="555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77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284</v>
      </c>
      <c r="Y41" s="546">
        <f>IFERROR(IF(X41="",0,CEILING((X41/$H41),1)*$H41),"")</f>
        <v>291.60000000000002</v>
      </c>
      <c r="Z41" s="36">
        <f>IFERROR(IF(Y41=0,"",ROUNDUP(Y41/H41,0)*0.01898),"")</f>
        <v>0.51246000000000003</v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294.78148148148148</v>
      </c>
      <c r="BN41" s="64">
        <f>IFERROR(Y41*I41/H41,"0")</f>
        <v>302.67000000000007</v>
      </c>
      <c r="BO41" s="64">
        <f>IFERROR(1/J41*(X41/H41),"0")</f>
        <v>0.41087962962962959</v>
      </c>
      <c r="BP41" s="64">
        <f>IFERROR(1/J41*(Y41/H41),"0")</f>
        <v>0.421875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4301011382</v>
      </c>
      <c r="D42" s="554">
        <v>4607091385687</v>
      </c>
      <c r="E42" s="555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108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4301011565</v>
      </c>
      <c r="D43" s="554">
        <v>4680115882539</v>
      </c>
      <c r="E43" s="555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0"/>
      <c r="R43" s="550"/>
      <c r="S43" s="550"/>
      <c r="T43" s="551"/>
      <c r="U43" s="34"/>
      <c r="V43" s="34"/>
      <c r="W43" s="35" t="s">
        <v>69</v>
      </c>
      <c r="X43" s="545">
        <v>48</v>
      </c>
      <c r="Y43" s="546">
        <f>IFERROR(IF(X43="",0,CEILING((X43/$H43),1)*$H43),"")</f>
        <v>48.1</v>
      </c>
      <c r="Z43" s="36">
        <f>IFERROR(IF(Y43=0,"",ROUNDUP(Y43/H43,0)*0.00902),"")</f>
        <v>0.11726</v>
      </c>
      <c r="AA43" s="56"/>
      <c r="AB43" s="57"/>
      <c r="AC43" s="89" t="s">
        <v>108</v>
      </c>
      <c r="AG43" s="64"/>
      <c r="AJ43" s="68" t="s">
        <v>109</v>
      </c>
      <c r="AK43" s="68">
        <v>44.4</v>
      </c>
      <c r="BB43" s="90" t="s">
        <v>1</v>
      </c>
      <c r="BM43" s="64">
        <f>IFERROR(X43*I43/H43,"0")</f>
        <v>50.464864864864865</v>
      </c>
      <c r="BN43" s="64">
        <f>IFERROR(Y43*I43/H43,"0")</f>
        <v>50.57</v>
      </c>
      <c r="BO43" s="64">
        <f>IFERROR(1/J43*(X43/H43),"0")</f>
        <v>9.8280098280098274E-2</v>
      </c>
      <c r="BP43" s="64">
        <f>IFERROR(1/J43*(Y43/H43),"0")</f>
        <v>9.8484848484848481E-2</v>
      </c>
    </row>
    <row r="44" spans="1:68" x14ac:dyDescent="0.2">
      <c r="A44" s="56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8"/>
      <c r="P44" s="560" t="s">
        <v>75</v>
      </c>
      <c r="Q44" s="561"/>
      <c r="R44" s="561"/>
      <c r="S44" s="561"/>
      <c r="T44" s="561"/>
      <c r="U44" s="561"/>
      <c r="V44" s="562"/>
      <c r="W44" s="37" t="s">
        <v>76</v>
      </c>
      <c r="X44" s="547">
        <f>IFERROR(X41/H41,"0")+IFERROR(X42/H42,"0")+IFERROR(X43/H43,"0")</f>
        <v>39.269269269269266</v>
      </c>
      <c r="Y44" s="547">
        <f>IFERROR(Y41/H41,"0")+IFERROR(Y42/H42,"0")+IFERROR(Y43/H43,"0")</f>
        <v>40</v>
      </c>
      <c r="Z44" s="547">
        <f>IFERROR(IF(Z41="",0,Z41),"0")+IFERROR(IF(Z42="",0,Z42),"0")+IFERROR(IF(Z43="",0,Z43),"0")</f>
        <v>0.62972000000000006</v>
      </c>
      <c r="AA44" s="548"/>
      <c r="AB44" s="548"/>
      <c r="AC44" s="548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8"/>
      <c r="P45" s="560" t="s">
        <v>75</v>
      </c>
      <c r="Q45" s="561"/>
      <c r="R45" s="561"/>
      <c r="S45" s="561"/>
      <c r="T45" s="561"/>
      <c r="U45" s="561"/>
      <c r="V45" s="562"/>
      <c r="W45" s="37" t="s">
        <v>69</v>
      </c>
      <c r="X45" s="547">
        <f>IFERROR(SUM(X41:X43),"0")</f>
        <v>332</v>
      </c>
      <c r="Y45" s="547">
        <f>IFERROR(SUM(Y41:Y43),"0")</f>
        <v>339.70000000000005</v>
      </c>
      <c r="Z45" s="37"/>
      <c r="AA45" s="548"/>
      <c r="AB45" s="548"/>
      <c r="AC45" s="548"/>
    </row>
    <row r="46" spans="1:68" ht="14.25" hidden="1" customHeight="1" x14ac:dyDescent="0.25">
      <c r="A46" s="556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1"/>
      <c r="AB46" s="541"/>
      <c r="AC46" s="54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54">
        <v>4680115884915</v>
      </c>
      <c r="E47" s="555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70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0"/>
      <c r="R47" s="550"/>
      <c r="S47" s="550"/>
      <c r="T47" s="551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8"/>
      <c r="P48" s="560" t="s">
        <v>75</v>
      </c>
      <c r="Q48" s="561"/>
      <c r="R48" s="561"/>
      <c r="S48" s="561"/>
      <c r="T48" s="561"/>
      <c r="U48" s="561"/>
      <c r="V48" s="562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8"/>
      <c r="P49" s="560" t="s">
        <v>75</v>
      </c>
      <c r="Q49" s="561"/>
      <c r="R49" s="561"/>
      <c r="S49" s="561"/>
      <c r="T49" s="561"/>
      <c r="U49" s="561"/>
      <c r="V49" s="562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74" t="s">
        <v>119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0"/>
      <c r="AB50" s="540"/>
      <c r="AC50" s="540"/>
    </row>
    <row r="51" spans="1:68" ht="14.25" hidden="1" customHeight="1" x14ac:dyDescent="0.25">
      <c r="A51" s="556" t="s">
        <v>102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1"/>
      <c r="AB51" s="541"/>
      <c r="AC51" s="54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54">
        <v>4680115885882</v>
      </c>
      <c r="E52" s="555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 t="s">
        <v>106</v>
      </c>
      <c r="M52" s="33" t="s">
        <v>80</v>
      </c>
      <c r="N52" s="33"/>
      <c r="O52" s="32">
        <v>50</v>
      </c>
      <c r="P52" s="70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77</v>
      </c>
      <c r="Y52" s="546">
        <f t="shared" ref="Y52:Y57" si="0">IFERROR(IF(X52="",0,CEILING((X52/$H52),1)*$H52),"")</f>
        <v>78.399999999999991</v>
      </c>
      <c r="Z52" s="36">
        <f>IFERROR(IF(Y52=0,"",ROUNDUP(Y52/H52,0)*0.01898),"")</f>
        <v>0.13286000000000001</v>
      </c>
      <c r="AA52" s="56"/>
      <c r="AB52" s="57"/>
      <c r="AC52" s="93" t="s">
        <v>122</v>
      </c>
      <c r="AG52" s="64"/>
      <c r="AJ52" s="68" t="s">
        <v>109</v>
      </c>
      <c r="AK52" s="68">
        <v>89.6</v>
      </c>
      <c r="BB52" s="94" t="s">
        <v>1</v>
      </c>
      <c r="BM52" s="64">
        <f t="shared" ref="BM52:BM57" si="1">IFERROR(X52*I52/H52,"0")</f>
        <v>79.818749999999994</v>
      </c>
      <c r="BN52" s="64">
        <f t="shared" ref="BN52:BN57" si="2">IFERROR(Y52*I52/H52,"0")</f>
        <v>81.27</v>
      </c>
      <c r="BO52" s="64">
        <f t="shared" ref="BO52:BO57" si="3">IFERROR(1/J52*(X52/H52),"0")</f>
        <v>0.107421875</v>
      </c>
      <c r="BP52" s="64">
        <f t="shared" ref="BP52:BP57" si="4">IFERROR(1/J52*(Y52/H52),"0")</f>
        <v>0.109375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54">
        <v>4680115881426</v>
      </c>
      <c r="E53" s="555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 t="s">
        <v>106</v>
      </c>
      <c r="M53" s="33" t="s">
        <v>107</v>
      </c>
      <c r="N53" s="33"/>
      <c r="O53" s="32">
        <v>50</v>
      </c>
      <c r="P53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0"/>
      <c r="R53" s="550"/>
      <c r="S53" s="550"/>
      <c r="T53" s="551"/>
      <c r="U53" s="34"/>
      <c r="V53" s="34"/>
      <c r="W53" s="35" t="s">
        <v>69</v>
      </c>
      <c r="X53" s="545">
        <v>109</v>
      </c>
      <c r="Y53" s="546">
        <f t="shared" si="0"/>
        <v>118.80000000000001</v>
      </c>
      <c r="Z53" s="36">
        <f>IFERROR(IF(Y53=0,"",ROUNDUP(Y53/H53,0)*0.01898),"")</f>
        <v>0.20877999999999999</v>
      </c>
      <c r="AA53" s="56"/>
      <c r="AB53" s="57"/>
      <c r="AC53" s="95" t="s">
        <v>125</v>
      </c>
      <c r="AG53" s="64"/>
      <c r="AJ53" s="68" t="s">
        <v>109</v>
      </c>
      <c r="AK53" s="68">
        <v>86.4</v>
      </c>
      <c r="BB53" s="96" t="s">
        <v>1</v>
      </c>
      <c r="BM53" s="64">
        <f t="shared" si="1"/>
        <v>113.13796296296296</v>
      </c>
      <c r="BN53" s="64">
        <f t="shared" si="2"/>
        <v>123.31000000000002</v>
      </c>
      <c r="BO53" s="64">
        <f t="shared" si="3"/>
        <v>0.15769675925925924</v>
      </c>
      <c r="BP53" s="64">
        <f t="shared" si="4"/>
        <v>0.171875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54">
        <v>4680115880283</v>
      </c>
      <c r="E54" s="555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54">
        <v>4680115881525</v>
      </c>
      <c r="E55" s="555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 t="s">
        <v>115</v>
      </c>
      <c r="M55" s="33" t="s">
        <v>107</v>
      </c>
      <c r="N55" s="33"/>
      <c r="O55" s="32">
        <v>50</v>
      </c>
      <c r="P55" s="6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0"/>
      <c r="R55" s="550"/>
      <c r="S55" s="550"/>
      <c r="T55" s="551"/>
      <c r="U55" s="34"/>
      <c r="V55" s="34"/>
      <c r="W55" s="35" t="s">
        <v>69</v>
      </c>
      <c r="X55" s="545">
        <v>55</v>
      </c>
      <c r="Y55" s="546">
        <f t="shared" si="0"/>
        <v>56</v>
      </c>
      <c r="Z55" s="36">
        <f>IFERROR(IF(Y55=0,"",ROUNDUP(Y55/H55,0)*0.00902),"")</f>
        <v>0.12628</v>
      </c>
      <c r="AA55" s="56"/>
      <c r="AB55" s="57"/>
      <c r="AC55" s="99" t="s">
        <v>131</v>
      </c>
      <c r="AG55" s="64"/>
      <c r="AJ55" s="68" t="s">
        <v>109</v>
      </c>
      <c r="AK55" s="68">
        <v>48</v>
      </c>
      <c r="BB55" s="100" t="s">
        <v>1</v>
      </c>
      <c r="BM55" s="64">
        <f t="shared" si="1"/>
        <v>57.612500000000004</v>
      </c>
      <c r="BN55" s="64">
        <f t="shared" si="2"/>
        <v>58.660000000000004</v>
      </c>
      <c r="BO55" s="64">
        <f t="shared" si="3"/>
        <v>0.10416666666666667</v>
      </c>
      <c r="BP55" s="64">
        <f t="shared" si="4"/>
        <v>0.10606060606060606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54">
        <v>4680115885899</v>
      </c>
      <c r="E56" s="555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73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135</v>
      </c>
      <c r="B57" s="54" t="s">
        <v>136</v>
      </c>
      <c r="C57" s="31">
        <v>4301011801</v>
      </c>
      <c r="D57" s="554">
        <v>4680115881419</v>
      </c>
      <c r="E57" s="555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/>
      <c r="M57" s="33" t="s">
        <v>107</v>
      </c>
      <c r="N57" s="33"/>
      <c r="O57" s="32">
        <v>50</v>
      </c>
      <c r="P57" s="8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0"/>
      <c r="R57" s="550"/>
      <c r="S57" s="550"/>
      <c r="T57" s="551"/>
      <c r="U57" s="34"/>
      <c r="V57" s="34"/>
      <c r="W57" s="35" t="s">
        <v>69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8"/>
      <c r="P58" s="560" t="s">
        <v>75</v>
      </c>
      <c r="Q58" s="561"/>
      <c r="R58" s="561"/>
      <c r="S58" s="561"/>
      <c r="T58" s="561"/>
      <c r="U58" s="561"/>
      <c r="V58" s="562"/>
      <c r="W58" s="37" t="s">
        <v>76</v>
      </c>
      <c r="X58" s="547">
        <f>IFERROR(X52/H52,"0")+IFERROR(X53/H53,"0")+IFERROR(X54/H54,"0")+IFERROR(X55/H55,"0")+IFERROR(X56/H56,"0")+IFERROR(X57/H57,"0")</f>
        <v>30.717592592592592</v>
      </c>
      <c r="Y58" s="547">
        <f>IFERROR(Y52/H52,"0")+IFERROR(Y53/H53,"0")+IFERROR(Y54/H54,"0")+IFERROR(Y55/H55,"0")+IFERROR(Y56/H56,"0")+IFERROR(Y57/H57,"0")</f>
        <v>32</v>
      </c>
      <c r="Z58" s="547">
        <f>IFERROR(IF(Z52="",0,Z52),"0")+IFERROR(IF(Z53="",0,Z53),"0")+IFERROR(IF(Z54="",0,Z54),"0")+IFERROR(IF(Z55="",0,Z55),"0")+IFERROR(IF(Z56="",0,Z56),"0")+IFERROR(IF(Z57="",0,Z57),"0")</f>
        <v>0.46792</v>
      </c>
      <c r="AA58" s="548"/>
      <c r="AB58" s="548"/>
      <c r="AC58" s="548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8"/>
      <c r="P59" s="560" t="s">
        <v>75</v>
      </c>
      <c r="Q59" s="561"/>
      <c r="R59" s="561"/>
      <c r="S59" s="561"/>
      <c r="T59" s="561"/>
      <c r="U59" s="561"/>
      <c r="V59" s="562"/>
      <c r="W59" s="37" t="s">
        <v>69</v>
      </c>
      <c r="X59" s="547">
        <f>IFERROR(SUM(X52:X57),"0")</f>
        <v>241</v>
      </c>
      <c r="Y59" s="547">
        <f>IFERROR(SUM(Y52:Y57),"0")</f>
        <v>253.2</v>
      </c>
      <c r="Z59" s="37"/>
      <c r="AA59" s="548"/>
      <c r="AB59" s="548"/>
      <c r="AC59" s="548"/>
    </row>
    <row r="60" spans="1:68" ht="14.25" hidden="1" customHeight="1" x14ac:dyDescent="0.25">
      <c r="A60" s="556" t="s">
        <v>138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54">
        <v>4680115881440</v>
      </c>
      <c r="E61" s="555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116</v>
      </c>
      <c r="Y61" s="546">
        <f>IFERROR(IF(X61="",0,CEILING((X61/$H61),1)*$H61),"")</f>
        <v>118.80000000000001</v>
      </c>
      <c r="Z61" s="36">
        <f>IFERROR(IF(Y61=0,"",ROUNDUP(Y61/H61,0)*0.01898),"")</f>
        <v>0.20877999999999999</v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120.40370370370371</v>
      </c>
      <c r="BN61" s="64">
        <f>IFERROR(Y61*I61/H61,"0")</f>
        <v>123.31000000000002</v>
      </c>
      <c r="BO61" s="64">
        <f>IFERROR(1/J61*(X61/H61),"0")</f>
        <v>0.16782407407407407</v>
      </c>
      <c r="BP61" s="64">
        <f>IFERROR(1/J61*(Y61/H61),"0")</f>
        <v>0.171875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54">
        <v>4680115885950</v>
      </c>
      <c r="E62" s="555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144</v>
      </c>
      <c r="B63" s="54" t="s">
        <v>145</v>
      </c>
      <c r="C63" s="31">
        <v>4301020296</v>
      </c>
      <c r="D63" s="554">
        <v>4680115881433</v>
      </c>
      <c r="E63" s="555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0"/>
      <c r="R63" s="550"/>
      <c r="S63" s="550"/>
      <c r="T63" s="551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8"/>
      <c r="P64" s="560" t="s">
        <v>75</v>
      </c>
      <c r="Q64" s="561"/>
      <c r="R64" s="561"/>
      <c r="S64" s="561"/>
      <c r="T64" s="561"/>
      <c r="U64" s="561"/>
      <c r="V64" s="562"/>
      <c r="W64" s="37" t="s">
        <v>76</v>
      </c>
      <c r="X64" s="547">
        <f>IFERROR(X61/H61,"0")+IFERROR(X62/H62,"0")+IFERROR(X63/H63,"0")</f>
        <v>10.74074074074074</v>
      </c>
      <c r="Y64" s="547">
        <f>IFERROR(Y61/H61,"0")+IFERROR(Y62/H62,"0")+IFERROR(Y63/H63,"0")</f>
        <v>11</v>
      </c>
      <c r="Z64" s="547">
        <f>IFERROR(IF(Z61="",0,Z61),"0")+IFERROR(IF(Z62="",0,Z62),"0")+IFERROR(IF(Z63="",0,Z63),"0")</f>
        <v>0.20877999999999999</v>
      </c>
      <c r="AA64" s="548"/>
      <c r="AB64" s="548"/>
      <c r="AC64" s="548"/>
    </row>
    <row r="65" spans="1:68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8"/>
      <c r="P65" s="560" t="s">
        <v>75</v>
      </c>
      <c r="Q65" s="561"/>
      <c r="R65" s="561"/>
      <c r="S65" s="561"/>
      <c r="T65" s="561"/>
      <c r="U65" s="561"/>
      <c r="V65" s="562"/>
      <c r="W65" s="37" t="s">
        <v>69</v>
      </c>
      <c r="X65" s="547">
        <f>IFERROR(SUM(X61:X63),"0")</f>
        <v>116</v>
      </c>
      <c r="Y65" s="547">
        <f>IFERROR(SUM(Y61:Y63),"0")</f>
        <v>118.80000000000001</v>
      </c>
      <c r="Z65" s="37"/>
      <c r="AA65" s="548"/>
      <c r="AB65" s="548"/>
      <c r="AC65" s="548"/>
    </row>
    <row r="66" spans="1:68" ht="14.25" hidden="1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1"/>
      <c r="AB66" s="541"/>
      <c r="AC66" s="54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54">
        <v>4680115885073</v>
      </c>
      <c r="E67" s="555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4301031241</v>
      </c>
      <c r="D68" s="554">
        <v>4680115885059</v>
      </c>
      <c r="E68" s="555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4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152</v>
      </c>
      <c r="B69" s="54" t="s">
        <v>153</v>
      </c>
      <c r="C69" s="31">
        <v>4301031316</v>
      </c>
      <c r="D69" s="554">
        <v>4680115885097</v>
      </c>
      <c r="E69" s="555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1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0"/>
      <c r="R69" s="550"/>
      <c r="S69" s="550"/>
      <c r="T69" s="551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6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8"/>
      <c r="P70" s="560" t="s">
        <v>75</v>
      </c>
      <c r="Q70" s="561"/>
      <c r="R70" s="561"/>
      <c r="S70" s="561"/>
      <c r="T70" s="561"/>
      <c r="U70" s="561"/>
      <c r="V70" s="562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68"/>
      <c r="P71" s="560" t="s">
        <v>75</v>
      </c>
      <c r="Q71" s="561"/>
      <c r="R71" s="561"/>
      <c r="S71" s="561"/>
      <c r="T71" s="561"/>
      <c r="U71" s="561"/>
      <c r="V71" s="562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56" t="s">
        <v>77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41"/>
      <c r="AB72" s="541"/>
      <c r="AC72" s="541"/>
    </row>
    <row r="73" spans="1:68" ht="27" hidden="1" customHeight="1" x14ac:dyDescent="0.25">
      <c r="A73" s="54" t="s">
        <v>155</v>
      </c>
      <c r="B73" s="54" t="s">
        <v>156</v>
      </c>
      <c r="C73" s="31">
        <v>4301051846</v>
      </c>
      <c r="D73" s="554">
        <v>4680115885769</v>
      </c>
      <c r="E73" s="555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 t="s">
        <v>106</v>
      </c>
      <c r="M73" s="33" t="s">
        <v>80</v>
      </c>
      <c r="N73" s="33"/>
      <c r="O73" s="32">
        <v>45</v>
      </c>
      <c r="P73" s="74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 t="s">
        <v>109</v>
      </c>
      <c r="AK73" s="68">
        <v>67.2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158</v>
      </c>
      <c r="B74" s="54" t="s">
        <v>159</v>
      </c>
      <c r="C74" s="31">
        <v>4301051837</v>
      </c>
      <c r="D74" s="554">
        <v>4680115884311</v>
      </c>
      <c r="E74" s="555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4301051844</v>
      </c>
      <c r="D75" s="554">
        <v>4680115885929</v>
      </c>
      <c r="E75" s="555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4301051929</v>
      </c>
      <c r="D76" s="554">
        <v>4680115884403</v>
      </c>
      <c r="E76" s="555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0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0"/>
      <c r="R76" s="550"/>
      <c r="S76" s="550"/>
      <c r="T76" s="551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6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8"/>
      <c r="P77" s="560" t="s">
        <v>75</v>
      </c>
      <c r="Q77" s="561"/>
      <c r="R77" s="561"/>
      <c r="S77" s="561"/>
      <c r="T77" s="561"/>
      <c r="U77" s="561"/>
      <c r="V77" s="562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68"/>
      <c r="P78" s="560" t="s">
        <v>75</v>
      </c>
      <c r="Q78" s="561"/>
      <c r="R78" s="561"/>
      <c r="S78" s="561"/>
      <c r="T78" s="561"/>
      <c r="U78" s="561"/>
      <c r="V78" s="562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56" t="s">
        <v>166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41"/>
      <c r="AB79" s="541"/>
      <c r="AC79" s="541"/>
    </row>
    <row r="80" spans="1:68" ht="27" hidden="1" customHeight="1" x14ac:dyDescent="0.25">
      <c r="A80" s="54" t="s">
        <v>167</v>
      </c>
      <c r="B80" s="54" t="s">
        <v>168</v>
      </c>
      <c r="C80" s="31">
        <v>4301060455</v>
      </c>
      <c r="D80" s="554">
        <v>4680115881532</v>
      </c>
      <c r="E80" s="555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8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170</v>
      </c>
      <c r="B81" s="54" t="s">
        <v>171</v>
      </c>
      <c r="C81" s="31">
        <v>4301060351</v>
      </c>
      <c r="D81" s="554">
        <v>4680115881464</v>
      </c>
      <c r="E81" s="555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73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0"/>
      <c r="R81" s="550"/>
      <c r="S81" s="550"/>
      <c r="T81" s="551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6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8"/>
      <c r="P82" s="560" t="s">
        <v>75</v>
      </c>
      <c r="Q82" s="561"/>
      <c r="R82" s="561"/>
      <c r="S82" s="561"/>
      <c r="T82" s="561"/>
      <c r="U82" s="561"/>
      <c r="V82" s="562"/>
      <c r="W82" s="37" t="s">
        <v>76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hidden="1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68"/>
      <c r="P83" s="560" t="s">
        <v>75</v>
      </c>
      <c r="Q83" s="561"/>
      <c r="R83" s="561"/>
      <c r="S83" s="561"/>
      <c r="T83" s="561"/>
      <c r="U83" s="561"/>
      <c r="V83" s="562"/>
      <c r="W83" s="37" t="s">
        <v>69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hidden="1" customHeight="1" x14ac:dyDescent="0.25">
      <c r="A84" s="574" t="s">
        <v>173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0"/>
      <c r="AB84" s="540"/>
      <c r="AC84" s="540"/>
    </row>
    <row r="85" spans="1:68" ht="14.25" hidden="1" customHeight="1" x14ac:dyDescent="0.25">
      <c r="A85" s="556" t="s">
        <v>102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54">
        <v>4680115881327</v>
      </c>
      <c r="E86" s="555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7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199</v>
      </c>
      <c r="Y86" s="546">
        <f>IFERROR(IF(X86="",0,CEILING((X86/$H86),1)*$H86),"")</f>
        <v>205.20000000000002</v>
      </c>
      <c r="Z86" s="36">
        <f>IFERROR(IF(Y86=0,"",ROUNDUP(Y86/H86,0)*0.01898),"")</f>
        <v>0.36062</v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206.5546296296296</v>
      </c>
      <c r="BN86" s="64">
        <f>IFERROR(Y86*I86/H86,"0")</f>
        <v>212.99</v>
      </c>
      <c r="BO86" s="64">
        <f>IFERROR(1/J86*(X86/H86),"0")</f>
        <v>0.28790509259259256</v>
      </c>
      <c r="BP86" s="64">
        <f>IFERROR(1/J86*(Y86/H86),"0")</f>
        <v>0.296875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4301011261</v>
      </c>
      <c r="D87" s="554">
        <v>4680115887732</v>
      </c>
      <c r="E87" s="555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23" t="s">
        <v>180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182</v>
      </c>
      <c r="B88" s="54" t="s">
        <v>183</v>
      </c>
      <c r="C88" s="31">
        <v>4301011476</v>
      </c>
      <c r="D88" s="554">
        <v>4680115881518</v>
      </c>
      <c r="E88" s="555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2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0"/>
      <c r="R88" s="550"/>
      <c r="S88" s="550"/>
      <c r="T88" s="551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4301011443</v>
      </c>
      <c r="D89" s="554">
        <v>4680115881303</v>
      </c>
      <c r="E89" s="555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 t="s">
        <v>115</v>
      </c>
      <c r="M89" s="33" t="s">
        <v>87</v>
      </c>
      <c r="N89" s="33"/>
      <c r="O89" s="32">
        <v>50</v>
      </c>
      <c r="P89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0"/>
      <c r="R89" s="550"/>
      <c r="S89" s="550"/>
      <c r="T89" s="551"/>
      <c r="U89" s="34"/>
      <c r="V89" s="34"/>
      <c r="W89" s="35" t="s">
        <v>69</v>
      </c>
      <c r="X89" s="545">
        <v>0</v>
      </c>
      <c r="Y89" s="54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176</v>
      </c>
      <c r="AG89" s="64"/>
      <c r="AJ89" s="68" t="s">
        <v>109</v>
      </c>
      <c r="AK89" s="68">
        <v>54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56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8"/>
      <c r="P90" s="560" t="s">
        <v>75</v>
      </c>
      <c r="Q90" s="561"/>
      <c r="R90" s="561"/>
      <c r="S90" s="561"/>
      <c r="T90" s="561"/>
      <c r="U90" s="561"/>
      <c r="V90" s="562"/>
      <c r="W90" s="37" t="s">
        <v>76</v>
      </c>
      <c r="X90" s="547">
        <f>IFERROR(X86/H86,"0")+IFERROR(X87/H87,"0")+IFERROR(X88/H88,"0")+IFERROR(X89/H89,"0")</f>
        <v>18.425925925925924</v>
      </c>
      <c r="Y90" s="547">
        <f>IFERROR(Y86/H86,"0")+IFERROR(Y87/H87,"0")+IFERROR(Y88/H88,"0")+IFERROR(Y89/H89,"0")</f>
        <v>19</v>
      </c>
      <c r="Z90" s="547">
        <f>IFERROR(IF(Z86="",0,Z86),"0")+IFERROR(IF(Z87="",0,Z87),"0")+IFERROR(IF(Z88="",0,Z88),"0")+IFERROR(IF(Z89="",0,Z89),"0")</f>
        <v>0.36062</v>
      </c>
      <c r="AA90" s="548"/>
      <c r="AB90" s="548"/>
      <c r="AC90" s="548"/>
    </row>
    <row r="91" spans="1:68" x14ac:dyDescent="0.2">
      <c r="A91" s="557"/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68"/>
      <c r="P91" s="560" t="s">
        <v>75</v>
      </c>
      <c r="Q91" s="561"/>
      <c r="R91" s="561"/>
      <c r="S91" s="561"/>
      <c r="T91" s="561"/>
      <c r="U91" s="561"/>
      <c r="V91" s="562"/>
      <c r="W91" s="37" t="s">
        <v>69</v>
      </c>
      <c r="X91" s="547">
        <f>IFERROR(SUM(X86:X89),"0")</f>
        <v>199</v>
      </c>
      <c r="Y91" s="547">
        <f>IFERROR(SUM(Y86:Y89),"0")</f>
        <v>205.20000000000002</v>
      </c>
      <c r="Z91" s="37"/>
      <c r="AA91" s="548"/>
      <c r="AB91" s="548"/>
      <c r="AC91" s="548"/>
    </row>
    <row r="92" spans="1:68" ht="14.25" hidden="1" customHeight="1" x14ac:dyDescent="0.25">
      <c r="A92" s="556" t="s">
        <v>77</v>
      </c>
      <c r="B92" s="557"/>
      <c r="C92" s="557"/>
      <c r="D92" s="557"/>
      <c r="E92" s="557"/>
      <c r="F92" s="557"/>
      <c r="G92" s="557"/>
      <c r="H92" s="557"/>
      <c r="I92" s="557"/>
      <c r="J92" s="557"/>
      <c r="K92" s="557"/>
      <c r="L92" s="557"/>
      <c r="M92" s="557"/>
      <c r="N92" s="557"/>
      <c r="O92" s="557"/>
      <c r="P92" s="557"/>
      <c r="Q92" s="557"/>
      <c r="R92" s="557"/>
      <c r="S92" s="557"/>
      <c r="T92" s="557"/>
      <c r="U92" s="557"/>
      <c r="V92" s="557"/>
      <c r="W92" s="557"/>
      <c r="X92" s="557"/>
      <c r="Y92" s="557"/>
      <c r="Z92" s="557"/>
      <c r="AA92" s="541"/>
      <c r="AB92" s="541"/>
      <c r="AC92" s="541"/>
    </row>
    <row r="93" spans="1:68" ht="27" hidden="1" customHeight="1" x14ac:dyDescent="0.25">
      <c r="A93" s="54" t="s">
        <v>186</v>
      </c>
      <c r="B93" s="54" t="s">
        <v>187</v>
      </c>
      <c r="C93" s="31">
        <v>4301051712</v>
      </c>
      <c r="D93" s="554">
        <v>4607091386967</v>
      </c>
      <c r="E93" s="555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0</v>
      </c>
      <c r="Y93" s="546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189</v>
      </c>
      <c r="B94" s="54" t="s">
        <v>190</v>
      </c>
      <c r="C94" s="31">
        <v>4301051788</v>
      </c>
      <c r="D94" s="554">
        <v>4680115884953</v>
      </c>
      <c r="E94" s="555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0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192</v>
      </c>
      <c r="B95" s="54" t="s">
        <v>193</v>
      </c>
      <c r="C95" s="31">
        <v>4301051718</v>
      </c>
      <c r="D95" s="554">
        <v>4607091385731</v>
      </c>
      <c r="E95" s="555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59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0"/>
      <c r="R95" s="550"/>
      <c r="S95" s="550"/>
      <c r="T95" s="551"/>
      <c r="U95" s="34"/>
      <c r="V95" s="34"/>
      <c r="W95" s="35" t="s">
        <v>69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188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194</v>
      </c>
      <c r="B96" s="54" t="s">
        <v>195</v>
      </c>
      <c r="C96" s="31">
        <v>4301051438</v>
      </c>
      <c r="D96" s="554">
        <v>4680115880894</v>
      </c>
      <c r="E96" s="555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/>
      <c r="M96" s="33" t="s">
        <v>80</v>
      </c>
      <c r="N96" s="33"/>
      <c r="O96" s="32">
        <v>45</v>
      </c>
      <c r="P96" s="75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0"/>
      <c r="R96" s="550"/>
      <c r="S96" s="550"/>
      <c r="T96" s="551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196</v>
      </c>
      <c r="AG96" s="64"/>
      <c r="AJ96" s="68"/>
      <c r="AK96" s="68">
        <v>0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idden="1" x14ac:dyDescent="0.2">
      <c r="A97" s="56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8"/>
      <c r="P97" s="560" t="s">
        <v>75</v>
      </c>
      <c r="Q97" s="561"/>
      <c r="R97" s="561"/>
      <c r="S97" s="561"/>
      <c r="T97" s="561"/>
      <c r="U97" s="561"/>
      <c r="V97" s="562"/>
      <c r="W97" s="37" t="s">
        <v>76</v>
      </c>
      <c r="X97" s="547">
        <f>IFERROR(X93/H93,"0")+IFERROR(X94/H94,"0")+IFERROR(X95/H95,"0")+IFERROR(X96/H96,"0")</f>
        <v>0</v>
      </c>
      <c r="Y97" s="547">
        <f>IFERROR(Y93/H93,"0")+IFERROR(Y94/H94,"0")+IFERROR(Y95/H95,"0")+IFERROR(Y96/H96,"0")</f>
        <v>0</v>
      </c>
      <c r="Z97" s="547">
        <f>IFERROR(IF(Z93="",0,Z93),"0")+IFERROR(IF(Z94="",0,Z94),"0")+IFERROR(IF(Z95="",0,Z95),"0")+IFERROR(IF(Z96="",0,Z96),"0")</f>
        <v>0</v>
      </c>
      <c r="AA97" s="548"/>
      <c r="AB97" s="548"/>
      <c r="AC97" s="548"/>
    </row>
    <row r="98" spans="1:68" hidden="1" x14ac:dyDescent="0.2">
      <c r="A98" s="557"/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68"/>
      <c r="P98" s="560" t="s">
        <v>75</v>
      </c>
      <c r="Q98" s="561"/>
      <c r="R98" s="561"/>
      <c r="S98" s="561"/>
      <c r="T98" s="561"/>
      <c r="U98" s="561"/>
      <c r="V98" s="562"/>
      <c r="W98" s="37" t="s">
        <v>69</v>
      </c>
      <c r="X98" s="547">
        <f>IFERROR(SUM(X93:X96),"0")</f>
        <v>0</v>
      </c>
      <c r="Y98" s="547">
        <f>IFERROR(SUM(Y93:Y96),"0")</f>
        <v>0</v>
      </c>
      <c r="Z98" s="37"/>
      <c r="AA98" s="548"/>
      <c r="AB98" s="548"/>
      <c r="AC98" s="548"/>
    </row>
    <row r="99" spans="1:68" ht="16.5" hidden="1" customHeight="1" x14ac:dyDescent="0.25">
      <c r="A99" s="574" t="s">
        <v>197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0"/>
      <c r="AB99" s="540"/>
      <c r="AC99" s="540"/>
    </row>
    <row r="100" spans="1:68" ht="14.25" hidden="1" customHeight="1" x14ac:dyDescent="0.25">
      <c r="A100" s="556" t="s">
        <v>102</v>
      </c>
      <c r="B100" s="557"/>
      <c r="C100" s="557"/>
      <c r="D100" s="557"/>
      <c r="E100" s="557"/>
      <c r="F100" s="557"/>
      <c r="G100" s="557"/>
      <c r="H100" s="557"/>
      <c r="I100" s="557"/>
      <c r="J100" s="557"/>
      <c r="K100" s="557"/>
      <c r="L100" s="557"/>
      <c r="M100" s="557"/>
      <c r="N100" s="557"/>
      <c r="O100" s="557"/>
      <c r="P100" s="557"/>
      <c r="Q100" s="557"/>
      <c r="R100" s="557"/>
      <c r="S100" s="557"/>
      <c r="T100" s="557"/>
      <c r="U100" s="557"/>
      <c r="V100" s="557"/>
      <c r="W100" s="557"/>
      <c r="X100" s="557"/>
      <c r="Y100" s="557"/>
      <c r="Z100" s="557"/>
      <c r="AA100" s="541"/>
      <c r="AB100" s="541"/>
      <c r="AC100" s="541"/>
    </row>
    <row r="101" spans="1:68" ht="37.5" customHeight="1" x14ac:dyDescent="0.25">
      <c r="A101" s="54" t="s">
        <v>198</v>
      </c>
      <c r="B101" s="54" t="s">
        <v>199</v>
      </c>
      <c r="C101" s="31">
        <v>4301011514</v>
      </c>
      <c r="D101" s="554">
        <v>4680115882133</v>
      </c>
      <c r="E101" s="555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7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244</v>
      </c>
      <c r="Y101" s="546">
        <f>IFERROR(IF(X101="",0,CEILING((X101/$H101),1)*$H101),"")</f>
        <v>248.4</v>
      </c>
      <c r="Z101" s="36">
        <f>IFERROR(IF(Y101=0,"",ROUNDUP(Y101/H101,0)*0.01898),"")</f>
        <v>0.43653999999999998</v>
      </c>
      <c r="AA101" s="56"/>
      <c r="AB101" s="57"/>
      <c r="AC101" s="145" t="s">
        <v>200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253.26296296296297</v>
      </c>
      <c r="BN101" s="64">
        <f>IFERROR(Y101*I101/H101,"0")</f>
        <v>257.83</v>
      </c>
      <c r="BO101" s="64">
        <f>IFERROR(1/J101*(X101/H101),"0")</f>
        <v>0.35300925925925924</v>
      </c>
      <c r="BP101" s="64">
        <f>IFERROR(1/J101*(Y101/H101),"0")</f>
        <v>0.359375</v>
      </c>
    </row>
    <row r="102" spans="1:68" ht="27" hidden="1" customHeight="1" x14ac:dyDescent="0.25">
      <c r="A102" s="54" t="s">
        <v>201</v>
      </c>
      <c r="B102" s="54" t="s">
        <v>202</v>
      </c>
      <c r="C102" s="31">
        <v>4301012051</v>
      </c>
      <c r="D102" s="554">
        <v>4680115887718</v>
      </c>
      <c r="E102" s="555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8" t="s">
        <v>203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205</v>
      </c>
      <c r="B103" s="54" t="s">
        <v>206</v>
      </c>
      <c r="C103" s="31">
        <v>4301011417</v>
      </c>
      <c r="D103" s="554">
        <v>4680115880269</v>
      </c>
      <c r="E103" s="555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/>
      <c r="M103" s="33" t="s">
        <v>80</v>
      </c>
      <c r="N103" s="33"/>
      <c r="O103" s="32">
        <v>50</v>
      </c>
      <c r="P103" s="62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200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207</v>
      </c>
      <c r="B104" s="54" t="s">
        <v>208</v>
      </c>
      <c r="C104" s="31">
        <v>4301011415</v>
      </c>
      <c r="D104" s="554">
        <v>4680115880429</v>
      </c>
      <c r="E104" s="555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115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0"/>
      <c r="R104" s="550"/>
      <c r="S104" s="550"/>
      <c r="T104" s="551"/>
      <c r="U104" s="34"/>
      <c r="V104" s="34"/>
      <c r="W104" s="35" t="s">
        <v>69</v>
      </c>
      <c r="X104" s="545">
        <v>0</v>
      </c>
      <c r="Y104" s="54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200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hidden="1" customHeight="1" x14ac:dyDescent="0.25">
      <c r="A105" s="54" t="s">
        <v>209</v>
      </c>
      <c r="B105" s="54" t="s">
        <v>210</v>
      </c>
      <c r="C105" s="31">
        <v>4301011462</v>
      </c>
      <c r="D105" s="554">
        <v>4680115881457</v>
      </c>
      <c r="E105" s="555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1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0"/>
      <c r="R105" s="550"/>
      <c r="S105" s="550"/>
      <c r="T105" s="551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200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68"/>
      <c r="P106" s="560" t="s">
        <v>75</v>
      </c>
      <c r="Q106" s="561"/>
      <c r="R106" s="561"/>
      <c r="S106" s="561"/>
      <c r="T106" s="561"/>
      <c r="U106" s="561"/>
      <c r="V106" s="562"/>
      <c r="W106" s="37" t="s">
        <v>76</v>
      </c>
      <c r="X106" s="547">
        <f>IFERROR(X101/H101,"0")+IFERROR(X102/H102,"0")+IFERROR(X103/H103,"0")+IFERROR(X104/H104,"0")+IFERROR(X105/H105,"0")</f>
        <v>22.592592592592592</v>
      </c>
      <c r="Y106" s="547">
        <f>IFERROR(Y101/H101,"0")+IFERROR(Y102/H102,"0")+IFERROR(Y103/H103,"0")+IFERROR(Y104/H104,"0")+IFERROR(Y105/H105,"0")</f>
        <v>23</v>
      </c>
      <c r="Z106" s="547">
        <f>IFERROR(IF(Z101="",0,Z101),"0")+IFERROR(IF(Z102="",0,Z102),"0")+IFERROR(IF(Z103="",0,Z103),"0")+IFERROR(IF(Z104="",0,Z104),"0")+IFERROR(IF(Z105="",0,Z105),"0")</f>
        <v>0.43653999999999998</v>
      </c>
      <c r="AA106" s="548"/>
      <c r="AB106" s="548"/>
      <c r="AC106" s="548"/>
    </row>
    <row r="107" spans="1:68" x14ac:dyDescent="0.2">
      <c r="A107" s="557"/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68"/>
      <c r="P107" s="560" t="s">
        <v>75</v>
      </c>
      <c r="Q107" s="561"/>
      <c r="R107" s="561"/>
      <c r="S107" s="561"/>
      <c r="T107" s="561"/>
      <c r="U107" s="561"/>
      <c r="V107" s="562"/>
      <c r="W107" s="37" t="s">
        <v>69</v>
      </c>
      <c r="X107" s="547">
        <f>IFERROR(SUM(X101:X105),"0")</f>
        <v>244</v>
      </c>
      <c r="Y107" s="547">
        <f>IFERROR(SUM(Y101:Y105),"0")</f>
        <v>248.4</v>
      </c>
      <c r="Z107" s="37"/>
      <c r="AA107" s="548"/>
      <c r="AB107" s="548"/>
      <c r="AC107" s="548"/>
    </row>
    <row r="108" spans="1:68" ht="14.25" hidden="1" customHeight="1" x14ac:dyDescent="0.25">
      <c r="A108" s="556" t="s">
        <v>138</v>
      </c>
      <c r="B108" s="557"/>
      <c r="C108" s="557"/>
      <c r="D108" s="557"/>
      <c r="E108" s="557"/>
      <c r="F108" s="557"/>
      <c r="G108" s="557"/>
      <c r="H108" s="557"/>
      <c r="I108" s="557"/>
      <c r="J108" s="557"/>
      <c r="K108" s="557"/>
      <c r="L108" s="557"/>
      <c r="M108" s="557"/>
      <c r="N108" s="557"/>
      <c r="O108" s="557"/>
      <c r="P108" s="557"/>
      <c r="Q108" s="557"/>
      <c r="R108" s="557"/>
      <c r="S108" s="557"/>
      <c r="T108" s="557"/>
      <c r="U108" s="557"/>
      <c r="V108" s="557"/>
      <c r="W108" s="557"/>
      <c r="X108" s="557"/>
      <c r="Y108" s="557"/>
      <c r="Z108" s="557"/>
      <c r="AA108" s="541"/>
      <c r="AB108" s="541"/>
      <c r="AC108" s="541"/>
    </row>
    <row r="109" spans="1:68" ht="16.5" hidden="1" customHeight="1" x14ac:dyDescent="0.25">
      <c r="A109" s="54" t="s">
        <v>211</v>
      </c>
      <c r="B109" s="54" t="s">
        <v>212</v>
      </c>
      <c r="C109" s="31">
        <v>4301020345</v>
      </c>
      <c r="D109" s="554">
        <v>4680115881488</v>
      </c>
      <c r="E109" s="555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213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214</v>
      </c>
      <c r="B110" s="54" t="s">
        <v>215</v>
      </c>
      <c r="C110" s="31">
        <v>4301020186</v>
      </c>
      <c r="D110" s="554">
        <v>4680115887664</v>
      </c>
      <c r="E110" s="555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216</v>
      </c>
      <c r="L110" s="32"/>
      <c r="M110" s="33" t="s">
        <v>68</v>
      </c>
      <c r="N110" s="33"/>
      <c r="O110" s="32">
        <v>30</v>
      </c>
      <c r="P110" s="822" t="s">
        <v>217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219</v>
      </c>
      <c r="B111" s="54" t="s">
        <v>220</v>
      </c>
      <c r="C111" s="31">
        <v>4301020346</v>
      </c>
      <c r="D111" s="554">
        <v>4680115882775</v>
      </c>
      <c r="E111" s="555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0"/>
      <c r="R111" s="550"/>
      <c r="S111" s="550"/>
      <c r="T111" s="551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213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221</v>
      </c>
      <c r="B112" s="54" t="s">
        <v>222</v>
      </c>
      <c r="C112" s="31">
        <v>4301020344</v>
      </c>
      <c r="D112" s="554">
        <v>4680115880658</v>
      </c>
      <c r="E112" s="555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 t="s">
        <v>223</v>
      </c>
      <c r="M112" s="33" t="s">
        <v>107</v>
      </c>
      <c r="N112" s="33"/>
      <c r="O112" s="32">
        <v>55</v>
      </c>
      <c r="P112" s="80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5">
        <v>53</v>
      </c>
      <c r="Y112" s="546">
        <f>IFERROR(IF(X112="",0,CEILING((X112/$H112),1)*$H112),"")</f>
        <v>55.199999999999996</v>
      </c>
      <c r="Z112" s="36">
        <f>IFERROR(IF(Y112=0,"",ROUNDUP(Y112/H112,0)*0.00651),"")</f>
        <v>0.14973</v>
      </c>
      <c r="AA112" s="56"/>
      <c r="AB112" s="57"/>
      <c r="AC112" s="161" t="s">
        <v>213</v>
      </c>
      <c r="AG112" s="64"/>
      <c r="AJ112" s="68" t="s">
        <v>109</v>
      </c>
      <c r="AK112" s="68">
        <v>33.6</v>
      </c>
      <c r="BB112" s="162" t="s">
        <v>1</v>
      </c>
      <c r="BM112" s="64">
        <f>IFERROR(X112*I112/H112,"0")</f>
        <v>56.975000000000009</v>
      </c>
      <c r="BN112" s="64">
        <f>IFERROR(Y112*I112/H112,"0")</f>
        <v>59.34</v>
      </c>
      <c r="BO112" s="64">
        <f>IFERROR(1/J112*(X112/H112),"0")</f>
        <v>0.12133699633699636</v>
      </c>
      <c r="BP112" s="64">
        <f>IFERROR(1/J112*(Y112/H112),"0")</f>
        <v>0.1263736263736264</v>
      </c>
    </row>
    <row r="113" spans="1:68" x14ac:dyDescent="0.2">
      <c r="A113" s="56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68"/>
      <c r="P113" s="560" t="s">
        <v>75</v>
      </c>
      <c r="Q113" s="561"/>
      <c r="R113" s="561"/>
      <c r="S113" s="561"/>
      <c r="T113" s="561"/>
      <c r="U113" s="561"/>
      <c r="V113" s="562"/>
      <c r="W113" s="37" t="s">
        <v>76</v>
      </c>
      <c r="X113" s="547">
        <f>IFERROR(X109/H109,"0")+IFERROR(X110/H110,"0")+IFERROR(X111/H111,"0")+IFERROR(X112/H112,"0")</f>
        <v>22.083333333333336</v>
      </c>
      <c r="Y113" s="547">
        <f>IFERROR(Y109/H109,"0")+IFERROR(Y110/H110,"0")+IFERROR(Y111/H111,"0")+IFERROR(Y112/H112,"0")</f>
        <v>23</v>
      </c>
      <c r="Z113" s="547">
        <f>IFERROR(IF(Z109="",0,Z109),"0")+IFERROR(IF(Z110="",0,Z110),"0")+IFERROR(IF(Z111="",0,Z111),"0")+IFERROR(IF(Z112="",0,Z112),"0")</f>
        <v>0.14973</v>
      </c>
      <c r="AA113" s="548"/>
      <c r="AB113" s="548"/>
      <c r="AC113" s="548"/>
    </row>
    <row r="114" spans="1:68" x14ac:dyDescent="0.2">
      <c r="A114" s="557"/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68"/>
      <c r="P114" s="560" t="s">
        <v>75</v>
      </c>
      <c r="Q114" s="561"/>
      <c r="R114" s="561"/>
      <c r="S114" s="561"/>
      <c r="T114" s="561"/>
      <c r="U114" s="561"/>
      <c r="V114" s="562"/>
      <c r="W114" s="37" t="s">
        <v>69</v>
      </c>
      <c r="X114" s="547">
        <f>IFERROR(SUM(X109:X112),"0")</f>
        <v>53</v>
      </c>
      <c r="Y114" s="547">
        <f>IFERROR(SUM(Y109:Y112),"0")</f>
        <v>55.199999999999996</v>
      </c>
      <c r="Z114" s="37"/>
      <c r="AA114" s="548"/>
      <c r="AB114" s="548"/>
      <c r="AC114" s="548"/>
    </row>
    <row r="115" spans="1:68" ht="14.25" hidden="1" customHeight="1" x14ac:dyDescent="0.25">
      <c r="A115" s="556" t="s">
        <v>77</v>
      </c>
      <c r="B115" s="557"/>
      <c r="C115" s="557"/>
      <c r="D115" s="557"/>
      <c r="E115" s="557"/>
      <c r="F115" s="557"/>
      <c r="G115" s="557"/>
      <c r="H115" s="557"/>
      <c r="I115" s="557"/>
      <c r="J115" s="557"/>
      <c r="K115" s="557"/>
      <c r="L115" s="557"/>
      <c r="M115" s="557"/>
      <c r="N115" s="557"/>
      <c r="O115" s="557"/>
      <c r="P115" s="557"/>
      <c r="Q115" s="557"/>
      <c r="R115" s="557"/>
      <c r="S115" s="557"/>
      <c r="T115" s="557"/>
      <c r="U115" s="557"/>
      <c r="V115" s="557"/>
      <c r="W115" s="557"/>
      <c r="X115" s="557"/>
      <c r="Y115" s="557"/>
      <c r="Z115" s="557"/>
      <c r="AA115" s="541"/>
      <c r="AB115" s="541"/>
      <c r="AC115" s="541"/>
    </row>
    <row r="116" spans="1:68" ht="27" hidden="1" customHeight="1" x14ac:dyDescent="0.25">
      <c r="A116" s="54" t="s">
        <v>224</v>
      </c>
      <c r="B116" s="54" t="s">
        <v>225</v>
      </c>
      <c r="C116" s="31">
        <v>4301051724</v>
      </c>
      <c r="D116" s="554">
        <v>4607091385168</v>
      </c>
      <c r="E116" s="555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70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63" t="s">
        <v>226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227</v>
      </c>
      <c r="B117" s="54" t="s">
        <v>228</v>
      </c>
      <c r="C117" s="31">
        <v>4301051730</v>
      </c>
      <c r="D117" s="554">
        <v>4607091383256</v>
      </c>
      <c r="E117" s="555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4301051721</v>
      </c>
      <c r="D118" s="554">
        <v>4607091385748</v>
      </c>
      <c r="E118" s="555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223</v>
      </c>
      <c r="M118" s="33" t="s">
        <v>87</v>
      </c>
      <c r="N118" s="33"/>
      <c r="O118" s="32">
        <v>45</v>
      </c>
      <c r="P118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0"/>
      <c r="R118" s="550"/>
      <c r="S118" s="550"/>
      <c r="T118" s="551"/>
      <c r="U118" s="34"/>
      <c r="V118" s="34"/>
      <c r="W118" s="35" t="s">
        <v>69</v>
      </c>
      <c r="X118" s="545">
        <v>0</v>
      </c>
      <c r="Y118" s="54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hidden="1" customHeight="1" x14ac:dyDescent="0.25">
      <c r="A119" s="54" t="s">
        <v>231</v>
      </c>
      <c r="B119" s="54" t="s">
        <v>232</v>
      </c>
      <c r="C119" s="31">
        <v>4301051740</v>
      </c>
      <c r="D119" s="554">
        <v>4680115884533</v>
      </c>
      <c r="E119" s="555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6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68"/>
      <c r="P120" s="560" t="s">
        <v>75</v>
      </c>
      <c r="Q120" s="561"/>
      <c r="R120" s="561"/>
      <c r="S120" s="561"/>
      <c r="T120" s="561"/>
      <c r="U120" s="561"/>
      <c r="V120" s="562"/>
      <c r="W120" s="37" t="s">
        <v>76</v>
      </c>
      <c r="X120" s="547">
        <f>IFERROR(X116/H116,"0")+IFERROR(X117/H117,"0")+IFERROR(X118/H118,"0")+IFERROR(X119/H119,"0")</f>
        <v>0</v>
      </c>
      <c r="Y120" s="547">
        <f>IFERROR(Y116/H116,"0")+IFERROR(Y117/H117,"0")+IFERROR(Y118/H118,"0")+IFERROR(Y119/H119,"0")</f>
        <v>0</v>
      </c>
      <c r="Z120" s="547">
        <f>IFERROR(IF(Z116="",0,Z116),"0")+IFERROR(IF(Z117="",0,Z117),"0")+IFERROR(IF(Z118="",0,Z118),"0")+IFERROR(IF(Z119="",0,Z119),"0")</f>
        <v>0</v>
      </c>
      <c r="AA120" s="548"/>
      <c r="AB120" s="548"/>
      <c r="AC120" s="548"/>
    </row>
    <row r="121" spans="1:68" hidden="1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68"/>
      <c r="P121" s="560" t="s">
        <v>75</v>
      </c>
      <c r="Q121" s="561"/>
      <c r="R121" s="561"/>
      <c r="S121" s="561"/>
      <c r="T121" s="561"/>
      <c r="U121" s="561"/>
      <c r="V121" s="562"/>
      <c r="W121" s="37" t="s">
        <v>69</v>
      </c>
      <c r="X121" s="547">
        <f>IFERROR(SUM(X116:X119),"0")</f>
        <v>0</v>
      </c>
      <c r="Y121" s="547">
        <f>IFERROR(SUM(Y116:Y119),"0")</f>
        <v>0</v>
      </c>
      <c r="Z121" s="37"/>
      <c r="AA121" s="548"/>
      <c r="AB121" s="548"/>
      <c r="AC121" s="548"/>
    </row>
    <row r="122" spans="1:68" ht="14.25" hidden="1" customHeight="1" x14ac:dyDescent="0.25">
      <c r="A122" s="556" t="s">
        <v>166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41"/>
      <c r="AB122" s="541"/>
      <c r="AC122" s="541"/>
    </row>
    <row r="123" spans="1:68" ht="16.5" hidden="1" customHeight="1" x14ac:dyDescent="0.25">
      <c r="A123" s="54" t="s">
        <v>234</v>
      </c>
      <c r="B123" s="54" t="s">
        <v>235</v>
      </c>
      <c r="C123" s="31">
        <v>4301060317</v>
      </c>
      <c r="D123" s="554">
        <v>4680115880238</v>
      </c>
      <c r="E123" s="555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82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0"/>
      <c r="R123" s="550"/>
      <c r="S123" s="550"/>
      <c r="T123" s="551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56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68"/>
      <c r="P124" s="560" t="s">
        <v>75</v>
      </c>
      <c r="Q124" s="561"/>
      <c r="R124" s="561"/>
      <c r="S124" s="561"/>
      <c r="T124" s="561"/>
      <c r="U124" s="561"/>
      <c r="V124" s="562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hidden="1" x14ac:dyDescent="0.2">
      <c r="A125" s="557"/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68"/>
      <c r="P125" s="560" t="s">
        <v>75</v>
      </c>
      <c r="Q125" s="561"/>
      <c r="R125" s="561"/>
      <c r="S125" s="561"/>
      <c r="T125" s="561"/>
      <c r="U125" s="561"/>
      <c r="V125" s="562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hidden="1" customHeight="1" x14ac:dyDescent="0.25">
      <c r="A126" s="574" t="s">
        <v>237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0"/>
      <c r="AB126" s="540"/>
      <c r="AC126" s="540"/>
    </row>
    <row r="127" spans="1:68" ht="14.25" hidden="1" customHeight="1" x14ac:dyDescent="0.25">
      <c r="A127" s="556" t="s">
        <v>102</v>
      </c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57"/>
      <c r="P127" s="557"/>
      <c r="Q127" s="557"/>
      <c r="R127" s="557"/>
      <c r="S127" s="557"/>
      <c r="T127" s="557"/>
      <c r="U127" s="557"/>
      <c r="V127" s="557"/>
      <c r="W127" s="557"/>
      <c r="X127" s="557"/>
      <c r="Y127" s="557"/>
      <c r="Z127" s="557"/>
      <c r="AA127" s="541"/>
      <c r="AB127" s="541"/>
      <c r="AC127" s="541"/>
    </row>
    <row r="128" spans="1:68" ht="27" hidden="1" customHeight="1" x14ac:dyDescent="0.25">
      <c r="A128" s="54" t="s">
        <v>238</v>
      </c>
      <c r="B128" s="54" t="s">
        <v>239</v>
      </c>
      <c r="C128" s="31">
        <v>4301011562</v>
      </c>
      <c r="D128" s="554">
        <v>4680115882577</v>
      </c>
      <c r="E128" s="555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/>
      <c r="M128" s="33" t="s">
        <v>97</v>
      </c>
      <c r="N128" s="33"/>
      <c r="O128" s="32">
        <v>90</v>
      </c>
      <c r="P128" s="83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0"/>
      <c r="R128" s="550"/>
      <c r="S128" s="550"/>
      <c r="T128" s="551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238</v>
      </c>
      <c r="B129" s="54" t="s">
        <v>241</v>
      </c>
      <c r="C129" s="31">
        <v>4301011564</v>
      </c>
      <c r="D129" s="554">
        <v>4680115882577</v>
      </c>
      <c r="E129" s="555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/>
      <c r="M129" s="33" t="s">
        <v>97</v>
      </c>
      <c r="N129" s="33"/>
      <c r="O129" s="32">
        <v>90</v>
      </c>
      <c r="P129" s="64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0"/>
      <c r="R129" s="550"/>
      <c r="S129" s="550"/>
      <c r="T129" s="551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/>
      <c r="AK129" s="68">
        <v>0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56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68"/>
      <c r="P130" s="560" t="s">
        <v>75</v>
      </c>
      <c r="Q130" s="561"/>
      <c r="R130" s="561"/>
      <c r="S130" s="561"/>
      <c r="T130" s="561"/>
      <c r="U130" s="561"/>
      <c r="V130" s="562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hidden="1" x14ac:dyDescent="0.2">
      <c r="A131" s="557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68"/>
      <c r="P131" s="560" t="s">
        <v>75</v>
      </c>
      <c r="Q131" s="561"/>
      <c r="R131" s="561"/>
      <c r="S131" s="561"/>
      <c r="T131" s="561"/>
      <c r="U131" s="561"/>
      <c r="V131" s="562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hidden="1" customHeight="1" x14ac:dyDescent="0.25">
      <c r="A132" s="556" t="s">
        <v>64</v>
      </c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57"/>
      <c r="P132" s="557"/>
      <c r="Q132" s="557"/>
      <c r="R132" s="557"/>
      <c r="S132" s="557"/>
      <c r="T132" s="557"/>
      <c r="U132" s="557"/>
      <c r="V132" s="557"/>
      <c r="W132" s="557"/>
      <c r="X132" s="557"/>
      <c r="Y132" s="557"/>
      <c r="Z132" s="557"/>
      <c r="AA132" s="541"/>
      <c r="AB132" s="541"/>
      <c r="AC132" s="541"/>
    </row>
    <row r="133" spans="1:68" ht="27" hidden="1" customHeight="1" x14ac:dyDescent="0.25">
      <c r="A133" s="54" t="s">
        <v>242</v>
      </c>
      <c r="B133" s="54" t="s">
        <v>243</v>
      </c>
      <c r="C133" s="31">
        <v>4301031235</v>
      </c>
      <c r="D133" s="554">
        <v>4680115883444</v>
      </c>
      <c r="E133" s="555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0"/>
      <c r="R133" s="550"/>
      <c r="S133" s="550"/>
      <c r="T133" s="551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242</v>
      </c>
      <c r="B134" s="54" t="s">
        <v>245</v>
      </c>
      <c r="C134" s="31">
        <v>4301031234</v>
      </c>
      <c r="D134" s="554">
        <v>4680115883444</v>
      </c>
      <c r="E134" s="555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/>
      <c r="M134" s="33" t="s">
        <v>97</v>
      </c>
      <c r="N134" s="33"/>
      <c r="O134" s="32">
        <v>90</v>
      </c>
      <c r="P134" s="8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0"/>
      <c r="R134" s="550"/>
      <c r="S134" s="550"/>
      <c r="T134" s="551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/>
      <c r="AK134" s="68">
        <v>0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idden="1" x14ac:dyDescent="0.2">
      <c r="A135" s="56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68"/>
      <c r="P135" s="560" t="s">
        <v>75</v>
      </c>
      <c r="Q135" s="561"/>
      <c r="R135" s="561"/>
      <c r="S135" s="561"/>
      <c r="T135" s="561"/>
      <c r="U135" s="561"/>
      <c r="V135" s="562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hidden="1" x14ac:dyDescent="0.2">
      <c r="A136" s="557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68"/>
      <c r="P136" s="560" t="s">
        <v>75</v>
      </c>
      <c r="Q136" s="561"/>
      <c r="R136" s="561"/>
      <c r="S136" s="561"/>
      <c r="T136" s="561"/>
      <c r="U136" s="561"/>
      <c r="V136" s="562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hidden="1" customHeight="1" x14ac:dyDescent="0.25">
      <c r="A137" s="556" t="s">
        <v>77</v>
      </c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57"/>
      <c r="P137" s="557"/>
      <c r="Q137" s="557"/>
      <c r="R137" s="557"/>
      <c r="S137" s="557"/>
      <c r="T137" s="557"/>
      <c r="U137" s="557"/>
      <c r="V137" s="557"/>
      <c r="W137" s="557"/>
      <c r="X137" s="557"/>
      <c r="Y137" s="557"/>
      <c r="Z137" s="557"/>
      <c r="AA137" s="541"/>
      <c r="AB137" s="541"/>
      <c r="AC137" s="541"/>
    </row>
    <row r="138" spans="1:68" ht="16.5" hidden="1" customHeight="1" x14ac:dyDescent="0.25">
      <c r="A138" s="54" t="s">
        <v>246</v>
      </c>
      <c r="B138" s="54" t="s">
        <v>247</v>
      </c>
      <c r="C138" s="31">
        <v>4301051477</v>
      </c>
      <c r="D138" s="554">
        <v>4680115882584</v>
      </c>
      <c r="E138" s="555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0"/>
      <c r="R138" s="550"/>
      <c r="S138" s="550"/>
      <c r="T138" s="551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hidden="1" customHeight="1" x14ac:dyDescent="0.25">
      <c r="A139" s="54" t="s">
        <v>246</v>
      </c>
      <c r="B139" s="54" t="s">
        <v>248</v>
      </c>
      <c r="C139" s="31">
        <v>4301051476</v>
      </c>
      <c r="D139" s="554">
        <v>4680115882584</v>
      </c>
      <c r="E139" s="555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80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0"/>
      <c r="R139" s="550"/>
      <c r="S139" s="550"/>
      <c r="T139" s="551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56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68"/>
      <c r="P140" s="560" t="s">
        <v>75</v>
      </c>
      <c r="Q140" s="561"/>
      <c r="R140" s="561"/>
      <c r="S140" s="561"/>
      <c r="T140" s="561"/>
      <c r="U140" s="561"/>
      <c r="V140" s="562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hidden="1" x14ac:dyDescent="0.2">
      <c r="A141" s="557"/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68"/>
      <c r="P141" s="560" t="s">
        <v>75</v>
      </c>
      <c r="Q141" s="561"/>
      <c r="R141" s="561"/>
      <c r="S141" s="561"/>
      <c r="T141" s="561"/>
      <c r="U141" s="561"/>
      <c r="V141" s="562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hidden="1" customHeight="1" x14ac:dyDescent="0.25">
      <c r="A142" s="574" t="s">
        <v>100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0"/>
      <c r="AB142" s="540"/>
      <c r="AC142" s="540"/>
    </row>
    <row r="143" spans="1:68" ht="14.25" hidden="1" customHeight="1" x14ac:dyDescent="0.25">
      <c r="A143" s="556" t="s">
        <v>102</v>
      </c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57"/>
      <c r="P143" s="557"/>
      <c r="Q143" s="557"/>
      <c r="R143" s="557"/>
      <c r="S143" s="557"/>
      <c r="T143" s="557"/>
      <c r="U143" s="557"/>
      <c r="V143" s="557"/>
      <c r="W143" s="557"/>
      <c r="X143" s="557"/>
      <c r="Y143" s="557"/>
      <c r="Z143" s="557"/>
      <c r="AA143" s="541"/>
      <c r="AB143" s="541"/>
      <c r="AC143" s="541"/>
    </row>
    <row r="144" spans="1:68" ht="27" hidden="1" customHeight="1" x14ac:dyDescent="0.25">
      <c r="A144" s="54" t="s">
        <v>249</v>
      </c>
      <c r="B144" s="54" t="s">
        <v>250</v>
      </c>
      <c r="C144" s="31">
        <v>4301012244</v>
      </c>
      <c r="D144" s="554">
        <v>4680115887374</v>
      </c>
      <c r="E144" s="555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4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0"/>
      <c r="R144" s="550"/>
      <c r="S144" s="550"/>
      <c r="T144" s="551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hidden="1" customHeight="1" x14ac:dyDescent="0.25">
      <c r="A145" s="54" t="s">
        <v>252</v>
      </c>
      <c r="B145" s="54" t="s">
        <v>253</v>
      </c>
      <c r="C145" s="31">
        <v>4301011705</v>
      </c>
      <c r="D145" s="554">
        <v>4607091384604</v>
      </c>
      <c r="E145" s="555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0"/>
      <c r="R145" s="550"/>
      <c r="S145" s="550"/>
      <c r="T145" s="551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56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68"/>
      <c r="P146" s="560" t="s">
        <v>75</v>
      </c>
      <c r="Q146" s="561"/>
      <c r="R146" s="561"/>
      <c r="S146" s="561"/>
      <c r="T146" s="561"/>
      <c r="U146" s="561"/>
      <c r="V146" s="562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hidden="1" x14ac:dyDescent="0.2">
      <c r="A147" s="557"/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68"/>
      <c r="P147" s="560" t="s">
        <v>75</v>
      </c>
      <c r="Q147" s="561"/>
      <c r="R147" s="561"/>
      <c r="S147" s="561"/>
      <c r="T147" s="561"/>
      <c r="U147" s="561"/>
      <c r="V147" s="562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hidden="1" customHeight="1" x14ac:dyDescent="0.25">
      <c r="A148" s="556" t="s">
        <v>64</v>
      </c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57"/>
      <c r="P148" s="557"/>
      <c r="Q148" s="557"/>
      <c r="R148" s="557"/>
      <c r="S148" s="557"/>
      <c r="T148" s="557"/>
      <c r="U148" s="557"/>
      <c r="V148" s="557"/>
      <c r="W148" s="557"/>
      <c r="X148" s="557"/>
      <c r="Y148" s="557"/>
      <c r="Z148" s="557"/>
      <c r="AA148" s="541"/>
      <c r="AB148" s="541"/>
      <c r="AC148" s="541"/>
    </row>
    <row r="149" spans="1:68" ht="16.5" hidden="1" customHeight="1" x14ac:dyDescent="0.25">
      <c r="A149" s="54" t="s">
        <v>255</v>
      </c>
      <c r="B149" s="54" t="s">
        <v>256</v>
      </c>
      <c r="C149" s="31">
        <v>4301030895</v>
      </c>
      <c r="D149" s="554">
        <v>4607091387667</v>
      </c>
      <c r="E149" s="555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hidden="1" customHeight="1" x14ac:dyDescent="0.25">
      <c r="A150" s="54" t="s">
        <v>258</v>
      </c>
      <c r="B150" s="54" t="s">
        <v>259</v>
      </c>
      <c r="C150" s="31">
        <v>4301030961</v>
      </c>
      <c r="D150" s="554">
        <v>4607091387636</v>
      </c>
      <c r="E150" s="555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261</v>
      </c>
      <c r="B151" s="54" t="s">
        <v>262</v>
      </c>
      <c r="C151" s="31">
        <v>4301030963</v>
      </c>
      <c r="D151" s="554">
        <v>4607091382426</v>
      </c>
      <c r="E151" s="555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7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68"/>
      <c r="P152" s="560" t="s">
        <v>75</v>
      </c>
      <c r="Q152" s="561"/>
      <c r="R152" s="561"/>
      <c r="S152" s="561"/>
      <c r="T152" s="561"/>
      <c r="U152" s="561"/>
      <c r="V152" s="562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68"/>
      <c r="P153" s="560" t="s">
        <v>75</v>
      </c>
      <c r="Q153" s="561"/>
      <c r="R153" s="561"/>
      <c r="S153" s="561"/>
      <c r="T153" s="561"/>
      <c r="U153" s="561"/>
      <c r="V153" s="562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6" t="s">
        <v>77</v>
      </c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7"/>
      <c r="P154" s="557"/>
      <c r="Q154" s="557"/>
      <c r="R154" s="557"/>
      <c r="S154" s="557"/>
      <c r="T154" s="557"/>
      <c r="U154" s="557"/>
      <c r="V154" s="557"/>
      <c r="W154" s="557"/>
      <c r="X154" s="557"/>
      <c r="Y154" s="557"/>
      <c r="Z154" s="557"/>
      <c r="AA154" s="541"/>
      <c r="AB154" s="541"/>
      <c r="AC154" s="541"/>
    </row>
    <row r="155" spans="1:68" ht="27" hidden="1" customHeight="1" x14ac:dyDescent="0.25">
      <c r="A155" s="54" t="s">
        <v>264</v>
      </c>
      <c r="B155" s="54" t="s">
        <v>265</v>
      </c>
      <c r="C155" s="31">
        <v>4301052064</v>
      </c>
      <c r="D155" s="554">
        <v>4680115887459</v>
      </c>
      <c r="E155" s="555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7"/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68"/>
      <c r="P156" s="560" t="s">
        <v>75</v>
      </c>
      <c r="Q156" s="561"/>
      <c r="R156" s="561"/>
      <c r="S156" s="561"/>
      <c r="T156" s="561"/>
      <c r="U156" s="561"/>
      <c r="V156" s="562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7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68"/>
      <c r="P157" s="560" t="s">
        <v>75</v>
      </c>
      <c r="Q157" s="561"/>
      <c r="R157" s="561"/>
      <c r="S157" s="561"/>
      <c r="T157" s="561"/>
      <c r="U157" s="561"/>
      <c r="V157" s="562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575" t="s">
        <v>267</v>
      </c>
      <c r="B158" s="576"/>
      <c r="C158" s="576"/>
      <c r="D158" s="576"/>
      <c r="E158" s="576"/>
      <c r="F158" s="576"/>
      <c r="G158" s="576"/>
      <c r="H158" s="576"/>
      <c r="I158" s="576"/>
      <c r="J158" s="576"/>
      <c r="K158" s="576"/>
      <c r="L158" s="576"/>
      <c r="M158" s="576"/>
      <c r="N158" s="576"/>
      <c r="O158" s="576"/>
      <c r="P158" s="576"/>
      <c r="Q158" s="576"/>
      <c r="R158" s="576"/>
      <c r="S158" s="576"/>
      <c r="T158" s="576"/>
      <c r="U158" s="576"/>
      <c r="V158" s="576"/>
      <c r="W158" s="576"/>
      <c r="X158" s="576"/>
      <c r="Y158" s="576"/>
      <c r="Z158" s="576"/>
      <c r="AA158" s="48"/>
      <c r="AB158" s="48"/>
      <c r="AC158" s="48"/>
    </row>
    <row r="159" spans="1:68" ht="16.5" hidden="1" customHeight="1" x14ac:dyDescent="0.25">
      <c r="A159" s="574" t="s">
        <v>268</v>
      </c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57"/>
      <c r="P159" s="557"/>
      <c r="Q159" s="557"/>
      <c r="R159" s="557"/>
      <c r="S159" s="557"/>
      <c r="T159" s="557"/>
      <c r="U159" s="557"/>
      <c r="V159" s="557"/>
      <c r="W159" s="557"/>
      <c r="X159" s="557"/>
      <c r="Y159" s="557"/>
      <c r="Z159" s="557"/>
      <c r="AA159" s="540"/>
      <c r="AB159" s="540"/>
      <c r="AC159" s="540"/>
    </row>
    <row r="160" spans="1:68" ht="14.25" hidden="1" customHeight="1" x14ac:dyDescent="0.25">
      <c r="A160" s="556" t="s">
        <v>138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41"/>
      <c r="AB160" s="541"/>
      <c r="AC160" s="541"/>
    </row>
    <row r="161" spans="1:68" ht="27" hidden="1" customHeight="1" x14ac:dyDescent="0.25">
      <c r="A161" s="54" t="s">
        <v>269</v>
      </c>
      <c r="B161" s="54" t="s">
        <v>270</v>
      </c>
      <c r="C161" s="31">
        <v>4301020323</v>
      </c>
      <c r="D161" s="554">
        <v>4680115886223</v>
      </c>
      <c r="E161" s="555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8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7"/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68"/>
      <c r="P162" s="560" t="s">
        <v>75</v>
      </c>
      <c r="Q162" s="561"/>
      <c r="R162" s="561"/>
      <c r="S162" s="561"/>
      <c r="T162" s="561"/>
      <c r="U162" s="561"/>
      <c r="V162" s="562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7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68"/>
      <c r="P163" s="560" t="s">
        <v>75</v>
      </c>
      <c r="Q163" s="561"/>
      <c r="R163" s="561"/>
      <c r="S163" s="561"/>
      <c r="T163" s="561"/>
      <c r="U163" s="561"/>
      <c r="V163" s="562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6" t="s">
        <v>64</v>
      </c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7"/>
      <c r="P164" s="557"/>
      <c r="Q164" s="557"/>
      <c r="R164" s="557"/>
      <c r="S164" s="557"/>
      <c r="T164" s="557"/>
      <c r="U164" s="557"/>
      <c r="V164" s="557"/>
      <c r="W164" s="557"/>
      <c r="X164" s="557"/>
      <c r="Y164" s="557"/>
      <c r="Z164" s="557"/>
      <c r="AA164" s="541"/>
      <c r="AB164" s="541"/>
      <c r="AC164" s="541"/>
    </row>
    <row r="165" spans="1:68" ht="37.5" hidden="1" customHeight="1" x14ac:dyDescent="0.25">
      <c r="A165" s="54" t="s">
        <v>272</v>
      </c>
      <c r="B165" s="54" t="s">
        <v>273</v>
      </c>
      <c r="C165" s="31">
        <v>4301031447</v>
      </c>
      <c r="D165" s="554">
        <v>4680115887565</v>
      </c>
      <c r="E165" s="555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hidden="1" customHeight="1" x14ac:dyDescent="0.25">
      <c r="A166" s="54" t="s">
        <v>277</v>
      </c>
      <c r="B166" s="54" t="s">
        <v>278</v>
      </c>
      <c r="C166" s="31">
        <v>4301031191</v>
      </c>
      <c r="D166" s="554">
        <v>4680115880993</v>
      </c>
      <c r="E166" s="555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115</v>
      </c>
      <c r="M166" s="33" t="s">
        <v>68</v>
      </c>
      <c r="N166" s="33"/>
      <c r="O166" s="32">
        <v>40</v>
      </c>
      <c r="P166" s="64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280</v>
      </c>
      <c r="B167" s="54" t="s">
        <v>281</v>
      </c>
      <c r="C167" s="31">
        <v>4301031204</v>
      </c>
      <c r="D167" s="554">
        <v>4680115881761</v>
      </c>
      <c r="E167" s="555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/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283</v>
      </c>
      <c r="B168" s="54" t="s">
        <v>284</v>
      </c>
      <c r="C168" s="31">
        <v>4301031201</v>
      </c>
      <c r="D168" s="554">
        <v>4680115881563</v>
      </c>
      <c r="E168" s="555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115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IFERROR(IF(Y168=0,"",ROUNDUP(Y168/H168,0)*0.00902),"")</f>
        <v/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286</v>
      </c>
      <c r="B169" s="54" t="s">
        <v>287</v>
      </c>
      <c r="C169" s="31">
        <v>4301031199</v>
      </c>
      <c r="D169" s="554">
        <v>4680115880986</v>
      </c>
      <c r="E169" s="555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289</v>
      </c>
      <c r="B170" s="54" t="s">
        <v>290</v>
      </c>
      <c r="C170" s="31">
        <v>4301031443</v>
      </c>
      <c r="D170" s="554">
        <v>4680115887213</v>
      </c>
      <c r="E170" s="555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292</v>
      </c>
      <c r="B171" s="54" t="s">
        <v>293</v>
      </c>
      <c r="C171" s="31">
        <v>4301031205</v>
      </c>
      <c r="D171" s="554">
        <v>4680115881785</v>
      </c>
      <c r="E171" s="555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294</v>
      </c>
      <c r="B172" s="54" t="s">
        <v>295</v>
      </c>
      <c r="C172" s="31">
        <v>4301031399</v>
      </c>
      <c r="D172" s="554">
        <v>4680115886537</v>
      </c>
      <c r="E172" s="555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 t="s">
        <v>288</v>
      </c>
      <c r="M172" s="33" t="s">
        <v>68</v>
      </c>
      <c r="N172" s="33"/>
      <c r="O172" s="32">
        <v>40</v>
      </c>
      <c r="P172" s="57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 t="s">
        <v>109</v>
      </c>
      <c r="AK172" s="68">
        <v>32.4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297</v>
      </c>
      <c r="B173" s="54" t="s">
        <v>298</v>
      </c>
      <c r="C173" s="31">
        <v>4301031279</v>
      </c>
      <c r="D173" s="554">
        <v>4680115887596</v>
      </c>
      <c r="E173" s="555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02" t="s">
        <v>299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hidden="1" customHeight="1" x14ac:dyDescent="0.25">
      <c r="A174" s="54" t="s">
        <v>301</v>
      </c>
      <c r="B174" s="54" t="s">
        <v>302</v>
      </c>
      <c r="C174" s="31">
        <v>4301031202</v>
      </c>
      <c r="D174" s="554">
        <v>4680115881679</v>
      </c>
      <c r="E174" s="555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303</v>
      </c>
      <c r="B175" s="54" t="s">
        <v>304</v>
      </c>
      <c r="C175" s="31">
        <v>4301031158</v>
      </c>
      <c r="D175" s="554">
        <v>4680115880191</v>
      </c>
      <c r="E175" s="555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305</v>
      </c>
      <c r="B176" s="54" t="s">
        <v>306</v>
      </c>
      <c r="C176" s="31">
        <v>4301031245</v>
      </c>
      <c r="D176" s="554">
        <v>4680115883963</v>
      </c>
      <c r="E176" s="555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idden="1" x14ac:dyDescent="0.2">
      <c r="A177" s="567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68"/>
      <c r="P177" s="560" t="s">
        <v>75</v>
      </c>
      <c r="Q177" s="561"/>
      <c r="R177" s="561"/>
      <c r="S177" s="561"/>
      <c r="T177" s="561"/>
      <c r="U177" s="561"/>
      <c r="V177" s="562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548"/>
      <c r="AB177" s="548"/>
      <c r="AC177" s="548"/>
    </row>
    <row r="178" spans="1:68" hidden="1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68"/>
      <c r="P178" s="560" t="s">
        <v>75</v>
      </c>
      <c r="Q178" s="561"/>
      <c r="R178" s="561"/>
      <c r="S178" s="561"/>
      <c r="T178" s="561"/>
      <c r="U178" s="561"/>
      <c r="V178" s="562"/>
      <c r="W178" s="37" t="s">
        <v>69</v>
      </c>
      <c r="X178" s="547">
        <f>IFERROR(SUM(X165:X176),"0")</f>
        <v>0</v>
      </c>
      <c r="Y178" s="547">
        <f>IFERROR(SUM(Y165:Y176),"0")</f>
        <v>0</v>
      </c>
      <c r="Z178" s="37"/>
      <c r="AA178" s="548"/>
      <c r="AB178" s="548"/>
      <c r="AC178" s="548"/>
    </row>
    <row r="179" spans="1:68" ht="14.25" hidden="1" customHeight="1" x14ac:dyDescent="0.25">
      <c r="A179" s="556" t="s">
        <v>94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41"/>
      <c r="AB179" s="541"/>
      <c r="AC179" s="541"/>
    </row>
    <row r="180" spans="1:68" ht="27" hidden="1" customHeight="1" x14ac:dyDescent="0.25">
      <c r="A180" s="54" t="s">
        <v>308</v>
      </c>
      <c r="B180" s="54" t="s">
        <v>309</v>
      </c>
      <c r="C180" s="31">
        <v>4301032053</v>
      </c>
      <c r="D180" s="554">
        <v>4680115886780</v>
      </c>
      <c r="E180" s="555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0"/>
      <c r="R180" s="550"/>
      <c r="S180" s="550"/>
      <c r="T180" s="551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hidden="1" customHeight="1" x14ac:dyDescent="0.25">
      <c r="A181" s="54" t="s">
        <v>313</v>
      </c>
      <c r="B181" s="54" t="s">
        <v>314</v>
      </c>
      <c r="C181" s="31">
        <v>4301032051</v>
      </c>
      <c r="D181" s="554">
        <v>4680115886742</v>
      </c>
      <c r="E181" s="555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hidden="1" customHeight="1" x14ac:dyDescent="0.25">
      <c r="A182" s="54" t="s">
        <v>316</v>
      </c>
      <c r="B182" s="54" t="s">
        <v>317</v>
      </c>
      <c r="C182" s="31">
        <v>4301032052</v>
      </c>
      <c r="D182" s="554">
        <v>4680115886766</v>
      </c>
      <c r="E182" s="555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idden="1" x14ac:dyDescent="0.2">
      <c r="A183" s="567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68"/>
      <c r="P183" s="560" t="s">
        <v>75</v>
      </c>
      <c r="Q183" s="561"/>
      <c r="R183" s="561"/>
      <c r="S183" s="561"/>
      <c r="T183" s="561"/>
      <c r="U183" s="561"/>
      <c r="V183" s="562"/>
      <c r="W183" s="37" t="s">
        <v>76</v>
      </c>
      <c r="X183" s="547">
        <f>IFERROR(X180/H180,"0")+IFERROR(X181/H181,"0")+IFERROR(X182/H182,"0")</f>
        <v>0</v>
      </c>
      <c r="Y183" s="547">
        <f>IFERROR(Y180/H180,"0")+IFERROR(Y181/H181,"0")+IFERROR(Y182/H182,"0")</f>
        <v>0</v>
      </c>
      <c r="Z183" s="547">
        <f>IFERROR(IF(Z180="",0,Z180),"0")+IFERROR(IF(Z181="",0,Z181),"0")+IFERROR(IF(Z182="",0,Z182),"0")</f>
        <v>0</v>
      </c>
      <c r="AA183" s="548"/>
      <c r="AB183" s="548"/>
      <c r="AC183" s="548"/>
    </row>
    <row r="184" spans="1:68" hidden="1" x14ac:dyDescent="0.2">
      <c r="A184" s="557"/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68"/>
      <c r="P184" s="560" t="s">
        <v>75</v>
      </c>
      <c r="Q184" s="561"/>
      <c r="R184" s="561"/>
      <c r="S184" s="561"/>
      <c r="T184" s="561"/>
      <c r="U184" s="561"/>
      <c r="V184" s="562"/>
      <c r="W184" s="37" t="s">
        <v>69</v>
      </c>
      <c r="X184" s="547">
        <f>IFERROR(SUM(X180:X182),"0")</f>
        <v>0</v>
      </c>
      <c r="Y184" s="547">
        <f>IFERROR(SUM(Y180:Y182),"0")</f>
        <v>0</v>
      </c>
      <c r="Z184" s="37"/>
      <c r="AA184" s="548"/>
      <c r="AB184" s="548"/>
      <c r="AC184" s="548"/>
    </row>
    <row r="185" spans="1:68" ht="14.25" hidden="1" customHeight="1" x14ac:dyDescent="0.25">
      <c r="A185" s="556" t="s">
        <v>318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41"/>
      <c r="AB185" s="541"/>
      <c r="AC185" s="541"/>
    </row>
    <row r="186" spans="1:68" ht="27" hidden="1" customHeight="1" x14ac:dyDescent="0.25">
      <c r="A186" s="54" t="s">
        <v>319</v>
      </c>
      <c r="B186" s="54" t="s">
        <v>320</v>
      </c>
      <c r="C186" s="31">
        <v>4301170013</v>
      </c>
      <c r="D186" s="554">
        <v>4680115886797</v>
      </c>
      <c r="E186" s="555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7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68"/>
      <c r="P187" s="560" t="s">
        <v>75</v>
      </c>
      <c r="Q187" s="561"/>
      <c r="R187" s="561"/>
      <c r="S187" s="561"/>
      <c r="T187" s="561"/>
      <c r="U187" s="561"/>
      <c r="V187" s="562"/>
      <c r="W187" s="37" t="s">
        <v>76</v>
      </c>
      <c r="X187" s="547">
        <f>IFERROR(X186/H186,"0")</f>
        <v>0</v>
      </c>
      <c r="Y187" s="547">
        <f>IFERROR(Y186/H186,"0")</f>
        <v>0</v>
      </c>
      <c r="Z187" s="547">
        <f>IFERROR(IF(Z186="",0,Z186),"0")</f>
        <v>0</v>
      </c>
      <c r="AA187" s="548"/>
      <c r="AB187" s="548"/>
      <c r="AC187" s="548"/>
    </row>
    <row r="188" spans="1:68" hidden="1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68"/>
      <c r="P188" s="560" t="s">
        <v>75</v>
      </c>
      <c r="Q188" s="561"/>
      <c r="R188" s="561"/>
      <c r="S188" s="561"/>
      <c r="T188" s="561"/>
      <c r="U188" s="561"/>
      <c r="V188" s="562"/>
      <c r="W188" s="37" t="s">
        <v>69</v>
      </c>
      <c r="X188" s="547">
        <f>IFERROR(SUM(X186:X186),"0")</f>
        <v>0</v>
      </c>
      <c r="Y188" s="547">
        <f>IFERROR(SUM(Y186:Y186),"0")</f>
        <v>0</v>
      </c>
      <c r="Z188" s="37"/>
      <c r="AA188" s="548"/>
      <c r="AB188" s="548"/>
      <c r="AC188" s="548"/>
    </row>
    <row r="189" spans="1:68" ht="16.5" hidden="1" customHeight="1" x14ac:dyDescent="0.25">
      <c r="A189" s="574" t="s">
        <v>321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40"/>
      <c r="AB189" s="540"/>
      <c r="AC189" s="540"/>
    </row>
    <row r="190" spans="1:68" ht="14.25" hidden="1" customHeight="1" x14ac:dyDescent="0.25">
      <c r="A190" s="556" t="s">
        <v>102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41"/>
      <c r="AB190" s="541"/>
      <c r="AC190" s="541"/>
    </row>
    <row r="191" spans="1:68" ht="27" hidden="1" customHeight="1" x14ac:dyDescent="0.25">
      <c r="A191" s="54" t="s">
        <v>322</v>
      </c>
      <c r="B191" s="54" t="s">
        <v>323</v>
      </c>
      <c r="C191" s="31">
        <v>4301011450</v>
      </c>
      <c r="D191" s="554">
        <v>4680115881402</v>
      </c>
      <c r="E191" s="555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3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4301011768</v>
      </c>
      <c r="D192" s="554">
        <v>4680115881396</v>
      </c>
      <c r="E192" s="555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63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0"/>
      <c r="R192" s="550"/>
      <c r="S192" s="550"/>
      <c r="T192" s="551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6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68"/>
      <c r="P193" s="560" t="s">
        <v>75</v>
      </c>
      <c r="Q193" s="561"/>
      <c r="R193" s="561"/>
      <c r="S193" s="561"/>
      <c r="T193" s="561"/>
      <c r="U193" s="561"/>
      <c r="V193" s="562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68"/>
      <c r="P194" s="560" t="s">
        <v>75</v>
      </c>
      <c r="Q194" s="561"/>
      <c r="R194" s="561"/>
      <c r="S194" s="561"/>
      <c r="T194" s="561"/>
      <c r="U194" s="561"/>
      <c r="V194" s="562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6" t="s">
        <v>138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41"/>
      <c r="AB195" s="541"/>
      <c r="AC195" s="541"/>
    </row>
    <row r="196" spans="1:68" ht="16.5" hidden="1" customHeight="1" x14ac:dyDescent="0.25">
      <c r="A196" s="54" t="s">
        <v>327</v>
      </c>
      <c r="B196" s="54" t="s">
        <v>328</v>
      </c>
      <c r="C196" s="31">
        <v>4301020261</v>
      </c>
      <c r="D196" s="554">
        <v>4680115882935</v>
      </c>
      <c r="E196" s="555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330</v>
      </c>
      <c r="B197" s="54" t="s">
        <v>331</v>
      </c>
      <c r="C197" s="31">
        <v>4301020220</v>
      </c>
      <c r="D197" s="554">
        <v>4680115880764</v>
      </c>
      <c r="E197" s="555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 t="s">
        <v>223</v>
      </c>
      <c r="M197" s="33" t="s">
        <v>107</v>
      </c>
      <c r="N197" s="33"/>
      <c r="O197" s="32">
        <v>50</v>
      </c>
      <c r="P197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0"/>
      <c r="R197" s="550"/>
      <c r="S197" s="550"/>
      <c r="T197" s="551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 t="s">
        <v>109</v>
      </c>
      <c r="AK197" s="68">
        <v>29.4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567"/>
      <c r="B198" s="557"/>
      <c r="C198" s="557"/>
      <c r="D198" s="557"/>
      <c r="E198" s="557"/>
      <c r="F198" s="557"/>
      <c r="G198" s="557"/>
      <c r="H198" s="557"/>
      <c r="I198" s="557"/>
      <c r="J198" s="557"/>
      <c r="K198" s="557"/>
      <c r="L198" s="557"/>
      <c r="M198" s="557"/>
      <c r="N198" s="557"/>
      <c r="O198" s="568"/>
      <c r="P198" s="560" t="s">
        <v>75</v>
      </c>
      <c r="Q198" s="561"/>
      <c r="R198" s="561"/>
      <c r="S198" s="561"/>
      <c r="T198" s="561"/>
      <c r="U198" s="561"/>
      <c r="V198" s="562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hidden="1" x14ac:dyDescent="0.2">
      <c r="A199" s="557"/>
      <c r="B199" s="557"/>
      <c r="C199" s="557"/>
      <c r="D199" s="557"/>
      <c r="E199" s="557"/>
      <c r="F199" s="557"/>
      <c r="G199" s="557"/>
      <c r="H199" s="557"/>
      <c r="I199" s="557"/>
      <c r="J199" s="557"/>
      <c r="K199" s="557"/>
      <c r="L199" s="557"/>
      <c r="M199" s="557"/>
      <c r="N199" s="557"/>
      <c r="O199" s="568"/>
      <c r="P199" s="560" t="s">
        <v>75</v>
      </c>
      <c r="Q199" s="561"/>
      <c r="R199" s="561"/>
      <c r="S199" s="561"/>
      <c r="T199" s="561"/>
      <c r="U199" s="561"/>
      <c r="V199" s="562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hidden="1" customHeight="1" x14ac:dyDescent="0.25">
      <c r="A200" s="556" t="s">
        <v>64</v>
      </c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57"/>
      <c r="P200" s="557"/>
      <c r="Q200" s="557"/>
      <c r="R200" s="557"/>
      <c r="S200" s="557"/>
      <c r="T200" s="557"/>
      <c r="U200" s="557"/>
      <c r="V200" s="557"/>
      <c r="W200" s="557"/>
      <c r="X200" s="557"/>
      <c r="Y200" s="557"/>
      <c r="Z200" s="557"/>
      <c r="AA200" s="541"/>
      <c r="AB200" s="541"/>
      <c r="AC200" s="541"/>
    </row>
    <row r="201" spans="1:68" ht="27" hidden="1" customHeight="1" x14ac:dyDescent="0.25">
      <c r="A201" s="54" t="s">
        <v>332</v>
      </c>
      <c r="B201" s="54" t="s">
        <v>333</v>
      </c>
      <c r="C201" s="31">
        <v>4301031224</v>
      </c>
      <c r="D201" s="554">
        <v>4680115882683</v>
      </c>
      <c r="E201" s="555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115</v>
      </c>
      <c r="M201" s="33" t="s">
        <v>68</v>
      </c>
      <c r="N201" s="33"/>
      <c r="O201" s="32">
        <v>40</v>
      </c>
      <c r="P201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5">
        <v>0</v>
      </c>
      <c r="Y201" s="546">
        <f t="shared" ref="Y201:Y208" si="10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0</v>
      </c>
      <c r="BN201" s="64">
        <f t="shared" ref="BN201:BN208" si="12">IFERROR(Y201*I201/H201,"0")</f>
        <v>0</v>
      </c>
      <c r="BO201" s="64">
        <f t="shared" ref="BO201:BO208" si="13">IFERROR(1/J201*(X201/H201),"0")</f>
        <v>0</v>
      </c>
      <c r="BP201" s="64">
        <f t="shared" ref="BP201:BP208" si="14">IFERROR(1/J201*(Y201/H201),"0")</f>
        <v>0</v>
      </c>
    </row>
    <row r="202" spans="1:68" ht="27" hidden="1" customHeight="1" x14ac:dyDescent="0.25">
      <c r="A202" s="54" t="s">
        <v>335</v>
      </c>
      <c r="B202" s="54" t="s">
        <v>336</v>
      </c>
      <c r="C202" s="31">
        <v>4301031230</v>
      </c>
      <c r="D202" s="554">
        <v>4680115882690</v>
      </c>
      <c r="E202" s="555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115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5">
        <v>0</v>
      </c>
      <c r="Y202" s="546">
        <f t="shared" si="10"/>
        <v>0</v>
      </c>
      <c r="Z202" s="36" t="str">
        <f>IFERROR(IF(Y202=0,"",ROUNDUP(Y202/H202,0)*0.00902),"")</f>
        <v/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338</v>
      </c>
      <c r="B203" s="54" t="s">
        <v>339</v>
      </c>
      <c r="C203" s="31">
        <v>4301031220</v>
      </c>
      <c r="D203" s="554">
        <v>4680115882669</v>
      </c>
      <c r="E203" s="555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/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/>
      <c r="AK203" s="68">
        <v>0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hidden="1" customHeight="1" x14ac:dyDescent="0.25">
      <c r="A204" s="54" t="s">
        <v>341</v>
      </c>
      <c r="B204" s="54" t="s">
        <v>342</v>
      </c>
      <c r="C204" s="31">
        <v>4301031221</v>
      </c>
      <c r="D204" s="554">
        <v>4680115882676</v>
      </c>
      <c r="E204" s="555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hidden="1" customHeight="1" x14ac:dyDescent="0.25">
      <c r="A205" s="54" t="s">
        <v>344</v>
      </c>
      <c r="B205" s="54" t="s">
        <v>345</v>
      </c>
      <c r="C205" s="31">
        <v>4301031223</v>
      </c>
      <c r="D205" s="554">
        <v>4680115884014</v>
      </c>
      <c r="E205" s="555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hidden="1" customHeight="1" x14ac:dyDescent="0.25">
      <c r="A206" s="54" t="s">
        <v>346</v>
      </c>
      <c r="B206" s="54" t="s">
        <v>347</v>
      </c>
      <c r="C206" s="31">
        <v>4301031222</v>
      </c>
      <c r="D206" s="554">
        <v>4680115884007</v>
      </c>
      <c r="E206" s="555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4301031229</v>
      </c>
      <c r="D207" s="554">
        <v>4680115884038</v>
      </c>
      <c r="E207" s="555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350</v>
      </c>
      <c r="B208" s="54" t="s">
        <v>351</v>
      </c>
      <c r="C208" s="31">
        <v>4301031225</v>
      </c>
      <c r="D208" s="554">
        <v>4680115884021</v>
      </c>
      <c r="E208" s="555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idden="1" x14ac:dyDescent="0.2">
      <c r="A209" s="567"/>
      <c r="B209" s="557"/>
      <c r="C209" s="557"/>
      <c r="D209" s="557"/>
      <c r="E209" s="557"/>
      <c r="F209" s="557"/>
      <c r="G209" s="557"/>
      <c r="H209" s="557"/>
      <c r="I209" s="557"/>
      <c r="J209" s="557"/>
      <c r="K209" s="557"/>
      <c r="L209" s="557"/>
      <c r="M209" s="557"/>
      <c r="N209" s="557"/>
      <c r="O209" s="568"/>
      <c r="P209" s="560" t="s">
        <v>75</v>
      </c>
      <c r="Q209" s="561"/>
      <c r="R209" s="561"/>
      <c r="S209" s="561"/>
      <c r="T209" s="561"/>
      <c r="U209" s="561"/>
      <c r="V209" s="562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0</v>
      </c>
      <c r="Y209" s="547">
        <f>IFERROR(Y201/H201,"0")+IFERROR(Y202/H202,"0")+IFERROR(Y203/H203,"0")+IFERROR(Y204/H204,"0")+IFERROR(Y205/H205,"0")+IFERROR(Y206/H206,"0")+IFERROR(Y207/H207,"0")+IFERROR(Y208/H208,"0")</f>
        <v>0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548"/>
      <c r="AB209" s="548"/>
      <c r="AC209" s="548"/>
    </row>
    <row r="210" spans="1:68" hidden="1" x14ac:dyDescent="0.2">
      <c r="A210" s="557"/>
      <c r="B210" s="557"/>
      <c r="C210" s="557"/>
      <c r="D210" s="557"/>
      <c r="E210" s="557"/>
      <c r="F210" s="557"/>
      <c r="G210" s="557"/>
      <c r="H210" s="557"/>
      <c r="I210" s="557"/>
      <c r="J210" s="557"/>
      <c r="K210" s="557"/>
      <c r="L210" s="557"/>
      <c r="M210" s="557"/>
      <c r="N210" s="557"/>
      <c r="O210" s="568"/>
      <c r="P210" s="560" t="s">
        <v>75</v>
      </c>
      <c r="Q210" s="561"/>
      <c r="R210" s="561"/>
      <c r="S210" s="561"/>
      <c r="T210" s="561"/>
      <c r="U210" s="561"/>
      <c r="V210" s="562"/>
      <c r="W210" s="37" t="s">
        <v>69</v>
      </c>
      <c r="X210" s="547">
        <f>IFERROR(SUM(X201:X208),"0")</f>
        <v>0</v>
      </c>
      <c r="Y210" s="547">
        <f>IFERROR(SUM(Y201:Y208),"0")</f>
        <v>0</v>
      </c>
      <c r="Z210" s="37"/>
      <c r="AA210" s="548"/>
      <c r="AB210" s="548"/>
      <c r="AC210" s="548"/>
    </row>
    <row r="211" spans="1:68" ht="14.25" hidden="1" customHeight="1" x14ac:dyDescent="0.25">
      <c r="A211" s="556" t="s">
        <v>77</v>
      </c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57"/>
      <c r="P211" s="557"/>
      <c r="Q211" s="557"/>
      <c r="R211" s="557"/>
      <c r="S211" s="557"/>
      <c r="T211" s="557"/>
      <c r="U211" s="557"/>
      <c r="V211" s="557"/>
      <c r="W211" s="557"/>
      <c r="X211" s="557"/>
      <c r="Y211" s="557"/>
      <c r="Z211" s="557"/>
      <c r="AA211" s="541"/>
      <c r="AB211" s="541"/>
      <c r="AC211" s="541"/>
    </row>
    <row r="212" spans="1:68" ht="27" hidden="1" customHeight="1" x14ac:dyDescent="0.25">
      <c r="A212" s="54" t="s">
        <v>352</v>
      </c>
      <c r="B212" s="54" t="s">
        <v>353</v>
      </c>
      <c r="C212" s="31">
        <v>4301051408</v>
      </c>
      <c r="D212" s="554">
        <v>4680115881594</v>
      </c>
      <c r="E212" s="555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/>
      <c r="M212" s="33" t="s">
        <v>80</v>
      </c>
      <c r="N212" s="33"/>
      <c r="O212" s="32">
        <v>40</v>
      </c>
      <c r="P212" s="7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hidden="1" customHeight="1" x14ac:dyDescent="0.25">
      <c r="A213" s="54" t="s">
        <v>355</v>
      </c>
      <c r="B213" s="54" t="s">
        <v>356</v>
      </c>
      <c r="C213" s="31">
        <v>4301051411</v>
      </c>
      <c r="D213" s="554">
        <v>4680115881617</v>
      </c>
      <c r="E213" s="555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/>
      <c r="M213" s="33" t="s">
        <v>80</v>
      </c>
      <c r="N213" s="33"/>
      <c r="O213" s="32">
        <v>40</v>
      </c>
      <c r="P213" s="73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0"/>
      <c r="R213" s="550"/>
      <c r="S213" s="550"/>
      <c r="T213" s="551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358</v>
      </c>
      <c r="B214" s="54" t="s">
        <v>359</v>
      </c>
      <c r="C214" s="31">
        <v>4301051656</v>
      </c>
      <c r="D214" s="554">
        <v>4680115880573</v>
      </c>
      <c r="E214" s="555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1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361</v>
      </c>
      <c r="B215" s="54" t="s">
        <v>362</v>
      </c>
      <c r="C215" s="31">
        <v>4301051407</v>
      </c>
      <c r="D215" s="554">
        <v>4680115882195</v>
      </c>
      <c r="E215" s="555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223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 t="shared" ref="Z215:Z220" si="20">IFERROR(IF(Y215=0,"",ROUNDUP(Y215/H215,0)*0.00651),"")</f>
        <v/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4301051752</v>
      </c>
      <c r="D216" s="554">
        <v>4680115882607</v>
      </c>
      <c r="E216" s="555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1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hidden="1" customHeight="1" x14ac:dyDescent="0.25">
      <c r="A217" s="54" t="s">
        <v>365</v>
      </c>
      <c r="B217" s="54" t="s">
        <v>366</v>
      </c>
      <c r="C217" s="31">
        <v>4301051666</v>
      </c>
      <c r="D217" s="554">
        <v>4680115880092</v>
      </c>
      <c r="E217" s="555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223</v>
      </c>
      <c r="M217" s="33" t="s">
        <v>80</v>
      </c>
      <c r="N217" s="33"/>
      <c r="O217" s="32">
        <v>45</v>
      </c>
      <c r="P217" s="7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si="20"/>
        <v/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4301051668</v>
      </c>
      <c r="D218" s="554">
        <v>4680115880221</v>
      </c>
      <c r="E218" s="555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 t="s">
        <v>223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 t="s">
        <v>109</v>
      </c>
      <c r="AK218" s="68">
        <v>33.6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hidden="1" customHeight="1" x14ac:dyDescent="0.25">
      <c r="A219" s="54" t="s">
        <v>369</v>
      </c>
      <c r="B219" s="54" t="s">
        <v>370</v>
      </c>
      <c r="C219" s="31">
        <v>4301051945</v>
      </c>
      <c r="D219" s="554">
        <v>4680115880504</v>
      </c>
      <c r="E219" s="555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223</v>
      </c>
      <c r="M219" s="33" t="s">
        <v>87</v>
      </c>
      <c r="N219" s="33"/>
      <c r="O219" s="32">
        <v>40</v>
      </c>
      <c r="P219" s="6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0</v>
      </c>
      <c r="Y219" s="546">
        <f t="shared" si="15"/>
        <v>0</v>
      </c>
      <c r="Z219" s="36" t="str">
        <f t="shared" si="20"/>
        <v/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hidden="1" customHeight="1" x14ac:dyDescent="0.25">
      <c r="A220" s="54" t="s">
        <v>372</v>
      </c>
      <c r="B220" s="54" t="s">
        <v>373</v>
      </c>
      <c r="C220" s="31">
        <v>4301051410</v>
      </c>
      <c r="D220" s="554">
        <v>4680115882164</v>
      </c>
      <c r="E220" s="555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223</v>
      </c>
      <c r="M220" s="33" t="s">
        <v>80</v>
      </c>
      <c r="N220" s="33"/>
      <c r="O220" s="32">
        <v>40</v>
      </c>
      <c r="P220" s="5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0</v>
      </c>
      <c r="Y220" s="546">
        <f t="shared" si="15"/>
        <v>0</v>
      </c>
      <c r="Z220" s="36" t="str">
        <f t="shared" si="20"/>
        <v/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hidden="1" x14ac:dyDescent="0.2">
      <c r="A221" s="56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68"/>
      <c r="P221" s="560" t="s">
        <v>75</v>
      </c>
      <c r="Q221" s="561"/>
      <c r="R221" s="561"/>
      <c r="S221" s="561"/>
      <c r="T221" s="561"/>
      <c r="U221" s="561"/>
      <c r="V221" s="562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0</v>
      </c>
      <c r="Y221" s="547">
        <f>IFERROR(Y212/H212,"0")+IFERROR(Y213/H213,"0")+IFERROR(Y214/H214,"0")+IFERROR(Y215/H215,"0")+IFERROR(Y216/H216,"0")+IFERROR(Y217/H217,"0")+IFERROR(Y218/H218,"0")+IFERROR(Y219/H219,"0")+IFERROR(Y220/H220,"0")</f>
        <v>0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548"/>
      <c r="AB221" s="548"/>
      <c r="AC221" s="548"/>
    </row>
    <row r="222" spans="1:68" hidden="1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68"/>
      <c r="P222" s="560" t="s">
        <v>75</v>
      </c>
      <c r="Q222" s="561"/>
      <c r="R222" s="561"/>
      <c r="S222" s="561"/>
      <c r="T222" s="561"/>
      <c r="U222" s="561"/>
      <c r="V222" s="562"/>
      <c r="W222" s="37" t="s">
        <v>69</v>
      </c>
      <c r="X222" s="547">
        <f>IFERROR(SUM(X212:X220),"0")</f>
        <v>0</v>
      </c>
      <c r="Y222" s="547">
        <f>IFERROR(SUM(Y212:Y220),"0")</f>
        <v>0</v>
      </c>
      <c r="Z222" s="37"/>
      <c r="AA222" s="548"/>
      <c r="AB222" s="548"/>
      <c r="AC222" s="548"/>
    </row>
    <row r="223" spans="1:68" ht="14.25" hidden="1" customHeight="1" x14ac:dyDescent="0.25">
      <c r="A223" s="556" t="s">
        <v>166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41"/>
      <c r="AB223" s="541"/>
      <c r="AC223" s="541"/>
    </row>
    <row r="224" spans="1:68" ht="27" hidden="1" customHeight="1" x14ac:dyDescent="0.25">
      <c r="A224" s="54" t="s">
        <v>374</v>
      </c>
      <c r="B224" s="54" t="s">
        <v>375</v>
      </c>
      <c r="C224" s="31">
        <v>4301060463</v>
      </c>
      <c r="D224" s="554">
        <v>4680115880818</v>
      </c>
      <c r="E224" s="555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/>
      <c r="M224" s="33" t="s">
        <v>87</v>
      </c>
      <c r="N224" s="33"/>
      <c r="O224" s="32">
        <v>40</v>
      </c>
      <c r="P224" s="7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0"/>
      <c r="R224" s="550"/>
      <c r="S224" s="550"/>
      <c r="T224" s="551"/>
      <c r="U224" s="34"/>
      <c r="V224" s="34"/>
      <c r="W224" s="35" t="s">
        <v>69</v>
      </c>
      <c r="X224" s="545">
        <v>0</v>
      </c>
      <c r="Y224" s="54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/>
      <c r="AK224" s="68">
        <v>0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hidden="1" customHeight="1" x14ac:dyDescent="0.25">
      <c r="A225" s="54" t="s">
        <v>377</v>
      </c>
      <c r="B225" s="54" t="s">
        <v>378</v>
      </c>
      <c r="C225" s="31">
        <v>4301060389</v>
      </c>
      <c r="D225" s="554">
        <v>4680115880801</v>
      </c>
      <c r="E225" s="555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 t="s">
        <v>223</v>
      </c>
      <c r="M225" s="33" t="s">
        <v>80</v>
      </c>
      <c r="N225" s="33"/>
      <c r="O225" s="32">
        <v>40</v>
      </c>
      <c r="P225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5">
        <v>0</v>
      </c>
      <c r="Y225" s="54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 t="s">
        <v>109</v>
      </c>
      <c r="AK225" s="68">
        <v>33.6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567"/>
      <c r="B226" s="557"/>
      <c r="C226" s="557"/>
      <c r="D226" s="557"/>
      <c r="E226" s="557"/>
      <c r="F226" s="557"/>
      <c r="G226" s="557"/>
      <c r="H226" s="557"/>
      <c r="I226" s="557"/>
      <c r="J226" s="557"/>
      <c r="K226" s="557"/>
      <c r="L226" s="557"/>
      <c r="M226" s="557"/>
      <c r="N226" s="557"/>
      <c r="O226" s="568"/>
      <c r="P226" s="560" t="s">
        <v>75</v>
      </c>
      <c r="Q226" s="561"/>
      <c r="R226" s="561"/>
      <c r="S226" s="561"/>
      <c r="T226" s="561"/>
      <c r="U226" s="561"/>
      <c r="V226" s="562"/>
      <c r="W226" s="37" t="s">
        <v>76</v>
      </c>
      <c r="X226" s="547">
        <f>IFERROR(X224/H224,"0")+IFERROR(X225/H225,"0")</f>
        <v>0</v>
      </c>
      <c r="Y226" s="547">
        <f>IFERROR(Y224/H224,"0")+IFERROR(Y225/H225,"0")</f>
        <v>0</v>
      </c>
      <c r="Z226" s="547">
        <f>IFERROR(IF(Z224="",0,Z224),"0")+IFERROR(IF(Z225="",0,Z225),"0")</f>
        <v>0</v>
      </c>
      <c r="AA226" s="548"/>
      <c r="AB226" s="548"/>
      <c r="AC226" s="548"/>
    </row>
    <row r="227" spans="1:68" hidden="1" x14ac:dyDescent="0.2">
      <c r="A227" s="557"/>
      <c r="B227" s="557"/>
      <c r="C227" s="557"/>
      <c r="D227" s="557"/>
      <c r="E227" s="557"/>
      <c r="F227" s="557"/>
      <c r="G227" s="557"/>
      <c r="H227" s="557"/>
      <c r="I227" s="557"/>
      <c r="J227" s="557"/>
      <c r="K227" s="557"/>
      <c r="L227" s="557"/>
      <c r="M227" s="557"/>
      <c r="N227" s="557"/>
      <c r="O227" s="568"/>
      <c r="P227" s="560" t="s">
        <v>75</v>
      </c>
      <c r="Q227" s="561"/>
      <c r="R227" s="561"/>
      <c r="S227" s="561"/>
      <c r="T227" s="561"/>
      <c r="U227" s="561"/>
      <c r="V227" s="562"/>
      <c r="W227" s="37" t="s">
        <v>69</v>
      </c>
      <c r="X227" s="547">
        <f>IFERROR(SUM(X224:X225),"0")</f>
        <v>0</v>
      </c>
      <c r="Y227" s="547">
        <f>IFERROR(SUM(Y224:Y225),"0")</f>
        <v>0</v>
      </c>
      <c r="Z227" s="37"/>
      <c r="AA227" s="548"/>
      <c r="AB227" s="548"/>
      <c r="AC227" s="548"/>
    </row>
    <row r="228" spans="1:68" ht="16.5" hidden="1" customHeight="1" x14ac:dyDescent="0.25">
      <c r="A228" s="574" t="s">
        <v>380</v>
      </c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57"/>
      <c r="P228" s="557"/>
      <c r="Q228" s="557"/>
      <c r="R228" s="557"/>
      <c r="S228" s="557"/>
      <c r="T228" s="557"/>
      <c r="U228" s="557"/>
      <c r="V228" s="557"/>
      <c r="W228" s="557"/>
      <c r="X228" s="557"/>
      <c r="Y228" s="557"/>
      <c r="Z228" s="557"/>
      <c r="AA228" s="540"/>
      <c r="AB228" s="540"/>
      <c r="AC228" s="540"/>
    </row>
    <row r="229" spans="1:68" ht="14.25" hidden="1" customHeight="1" x14ac:dyDescent="0.25">
      <c r="A229" s="556" t="s">
        <v>102</v>
      </c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7"/>
      <c r="P229" s="557"/>
      <c r="Q229" s="557"/>
      <c r="R229" s="557"/>
      <c r="S229" s="557"/>
      <c r="T229" s="557"/>
      <c r="U229" s="557"/>
      <c r="V229" s="557"/>
      <c r="W229" s="557"/>
      <c r="X229" s="557"/>
      <c r="Y229" s="557"/>
      <c r="Z229" s="557"/>
      <c r="AA229" s="541"/>
      <c r="AB229" s="541"/>
      <c r="AC229" s="541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554">
        <v>4680115884137</v>
      </c>
      <c r="E230" s="555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 t="s">
        <v>106</v>
      </c>
      <c r="M230" s="33" t="s">
        <v>107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 t="s">
        <v>109</v>
      </c>
      <c r="AK230" s="68">
        <v>92.8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hidden="1" customHeight="1" x14ac:dyDescent="0.25">
      <c r="A231" s="54" t="s">
        <v>384</v>
      </c>
      <c r="B231" s="54" t="s">
        <v>385</v>
      </c>
      <c r="C231" s="31">
        <v>4301011724</v>
      </c>
      <c r="D231" s="554">
        <v>4680115884236</v>
      </c>
      <c r="E231" s="555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4301011721</v>
      </c>
      <c r="D232" s="554">
        <v>4680115884175</v>
      </c>
      <c r="E232" s="555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107</v>
      </c>
      <c r="N232" s="33"/>
      <c r="O232" s="32">
        <v>55</v>
      </c>
      <c r="P232" s="75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4301011824</v>
      </c>
      <c r="D233" s="554">
        <v>4680115884144</v>
      </c>
      <c r="E233" s="555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/>
      <c r="M233" s="33" t="s">
        <v>107</v>
      </c>
      <c r="N233" s="33"/>
      <c r="O233" s="32">
        <v>55</v>
      </c>
      <c r="P233" s="76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390</v>
      </c>
      <c r="B234" s="54" t="s">
        <v>392</v>
      </c>
      <c r="C234" s="31">
        <v>4301012196</v>
      </c>
      <c r="D234" s="554">
        <v>4680115884144</v>
      </c>
      <c r="E234" s="555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59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4301012149</v>
      </c>
      <c r="D235" s="554">
        <v>4680115886551</v>
      </c>
      <c r="E235" s="555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8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4301012228</v>
      </c>
      <c r="D236" s="554">
        <v>4680115887282</v>
      </c>
      <c r="E236" s="555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554">
        <v>4680115884205</v>
      </c>
      <c r="E237" s="555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/>
      <c r="M237" s="33" t="s">
        <v>107</v>
      </c>
      <c r="N237" s="33"/>
      <c r="O237" s="32">
        <v>55</v>
      </c>
      <c r="P237" s="6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398</v>
      </c>
      <c r="B238" s="54" t="s">
        <v>400</v>
      </c>
      <c r="C238" s="31">
        <v>4301012195</v>
      </c>
      <c r="D238" s="554">
        <v>4680115884205</v>
      </c>
      <c r="E238" s="555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idden="1" x14ac:dyDescent="0.2">
      <c r="A239" s="56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68"/>
      <c r="P239" s="560" t="s">
        <v>75</v>
      </c>
      <c r="Q239" s="561"/>
      <c r="R239" s="561"/>
      <c r="S239" s="561"/>
      <c r="T239" s="561"/>
      <c r="U239" s="561"/>
      <c r="V239" s="562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0</v>
      </c>
      <c r="Y239" s="547">
        <f>IFERROR(Y230/H230,"0")+IFERROR(Y231/H231,"0")+IFERROR(Y232/H232,"0")+IFERROR(Y233/H233,"0")+IFERROR(Y234/H234,"0")+IFERROR(Y235/H235,"0")+IFERROR(Y236/H236,"0")+IFERROR(Y237/H237,"0")+IFERROR(Y238/H238,"0")</f>
        <v>0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48"/>
      <c r="AB239" s="548"/>
      <c r="AC239" s="548"/>
    </row>
    <row r="240" spans="1:68" hidden="1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68"/>
      <c r="P240" s="560" t="s">
        <v>75</v>
      </c>
      <c r="Q240" s="561"/>
      <c r="R240" s="561"/>
      <c r="S240" s="561"/>
      <c r="T240" s="561"/>
      <c r="U240" s="561"/>
      <c r="V240" s="562"/>
      <c r="W240" s="37" t="s">
        <v>69</v>
      </c>
      <c r="X240" s="547">
        <f>IFERROR(SUM(X230:X238),"0")</f>
        <v>0</v>
      </c>
      <c r="Y240" s="547">
        <f>IFERROR(SUM(Y230:Y238),"0")</f>
        <v>0</v>
      </c>
      <c r="Z240" s="37"/>
      <c r="AA240" s="548"/>
      <c r="AB240" s="548"/>
      <c r="AC240" s="548"/>
    </row>
    <row r="241" spans="1:68" ht="14.25" hidden="1" customHeight="1" x14ac:dyDescent="0.25">
      <c r="A241" s="556" t="s">
        <v>138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41"/>
      <c r="AB241" s="541"/>
      <c r="AC241" s="541"/>
    </row>
    <row r="242" spans="1:68" ht="27" hidden="1" customHeight="1" x14ac:dyDescent="0.25">
      <c r="A242" s="54" t="s">
        <v>401</v>
      </c>
      <c r="B242" s="54" t="s">
        <v>402</v>
      </c>
      <c r="C242" s="31">
        <v>4301020377</v>
      </c>
      <c r="D242" s="554">
        <v>4680115885981</v>
      </c>
      <c r="E242" s="555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1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6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68"/>
      <c r="P243" s="560" t="s">
        <v>75</v>
      </c>
      <c r="Q243" s="561"/>
      <c r="R243" s="561"/>
      <c r="S243" s="561"/>
      <c r="T243" s="561"/>
      <c r="U243" s="561"/>
      <c r="V243" s="562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hidden="1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68"/>
      <c r="P244" s="560" t="s">
        <v>75</v>
      </c>
      <c r="Q244" s="561"/>
      <c r="R244" s="561"/>
      <c r="S244" s="561"/>
      <c r="T244" s="561"/>
      <c r="U244" s="561"/>
      <c r="V244" s="562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hidden="1" customHeight="1" x14ac:dyDescent="0.25">
      <c r="A245" s="556" t="s">
        <v>404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41"/>
      <c r="AB245" s="541"/>
      <c r="AC245" s="541"/>
    </row>
    <row r="246" spans="1:68" ht="27" hidden="1" customHeight="1" x14ac:dyDescent="0.25">
      <c r="A246" s="54" t="s">
        <v>405</v>
      </c>
      <c r="B246" s="54" t="s">
        <v>406</v>
      </c>
      <c r="C246" s="31">
        <v>4301040362</v>
      </c>
      <c r="D246" s="554">
        <v>4680115886803</v>
      </c>
      <c r="E246" s="555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7"/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68"/>
      <c r="P247" s="560" t="s">
        <v>75</v>
      </c>
      <c r="Q247" s="561"/>
      <c r="R247" s="561"/>
      <c r="S247" s="561"/>
      <c r="T247" s="561"/>
      <c r="U247" s="561"/>
      <c r="V247" s="562"/>
      <c r="W247" s="37" t="s">
        <v>76</v>
      </c>
      <c r="X247" s="547">
        <f>IFERROR(X246/H246,"0")</f>
        <v>0</v>
      </c>
      <c r="Y247" s="547">
        <f>IFERROR(Y246/H246,"0")</f>
        <v>0</v>
      </c>
      <c r="Z247" s="547">
        <f>IFERROR(IF(Z246="",0,Z246),"0")</f>
        <v>0</v>
      </c>
      <c r="AA247" s="548"/>
      <c r="AB247" s="548"/>
      <c r="AC247" s="548"/>
    </row>
    <row r="248" spans="1:68" hidden="1" x14ac:dyDescent="0.2">
      <c r="A248" s="557"/>
      <c r="B248" s="557"/>
      <c r="C248" s="557"/>
      <c r="D248" s="557"/>
      <c r="E248" s="557"/>
      <c r="F248" s="557"/>
      <c r="G248" s="557"/>
      <c r="H248" s="557"/>
      <c r="I248" s="557"/>
      <c r="J248" s="557"/>
      <c r="K248" s="557"/>
      <c r="L248" s="557"/>
      <c r="M248" s="557"/>
      <c r="N248" s="557"/>
      <c r="O248" s="568"/>
      <c r="P248" s="560" t="s">
        <v>75</v>
      </c>
      <c r="Q248" s="561"/>
      <c r="R248" s="561"/>
      <c r="S248" s="561"/>
      <c r="T248" s="561"/>
      <c r="U248" s="561"/>
      <c r="V248" s="562"/>
      <c r="W248" s="37" t="s">
        <v>69</v>
      </c>
      <c r="X248" s="547">
        <f>IFERROR(SUM(X246:X246),"0")</f>
        <v>0</v>
      </c>
      <c r="Y248" s="547">
        <f>IFERROR(SUM(Y246:Y246),"0")</f>
        <v>0</v>
      </c>
      <c r="Z248" s="37"/>
      <c r="AA248" s="548"/>
      <c r="AB248" s="548"/>
      <c r="AC248" s="548"/>
    </row>
    <row r="249" spans="1:68" ht="14.25" hidden="1" customHeight="1" x14ac:dyDescent="0.25">
      <c r="A249" s="556" t="s">
        <v>408</v>
      </c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57"/>
      <c r="P249" s="557"/>
      <c r="Q249" s="557"/>
      <c r="R249" s="557"/>
      <c r="S249" s="557"/>
      <c r="T249" s="557"/>
      <c r="U249" s="557"/>
      <c r="V249" s="557"/>
      <c r="W249" s="557"/>
      <c r="X249" s="557"/>
      <c r="Y249" s="557"/>
      <c r="Z249" s="557"/>
      <c r="AA249" s="541"/>
      <c r="AB249" s="541"/>
      <c r="AC249" s="541"/>
    </row>
    <row r="250" spans="1:68" ht="27" hidden="1" customHeight="1" x14ac:dyDescent="0.25">
      <c r="A250" s="54" t="s">
        <v>409</v>
      </c>
      <c r="B250" s="54" t="s">
        <v>410</v>
      </c>
      <c r="C250" s="31">
        <v>4301041004</v>
      </c>
      <c r="D250" s="554">
        <v>4680115886704</v>
      </c>
      <c r="E250" s="555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412</v>
      </c>
      <c r="B251" s="54" t="s">
        <v>413</v>
      </c>
      <c r="C251" s="31">
        <v>4301041008</v>
      </c>
      <c r="D251" s="554">
        <v>4680115886681</v>
      </c>
      <c r="E251" s="555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7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0"/>
      <c r="R251" s="550"/>
      <c r="S251" s="550"/>
      <c r="T251" s="551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414</v>
      </c>
      <c r="B252" s="54" t="s">
        <v>415</v>
      </c>
      <c r="C252" s="31">
        <v>4301041007</v>
      </c>
      <c r="D252" s="554">
        <v>4680115886735</v>
      </c>
      <c r="E252" s="555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62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416</v>
      </c>
      <c r="B253" s="54" t="s">
        <v>417</v>
      </c>
      <c r="C253" s="31">
        <v>4301041006</v>
      </c>
      <c r="D253" s="554">
        <v>4680115886728</v>
      </c>
      <c r="E253" s="555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4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418</v>
      </c>
      <c r="B254" s="54" t="s">
        <v>419</v>
      </c>
      <c r="C254" s="31">
        <v>4301041005</v>
      </c>
      <c r="D254" s="554">
        <v>4680115886711</v>
      </c>
      <c r="E254" s="555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567"/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568"/>
      <c r="P255" s="560" t="s">
        <v>75</v>
      </c>
      <c r="Q255" s="561"/>
      <c r="R255" s="561"/>
      <c r="S255" s="561"/>
      <c r="T255" s="561"/>
      <c r="U255" s="561"/>
      <c r="V255" s="562"/>
      <c r="W255" s="37" t="s">
        <v>76</v>
      </c>
      <c r="X255" s="547">
        <f>IFERROR(X250/H250,"0")+IFERROR(X251/H251,"0")+IFERROR(X252/H252,"0")+IFERROR(X253/H253,"0")+IFERROR(X254/H254,"0")</f>
        <v>0</v>
      </c>
      <c r="Y255" s="547">
        <f>IFERROR(Y250/H250,"0")+IFERROR(Y251/H251,"0")+IFERROR(Y252/H252,"0")+IFERROR(Y253/H253,"0")+IFERROR(Y254/H254,"0")</f>
        <v>0</v>
      </c>
      <c r="Z255" s="547">
        <f>IFERROR(IF(Z250="",0,Z250),"0")+IFERROR(IF(Z251="",0,Z251),"0")+IFERROR(IF(Z252="",0,Z252),"0")+IFERROR(IF(Z253="",0,Z253),"0")+IFERROR(IF(Z254="",0,Z254),"0")</f>
        <v>0</v>
      </c>
      <c r="AA255" s="548"/>
      <c r="AB255" s="548"/>
      <c r="AC255" s="548"/>
    </row>
    <row r="256" spans="1:68" hidden="1" x14ac:dyDescent="0.2">
      <c r="A256" s="557"/>
      <c r="B256" s="557"/>
      <c r="C256" s="557"/>
      <c r="D256" s="557"/>
      <c r="E256" s="557"/>
      <c r="F256" s="557"/>
      <c r="G256" s="557"/>
      <c r="H256" s="557"/>
      <c r="I256" s="557"/>
      <c r="J256" s="557"/>
      <c r="K256" s="557"/>
      <c r="L256" s="557"/>
      <c r="M256" s="557"/>
      <c r="N256" s="557"/>
      <c r="O256" s="568"/>
      <c r="P256" s="560" t="s">
        <v>75</v>
      </c>
      <c r="Q256" s="561"/>
      <c r="R256" s="561"/>
      <c r="S256" s="561"/>
      <c r="T256" s="561"/>
      <c r="U256" s="561"/>
      <c r="V256" s="562"/>
      <c r="W256" s="37" t="s">
        <v>69</v>
      </c>
      <c r="X256" s="547">
        <f>IFERROR(SUM(X250:X254),"0")</f>
        <v>0</v>
      </c>
      <c r="Y256" s="547">
        <f>IFERROR(SUM(Y250:Y254),"0")</f>
        <v>0</v>
      </c>
      <c r="Z256" s="37"/>
      <c r="AA256" s="548"/>
      <c r="AB256" s="548"/>
      <c r="AC256" s="548"/>
    </row>
    <row r="257" spans="1:68" ht="16.5" hidden="1" customHeight="1" x14ac:dyDescent="0.25">
      <c r="A257" s="574" t="s">
        <v>420</v>
      </c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  <c r="Z257" s="557"/>
      <c r="AA257" s="540"/>
      <c r="AB257" s="540"/>
      <c r="AC257" s="540"/>
    </row>
    <row r="258" spans="1:68" ht="14.25" hidden="1" customHeight="1" x14ac:dyDescent="0.25">
      <c r="A258" s="556" t="s">
        <v>102</v>
      </c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  <c r="Z258" s="557"/>
      <c r="AA258" s="541"/>
      <c r="AB258" s="541"/>
      <c r="AC258" s="541"/>
    </row>
    <row r="259" spans="1:68" ht="27" hidden="1" customHeight="1" x14ac:dyDescent="0.25">
      <c r="A259" s="54" t="s">
        <v>421</v>
      </c>
      <c r="B259" s="54" t="s">
        <v>422</v>
      </c>
      <c r="C259" s="31">
        <v>4301011855</v>
      </c>
      <c r="D259" s="554">
        <v>4680115885837</v>
      </c>
      <c r="E259" s="555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/>
      <c r="M259" s="33" t="s">
        <v>107</v>
      </c>
      <c r="N259" s="33"/>
      <c r="O259" s="32">
        <v>55</v>
      </c>
      <c r="P259" s="61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hidden="1" customHeight="1" x14ac:dyDescent="0.25">
      <c r="A260" s="54" t="s">
        <v>424</v>
      </c>
      <c r="B260" s="54" t="s">
        <v>425</v>
      </c>
      <c r="C260" s="31">
        <v>4301011853</v>
      </c>
      <c r="D260" s="554">
        <v>4680115885851</v>
      </c>
      <c r="E260" s="555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2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0"/>
      <c r="R260" s="550"/>
      <c r="S260" s="550"/>
      <c r="T260" s="551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hidden="1" customHeight="1" x14ac:dyDescent="0.25">
      <c r="A261" s="54" t="s">
        <v>427</v>
      </c>
      <c r="B261" s="54" t="s">
        <v>428</v>
      </c>
      <c r="C261" s="31">
        <v>4301011850</v>
      </c>
      <c r="D261" s="554">
        <v>4680115885806</v>
      </c>
      <c r="E261" s="555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85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430</v>
      </c>
      <c r="B262" s="54" t="s">
        <v>431</v>
      </c>
      <c r="C262" s="31">
        <v>4301011852</v>
      </c>
      <c r="D262" s="554">
        <v>4680115885844</v>
      </c>
      <c r="E262" s="555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433</v>
      </c>
      <c r="B263" s="54" t="s">
        <v>434</v>
      </c>
      <c r="C263" s="31">
        <v>4301011851</v>
      </c>
      <c r="D263" s="554">
        <v>4680115885820</v>
      </c>
      <c r="E263" s="555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567"/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68"/>
      <c r="P264" s="560" t="s">
        <v>75</v>
      </c>
      <c r="Q264" s="561"/>
      <c r="R264" s="561"/>
      <c r="S264" s="561"/>
      <c r="T264" s="561"/>
      <c r="U264" s="561"/>
      <c r="V264" s="562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hidden="1" x14ac:dyDescent="0.2">
      <c r="A265" s="557"/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68"/>
      <c r="P265" s="560" t="s">
        <v>75</v>
      </c>
      <c r="Q265" s="561"/>
      <c r="R265" s="561"/>
      <c r="S265" s="561"/>
      <c r="T265" s="561"/>
      <c r="U265" s="561"/>
      <c r="V265" s="562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hidden="1" customHeight="1" x14ac:dyDescent="0.25">
      <c r="A266" s="574" t="s">
        <v>436</v>
      </c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  <c r="Z266" s="557"/>
      <c r="AA266" s="540"/>
      <c r="AB266" s="540"/>
      <c r="AC266" s="540"/>
    </row>
    <row r="267" spans="1:68" ht="14.25" hidden="1" customHeight="1" x14ac:dyDescent="0.25">
      <c r="A267" s="556" t="s">
        <v>102</v>
      </c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  <c r="Z267" s="557"/>
      <c r="AA267" s="541"/>
      <c r="AB267" s="541"/>
      <c r="AC267" s="541"/>
    </row>
    <row r="268" spans="1:68" ht="27" hidden="1" customHeight="1" x14ac:dyDescent="0.25">
      <c r="A268" s="54" t="s">
        <v>437</v>
      </c>
      <c r="B268" s="54" t="s">
        <v>438</v>
      </c>
      <c r="C268" s="31">
        <v>4301011223</v>
      </c>
      <c r="D268" s="554">
        <v>4607091383423</v>
      </c>
      <c r="E268" s="555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2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0"/>
      <c r="R268" s="550"/>
      <c r="S268" s="550"/>
      <c r="T268" s="551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hidden="1" customHeight="1" x14ac:dyDescent="0.25">
      <c r="A269" s="54" t="s">
        <v>439</v>
      </c>
      <c r="B269" s="54" t="s">
        <v>440</v>
      </c>
      <c r="C269" s="31">
        <v>4301012199</v>
      </c>
      <c r="D269" s="554">
        <v>4680115886957</v>
      </c>
      <c r="E269" s="555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0"/>
      <c r="R269" s="550"/>
      <c r="S269" s="550"/>
      <c r="T269" s="551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hidden="1" customHeight="1" x14ac:dyDescent="0.25">
      <c r="A270" s="54" t="s">
        <v>442</v>
      </c>
      <c r="B270" s="54" t="s">
        <v>443</v>
      </c>
      <c r="C270" s="31">
        <v>4301012098</v>
      </c>
      <c r="D270" s="554">
        <v>4680115885660</v>
      </c>
      <c r="E270" s="555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4301012176</v>
      </c>
      <c r="D271" s="554">
        <v>4680115886773</v>
      </c>
      <c r="E271" s="555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0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idden="1" x14ac:dyDescent="0.2">
      <c r="A272" s="567"/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68"/>
      <c r="P272" s="560" t="s">
        <v>75</v>
      </c>
      <c r="Q272" s="561"/>
      <c r="R272" s="561"/>
      <c r="S272" s="561"/>
      <c r="T272" s="561"/>
      <c r="U272" s="561"/>
      <c r="V272" s="562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hidden="1" x14ac:dyDescent="0.2">
      <c r="A273" s="557"/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68"/>
      <c r="P273" s="560" t="s">
        <v>75</v>
      </c>
      <c r="Q273" s="561"/>
      <c r="R273" s="561"/>
      <c r="S273" s="561"/>
      <c r="T273" s="561"/>
      <c r="U273" s="561"/>
      <c r="V273" s="562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hidden="1" customHeight="1" x14ac:dyDescent="0.25">
      <c r="A274" s="574" t="s">
        <v>447</v>
      </c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  <c r="Z274" s="557"/>
      <c r="AA274" s="540"/>
      <c r="AB274" s="540"/>
      <c r="AC274" s="540"/>
    </row>
    <row r="275" spans="1:68" ht="14.25" hidden="1" customHeight="1" x14ac:dyDescent="0.25">
      <c r="A275" s="556" t="s">
        <v>77</v>
      </c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  <c r="Z275" s="557"/>
      <c r="AA275" s="541"/>
      <c r="AB275" s="541"/>
      <c r="AC275" s="541"/>
    </row>
    <row r="276" spans="1:68" ht="27" hidden="1" customHeight="1" x14ac:dyDescent="0.25">
      <c r="A276" s="54" t="s">
        <v>448</v>
      </c>
      <c r="B276" s="54" t="s">
        <v>449</v>
      </c>
      <c r="C276" s="31">
        <v>4301051893</v>
      </c>
      <c r="D276" s="554">
        <v>4680115886186</v>
      </c>
      <c r="E276" s="555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1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0"/>
      <c r="R276" s="550"/>
      <c r="S276" s="550"/>
      <c r="T276" s="551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hidden="1" customHeight="1" x14ac:dyDescent="0.25">
      <c r="A277" s="54" t="s">
        <v>451</v>
      </c>
      <c r="B277" s="54" t="s">
        <v>452</v>
      </c>
      <c r="C277" s="31">
        <v>4301051795</v>
      </c>
      <c r="D277" s="554">
        <v>4680115881228</v>
      </c>
      <c r="E277" s="555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223</v>
      </c>
      <c r="M277" s="33" t="s">
        <v>87</v>
      </c>
      <c r="N277" s="33"/>
      <c r="O277" s="32">
        <v>40</v>
      </c>
      <c r="P277" s="6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0"/>
      <c r="R277" s="550"/>
      <c r="S277" s="550"/>
      <c r="T277" s="551"/>
      <c r="U277" s="34"/>
      <c r="V277" s="34"/>
      <c r="W277" s="35" t="s">
        <v>69</v>
      </c>
      <c r="X277" s="545">
        <v>0</v>
      </c>
      <c r="Y277" s="546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454</v>
      </c>
      <c r="B278" s="54" t="s">
        <v>455</v>
      </c>
      <c r="C278" s="31">
        <v>4301051388</v>
      </c>
      <c r="D278" s="554">
        <v>4680115881211</v>
      </c>
      <c r="E278" s="555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 t="s">
        <v>223</v>
      </c>
      <c r="M278" s="33" t="s">
        <v>80</v>
      </c>
      <c r="N278" s="33"/>
      <c r="O278" s="32">
        <v>45</v>
      </c>
      <c r="P278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109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idden="1" x14ac:dyDescent="0.2">
      <c r="A279" s="567"/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68"/>
      <c r="P279" s="560" t="s">
        <v>75</v>
      </c>
      <c r="Q279" s="561"/>
      <c r="R279" s="561"/>
      <c r="S279" s="561"/>
      <c r="T279" s="561"/>
      <c r="U279" s="561"/>
      <c r="V279" s="562"/>
      <c r="W279" s="37" t="s">
        <v>76</v>
      </c>
      <c r="X279" s="547">
        <f>IFERROR(X276/H276,"0")+IFERROR(X277/H277,"0")+IFERROR(X278/H278,"0")</f>
        <v>0</v>
      </c>
      <c r="Y279" s="547">
        <f>IFERROR(Y276/H276,"0")+IFERROR(Y277/H277,"0")+IFERROR(Y278/H278,"0")</f>
        <v>0</v>
      </c>
      <c r="Z279" s="547">
        <f>IFERROR(IF(Z276="",0,Z276),"0")+IFERROR(IF(Z277="",0,Z277),"0")+IFERROR(IF(Z278="",0,Z278),"0")</f>
        <v>0</v>
      </c>
      <c r="AA279" s="548"/>
      <c r="AB279" s="548"/>
      <c r="AC279" s="548"/>
    </row>
    <row r="280" spans="1:68" hidden="1" x14ac:dyDescent="0.2">
      <c r="A280" s="557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68"/>
      <c r="P280" s="560" t="s">
        <v>75</v>
      </c>
      <c r="Q280" s="561"/>
      <c r="R280" s="561"/>
      <c r="S280" s="561"/>
      <c r="T280" s="561"/>
      <c r="U280" s="561"/>
      <c r="V280" s="562"/>
      <c r="W280" s="37" t="s">
        <v>69</v>
      </c>
      <c r="X280" s="547">
        <f>IFERROR(SUM(X276:X278),"0")</f>
        <v>0</v>
      </c>
      <c r="Y280" s="547">
        <f>IFERROR(SUM(Y276:Y278),"0")</f>
        <v>0</v>
      </c>
      <c r="Z280" s="37"/>
      <c r="AA280" s="548"/>
      <c r="AB280" s="548"/>
      <c r="AC280" s="548"/>
    </row>
    <row r="281" spans="1:68" ht="16.5" hidden="1" customHeight="1" x14ac:dyDescent="0.25">
      <c r="A281" s="574" t="s">
        <v>456</v>
      </c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  <c r="Z281" s="557"/>
      <c r="AA281" s="540"/>
      <c r="AB281" s="540"/>
      <c r="AC281" s="540"/>
    </row>
    <row r="282" spans="1:68" ht="14.25" hidden="1" customHeight="1" x14ac:dyDescent="0.25">
      <c r="A282" s="556" t="s">
        <v>64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41"/>
      <c r="AB282" s="541"/>
      <c r="AC282" s="541"/>
    </row>
    <row r="283" spans="1:68" ht="27" hidden="1" customHeight="1" x14ac:dyDescent="0.25">
      <c r="A283" s="54" t="s">
        <v>457</v>
      </c>
      <c r="B283" s="54" t="s">
        <v>458</v>
      </c>
      <c r="C283" s="31">
        <v>4301031307</v>
      </c>
      <c r="D283" s="554">
        <v>4680115880344</v>
      </c>
      <c r="E283" s="555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6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0"/>
      <c r="R283" s="550"/>
      <c r="S283" s="550"/>
      <c r="T283" s="551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460</v>
      </c>
      <c r="B284" s="54" t="s">
        <v>461</v>
      </c>
      <c r="C284" s="31">
        <v>4301031429</v>
      </c>
      <c r="D284" s="554">
        <v>4680115886919</v>
      </c>
      <c r="E284" s="555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3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0"/>
      <c r="R284" s="550"/>
      <c r="S284" s="550"/>
      <c r="T284" s="551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7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68"/>
      <c r="P285" s="560" t="s">
        <v>75</v>
      </c>
      <c r="Q285" s="561"/>
      <c r="R285" s="561"/>
      <c r="S285" s="561"/>
      <c r="T285" s="561"/>
      <c r="U285" s="561"/>
      <c r="V285" s="562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hidden="1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68"/>
      <c r="P286" s="560" t="s">
        <v>75</v>
      </c>
      <c r="Q286" s="561"/>
      <c r="R286" s="561"/>
      <c r="S286" s="561"/>
      <c r="T286" s="561"/>
      <c r="U286" s="561"/>
      <c r="V286" s="562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hidden="1" customHeight="1" x14ac:dyDescent="0.25">
      <c r="A287" s="556" t="s">
        <v>77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41"/>
      <c r="AB287" s="541"/>
      <c r="AC287" s="541"/>
    </row>
    <row r="288" spans="1:68" ht="37.5" hidden="1" customHeight="1" x14ac:dyDescent="0.25">
      <c r="A288" s="54" t="s">
        <v>463</v>
      </c>
      <c r="B288" s="54" t="s">
        <v>464</v>
      </c>
      <c r="C288" s="31">
        <v>4301051782</v>
      </c>
      <c r="D288" s="554">
        <v>4680115884618</v>
      </c>
      <c r="E288" s="555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0"/>
      <c r="R288" s="550"/>
      <c r="S288" s="550"/>
      <c r="T288" s="551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466</v>
      </c>
      <c r="B289" s="54" t="s">
        <v>467</v>
      </c>
      <c r="C289" s="31">
        <v>4301052057</v>
      </c>
      <c r="D289" s="554">
        <v>4680115887114</v>
      </c>
      <c r="E289" s="555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0"/>
      <c r="R289" s="550"/>
      <c r="S289" s="550"/>
      <c r="T289" s="551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567"/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68"/>
      <c r="P290" s="560" t="s">
        <v>75</v>
      </c>
      <c r="Q290" s="561"/>
      <c r="R290" s="561"/>
      <c r="S290" s="561"/>
      <c r="T290" s="561"/>
      <c r="U290" s="561"/>
      <c r="V290" s="562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hidden="1" x14ac:dyDescent="0.2">
      <c r="A291" s="557"/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68"/>
      <c r="P291" s="560" t="s">
        <v>75</v>
      </c>
      <c r="Q291" s="561"/>
      <c r="R291" s="561"/>
      <c r="S291" s="561"/>
      <c r="T291" s="561"/>
      <c r="U291" s="561"/>
      <c r="V291" s="562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hidden="1" customHeight="1" x14ac:dyDescent="0.25">
      <c r="A292" s="574" t="s">
        <v>469</v>
      </c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  <c r="Z292" s="557"/>
      <c r="AA292" s="540"/>
      <c r="AB292" s="540"/>
      <c r="AC292" s="540"/>
    </row>
    <row r="293" spans="1:68" ht="14.25" hidden="1" customHeight="1" x14ac:dyDescent="0.25">
      <c r="A293" s="556" t="s">
        <v>102</v>
      </c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  <c r="Z293" s="557"/>
      <c r="AA293" s="541"/>
      <c r="AB293" s="541"/>
      <c r="AC293" s="541"/>
    </row>
    <row r="294" spans="1:68" ht="27" hidden="1" customHeight="1" x14ac:dyDescent="0.25">
      <c r="A294" s="54" t="s">
        <v>470</v>
      </c>
      <c r="B294" s="54" t="s">
        <v>471</v>
      </c>
      <c r="C294" s="31">
        <v>4301012024</v>
      </c>
      <c r="D294" s="554">
        <v>4680115885615</v>
      </c>
      <c r="E294" s="555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4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hidden="1" customHeight="1" x14ac:dyDescent="0.25">
      <c r="A295" s="54" t="s">
        <v>473</v>
      </c>
      <c r="B295" s="54" t="s">
        <v>474</v>
      </c>
      <c r="C295" s="31">
        <v>4301011858</v>
      </c>
      <c r="D295" s="554">
        <v>4680115885646</v>
      </c>
      <c r="E295" s="555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0"/>
      <c r="R295" s="550"/>
      <c r="S295" s="550"/>
      <c r="T295" s="551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476</v>
      </c>
      <c r="B296" s="54" t="s">
        <v>477</v>
      </c>
      <c r="C296" s="31">
        <v>4301012016</v>
      </c>
      <c r="D296" s="554">
        <v>4680115885554</v>
      </c>
      <c r="E296" s="555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1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hidden="1" customHeight="1" x14ac:dyDescent="0.25">
      <c r="A297" s="54" t="s">
        <v>479</v>
      </c>
      <c r="B297" s="54" t="s">
        <v>480</v>
      </c>
      <c r="C297" s="31">
        <v>4301011857</v>
      </c>
      <c r="D297" s="554">
        <v>4680115885622</v>
      </c>
      <c r="E297" s="555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5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481</v>
      </c>
      <c r="B298" s="54" t="s">
        <v>482</v>
      </c>
      <c r="C298" s="31">
        <v>4301011859</v>
      </c>
      <c r="D298" s="554">
        <v>4680115885608</v>
      </c>
      <c r="E298" s="555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567"/>
      <c r="B299" s="557"/>
      <c r="C299" s="557"/>
      <c r="D299" s="557"/>
      <c r="E299" s="557"/>
      <c r="F299" s="557"/>
      <c r="G299" s="557"/>
      <c r="H299" s="557"/>
      <c r="I299" s="557"/>
      <c r="J299" s="557"/>
      <c r="K299" s="557"/>
      <c r="L299" s="557"/>
      <c r="M299" s="557"/>
      <c r="N299" s="557"/>
      <c r="O299" s="568"/>
      <c r="P299" s="560" t="s">
        <v>75</v>
      </c>
      <c r="Q299" s="561"/>
      <c r="R299" s="561"/>
      <c r="S299" s="561"/>
      <c r="T299" s="561"/>
      <c r="U299" s="561"/>
      <c r="V299" s="562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hidden="1" x14ac:dyDescent="0.2">
      <c r="A300" s="557"/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68"/>
      <c r="P300" s="560" t="s">
        <v>75</v>
      </c>
      <c r="Q300" s="561"/>
      <c r="R300" s="561"/>
      <c r="S300" s="561"/>
      <c r="T300" s="561"/>
      <c r="U300" s="561"/>
      <c r="V300" s="562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hidden="1" customHeight="1" x14ac:dyDescent="0.25">
      <c r="A301" s="556" t="s">
        <v>64</v>
      </c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7"/>
      <c r="P301" s="557"/>
      <c r="Q301" s="557"/>
      <c r="R301" s="557"/>
      <c r="S301" s="557"/>
      <c r="T301" s="557"/>
      <c r="U301" s="557"/>
      <c r="V301" s="557"/>
      <c r="W301" s="557"/>
      <c r="X301" s="557"/>
      <c r="Y301" s="557"/>
      <c r="Z301" s="557"/>
      <c r="AA301" s="541"/>
      <c r="AB301" s="541"/>
      <c r="AC301" s="541"/>
    </row>
    <row r="302" spans="1:68" ht="27" hidden="1" customHeight="1" x14ac:dyDescent="0.25">
      <c r="A302" s="54" t="s">
        <v>484</v>
      </c>
      <c r="B302" s="54" t="s">
        <v>485</v>
      </c>
      <c r="C302" s="31">
        <v>4301030878</v>
      </c>
      <c r="D302" s="554">
        <v>4607091387193</v>
      </c>
      <c r="E302" s="555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hidden="1" customHeight="1" x14ac:dyDescent="0.25">
      <c r="A303" s="54" t="s">
        <v>487</v>
      </c>
      <c r="B303" s="54" t="s">
        <v>488</v>
      </c>
      <c r="C303" s="31">
        <v>4301031153</v>
      </c>
      <c r="D303" s="554">
        <v>4607091387230</v>
      </c>
      <c r="E303" s="555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/>
      <c r="M303" s="33" t="s">
        <v>68</v>
      </c>
      <c r="N303" s="33"/>
      <c r="O303" s="32">
        <v>40</v>
      </c>
      <c r="P303" s="6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0"/>
      <c r="R303" s="550"/>
      <c r="S303" s="550"/>
      <c r="T303" s="551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490</v>
      </c>
      <c r="B304" s="54" t="s">
        <v>491</v>
      </c>
      <c r="C304" s="31">
        <v>4301031154</v>
      </c>
      <c r="D304" s="554">
        <v>4607091387292</v>
      </c>
      <c r="E304" s="555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6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hidden="1" customHeight="1" x14ac:dyDescent="0.25">
      <c r="A305" s="54" t="s">
        <v>493</v>
      </c>
      <c r="B305" s="54" t="s">
        <v>494</v>
      </c>
      <c r="C305" s="31">
        <v>4301031152</v>
      </c>
      <c r="D305" s="554">
        <v>4607091387285</v>
      </c>
      <c r="E305" s="555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64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495</v>
      </c>
      <c r="B306" s="54" t="s">
        <v>496</v>
      </c>
      <c r="C306" s="31">
        <v>4301031305</v>
      </c>
      <c r="D306" s="554">
        <v>4607091389845</v>
      </c>
      <c r="E306" s="555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/>
      <c r="M306" s="33" t="s">
        <v>68</v>
      </c>
      <c r="N306" s="33"/>
      <c r="O306" s="32">
        <v>40</v>
      </c>
      <c r="P306" s="8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hidden="1" customHeight="1" x14ac:dyDescent="0.25">
      <c r="A307" s="54" t="s">
        <v>498</v>
      </c>
      <c r="B307" s="54" t="s">
        <v>499</v>
      </c>
      <c r="C307" s="31">
        <v>4301031066</v>
      </c>
      <c r="D307" s="554">
        <v>4607091383836</v>
      </c>
      <c r="E307" s="555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IFERROR(IF(Y307=0,"",ROUNDUP(Y307/H307,0)*0.00651),"")</f>
        <v/>
      </c>
      <c r="AA307" s="56"/>
      <c r="AB307" s="57"/>
      <c r="AC307" s="361" t="s">
        <v>500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idden="1" x14ac:dyDescent="0.2">
      <c r="A308" s="567"/>
      <c r="B308" s="557"/>
      <c r="C308" s="557"/>
      <c r="D308" s="557"/>
      <c r="E308" s="557"/>
      <c r="F308" s="557"/>
      <c r="G308" s="557"/>
      <c r="H308" s="557"/>
      <c r="I308" s="557"/>
      <c r="J308" s="557"/>
      <c r="K308" s="557"/>
      <c r="L308" s="557"/>
      <c r="M308" s="557"/>
      <c r="N308" s="557"/>
      <c r="O308" s="568"/>
      <c r="P308" s="560" t="s">
        <v>75</v>
      </c>
      <c r="Q308" s="561"/>
      <c r="R308" s="561"/>
      <c r="S308" s="561"/>
      <c r="T308" s="561"/>
      <c r="U308" s="561"/>
      <c r="V308" s="562"/>
      <c r="W308" s="37" t="s">
        <v>76</v>
      </c>
      <c r="X308" s="547">
        <f>IFERROR(X302/H302,"0")+IFERROR(X303/H303,"0")+IFERROR(X304/H304,"0")+IFERROR(X305/H305,"0")+IFERROR(X306/H306,"0")+IFERROR(X307/H307,"0")</f>
        <v>0</v>
      </c>
      <c r="Y308" s="547">
        <f>IFERROR(Y302/H302,"0")+IFERROR(Y303/H303,"0")+IFERROR(Y304/H304,"0")+IFERROR(Y305/H305,"0")+IFERROR(Y306/H306,"0")+IFERROR(Y307/H307,"0")</f>
        <v>0</v>
      </c>
      <c r="Z308" s="547">
        <f>IFERROR(IF(Z302="",0,Z302),"0")+IFERROR(IF(Z303="",0,Z303),"0")+IFERROR(IF(Z304="",0,Z304),"0")+IFERROR(IF(Z305="",0,Z305),"0")+IFERROR(IF(Z306="",0,Z306),"0")+IFERROR(IF(Z307="",0,Z307),"0")</f>
        <v>0</v>
      </c>
      <c r="AA308" s="548"/>
      <c r="AB308" s="548"/>
      <c r="AC308" s="548"/>
    </row>
    <row r="309" spans="1:68" hidden="1" x14ac:dyDescent="0.2">
      <c r="A309" s="557"/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68"/>
      <c r="P309" s="560" t="s">
        <v>75</v>
      </c>
      <c r="Q309" s="561"/>
      <c r="R309" s="561"/>
      <c r="S309" s="561"/>
      <c r="T309" s="561"/>
      <c r="U309" s="561"/>
      <c r="V309" s="562"/>
      <c r="W309" s="37" t="s">
        <v>69</v>
      </c>
      <c r="X309" s="547">
        <f>IFERROR(SUM(X302:X307),"0")</f>
        <v>0</v>
      </c>
      <c r="Y309" s="547">
        <f>IFERROR(SUM(Y302:Y307),"0")</f>
        <v>0</v>
      </c>
      <c r="Z309" s="37"/>
      <c r="AA309" s="548"/>
      <c r="AB309" s="548"/>
      <c r="AC309" s="548"/>
    </row>
    <row r="310" spans="1:68" ht="14.25" hidden="1" customHeight="1" x14ac:dyDescent="0.25">
      <c r="A310" s="556" t="s">
        <v>77</v>
      </c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7"/>
      <c r="P310" s="557"/>
      <c r="Q310" s="557"/>
      <c r="R310" s="557"/>
      <c r="S310" s="557"/>
      <c r="T310" s="557"/>
      <c r="U310" s="557"/>
      <c r="V310" s="557"/>
      <c r="W310" s="557"/>
      <c r="X310" s="557"/>
      <c r="Y310" s="557"/>
      <c r="Z310" s="557"/>
      <c r="AA310" s="541"/>
      <c r="AB310" s="541"/>
      <c r="AC310" s="541"/>
    </row>
    <row r="311" spans="1:68" ht="27" hidden="1" customHeight="1" x14ac:dyDescent="0.25">
      <c r="A311" s="54" t="s">
        <v>501</v>
      </c>
      <c r="B311" s="54" t="s">
        <v>502</v>
      </c>
      <c r="C311" s="31">
        <v>4301051100</v>
      </c>
      <c r="D311" s="554">
        <v>4607091387766</v>
      </c>
      <c r="E311" s="555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/>
      <c r="M311" s="33" t="s">
        <v>80</v>
      </c>
      <c r="N311" s="33"/>
      <c r="O311" s="32">
        <v>40</v>
      </c>
      <c r="P311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0"/>
      <c r="R311" s="550"/>
      <c r="S311" s="550"/>
      <c r="T311" s="551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504</v>
      </c>
      <c r="B312" s="54" t="s">
        <v>505</v>
      </c>
      <c r="C312" s="31">
        <v>4301051818</v>
      </c>
      <c r="D312" s="554">
        <v>4607091387957</v>
      </c>
      <c r="E312" s="555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0"/>
      <c r="R312" s="550"/>
      <c r="S312" s="550"/>
      <c r="T312" s="551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507</v>
      </c>
      <c r="B313" s="54" t="s">
        <v>508</v>
      </c>
      <c r="C313" s="31">
        <v>4301051819</v>
      </c>
      <c r="D313" s="554">
        <v>4607091387964</v>
      </c>
      <c r="E313" s="555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510</v>
      </c>
      <c r="B314" s="54" t="s">
        <v>511</v>
      </c>
      <c r="C314" s="31">
        <v>4301051734</v>
      </c>
      <c r="D314" s="554">
        <v>4680115884588</v>
      </c>
      <c r="E314" s="555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8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567"/>
      <c r="B315" s="557"/>
      <c r="C315" s="557"/>
      <c r="D315" s="557"/>
      <c r="E315" s="557"/>
      <c r="F315" s="557"/>
      <c r="G315" s="557"/>
      <c r="H315" s="557"/>
      <c r="I315" s="557"/>
      <c r="J315" s="557"/>
      <c r="K315" s="557"/>
      <c r="L315" s="557"/>
      <c r="M315" s="557"/>
      <c r="N315" s="557"/>
      <c r="O315" s="568"/>
      <c r="P315" s="560" t="s">
        <v>75</v>
      </c>
      <c r="Q315" s="561"/>
      <c r="R315" s="561"/>
      <c r="S315" s="561"/>
      <c r="T315" s="561"/>
      <c r="U315" s="561"/>
      <c r="V315" s="562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hidden="1" x14ac:dyDescent="0.2">
      <c r="A316" s="557"/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68"/>
      <c r="P316" s="560" t="s">
        <v>75</v>
      </c>
      <c r="Q316" s="561"/>
      <c r="R316" s="561"/>
      <c r="S316" s="561"/>
      <c r="T316" s="561"/>
      <c r="U316" s="561"/>
      <c r="V316" s="562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hidden="1" customHeight="1" x14ac:dyDescent="0.25">
      <c r="A317" s="556" t="s">
        <v>166</v>
      </c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7"/>
      <c r="P317" s="557"/>
      <c r="Q317" s="557"/>
      <c r="R317" s="557"/>
      <c r="S317" s="557"/>
      <c r="T317" s="557"/>
      <c r="U317" s="557"/>
      <c r="V317" s="557"/>
      <c r="W317" s="557"/>
      <c r="X317" s="557"/>
      <c r="Y317" s="557"/>
      <c r="Z317" s="557"/>
      <c r="AA317" s="541"/>
      <c r="AB317" s="541"/>
      <c r="AC317" s="541"/>
    </row>
    <row r="318" spans="1:68" ht="27" hidden="1" customHeight="1" x14ac:dyDescent="0.25">
      <c r="A318" s="54" t="s">
        <v>513</v>
      </c>
      <c r="B318" s="54" t="s">
        <v>514</v>
      </c>
      <c r="C318" s="31">
        <v>4301060387</v>
      </c>
      <c r="D318" s="554">
        <v>4607091380880</v>
      </c>
      <c r="E318" s="555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 t="s">
        <v>106</v>
      </c>
      <c r="M318" s="33" t="s">
        <v>80</v>
      </c>
      <c r="N318" s="33"/>
      <c r="O318" s="32">
        <v>30</v>
      </c>
      <c r="P318" s="77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5">
        <v>0</v>
      </c>
      <c r="Y318" s="54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515</v>
      </c>
      <c r="AG318" s="64"/>
      <c r="AJ318" s="68" t="s">
        <v>109</v>
      </c>
      <c r="AK318" s="68">
        <v>67.2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516</v>
      </c>
      <c r="B319" s="54" t="s">
        <v>517</v>
      </c>
      <c r="C319" s="31">
        <v>4301060406</v>
      </c>
      <c r="D319" s="554">
        <v>4607091384482</v>
      </c>
      <c r="E319" s="555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6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0"/>
      <c r="R319" s="550"/>
      <c r="S319" s="550"/>
      <c r="T319" s="551"/>
      <c r="U319" s="34"/>
      <c r="V319" s="34"/>
      <c r="W319" s="35" t="s">
        <v>69</v>
      </c>
      <c r="X319" s="545">
        <v>0</v>
      </c>
      <c r="Y319" s="546">
        <f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16.5" hidden="1" customHeight="1" x14ac:dyDescent="0.25">
      <c r="A320" s="54" t="s">
        <v>519</v>
      </c>
      <c r="B320" s="54" t="s">
        <v>520</v>
      </c>
      <c r="C320" s="31">
        <v>4301060484</v>
      </c>
      <c r="D320" s="554">
        <v>4607091380897</v>
      </c>
      <c r="E320" s="555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 t="s">
        <v>106</v>
      </c>
      <c r="M320" s="33" t="s">
        <v>87</v>
      </c>
      <c r="N320" s="33"/>
      <c r="O320" s="32">
        <v>30</v>
      </c>
      <c r="P320" s="77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521</v>
      </c>
      <c r="AG320" s="64"/>
      <c r="AJ320" s="68" t="s">
        <v>109</v>
      </c>
      <c r="AK320" s="68">
        <v>67.2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idden="1" x14ac:dyDescent="0.2">
      <c r="A321" s="567"/>
      <c r="B321" s="557"/>
      <c r="C321" s="557"/>
      <c r="D321" s="557"/>
      <c r="E321" s="557"/>
      <c r="F321" s="557"/>
      <c r="G321" s="557"/>
      <c r="H321" s="557"/>
      <c r="I321" s="557"/>
      <c r="J321" s="557"/>
      <c r="K321" s="557"/>
      <c r="L321" s="557"/>
      <c r="M321" s="557"/>
      <c r="N321" s="557"/>
      <c r="O321" s="568"/>
      <c r="P321" s="560" t="s">
        <v>75</v>
      </c>
      <c r="Q321" s="561"/>
      <c r="R321" s="561"/>
      <c r="S321" s="561"/>
      <c r="T321" s="561"/>
      <c r="U321" s="561"/>
      <c r="V321" s="562"/>
      <c r="W321" s="37" t="s">
        <v>76</v>
      </c>
      <c r="X321" s="547">
        <f>IFERROR(X318/H318,"0")+IFERROR(X319/H319,"0")+IFERROR(X320/H320,"0")</f>
        <v>0</v>
      </c>
      <c r="Y321" s="547">
        <f>IFERROR(Y318/H318,"0")+IFERROR(Y319/H319,"0")+IFERROR(Y320/H320,"0")</f>
        <v>0</v>
      </c>
      <c r="Z321" s="547">
        <f>IFERROR(IF(Z318="",0,Z318),"0")+IFERROR(IF(Z319="",0,Z319),"0")+IFERROR(IF(Z320="",0,Z320),"0")</f>
        <v>0</v>
      </c>
      <c r="AA321" s="548"/>
      <c r="AB321" s="548"/>
      <c r="AC321" s="548"/>
    </row>
    <row r="322" spans="1:68" hidden="1" x14ac:dyDescent="0.2">
      <c r="A322" s="557"/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68"/>
      <c r="P322" s="560" t="s">
        <v>75</v>
      </c>
      <c r="Q322" s="561"/>
      <c r="R322" s="561"/>
      <c r="S322" s="561"/>
      <c r="T322" s="561"/>
      <c r="U322" s="561"/>
      <c r="V322" s="562"/>
      <c r="W322" s="37" t="s">
        <v>69</v>
      </c>
      <c r="X322" s="547">
        <f>IFERROR(SUM(X318:X320),"0")</f>
        <v>0</v>
      </c>
      <c r="Y322" s="547">
        <f>IFERROR(SUM(Y318:Y320),"0")</f>
        <v>0</v>
      </c>
      <c r="Z322" s="37"/>
      <c r="AA322" s="548"/>
      <c r="AB322" s="548"/>
      <c r="AC322" s="548"/>
    </row>
    <row r="323" spans="1:68" ht="14.25" hidden="1" customHeight="1" x14ac:dyDescent="0.25">
      <c r="A323" s="556" t="s">
        <v>94</v>
      </c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7"/>
      <c r="P323" s="557"/>
      <c r="Q323" s="557"/>
      <c r="R323" s="557"/>
      <c r="S323" s="557"/>
      <c r="T323" s="557"/>
      <c r="U323" s="557"/>
      <c r="V323" s="557"/>
      <c r="W323" s="557"/>
      <c r="X323" s="557"/>
      <c r="Y323" s="557"/>
      <c r="Z323" s="557"/>
      <c r="AA323" s="541"/>
      <c r="AB323" s="541"/>
      <c r="AC323" s="541"/>
    </row>
    <row r="324" spans="1:68" ht="27" hidden="1" customHeight="1" x14ac:dyDescent="0.25">
      <c r="A324" s="54" t="s">
        <v>522</v>
      </c>
      <c r="B324" s="54" t="s">
        <v>523</v>
      </c>
      <c r="C324" s="31">
        <v>4301030235</v>
      </c>
      <c r="D324" s="554">
        <v>4607091388381</v>
      </c>
      <c r="E324" s="555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2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525</v>
      </c>
      <c r="B325" s="54" t="s">
        <v>526</v>
      </c>
      <c r="C325" s="31">
        <v>4301030232</v>
      </c>
      <c r="D325" s="554">
        <v>4607091388374</v>
      </c>
      <c r="E325" s="555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527</v>
      </c>
      <c r="B326" s="54" t="s">
        <v>528</v>
      </c>
      <c r="C326" s="31">
        <v>4301032015</v>
      </c>
      <c r="D326" s="554">
        <v>4607091383102</v>
      </c>
      <c r="E326" s="555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/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530</v>
      </c>
      <c r="B327" s="54" t="s">
        <v>531</v>
      </c>
      <c r="C327" s="31">
        <v>4301030233</v>
      </c>
      <c r="D327" s="554">
        <v>4607091388404</v>
      </c>
      <c r="E327" s="555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223</v>
      </c>
      <c r="M327" s="33" t="s">
        <v>97</v>
      </c>
      <c r="N327" s="33"/>
      <c r="O327" s="32">
        <v>180</v>
      </c>
      <c r="P327" s="76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10</v>
      </c>
      <c r="Y327" s="546">
        <f>IFERROR(IF(X327="",0,CEILING((X327/$H327),1)*$H327),"")</f>
        <v>10.199999999999999</v>
      </c>
      <c r="Z327" s="36">
        <f>IFERROR(IF(Y327=0,"",ROUNDUP(Y327/H327,0)*0.00651),"")</f>
        <v>2.6040000000000001E-2</v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11.294117647058822</v>
      </c>
      <c r="BN327" s="64">
        <f>IFERROR(Y327*I327/H327,"0")</f>
        <v>11.52</v>
      </c>
      <c r="BO327" s="64">
        <f>IFERROR(1/J327*(X327/H327),"0")</f>
        <v>2.1547080370609786E-2</v>
      </c>
      <c r="BP327" s="64">
        <f>IFERROR(1/J327*(Y327/H327),"0")</f>
        <v>2.197802197802198E-2</v>
      </c>
    </row>
    <row r="328" spans="1:68" x14ac:dyDescent="0.2">
      <c r="A328" s="567"/>
      <c r="B328" s="557"/>
      <c r="C328" s="557"/>
      <c r="D328" s="557"/>
      <c r="E328" s="557"/>
      <c r="F328" s="557"/>
      <c r="G328" s="557"/>
      <c r="H328" s="557"/>
      <c r="I328" s="557"/>
      <c r="J328" s="557"/>
      <c r="K328" s="557"/>
      <c r="L328" s="557"/>
      <c r="M328" s="557"/>
      <c r="N328" s="557"/>
      <c r="O328" s="568"/>
      <c r="P328" s="560" t="s">
        <v>75</v>
      </c>
      <c r="Q328" s="561"/>
      <c r="R328" s="561"/>
      <c r="S328" s="561"/>
      <c r="T328" s="561"/>
      <c r="U328" s="561"/>
      <c r="V328" s="562"/>
      <c r="W328" s="37" t="s">
        <v>76</v>
      </c>
      <c r="X328" s="547">
        <f>IFERROR(X324/H324,"0")+IFERROR(X325/H325,"0")+IFERROR(X326/H326,"0")+IFERROR(X327/H327,"0")</f>
        <v>3.9215686274509807</v>
      </c>
      <c r="Y328" s="547">
        <f>IFERROR(Y324/H324,"0")+IFERROR(Y325/H325,"0")+IFERROR(Y326/H326,"0")+IFERROR(Y327/H327,"0")</f>
        <v>4</v>
      </c>
      <c r="Z328" s="547">
        <f>IFERROR(IF(Z324="",0,Z324),"0")+IFERROR(IF(Z325="",0,Z325),"0")+IFERROR(IF(Z326="",0,Z326),"0")+IFERROR(IF(Z327="",0,Z327),"0")</f>
        <v>2.6040000000000001E-2</v>
      </c>
      <c r="AA328" s="548"/>
      <c r="AB328" s="548"/>
      <c r="AC328" s="548"/>
    </row>
    <row r="329" spans="1:68" x14ac:dyDescent="0.2">
      <c r="A329" s="557"/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68"/>
      <c r="P329" s="560" t="s">
        <v>75</v>
      </c>
      <c r="Q329" s="561"/>
      <c r="R329" s="561"/>
      <c r="S329" s="561"/>
      <c r="T329" s="561"/>
      <c r="U329" s="561"/>
      <c r="V329" s="562"/>
      <c r="W329" s="37" t="s">
        <v>69</v>
      </c>
      <c r="X329" s="547">
        <f>IFERROR(SUM(X324:X327),"0")</f>
        <v>10</v>
      </c>
      <c r="Y329" s="547">
        <f>IFERROR(SUM(Y324:Y327),"0")</f>
        <v>10.199999999999999</v>
      </c>
      <c r="Z329" s="37"/>
      <c r="AA329" s="548"/>
      <c r="AB329" s="548"/>
      <c r="AC329" s="548"/>
    </row>
    <row r="330" spans="1:68" ht="14.25" hidden="1" customHeight="1" x14ac:dyDescent="0.25">
      <c r="A330" s="556" t="s">
        <v>532</v>
      </c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7"/>
      <c r="P330" s="557"/>
      <c r="Q330" s="557"/>
      <c r="R330" s="557"/>
      <c r="S330" s="557"/>
      <c r="T330" s="557"/>
      <c r="U330" s="557"/>
      <c r="V330" s="557"/>
      <c r="W330" s="557"/>
      <c r="X330" s="557"/>
      <c r="Y330" s="557"/>
      <c r="Z330" s="557"/>
      <c r="AA330" s="541"/>
      <c r="AB330" s="541"/>
      <c r="AC330" s="541"/>
    </row>
    <row r="331" spans="1:68" ht="16.5" hidden="1" customHeight="1" x14ac:dyDescent="0.25">
      <c r="A331" s="54" t="s">
        <v>533</v>
      </c>
      <c r="B331" s="54" t="s">
        <v>534</v>
      </c>
      <c r="C331" s="31">
        <v>4301180007</v>
      </c>
      <c r="D331" s="554">
        <v>4680115881808</v>
      </c>
      <c r="E331" s="555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/>
      <c r="M331" s="33" t="s">
        <v>535</v>
      </c>
      <c r="N331" s="33"/>
      <c r="O331" s="32">
        <v>730</v>
      </c>
      <c r="P331" s="5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0"/>
      <c r="R331" s="550"/>
      <c r="S331" s="550"/>
      <c r="T331" s="551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536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537</v>
      </c>
      <c r="B332" s="54" t="s">
        <v>538</v>
      </c>
      <c r="C332" s="31">
        <v>4301180006</v>
      </c>
      <c r="D332" s="554">
        <v>4680115881822</v>
      </c>
      <c r="E332" s="555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4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0"/>
      <c r="R332" s="550"/>
      <c r="S332" s="550"/>
      <c r="T332" s="551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539</v>
      </c>
      <c r="B333" s="54" t="s">
        <v>540</v>
      </c>
      <c r="C333" s="31">
        <v>4301180001</v>
      </c>
      <c r="D333" s="554">
        <v>4680115880016</v>
      </c>
      <c r="E333" s="555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535</v>
      </c>
      <c r="N333" s="33"/>
      <c r="O333" s="32">
        <v>730</v>
      </c>
      <c r="P333" s="78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8</v>
      </c>
      <c r="Y333" s="546">
        <f>IFERROR(IF(X333="",0,CEILING((X333/$H333),1)*$H333),"")</f>
        <v>8</v>
      </c>
      <c r="Z333" s="36">
        <f>IFERROR(IF(Y333=0,"",ROUNDUP(Y333/H333,0)*0.00474),"")</f>
        <v>1.8960000000000001E-2</v>
      </c>
      <c r="AA333" s="56"/>
      <c r="AB333" s="57"/>
      <c r="AC333" s="389" t="s">
        <v>536</v>
      </c>
      <c r="AG333" s="64"/>
      <c r="AJ333" s="68"/>
      <c r="AK333" s="68">
        <v>0</v>
      </c>
      <c r="BB333" s="390" t="s">
        <v>1</v>
      </c>
      <c r="BM333" s="64">
        <f>IFERROR(X333*I333/H333,"0")</f>
        <v>8.9600000000000009</v>
      </c>
      <c r="BN333" s="64">
        <f>IFERROR(Y333*I333/H333,"0")</f>
        <v>8.9600000000000009</v>
      </c>
      <c r="BO333" s="64">
        <f>IFERROR(1/J333*(X333/H333),"0")</f>
        <v>1.680672268907563E-2</v>
      </c>
      <c r="BP333" s="64">
        <f>IFERROR(1/J333*(Y333/H333),"0")</f>
        <v>1.680672268907563E-2</v>
      </c>
    </row>
    <row r="334" spans="1:68" x14ac:dyDescent="0.2">
      <c r="A334" s="567"/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68"/>
      <c r="P334" s="560" t="s">
        <v>75</v>
      </c>
      <c r="Q334" s="561"/>
      <c r="R334" s="561"/>
      <c r="S334" s="561"/>
      <c r="T334" s="561"/>
      <c r="U334" s="561"/>
      <c r="V334" s="562"/>
      <c r="W334" s="37" t="s">
        <v>76</v>
      </c>
      <c r="X334" s="547">
        <f>IFERROR(X331/H331,"0")+IFERROR(X332/H332,"0")+IFERROR(X333/H333,"0")</f>
        <v>4</v>
      </c>
      <c r="Y334" s="547">
        <f>IFERROR(Y331/H331,"0")+IFERROR(Y332/H332,"0")+IFERROR(Y333/H333,"0")</f>
        <v>4</v>
      </c>
      <c r="Z334" s="547">
        <f>IFERROR(IF(Z331="",0,Z331),"0")+IFERROR(IF(Z332="",0,Z332),"0")+IFERROR(IF(Z333="",0,Z333),"0")</f>
        <v>1.8960000000000001E-2</v>
      </c>
      <c r="AA334" s="548"/>
      <c r="AB334" s="548"/>
      <c r="AC334" s="548"/>
    </row>
    <row r="335" spans="1:68" x14ac:dyDescent="0.2">
      <c r="A335" s="557"/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68"/>
      <c r="P335" s="560" t="s">
        <v>75</v>
      </c>
      <c r="Q335" s="561"/>
      <c r="R335" s="561"/>
      <c r="S335" s="561"/>
      <c r="T335" s="561"/>
      <c r="U335" s="561"/>
      <c r="V335" s="562"/>
      <c r="W335" s="37" t="s">
        <v>69</v>
      </c>
      <c r="X335" s="547">
        <f>IFERROR(SUM(X331:X333),"0")</f>
        <v>8</v>
      </c>
      <c r="Y335" s="547">
        <f>IFERROR(SUM(Y331:Y333),"0")</f>
        <v>8</v>
      </c>
      <c r="Z335" s="37"/>
      <c r="AA335" s="548"/>
      <c r="AB335" s="548"/>
      <c r="AC335" s="548"/>
    </row>
    <row r="336" spans="1:68" ht="16.5" hidden="1" customHeight="1" x14ac:dyDescent="0.25">
      <c r="A336" s="574" t="s">
        <v>541</v>
      </c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7"/>
      <c r="P336" s="557"/>
      <c r="Q336" s="557"/>
      <c r="R336" s="557"/>
      <c r="S336" s="557"/>
      <c r="T336" s="557"/>
      <c r="U336" s="557"/>
      <c r="V336" s="557"/>
      <c r="W336" s="557"/>
      <c r="X336" s="557"/>
      <c r="Y336" s="557"/>
      <c r="Z336" s="557"/>
      <c r="AA336" s="540"/>
      <c r="AB336" s="540"/>
      <c r="AC336" s="540"/>
    </row>
    <row r="337" spans="1:68" ht="14.25" hidden="1" customHeight="1" x14ac:dyDescent="0.25">
      <c r="A337" s="556" t="s">
        <v>77</v>
      </c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  <c r="Z337" s="557"/>
      <c r="AA337" s="541"/>
      <c r="AB337" s="541"/>
      <c r="AC337" s="541"/>
    </row>
    <row r="338" spans="1:68" ht="27" hidden="1" customHeight="1" x14ac:dyDescent="0.25">
      <c r="A338" s="54" t="s">
        <v>542</v>
      </c>
      <c r="B338" s="54" t="s">
        <v>543</v>
      </c>
      <c r="C338" s="31">
        <v>4301051489</v>
      </c>
      <c r="D338" s="554">
        <v>4607091387919</v>
      </c>
      <c r="E338" s="555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 t="s">
        <v>106</v>
      </c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0"/>
      <c r="R338" s="550"/>
      <c r="S338" s="550"/>
      <c r="T338" s="551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 t="s">
        <v>109</v>
      </c>
      <c r="AK338" s="68">
        <v>64.8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545</v>
      </c>
      <c r="B339" s="54" t="s">
        <v>546</v>
      </c>
      <c r="C339" s="31">
        <v>4301051461</v>
      </c>
      <c r="D339" s="554">
        <v>4680115883604</v>
      </c>
      <c r="E339" s="555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/>
      <c r="M339" s="33" t="s">
        <v>80</v>
      </c>
      <c r="N339" s="33"/>
      <c r="O339" s="32">
        <v>45</v>
      </c>
      <c r="P339" s="62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0"/>
      <c r="R339" s="550"/>
      <c r="S339" s="550"/>
      <c r="T339" s="551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/>
      <c r="AK339" s="68">
        <v>0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548</v>
      </c>
      <c r="B340" s="54" t="s">
        <v>549</v>
      </c>
      <c r="C340" s="31">
        <v>4301051864</v>
      </c>
      <c r="D340" s="554">
        <v>4680115883567</v>
      </c>
      <c r="E340" s="555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/>
      <c r="M340" s="33" t="s">
        <v>87</v>
      </c>
      <c r="N340" s="33"/>
      <c r="O340" s="32">
        <v>40</v>
      </c>
      <c r="P340" s="68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idden="1" x14ac:dyDescent="0.2">
      <c r="A341" s="567"/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68"/>
      <c r="P341" s="560" t="s">
        <v>75</v>
      </c>
      <c r="Q341" s="561"/>
      <c r="R341" s="561"/>
      <c r="S341" s="561"/>
      <c r="T341" s="561"/>
      <c r="U341" s="561"/>
      <c r="V341" s="562"/>
      <c r="W341" s="37" t="s">
        <v>76</v>
      </c>
      <c r="X341" s="547">
        <f>IFERROR(X338/H338,"0")+IFERROR(X339/H339,"0")+IFERROR(X340/H340,"0")</f>
        <v>0</v>
      </c>
      <c r="Y341" s="547">
        <f>IFERROR(Y338/H338,"0")+IFERROR(Y339/H339,"0")+IFERROR(Y340/H340,"0")</f>
        <v>0</v>
      </c>
      <c r="Z341" s="547">
        <f>IFERROR(IF(Z338="",0,Z338),"0")+IFERROR(IF(Z339="",0,Z339),"0")+IFERROR(IF(Z340="",0,Z340),"0")</f>
        <v>0</v>
      </c>
      <c r="AA341" s="548"/>
      <c r="AB341" s="548"/>
      <c r="AC341" s="548"/>
    </row>
    <row r="342" spans="1:68" hidden="1" x14ac:dyDescent="0.2">
      <c r="A342" s="557"/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68"/>
      <c r="P342" s="560" t="s">
        <v>75</v>
      </c>
      <c r="Q342" s="561"/>
      <c r="R342" s="561"/>
      <c r="S342" s="561"/>
      <c r="T342" s="561"/>
      <c r="U342" s="561"/>
      <c r="V342" s="562"/>
      <c r="W342" s="37" t="s">
        <v>69</v>
      </c>
      <c r="X342" s="547">
        <f>IFERROR(SUM(X338:X340),"0")</f>
        <v>0</v>
      </c>
      <c r="Y342" s="547">
        <f>IFERROR(SUM(Y338:Y340),"0")</f>
        <v>0</v>
      </c>
      <c r="Z342" s="37"/>
      <c r="AA342" s="548"/>
      <c r="AB342" s="548"/>
      <c r="AC342" s="548"/>
    </row>
    <row r="343" spans="1:68" ht="27.75" hidden="1" customHeight="1" x14ac:dyDescent="0.2">
      <c r="A343" s="575" t="s">
        <v>551</v>
      </c>
      <c r="B343" s="576"/>
      <c r="C343" s="576"/>
      <c r="D343" s="576"/>
      <c r="E343" s="576"/>
      <c r="F343" s="576"/>
      <c r="G343" s="576"/>
      <c r="H343" s="576"/>
      <c r="I343" s="576"/>
      <c r="J343" s="576"/>
      <c r="K343" s="576"/>
      <c r="L343" s="576"/>
      <c r="M343" s="576"/>
      <c r="N343" s="576"/>
      <c r="O343" s="576"/>
      <c r="P343" s="576"/>
      <c r="Q343" s="576"/>
      <c r="R343" s="576"/>
      <c r="S343" s="576"/>
      <c r="T343" s="576"/>
      <c r="U343" s="576"/>
      <c r="V343" s="576"/>
      <c r="W343" s="576"/>
      <c r="X343" s="576"/>
      <c r="Y343" s="576"/>
      <c r="Z343" s="576"/>
      <c r="AA343" s="48"/>
      <c r="AB343" s="48"/>
      <c r="AC343" s="48"/>
    </row>
    <row r="344" spans="1:68" ht="16.5" hidden="1" customHeight="1" x14ac:dyDescent="0.25">
      <c r="A344" s="574" t="s">
        <v>552</v>
      </c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57"/>
      <c r="P344" s="557"/>
      <c r="Q344" s="557"/>
      <c r="R344" s="557"/>
      <c r="S344" s="557"/>
      <c r="T344" s="557"/>
      <c r="U344" s="557"/>
      <c r="V344" s="557"/>
      <c r="W344" s="557"/>
      <c r="X344" s="557"/>
      <c r="Y344" s="557"/>
      <c r="Z344" s="557"/>
      <c r="AA344" s="540"/>
      <c r="AB344" s="540"/>
      <c r="AC344" s="540"/>
    </row>
    <row r="345" spans="1:68" ht="14.25" hidden="1" customHeight="1" x14ac:dyDescent="0.25">
      <c r="A345" s="556" t="s">
        <v>102</v>
      </c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  <c r="Z345" s="557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54">
        <v>4680115884847</v>
      </c>
      <c r="E346" s="555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 t="s">
        <v>106</v>
      </c>
      <c r="M346" s="33" t="s">
        <v>68</v>
      </c>
      <c r="N346" s="33"/>
      <c r="O346" s="32">
        <v>60</v>
      </c>
      <c r="P346" s="79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0"/>
      <c r="R346" s="550"/>
      <c r="S346" s="550"/>
      <c r="T346" s="551"/>
      <c r="U346" s="34"/>
      <c r="V346" s="34"/>
      <c r="W346" s="35" t="s">
        <v>69</v>
      </c>
      <c r="X346" s="545">
        <v>501</v>
      </c>
      <c r="Y346" s="546">
        <f t="shared" ref="Y346:Y352" si="31">IFERROR(IF(X346="",0,CEILING((X346/$H346),1)*$H346),"")</f>
        <v>510</v>
      </c>
      <c r="Z346" s="36">
        <f>IFERROR(IF(Y346=0,"",ROUNDUP(Y346/H346,0)*0.02175),"")</f>
        <v>0.73949999999999994</v>
      </c>
      <c r="AA346" s="56"/>
      <c r="AB346" s="57"/>
      <c r="AC346" s="397" t="s">
        <v>555</v>
      </c>
      <c r="AG346" s="64"/>
      <c r="AJ346" s="68" t="s">
        <v>109</v>
      </c>
      <c r="AK346" s="68">
        <v>120</v>
      </c>
      <c r="BB346" s="398" t="s">
        <v>1</v>
      </c>
      <c r="BM346" s="64">
        <f t="shared" ref="BM346:BM352" si="32">IFERROR(X346*I346/H346,"0")</f>
        <v>516.69799999999998</v>
      </c>
      <c r="BN346" s="64">
        <f t="shared" ref="BN346:BN352" si="33">IFERROR(Y346*I346/H346,"0")</f>
        <v>525.98</v>
      </c>
      <c r="BO346" s="64">
        <f t="shared" ref="BO346:BO352" si="34">IFERROR(1/J346*(X346/H346),"0")</f>
        <v>0.6958333333333333</v>
      </c>
      <c r="BP346" s="64">
        <f t="shared" ref="BP346:BP352" si="35">IFERROR(1/J346*(Y346/H346),"0")</f>
        <v>0.70833333333333326</v>
      </c>
    </row>
    <row r="347" spans="1:68" ht="27" hidden="1" customHeight="1" x14ac:dyDescent="0.25">
      <c r="A347" s="54" t="s">
        <v>556</v>
      </c>
      <c r="B347" s="54" t="s">
        <v>557</v>
      </c>
      <c r="C347" s="31">
        <v>4301011870</v>
      </c>
      <c r="D347" s="554">
        <v>4680115884854</v>
      </c>
      <c r="E347" s="555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 t="s">
        <v>106</v>
      </c>
      <c r="M347" s="33" t="s">
        <v>68</v>
      </c>
      <c r="N347" s="33"/>
      <c r="O347" s="32">
        <v>60</v>
      </c>
      <c r="P347" s="82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0"/>
      <c r="R347" s="550"/>
      <c r="S347" s="550"/>
      <c r="T347" s="551"/>
      <c r="U347" s="34"/>
      <c r="V347" s="34"/>
      <c r="W347" s="35" t="s">
        <v>69</v>
      </c>
      <c r="X347" s="545">
        <v>0</v>
      </c>
      <c r="Y347" s="546">
        <f t="shared" si="31"/>
        <v>0</v>
      </c>
      <c r="Z347" s="36" t="str">
        <f>IFERROR(IF(Y347=0,"",ROUNDUP(Y347/H347,0)*0.02175),"")</f>
        <v/>
      </c>
      <c r="AA347" s="56"/>
      <c r="AB347" s="57"/>
      <c r="AC347" s="399" t="s">
        <v>558</v>
      </c>
      <c r="AG347" s="64"/>
      <c r="AJ347" s="68" t="s">
        <v>109</v>
      </c>
      <c r="AK347" s="68">
        <v>120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559</v>
      </c>
      <c r="B348" s="54" t="s">
        <v>560</v>
      </c>
      <c r="C348" s="31">
        <v>4301011867</v>
      </c>
      <c r="D348" s="554">
        <v>4680115884830</v>
      </c>
      <c r="E348" s="555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 t="s">
        <v>106</v>
      </c>
      <c r="M348" s="33" t="s">
        <v>68</v>
      </c>
      <c r="N348" s="33"/>
      <c r="O348" s="32">
        <v>60</v>
      </c>
      <c r="P348" s="8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332</v>
      </c>
      <c r="Y348" s="546">
        <f t="shared" si="31"/>
        <v>345</v>
      </c>
      <c r="Z348" s="36">
        <f>IFERROR(IF(Y348=0,"",ROUNDUP(Y348/H348,0)*0.02175),"")</f>
        <v>0.50024999999999997</v>
      </c>
      <c r="AA348" s="56"/>
      <c r="AB348" s="57"/>
      <c r="AC348" s="401" t="s">
        <v>561</v>
      </c>
      <c r="AG348" s="64"/>
      <c r="AJ348" s="68" t="s">
        <v>109</v>
      </c>
      <c r="AK348" s="68">
        <v>120</v>
      </c>
      <c r="BB348" s="402" t="s">
        <v>1</v>
      </c>
      <c r="BM348" s="64">
        <f t="shared" si="32"/>
        <v>342.40266666666668</v>
      </c>
      <c r="BN348" s="64">
        <f t="shared" si="33"/>
        <v>355.81000000000006</v>
      </c>
      <c r="BO348" s="64">
        <f t="shared" si="34"/>
        <v>0.46111111111111108</v>
      </c>
      <c r="BP348" s="64">
        <f t="shared" si="35"/>
        <v>0.47916666666666663</v>
      </c>
    </row>
    <row r="349" spans="1:68" ht="27" customHeight="1" x14ac:dyDescent="0.25">
      <c r="A349" s="54" t="s">
        <v>562</v>
      </c>
      <c r="B349" s="54" t="s">
        <v>563</v>
      </c>
      <c r="C349" s="31">
        <v>4301012215</v>
      </c>
      <c r="D349" s="554">
        <v>4680115887046</v>
      </c>
      <c r="E349" s="555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83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442</v>
      </c>
      <c r="Y349" s="546">
        <f t="shared" si="31"/>
        <v>450</v>
      </c>
      <c r="Z349" s="36">
        <f>IFERROR(IF(Y349=0,"",ROUNDUP(Y349/H349,0)*0.02175),"")</f>
        <v>0.65249999999999997</v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2"/>
        <v>455.84933333333339</v>
      </c>
      <c r="BN349" s="64">
        <f t="shared" si="33"/>
        <v>464.1</v>
      </c>
      <c r="BO349" s="64">
        <f t="shared" si="34"/>
        <v>0.61388888888888882</v>
      </c>
      <c r="BP349" s="64">
        <f t="shared" si="35"/>
        <v>0.625</v>
      </c>
    </row>
    <row r="350" spans="1:68" ht="27" hidden="1" customHeight="1" x14ac:dyDescent="0.25">
      <c r="A350" s="54" t="s">
        <v>565</v>
      </c>
      <c r="B350" s="54" t="s">
        <v>566</v>
      </c>
      <c r="C350" s="31">
        <v>4301011433</v>
      </c>
      <c r="D350" s="554">
        <v>4680115882638</v>
      </c>
      <c r="E350" s="555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4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4301011952</v>
      </c>
      <c r="D351" s="554">
        <v>4680115884922</v>
      </c>
      <c r="E351" s="555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6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hidden="1" customHeight="1" x14ac:dyDescent="0.25">
      <c r="A352" s="54" t="s">
        <v>570</v>
      </c>
      <c r="B352" s="54" t="s">
        <v>571</v>
      </c>
      <c r="C352" s="31">
        <v>4301011868</v>
      </c>
      <c r="D352" s="554">
        <v>4680115884861</v>
      </c>
      <c r="E352" s="555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7"/>
      <c r="B353" s="557"/>
      <c r="C353" s="557"/>
      <c r="D353" s="557"/>
      <c r="E353" s="557"/>
      <c r="F353" s="557"/>
      <c r="G353" s="557"/>
      <c r="H353" s="557"/>
      <c r="I353" s="557"/>
      <c r="J353" s="557"/>
      <c r="K353" s="557"/>
      <c r="L353" s="557"/>
      <c r="M353" s="557"/>
      <c r="N353" s="557"/>
      <c r="O353" s="568"/>
      <c r="P353" s="560" t="s">
        <v>75</v>
      </c>
      <c r="Q353" s="561"/>
      <c r="R353" s="561"/>
      <c r="S353" s="561"/>
      <c r="T353" s="561"/>
      <c r="U353" s="561"/>
      <c r="V353" s="562"/>
      <c r="W353" s="37" t="s">
        <v>76</v>
      </c>
      <c r="X353" s="547">
        <f>IFERROR(X346/H346,"0")+IFERROR(X347/H347,"0")+IFERROR(X348/H348,"0")+IFERROR(X349/H349,"0")+IFERROR(X350/H350,"0")+IFERROR(X351/H351,"0")+IFERROR(X352/H352,"0")</f>
        <v>85</v>
      </c>
      <c r="Y353" s="547">
        <f>IFERROR(Y346/H346,"0")+IFERROR(Y347/H347,"0")+IFERROR(Y348/H348,"0")+IFERROR(Y349/H349,"0")+IFERROR(Y350/H350,"0")+IFERROR(Y351/H351,"0")+IFERROR(Y352/H352,"0")</f>
        <v>87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1.8922499999999998</v>
      </c>
      <c r="AA353" s="548"/>
      <c r="AB353" s="548"/>
      <c r="AC353" s="548"/>
    </row>
    <row r="354" spans="1:68" x14ac:dyDescent="0.2">
      <c r="A354" s="557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68"/>
      <c r="P354" s="560" t="s">
        <v>75</v>
      </c>
      <c r="Q354" s="561"/>
      <c r="R354" s="561"/>
      <c r="S354" s="561"/>
      <c r="T354" s="561"/>
      <c r="U354" s="561"/>
      <c r="V354" s="562"/>
      <c r="W354" s="37" t="s">
        <v>69</v>
      </c>
      <c r="X354" s="547">
        <f>IFERROR(SUM(X346:X352),"0")</f>
        <v>1275</v>
      </c>
      <c r="Y354" s="547">
        <f>IFERROR(SUM(Y346:Y352),"0")</f>
        <v>1305</v>
      </c>
      <c r="Z354" s="37"/>
      <c r="AA354" s="548"/>
      <c r="AB354" s="548"/>
      <c r="AC354" s="548"/>
    </row>
    <row r="355" spans="1:68" ht="14.25" hidden="1" customHeight="1" x14ac:dyDescent="0.25">
      <c r="A355" s="556" t="s">
        <v>138</v>
      </c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7"/>
      <c r="P355" s="557"/>
      <c r="Q355" s="557"/>
      <c r="R355" s="557"/>
      <c r="S355" s="557"/>
      <c r="T355" s="557"/>
      <c r="U355" s="557"/>
      <c r="V355" s="557"/>
      <c r="W355" s="557"/>
      <c r="X355" s="557"/>
      <c r="Y355" s="557"/>
      <c r="Z355" s="557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54">
        <v>4607091383980</v>
      </c>
      <c r="E356" s="555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 t="s">
        <v>106</v>
      </c>
      <c r="M356" s="33" t="s">
        <v>107</v>
      </c>
      <c r="N356" s="33"/>
      <c r="O356" s="32">
        <v>50</v>
      </c>
      <c r="P356" s="7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0"/>
      <c r="R356" s="550"/>
      <c r="S356" s="550"/>
      <c r="T356" s="551"/>
      <c r="U356" s="34"/>
      <c r="V356" s="34"/>
      <c r="W356" s="35" t="s">
        <v>69</v>
      </c>
      <c r="X356" s="545">
        <v>688</v>
      </c>
      <c r="Y356" s="546">
        <f>IFERROR(IF(X356="",0,CEILING((X356/$H356),1)*$H356),"")</f>
        <v>690</v>
      </c>
      <c r="Z356" s="36">
        <f>IFERROR(IF(Y356=0,"",ROUNDUP(Y356/H356,0)*0.02175),"")</f>
        <v>1.0004999999999999</v>
      </c>
      <c r="AA356" s="56"/>
      <c r="AB356" s="57"/>
      <c r="AC356" s="411" t="s">
        <v>574</v>
      </c>
      <c r="AG356" s="64"/>
      <c r="AJ356" s="68" t="s">
        <v>109</v>
      </c>
      <c r="AK356" s="68">
        <v>120</v>
      </c>
      <c r="BB356" s="412" t="s">
        <v>1</v>
      </c>
      <c r="BM356" s="64">
        <f>IFERROR(X356*I356/H356,"0")</f>
        <v>709.55733333333342</v>
      </c>
      <c r="BN356" s="64">
        <f>IFERROR(Y356*I356/H356,"0")</f>
        <v>711.62000000000012</v>
      </c>
      <c r="BO356" s="64">
        <f>IFERROR(1/J356*(X356/H356),"0")</f>
        <v>0.95555555555555549</v>
      </c>
      <c r="BP356" s="64">
        <f>IFERROR(1/J356*(Y356/H356),"0")</f>
        <v>0.95833333333333326</v>
      </c>
    </row>
    <row r="357" spans="1:68" ht="27" hidden="1" customHeight="1" x14ac:dyDescent="0.25">
      <c r="A357" s="54" t="s">
        <v>575</v>
      </c>
      <c r="B357" s="54" t="s">
        <v>576</v>
      </c>
      <c r="C357" s="31">
        <v>4301020179</v>
      </c>
      <c r="D357" s="554">
        <v>4607091384178</v>
      </c>
      <c r="E357" s="555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0"/>
      <c r="R357" s="550"/>
      <c r="S357" s="550"/>
      <c r="T357" s="551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7"/>
      <c r="B358" s="557"/>
      <c r="C358" s="557"/>
      <c r="D358" s="557"/>
      <c r="E358" s="557"/>
      <c r="F358" s="557"/>
      <c r="G358" s="557"/>
      <c r="H358" s="557"/>
      <c r="I358" s="557"/>
      <c r="J358" s="557"/>
      <c r="K358" s="557"/>
      <c r="L358" s="557"/>
      <c r="M358" s="557"/>
      <c r="N358" s="557"/>
      <c r="O358" s="568"/>
      <c r="P358" s="560" t="s">
        <v>75</v>
      </c>
      <c r="Q358" s="561"/>
      <c r="R358" s="561"/>
      <c r="S358" s="561"/>
      <c r="T358" s="561"/>
      <c r="U358" s="561"/>
      <c r="V358" s="562"/>
      <c r="W358" s="37" t="s">
        <v>76</v>
      </c>
      <c r="X358" s="547">
        <f>IFERROR(X356/H356,"0")+IFERROR(X357/H357,"0")</f>
        <v>45.866666666666667</v>
      </c>
      <c r="Y358" s="547">
        <f>IFERROR(Y356/H356,"0")+IFERROR(Y357/H357,"0")</f>
        <v>46</v>
      </c>
      <c r="Z358" s="547">
        <f>IFERROR(IF(Z356="",0,Z356),"0")+IFERROR(IF(Z357="",0,Z357),"0")</f>
        <v>1.0004999999999999</v>
      </c>
      <c r="AA358" s="548"/>
      <c r="AB358" s="548"/>
      <c r="AC358" s="548"/>
    </row>
    <row r="359" spans="1:68" x14ac:dyDescent="0.2">
      <c r="A359" s="557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68"/>
      <c r="P359" s="560" t="s">
        <v>75</v>
      </c>
      <c r="Q359" s="561"/>
      <c r="R359" s="561"/>
      <c r="S359" s="561"/>
      <c r="T359" s="561"/>
      <c r="U359" s="561"/>
      <c r="V359" s="562"/>
      <c r="W359" s="37" t="s">
        <v>69</v>
      </c>
      <c r="X359" s="547">
        <f>IFERROR(SUM(X356:X357),"0")</f>
        <v>688</v>
      </c>
      <c r="Y359" s="547">
        <f>IFERROR(SUM(Y356:Y357),"0")</f>
        <v>690</v>
      </c>
      <c r="Z359" s="37"/>
      <c r="AA359" s="548"/>
      <c r="AB359" s="548"/>
      <c r="AC359" s="548"/>
    </row>
    <row r="360" spans="1:68" ht="14.25" hidden="1" customHeight="1" x14ac:dyDescent="0.25">
      <c r="A360" s="556" t="s">
        <v>77</v>
      </c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7"/>
      <c r="P360" s="557"/>
      <c r="Q360" s="557"/>
      <c r="R360" s="557"/>
      <c r="S360" s="557"/>
      <c r="T360" s="557"/>
      <c r="U360" s="557"/>
      <c r="V360" s="557"/>
      <c r="W360" s="557"/>
      <c r="X360" s="557"/>
      <c r="Y360" s="557"/>
      <c r="Z360" s="557"/>
      <c r="AA360" s="541"/>
      <c r="AB360" s="541"/>
      <c r="AC360" s="541"/>
    </row>
    <row r="361" spans="1:68" ht="27" hidden="1" customHeight="1" x14ac:dyDescent="0.25">
      <c r="A361" s="54" t="s">
        <v>578</v>
      </c>
      <c r="B361" s="54" t="s">
        <v>579</v>
      </c>
      <c r="C361" s="31">
        <v>4301051903</v>
      </c>
      <c r="D361" s="554">
        <v>4607091383928</v>
      </c>
      <c r="E361" s="555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0"/>
      <c r="R361" s="550"/>
      <c r="S361" s="550"/>
      <c r="T361" s="551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hidden="1" customHeight="1" x14ac:dyDescent="0.25">
      <c r="A362" s="54" t="s">
        <v>581</v>
      </c>
      <c r="B362" s="54" t="s">
        <v>582</v>
      </c>
      <c r="C362" s="31">
        <v>4301051897</v>
      </c>
      <c r="D362" s="554">
        <v>4607091384260</v>
      </c>
      <c r="E362" s="555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/>
      <c r="M362" s="33" t="s">
        <v>80</v>
      </c>
      <c r="N362" s="33"/>
      <c r="O362" s="32">
        <v>40</v>
      </c>
      <c r="P362" s="8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0"/>
      <c r="R362" s="550"/>
      <c r="S362" s="550"/>
      <c r="T362" s="551"/>
      <c r="U362" s="34"/>
      <c r="V362" s="34"/>
      <c r="W362" s="35" t="s">
        <v>69</v>
      </c>
      <c r="X362" s="545">
        <v>0</v>
      </c>
      <c r="Y362" s="54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/>
      <c r="AK362" s="68">
        <v>0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67"/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68"/>
      <c r="P363" s="560" t="s">
        <v>75</v>
      </c>
      <c r="Q363" s="561"/>
      <c r="R363" s="561"/>
      <c r="S363" s="561"/>
      <c r="T363" s="561"/>
      <c r="U363" s="561"/>
      <c r="V363" s="562"/>
      <c r="W363" s="37" t="s">
        <v>76</v>
      </c>
      <c r="X363" s="547">
        <f>IFERROR(X361/H361,"0")+IFERROR(X362/H362,"0")</f>
        <v>0</v>
      </c>
      <c r="Y363" s="547">
        <f>IFERROR(Y361/H361,"0")+IFERROR(Y362/H362,"0")</f>
        <v>0</v>
      </c>
      <c r="Z363" s="547">
        <f>IFERROR(IF(Z361="",0,Z361),"0")+IFERROR(IF(Z362="",0,Z362),"0")</f>
        <v>0</v>
      </c>
      <c r="AA363" s="548"/>
      <c r="AB363" s="548"/>
      <c r="AC363" s="548"/>
    </row>
    <row r="364" spans="1:68" hidden="1" x14ac:dyDescent="0.2">
      <c r="A364" s="557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68"/>
      <c r="P364" s="560" t="s">
        <v>75</v>
      </c>
      <c r="Q364" s="561"/>
      <c r="R364" s="561"/>
      <c r="S364" s="561"/>
      <c r="T364" s="561"/>
      <c r="U364" s="561"/>
      <c r="V364" s="562"/>
      <c r="W364" s="37" t="s">
        <v>69</v>
      </c>
      <c r="X364" s="547">
        <f>IFERROR(SUM(X361:X362),"0")</f>
        <v>0</v>
      </c>
      <c r="Y364" s="547">
        <f>IFERROR(SUM(Y361:Y362),"0")</f>
        <v>0</v>
      </c>
      <c r="Z364" s="37"/>
      <c r="AA364" s="548"/>
      <c r="AB364" s="548"/>
      <c r="AC364" s="548"/>
    </row>
    <row r="365" spans="1:68" ht="14.25" hidden="1" customHeight="1" x14ac:dyDescent="0.25">
      <c r="A365" s="556" t="s">
        <v>166</v>
      </c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  <c r="Z365" s="557"/>
      <c r="AA365" s="541"/>
      <c r="AB365" s="541"/>
      <c r="AC365" s="541"/>
    </row>
    <row r="366" spans="1:68" ht="16.5" hidden="1" customHeight="1" x14ac:dyDescent="0.25">
      <c r="A366" s="54" t="s">
        <v>584</v>
      </c>
      <c r="B366" s="54" t="s">
        <v>585</v>
      </c>
      <c r="C366" s="31">
        <v>4301060524</v>
      </c>
      <c r="D366" s="554">
        <v>4607091384673</v>
      </c>
      <c r="E366" s="555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6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0"/>
      <c r="R366" s="550"/>
      <c r="S366" s="550"/>
      <c r="T366" s="551"/>
      <c r="U366" s="34"/>
      <c r="V366" s="34"/>
      <c r="W366" s="35" t="s">
        <v>69</v>
      </c>
      <c r="X366" s="545">
        <v>0</v>
      </c>
      <c r="Y366" s="54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7"/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68"/>
      <c r="P367" s="560" t="s">
        <v>75</v>
      </c>
      <c r="Q367" s="561"/>
      <c r="R367" s="561"/>
      <c r="S367" s="561"/>
      <c r="T367" s="561"/>
      <c r="U367" s="561"/>
      <c r="V367" s="562"/>
      <c r="W367" s="37" t="s">
        <v>76</v>
      </c>
      <c r="X367" s="547">
        <f>IFERROR(X366/H366,"0")</f>
        <v>0</v>
      </c>
      <c r="Y367" s="547">
        <f>IFERROR(Y366/H366,"0")</f>
        <v>0</v>
      </c>
      <c r="Z367" s="547">
        <f>IFERROR(IF(Z366="",0,Z366),"0")</f>
        <v>0</v>
      </c>
      <c r="AA367" s="548"/>
      <c r="AB367" s="548"/>
      <c r="AC367" s="548"/>
    </row>
    <row r="368" spans="1:68" hidden="1" x14ac:dyDescent="0.2">
      <c r="A368" s="557"/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68"/>
      <c r="P368" s="560" t="s">
        <v>75</v>
      </c>
      <c r="Q368" s="561"/>
      <c r="R368" s="561"/>
      <c r="S368" s="561"/>
      <c r="T368" s="561"/>
      <c r="U368" s="561"/>
      <c r="V368" s="562"/>
      <c r="W368" s="37" t="s">
        <v>69</v>
      </c>
      <c r="X368" s="547">
        <f>IFERROR(SUM(X366:X366),"0")</f>
        <v>0</v>
      </c>
      <c r="Y368" s="547">
        <f>IFERROR(SUM(Y366:Y366),"0")</f>
        <v>0</v>
      </c>
      <c r="Z368" s="37"/>
      <c r="AA368" s="548"/>
      <c r="AB368" s="548"/>
      <c r="AC368" s="548"/>
    </row>
    <row r="369" spans="1:68" ht="16.5" hidden="1" customHeight="1" x14ac:dyDescent="0.25">
      <c r="A369" s="574" t="s">
        <v>587</v>
      </c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7"/>
      <c r="P369" s="557"/>
      <c r="Q369" s="557"/>
      <c r="R369" s="557"/>
      <c r="S369" s="557"/>
      <c r="T369" s="557"/>
      <c r="U369" s="557"/>
      <c r="V369" s="557"/>
      <c r="W369" s="557"/>
      <c r="X369" s="557"/>
      <c r="Y369" s="557"/>
      <c r="Z369" s="557"/>
      <c r="AA369" s="540"/>
      <c r="AB369" s="540"/>
      <c r="AC369" s="540"/>
    </row>
    <row r="370" spans="1:68" ht="14.25" hidden="1" customHeight="1" x14ac:dyDescent="0.25">
      <c r="A370" s="556" t="s">
        <v>102</v>
      </c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  <c r="Z370" s="557"/>
      <c r="AA370" s="541"/>
      <c r="AB370" s="541"/>
      <c r="AC370" s="541"/>
    </row>
    <row r="371" spans="1:68" ht="37.5" hidden="1" customHeight="1" x14ac:dyDescent="0.25">
      <c r="A371" s="54" t="s">
        <v>588</v>
      </c>
      <c r="B371" s="54" t="s">
        <v>589</v>
      </c>
      <c r="C371" s="31">
        <v>4301011875</v>
      </c>
      <c r="D371" s="554">
        <v>4680115884885</v>
      </c>
      <c r="E371" s="555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/>
      <c r="M371" s="33" t="s">
        <v>68</v>
      </c>
      <c r="N371" s="33"/>
      <c r="O371" s="32">
        <v>60</v>
      </c>
      <c r="P371" s="6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0"/>
      <c r="R371" s="550"/>
      <c r="S371" s="550"/>
      <c r="T371" s="551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/>
      <c r="AK371" s="68">
        <v>0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hidden="1" customHeight="1" x14ac:dyDescent="0.25">
      <c r="A372" s="54" t="s">
        <v>591</v>
      </c>
      <c r="B372" s="54" t="s">
        <v>592</v>
      </c>
      <c r="C372" s="31">
        <v>4301011871</v>
      </c>
      <c r="D372" s="554">
        <v>4680115884908</v>
      </c>
      <c r="E372" s="555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0"/>
      <c r="R372" s="550"/>
      <c r="S372" s="550"/>
      <c r="T372" s="551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idden="1" x14ac:dyDescent="0.2">
      <c r="A373" s="567"/>
      <c r="B373" s="557"/>
      <c r="C373" s="557"/>
      <c r="D373" s="557"/>
      <c r="E373" s="557"/>
      <c r="F373" s="557"/>
      <c r="G373" s="557"/>
      <c r="H373" s="557"/>
      <c r="I373" s="557"/>
      <c r="J373" s="557"/>
      <c r="K373" s="557"/>
      <c r="L373" s="557"/>
      <c r="M373" s="557"/>
      <c r="N373" s="557"/>
      <c r="O373" s="568"/>
      <c r="P373" s="560" t="s">
        <v>75</v>
      </c>
      <c r="Q373" s="561"/>
      <c r="R373" s="561"/>
      <c r="S373" s="561"/>
      <c r="T373" s="561"/>
      <c r="U373" s="561"/>
      <c r="V373" s="562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hidden="1" x14ac:dyDescent="0.2">
      <c r="A374" s="557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68"/>
      <c r="P374" s="560" t="s">
        <v>75</v>
      </c>
      <c r="Q374" s="561"/>
      <c r="R374" s="561"/>
      <c r="S374" s="561"/>
      <c r="T374" s="561"/>
      <c r="U374" s="561"/>
      <c r="V374" s="562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hidden="1" customHeight="1" x14ac:dyDescent="0.25">
      <c r="A375" s="556" t="s">
        <v>64</v>
      </c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7"/>
      <c r="P375" s="557"/>
      <c r="Q375" s="557"/>
      <c r="R375" s="557"/>
      <c r="S375" s="557"/>
      <c r="T375" s="557"/>
      <c r="U375" s="557"/>
      <c r="V375" s="557"/>
      <c r="W375" s="557"/>
      <c r="X375" s="557"/>
      <c r="Y375" s="557"/>
      <c r="Z375" s="557"/>
      <c r="AA375" s="541"/>
      <c r="AB375" s="541"/>
      <c r="AC375" s="541"/>
    </row>
    <row r="376" spans="1:68" ht="27" hidden="1" customHeight="1" x14ac:dyDescent="0.25">
      <c r="A376" s="54" t="s">
        <v>593</v>
      </c>
      <c r="B376" s="54" t="s">
        <v>594</v>
      </c>
      <c r="C376" s="31">
        <v>4301031303</v>
      </c>
      <c r="D376" s="554">
        <v>4607091384802</v>
      </c>
      <c r="E376" s="555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35</v>
      </c>
      <c r="P376" s="66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0"/>
      <c r="R376" s="550"/>
      <c r="S376" s="550"/>
      <c r="T376" s="551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593</v>
      </c>
      <c r="B377" s="54" t="s">
        <v>596</v>
      </c>
      <c r="C377" s="31">
        <v>4301031457</v>
      </c>
      <c r="D377" s="554">
        <v>4607091384802</v>
      </c>
      <c r="E377" s="555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50</v>
      </c>
      <c r="P377" s="74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0"/>
      <c r="R377" s="550"/>
      <c r="S377" s="550"/>
      <c r="T377" s="551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67"/>
      <c r="B378" s="557"/>
      <c r="C378" s="557"/>
      <c r="D378" s="557"/>
      <c r="E378" s="557"/>
      <c r="F378" s="557"/>
      <c r="G378" s="557"/>
      <c r="H378" s="557"/>
      <c r="I378" s="557"/>
      <c r="J378" s="557"/>
      <c r="K378" s="557"/>
      <c r="L378" s="557"/>
      <c r="M378" s="557"/>
      <c r="N378" s="557"/>
      <c r="O378" s="568"/>
      <c r="P378" s="560" t="s">
        <v>75</v>
      </c>
      <c r="Q378" s="561"/>
      <c r="R378" s="561"/>
      <c r="S378" s="561"/>
      <c r="T378" s="561"/>
      <c r="U378" s="561"/>
      <c r="V378" s="562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hidden="1" x14ac:dyDescent="0.2">
      <c r="A379" s="557"/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68"/>
      <c r="P379" s="560" t="s">
        <v>75</v>
      </c>
      <c r="Q379" s="561"/>
      <c r="R379" s="561"/>
      <c r="S379" s="561"/>
      <c r="T379" s="561"/>
      <c r="U379" s="561"/>
      <c r="V379" s="562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hidden="1" customHeight="1" x14ac:dyDescent="0.25">
      <c r="A380" s="556" t="s">
        <v>77</v>
      </c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7"/>
      <c r="P380" s="557"/>
      <c r="Q380" s="557"/>
      <c r="R380" s="557"/>
      <c r="S380" s="557"/>
      <c r="T380" s="557"/>
      <c r="U380" s="557"/>
      <c r="V380" s="557"/>
      <c r="W380" s="557"/>
      <c r="X380" s="557"/>
      <c r="Y380" s="557"/>
      <c r="Z380" s="557"/>
      <c r="AA380" s="541"/>
      <c r="AB380" s="541"/>
      <c r="AC380" s="541"/>
    </row>
    <row r="381" spans="1:68" ht="27" hidden="1" customHeight="1" x14ac:dyDescent="0.25">
      <c r="A381" s="54" t="s">
        <v>598</v>
      </c>
      <c r="B381" s="54" t="s">
        <v>599</v>
      </c>
      <c r="C381" s="31">
        <v>4301051899</v>
      </c>
      <c r="D381" s="554">
        <v>4607091384246</v>
      </c>
      <c r="E381" s="555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75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0"/>
      <c r="R381" s="550"/>
      <c r="S381" s="550"/>
      <c r="T381" s="551"/>
      <c r="U381" s="34"/>
      <c r="V381" s="34"/>
      <c r="W381" s="35" t="s">
        <v>69</v>
      </c>
      <c r="X381" s="545">
        <v>0</v>
      </c>
      <c r="Y381" s="546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601</v>
      </c>
      <c r="B382" s="54" t="s">
        <v>602</v>
      </c>
      <c r="C382" s="31">
        <v>4301051660</v>
      </c>
      <c r="D382" s="554">
        <v>4607091384253</v>
      </c>
      <c r="E382" s="555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 t="s">
        <v>223</v>
      </c>
      <c r="M382" s="33" t="s">
        <v>80</v>
      </c>
      <c r="N382" s="33"/>
      <c r="O382" s="32">
        <v>40</v>
      </c>
      <c r="P382" s="6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0"/>
      <c r="R382" s="550"/>
      <c r="S382" s="550"/>
      <c r="T382" s="551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 t="s">
        <v>109</v>
      </c>
      <c r="AK382" s="68">
        <v>33.6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601</v>
      </c>
      <c r="B383" s="54" t="s">
        <v>603</v>
      </c>
      <c r="C383" s="31">
        <v>4301052069</v>
      </c>
      <c r="D383" s="554">
        <v>4607091384253</v>
      </c>
      <c r="E383" s="555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idden="1" x14ac:dyDescent="0.2">
      <c r="A384" s="567"/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68"/>
      <c r="P384" s="560" t="s">
        <v>75</v>
      </c>
      <c r="Q384" s="561"/>
      <c r="R384" s="561"/>
      <c r="S384" s="561"/>
      <c r="T384" s="561"/>
      <c r="U384" s="561"/>
      <c r="V384" s="562"/>
      <c r="W384" s="37" t="s">
        <v>76</v>
      </c>
      <c r="X384" s="547">
        <f>IFERROR(X381/H381,"0")+IFERROR(X382/H382,"0")+IFERROR(X383/H383,"0")</f>
        <v>0</v>
      </c>
      <c r="Y384" s="547">
        <f>IFERROR(Y381/H381,"0")+IFERROR(Y382/H382,"0")+IFERROR(Y383/H383,"0")</f>
        <v>0</v>
      </c>
      <c r="Z384" s="547">
        <f>IFERROR(IF(Z381="",0,Z381),"0")+IFERROR(IF(Z382="",0,Z382),"0")+IFERROR(IF(Z383="",0,Z383),"0")</f>
        <v>0</v>
      </c>
      <c r="AA384" s="548"/>
      <c r="AB384" s="548"/>
      <c r="AC384" s="548"/>
    </row>
    <row r="385" spans="1:68" hidden="1" x14ac:dyDescent="0.2">
      <c r="A385" s="557"/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68"/>
      <c r="P385" s="560" t="s">
        <v>75</v>
      </c>
      <c r="Q385" s="561"/>
      <c r="R385" s="561"/>
      <c r="S385" s="561"/>
      <c r="T385" s="561"/>
      <c r="U385" s="561"/>
      <c r="V385" s="562"/>
      <c r="W385" s="37" t="s">
        <v>69</v>
      </c>
      <c r="X385" s="547">
        <f>IFERROR(SUM(X381:X383),"0")</f>
        <v>0</v>
      </c>
      <c r="Y385" s="547">
        <f>IFERROR(SUM(Y381:Y383),"0")</f>
        <v>0</v>
      </c>
      <c r="Z385" s="37"/>
      <c r="AA385" s="548"/>
      <c r="AB385" s="548"/>
      <c r="AC385" s="548"/>
    </row>
    <row r="386" spans="1:68" ht="27.75" hidden="1" customHeight="1" x14ac:dyDescent="0.2">
      <c r="A386" s="575" t="s">
        <v>605</v>
      </c>
      <c r="B386" s="576"/>
      <c r="C386" s="576"/>
      <c r="D386" s="576"/>
      <c r="E386" s="576"/>
      <c r="F386" s="576"/>
      <c r="G386" s="576"/>
      <c r="H386" s="576"/>
      <c r="I386" s="576"/>
      <c r="J386" s="576"/>
      <c r="K386" s="576"/>
      <c r="L386" s="576"/>
      <c r="M386" s="576"/>
      <c r="N386" s="576"/>
      <c r="O386" s="576"/>
      <c r="P386" s="576"/>
      <c r="Q386" s="576"/>
      <c r="R386" s="576"/>
      <c r="S386" s="576"/>
      <c r="T386" s="576"/>
      <c r="U386" s="576"/>
      <c r="V386" s="576"/>
      <c r="W386" s="576"/>
      <c r="X386" s="576"/>
      <c r="Y386" s="576"/>
      <c r="Z386" s="576"/>
      <c r="AA386" s="48"/>
      <c r="AB386" s="48"/>
      <c r="AC386" s="48"/>
    </row>
    <row r="387" spans="1:68" ht="16.5" hidden="1" customHeight="1" x14ac:dyDescent="0.25">
      <c r="A387" s="574" t="s">
        <v>606</v>
      </c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57"/>
      <c r="P387" s="557"/>
      <c r="Q387" s="557"/>
      <c r="R387" s="557"/>
      <c r="S387" s="557"/>
      <c r="T387" s="557"/>
      <c r="U387" s="557"/>
      <c r="V387" s="557"/>
      <c r="W387" s="557"/>
      <c r="X387" s="557"/>
      <c r="Y387" s="557"/>
      <c r="Z387" s="557"/>
      <c r="AA387" s="540"/>
      <c r="AB387" s="540"/>
      <c r="AC387" s="540"/>
    </row>
    <row r="388" spans="1:68" ht="14.25" hidden="1" customHeight="1" x14ac:dyDescent="0.25">
      <c r="A388" s="556" t="s">
        <v>64</v>
      </c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  <c r="Z388" s="557"/>
      <c r="AA388" s="541"/>
      <c r="AB388" s="541"/>
      <c r="AC388" s="541"/>
    </row>
    <row r="389" spans="1:68" ht="27" hidden="1" customHeight="1" x14ac:dyDescent="0.25">
      <c r="A389" s="54" t="s">
        <v>607</v>
      </c>
      <c r="B389" s="54" t="s">
        <v>608</v>
      </c>
      <c r="C389" s="31">
        <v>4301031405</v>
      </c>
      <c r="D389" s="554">
        <v>4680115886100</v>
      </c>
      <c r="E389" s="555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/>
      <c r="M389" s="33" t="s">
        <v>68</v>
      </c>
      <c r="N389" s="33"/>
      <c r="O389" s="32">
        <v>50</v>
      </c>
      <c r="P389" s="5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609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hidden="1" customHeight="1" x14ac:dyDescent="0.25">
      <c r="A390" s="54" t="s">
        <v>610</v>
      </c>
      <c r="B390" s="54" t="s">
        <v>611</v>
      </c>
      <c r="C390" s="31">
        <v>4301031406</v>
      </c>
      <c r="D390" s="554">
        <v>4680115886117</v>
      </c>
      <c r="E390" s="555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0"/>
      <c r="R390" s="550"/>
      <c r="S390" s="550"/>
      <c r="T390" s="551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613</v>
      </c>
      <c r="B391" s="54" t="s">
        <v>614</v>
      </c>
      <c r="C391" s="31">
        <v>4301031402</v>
      </c>
      <c r="D391" s="554">
        <v>4680115886124</v>
      </c>
      <c r="E391" s="555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616</v>
      </c>
      <c r="B392" s="54" t="s">
        <v>617</v>
      </c>
      <c r="C392" s="31">
        <v>4301031366</v>
      </c>
      <c r="D392" s="554">
        <v>4680115883147</v>
      </c>
      <c r="E392" s="555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618</v>
      </c>
      <c r="B393" s="54" t="s">
        <v>619</v>
      </c>
      <c r="C393" s="31">
        <v>4301031362</v>
      </c>
      <c r="D393" s="554">
        <v>4607091384338</v>
      </c>
      <c r="E393" s="555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hidden="1" customHeight="1" x14ac:dyDescent="0.25">
      <c r="A394" s="54" t="s">
        <v>620</v>
      </c>
      <c r="B394" s="54" t="s">
        <v>621</v>
      </c>
      <c r="C394" s="31">
        <v>4301031361</v>
      </c>
      <c r="D394" s="554">
        <v>4607091389524</v>
      </c>
      <c r="E394" s="555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0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623</v>
      </c>
      <c r="B395" s="54" t="s">
        <v>624</v>
      </c>
      <c r="C395" s="31">
        <v>4301031364</v>
      </c>
      <c r="D395" s="554">
        <v>4680115883161</v>
      </c>
      <c r="E395" s="555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hidden="1" customHeight="1" x14ac:dyDescent="0.25">
      <c r="A396" s="54" t="s">
        <v>626</v>
      </c>
      <c r="B396" s="54" t="s">
        <v>627</v>
      </c>
      <c r="C396" s="31">
        <v>4301031358</v>
      </c>
      <c r="D396" s="554">
        <v>4607091389531</v>
      </c>
      <c r="E396" s="555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hidden="1" customHeight="1" x14ac:dyDescent="0.25">
      <c r="A397" s="54" t="s">
        <v>629</v>
      </c>
      <c r="B397" s="54" t="s">
        <v>630</v>
      </c>
      <c r="C397" s="31">
        <v>4301031360</v>
      </c>
      <c r="D397" s="554">
        <v>4607091384345</v>
      </c>
      <c r="E397" s="555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5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idden="1" x14ac:dyDescent="0.2">
      <c r="A398" s="567"/>
      <c r="B398" s="557"/>
      <c r="C398" s="557"/>
      <c r="D398" s="557"/>
      <c r="E398" s="557"/>
      <c r="F398" s="557"/>
      <c r="G398" s="557"/>
      <c r="H398" s="557"/>
      <c r="I398" s="557"/>
      <c r="J398" s="557"/>
      <c r="K398" s="557"/>
      <c r="L398" s="557"/>
      <c r="M398" s="557"/>
      <c r="N398" s="557"/>
      <c r="O398" s="568"/>
      <c r="P398" s="560" t="s">
        <v>75</v>
      </c>
      <c r="Q398" s="561"/>
      <c r="R398" s="561"/>
      <c r="S398" s="561"/>
      <c r="T398" s="561"/>
      <c r="U398" s="561"/>
      <c r="V398" s="562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0</v>
      </c>
      <c r="Y398" s="547">
        <f>IFERROR(Y389/H389,"0")+IFERROR(Y390/H390,"0")+IFERROR(Y391/H391,"0")+IFERROR(Y392/H392,"0")+IFERROR(Y393/H393,"0")+IFERROR(Y394/H394,"0")+IFERROR(Y395/H395,"0")+IFERROR(Y396/H396,"0")+IFERROR(Y397/H397,"0")</f>
        <v>0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</v>
      </c>
      <c r="AA398" s="548"/>
      <c r="AB398" s="548"/>
      <c r="AC398" s="548"/>
    </row>
    <row r="399" spans="1:68" hidden="1" x14ac:dyDescent="0.2">
      <c r="A399" s="557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68"/>
      <c r="P399" s="560" t="s">
        <v>75</v>
      </c>
      <c r="Q399" s="561"/>
      <c r="R399" s="561"/>
      <c r="S399" s="561"/>
      <c r="T399" s="561"/>
      <c r="U399" s="561"/>
      <c r="V399" s="562"/>
      <c r="W399" s="37" t="s">
        <v>69</v>
      </c>
      <c r="X399" s="547">
        <f>IFERROR(SUM(X389:X397),"0")</f>
        <v>0</v>
      </c>
      <c r="Y399" s="547">
        <f>IFERROR(SUM(Y389:Y397),"0")</f>
        <v>0</v>
      </c>
      <c r="Z399" s="37"/>
      <c r="AA399" s="548"/>
      <c r="AB399" s="548"/>
      <c r="AC399" s="548"/>
    </row>
    <row r="400" spans="1:68" ht="14.25" hidden="1" customHeight="1" x14ac:dyDescent="0.25">
      <c r="A400" s="556" t="s">
        <v>77</v>
      </c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7"/>
      <c r="P400" s="557"/>
      <c r="Q400" s="557"/>
      <c r="R400" s="557"/>
      <c r="S400" s="557"/>
      <c r="T400" s="557"/>
      <c r="U400" s="557"/>
      <c r="V400" s="557"/>
      <c r="W400" s="557"/>
      <c r="X400" s="557"/>
      <c r="Y400" s="557"/>
      <c r="Z400" s="557"/>
      <c r="AA400" s="541"/>
      <c r="AB400" s="541"/>
      <c r="AC400" s="541"/>
    </row>
    <row r="401" spans="1:68" ht="27" hidden="1" customHeight="1" x14ac:dyDescent="0.25">
      <c r="A401" s="54" t="s">
        <v>631</v>
      </c>
      <c r="B401" s="54" t="s">
        <v>632</v>
      </c>
      <c r="C401" s="31">
        <v>4301051284</v>
      </c>
      <c r="D401" s="554">
        <v>4607091384352</v>
      </c>
      <c r="E401" s="555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2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0"/>
      <c r="R401" s="550"/>
      <c r="S401" s="550"/>
      <c r="T401" s="551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634</v>
      </c>
      <c r="B402" s="54" t="s">
        <v>635</v>
      </c>
      <c r="C402" s="31">
        <v>4301051431</v>
      </c>
      <c r="D402" s="554">
        <v>4607091389654</v>
      </c>
      <c r="E402" s="555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5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0"/>
      <c r="R402" s="550"/>
      <c r="S402" s="550"/>
      <c r="T402" s="551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7"/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68"/>
      <c r="P403" s="560" t="s">
        <v>75</v>
      </c>
      <c r="Q403" s="561"/>
      <c r="R403" s="561"/>
      <c r="S403" s="561"/>
      <c r="T403" s="561"/>
      <c r="U403" s="561"/>
      <c r="V403" s="562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hidden="1" x14ac:dyDescent="0.2">
      <c r="A404" s="557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68"/>
      <c r="P404" s="560" t="s">
        <v>75</v>
      </c>
      <c r="Q404" s="561"/>
      <c r="R404" s="561"/>
      <c r="S404" s="561"/>
      <c r="T404" s="561"/>
      <c r="U404" s="561"/>
      <c r="V404" s="562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hidden="1" customHeight="1" x14ac:dyDescent="0.25">
      <c r="A405" s="574" t="s">
        <v>637</v>
      </c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7"/>
      <c r="P405" s="557"/>
      <c r="Q405" s="557"/>
      <c r="R405" s="557"/>
      <c r="S405" s="557"/>
      <c r="T405" s="557"/>
      <c r="U405" s="557"/>
      <c r="V405" s="557"/>
      <c r="W405" s="557"/>
      <c r="X405" s="557"/>
      <c r="Y405" s="557"/>
      <c r="Z405" s="557"/>
      <c r="AA405" s="540"/>
      <c r="AB405" s="540"/>
      <c r="AC405" s="540"/>
    </row>
    <row r="406" spans="1:68" ht="14.25" hidden="1" customHeight="1" x14ac:dyDescent="0.25">
      <c r="A406" s="556" t="s">
        <v>138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41"/>
      <c r="AB406" s="541"/>
      <c r="AC406" s="541"/>
    </row>
    <row r="407" spans="1:68" ht="27" hidden="1" customHeight="1" x14ac:dyDescent="0.25">
      <c r="A407" s="54" t="s">
        <v>638</v>
      </c>
      <c r="B407" s="54" t="s">
        <v>639</v>
      </c>
      <c r="C407" s="31">
        <v>4301020319</v>
      </c>
      <c r="D407" s="554">
        <v>4680115885240</v>
      </c>
      <c r="E407" s="555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0"/>
      <c r="R407" s="550"/>
      <c r="S407" s="550"/>
      <c r="T407" s="551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67"/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68"/>
      <c r="P408" s="560" t="s">
        <v>75</v>
      </c>
      <c r="Q408" s="561"/>
      <c r="R408" s="561"/>
      <c r="S408" s="561"/>
      <c r="T408" s="561"/>
      <c r="U408" s="561"/>
      <c r="V408" s="562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hidden="1" x14ac:dyDescent="0.2">
      <c r="A409" s="557"/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68"/>
      <c r="P409" s="560" t="s">
        <v>75</v>
      </c>
      <c r="Q409" s="561"/>
      <c r="R409" s="561"/>
      <c r="S409" s="561"/>
      <c r="T409" s="561"/>
      <c r="U409" s="561"/>
      <c r="V409" s="562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hidden="1" customHeight="1" x14ac:dyDescent="0.25">
      <c r="A410" s="556" t="s">
        <v>64</v>
      </c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7"/>
      <c r="P410" s="557"/>
      <c r="Q410" s="557"/>
      <c r="R410" s="557"/>
      <c r="S410" s="557"/>
      <c r="T410" s="557"/>
      <c r="U410" s="557"/>
      <c r="V410" s="557"/>
      <c r="W410" s="557"/>
      <c r="X410" s="557"/>
      <c r="Y410" s="557"/>
      <c r="Z410" s="557"/>
      <c r="AA410" s="541"/>
      <c r="AB410" s="541"/>
      <c r="AC410" s="541"/>
    </row>
    <row r="411" spans="1:68" ht="27" hidden="1" customHeight="1" x14ac:dyDescent="0.25">
      <c r="A411" s="54" t="s">
        <v>641</v>
      </c>
      <c r="B411" s="54" t="s">
        <v>642</v>
      </c>
      <c r="C411" s="31">
        <v>4301031403</v>
      </c>
      <c r="D411" s="554">
        <v>4680115886094</v>
      </c>
      <c r="E411" s="555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/>
      <c r="M411" s="33" t="s">
        <v>107</v>
      </c>
      <c r="N411" s="33"/>
      <c r="O411" s="32">
        <v>50</v>
      </c>
      <c r="P411" s="6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0"/>
      <c r="R411" s="550"/>
      <c r="S411" s="550"/>
      <c r="T411" s="551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644</v>
      </c>
      <c r="B412" s="54" t="s">
        <v>645</v>
      </c>
      <c r="C412" s="31">
        <v>4301031363</v>
      </c>
      <c r="D412" s="554">
        <v>4607091389425</v>
      </c>
      <c r="E412" s="555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0"/>
      <c r="R412" s="550"/>
      <c r="S412" s="550"/>
      <c r="T412" s="551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647</v>
      </c>
      <c r="B413" s="54" t="s">
        <v>648</v>
      </c>
      <c r="C413" s="31">
        <v>4301031373</v>
      </c>
      <c r="D413" s="554">
        <v>4680115880771</v>
      </c>
      <c r="E413" s="555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650</v>
      </c>
      <c r="B414" s="54" t="s">
        <v>651</v>
      </c>
      <c r="C414" s="31">
        <v>4301031359</v>
      </c>
      <c r="D414" s="554">
        <v>4607091389500</v>
      </c>
      <c r="E414" s="555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5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67"/>
      <c r="B415" s="557"/>
      <c r="C415" s="557"/>
      <c r="D415" s="557"/>
      <c r="E415" s="557"/>
      <c r="F415" s="557"/>
      <c r="G415" s="557"/>
      <c r="H415" s="557"/>
      <c r="I415" s="557"/>
      <c r="J415" s="557"/>
      <c r="K415" s="557"/>
      <c r="L415" s="557"/>
      <c r="M415" s="557"/>
      <c r="N415" s="557"/>
      <c r="O415" s="568"/>
      <c r="P415" s="560" t="s">
        <v>75</v>
      </c>
      <c r="Q415" s="561"/>
      <c r="R415" s="561"/>
      <c r="S415" s="561"/>
      <c r="T415" s="561"/>
      <c r="U415" s="561"/>
      <c r="V415" s="562"/>
      <c r="W415" s="37" t="s">
        <v>76</v>
      </c>
      <c r="X415" s="547">
        <f>IFERROR(X411/H411,"0")+IFERROR(X412/H412,"0")+IFERROR(X413/H413,"0")+IFERROR(X414/H414,"0")</f>
        <v>0</v>
      </c>
      <c r="Y415" s="547">
        <f>IFERROR(Y411/H411,"0")+IFERROR(Y412/H412,"0")+IFERROR(Y413/H413,"0")+IFERROR(Y414/H414,"0")</f>
        <v>0</v>
      </c>
      <c r="Z415" s="547">
        <f>IFERROR(IF(Z411="",0,Z411),"0")+IFERROR(IF(Z412="",0,Z412),"0")+IFERROR(IF(Z413="",0,Z413),"0")+IFERROR(IF(Z414="",0,Z414),"0")</f>
        <v>0</v>
      </c>
      <c r="AA415" s="548"/>
      <c r="AB415" s="548"/>
      <c r="AC415" s="548"/>
    </row>
    <row r="416" spans="1:68" hidden="1" x14ac:dyDescent="0.2">
      <c r="A416" s="557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68"/>
      <c r="P416" s="560" t="s">
        <v>75</v>
      </c>
      <c r="Q416" s="561"/>
      <c r="R416" s="561"/>
      <c r="S416" s="561"/>
      <c r="T416" s="561"/>
      <c r="U416" s="561"/>
      <c r="V416" s="562"/>
      <c r="W416" s="37" t="s">
        <v>69</v>
      </c>
      <c r="X416" s="547">
        <f>IFERROR(SUM(X411:X414),"0")</f>
        <v>0</v>
      </c>
      <c r="Y416" s="547">
        <f>IFERROR(SUM(Y411:Y414),"0")</f>
        <v>0</v>
      </c>
      <c r="Z416" s="37"/>
      <c r="AA416" s="548"/>
      <c r="AB416" s="548"/>
      <c r="AC416" s="548"/>
    </row>
    <row r="417" spans="1:68" ht="16.5" hidden="1" customHeight="1" x14ac:dyDescent="0.25">
      <c r="A417" s="574" t="s">
        <v>652</v>
      </c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7"/>
      <c r="P417" s="557"/>
      <c r="Q417" s="557"/>
      <c r="R417" s="557"/>
      <c r="S417" s="557"/>
      <c r="T417" s="557"/>
      <c r="U417" s="557"/>
      <c r="V417" s="557"/>
      <c r="W417" s="557"/>
      <c r="X417" s="557"/>
      <c r="Y417" s="557"/>
      <c r="Z417" s="557"/>
      <c r="AA417" s="540"/>
      <c r="AB417" s="540"/>
      <c r="AC417" s="540"/>
    </row>
    <row r="418" spans="1:68" ht="14.25" hidden="1" customHeight="1" x14ac:dyDescent="0.25">
      <c r="A418" s="556" t="s">
        <v>64</v>
      </c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  <c r="Z418" s="557"/>
      <c r="AA418" s="541"/>
      <c r="AB418" s="541"/>
      <c r="AC418" s="541"/>
    </row>
    <row r="419" spans="1:68" ht="27" hidden="1" customHeight="1" x14ac:dyDescent="0.25">
      <c r="A419" s="54" t="s">
        <v>653</v>
      </c>
      <c r="B419" s="54" t="s">
        <v>654</v>
      </c>
      <c r="C419" s="31">
        <v>4301031347</v>
      </c>
      <c r="D419" s="554">
        <v>4680115885110</v>
      </c>
      <c r="E419" s="555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69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0"/>
      <c r="R419" s="550"/>
      <c r="S419" s="550"/>
      <c r="T419" s="551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567"/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68"/>
      <c r="P420" s="560" t="s">
        <v>75</v>
      </c>
      <c r="Q420" s="561"/>
      <c r="R420" s="561"/>
      <c r="S420" s="561"/>
      <c r="T420" s="561"/>
      <c r="U420" s="561"/>
      <c r="V420" s="562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hidden="1" x14ac:dyDescent="0.2">
      <c r="A421" s="557"/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68"/>
      <c r="P421" s="560" t="s">
        <v>75</v>
      </c>
      <c r="Q421" s="561"/>
      <c r="R421" s="561"/>
      <c r="S421" s="561"/>
      <c r="T421" s="561"/>
      <c r="U421" s="561"/>
      <c r="V421" s="562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hidden="1" customHeight="1" x14ac:dyDescent="0.2">
      <c r="A422" s="575" t="s">
        <v>656</v>
      </c>
      <c r="B422" s="576"/>
      <c r="C422" s="576"/>
      <c r="D422" s="576"/>
      <c r="E422" s="576"/>
      <c r="F422" s="576"/>
      <c r="G422" s="576"/>
      <c r="H422" s="576"/>
      <c r="I422" s="576"/>
      <c r="J422" s="576"/>
      <c r="K422" s="576"/>
      <c r="L422" s="576"/>
      <c r="M422" s="576"/>
      <c r="N422" s="576"/>
      <c r="O422" s="576"/>
      <c r="P422" s="576"/>
      <c r="Q422" s="576"/>
      <c r="R422" s="576"/>
      <c r="S422" s="576"/>
      <c r="T422" s="576"/>
      <c r="U422" s="576"/>
      <c r="V422" s="576"/>
      <c r="W422" s="576"/>
      <c r="X422" s="576"/>
      <c r="Y422" s="576"/>
      <c r="Z422" s="576"/>
      <c r="AA422" s="48"/>
      <c r="AB422" s="48"/>
      <c r="AC422" s="48"/>
    </row>
    <row r="423" spans="1:68" ht="16.5" hidden="1" customHeight="1" x14ac:dyDescent="0.25">
      <c r="A423" s="574" t="s">
        <v>656</v>
      </c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57"/>
      <c r="P423" s="557"/>
      <c r="Q423" s="557"/>
      <c r="R423" s="557"/>
      <c r="S423" s="557"/>
      <c r="T423" s="557"/>
      <c r="U423" s="557"/>
      <c r="V423" s="557"/>
      <c r="W423" s="557"/>
      <c r="X423" s="557"/>
      <c r="Y423" s="557"/>
      <c r="Z423" s="557"/>
      <c r="AA423" s="540"/>
      <c r="AB423" s="540"/>
      <c r="AC423" s="540"/>
    </row>
    <row r="424" spans="1:68" ht="14.25" hidden="1" customHeight="1" x14ac:dyDescent="0.25">
      <c r="A424" s="556" t="s">
        <v>102</v>
      </c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  <c r="Z424" s="557"/>
      <c r="AA424" s="541"/>
      <c r="AB424" s="541"/>
      <c r="AC424" s="541"/>
    </row>
    <row r="425" spans="1:68" ht="27" hidden="1" customHeight="1" x14ac:dyDescent="0.25">
      <c r="A425" s="54" t="s">
        <v>657</v>
      </c>
      <c r="B425" s="54" t="s">
        <v>658</v>
      </c>
      <c r="C425" s="31">
        <v>4301011795</v>
      </c>
      <c r="D425" s="554">
        <v>4607091389067</v>
      </c>
      <c r="E425" s="555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1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0"/>
      <c r="R425" s="550"/>
      <c r="S425" s="550"/>
      <c r="T425" s="551"/>
      <c r="U425" s="34"/>
      <c r="V425" s="34"/>
      <c r="W425" s="35" t="s">
        <v>69</v>
      </c>
      <c r="X425" s="545">
        <v>0</v>
      </c>
      <c r="Y425" s="546">
        <f t="shared" ref="Y425:Y436" si="42">IFERROR(IF(X425="",0,CEILING((X425/$H425),1)*$H425),"")</f>
        <v>0</v>
      </c>
      <c r="Z425" s="36" t="str">
        <f t="shared" ref="Z425:Z431" si="43">IFERROR(IF(Y425=0,"",ROUNDUP(Y425/H425,0)*0.01196),"")</f>
        <v/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0</v>
      </c>
      <c r="BN425" s="64">
        <f t="shared" ref="BN425:BN436" si="45">IFERROR(Y425*I425/H425,"0")</f>
        <v>0</v>
      </c>
      <c r="BO425" s="64">
        <f t="shared" ref="BO425:BO436" si="46">IFERROR(1/J425*(X425/H425),"0")</f>
        <v>0</v>
      </c>
      <c r="BP425" s="64">
        <f t="shared" ref="BP425:BP436" si="47">IFERROR(1/J425*(Y425/H425),"0")</f>
        <v>0</v>
      </c>
    </row>
    <row r="426" spans="1:68" ht="27" hidden="1" customHeight="1" x14ac:dyDescent="0.25">
      <c r="A426" s="54" t="s">
        <v>659</v>
      </c>
      <c r="B426" s="54" t="s">
        <v>660</v>
      </c>
      <c r="C426" s="31">
        <v>4301012145</v>
      </c>
      <c r="D426" s="554">
        <v>4607091383522</v>
      </c>
      <c r="E426" s="555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3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0"/>
      <c r="R426" s="550"/>
      <c r="S426" s="550"/>
      <c r="T426" s="551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659</v>
      </c>
      <c r="B427" s="54" t="s">
        <v>662</v>
      </c>
      <c r="C427" s="31">
        <v>4301012210</v>
      </c>
      <c r="D427" s="554">
        <v>4607091383522</v>
      </c>
      <c r="E427" s="555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693" t="s">
        <v>663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664</v>
      </c>
      <c r="B428" s="54" t="s">
        <v>665</v>
      </c>
      <c r="C428" s="31">
        <v>4301011961</v>
      </c>
      <c r="D428" s="554">
        <v>4680115885271</v>
      </c>
      <c r="E428" s="555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 t="s">
        <v>106</v>
      </c>
      <c r="M428" s="33" t="s">
        <v>107</v>
      </c>
      <c r="N428" s="33"/>
      <c r="O428" s="32">
        <v>60</v>
      </c>
      <c r="P428" s="6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 t="s">
        <v>109</v>
      </c>
      <c r="AK428" s="68">
        <v>42.24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54">
        <v>4680115885226</v>
      </c>
      <c r="E429" s="555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207</v>
      </c>
      <c r="Y429" s="546">
        <f t="shared" si="42"/>
        <v>211.20000000000002</v>
      </c>
      <c r="Z429" s="36">
        <f t="shared" si="43"/>
        <v>0.47839999999999999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220.72159090909091</v>
      </c>
      <c r="BN429" s="64">
        <f t="shared" si="45"/>
        <v>225.2</v>
      </c>
      <c r="BO429" s="64">
        <f t="shared" si="46"/>
        <v>0.37696678321678323</v>
      </c>
      <c r="BP429" s="64">
        <f t="shared" si="47"/>
        <v>0.38461538461538464</v>
      </c>
    </row>
    <row r="430" spans="1:68" ht="16.5" hidden="1" customHeight="1" x14ac:dyDescent="0.25">
      <c r="A430" s="54" t="s">
        <v>670</v>
      </c>
      <c r="B430" s="54" t="s">
        <v>671</v>
      </c>
      <c r="C430" s="31">
        <v>4301011774</v>
      </c>
      <c r="D430" s="554">
        <v>4680115884502</v>
      </c>
      <c r="E430" s="555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54">
        <v>4607091389104</v>
      </c>
      <c r="E431" s="555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406</v>
      </c>
      <c r="Y431" s="546">
        <f t="shared" si="42"/>
        <v>406.56</v>
      </c>
      <c r="Z431" s="36">
        <f t="shared" si="43"/>
        <v>0.92091999999999996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432.9128787878787</v>
      </c>
      <c r="BN431" s="64">
        <f t="shared" si="45"/>
        <v>433.51</v>
      </c>
      <c r="BO431" s="64">
        <f t="shared" si="46"/>
        <v>0.73936480186480191</v>
      </c>
      <c r="BP431" s="64">
        <f t="shared" si="47"/>
        <v>0.74038461538461542</v>
      </c>
    </row>
    <row r="432" spans="1:68" ht="27" hidden="1" customHeight="1" x14ac:dyDescent="0.25">
      <c r="A432" s="54" t="s">
        <v>676</v>
      </c>
      <c r="B432" s="54" t="s">
        <v>677</v>
      </c>
      <c r="C432" s="31">
        <v>4301012125</v>
      </c>
      <c r="D432" s="554">
        <v>4680115886391</v>
      </c>
      <c r="E432" s="555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hidden="1" customHeight="1" x14ac:dyDescent="0.25">
      <c r="A433" s="54" t="s">
        <v>678</v>
      </c>
      <c r="B433" s="54" t="s">
        <v>679</v>
      </c>
      <c r="C433" s="31">
        <v>4301012035</v>
      </c>
      <c r="D433" s="554">
        <v>4680115880603</v>
      </c>
      <c r="E433" s="555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>IFERROR(IF(Y433=0,"",ROUNDUP(Y433/H433,0)*0.00902),"")</f>
        <v/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hidden="1" customHeight="1" x14ac:dyDescent="0.25">
      <c r="A434" s="54" t="s">
        <v>680</v>
      </c>
      <c r="B434" s="54" t="s">
        <v>681</v>
      </c>
      <c r="C434" s="31">
        <v>4301012036</v>
      </c>
      <c r="D434" s="554">
        <v>4680115882782</v>
      </c>
      <c r="E434" s="555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6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682</v>
      </c>
      <c r="B435" s="54" t="s">
        <v>683</v>
      </c>
      <c r="C435" s="31">
        <v>4301012050</v>
      </c>
      <c r="D435" s="554">
        <v>4680115885479</v>
      </c>
      <c r="E435" s="555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hidden="1" customHeight="1" x14ac:dyDescent="0.25">
      <c r="A436" s="54" t="s">
        <v>685</v>
      </c>
      <c r="B436" s="54" t="s">
        <v>686</v>
      </c>
      <c r="C436" s="31">
        <v>4301012034</v>
      </c>
      <c r="D436" s="554">
        <v>4607091389982</v>
      </c>
      <c r="E436" s="555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6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IFERROR(IF(Y436=0,"",ROUNDUP(Y436/H436,0)*0.00902),"")</f>
        <v/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x14ac:dyDescent="0.2">
      <c r="A437" s="567"/>
      <c r="B437" s="557"/>
      <c r="C437" s="557"/>
      <c r="D437" s="557"/>
      <c r="E437" s="557"/>
      <c r="F437" s="557"/>
      <c r="G437" s="557"/>
      <c r="H437" s="557"/>
      <c r="I437" s="557"/>
      <c r="J437" s="557"/>
      <c r="K437" s="557"/>
      <c r="L437" s="557"/>
      <c r="M437" s="557"/>
      <c r="N437" s="557"/>
      <c r="O437" s="568"/>
      <c r="P437" s="560" t="s">
        <v>75</v>
      </c>
      <c r="Q437" s="561"/>
      <c r="R437" s="561"/>
      <c r="S437" s="561"/>
      <c r="T437" s="561"/>
      <c r="U437" s="561"/>
      <c r="V437" s="562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116.09848484848484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117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1.3993199999999999</v>
      </c>
      <c r="AA437" s="548"/>
      <c r="AB437" s="548"/>
      <c r="AC437" s="548"/>
    </row>
    <row r="438" spans="1:68" x14ac:dyDescent="0.2">
      <c r="A438" s="557"/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68"/>
      <c r="P438" s="560" t="s">
        <v>75</v>
      </c>
      <c r="Q438" s="561"/>
      <c r="R438" s="561"/>
      <c r="S438" s="561"/>
      <c r="T438" s="561"/>
      <c r="U438" s="561"/>
      <c r="V438" s="562"/>
      <c r="W438" s="37" t="s">
        <v>69</v>
      </c>
      <c r="X438" s="547">
        <f>IFERROR(SUM(X425:X436),"0")</f>
        <v>613</v>
      </c>
      <c r="Y438" s="547">
        <f>IFERROR(SUM(Y425:Y436),"0")</f>
        <v>617.76</v>
      </c>
      <c r="Z438" s="37"/>
      <c r="AA438" s="548"/>
      <c r="AB438" s="548"/>
      <c r="AC438" s="548"/>
    </row>
    <row r="439" spans="1:68" ht="14.25" hidden="1" customHeight="1" x14ac:dyDescent="0.25">
      <c r="A439" s="556" t="s">
        <v>138</v>
      </c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7"/>
      <c r="P439" s="557"/>
      <c r="Q439" s="557"/>
      <c r="R439" s="557"/>
      <c r="S439" s="557"/>
      <c r="T439" s="557"/>
      <c r="U439" s="557"/>
      <c r="V439" s="557"/>
      <c r="W439" s="557"/>
      <c r="X439" s="557"/>
      <c r="Y439" s="557"/>
      <c r="Z439" s="557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54">
        <v>4607091388930</v>
      </c>
      <c r="E440" s="555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5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0"/>
      <c r="R440" s="550"/>
      <c r="S440" s="550"/>
      <c r="T440" s="551"/>
      <c r="U440" s="34"/>
      <c r="V440" s="34"/>
      <c r="W440" s="35" t="s">
        <v>69</v>
      </c>
      <c r="X440" s="545">
        <v>203</v>
      </c>
      <c r="Y440" s="546">
        <f>IFERROR(IF(X440="",0,CEILING((X440/$H440),1)*$H440),"")</f>
        <v>205.92000000000002</v>
      </c>
      <c r="Z440" s="36">
        <f>IFERROR(IF(Y440=0,"",ROUNDUP(Y440/H440,0)*0.01196),"")</f>
        <v>0.46644000000000002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216.45643939393935</v>
      </c>
      <c r="BN440" s="64">
        <f>IFERROR(Y440*I440/H440,"0")</f>
        <v>219.57</v>
      </c>
      <c r="BO440" s="64">
        <f>IFERROR(1/J440*(X440/H440),"0")</f>
        <v>0.36968240093240096</v>
      </c>
      <c r="BP440" s="64">
        <f>IFERROR(1/J440*(Y440/H440),"0")</f>
        <v>0.375</v>
      </c>
    </row>
    <row r="441" spans="1:68" ht="16.5" hidden="1" customHeight="1" x14ac:dyDescent="0.25">
      <c r="A441" s="54" t="s">
        <v>690</v>
      </c>
      <c r="B441" s="54" t="s">
        <v>691</v>
      </c>
      <c r="C441" s="31">
        <v>4301020384</v>
      </c>
      <c r="D441" s="554">
        <v>4680115886407</v>
      </c>
      <c r="E441" s="555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8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0"/>
      <c r="R441" s="550"/>
      <c r="S441" s="550"/>
      <c r="T441" s="551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hidden="1" customHeight="1" x14ac:dyDescent="0.25">
      <c r="A442" s="54" t="s">
        <v>692</v>
      </c>
      <c r="B442" s="54" t="s">
        <v>693</v>
      </c>
      <c r="C442" s="31">
        <v>4301020385</v>
      </c>
      <c r="D442" s="554">
        <v>4680115880054</v>
      </c>
      <c r="E442" s="555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 t="s">
        <v>115</v>
      </c>
      <c r="M442" s="33" t="s">
        <v>107</v>
      </c>
      <c r="N442" s="33"/>
      <c r="O442" s="32">
        <v>70</v>
      </c>
      <c r="P442" s="68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 t="s">
        <v>109</v>
      </c>
      <c r="AK442" s="68">
        <v>57.6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7"/>
      <c r="B443" s="557"/>
      <c r="C443" s="557"/>
      <c r="D443" s="557"/>
      <c r="E443" s="557"/>
      <c r="F443" s="557"/>
      <c r="G443" s="557"/>
      <c r="H443" s="557"/>
      <c r="I443" s="557"/>
      <c r="J443" s="557"/>
      <c r="K443" s="557"/>
      <c r="L443" s="557"/>
      <c r="M443" s="557"/>
      <c r="N443" s="557"/>
      <c r="O443" s="568"/>
      <c r="P443" s="560" t="s">
        <v>75</v>
      </c>
      <c r="Q443" s="561"/>
      <c r="R443" s="561"/>
      <c r="S443" s="561"/>
      <c r="T443" s="561"/>
      <c r="U443" s="561"/>
      <c r="V443" s="562"/>
      <c r="W443" s="37" t="s">
        <v>76</v>
      </c>
      <c r="X443" s="547">
        <f>IFERROR(X440/H440,"0")+IFERROR(X441/H441,"0")+IFERROR(X442/H442,"0")</f>
        <v>38.446969696969695</v>
      </c>
      <c r="Y443" s="547">
        <f>IFERROR(Y440/H440,"0")+IFERROR(Y441/H441,"0")+IFERROR(Y442/H442,"0")</f>
        <v>39</v>
      </c>
      <c r="Z443" s="547">
        <f>IFERROR(IF(Z440="",0,Z440),"0")+IFERROR(IF(Z441="",0,Z441),"0")+IFERROR(IF(Z442="",0,Z442),"0")</f>
        <v>0.46644000000000002</v>
      </c>
      <c r="AA443" s="548"/>
      <c r="AB443" s="548"/>
      <c r="AC443" s="548"/>
    </row>
    <row r="444" spans="1:68" x14ac:dyDescent="0.2">
      <c r="A444" s="557"/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68"/>
      <c r="P444" s="560" t="s">
        <v>75</v>
      </c>
      <c r="Q444" s="561"/>
      <c r="R444" s="561"/>
      <c r="S444" s="561"/>
      <c r="T444" s="561"/>
      <c r="U444" s="561"/>
      <c r="V444" s="562"/>
      <c r="W444" s="37" t="s">
        <v>69</v>
      </c>
      <c r="X444" s="547">
        <f>IFERROR(SUM(X440:X442),"0")</f>
        <v>203</v>
      </c>
      <c r="Y444" s="547">
        <f>IFERROR(SUM(Y440:Y442),"0")</f>
        <v>205.92000000000002</v>
      </c>
      <c r="Z444" s="37"/>
      <c r="AA444" s="548"/>
      <c r="AB444" s="548"/>
      <c r="AC444" s="548"/>
    </row>
    <row r="445" spans="1:68" ht="14.25" hidden="1" customHeight="1" x14ac:dyDescent="0.25">
      <c r="A445" s="556" t="s">
        <v>64</v>
      </c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7"/>
      <c r="P445" s="557"/>
      <c r="Q445" s="557"/>
      <c r="R445" s="557"/>
      <c r="S445" s="557"/>
      <c r="T445" s="557"/>
      <c r="U445" s="557"/>
      <c r="V445" s="557"/>
      <c r="W445" s="557"/>
      <c r="X445" s="557"/>
      <c r="Y445" s="557"/>
      <c r="Z445" s="557"/>
      <c r="AA445" s="541"/>
      <c r="AB445" s="541"/>
      <c r="AC445" s="541"/>
    </row>
    <row r="446" spans="1:68" ht="27" hidden="1" customHeight="1" x14ac:dyDescent="0.25">
      <c r="A446" s="54" t="s">
        <v>694</v>
      </c>
      <c r="B446" s="54" t="s">
        <v>695</v>
      </c>
      <c r="C446" s="31">
        <v>4301031349</v>
      </c>
      <c r="D446" s="554">
        <v>4680115883116</v>
      </c>
      <c r="E446" s="555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5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0"/>
      <c r="R446" s="550"/>
      <c r="S446" s="550"/>
      <c r="T446" s="551"/>
      <c r="U446" s="34"/>
      <c r="V446" s="34"/>
      <c r="W446" s="35" t="s">
        <v>69</v>
      </c>
      <c r="X446" s="545">
        <v>0</v>
      </c>
      <c r="Y446" s="546">
        <f t="shared" ref="Y446:Y451" si="48">IFERROR(IF(X446="",0,CEILING((X446/$H446),1)*$H446),"")</f>
        <v>0</v>
      </c>
      <c r="Z446" s="36" t="str">
        <f>IFERROR(IF(Y446=0,"",ROUNDUP(Y446/H446,0)*0.01196),"")</f>
        <v/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0</v>
      </c>
      <c r="BN446" s="64">
        <f t="shared" ref="BN446:BN451" si="50">IFERROR(Y446*I446/H446,"0")</f>
        <v>0</v>
      </c>
      <c r="BO446" s="64">
        <f t="shared" ref="BO446:BO451" si="51">IFERROR(1/J446*(X446/H446),"0")</f>
        <v>0</v>
      </c>
      <c r="BP446" s="64">
        <f t="shared" ref="BP446:BP451" si="52">IFERROR(1/J446*(Y446/H446),"0")</f>
        <v>0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54">
        <v>4680115883093</v>
      </c>
      <c r="E447" s="555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5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0"/>
      <c r="R447" s="550"/>
      <c r="S447" s="550"/>
      <c r="T447" s="551"/>
      <c r="U447" s="34"/>
      <c r="V447" s="34"/>
      <c r="W447" s="35" t="s">
        <v>69</v>
      </c>
      <c r="X447" s="545">
        <v>59</v>
      </c>
      <c r="Y447" s="546">
        <f t="shared" si="48"/>
        <v>63.36</v>
      </c>
      <c r="Z447" s="36">
        <f>IFERROR(IF(Y447=0,"",ROUNDUP(Y447/H447,0)*0.01196),"")</f>
        <v>0.14352000000000001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62.910984848484851</v>
      </c>
      <c r="BN447" s="64">
        <f t="shared" si="50"/>
        <v>67.559999999999988</v>
      </c>
      <c r="BO447" s="64">
        <f t="shared" si="51"/>
        <v>0.1074446386946387</v>
      </c>
      <c r="BP447" s="64">
        <f t="shared" si="52"/>
        <v>0.11538461538461539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54">
        <v>4680115883109</v>
      </c>
      <c r="E448" s="555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80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169</v>
      </c>
      <c r="Y448" s="546">
        <f t="shared" si="48"/>
        <v>174.24</v>
      </c>
      <c r="Z448" s="36">
        <f>IFERROR(IF(Y448=0,"",ROUNDUP(Y448/H448,0)*0.01196),"")</f>
        <v>0.39468000000000003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180.2026515151515</v>
      </c>
      <c r="BN448" s="64">
        <f t="shared" si="50"/>
        <v>185.79</v>
      </c>
      <c r="BO448" s="64">
        <f t="shared" si="51"/>
        <v>0.30776515151515155</v>
      </c>
      <c r="BP448" s="64">
        <f t="shared" si="52"/>
        <v>0.31730769230769235</v>
      </c>
    </row>
    <row r="449" spans="1:68" ht="27" hidden="1" customHeight="1" x14ac:dyDescent="0.25">
      <c r="A449" s="54" t="s">
        <v>703</v>
      </c>
      <c r="B449" s="54" t="s">
        <v>704</v>
      </c>
      <c r="C449" s="31">
        <v>4301031419</v>
      </c>
      <c r="D449" s="554">
        <v>4680115882072</v>
      </c>
      <c r="E449" s="555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/>
      <c r="M449" s="33" t="s">
        <v>107</v>
      </c>
      <c r="N449" s="33"/>
      <c r="O449" s="32">
        <v>70</v>
      </c>
      <c r="P449" s="82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hidden="1" customHeight="1" x14ac:dyDescent="0.25">
      <c r="A450" s="54" t="s">
        <v>705</v>
      </c>
      <c r="B450" s="54" t="s">
        <v>706</v>
      </c>
      <c r="C450" s="31">
        <v>4301031418</v>
      </c>
      <c r="D450" s="554">
        <v>4680115882102</v>
      </c>
      <c r="E450" s="555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/>
      <c r="M450" s="33" t="s">
        <v>68</v>
      </c>
      <c r="N450" s="33"/>
      <c r="O450" s="32">
        <v>70</v>
      </c>
      <c r="P450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hidden="1" customHeight="1" x14ac:dyDescent="0.25">
      <c r="A451" s="54" t="s">
        <v>707</v>
      </c>
      <c r="B451" s="54" t="s">
        <v>708</v>
      </c>
      <c r="C451" s="31">
        <v>4301031417</v>
      </c>
      <c r="D451" s="554">
        <v>4680115882096</v>
      </c>
      <c r="E451" s="555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/>
      <c r="M451" s="33" t="s">
        <v>68</v>
      </c>
      <c r="N451" s="33"/>
      <c r="O451" s="32">
        <v>70</v>
      </c>
      <c r="P451" s="72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67"/>
      <c r="B452" s="557"/>
      <c r="C452" s="557"/>
      <c r="D452" s="557"/>
      <c r="E452" s="557"/>
      <c r="F452" s="557"/>
      <c r="G452" s="557"/>
      <c r="H452" s="557"/>
      <c r="I452" s="557"/>
      <c r="J452" s="557"/>
      <c r="K452" s="557"/>
      <c r="L452" s="557"/>
      <c r="M452" s="557"/>
      <c r="N452" s="557"/>
      <c r="O452" s="568"/>
      <c r="P452" s="560" t="s">
        <v>75</v>
      </c>
      <c r="Q452" s="561"/>
      <c r="R452" s="561"/>
      <c r="S452" s="561"/>
      <c r="T452" s="561"/>
      <c r="U452" s="561"/>
      <c r="V452" s="562"/>
      <c r="W452" s="37" t="s">
        <v>76</v>
      </c>
      <c r="X452" s="547">
        <f>IFERROR(X446/H446,"0")+IFERROR(X447/H447,"0")+IFERROR(X448/H448,"0")+IFERROR(X449/H449,"0")+IFERROR(X450/H450,"0")+IFERROR(X451/H451,"0")</f>
        <v>43.18181818181818</v>
      </c>
      <c r="Y452" s="547">
        <f>IFERROR(Y446/H446,"0")+IFERROR(Y447/H447,"0")+IFERROR(Y448/H448,"0")+IFERROR(Y449/H449,"0")+IFERROR(Y450/H450,"0")+IFERROR(Y451/H451,"0")</f>
        <v>45</v>
      </c>
      <c r="Z452" s="547">
        <f>IFERROR(IF(Z446="",0,Z446),"0")+IFERROR(IF(Z447="",0,Z447),"0")+IFERROR(IF(Z448="",0,Z448),"0")+IFERROR(IF(Z449="",0,Z449),"0")+IFERROR(IF(Z450="",0,Z450),"0")+IFERROR(IF(Z451="",0,Z451),"0")</f>
        <v>0.53820000000000001</v>
      </c>
      <c r="AA452" s="548"/>
      <c r="AB452" s="548"/>
      <c r="AC452" s="548"/>
    </row>
    <row r="453" spans="1:68" x14ac:dyDescent="0.2">
      <c r="A453" s="557"/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68"/>
      <c r="P453" s="560" t="s">
        <v>75</v>
      </c>
      <c r="Q453" s="561"/>
      <c r="R453" s="561"/>
      <c r="S453" s="561"/>
      <c r="T453" s="561"/>
      <c r="U453" s="561"/>
      <c r="V453" s="562"/>
      <c r="W453" s="37" t="s">
        <v>69</v>
      </c>
      <c r="X453" s="547">
        <f>IFERROR(SUM(X446:X451),"0")</f>
        <v>228</v>
      </c>
      <c r="Y453" s="547">
        <f>IFERROR(SUM(Y446:Y451),"0")</f>
        <v>237.60000000000002</v>
      </c>
      <c r="Z453" s="37"/>
      <c r="AA453" s="548"/>
      <c r="AB453" s="548"/>
      <c r="AC453" s="548"/>
    </row>
    <row r="454" spans="1:68" ht="14.25" hidden="1" customHeight="1" x14ac:dyDescent="0.25">
      <c r="A454" s="556" t="s">
        <v>77</v>
      </c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7"/>
      <c r="P454" s="557"/>
      <c r="Q454" s="557"/>
      <c r="R454" s="557"/>
      <c r="S454" s="557"/>
      <c r="T454" s="557"/>
      <c r="U454" s="557"/>
      <c r="V454" s="557"/>
      <c r="W454" s="557"/>
      <c r="X454" s="557"/>
      <c r="Y454" s="557"/>
      <c r="Z454" s="557"/>
      <c r="AA454" s="541"/>
      <c r="AB454" s="541"/>
      <c r="AC454" s="541"/>
    </row>
    <row r="455" spans="1:68" ht="27" hidden="1" customHeight="1" x14ac:dyDescent="0.25">
      <c r="A455" s="54" t="s">
        <v>709</v>
      </c>
      <c r="B455" s="54" t="s">
        <v>710</v>
      </c>
      <c r="C455" s="31">
        <v>4301051064</v>
      </c>
      <c r="D455" s="554">
        <v>4680115883536</v>
      </c>
      <c r="E455" s="555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0"/>
      <c r="R455" s="550"/>
      <c r="S455" s="550"/>
      <c r="T455" s="551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567"/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68"/>
      <c r="P456" s="560" t="s">
        <v>75</v>
      </c>
      <c r="Q456" s="561"/>
      <c r="R456" s="561"/>
      <c r="S456" s="561"/>
      <c r="T456" s="561"/>
      <c r="U456" s="561"/>
      <c r="V456" s="562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hidden="1" x14ac:dyDescent="0.2">
      <c r="A457" s="557"/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68"/>
      <c r="P457" s="560" t="s">
        <v>75</v>
      </c>
      <c r="Q457" s="561"/>
      <c r="R457" s="561"/>
      <c r="S457" s="561"/>
      <c r="T457" s="561"/>
      <c r="U457" s="561"/>
      <c r="V457" s="562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hidden="1" customHeight="1" x14ac:dyDescent="0.2">
      <c r="A458" s="575" t="s">
        <v>712</v>
      </c>
      <c r="B458" s="576"/>
      <c r="C458" s="576"/>
      <c r="D458" s="576"/>
      <c r="E458" s="576"/>
      <c r="F458" s="576"/>
      <c r="G458" s="576"/>
      <c r="H458" s="576"/>
      <c r="I458" s="576"/>
      <c r="J458" s="576"/>
      <c r="K458" s="576"/>
      <c r="L458" s="576"/>
      <c r="M458" s="576"/>
      <c r="N458" s="576"/>
      <c r="O458" s="576"/>
      <c r="P458" s="576"/>
      <c r="Q458" s="576"/>
      <c r="R458" s="576"/>
      <c r="S458" s="576"/>
      <c r="T458" s="576"/>
      <c r="U458" s="576"/>
      <c r="V458" s="576"/>
      <c r="W458" s="576"/>
      <c r="X458" s="576"/>
      <c r="Y458" s="576"/>
      <c r="Z458" s="576"/>
      <c r="AA458" s="48"/>
      <c r="AB458" s="48"/>
      <c r="AC458" s="48"/>
    </row>
    <row r="459" spans="1:68" ht="16.5" hidden="1" customHeight="1" x14ac:dyDescent="0.25">
      <c r="A459" s="574" t="s">
        <v>712</v>
      </c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57"/>
      <c r="P459" s="557"/>
      <c r="Q459" s="557"/>
      <c r="R459" s="557"/>
      <c r="S459" s="557"/>
      <c r="T459" s="557"/>
      <c r="U459" s="557"/>
      <c r="V459" s="557"/>
      <c r="W459" s="557"/>
      <c r="X459" s="557"/>
      <c r="Y459" s="557"/>
      <c r="Z459" s="557"/>
      <c r="AA459" s="540"/>
      <c r="AB459" s="540"/>
      <c r="AC459" s="540"/>
    </row>
    <row r="460" spans="1:68" ht="14.25" hidden="1" customHeight="1" x14ac:dyDescent="0.25">
      <c r="A460" s="556" t="s">
        <v>102</v>
      </c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  <c r="Z460" s="557"/>
      <c r="AA460" s="541"/>
      <c r="AB460" s="541"/>
      <c r="AC460" s="541"/>
    </row>
    <row r="461" spans="1:68" ht="27" hidden="1" customHeight="1" x14ac:dyDescent="0.25">
      <c r="A461" s="54" t="s">
        <v>713</v>
      </c>
      <c r="B461" s="54" t="s">
        <v>714</v>
      </c>
      <c r="C461" s="31">
        <v>4301011763</v>
      </c>
      <c r="D461" s="554">
        <v>4640242181011</v>
      </c>
      <c r="E461" s="555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9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716</v>
      </c>
      <c r="B462" s="54" t="s">
        <v>717</v>
      </c>
      <c r="C462" s="31">
        <v>4301011585</v>
      </c>
      <c r="D462" s="554">
        <v>4640242180441</v>
      </c>
      <c r="E462" s="555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8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719</v>
      </c>
      <c r="B463" s="54" t="s">
        <v>720</v>
      </c>
      <c r="C463" s="31">
        <v>4301011584</v>
      </c>
      <c r="D463" s="554">
        <v>4640242180564</v>
      </c>
      <c r="E463" s="555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/>
      <c r="M463" s="33" t="s">
        <v>107</v>
      </c>
      <c r="N463" s="33"/>
      <c r="O463" s="32">
        <v>50</v>
      </c>
      <c r="P463" s="81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0"/>
      <c r="R463" s="550"/>
      <c r="S463" s="550"/>
      <c r="T463" s="551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722</v>
      </c>
      <c r="B464" s="54" t="s">
        <v>723</v>
      </c>
      <c r="C464" s="31">
        <v>4301011764</v>
      </c>
      <c r="D464" s="554">
        <v>4640242181189</v>
      </c>
      <c r="E464" s="555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4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0"/>
      <c r="R464" s="550"/>
      <c r="S464" s="550"/>
      <c r="T464" s="551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567"/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68"/>
      <c r="P465" s="560" t="s">
        <v>75</v>
      </c>
      <c r="Q465" s="561"/>
      <c r="R465" s="561"/>
      <c r="S465" s="561"/>
      <c r="T465" s="561"/>
      <c r="U465" s="561"/>
      <c r="V465" s="562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hidden="1" x14ac:dyDescent="0.2">
      <c r="A466" s="557"/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68"/>
      <c r="P466" s="560" t="s">
        <v>75</v>
      </c>
      <c r="Q466" s="561"/>
      <c r="R466" s="561"/>
      <c r="S466" s="561"/>
      <c r="T466" s="561"/>
      <c r="U466" s="561"/>
      <c r="V466" s="562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hidden="1" customHeight="1" x14ac:dyDescent="0.25">
      <c r="A467" s="556" t="s">
        <v>138</v>
      </c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7"/>
      <c r="P467" s="557"/>
      <c r="Q467" s="557"/>
      <c r="R467" s="557"/>
      <c r="S467" s="557"/>
      <c r="T467" s="557"/>
      <c r="U467" s="557"/>
      <c r="V467" s="557"/>
      <c r="W467" s="557"/>
      <c r="X467" s="557"/>
      <c r="Y467" s="557"/>
      <c r="Z467" s="557"/>
      <c r="AA467" s="541"/>
      <c r="AB467" s="541"/>
      <c r="AC467" s="541"/>
    </row>
    <row r="468" spans="1:68" ht="27" hidden="1" customHeight="1" x14ac:dyDescent="0.25">
      <c r="A468" s="54" t="s">
        <v>724</v>
      </c>
      <c r="B468" s="54" t="s">
        <v>725</v>
      </c>
      <c r="C468" s="31">
        <v>4301020400</v>
      </c>
      <c r="D468" s="554">
        <v>4640242180519</v>
      </c>
      <c r="E468" s="555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3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0"/>
      <c r="R468" s="550"/>
      <c r="S468" s="550"/>
      <c r="T468" s="551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727</v>
      </c>
      <c r="B469" s="54" t="s">
        <v>728</v>
      </c>
      <c r="C469" s="31">
        <v>4301020260</v>
      </c>
      <c r="D469" s="554">
        <v>4640242180526</v>
      </c>
      <c r="E469" s="555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5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0"/>
      <c r="R469" s="550"/>
      <c r="S469" s="550"/>
      <c r="T469" s="551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67"/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68"/>
      <c r="P470" s="560" t="s">
        <v>75</v>
      </c>
      <c r="Q470" s="561"/>
      <c r="R470" s="561"/>
      <c r="S470" s="561"/>
      <c r="T470" s="561"/>
      <c r="U470" s="561"/>
      <c r="V470" s="562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7"/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68"/>
      <c r="P471" s="560" t="s">
        <v>75</v>
      </c>
      <c r="Q471" s="561"/>
      <c r="R471" s="561"/>
      <c r="S471" s="561"/>
      <c r="T471" s="561"/>
      <c r="U471" s="561"/>
      <c r="V471" s="562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6" t="s">
        <v>64</v>
      </c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7"/>
      <c r="P472" s="557"/>
      <c r="Q472" s="557"/>
      <c r="R472" s="557"/>
      <c r="S472" s="557"/>
      <c r="T472" s="557"/>
      <c r="U472" s="557"/>
      <c r="V472" s="557"/>
      <c r="W472" s="557"/>
      <c r="X472" s="557"/>
      <c r="Y472" s="557"/>
      <c r="Z472" s="557"/>
      <c r="AA472" s="541"/>
      <c r="AB472" s="541"/>
      <c r="AC472" s="541"/>
    </row>
    <row r="473" spans="1:68" ht="27" hidden="1" customHeight="1" x14ac:dyDescent="0.25">
      <c r="A473" s="54" t="s">
        <v>730</v>
      </c>
      <c r="B473" s="54" t="s">
        <v>731</v>
      </c>
      <c r="C473" s="31">
        <v>4301031280</v>
      </c>
      <c r="D473" s="554">
        <v>4640242180816</v>
      </c>
      <c r="E473" s="555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 t="s">
        <v>115</v>
      </c>
      <c r="M473" s="33" t="s">
        <v>68</v>
      </c>
      <c r="N473" s="33"/>
      <c r="O473" s="32">
        <v>40</v>
      </c>
      <c r="P473" s="59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 t="s">
        <v>109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733</v>
      </c>
      <c r="B474" s="54" t="s">
        <v>734</v>
      </c>
      <c r="C474" s="31">
        <v>4301031244</v>
      </c>
      <c r="D474" s="554">
        <v>4640242180595</v>
      </c>
      <c r="E474" s="555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 t="s">
        <v>115</v>
      </c>
      <c r="M474" s="33" t="s">
        <v>68</v>
      </c>
      <c r="N474" s="33"/>
      <c r="O474" s="32">
        <v>40</v>
      </c>
      <c r="P474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0"/>
      <c r="R474" s="550"/>
      <c r="S474" s="550"/>
      <c r="T474" s="551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 t="s">
        <v>109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67"/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68"/>
      <c r="P475" s="560" t="s">
        <v>75</v>
      </c>
      <c r="Q475" s="561"/>
      <c r="R475" s="561"/>
      <c r="S475" s="561"/>
      <c r="T475" s="561"/>
      <c r="U475" s="561"/>
      <c r="V475" s="562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hidden="1" x14ac:dyDescent="0.2">
      <c r="A476" s="557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68"/>
      <c r="P476" s="560" t="s">
        <v>75</v>
      </c>
      <c r="Q476" s="561"/>
      <c r="R476" s="561"/>
      <c r="S476" s="561"/>
      <c r="T476" s="561"/>
      <c r="U476" s="561"/>
      <c r="V476" s="562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hidden="1" customHeight="1" x14ac:dyDescent="0.25">
      <c r="A477" s="556" t="s">
        <v>77</v>
      </c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7"/>
      <c r="P477" s="557"/>
      <c r="Q477" s="557"/>
      <c r="R477" s="557"/>
      <c r="S477" s="557"/>
      <c r="T477" s="557"/>
      <c r="U477" s="557"/>
      <c r="V477" s="557"/>
      <c r="W477" s="557"/>
      <c r="X477" s="557"/>
      <c r="Y477" s="557"/>
      <c r="Z477" s="557"/>
      <c r="AA477" s="541"/>
      <c r="AB477" s="541"/>
      <c r="AC477" s="541"/>
    </row>
    <row r="478" spans="1:68" ht="27" hidden="1" customHeight="1" x14ac:dyDescent="0.25">
      <c r="A478" s="54" t="s">
        <v>736</v>
      </c>
      <c r="B478" s="54" t="s">
        <v>737</v>
      </c>
      <c r="C478" s="31">
        <v>4301052046</v>
      </c>
      <c r="D478" s="554">
        <v>4640242180533</v>
      </c>
      <c r="E478" s="555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/>
      <c r="M478" s="33" t="s">
        <v>87</v>
      </c>
      <c r="N478" s="33"/>
      <c r="O478" s="32">
        <v>45</v>
      </c>
      <c r="P478" s="8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0"/>
      <c r="R478" s="550"/>
      <c r="S478" s="550"/>
      <c r="T478" s="551"/>
      <c r="U478" s="34"/>
      <c r="V478" s="34"/>
      <c r="W478" s="35" t="s">
        <v>69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738</v>
      </c>
      <c r="AG478" s="64"/>
      <c r="AJ478" s="68"/>
      <c r="AK478" s="68">
        <v>0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7"/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68"/>
      <c r="P479" s="560" t="s">
        <v>75</v>
      </c>
      <c r="Q479" s="561"/>
      <c r="R479" s="561"/>
      <c r="S479" s="561"/>
      <c r="T479" s="561"/>
      <c r="U479" s="561"/>
      <c r="V479" s="562"/>
      <c r="W479" s="37" t="s">
        <v>76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hidden="1" x14ac:dyDescent="0.2">
      <c r="A480" s="557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68"/>
      <c r="P480" s="560" t="s">
        <v>75</v>
      </c>
      <c r="Q480" s="561"/>
      <c r="R480" s="561"/>
      <c r="S480" s="561"/>
      <c r="T480" s="561"/>
      <c r="U480" s="561"/>
      <c r="V480" s="562"/>
      <c r="W480" s="37" t="s">
        <v>69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hidden="1" customHeight="1" x14ac:dyDescent="0.25">
      <c r="A481" s="556" t="s">
        <v>166</v>
      </c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7"/>
      <c r="P481" s="557"/>
      <c r="Q481" s="557"/>
      <c r="R481" s="557"/>
      <c r="S481" s="557"/>
      <c r="T481" s="557"/>
      <c r="U481" s="557"/>
      <c r="V481" s="557"/>
      <c r="W481" s="557"/>
      <c r="X481" s="557"/>
      <c r="Y481" s="557"/>
      <c r="Z481" s="557"/>
      <c r="AA481" s="541"/>
      <c r="AB481" s="541"/>
      <c r="AC481" s="541"/>
    </row>
    <row r="482" spans="1:68" ht="27" hidden="1" customHeight="1" x14ac:dyDescent="0.25">
      <c r="A482" s="54" t="s">
        <v>739</v>
      </c>
      <c r="B482" s="54" t="s">
        <v>740</v>
      </c>
      <c r="C482" s="31">
        <v>4301060491</v>
      </c>
      <c r="D482" s="554">
        <v>4640242180120</v>
      </c>
      <c r="E482" s="555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59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742</v>
      </c>
      <c r="B483" s="54" t="s">
        <v>743</v>
      </c>
      <c r="C483" s="31">
        <v>4301060493</v>
      </c>
      <c r="D483" s="554">
        <v>4640242180137</v>
      </c>
      <c r="E483" s="555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79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0"/>
      <c r="R483" s="550"/>
      <c r="S483" s="550"/>
      <c r="T483" s="551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67"/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68"/>
      <c r="P484" s="560" t="s">
        <v>75</v>
      </c>
      <c r="Q484" s="561"/>
      <c r="R484" s="561"/>
      <c r="S484" s="561"/>
      <c r="T484" s="561"/>
      <c r="U484" s="561"/>
      <c r="V484" s="562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7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68"/>
      <c r="P485" s="560" t="s">
        <v>75</v>
      </c>
      <c r="Q485" s="561"/>
      <c r="R485" s="561"/>
      <c r="S485" s="561"/>
      <c r="T485" s="561"/>
      <c r="U485" s="561"/>
      <c r="V485" s="562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74" t="s">
        <v>745</v>
      </c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  <c r="Z486" s="557"/>
      <c r="AA486" s="540"/>
      <c r="AB486" s="540"/>
      <c r="AC486" s="540"/>
    </row>
    <row r="487" spans="1:68" ht="14.25" hidden="1" customHeight="1" x14ac:dyDescent="0.25">
      <c r="A487" s="556" t="s">
        <v>138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1"/>
      <c r="AB487" s="541"/>
      <c r="AC487" s="541"/>
    </row>
    <row r="488" spans="1:68" ht="27" hidden="1" customHeight="1" x14ac:dyDescent="0.25">
      <c r="A488" s="54" t="s">
        <v>746</v>
      </c>
      <c r="B488" s="54" t="s">
        <v>747</v>
      </c>
      <c r="C488" s="31">
        <v>4301020314</v>
      </c>
      <c r="D488" s="554">
        <v>4640242180090</v>
      </c>
      <c r="E488" s="555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0"/>
      <c r="R488" s="550"/>
      <c r="S488" s="550"/>
      <c r="T488" s="551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6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68"/>
      <c r="P489" s="560" t="s">
        <v>75</v>
      </c>
      <c r="Q489" s="561"/>
      <c r="R489" s="561"/>
      <c r="S489" s="561"/>
      <c r="T489" s="561"/>
      <c r="U489" s="561"/>
      <c r="V489" s="562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7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8"/>
      <c r="P490" s="560" t="s">
        <v>75</v>
      </c>
      <c r="Q490" s="561"/>
      <c r="R490" s="561"/>
      <c r="S490" s="561"/>
      <c r="T490" s="561"/>
      <c r="U490" s="561"/>
      <c r="V490" s="562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6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706"/>
      <c r="P491" s="654" t="s">
        <v>749</v>
      </c>
      <c r="Q491" s="655"/>
      <c r="R491" s="655"/>
      <c r="S491" s="655"/>
      <c r="T491" s="655"/>
      <c r="U491" s="655"/>
      <c r="V491" s="656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4210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4294.9800000000005</v>
      </c>
      <c r="Z491" s="37"/>
      <c r="AA491" s="548"/>
      <c r="AB491" s="548"/>
      <c r="AC491" s="548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06"/>
      <c r="P492" s="654" t="s">
        <v>750</v>
      </c>
      <c r="Q492" s="655"/>
      <c r="R492" s="655"/>
      <c r="S492" s="655"/>
      <c r="T492" s="655"/>
      <c r="U492" s="655"/>
      <c r="V492" s="656"/>
      <c r="W492" s="37" t="s">
        <v>69</v>
      </c>
      <c r="X492" s="547">
        <f>IFERROR(SUM(BM22:BM488),"0")</f>
        <v>4390.9778520405434</v>
      </c>
      <c r="Y492" s="547">
        <f>IFERROR(SUM(BN22:BN488),"0")</f>
        <v>4479.5700000000006</v>
      </c>
      <c r="Z492" s="37"/>
      <c r="AA492" s="548"/>
      <c r="AB492" s="548"/>
      <c r="AC492" s="548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06"/>
      <c r="P493" s="654" t="s">
        <v>751</v>
      </c>
      <c r="Q493" s="655"/>
      <c r="R493" s="655"/>
      <c r="S493" s="655"/>
      <c r="T493" s="655"/>
      <c r="U493" s="655"/>
      <c r="V493" s="656"/>
      <c r="W493" s="37" t="s">
        <v>752</v>
      </c>
      <c r="X493" s="38">
        <f>ROUNDUP(SUM(BO22:BO488),0)</f>
        <v>7</v>
      </c>
      <c r="Y493" s="38">
        <f>ROUNDUP(SUM(BP22:BP488),0)</f>
        <v>7</v>
      </c>
      <c r="Z493" s="37"/>
      <c r="AA493" s="548"/>
      <c r="AB493" s="548"/>
      <c r="AC493" s="548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06"/>
      <c r="P494" s="654" t="s">
        <v>753</v>
      </c>
      <c r="Q494" s="655"/>
      <c r="R494" s="655"/>
      <c r="S494" s="655"/>
      <c r="T494" s="655"/>
      <c r="U494" s="655"/>
      <c r="V494" s="656"/>
      <c r="W494" s="37" t="s">
        <v>69</v>
      </c>
      <c r="X494" s="547">
        <f>GrossWeightTotal+PalletQtyTotal*25</f>
        <v>4565.9778520405434</v>
      </c>
      <c r="Y494" s="547">
        <f>GrossWeightTotalR+PalletQtyTotalR*25</f>
        <v>4654.5700000000006</v>
      </c>
      <c r="Z494" s="37"/>
      <c r="AA494" s="548"/>
      <c r="AB494" s="548"/>
      <c r="AC494" s="548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06"/>
      <c r="P495" s="654" t="s">
        <v>754</v>
      </c>
      <c r="Q495" s="655"/>
      <c r="R495" s="655"/>
      <c r="S495" s="655"/>
      <c r="T495" s="655"/>
      <c r="U495" s="655"/>
      <c r="V495" s="656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480.3449624758448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490</v>
      </c>
      <c r="Z495" s="37"/>
      <c r="AA495" s="548"/>
      <c r="AB495" s="548"/>
      <c r="AC495" s="548"/>
    </row>
    <row r="496" spans="1:68" ht="14.25" hidden="1" customHeight="1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06"/>
      <c r="P496" s="654" t="s">
        <v>755</v>
      </c>
      <c r="Q496" s="655"/>
      <c r="R496" s="655"/>
      <c r="S496" s="655"/>
      <c r="T496" s="655"/>
      <c r="U496" s="655"/>
      <c r="V496" s="656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7.5950199999999999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0" t="s">
        <v>100</v>
      </c>
      <c r="D498" s="571"/>
      <c r="E498" s="571"/>
      <c r="F498" s="571"/>
      <c r="G498" s="571"/>
      <c r="H498" s="572"/>
      <c r="I498" s="570" t="s">
        <v>267</v>
      </c>
      <c r="J498" s="571"/>
      <c r="K498" s="571"/>
      <c r="L498" s="571"/>
      <c r="M498" s="571"/>
      <c r="N498" s="571"/>
      <c r="O498" s="571"/>
      <c r="P498" s="571"/>
      <c r="Q498" s="571"/>
      <c r="R498" s="572"/>
      <c r="S498" s="570" t="s">
        <v>551</v>
      </c>
      <c r="T498" s="572"/>
      <c r="U498" s="570" t="s">
        <v>605</v>
      </c>
      <c r="V498" s="571"/>
      <c r="W498" s="572"/>
      <c r="X498" s="542" t="s">
        <v>656</v>
      </c>
      <c r="Y498" s="570" t="s">
        <v>712</v>
      </c>
      <c r="Z498" s="572"/>
      <c r="AB498" s="52"/>
      <c r="AC498" s="52"/>
      <c r="AF498" s="543"/>
    </row>
    <row r="499" spans="1:32" ht="14.25" customHeight="1" thickTop="1" x14ac:dyDescent="0.2">
      <c r="A499" s="857" t="s">
        <v>758</v>
      </c>
      <c r="B499" s="570" t="s">
        <v>63</v>
      </c>
      <c r="C499" s="570" t="s">
        <v>101</v>
      </c>
      <c r="D499" s="570" t="s">
        <v>119</v>
      </c>
      <c r="E499" s="570" t="s">
        <v>173</v>
      </c>
      <c r="F499" s="570" t="s">
        <v>197</v>
      </c>
      <c r="G499" s="570" t="s">
        <v>237</v>
      </c>
      <c r="H499" s="570" t="s">
        <v>100</v>
      </c>
      <c r="I499" s="570" t="s">
        <v>268</v>
      </c>
      <c r="J499" s="570" t="s">
        <v>321</v>
      </c>
      <c r="K499" s="570" t="s">
        <v>380</v>
      </c>
      <c r="L499" s="570" t="s">
        <v>420</v>
      </c>
      <c r="M499" s="570" t="s">
        <v>436</v>
      </c>
      <c r="N499" s="543"/>
      <c r="O499" s="570" t="s">
        <v>447</v>
      </c>
      <c r="P499" s="570" t="s">
        <v>456</v>
      </c>
      <c r="Q499" s="570" t="s">
        <v>469</v>
      </c>
      <c r="R499" s="570" t="s">
        <v>541</v>
      </c>
      <c r="S499" s="570" t="s">
        <v>552</v>
      </c>
      <c r="T499" s="570" t="s">
        <v>587</v>
      </c>
      <c r="U499" s="570" t="s">
        <v>606</v>
      </c>
      <c r="V499" s="570" t="s">
        <v>637</v>
      </c>
      <c r="W499" s="570" t="s">
        <v>652</v>
      </c>
      <c r="X499" s="570" t="s">
        <v>656</v>
      </c>
      <c r="Y499" s="570" t="s">
        <v>712</v>
      </c>
      <c r="Z499" s="570" t="s">
        <v>745</v>
      </c>
      <c r="AB499" s="52"/>
      <c r="AC499" s="52"/>
      <c r="AF499" s="543"/>
    </row>
    <row r="500" spans="1:32" ht="13.5" customHeight="1" thickBot="1" x14ac:dyDescent="0.25">
      <c r="A500" s="858"/>
      <c r="B500" s="590"/>
      <c r="C500" s="590"/>
      <c r="D500" s="590"/>
      <c r="E500" s="590"/>
      <c r="F500" s="590"/>
      <c r="G500" s="590"/>
      <c r="H500" s="590"/>
      <c r="I500" s="590"/>
      <c r="J500" s="590"/>
      <c r="K500" s="590"/>
      <c r="L500" s="590"/>
      <c r="M500" s="590"/>
      <c r="N500" s="543"/>
      <c r="O500" s="590"/>
      <c r="P500" s="590"/>
      <c r="Q500" s="590"/>
      <c r="R500" s="590"/>
      <c r="S500" s="590"/>
      <c r="T500" s="590"/>
      <c r="U500" s="590"/>
      <c r="V500" s="590"/>
      <c r="W500" s="590"/>
      <c r="X500" s="590"/>
      <c r="Y500" s="590"/>
      <c r="Z500" s="590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339.70000000000005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372</v>
      </c>
      <c r="E501" s="46">
        <f>IFERROR(Y86*1,"0")+IFERROR(Y87*1,"0")+IFERROR(Y88*1,"0")+IFERROR(Y89*1,"0")+IFERROR(Y93*1,"0")+IFERROR(Y94*1,"0")+IFERROR(Y95*1,"0")+IFERROR(Y96*1,"0")</f>
        <v>205.20000000000002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303.60000000000002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0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18.2</v>
      </c>
      <c r="R501" s="46">
        <f>IFERROR(Y338*1,"0")+IFERROR(Y339*1,"0")+IFERROR(Y340*1,"0")</f>
        <v>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1995</v>
      </c>
      <c r="T501" s="46">
        <f>IFERROR(Y371*1,"0")+IFERROR(Y372*1,"0")+IFERROR(Y376*1,"0")+IFERROR(Y377*1,"0")+IFERROR(Y381*1,"0")+IFERROR(Y382*1,"0")+IFERROR(Y383*1,"0")</f>
        <v>0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0</v>
      </c>
      <c r="V501" s="46">
        <f>IFERROR(Y407*1,"0")+IFERROR(Y411*1,"0")+IFERROR(Y412*1,"0")+IFERROR(Y413*1,"0")+IFERROR(Y414*1,"0")</f>
        <v>0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1061.2800000000002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0</v>
      </c>
      <c r="Z501" s="46">
        <f>IFERROR(Y488*1,"0")</f>
        <v>0</v>
      </c>
      <c r="AB501" s="52"/>
      <c r="AC501" s="52"/>
      <c r="AF501" s="543"/>
    </row>
  </sheetData>
  <sheetProtection algorithmName="SHA-512" hashValue="it5wKBCYpYRstziIoKkkREoYsze+/FMrz3BUx/tCa2AhL7pJxZUw6jel+QovIzobVBCno7zJ7QRoTJsLem9E9g==" saltValue="Bj2am83l1F2rppp8tNP/eQ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75,00"/>
        <filter val="10,00"/>
        <filter val="10,74"/>
        <filter val="109,00"/>
        <filter val="116,00"/>
        <filter val="116,10"/>
        <filter val="169,00"/>
        <filter val="18,43"/>
        <filter val="199,00"/>
        <filter val="203,00"/>
        <filter val="207,00"/>
        <filter val="22,08"/>
        <filter val="22,59"/>
        <filter val="228,00"/>
        <filter val="241,00"/>
        <filter val="244,00"/>
        <filter val="284,00"/>
        <filter val="3,92"/>
        <filter val="30,72"/>
        <filter val="332,00"/>
        <filter val="38,45"/>
        <filter val="39,27"/>
        <filter val="4 210,00"/>
        <filter val="4 390,98"/>
        <filter val="4 565,98"/>
        <filter val="4,00"/>
        <filter val="406,00"/>
        <filter val="43,18"/>
        <filter val="442,00"/>
        <filter val="45,87"/>
        <filter val="48,00"/>
        <filter val="480,34"/>
        <filter val="501,00"/>
        <filter val="53,00"/>
        <filter val="55,00"/>
        <filter val="59,00"/>
        <filter val="613,00"/>
        <filter val="688,00"/>
        <filter val="7"/>
        <filter val="77,00"/>
        <filter val="8,00"/>
        <filter val="85,00"/>
      </filters>
    </filterColumn>
    <filterColumn colId="29" showButton="0"/>
    <filterColumn colId="30" showButton="0"/>
  </autoFilter>
  <mergeCells count="878"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127:Z127"/>
    <mergeCell ref="P239:V239"/>
    <mergeCell ref="A257:Z257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P374:V374"/>
    <mergeCell ref="A481:Z481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D133:E133"/>
    <mergeCell ref="P447:T447"/>
    <mergeCell ref="D331:E331"/>
    <mergeCell ref="P163:V163"/>
    <mergeCell ref="D268:E268"/>
    <mergeCell ref="P151:T151"/>
    <mergeCell ref="D395:E395"/>
    <mergeCell ref="P421:V421"/>
    <mergeCell ref="D434:E434"/>
    <mergeCell ref="P306:T306"/>
    <mergeCell ref="P261:T261"/>
    <mergeCell ref="P308:V308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433:T433"/>
    <mergeCell ref="D276:E276"/>
    <mergeCell ref="P353:V353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P471:V471"/>
    <mergeCell ref="A467:Z467"/>
    <mergeCell ref="D288:E288"/>
    <mergeCell ref="P128:T128"/>
    <mergeCell ref="P363:V363"/>
    <mergeCell ref="P262:T262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A317:Z317"/>
    <mergeCell ref="P286:V286"/>
    <mergeCell ref="P430:T430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139:T139"/>
    <mergeCell ref="P176:T176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492:V492"/>
    <mergeCell ref="P494:V494"/>
    <mergeCell ref="P493:V493"/>
    <mergeCell ref="U499:U500"/>
    <mergeCell ref="P210:V210"/>
    <mergeCell ref="T499:T500"/>
    <mergeCell ref="V499:V500"/>
    <mergeCell ref="P496:V496"/>
    <mergeCell ref="P495:V495"/>
    <mergeCell ref="P441:T441"/>
    <mergeCell ref="P235:T235"/>
    <mergeCell ref="D349:E349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P240:V240"/>
    <mergeCell ref="P111:T111"/>
    <mergeCell ref="D225:E225"/>
    <mergeCell ref="D461:E461"/>
    <mergeCell ref="D436:E436"/>
    <mergeCell ref="P346:T346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P452:V452"/>
    <mergeCell ref="P217:T217"/>
    <mergeCell ref="D204:E204"/>
    <mergeCell ref="P161:T161"/>
    <mergeCell ref="D440:E440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P233:T233"/>
    <mergeCell ref="D347:E347"/>
    <mergeCell ref="P304:T304"/>
    <mergeCell ref="P206:T206"/>
    <mergeCell ref="D176:E176"/>
    <mergeCell ref="D412:E412"/>
    <mergeCell ref="D362:E362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P96:T96"/>
    <mergeCell ref="P265:V265"/>
    <mergeCell ref="A388:Z388"/>
    <mergeCell ref="D446:E446"/>
    <mergeCell ref="P44:V44"/>
    <mergeCell ref="A375:Z375"/>
    <mergeCell ref="A243:O244"/>
    <mergeCell ref="D155:E155"/>
    <mergeCell ref="P131:V131"/>
    <mergeCell ref="P187:V187"/>
    <mergeCell ref="D413:E413"/>
    <mergeCell ref="A226:O227"/>
    <mergeCell ref="D217:E217"/>
    <mergeCell ref="A417:Z417"/>
    <mergeCell ref="P437:V437"/>
    <mergeCell ref="D254:E254"/>
    <mergeCell ref="A424:Z424"/>
    <mergeCell ref="P397:T397"/>
    <mergeCell ref="P372:T372"/>
    <mergeCell ref="P381:T381"/>
    <mergeCell ref="C499:C500"/>
    <mergeCell ref="P384:V384"/>
    <mergeCell ref="A380:Z380"/>
    <mergeCell ref="E499:E500"/>
    <mergeCell ref="P328:V328"/>
    <mergeCell ref="A445:Z445"/>
    <mergeCell ref="A274:Z274"/>
    <mergeCell ref="A486:Z486"/>
    <mergeCell ref="S499:S500"/>
    <mergeCell ref="P488:T488"/>
    <mergeCell ref="P483:T483"/>
    <mergeCell ref="P479:V479"/>
    <mergeCell ref="A475:O476"/>
    <mergeCell ref="P476:V476"/>
    <mergeCell ref="D269:E269"/>
    <mergeCell ref="D296:E296"/>
    <mergeCell ref="P448:T448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58:V58"/>
    <mergeCell ref="A13:M13"/>
    <mergeCell ref="P244:V244"/>
    <mergeCell ref="P315:V315"/>
    <mergeCell ref="D61:E61"/>
    <mergeCell ref="P332:T332"/>
    <mergeCell ref="A51:Z51"/>
    <mergeCell ref="N17:N18"/>
    <mergeCell ref="A58:O59"/>
    <mergeCell ref="Y17:Y18"/>
    <mergeCell ref="D57:E57"/>
    <mergeCell ref="U17:V17"/>
    <mergeCell ref="P243:V243"/>
    <mergeCell ref="A190:Z190"/>
    <mergeCell ref="A19:Z19"/>
    <mergeCell ref="D182:E182"/>
    <mergeCell ref="D109:E109"/>
    <mergeCell ref="A60:Z60"/>
    <mergeCell ref="P81:T81"/>
    <mergeCell ref="P56:T56"/>
    <mergeCell ref="D53:E53"/>
    <mergeCell ref="P86:T86"/>
    <mergeCell ref="P213:T213"/>
    <mergeCell ref="D134:E134"/>
    <mergeCell ref="P73:T73"/>
    <mergeCell ref="D112:E112"/>
    <mergeCell ref="P212:T212"/>
    <mergeCell ref="P157:V157"/>
    <mergeCell ref="A38:Z38"/>
    <mergeCell ref="P207:T20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P43:T43"/>
    <mergeCell ref="P65:V65"/>
    <mergeCell ref="P136:V136"/>
    <mergeCell ref="A135:O136"/>
    <mergeCell ref="A126:Z126"/>
    <mergeCell ref="D251:E251"/>
    <mergeCell ref="A12:M12"/>
    <mergeCell ref="P74:T74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A353:O354"/>
    <mergeCell ref="P52:T52"/>
    <mergeCell ref="D63:E63"/>
    <mergeCell ref="D52:E52"/>
    <mergeCell ref="P47:T47"/>
    <mergeCell ref="A46:Z46"/>
    <mergeCell ref="P188:V188"/>
    <mergeCell ref="P116:T116"/>
    <mergeCell ref="A162:O163"/>
    <mergeCell ref="D47:E47"/>
    <mergeCell ref="A50:Z50"/>
    <mergeCell ref="W17:W18"/>
    <mergeCell ref="B17:B18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A146:O147"/>
    <mergeCell ref="P283:T283"/>
    <mergeCell ref="D93:E93"/>
    <mergeCell ref="P277:T277"/>
    <mergeCell ref="D391:E391"/>
    <mergeCell ref="D220:E220"/>
    <mergeCell ref="P199:V199"/>
    <mergeCell ref="P63:T63"/>
    <mergeCell ref="P250:T250"/>
    <mergeCell ref="D31:E31"/>
    <mergeCell ref="A403:O404"/>
    <mergeCell ref="A15:M15"/>
    <mergeCell ref="P238:T238"/>
    <mergeCell ref="D346:E346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O499:O500"/>
    <mergeCell ref="Q499:Q500"/>
    <mergeCell ref="P305:T305"/>
    <mergeCell ref="D96:E96"/>
    <mergeCell ref="G499:G500"/>
    <mergeCell ref="A345:Z345"/>
    <mergeCell ref="P166:T166"/>
    <mergeCell ref="D87:E87"/>
    <mergeCell ref="A282:Z282"/>
    <mergeCell ref="P464:T464"/>
    <mergeCell ref="Y498:Z498"/>
    <mergeCell ref="P402:T402"/>
    <mergeCell ref="A187:O188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D381:E381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450:T450"/>
    <mergeCell ref="P427:T427"/>
    <mergeCell ref="P429:T429"/>
    <mergeCell ref="P204:T204"/>
    <mergeCell ref="D253:E253"/>
    <mergeCell ref="P316:V316"/>
    <mergeCell ref="A439:Z439"/>
    <mergeCell ref="D435:E435"/>
    <mergeCell ref="P446:T446"/>
    <mergeCell ref="A369:Z369"/>
    <mergeCell ref="P440:T440"/>
    <mergeCell ref="A418:Z418"/>
    <mergeCell ref="D283:E283"/>
    <mergeCell ref="P444:V444"/>
    <mergeCell ref="P401:T401"/>
    <mergeCell ref="P268:T268"/>
    <mergeCell ref="D382:E382"/>
    <mergeCell ref="P339:T339"/>
    <mergeCell ref="P230:T230"/>
    <mergeCell ref="P168:T168"/>
    <mergeCell ref="A193:O194"/>
    <mergeCell ref="A264:O265"/>
    <mergeCell ref="P252:T252"/>
    <mergeCell ref="P299:V299"/>
    <mergeCell ref="P221:V221"/>
    <mergeCell ref="D389:E389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A77:O78"/>
    <mergeCell ref="P248:V248"/>
    <mergeCell ref="A266:Z266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474:T474"/>
    <mergeCell ref="D224:E224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  <mergeCell ref="P103:T103"/>
    <mergeCell ref="A398:O39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2:X53 X55 X61 X73 X80 X86 X89 X93 X101 X104 X109 X112 X116 X118 X166 X168:X169 X172 X174 X197 X201:X202 X204:X206 X208 X214:X215 X217:X220 X225 X230 X277:X278 X318:X320 X327 X338 X346:X348 X356 X381:X382 X425 X428:X429 X431 X440 X442 X446:X448 X473:X474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C/MjWYDvDegOf3aQc4M2ke2SvDBrKshFaOkMqOdlvG3iVrRtCNFHs79/Zd9ZJnxnVeO2mAkxlZbyPNG7++eaLg==" saltValue="32v+yLpvXUtLjMDPpgmzp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2025-12-11T10:52:45Z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