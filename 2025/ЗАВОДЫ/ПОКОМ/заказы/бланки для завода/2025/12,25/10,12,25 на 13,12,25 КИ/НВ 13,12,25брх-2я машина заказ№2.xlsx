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0C584C-DB7A-4001-823C-BFCE15751E6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P94" i="1" l="1"/>
  <c r="BN94" i="1"/>
  <c r="Z94" i="1"/>
  <c r="BP151" i="1"/>
  <c r="BN151" i="1"/>
  <c r="Z151" i="1"/>
  <c r="BP181" i="1"/>
  <c r="BN181" i="1"/>
  <c r="Z181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BP56" i="1"/>
  <c r="BN56" i="1"/>
  <c r="BP76" i="1"/>
  <c r="BN76" i="1"/>
  <c r="Z76" i="1"/>
  <c r="Y125" i="1"/>
  <c r="Y124" i="1"/>
  <c r="BP123" i="1"/>
  <c r="BN123" i="1"/>
  <c r="Z123" i="1"/>
  <c r="Z124" i="1" s="1"/>
  <c r="BP128" i="1"/>
  <c r="BN128" i="1"/>
  <c r="Z128" i="1"/>
  <c r="BP168" i="1"/>
  <c r="BN168" i="1"/>
  <c r="Z168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152" i="1"/>
  <c r="B501" i="1"/>
  <c r="X493" i="1"/>
  <c r="X494" i="1" s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Z138" i="1"/>
  <c r="BN138" i="1"/>
  <c r="Z149" i="1"/>
  <c r="Z152" i="1" s="1"/>
  <c r="BN149" i="1"/>
  <c r="BP149" i="1"/>
  <c r="Z166" i="1"/>
  <c r="BN166" i="1"/>
  <c r="Z170" i="1"/>
  <c r="BN170" i="1"/>
  <c r="Z175" i="1"/>
  <c r="BN175" i="1"/>
  <c r="Z192" i="1"/>
  <c r="BN192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37" i="1" l="1"/>
  <c r="Z353" i="1"/>
  <c r="Z308" i="1"/>
  <c r="Z299" i="1"/>
  <c r="Z120" i="1"/>
  <c r="Z113" i="1"/>
  <c r="Z70" i="1"/>
  <c r="Z334" i="1"/>
  <c r="Z82" i="1"/>
  <c r="Z452" i="1"/>
  <c r="Z239" i="1"/>
  <c r="Z32" i="1"/>
  <c r="Z398" i="1"/>
  <c r="Z255" i="1"/>
  <c r="Z209" i="1"/>
  <c r="Z58" i="1"/>
  <c r="Z106" i="1"/>
  <c r="Z415" i="1"/>
  <c r="Y491" i="1"/>
  <c r="Y493" i="1"/>
  <c r="Z97" i="1"/>
  <c r="Z90" i="1"/>
  <c r="Z77" i="1"/>
  <c r="Z64" i="1"/>
  <c r="Z221" i="1"/>
  <c r="Z465" i="1"/>
  <c r="Y492" i="1"/>
  <c r="Z328" i="1"/>
  <c r="Z177" i="1"/>
  <c r="Y495" i="1"/>
  <c r="Y494" i="1" l="1"/>
  <c r="Z496" i="1"/>
</calcChain>
</file>

<file path=xl/sharedStrings.xml><?xml version="1.0" encoding="utf-8"?>
<sst xmlns="http://schemas.openxmlformats.org/spreadsheetml/2006/main" count="2220" uniqueCount="776">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</sst>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7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4" t="s">
        <v>0</v>
      </c>
      <c r="E1" s="570"/>
      <c r="F1" s="570"/>
      <c r="G1" s="12" t="s">
        <v>1</v>
      </c>
      <c r="H1" s="80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53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7" t="s">
        <v>8</v>
      </c>
      <c r="B5" s="647"/>
      <c r="C5" s="619"/>
      <c r="D5" s="653"/>
      <c r="E5" s="655"/>
      <c r="F5" s="618" t="s">
        <v>9</v>
      </c>
      <c r="G5" s="619"/>
      <c r="H5" s="653" t="s">
        <v>775</v>
      </c>
      <c r="I5" s="654"/>
      <c r="J5" s="654"/>
      <c r="K5" s="654"/>
      <c r="L5" s="654"/>
      <c r="M5" s="655"/>
      <c r="N5" s="58"/>
      <c r="P5" s="24" t="s">
        <v>10</v>
      </c>
      <c r="Q5" s="577">
        <v>46004</v>
      </c>
      <c r="R5" s="578"/>
      <c r="T5" s="741" t="s">
        <v>11</v>
      </c>
      <c r="U5" s="581"/>
      <c r="V5" s="743" t="s">
        <v>12</v>
      </c>
      <c r="W5" s="578"/>
      <c r="AB5" s="51"/>
      <c r="AC5" s="51"/>
      <c r="AD5" s="51"/>
      <c r="AE5" s="51"/>
    </row>
    <row r="6" spans="1:32" s="539" customFormat="1" ht="24" customHeight="1" x14ac:dyDescent="0.2">
      <c r="A6" s="767" t="s">
        <v>13</v>
      </c>
      <c r="B6" s="647"/>
      <c r="C6" s="619"/>
      <c r="D6" s="658" t="s">
        <v>14</v>
      </c>
      <c r="E6" s="659"/>
      <c r="F6" s="659"/>
      <c r="G6" s="659"/>
      <c r="H6" s="659"/>
      <c r="I6" s="659"/>
      <c r="J6" s="659"/>
      <c r="K6" s="659"/>
      <c r="L6" s="659"/>
      <c r="M6" s="578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Суббота</v>
      </c>
      <c r="R6" s="559"/>
      <c r="T6" s="732" t="s">
        <v>16</v>
      </c>
      <c r="U6" s="581"/>
      <c r="V6" s="706" t="s">
        <v>17</v>
      </c>
      <c r="W6" s="70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35" t="str">
        <f>IFERROR(VLOOKUP(DeliveryAddress,Table,3,0),1)</f>
        <v>1</v>
      </c>
      <c r="E7" s="836"/>
      <c r="F7" s="836"/>
      <c r="G7" s="836"/>
      <c r="H7" s="836"/>
      <c r="I7" s="836"/>
      <c r="J7" s="836"/>
      <c r="K7" s="836"/>
      <c r="L7" s="836"/>
      <c r="M7" s="748"/>
      <c r="N7" s="60"/>
      <c r="P7" s="24"/>
      <c r="Q7" s="42"/>
      <c r="R7" s="42"/>
      <c r="T7" s="550"/>
      <c r="U7" s="581"/>
      <c r="V7" s="708"/>
      <c r="W7" s="709"/>
      <c r="AB7" s="51"/>
      <c r="AC7" s="51"/>
      <c r="AD7" s="51"/>
      <c r="AE7" s="51"/>
    </row>
    <row r="8" spans="1:32" s="539" customFormat="1" ht="25.5" customHeight="1" x14ac:dyDescent="0.2">
      <c r="A8" s="738" t="s">
        <v>18</v>
      </c>
      <c r="B8" s="555"/>
      <c r="C8" s="556"/>
      <c r="D8" s="843" t="s">
        <v>19</v>
      </c>
      <c r="E8" s="844"/>
      <c r="F8" s="844"/>
      <c r="G8" s="844"/>
      <c r="H8" s="844"/>
      <c r="I8" s="844"/>
      <c r="J8" s="844"/>
      <c r="K8" s="844"/>
      <c r="L8" s="844"/>
      <c r="M8" s="845"/>
      <c r="N8" s="61"/>
      <c r="P8" s="24" t="s">
        <v>20</v>
      </c>
      <c r="Q8" s="747">
        <v>0.41666666666666669</v>
      </c>
      <c r="R8" s="748"/>
      <c r="T8" s="550"/>
      <c r="U8" s="581"/>
      <c r="V8" s="708"/>
      <c r="W8" s="709"/>
      <c r="AB8" s="51"/>
      <c r="AC8" s="51"/>
      <c r="AD8" s="51"/>
      <c r="AE8" s="51"/>
    </row>
    <row r="9" spans="1:32" s="539" customFormat="1" ht="39.950000000000003" customHeight="1" x14ac:dyDescent="0.2">
      <c r="A9" s="5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13"/>
      <c r="E9" s="614"/>
      <c r="F9" s="5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704" t="str">
        <f>IF(AND($A$9="Тип доверенности/получателя при получении в адресе перегруза:",$D$9="Разовая доверенность"),"Введите ФИО","")</f>
        <v/>
      </c>
      <c r="I9" s="614"/>
      <c r="J9" s="7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4"/>
      <c r="L9" s="614"/>
      <c r="M9" s="614"/>
      <c r="N9" s="537"/>
      <c r="P9" s="26" t="s">
        <v>21</v>
      </c>
      <c r="Q9" s="785"/>
      <c r="R9" s="621"/>
      <c r="T9" s="550"/>
      <c r="U9" s="581"/>
      <c r="V9" s="710"/>
      <c r="W9" s="711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13"/>
      <c r="E10" s="614"/>
      <c r="F10" s="5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676" t="str">
        <f>IFERROR(VLOOKUP($D$10,Proxy,2,FALSE),"")</f>
        <v/>
      </c>
      <c r="I10" s="550"/>
      <c r="J10" s="550"/>
      <c r="K10" s="550"/>
      <c r="L10" s="550"/>
      <c r="M10" s="550"/>
      <c r="N10" s="538"/>
      <c r="P10" s="26" t="s">
        <v>22</v>
      </c>
      <c r="Q10" s="733"/>
      <c r="R10" s="734"/>
      <c r="U10" s="24" t="s">
        <v>23</v>
      </c>
      <c r="V10" s="863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78"/>
      <c r="U11" s="24" t="s">
        <v>27</v>
      </c>
      <c r="V11" s="620" t="s">
        <v>28</v>
      </c>
      <c r="W11" s="621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19"/>
      <c r="N12" s="62"/>
      <c r="P12" s="24" t="s">
        <v>30</v>
      </c>
      <c r="Q12" s="747"/>
      <c r="R12" s="748"/>
      <c r="S12" s="23"/>
      <c r="U12" s="24"/>
      <c r="V12" s="570"/>
      <c r="W12" s="550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19"/>
      <c r="N13" s="62"/>
      <c r="O13" s="26"/>
      <c r="P13" s="26" t="s">
        <v>32</v>
      </c>
      <c r="Q13" s="620"/>
      <c r="R13" s="6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1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65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19"/>
      <c r="N15" s="63"/>
      <c r="P15" s="756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7"/>
      <c r="Q16" s="757"/>
      <c r="R16" s="757"/>
      <c r="S16" s="757"/>
      <c r="T16" s="7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1" t="s">
        <v>36</v>
      </c>
      <c r="B17" s="561" t="s">
        <v>37</v>
      </c>
      <c r="C17" s="772" t="s">
        <v>38</v>
      </c>
      <c r="D17" s="561" t="s">
        <v>39</v>
      </c>
      <c r="E17" s="562"/>
      <c r="F17" s="561" t="s">
        <v>40</v>
      </c>
      <c r="G17" s="561" t="s">
        <v>41</v>
      </c>
      <c r="H17" s="561" t="s">
        <v>42</v>
      </c>
      <c r="I17" s="561" t="s">
        <v>43</v>
      </c>
      <c r="J17" s="561" t="s">
        <v>44</v>
      </c>
      <c r="K17" s="561" t="s">
        <v>45</v>
      </c>
      <c r="L17" s="561" t="s">
        <v>46</v>
      </c>
      <c r="M17" s="561" t="s">
        <v>47</v>
      </c>
      <c r="N17" s="561" t="s">
        <v>48</v>
      </c>
      <c r="O17" s="561" t="s">
        <v>49</v>
      </c>
      <c r="P17" s="561" t="s">
        <v>50</v>
      </c>
      <c r="Q17" s="809"/>
      <c r="R17" s="809"/>
      <c r="S17" s="809"/>
      <c r="T17" s="562"/>
      <c r="U17" s="717" t="s">
        <v>51</v>
      </c>
      <c r="V17" s="619"/>
      <c r="W17" s="561" t="s">
        <v>52</v>
      </c>
      <c r="X17" s="561" t="s">
        <v>53</v>
      </c>
      <c r="Y17" s="715" t="s">
        <v>54</v>
      </c>
      <c r="Z17" s="681" t="s">
        <v>55</v>
      </c>
      <c r="AA17" s="595" t="s">
        <v>56</v>
      </c>
      <c r="AB17" s="595" t="s">
        <v>57</v>
      </c>
      <c r="AC17" s="595" t="s">
        <v>58</v>
      </c>
      <c r="AD17" s="595" t="s">
        <v>59</v>
      </c>
      <c r="AE17" s="596"/>
      <c r="AF17" s="597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3"/>
      <c r="E18" s="564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3"/>
      <c r="Q18" s="810"/>
      <c r="R18" s="810"/>
      <c r="S18" s="810"/>
      <c r="T18" s="564"/>
      <c r="U18" s="67" t="s">
        <v>61</v>
      </c>
      <c r="V18" s="67" t="s">
        <v>62</v>
      </c>
      <c r="W18" s="568"/>
      <c r="X18" s="568"/>
      <c r="Y18" s="716"/>
      <c r="Z18" s="682"/>
      <c r="AA18" s="675"/>
      <c r="AB18" s="675"/>
      <c r="AC18" s="675"/>
      <c r="AD18" s="598"/>
      <c r="AE18" s="599"/>
      <c r="AF18" s="600"/>
      <c r="AG18" s="66"/>
      <c r="BD18" s="65"/>
    </row>
    <row r="19" spans="1:68" ht="27.75" hidden="1" customHeight="1" x14ac:dyDescent="0.2">
      <c r="A19" s="688" t="s">
        <v>63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48"/>
      <c r="AB19" s="48"/>
      <c r="AC19" s="48"/>
    </row>
    <row r="20" spans="1:68" ht="16.5" hidden="1" customHeight="1" x14ac:dyDescent="0.25">
      <c r="A20" s="569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40"/>
      <c r="AB20" s="540"/>
      <c r="AC20" s="540"/>
    </row>
    <row r="21" spans="1:68" ht="14.25" hidden="1" customHeight="1" x14ac:dyDescent="0.25">
      <c r="A21" s="557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2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73"/>
      <c r="P24" s="554" t="s">
        <v>75</v>
      </c>
      <c r="Q24" s="555"/>
      <c r="R24" s="555"/>
      <c r="S24" s="555"/>
      <c r="T24" s="555"/>
      <c r="U24" s="555"/>
      <c r="V24" s="556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73"/>
      <c r="P25" s="554" t="s">
        <v>75</v>
      </c>
      <c r="Q25" s="555"/>
      <c r="R25" s="555"/>
      <c r="S25" s="555"/>
      <c r="T25" s="555"/>
      <c r="U25" s="555"/>
      <c r="V25" s="556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7" t="s">
        <v>77</v>
      </c>
      <c r="B26" s="550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  <c r="O26" s="550"/>
      <c r="P26" s="550"/>
      <c r="Q26" s="550"/>
      <c r="R26" s="550"/>
      <c r="S26" s="550"/>
      <c r="T26" s="550"/>
      <c r="U26" s="550"/>
      <c r="V26" s="550"/>
      <c r="W26" s="550"/>
      <c r="X26" s="550"/>
      <c r="Y26" s="550"/>
      <c r="Z26" s="550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8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86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8">
        <v>4607091388244</v>
      </c>
      <c r="E31" s="559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8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2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73"/>
      <c r="P32" s="554" t="s">
        <v>75</v>
      </c>
      <c r="Q32" s="555"/>
      <c r="R32" s="555"/>
      <c r="S32" s="555"/>
      <c r="T32" s="555"/>
      <c r="U32" s="555"/>
      <c r="V32" s="556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0"/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73"/>
      <c r="P33" s="554" t="s">
        <v>75</v>
      </c>
      <c r="Q33" s="555"/>
      <c r="R33" s="555"/>
      <c r="S33" s="555"/>
      <c r="T33" s="555"/>
      <c r="U33" s="555"/>
      <c r="V33" s="556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7" t="s">
        <v>94</v>
      </c>
      <c r="B34" s="550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550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8">
        <v>4607091388503</v>
      </c>
      <c r="E35" s="559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67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2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73"/>
      <c r="P36" s="554" t="s">
        <v>75</v>
      </c>
      <c r="Q36" s="555"/>
      <c r="R36" s="555"/>
      <c r="S36" s="555"/>
      <c r="T36" s="555"/>
      <c r="U36" s="555"/>
      <c r="V36" s="556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0"/>
      <c r="B37" s="550"/>
      <c r="C37" s="550"/>
      <c r="D37" s="550"/>
      <c r="E37" s="550"/>
      <c r="F37" s="550"/>
      <c r="G37" s="550"/>
      <c r="H37" s="550"/>
      <c r="I37" s="550"/>
      <c r="J37" s="550"/>
      <c r="K37" s="550"/>
      <c r="L37" s="550"/>
      <c r="M37" s="550"/>
      <c r="N37" s="550"/>
      <c r="O37" s="573"/>
      <c r="P37" s="554" t="s">
        <v>75</v>
      </c>
      <c r="Q37" s="555"/>
      <c r="R37" s="555"/>
      <c r="S37" s="555"/>
      <c r="T37" s="555"/>
      <c r="U37" s="555"/>
      <c r="V37" s="556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688" t="s">
        <v>100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48"/>
      <c r="AB38" s="48"/>
      <c r="AC38" s="48"/>
    </row>
    <row r="39" spans="1:68" ht="16.5" hidden="1" customHeight="1" x14ac:dyDescent="0.25">
      <c r="A39" s="56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40"/>
      <c r="AB39" s="540"/>
      <c r="AC39" s="540"/>
    </row>
    <row r="40" spans="1:68" ht="14.25" hidden="1" customHeight="1" x14ac:dyDescent="0.25">
      <c r="A40" s="557" t="s">
        <v>102</v>
      </c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8">
        <v>4607091385670</v>
      </c>
      <c r="E41" s="559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159</v>
      </c>
      <c r="Y41" s="546">
        <f>IFERROR(IF(X41="",0,CEILING((X41/$H41),1)*$H41),"")</f>
        <v>162</v>
      </c>
      <c r="Z41" s="36">
        <f>IFERROR(IF(Y41=0,"",ROUNDUP(Y41/H41,0)*0.01898),"")</f>
        <v>0.28470000000000001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165.0361111111111</v>
      </c>
      <c r="BN41" s="64">
        <f>IFERROR(Y41*I41/H41,"0")</f>
        <v>168.15</v>
      </c>
      <c r="BO41" s="64">
        <f>IFERROR(1/J41*(X41/H41),"0")</f>
        <v>0.23003472222222221</v>
      </c>
      <c r="BP41" s="64">
        <f>IFERROR(1/J41*(Y41/H41),"0")</f>
        <v>0.23437499999999997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8">
        <v>4680115882539</v>
      </c>
      <c r="E42" s="559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8">
        <v>4607091385687</v>
      </c>
      <c r="E43" s="559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2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73"/>
      <c r="P44" s="554" t="s">
        <v>75</v>
      </c>
      <c r="Q44" s="555"/>
      <c r="R44" s="555"/>
      <c r="S44" s="555"/>
      <c r="T44" s="555"/>
      <c r="U44" s="555"/>
      <c r="V44" s="556"/>
      <c r="W44" s="37" t="s">
        <v>76</v>
      </c>
      <c r="X44" s="547">
        <f>IFERROR(X41/H41,"0")+IFERROR(X42/H42,"0")+IFERROR(X43/H43,"0")</f>
        <v>14.722222222222221</v>
      </c>
      <c r="Y44" s="547">
        <f>IFERROR(Y41/H41,"0")+IFERROR(Y42/H42,"0")+IFERROR(Y43/H43,"0")</f>
        <v>14.999999999999998</v>
      </c>
      <c r="Z44" s="547">
        <f>IFERROR(IF(Z41="",0,Z41),"0")+IFERROR(IF(Z42="",0,Z42),"0")+IFERROR(IF(Z43="",0,Z43),"0")</f>
        <v>0.28470000000000001</v>
      </c>
      <c r="AA44" s="548"/>
      <c r="AB44" s="548"/>
      <c r="AC44" s="548"/>
    </row>
    <row r="45" spans="1:68" x14ac:dyDescent="0.2">
      <c r="A45" s="550"/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73"/>
      <c r="P45" s="554" t="s">
        <v>75</v>
      </c>
      <c r="Q45" s="555"/>
      <c r="R45" s="555"/>
      <c r="S45" s="555"/>
      <c r="T45" s="555"/>
      <c r="U45" s="555"/>
      <c r="V45" s="556"/>
      <c r="W45" s="37" t="s">
        <v>69</v>
      </c>
      <c r="X45" s="547">
        <f>IFERROR(SUM(X41:X43),"0")</f>
        <v>159</v>
      </c>
      <c r="Y45" s="547">
        <f>IFERROR(SUM(Y41:Y43),"0")</f>
        <v>162</v>
      </c>
      <c r="Z45" s="37"/>
      <c r="AA45" s="548"/>
      <c r="AB45" s="548"/>
      <c r="AC45" s="548"/>
    </row>
    <row r="46" spans="1:68" ht="14.25" hidden="1" customHeight="1" x14ac:dyDescent="0.25">
      <c r="A46" s="557" t="s">
        <v>77</v>
      </c>
      <c r="B46" s="550"/>
      <c r="C46" s="550"/>
      <c r="D46" s="550"/>
      <c r="E46" s="550"/>
      <c r="F46" s="550"/>
      <c r="G46" s="550"/>
      <c r="H46" s="550"/>
      <c r="I46" s="550"/>
      <c r="J46" s="550"/>
      <c r="K46" s="550"/>
      <c r="L46" s="550"/>
      <c r="M46" s="550"/>
      <c r="N46" s="550"/>
      <c r="O46" s="550"/>
      <c r="P46" s="550"/>
      <c r="Q46" s="550"/>
      <c r="R46" s="550"/>
      <c r="S46" s="550"/>
      <c r="T46" s="550"/>
      <c r="U46" s="550"/>
      <c r="V46" s="550"/>
      <c r="W46" s="550"/>
      <c r="X46" s="550"/>
      <c r="Y46" s="550"/>
      <c r="Z46" s="550"/>
      <c r="AA46" s="541"/>
      <c r="AB46" s="541"/>
      <c r="AC46" s="541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8">
        <v>4680115884915</v>
      </c>
      <c r="E47" s="559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2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73"/>
      <c r="P48" s="554" t="s">
        <v>75</v>
      </c>
      <c r="Q48" s="555"/>
      <c r="R48" s="555"/>
      <c r="S48" s="555"/>
      <c r="T48" s="555"/>
      <c r="U48" s="555"/>
      <c r="V48" s="556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0"/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73"/>
      <c r="P49" s="554" t="s">
        <v>75</v>
      </c>
      <c r="Q49" s="555"/>
      <c r="R49" s="555"/>
      <c r="S49" s="555"/>
      <c r="T49" s="555"/>
      <c r="U49" s="555"/>
      <c r="V49" s="556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9" t="s">
        <v>118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40"/>
      <c r="AB50" s="540"/>
      <c r="AC50" s="540"/>
    </row>
    <row r="51" spans="1:68" ht="14.25" hidden="1" customHeight="1" x14ac:dyDescent="0.25">
      <c r="A51" s="557" t="s">
        <v>102</v>
      </c>
      <c r="B51" s="550"/>
      <c r="C51" s="550"/>
      <c r="D51" s="550"/>
      <c r="E51" s="550"/>
      <c r="F51" s="550"/>
      <c r="G51" s="550"/>
      <c r="H51" s="550"/>
      <c r="I51" s="550"/>
      <c r="J51" s="550"/>
      <c r="K51" s="550"/>
      <c r="L51" s="550"/>
      <c r="M51" s="550"/>
      <c r="N51" s="550"/>
      <c r="O51" s="550"/>
      <c r="P51" s="550"/>
      <c r="Q51" s="550"/>
      <c r="R51" s="550"/>
      <c r="S51" s="550"/>
      <c r="T51" s="550"/>
      <c r="U51" s="550"/>
      <c r="V51" s="550"/>
      <c r="W51" s="550"/>
      <c r="X51" s="550"/>
      <c r="Y51" s="550"/>
      <c r="Z51" s="550"/>
      <c r="AA51" s="541"/>
      <c r="AB51" s="541"/>
      <c r="AC51" s="541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8">
        <v>4680115885882</v>
      </c>
      <c r="E52" s="559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58">
        <v>4680115881426</v>
      </c>
      <c r="E53" s="559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8">
        <v>4680115880283</v>
      </c>
      <c r="E54" s="559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6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8">
        <v>4680115881525</v>
      </c>
      <c r="E55" s="559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7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8">
        <v>4680115885899</v>
      </c>
      <c r="E56" s="559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1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8">
        <v>4680115881419</v>
      </c>
      <c r="E57" s="559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60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2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73"/>
      <c r="P58" s="554" t="s">
        <v>75</v>
      </c>
      <c r="Q58" s="555"/>
      <c r="R58" s="555"/>
      <c r="S58" s="555"/>
      <c r="T58" s="555"/>
      <c r="U58" s="555"/>
      <c r="V58" s="556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0"/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73"/>
      <c r="P59" s="554" t="s">
        <v>75</v>
      </c>
      <c r="Q59" s="555"/>
      <c r="R59" s="555"/>
      <c r="S59" s="555"/>
      <c r="T59" s="555"/>
      <c r="U59" s="555"/>
      <c r="V59" s="556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7" t="s">
        <v>137</v>
      </c>
      <c r="B60" s="550"/>
      <c r="C60" s="550"/>
      <c r="D60" s="550"/>
      <c r="E60" s="550"/>
      <c r="F60" s="550"/>
      <c r="G60" s="550"/>
      <c r="H60" s="550"/>
      <c r="I60" s="550"/>
      <c r="J60" s="550"/>
      <c r="K60" s="550"/>
      <c r="L60" s="550"/>
      <c r="M60" s="550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  <c r="Z60" s="550"/>
      <c r="AA60" s="541"/>
      <c r="AB60" s="541"/>
      <c r="AC60" s="541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8">
        <v>4680115881440</v>
      </c>
      <c r="E61" s="559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107</v>
      </c>
      <c r="N61" s="33"/>
      <c r="O61" s="32">
        <v>50</v>
      </c>
      <c r="P61" s="6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51</v>
      </c>
      <c r="Y61" s="54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52.93611111111111</v>
      </c>
      <c r="BN61" s="64">
        <f>IFERROR(Y61*I61/H61,"0")</f>
        <v>56.05</v>
      </c>
      <c r="BO61" s="64">
        <f>IFERROR(1/J61*(X61/H61),"0")</f>
        <v>7.3784722222222224E-2</v>
      </c>
      <c r="BP61" s="64">
        <f>IFERROR(1/J61*(Y61/H61),"0")</f>
        <v>7.8125E-2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8">
        <v>4680115885950</v>
      </c>
      <c r="E62" s="559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8">
        <v>4680115881433</v>
      </c>
      <c r="E63" s="559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7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2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73"/>
      <c r="P64" s="554" t="s">
        <v>75</v>
      </c>
      <c r="Q64" s="555"/>
      <c r="R64" s="555"/>
      <c r="S64" s="555"/>
      <c r="T64" s="555"/>
      <c r="U64" s="555"/>
      <c r="V64" s="556"/>
      <c r="W64" s="37" t="s">
        <v>76</v>
      </c>
      <c r="X64" s="547">
        <f>IFERROR(X61/H61,"0")+IFERROR(X62/H62,"0")+IFERROR(X63/H63,"0")</f>
        <v>4.7222222222222223</v>
      </c>
      <c r="Y64" s="547">
        <f>IFERROR(Y61/H61,"0")+IFERROR(Y62/H62,"0")+IFERROR(Y63/H63,"0")</f>
        <v>5</v>
      </c>
      <c r="Z64" s="547">
        <f>IFERROR(IF(Z61="",0,Z61),"0")+IFERROR(IF(Z62="",0,Z62),"0")+IFERROR(IF(Z63="",0,Z63),"0")</f>
        <v>9.4899999999999998E-2</v>
      </c>
      <c r="AA64" s="548"/>
      <c r="AB64" s="548"/>
      <c r="AC64" s="548"/>
    </row>
    <row r="65" spans="1:68" x14ac:dyDescent="0.2">
      <c r="A65" s="550"/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73"/>
      <c r="P65" s="554" t="s">
        <v>75</v>
      </c>
      <c r="Q65" s="555"/>
      <c r="R65" s="555"/>
      <c r="S65" s="555"/>
      <c r="T65" s="555"/>
      <c r="U65" s="555"/>
      <c r="V65" s="556"/>
      <c r="W65" s="37" t="s">
        <v>69</v>
      </c>
      <c r="X65" s="547">
        <f>IFERROR(SUM(X61:X63),"0")</f>
        <v>51</v>
      </c>
      <c r="Y65" s="547">
        <f>IFERROR(SUM(Y61:Y63),"0")</f>
        <v>54</v>
      </c>
      <c r="Z65" s="37"/>
      <c r="AA65" s="548"/>
      <c r="AB65" s="548"/>
      <c r="AC65" s="548"/>
    </row>
    <row r="66" spans="1:68" ht="14.25" hidden="1" customHeight="1" x14ac:dyDescent="0.25">
      <c r="A66" s="557" t="s">
        <v>64</v>
      </c>
      <c r="B66" s="550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  <c r="Z66" s="550"/>
      <c r="AA66" s="541"/>
      <c r="AB66" s="541"/>
      <c r="AC66" s="541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8">
        <v>4680115885073</v>
      </c>
      <c r="E67" s="559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0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4301031241</v>
      </c>
      <c r="D68" s="558">
        <v>4680115885059</v>
      </c>
      <c r="E68" s="559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9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151</v>
      </c>
      <c r="B69" s="54" t="s">
        <v>152</v>
      </c>
      <c r="C69" s="31">
        <v>4301031316</v>
      </c>
      <c r="D69" s="558">
        <v>4680115885097</v>
      </c>
      <c r="E69" s="559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153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2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73"/>
      <c r="P70" s="554" t="s">
        <v>75</v>
      </c>
      <c r="Q70" s="555"/>
      <c r="R70" s="555"/>
      <c r="S70" s="555"/>
      <c r="T70" s="555"/>
      <c r="U70" s="555"/>
      <c r="V70" s="556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0"/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73"/>
      <c r="P71" s="554" t="s">
        <v>75</v>
      </c>
      <c r="Q71" s="555"/>
      <c r="R71" s="555"/>
      <c r="S71" s="555"/>
      <c r="T71" s="555"/>
      <c r="U71" s="555"/>
      <c r="V71" s="556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7" t="s">
        <v>77</v>
      </c>
      <c r="B72" s="550"/>
      <c r="C72" s="550"/>
      <c r="D72" s="550"/>
      <c r="E72" s="550"/>
      <c r="F72" s="550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  <c r="Z72" s="550"/>
      <c r="AA72" s="541"/>
      <c r="AB72" s="541"/>
      <c r="AC72" s="541"/>
    </row>
    <row r="73" spans="1:68" ht="27" hidden="1" customHeight="1" x14ac:dyDescent="0.25">
      <c r="A73" s="54" t="s">
        <v>154</v>
      </c>
      <c r="B73" s="54" t="s">
        <v>155</v>
      </c>
      <c r="C73" s="31">
        <v>4301051846</v>
      </c>
      <c r="D73" s="558">
        <v>4680115885769</v>
      </c>
      <c r="E73" s="559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157</v>
      </c>
      <c r="B74" s="54" t="s">
        <v>158</v>
      </c>
      <c r="C74" s="31">
        <v>4301051837</v>
      </c>
      <c r="D74" s="558">
        <v>4680115884311</v>
      </c>
      <c r="E74" s="559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58">
        <v>4680115885929</v>
      </c>
      <c r="E75" s="559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0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58">
        <v>4680115884403</v>
      </c>
      <c r="E76" s="559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2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73"/>
      <c r="P77" s="554" t="s">
        <v>75</v>
      </c>
      <c r="Q77" s="555"/>
      <c r="R77" s="555"/>
      <c r="S77" s="555"/>
      <c r="T77" s="555"/>
      <c r="U77" s="555"/>
      <c r="V77" s="556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73"/>
      <c r="P78" s="554" t="s">
        <v>75</v>
      </c>
      <c r="Q78" s="555"/>
      <c r="R78" s="555"/>
      <c r="S78" s="555"/>
      <c r="T78" s="555"/>
      <c r="U78" s="555"/>
      <c r="V78" s="556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7" t="s">
        <v>165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41"/>
      <c r="AB79" s="541"/>
      <c r="AC79" s="541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58">
        <v>4680115881532</v>
      </c>
      <c r="E80" s="559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6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58">
        <v>4680115881464</v>
      </c>
      <c r="E81" s="559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2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73"/>
      <c r="P82" s="554" t="s">
        <v>75</v>
      </c>
      <c r="Q82" s="555"/>
      <c r="R82" s="555"/>
      <c r="S82" s="555"/>
      <c r="T82" s="555"/>
      <c r="U82" s="555"/>
      <c r="V82" s="556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73"/>
      <c r="P83" s="554" t="s">
        <v>75</v>
      </c>
      <c r="Q83" s="555"/>
      <c r="R83" s="555"/>
      <c r="S83" s="555"/>
      <c r="T83" s="555"/>
      <c r="U83" s="555"/>
      <c r="V83" s="556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9" t="s">
        <v>172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40"/>
      <c r="AB84" s="540"/>
      <c r="AC84" s="540"/>
    </row>
    <row r="85" spans="1:68" ht="14.25" hidden="1" customHeight="1" x14ac:dyDescent="0.25">
      <c r="A85" s="557" t="s">
        <v>102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41"/>
      <c r="AB85" s="541"/>
      <c r="AC85" s="541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58">
        <v>4680115881327</v>
      </c>
      <c r="E86" s="559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108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175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112.1</v>
      </c>
      <c r="BN86" s="64">
        <f>IFERROR(Y86*I86/H86,"0")</f>
        <v>112.1</v>
      </c>
      <c r="BO86" s="64">
        <f>IFERROR(1/J86*(X86/H86),"0")</f>
        <v>0.15625</v>
      </c>
      <c r="BP86" s="64">
        <f>IFERROR(1/J86*(Y86/H86),"0")</f>
        <v>0.15625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4301011261</v>
      </c>
      <c r="D87" s="558">
        <v>4680115887732</v>
      </c>
      <c r="E87" s="559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178</v>
      </c>
      <c r="L87" s="32"/>
      <c r="M87" s="33" t="s">
        <v>68</v>
      </c>
      <c r="N87" s="33"/>
      <c r="O87" s="32">
        <v>30</v>
      </c>
      <c r="P87" s="725" t="s">
        <v>179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180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4301011476</v>
      </c>
      <c r="D88" s="558">
        <v>4680115881518</v>
      </c>
      <c r="E88" s="559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4301011443</v>
      </c>
      <c r="D89" s="558">
        <v>4680115881303</v>
      </c>
      <c r="E89" s="559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37</v>
      </c>
      <c r="Y89" s="546">
        <f>IFERROR(IF(X89="",0,CEILING((X89/$H89),1)*$H89),"")</f>
        <v>40.5</v>
      </c>
      <c r="Z89" s="36">
        <f>IFERROR(IF(Y89=0,"",ROUNDUP(Y89/H89,0)*0.00902),"")</f>
        <v>8.1180000000000002E-2</v>
      </c>
      <c r="AA89" s="56"/>
      <c r="AB89" s="57"/>
      <c r="AC89" s="135" t="s">
        <v>175</v>
      </c>
      <c r="AG89" s="64"/>
      <c r="AJ89" s="68"/>
      <c r="AK89" s="68">
        <v>0</v>
      </c>
      <c r="BB89" s="136" t="s">
        <v>1</v>
      </c>
      <c r="BM89" s="64">
        <f>IFERROR(X89*I89/H89,"0")</f>
        <v>38.562222222222225</v>
      </c>
      <c r="BN89" s="64">
        <f>IFERROR(Y89*I89/H89,"0")</f>
        <v>42.210000000000008</v>
      </c>
      <c r="BO89" s="64">
        <f>IFERROR(1/J89*(X89/H89),"0")</f>
        <v>6.2289562289562284E-2</v>
      </c>
      <c r="BP89" s="64">
        <f>IFERROR(1/J89*(Y89/H89),"0")</f>
        <v>6.8181818181818177E-2</v>
      </c>
    </row>
    <row r="90" spans="1:68" x14ac:dyDescent="0.2">
      <c r="A90" s="572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73"/>
      <c r="P90" s="554" t="s">
        <v>75</v>
      </c>
      <c r="Q90" s="555"/>
      <c r="R90" s="555"/>
      <c r="S90" s="555"/>
      <c r="T90" s="555"/>
      <c r="U90" s="555"/>
      <c r="V90" s="556"/>
      <c r="W90" s="37" t="s">
        <v>76</v>
      </c>
      <c r="X90" s="547">
        <f>IFERROR(X86/H86,"0")+IFERROR(X87/H87,"0")+IFERROR(X88/H88,"0")+IFERROR(X89/H89,"0")</f>
        <v>18.222222222222221</v>
      </c>
      <c r="Y90" s="547">
        <f>IFERROR(Y86/H86,"0")+IFERROR(Y87/H87,"0")+IFERROR(Y88/H88,"0")+IFERROR(Y89/H89,"0")</f>
        <v>19</v>
      </c>
      <c r="Z90" s="547">
        <f>IFERROR(IF(Z86="",0,Z86),"0")+IFERROR(IF(Z87="",0,Z87),"0")+IFERROR(IF(Z88="",0,Z88),"0")+IFERROR(IF(Z89="",0,Z89),"0")</f>
        <v>0.27098</v>
      </c>
      <c r="AA90" s="548"/>
      <c r="AB90" s="548"/>
      <c r="AC90" s="548"/>
    </row>
    <row r="91" spans="1:68" x14ac:dyDescent="0.2">
      <c r="A91" s="550"/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73"/>
      <c r="P91" s="554" t="s">
        <v>75</v>
      </c>
      <c r="Q91" s="555"/>
      <c r="R91" s="555"/>
      <c r="S91" s="555"/>
      <c r="T91" s="555"/>
      <c r="U91" s="555"/>
      <c r="V91" s="556"/>
      <c r="W91" s="37" t="s">
        <v>69</v>
      </c>
      <c r="X91" s="547">
        <f>IFERROR(SUM(X86:X89),"0")</f>
        <v>145</v>
      </c>
      <c r="Y91" s="547">
        <f>IFERROR(SUM(Y86:Y89),"0")</f>
        <v>148.5</v>
      </c>
      <c r="Z91" s="37"/>
      <c r="AA91" s="548"/>
      <c r="AB91" s="548"/>
      <c r="AC91" s="548"/>
    </row>
    <row r="92" spans="1:68" ht="14.25" hidden="1" customHeight="1" x14ac:dyDescent="0.25">
      <c r="A92" s="557" t="s">
        <v>77</v>
      </c>
      <c r="B92" s="550"/>
      <c r="C92" s="550"/>
      <c r="D92" s="550"/>
      <c r="E92" s="550"/>
      <c r="F92" s="550"/>
      <c r="G92" s="550"/>
      <c r="H92" s="550"/>
      <c r="I92" s="550"/>
      <c r="J92" s="550"/>
      <c r="K92" s="550"/>
      <c r="L92" s="550"/>
      <c r="M92" s="550"/>
      <c r="N92" s="550"/>
      <c r="O92" s="550"/>
      <c r="P92" s="550"/>
      <c r="Q92" s="550"/>
      <c r="R92" s="550"/>
      <c r="S92" s="550"/>
      <c r="T92" s="550"/>
      <c r="U92" s="550"/>
      <c r="V92" s="550"/>
      <c r="W92" s="550"/>
      <c r="X92" s="550"/>
      <c r="Y92" s="550"/>
      <c r="Z92" s="550"/>
      <c r="AA92" s="541"/>
      <c r="AB92" s="541"/>
      <c r="AC92" s="541"/>
    </row>
    <row r="93" spans="1:68" ht="27" hidden="1" customHeight="1" x14ac:dyDescent="0.25">
      <c r="A93" s="54" t="s">
        <v>185</v>
      </c>
      <c r="B93" s="54" t="s">
        <v>186</v>
      </c>
      <c r="C93" s="31">
        <v>4301051712</v>
      </c>
      <c r="D93" s="558">
        <v>4607091386967</v>
      </c>
      <c r="E93" s="559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187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4301051788</v>
      </c>
      <c r="D94" s="558">
        <v>4680115884953</v>
      </c>
      <c r="E94" s="559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4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190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191</v>
      </c>
      <c r="B95" s="54" t="s">
        <v>192</v>
      </c>
      <c r="C95" s="31">
        <v>4301051718</v>
      </c>
      <c r="D95" s="558">
        <v>4607091385731</v>
      </c>
      <c r="E95" s="559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193</v>
      </c>
      <c r="B96" s="54" t="s">
        <v>194</v>
      </c>
      <c r="C96" s="31">
        <v>4301051438</v>
      </c>
      <c r="D96" s="558">
        <v>4680115880894</v>
      </c>
      <c r="E96" s="559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69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195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72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73"/>
      <c r="P97" s="554" t="s">
        <v>75</v>
      </c>
      <c r="Q97" s="555"/>
      <c r="R97" s="555"/>
      <c r="S97" s="555"/>
      <c r="T97" s="555"/>
      <c r="U97" s="555"/>
      <c r="V97" s="556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0"/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73"/>
      <c r="P98" s="554" t="s">
        <v>75</v>
      </c>
      <c r="Q98" s="555"/>
      <c r="R98" s="555"/>
      <c r="S98" s="555"/>
      <c r="T98" s="555"/>
      <c r="U98" s="555"/>
      <c r="V98" s="556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69" t="s">
        <v>196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40"/>
      <c r="AB99" s="540"/>
      <c r="AC99" s="540"/>
    </row>
    <row r="100" spans="1:68" ht="14.25" hidden="1" customHeight="1" x14ac:dyDescent="0.25">
      <c r="A100" s="557" t="s">
        <v>102</v>
      </c>
      <c r="B100" s="550"/>
      <c r="C100" s="550"/>
      <c r="D100" s="550"/>
      <c r="E100" s="550"/>
      <c r="F100" s="550"/>
      <c r="G100" s="550"/>
      <c r="H100" s="550"/>
      <c r="I100" s="550"/>
      <c r="J100" s="550"/>
      <c r="K100" s="550"/>
      <c r="L100" s="550"/>
      <c r="M100" s="550"/>
      <c r="N100" s="550"/>
      <c r="O100" s="550"/>
      <c r="P100" s="550"/>
      <c r="Q100" s="550"/>
      <c r="R100" s="550"/>
      <c r="S100" s="550"/>
      <c r="T100" s="550"/>
      <c r="U100" s="550"/>
      <c r="V100" s="550"/>
      <c r="W100" s="550"/>
      <c r="X100" s="550"/>
      <c r="Y100" s="550"/>
      <c r="Z100" s="550"/>
      <c r="AA100" s="541"/>
      <c r="AB100" s="541"/>
      <c r="AC100" s="541"/>
    </row>
    <row r="101" spans="1:68" ht="37.5" customHeight="1" x14ac:dyDescent="0.25">
      <c r="A101" s="54" t="s">
        <v>197</v>
      </c>
      <c r="B101" s="54" t="s">
        <v>198</v>
      </c>
      <c r="C101" s="31">
        <v>4301011514</v>
      </c>
      <c r="D101" s="558">
        <v>4680115882133</v>
      </c>
      <c r="E101" s="559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177</v>
      </c>
      <c r="Y101" s="546">
        <f>IFERROR(IF(X101="",0,CEILING((X101/$H101),1)*$H101),"")</f>
        <v>183.60000000000002</v>
      </c>
      <c r="Z101" s="36">
        <f>IFERROR(IF(Y101=0,"",ROUNDUP(Y101/H101,0)*0.01898),"")</f>
        <v>0.32266</v>
      </c>
      <c r="AA101" s="56"/>
      <c r="AB101" s="57"/>
      <c r="AC101" s="145" t="s">
        <v>199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183.71944444444443</v>
      </c>
      <c r="BN101" s="64">
        <f>IFERROR(Y101*I101/H101,"0")</f>
        <v>190.57000000000002</v>
      </c>
      <c r="BO101" s="64">
        <f>IFERROR(1/J101*(X101/H101),"0")</f>
        <v>0.2560763888888889</v>
      </c>
      <c r="BP101" s="64">
        <f>IFERROR(1/J101*(Y101/H101),"0")</f>
        <v>0.265625</v>
      </c>
    </row>
    <row r="102" spans="1:68" ht="27" hidden="1" customHeight="1" x14ac:dyDescent="0.25">
      <c r="A102" s="54" t="s">
        <v>200</v>
      </c>
      <c r="B102" s="54" t="s">
        <v>201</v>
      </c>
      <c r="C102" s="31">
        <v>4301012051</v>
      </c>
      <c r="D102" s="558">
        <v>4680115887718</v>
      </c>
      <c r="E102" s="559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178</v>
      </c>
      <c r="L102" s="32"/>
      <c r="M102" s="33" t="s">
        <v>68</v>
      </c>
      <c r="N102" s="33"/>
      <c r="O102" s="32">
        <v>30</v>
      </c>
      <c r="P102" s="624" t="s">
        <v>202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204</v>
      </c>
      <c r="B103" s="54" t="s">
        <v>205</v>
      </c>
      <c r="C103" s="31">
        <v>4301011417</v>
      </c>
      <c r="D103" s="558">
        <v>4680115880269</v>
      </c>
      <c r="E103" s="559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206</v>
      </c>
      <c r="B104" s="54" t="s">
        <v>207</v>
      </c>
      <c r="C104" s="31">
        <v>4301011415</v>
      </c>
      <c r="D104" s="558">
        <v>4680115880429</v>
      </c>
      <c r="E104" s="559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208</v>
      </c>
      <c r="M104" s="33" t="s">
        <v>80</v>
      </c>
      <c r="N104" s="33"/>
      <c r="O104" s="32">
        <v>50</v>
      </c>
      <c r="P104" s="8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199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8">
        <v>4680115881457</v>
      </c>
      <c r="E105" s="559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6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199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72"/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73"/>
      <c r="P106" s="554" t="s">
        <v>75</v>
      </c>
      <c r="Q106" s="555"/>
      <c r="R106" s="555"/>
      <c r="S106" s="555"/>
      <c r="T106" s="555"/>
      <c r="U106" s="555"/>
      <c r="V106" s="556"/>
      <c r="W106" s="37" t="s">
        <v>76</v>
      </c>
      <c r="X106" s="547">
        <f>IFERROR(X101/H101,"0")+IFERROR(X102/H102,"0")+IFERROR(X103/H103,"0")+IFERROR(X104/H104,"0")+IFERROR(X105/H105,"0")</f>
        <v>16.388888888888889</v>
      </c>
      <c r="Y106" s="547">
        <f>IFERROR(Y101/H101,"0")+IFERROR(Y102/H102,"0")+IFERROR(Y103/H103,"0")+IFERROR(Y104/H104,"0")+IFERROR(Y105/H105,"0")</f>
        <v>17</v>
      </c>
      <c r="Z106" s="547">
        <f>IFERROR(IF(Z101="",0,Z101),"0")+IFERROR(IF(Z102="",0,Z102),"0")+IFERROR(IF(Z103="",0,Z103),"0")+IFERROR(IF(Z104="",0,Z104),"0")+IFERROR(IF(Z105="",0,Z105),"0")</f>
        <v>0.32266</v>
      </c>
      <c r="AA106" s="548"/>
      <c r="AB106" s="548"/>
      <c r="AC106" s="548"/>
    </row>
    <row r="107" spans="1:68" x14ac:dyDescent="0.2">
      <c r="A107" s="550"/>
      <c r="B107" s="550"/>
      <c r="C107" s="550"/>
      <c r="D107" s="550"/>
      <c r="E107" s="550"/>
      <c r="F107" s="550"/>
      <c r="G107" s="550"/>
      <c r="H107" s="550"/>
      <c r="I107" s="550"/>
      <c r="J107" s="550"/>
      <c r="K107" s="550"/>
      <c r="L107" s="550"/>
      <c r="M107" s="550"/>
      <c r="N107" s="550"/>
      <c r="O107" s="573"/>
      <c r="P107" s="554" t="s">
        <v>75</v>
      </c>
      <c r="Q107" s="555"/>
      <c r="R107" s="555"/>
      <c r="S107" s="555"/>
      <c r="T107" s="555"/>
      <c r="U107" s="555"/>
      <c r="V107" s="556"/>
      <c r="W107" s="37" t="s">
        <v>69</v>
      </c>
      <c r="X107" s="547">
        <f>IFERROR(SUM(X101:X105),"0")</f>
        <v>177</v>
      </c>
      <c r="Y107" s="547">
        <f>IFERROR(SUM(Y101:Y105),"0")</f>
        <v>183.60000000000002</v>
      </c>
      <c r="Z107" s="37"/>
      <c r="AA107" s="548"/>
      <c r="AB107" s="548"/>
      <c r="AC107" s="548"/>
    </row>
    <row r="108" spans="1:68" ht="14.25" hidden="1" customHeight="1" x14ac:dyDescent="0.25">
      <c r="A108" s="557" t="s">
        <v>137</v>
      </c>
      <c r="B108" s="550"/>
      <c r="C108" s="550"/>
      <c r="D108" s="550"/>
      <c r="E108" s="550"/>
      <c r="F108" s="550"/>
      <c r="G108" s="550"/>
      <c r="H108" s="550"/>
      <c r="I108" s="550"/>
      <c r="J108" s="550"/>
      <c r="K108" s="550"/>
      <c r="L108" s="550"/>
      <c r="M108" s="550"/>
      <c r="N108" s="550"/>
      <c r="O108" s="550"/>
      <c r="P108" s="550"/>
      <c r="Q108" s="550"/>
      <c r="R108" s="550"/>
      <c r="S108" s="550"/>
      <c r="T108" s="550"/>
      <c r="U108" s="550"/>
      <c r="V108" s="550"/>
      <c r="W108" s="550"/>
      <c r="X108" s="550"/>
      <c r="Y108" s="550"/>
      <c r="Z108" s="550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8">
        <v>4680115881488</v>
      </c>
      <c r="E109" s="559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107</v>
      </c>
      <c r="N109" s="33"/>
      <c r="O109" s="32">
        <v>55</v>
      </c>
      <c r="P109" s="6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8">
        <v>4680115887664</v>
      </c>
      <c r="E110" s="559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628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8">
        <v>4680115882775</v>
      </c>
      <c r="E111" s="559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66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8">
        <v>4680115880658</v>
      </c>
      <c r="E112" s="559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65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72"/>
      <c r="B113" s="550"/>
      <c r="C113" s="550"/>
      <c r="D113" s="550"/>
      <c r="E113" s="550"/>
      <c r="F113" s="550"/>
      <c r="G113" s="550"/>
      <c r="H113" s="550"/>
      <c r="I113" s="550"/>
      <c r="J113" s="550"/>
      <c r="K113" s="550"/>
      <c r="L113" s="550"/>
      <c r="M113" s="550"/>
      <c r="N113" s="550"/>
      <c r="O113" s="573"/>
      <c r="P113" s="554" t="s">
        <v>75</v>
      </c>
      <c r="Q113" s="555"/>
      <c r="R113" s="555"/>
      <c r="S113" s="555"/>
      <c r="T113" s="555"/>
      <c r="U113" s="555"/>
      <c r="V113" s="556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0"/>
      <c r="B114" s="550"/>
      <c r="C114" s="550"/>
      <c r="D114" s="550"/>
      <c r="E114" s="550"/>
      <c r="F114" s="550"/>
      <c r="G114" s="550"/>
      <c r="H114" s="550"/>
      <c r="I114" s="550"/>
      <c r="J114" s="550"/>
      <c r="K114" s="550"/>
      <c r="L114" s="550"/>
      <c r="M114" s="550"/>
      <c r="N114" s="550"/>
      <c r="O114" s="573"/>
      <c r="P114" s="554" t="s">
        <v>75</v>
      </c>
      <c r="Q114" s="555"/>
      <c r="R114" s="555"/>
      <c r="S114" s="555"/>
      <c r="T114" s="555"/>
      <c r="U114" s="555"/>
      <c r="V114" s="556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7" t="s">
        <v>77</v>
      </c>
      <c r="B115" s="550"/>
      <c r="C115" s="550"/>
      <c r="D115" s="550"/>
      <c r="E115" s="550"/>
      <c r="F115" s="550"/>
      <c r="G115" s="550"/>
      <c r="H115" s="550"/>
      <c r="I115" s="550"/>
      <c r="J115" s="550"/>
      <c r="K115" s="550"/>
      <c r="L115" s="550"/>
      <c r="M115" s="550"/>
      <c r="N115" s="550"/>
      <c r="O115" s="550"/>
      <c r="P115" s="550"/>
      <c r="Q115" s="550"/>
      <c r="R115" s="550"/>
      <c r="S115" s="550"/>
      <c r="T115" s="550"/>
      <c r="U115" s="550"/>
      <c r="V115" s="550"/>
      <c r="W115" s="550"/>
      <c r="X115" s="550"/>
      <c r="Y115" s="550"/>
      <c r="Z115" s="550"/>
      <c r="AA115" s="541"/>
      <c r="AB115" s="541"/>
      <c r="AC115" s="541"/>
    </row>
    <row r="116" spans="1:68" ht="27" hidden="1" customHeight="1" x14ac:dyDescent="0.25">
      <c r="A116" s="54" t="s">
        <v>223</v>
      </c>
      <c r="B116" s="54" t="s">
        <v>224</v>
      </c>
      <c r="C116" s="31">
        <v>4301051724</v>
      </c>
      <c r="D116" s="558">
        <v>4607091385168</v>
      </c>
      <c r="E116" s="559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8">
        <v>4607091383256</v>
      </c>
      <c r="E117" s="559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7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228</v>
      </c>
      <c r="B118" s="54" t="s">
        <v>229</v>
      </c>
      <c r="C118" s="31">
        <v>4301051721</v>
      </c>
      <c r="D118" s="558">
        <v>4607091385748</v>
      </c>
      <c r="E118" s="559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7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2"/>
      <c r="B120" s="550"/>
      <c r="C120" s="550"/>
      <c r="D120" s="550"/>
      <c r="E120" s="550"/>
      <c r="F120" s="550"/>
      <c r="G120" s="550"/>
      <c r="H120" s="550"/>
      <c r="I120" s="550"/>
      <c r="J120" s="550"/>
      <c r="K120" s="550"/>
      <c r="L120" s="550"/>
      <c r="M120" s="550"/>
      <c r="N120" s="550"/>
      <c r="O120" s="573"/>
      <c r="P120" s="554" t="s">
        <v>75</v>
      </c>
      <c r="Q120" s="555"/>
      <c r="R120" s="555"/>
      <c r="S120" s="555"/>
      <c r="T120" s="555"/>
      <c r="U120" s="555"/>
      <c r="V120" s="556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0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73"/>
      <c r="P121" s="554" t="s">
        <v>75</v>
      </c>
      <c r="Q121" s="555"/>
      <c r="R121" s="555"/>
      <c r="S121" s="555"/>
      <c r="T121" s="555"/>
      <c r="U121" s="555"/>
      <c r="V121" s="556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7" t="s">
        <v>165</v>
      </c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50"/>
      <c r="P122" s="550"/>
      <c r="Q122" s="550"/>
      <c r="R122" s="550"/>
      <c r="S122" s="550"/>
      <c r="T122" s="550"/>
      <c r="U122" s="550"/>
      <c r="V122" s="550"/>
      <c r="W122" s="550"/>
      <c r="X122" s="550"/>
      <c r="Y122" s="550"/>
      <c r="Z122" s="550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6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72"/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73"/>
      <c r="P124" s="554" t="s">
        <v>75</v>
      </c>
      <c r="Q124" s="555"/>
      <c r="R124" s="555"/>
      <c r="S124" s="555"/>
      <c r="T124" s="555"/>
      <c r="U124" s="555"/>
      <c r="V124" s="556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0"/>
      <c r="B125" s="550"/>
      <c r="C125" s="550"/>
      <c r="D125" s="550"/>
      <c r="E125" s="550"/>
      <c r="F125" s="550"/>
      <c r="G125" s="550"/>
      <c r="H125" s="550"/>
      <c r="I125" s="550"/>
      <c r="J125" s="550"/>
      <c r="K125" s="550"/>
      <c r="L125" s="550"/>
      <c r="M125" s="550"/>
      <c r="N125" s="550"/>
      <c r="O125" s="573"/>
      <c r="P125" s="554" t="s">
        <v>75</v>
      </c>
      <c r="Q125" s="555"/>
      <c r="R125" s="555"/>
      <c r="S125" s="555"/>
      <c r="T125" s="555"/>
      <c r="U125" s="555"/>
      <c r="V125" s="556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69" t="s">
        <v>237</v>
      </c>
      <c r="B126" s="550"/>
      <c r="C126" s="550"/>
      <c r="D126" s="550"/>
      <c r="E126" s="550"/>
      <c r="F126" s="550"/>
      <c r="G126" s="550"/>
      <c r="H126" s="550"/>
      <c r="I126" s="550"/>
      <c r="J126" s="550"/>
      <c r="K126" s="550"/>
      <c r="L126" s="550"/>
      <c r="M126" s="550"/>
      <c r="N126" s="550"/>
      <c r="O126" s="550"/>
      <c r="P126" s="550"/>
      <c r="Q126" s="550"/>
      <c r="R126" s="550"/>
      <c r="S126" s="550"/>
      <c r="T126" s="550"/>
      <c r="U126" s="550"/>
      <c r="V126" s="550"/>
      <c r="W126" s="550"/>
      <c r="X126" s="550"/>
      <c r="Y126" s="550"/>
      <c r="Z126" s="550"/>
      <c r="AA126" s="540"/>
      <c r="AB126" s="540"/>
      <c r="AC126" s="540"/>
    </row>
    <row r="127" spans="1:68" ht="14.25" hidden="1" customHeight="1" x14ac:dyDescent="0.25">
      <c r="A127" s="557" t="s">
        <v>102</v>
      </c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50"/>
      <c r="P127" s="550"/>
      <c r="Q127" s="550"/>
      <c r="R127" s="550"/>
      <c r="S127" s="550"/>
      <c r="T127" s="550"/>
      <c r="U127" s="550"/>
      <c r="V127" s="550"/>
      <c r="W127" s="550"/>
      <c r="X127" s="550"/>
      <c r="Y127" s="550"/>
      <c r="Z127" s="550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6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72"/>
      <c r="B130" s="550"/>
      <c r="C130" s="550"/>
      <c r="D130" s="550"/>
      <c r="E130" s="550"/>
      <c r="F130" s="550"/>
      <c r="G130" s="550"/>
      <c r="H130" s="550"/>
      <c r="I130" s="550"/>
      <c r="J130" s="550"/>
      <c r="K130" s="550"/>
      <c r="L130" s="550"/>
      <c r="M130" s="550"/>
      <c r="N130" s="550"/>
      <c r="O130" s="573"/>
      <c r="P130" s="554" t="s">
        <v>75</v>
      </c>
      <c r="Q130" s="555"/>
      <c r="R130" s="555"/>
      <c r="S130" s="555"/>
      <c r="T130" s="555"/>
      <c r="U130" s="555"/>
      <c r="V130" s="556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0"/>
      <c r="B131" s="550"/>
      <c r="C131" s="550"/>
      <c r="D131" s="550"/>
      <c r="E131" s="550"/>
      <c r="F131" s="550"/>
      <c r="G131" s="550"/>
      <c r="H131" s="550"/>
      <c r="I131" s="550"/>
      <c r="J131" s="550"/>
      <c r="K131" s="550"/>
      <c r="L131" s="550"/>
      <c r="M131" s="550"/>
      <c r="N131" s="550"/>
      <c r="O131" s="573"/>
      <c r="P131" s="554" t="s">
        <v>75</v>
      </c>
      <c r="Q131" s="555"/>
      <c r="R131" s="555"/>
      <c r="S131" s="555"/>
      <c r="T131" s="555"/>
      <c r="U131" s="555"/>
      <c r="V131" s="556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7" t="s">
        <v>64</v>
      </c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50"/>
      <c r="P132" s="550"/>
      <c r="Q132" s="550"/>
      <c r="R132" s="550"/>
      <c r="S132" s="550"/>
      <c r="T132" s="550"/>
      <c r="U132" s="550"/>
      <c r="V132" s="550"/>
      <c r="W132" s="550"/>
      <c r="X132" s="550"/>
      <c r="Y132" s="550"/>
      <c r="Z132" s="550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6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5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72"/>
      <c r="B135" s="550"/>
      <c r="C135" s="550"/>
      <c r="D135" s="550"/>
      <c r="E135" s="550"/>
      <c r="F135" s="550"/>
      <c r="G135" s="550"/>
      <c r="H135" s="550"/>
      <c r="I135" s="550"/>
      <c r="J135" s="550"/>
      <c r="K135" s="550"/>
      <c r="L135" s="550"/>
      <c r="M135" s="550"/>
      <c r="N135" s="550"/>
      <c r="O135" s="573"/>
      <c r="P135" s="554" t="s">
        <v>75</v>
      </c>
      <c r="Q135" s="555"/>
      <c r="R135" s="555"/>
      <c r="S135" s="555"/>
      <c r="T135" s="555"/>
      <c r="U135" s="555"/>
      <c r="V135" s="556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0"/>
      <c r="B136" s="550"/>
      <c r="C136" s="550"/>
      <c r="D136" s="550"/>
      <c r="E136" s="550"/>
      <c r="F136" s="550"/>
      <c r="G136" s="550"/>
      <c r="H136" s="550"/>
      <c r="I136" s="550"/>
      <c r="J136" s="550"/>
      <c r="K136" s="550"/>
      <c r="L136" s="550"/>
      <c r="M136" s="550"/>
      <c r="N136" s="550"/>
      <c r="O136" s="573"/>
      <c r="P136" s="554" t="s">
        <v>75</v>
      </c>
      <c r="Q136" s="555"/>
      <c r="R136" s="555"/>
      <c r="S136" s="555"/>
      <c r="T136" s="555"/>
      <c r="U136" s="555"/>
      <c r="V136" s="556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7" t="s">
        <v>77</v>
      </c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50"/>
      <c r="P137" s="550"/>
      <c r="Q137" s="550"/>
      <c r="R137" s="550"/>
      <c r="S137" s="550"/>
      <c r="T137" s="550"/>
      <c r="U137" s="550"/>
      <c r="V137" s="550"/>
      <c r="W137" s="550"/>
      <c r="X137" s="550"/>
      <c r="Y137" s="550"/>
      <c r="Z137" s="550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6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72"/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73"/>
      <c r="P140" s="554" t="s">
        <v>75</v>
      </c>
      <c r="Q140" s="555"/>
      <c r="R140" s="555"/>
      <c r="S140" s="555"/>
      <c r="T140" s="555"/>
      <c r="U140" s="555"/>
      <c r="V140" s="556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0"/>
      <c r="B141" s="550"/>
      <c r="C141" s="550"/>
      <c r="D141" s="550"/>
      <c r="E141" s="550"/>
      <c r="F141" s="550"/>
      <c r="G141" s="550"/>
      <c r="H141" s="550"/>
      <c r="I141" s="550"/>
      <c r="J141" s="550"/>
      <c r="K141" s="550"/>
      <c r="L141" s="550"/>
      <c r="M141" s="550"/>
      <c r="N141" s="550"/>
      <c r="O141" s="573"/>
      <c r="P141" s="554" t="s">
        <v>75</v>
      </c>
      <c r="Q141" s="555"/>
      <c r="R141" s="555"/>
      <c r="S141" s="555"/>
      <c r="T141" s="555"/>
      <c r="U141" s="555"/>
      <c r="V141" s="556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69" t="s">
        <v>100</v>
      </c>
      <c r="B142" s="550"/>
      <c r="C142" s="550"/>
      <c r="D142" s="550"/>
      <c r="E142" s="550"/>
      <c r="F142" s="550"/>
      <c r="G142" s="550"/>
      <c r="H142" s="550"/>
      <c r="I142" s="550"/>
      <c r="J142" s="550"/>
      <c r="K142" s="550"/>
      <c r="L142" s="550"/>
      <c r="M142" s="550"/>
      <c r="N142" s="550"/>
      <c r="O142" s="550"/>
      <c r="P142" s="550"/>
      <c r="Q142" s="550"/>
      <c r="R142" s="550"/>
      <c r="S142" s="550"/>
      <c r="T142" s="550"/>
      <c r="U142" s="550"/>
      <c r="V142" s="550"/>
      <c r="W142" s="550"/>
      <c r="X142" s="550"/>
      <c r="Y142" s="550"/>
      <c r="Z142" s="550"/>
      <c r="AA142" s="540"/>
      <c r="AB142" s="540"/>
      <c r="AC142" s="540"/>
    </row>
    <row r="143" spans="1:68" ht="14.25" hidden="1" customHeight="1" x14ac:dyDescent="0.25">
      <c r="A143" s="557" t="s">
        <v>102</v>
      </c>
      <c r="B143" s="550"/>
      <c r="C143" s="550"/>
      <c r="D143" s="550"/>
      <c r="E143" s="550"/>
      <c r="F143" s="550"/>
      <c r="G143" s="550"/>
      <c r="H143" s="550"/>
      <c r="I143" s="550"/>
      <c r="J143" s="550"/>
      <c r="K143" s="550"/>
      <c r="L143" s="550"/>
      <c r="M143" s="550"/>
      <c r="N143" s="550"/>
      <c r="O143" s="550"/>
      <c r="P143" s="550"/>
      <c r="Q143" s="550"/>
      <c r="R143" s="550"/>
      <c r="S143" s="550"/>
      <c r="T143" s="550"/>
      <c r="U143" s="550"/>
      <c r="V143" s="550"/>
      <c r="W143" s="550"/>
      <c r="X143" s="550"/>
      <c r="Y143" s="550"/>
      <c r="Z143" s="550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86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8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72"/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73"/>
      <c r="P146" s="554" t="s">
        <v>75</v>
      </c>
      <c r="Q146" s="555"/>
      <c r="R146" s="555"/>
      <c r="S146" s="555"/>
      <c r="T146" s="555"/>
      <c r="U146" s="555"/>
      <c r="V146" s="556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0"/>
      <c r="B147" s="550"/>
      <c r="C147" s="550"/>
      <c r="D147" s="550"/>
      <c r="E147" s="550"/>
      <c r="F147" s="550"/>
      <c r="G147" s="550"/>
      <c r="H147" s="550"/>
      <c r="I147" s="550"/>
      <c r="J147" s="550"/>
      <c r="K147" s="550"/>
      <c r="L147" s="550"/>
      <c r="M147" s="550"/>
      <c r="N147" s="550"/>
      <c r="O147" s="573"/>
      <c r="P147" s="554" t="s">
        <v>75</v>
      </c>
      <c r="Q147" s="555"/>
      <c r="R147" s="555"/>
      <c r="S147" s="555"/>
      <c r="T147" s="555"/>
      <c r="U147" s="555"/>
      <c r="V147" s="556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7" t="s">
        <v>64</v>
      </c>
      <c r="B148" s="550"/>
      <c r="C148" s="550"/>
      <c r="D148" s="550"/>
      <c r="E148" s="550"/>
      <c r="F148" s="550"/>
      <c r="G148" s="550"/>
      <c r="H148" s="550"/>
      <c r="I148" s="550"/>
      <c r="J148" s="550"/>
      <c r="K148" s="550"/>
      <c r="L148" s="550"/>
      <c r="M148" s="550"/>
      <c r="N148" s="550"/>
      <c r="O148" s="550"/>
      <c r="P148" s="550"/>
      <c r="Q148" s="550"/>
      <c r="R148" s="550"/>
      <c r="S148" s="550"/>
      <c r="T148" s="550"/>
      <c r="U148" s="550"/>
      <c r="V148" s="550"/>
      <c r="W148" s="550"/>
      <c r="X148" s="550"/>
      <c r="Y148" s="550"/>
      <c r="Z148" s="550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5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2"/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73"/>
      <c r="P152" s="554" t="s">
        <v>75</v>
      </c>
      <c r="Q152" s="555"/>
      <c r="R152" s="555"/>
      <c r="S152" s="555"/>
      <c r="T152" s="555"/>
      <c r="U152" s="555"/>
      <c r="V152" s="556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0"/>
      <c r="B153" s="550"/>
      <c r="C153" s="550"/>
      <c r="D153" s="550"/>
      <c r="E153" s="550"/>
      <c r="F153" s="550"/>
      <c r="G153" s="550"/>
      <c r="H153" s="550"/>
      <c r="I153" s="550"/>
      <c r="J153" s="550"/>
      <c r="K153" s="550"/>
      <c r="L153" s="550"/>
      <c r="M153" s="550"/>
      <c r="N153" s="550"/>
      <c r="O153" s="573"/>
      <c r="P153" s="554" t="s">
        <v>75</v>
      </c>
      <c r="Q153" s="555"/>
      <c r="R153" s="555"/>
      <c r="S153" s="555"/>
      <c r="T153" s="555"/>
      <c r="U153" s="555"/>
      <c r="V153" s="556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7" t="s">
        <v>77</v>
      </c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50"/>
      <c r="P154" s="550"/>
      <c r="Q154" s="550"/>
      <c r="R154" s="550"/>
      <c r="S154" s="550"/>
      <c r="T154" s="550"/>
      <c r="U154" s="550"/>
      <c r="V154" s="550"/>
      <c r="W154" s="550"/>
      <c r="X154" s="550"/>
      <c r="Y154" s="550"/>
      <c r="Z154" s="550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72"/>
      <c r="B156" s="550"/>
      <c r="C156" s="550"/>
      <c r="D156" s="550"/>
      <c r="E156" s="550"/>
      <c r="F156" s="550"/>
      <c r="G156" s="550"/>
      <c r="H156" s="550"/>
      <c r="I156" s="550"/>
      <c r="J156" s="550"/>
      <c r="K156" s="550"/>
      <c r="L156" s="550"/>
      <c r="M156" s="550"/>
      <c r="N156" s="550"/>
      <c r="O156" s="573"/>
      <c r="P156" s="554" t="s">
        <v>75</v>
      </c>
      <c r="Q156" s="555"/>
      <c r="R156" s="555"/>
      <c r="S156" s="555"/>
      <c r="T156" s="555"/>
      <c r="U156" s="555"/>
      <c r="V156" s="556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0"/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73"/>
      <c r="P157" s="554" t="s">
        <v>75</v>
      </c>
      <c r="Q157" s="555"/>
      <c r="R157" s="555"/>
      <c r="S157" s="555"/>
      <c r="T157" s="555"/>
      <c r="U157" s="555"/>
      <c r="V157" s="556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88" t="s">
        <v>267</v>
      </c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X158" s="689"/>
      <c r="Y158" s="689"/>
      <c r="Z158" s="689"/>
      <c r="AA158" s="48"/>
      <c r="AB158" s="48"/>
      <c r="AC158" s="48"/>
    </row>
    <row r="159" spans="1:68" ht="16.5" hidden="1" customHeight="1" x14ac:dyDescent="0.25">
      <c r="A159" s="569" t="s">
        <v>268</v>
      </c>
      <c r="B159" s="550"/>
      <c r="C159" s="550"/>
      <c r="D159" s="550"/>
      <c r="E159" s="550"/>
      <c r="F159" s="550"/>
      <c r="G159" s="550"/>
      <c r="H159" s="550"/>
      <c r="I159" s="550"/>
      <c r="J159" s="550"/>
      <c r="K159" s="550"/>
      <c r="L159" s="550"/>
      <c r="M159" s="550"/>
      <c r="N159" s="550"/>
      <c r="O159" s="550"/>
      <c r="P159" s="550"/>
      <c r="Q159" s="550"/>
      <c r="R159" s="550"/>
      <c r="S159" s="550"/>
      <c r="T159" s="550"/>
      <c r="U159" s="550"/>
      <c r="V159" s="550"/>
      <c r="W159" s="550"/>
      <c r="X159" s="550"/>
      <c r="Y159" s="550"/>
      <c r="Z159" s="550"/>
      <c r="AA159" s="540"/>
      <c r="AB159" s="540"/>
      <c r="AC159" s="540"/>
    </row>
    <row r="160" spans="1:68" ht="14.25" hidden="1" customHeight="1" x14ac:dyDescent="0.25">
      <c r="A160" s="557" t="s">
        <v>137</v>
      </c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50"/>
      <c r="P160" s="550"/>
      <c r="Q160" s="550"/>
      <c r="R160" s="550"/>
      <c r="S160" s="550"/>
      <c r="T160" s="550"/>
      <c r="U160" s="550"/>
      <c r="V160" s="550"/>
      <c r="W160" s="550"/>
      <c r="X160" s="550"/>
      <c r="Y160" s="550"/>
      <c r="Z160" s="550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72"/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73"/>
      <c r="P162" s="554" t="s">
        <v>75</v>
      </c>
      <c r="Q162" s="555"/>
      <c r="R162" s="555"/>
      <c r="S162" s="555"/>
      <c r="T162" s="555"/>
      <c r="U162" s="555"/>
      <c r="V162" s="556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0"/>
      <c r="B163" s="550"/>
      <c r="C163" s="550"/>
      <c r="D163" s="550"/>
      <c r="E163" s="550"/>
      <c r="F163" s="550"/>
      <c r="G163" s="550"/>
      <c r="H163" s="550"/>
      <c r="I163" s="550"/>
      <c r="J163" s="550"/>
      <c r="K163" s="550"/>
      <c r="L163" s="550"/>
      <c r="M163" s="550"/>
      <c r="N163" s="550"/>
      <c r="O163" s="573"/>
      <c r="P163" s="554" t="s">
        <v>75</v>
      </c>
      <c r="Q163" s="555"/>
      <c r="R163" s="555"/>
      <c r="S163" s="555"/>
      <c r="T163" s="555"/>
      <c r="U163" s="555"/>
      <c r="V163" s="556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7" t="s">
        <v>64</v>
      </c>
      <c r="B164" s="550"/>
      <c r="C164" s="550"/>
      <c r="D164" s="550"/>
      <c r="E164" s="550"/>
      <c r="F164" s="550"/>
      <c r="G164" s="550"/>
      <c r="H164" s="550"/>
      <c r="I164" s="550"/>
      <c r="J164" s="550"/>
      <c r="K164" s="550"/>
      <c r="L164" s="550"/>
      <c r="M164" s="550"/>
      <c r="N164" s="550"/>
      <c r="O164" s="550"/>
      <c r="P164" s="550"/>
      <c r="Q164" s="550"/>
      <c r="R164" s="550"/>
      <c r="S164" s="550"/>
      <c r="T164" s="550"/>
      <c r="U164" s="550"/>
      <c r="V164" s="550"/>
      <c r="W164" s="550"/>
      <c r="X164" s="550"/>
      <c r="Y164" s="550"/>
      <c r="Z164" s="550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9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208</v>
      </c>
      <c r="M166" s="33" t="s">
        <v>68</v>
      </c>
      <c r="N166" s="33"/>
      <c r="O166" s="32">
        <v>40</v>
      </c>
      <c r="P166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158</v>
      </c>
      <c r="Y166" s="546">
        <f t="shared" si="5"/>
        <v>159.6</v>
      </c>
      <c r="Z166" s="36">
        <f>IFERROR(IF(Y166=0,"",ROUNDUP(Y166/H166,0)*0.00902),"")</f>
        <v>0.34276000000000001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167.4047619047619</v>
      </c>
      <c r="BN166" s="64">
        <f t="shared" si="7"/>
        <v>169.1</v>
      </c>
      <c r="BO166" s="64">
        <f t="shared" si="8"/>
        <v>0.28499278499278502</v>
      </c>
      <c r="BP166" s="64">
        <f t="shared" si="9"/>
        <v>0.2878787878787879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208</v>
      </c>
      <c r="M168" s="33" t="s">
        <v>68</v>
      </c>
      <c r="N168" s="33"/>
      <c r="O168" s="32">
        <v>40</v>
      </c>
      <c r="P168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165</v>
      </c>
      <c r="Y168" s="546">
        <f t="shared" si="5"/>
        <v>168</v>
      </c>
      <c r="Z168" s="36">
        <f>IFERROR(IF(Y168=0,"",ROUNDUP(Y168/H168,0)*0.00902),"")</f>
        <v>0.36080000000000001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172.46428571428569</v>
      </c>
      <c r="BN168" s="64">
        <f t="shared" si="7"/>
        <v>175.6</v>
      </c>
      <c r="BO168" s="64">
        <f t="shared" si="8"/>
        <v>0.29761904761904762</v>
      </c>
      <c r="BP168" s="64">
        <f t="shared" si="9"/>
        <v>0.30303030303030304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8</v>
      </c>
      <c r="Y172" s="546">
        <f t="shared" si="5"/>
        <v>9</v>
      </c>
      <c r="Z172" s="36">
        <f>IFERROR(IF(Y172=0,"",ROUNDUP(Y172/H172,0)*0.00502),"")</f>
        <v>2.5100000000000001E-2</v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8.5777777777777775</v>
      </c>
      <c r="BN172" s="64">
        <f t="shared" si="7"/>
        <v>9.65</v>
      </c>
      <c r="BO172" s="64">
        <f t="shared" si="8"/>
        <v>1.8993352326685663E-2</v>
      </c>
      <c r="BP172" s="64">
        <f t="shared" si="9"/>
        <v>2.1367521367521368E-2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178</v>
      </c>
      <c r="L173" s="32"/>
      <c r="M173" s="33" t="s">
        <v>68</v>
      </c>
      <c r="N173" s="33"/>
      <c r="O173" s="32">
        <v>45</v>
      </c>
      <c r="P173" s="839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7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35</v>
      </c>
      <c r="Y174" s="546">
        <f t="shared" si="5"/>
        <v>35.700000000000003</v>
      </c>
      <c r="Z174" s="36">
        <f>IFERROR(IF(Y174=0,"",ROUNDUP(Y174/H174,0)*0.00502),"")</f>
        <v>8.5339999999999999E-2</v>
      </c>
      <c r="AA174" s="56"/>
      <c r="AB174" s="57"/>
      <c r="AC174" s="217" t="s">
        <v>285</v>
      </c>
      <c r="AG174" s="64"/>
      <c r="AJ174" s="68"/>
      <c r="AK174" s="68">
        <v>0</v>
      </c>
      <c r="BB174" s="218" t="s">
        <v>1</v>
      </c>
      <c r="BM174" s="64">
        <f t="shared" si="6"/>
        <v>36.666666666666664</v>
      </c>
      <c r="BN174" s="64">
        <f t="shared" si="7"/>
        <v>37.4</v>
      </c>
      <c r="BO174" s="64">
        <f t="shared" si="8"/>
        <v>7.1225071225071226E-2</v>
      </c>
      <c r="BP174" s="64">
        <f t="shared" si="9"/>
        <v>7.2649572649572655E-2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72"/>
      <c r="B177" s="550"/>
      <c r="C177" s="550"/>
      <c r="D177" s="550"/>
      <c r="E177" s="550"/>
      <c r="F177" s="550"/>
      <c r="G177" s="550"/>
      <c r="H177" s="550"/>
      <c r="I177" s="550"/>
      <c r="J177" s="550"/>
      <c r="K177" s="550"/>
      <c r="L177" s="550"/>
      <c r="M177" s="550"/>
      <c r="N177" s="550"/>
      <c r="O177" s="573"/>
      <c r="P177" s="554" t="s">
        <v>75</v>
      </c>
      <c r="Q177" s="555"/>
      <c r="R177" s="555"/>
      <c r="S177" s="555"/>
      <c r="T177" s="555"/>
      <c r="U177" s="555"/>
      <c r="V177" s="556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98.015873015873012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100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0.81399999999999995</v>
      </c>
      <c r="AA177" s="548"/>
      <c r="AB177" s="548"/>
      <c r="AC177" s="548"/>
    </row>
    <row r="178" spans="1:68" x14ac:dyDescent="0.2">
      <c r="A178" s="550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73"/>
      <c r="P178" s="554" t="s">
        <v>75</v>
      </c>
      <c r="Q178" s="555"/>
      <c r="R178" s="555"/>
      <c r="S178" s="555"/>
      <c r="T178" s="555"/>
      <c r="U178" s="555"/>
      <c r="V178" s="556"/>
      <c r="W178" s="37" t="s">
        <v>69</v>
      </c>
      <c r="X178" s="547">
        <f>IFERROR(SUM(X165:X176),"0")</f>
        <v>366</v>
      </c>
      <c r="Y178" s="547">
        <f>IFERROR(SUM(Y165:Y176),"0")</f>
        <v>372.3</v>
      </c>
      <c r="Z178" s="37"/>
      <c r="AA178" s="548"/>
      <c r="AB178" s="548"/>
      <c r="AC178" s="548"/>
    </row>
    <row r="179" spans="1:68" ht="14.25" hidden="1" customHeight="1" x14ac:dyDescent="0.25">
      <c r="A179" s="557" t="s">
        <v>94</v>
      </c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50"/>
      <c r="P179" s="550"/>
      <c r="Q179" s="550"/>
      <c r="R179" s="550"/>
      <c r="S179" s="550"/>
      <c r="T179" s="550"/>
      <c r="U179" s="550"/>
      <c r="V179" s="550"/>
      <c r="W179" s="550"/>
      <c r="X179" s="550"/>
      <c r="Y179" s="550"/>
      <c r="Z179" s="550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1</v>
      </c>
      <c r="Y182" s="546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1.1507936507936507</v>
      </c>
      <c r="BN182" s="64">
        <f>IFERROR(Y182*I182/H182,"0")</f>
        <v>1.45</v>
      </c>
      <c r="BO182" s="64">
        <f>IFERROR(1/J182*(X182/H182),"0")</f>
        <v>3.6743092298647849E-3</v>
      </c>
      <c r="BP182" s="64">
        <f>IFERROR(1/J182*(Y182/H182),"0")</f>
        <v>4.6296296296296294E-3</v>
      </c>
    </row>
    <row r="183" spans="1:68" x14ac:dyDescent="0.2">
      <c r="A183" s="572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73"/>
      <c r="P183" s="554" t="s">
        <v>75</v>
      </c>
      <c r="Q183" s="555"/>
      <c r="R183" s="555"/>
      <c r="S183" s="555"/>
      <c r="T183" s="555"/>
      <c r="U183" s="555"/>
      <c r="V183" s="556"/>
      <c r="W183" s="37" t="s">
        <v>76</v>
      </c>
      <c r="X183" s="547">
        <f>IFERROR(X180/H180,"0")+IFERROR(X181/H181,"0")+IFERROR(X182/H182,"0")</f>
        <v>0.79365079365079361</v>
      </c>
      <c r="Y183" s="547">
        <f>IFERROR(Y180/H180,"0")+IFERROR(Y181/H181,"0")+IFERROR(Y182/H182,"0")</f>
        <v>1</v>
      </c>
      <c r="Z183" s="547">
        <f>IFERROR(IF(Z180="",0,Z180),"0")+IFERROR(IF(Z181="",0,Z181),"0")+IFERROR(IF(Z182="",0,Z182),"0")</f>
        <v>5.8999999999999999E-3</v>
      </c>
      <c r="AA183" s="548"/>
      <c r="AB183" s="548"/>
      <c r="AC183" s="548"/>
    </row>
    <row r="184" spans="1:68" x14ac:dyDescent="0.2">
      <c r="A184" s="550"/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73"/>
      <c r="P184" s="554" t="s">
        <v>75</v>
      </c>
      <c r="Q184" s="555"/>
      <c r="R184" s="555"/>
      <c r="S184" s="555"/>
      <c r="T184" s="555"/>
      <c r="U184" s="555"/>
      <c r="V184" s="556"/>
      <c r="W184" s="37" t="s">
        <v>69</v>
      </c>
      <c r="X184" s="547">
        <f>IFERROR(SUM(X180:X182),"0")</f>
        <v>1</v>
      </c>
      <c r="Y184" s="547">
        <f>IFERROR(SUM(Y180:Y182),"0")</f>
        <v>1.26</v>
      </c>
      <c r="Z184" s="37"/>
      <c r="AA184" s="548"/>
      <c r="AB184" s="548"/>
      <c r="AC184" s="548"/>
    </row>
    <row r="185" spans="1:68" ht="14.25" hidden="1" customHeight="1" x14ac:dyDescent="0.25">
      <c r="A185" s="557" t="s">
        <v>318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1</v>
      </c>
      <c r="Y186" s="546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72"/>
      <c r="B187" s="550"/>
      <c r="C187" s="550"/>
      <c r="D187" s="550"/>
      <c r="E187" s="550"/>
      <c r="F187" s="550"/>
      <c r="G187" s="550"/>
      <c r="H187" s="550"/>
      <c r="I187" s="550"/>
      <c r="J187" s="550"/>
      <c r="K187" s="550"/>
      <c r="L187" s="550"/>
      <c r="M187" s="550"/>
      <c r="N187" s="550"/>
      <c r="O187" s="573"/>
      <c r="P187" s="554" t="s">
        <v>75</v>
      </c>
      <c r="Q187" s="555"/>
      <c r="R187" s="555"/>
      <c r="S187" s="555"/>
      <c r="T187" s="555"/>
      <c r="U187" s="555"/>
      <c r="V187" s="556"/>
      <c r="W187" s="37" t="s">
        <v>76</v>
      </c>
      <c r="X187" s="547">
        <f>IFERROR(X186/H186,"0")</f>
        <v>0.79365079365079361</v>
      </c>
      <c r="Y187" s="547">
        <f>IFERROR(Y186/H186,"0")</f>
        <v>1</v>
      </c>
      <c r="Z187" s="547">
        <f>IFERROR(IF(Z186="",0,Z186),"0")</f>
        <v>5.8999999999999999E-3</v>
      </c>
      <c r="AA187" s="548"/>
      <c r="AB187" s="548"/>
      <c r="AC187" s="548"/>
    </row>
    <row r="188" spans="1:68" x14ac:dyDescent="0.2">
      <c r="A188" s="550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73"/>
      <c r="P188" s="554" t="s">
        <v>75</v>
      </c>
      <c r="Q188" s="555"/>
      <c r="R188" s="555"/>
      <c r="S188" s="555"/>
      <c r="T188" s="555"/>
      <c r="U188" s="555"/>
      <c r="V188" s="556"/>
      <c r="W188" s="37" t="s">
        <v>69</v>
      </c>
      <c r="X188" s="547">
        <f>IFERROR(SUM(X186:X186),"0")</f>
        <v>1</v>
      </c>
      <c r="Y188" s="547">
        <f>IFERROR(SUM(Y186:Y186),"0")</f>
        <v>1.26</v>
      </c>
      <c r="Z188" s="37"/>
      <c r="AA188" s="548"/>
      <c r="AB188" s="548"/>
      <c r="AC188" s="548"/>
    </row>
    <row r="189" spans="1:68" ht="16.5" hidden="1" customHeight="1" x14ac:dyDescent="0.25">
      <c r="A189" s="569" t="s">
        <v>321</v>
      </c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50"/>
      <c r="P189" s="550"/>
      <c r="Q189" s="550"/>
      <c r="R189" s="550"/>
      <c r="S189" s="550"/>
      <c r="T189" s="550"/>
      <c r="U189" s="550"/>
      <c r="V189" s="550"/>
      <c r="W189" s="550"/>
      <c r="X189" s="550"/>
      <c r="Y189" s="550"/>
      <c r="Z189" s="550"/>
      <c r="AA189" s="540"/>
      <c r="AB189" s="540"/>
      <c r="AC189" s="540"/>
    </row>
    <row r="190" spans="1:68" ht="14.25" hidden="1" customHeight="1" x14ac:dyDescent="0.25">
      <c r="A190" s="557" t="s">
        <v>102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6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2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73"/>
      <c r="P193" s="554" t="s">
        <v>75</v>
      </c>
      <c r="Q193" s="555"/>
      <c r="R193" s="555"/>
      <c r="S193" s="555"/>
      <c r="T193" s="555"/>
      <c r="U193" s="555"/>
      <c r="V193" s="556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73"/>
      <c r="P194" s="554" t="s">
        <v>75</v>
      </c>
      <c r="Q194" s="555"/>
      <c r="R194" s="555"/>
      <c r="S194" s="555"/>
      <c r="T194" s="555"/>
      <c r="U194" s="555"/>
      <c r="V194" s="556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7" t="s">
        <v>137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6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72"/>
      <c r="B198" s="550"/>
      <c r="C198" s="550"/>
      <c r="D198" s="550"/>
      <c r="E198" s="550"/>
      <c r="F198" s="550"/>
      <c r="G198" s="550"/>
      <c r="H198" s="550"/>
      <c r="I198" s="550"/>
      <c r="J198" s="550"/>
      <c r="K198" s="550"/>
      <c r="L198" s="550"/>
      <c r="M198" s="550"/>
      <c r="N198" s="550"/>
      <c r="O198" s="573"/>
      <c r="P198" s="554" t="s">
        <v>75</v>
      </c>
      <c r="Q198" s="555"/>
      <c r="R198" s="555"/>
      <c r="S198" s="555"/>
      <c r="T198" s="555"/>
      <c r="U198" s="555"/>
      <c r="V198" s="556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0"/>
      <c r="B199" s="550"/>
      <c r="C199" s="550"/>
      <c r="D199" s="550"/>
      <c r="E199" s="550"/>
      <c r="F199" s="550"/>
      <c r="G199" s="550"/>
      <c r="H199" s="550"/>
      <c r="I199" s="550"/>
      <c r="J199" s="550"/>
      <c r="K199" s="550"/>
      <c r="L199" s="550"/>
      <c r="M199" s="550"/>
      <c r="N199" s="550"/>
      <c r="O199" s="573"/>
      <c r="P199" s="554" t="s">
        <v>75</v>
      </c>
      <c r="Q199" s="555"/>
      <c r="R199" s="555"/>
      <c r="S199" s="555"/>
      <c r="T199" s="555"/>
      <c r="U199" s="555"/>
      <c r="V199" s="556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7" t="s">
        <v>64</v>
      </c>
      <c r="B200" s="550"/>
      <c r="C200" s="550"/>
      <c r="D200" s="550"/>
      <c r="E200" s="550"/>
      <c r="F200" s="550"/>
      <c r="G200" s="550"/>
      <c r="H200" s="550"/>
      <c r="I200" s="550"/>
      <c r="J200" s="550"/>
      <c r="K200" s="550"/>
      <c r="L200" s="550"/>
      <c r="M200" s="550"/>
      <c r="N200" s="550"/>
      <c r="O200" s="550"/>
      <c r="P200" s="550"/>
      <c r="Q200" s="550"/>
      <c r="R200" s="550"/>
      <c r="S200" s="550"/>
      <c r="T200" s="550"/>
      <c r="U200" s="550"/>
      <c r="V200" s="550"/>
      <c r="W200" s="550"/>
      <c r="X200" s="550"/>
      <c r="Y200" s="550"/>
      <c r="Z200" s="550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208</v>
      </c>
      <c r="M201" s="33" t="s">
        <v>68</v>
      </c>
      <c r="N201" s="33"/>
      <c r="O201" s="32">
        <v>40</v>
      </c>
      <c r="P201" s="6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193</v>
      </c>
      <c r="Y201" s="546">
        <f t="shared" ref="Y201:Y208" si="10">IFERROR(IF(X201="",0,CEILING((X201/$H201),1)*$H201),"")</f>
        <v>194.4</v>
      </c>
      <c r="Z201" s="36">
        <f>IFERROR(IF(Y201=0,"",ROUNDUP(Y201/H201,0)*0.00902),"")</f>
        <v>0.32472000000000001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199.79074074074072</v>
      </c>
      <c r="BN201" s="64">
        <f t="shared" ref="BN201:BN208" si="12">IFERROR(Y201*I201/H201,"0")</f>
        <v>201.23999999999998</v>
      </c>
      <c r="BO201" s="64">
        <f t="shared" ref="BO201:BO208" si="13">IFERROR(1/J201*(X201/H201),"0")</f>
        <v>0.27076318742985411</v>
      </c>
      <c r="BP201" s="64">
        <f t="shared" ref="BP201:BP208" si="14">IFERROR(1/J201*(Y201/H201),"0")</f>
        <v>0.27272727272727271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208</v>
      </c>
      <c r="M202" s="33" t="s">
        <v>68</v>
      </c>
      <c r="N202" s="33"/>
      <c r="O202" s="32">
        <v>40</v>
      </c>
      <c r="P202" s="5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188</v>
      </c>
      <c r="Y202" s="546">
        <f t="shared" si="10"/>
        <v>189</v>
      </c>
      <c r="Z202" s="36">
        <f>IFERROR(IF(Y202=0,"",ROUNDUP(Y202/H202,0)*0.00902),"")</f>
        <v>0.31569999999999998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194.61481481481482</v>
      </c>
      <c r="BN202" s="64">
        <f t="shared" si="12"/>
        <v>195.64999999999998</v>
      </c>
      <c r="BO202" s="64">
        <f t="shared" si="13"/>
        <v>0.26374859708193038</v>
      </c>
      <c r="BP202" s="64">
        <f t="shared" si="14"/>
        <v>0.26515151515151514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208</v>
      </c>
      <c r="M204" s="33" t="s">
        <v>68</v>
      </c>
      <c r="N204" s="33"/>
      <c r="O204" s="32">
        <v>40</v>
      </c>
      <c r="P204" s="8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301</v>
      </c>
      <c r="Y204" s="546">
        <f t="shared" si="10"/>
        <v>302.40000000000003</v>
      </c>
      <c r="Z204" s="36">
        <f>IFERROR(IF(Y204=0,"",ROUNDUP(Y204/H204,0)*0.00902),"")</f>
        <v>0.50512000000000001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311.59074074074073</v>
      </c>
      <c r="BN204" s="64">
        <f t="shared" si="12"/>
        <v>313.04000000000002</v>
      </c>
      <c r="BO204" s="64">
        <f t="shared" si="13"/>
        <v>0.4222783389450056</v>
      </c>
      <c r="BP204" s="64">
        <f t="shared" si="14"/>
        <v>0.42424242424242425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8</v>
      </c>
      <c r="Y205" s="546">
        <f t="shared" si="10"/>
        <v>9</v>
      </c>
      <c r="Z205" s="36">
        <f>IFERROR(IF(Y205=0,"",ROUNDUP(Y205/H205,0)*0.00502),"")</f>
        <v>2.5100000000000001E-2</v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8.5777777777777775</v>
      </c>
      <c r="BN205" s="64">
        <f t="shared" si="12"/>
        <v>9.65</v>
      </c>
      <c r="BO205" s="64">
        <f t="shared" si="13"/>
        <v>1.8993352326685663E-2</v>
      </c>
      <c r="BP205" s="64">
        <f t="shared" si="14"/>
        <v>2.1367521367521368E-2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6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11</v>
      </c>
      <c r="Y206" s="546">
        <f t="shared" si="10"/>
        <v>12.6</v>
      </c>
      <c r="Z206" s="36">
        <f>IFERROR(IF(Y206=0,"",ROUNDUP(Y206/H206,0)*0.00502),"")</f>
        <v>3.5140000000000005E-2</v>
      </c>
      <c r="AA206" s="56"/>
      <c r="AB206" s="57"/>
      <c r="AC206" s="249" t="s">
        <v>337</v>
      </c>
      <c r="AG206" s="64"/>
      <c r="AJ206" s="68"/>
      <c r="AK206" s="68">
        <v>0</v>
      </c>
      <c r="BB206" s="250" t="s">
        <v>1</v>
      </c>
      <c r="BM206" s="64">
        <f t="shared" si="11"/>
        <v>11.611111111111111</v>
      </c>
      <c r="BN206" s="64">
        <f t="shared" si="12"/>
        <v>13.299999999999999</v>
      </c>
      <c r="BO206" s="64">
        <f t="shared" si="13"/>
        <v>2.6115859449192782E-2</v>
      </c>
      <c r="BP206" s="64">
        <f t="shared" si="14"/>
        <v>2.9914529914529919E-2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2</v>
      </c>
      <c r="Y208" s="546">
        <f t="shared" si="10"/>
        <v>3.6</v>
      </c>
      <c r="Z208" s="36">
        <f>IFERROR(IF(Y208=0,"",ROUNDUP(Y208/H208,0)*0.00502),"")</f>
        <v>1.004E-2</v>
      </c>
      <c r="AA208" s="56"/>
      <c r="AB208" s="57"/>
      <c r="AC208" s="253" t="s">
        <v>343</v>
      </c>
      <c r="AG208" s="64"/>
      <c r="AJ208" s="68"/>
      <c r="AK208" s="68">
        <v>0</v>
      </c>
      <c r="BB208" s="254" t="s">
        <v>1</v>
      </c>
      <c r="BM208" s="64">
        <f t="shared" si="11"/>
        <v>2.1111111111111112</v>
      </c>
      <c r="BN208" s="64">
        <f t="shared" si="12"/>
        <v>3.8</v>
      </c>
      <c r="BO208" s="64">
        <f t="shared" si="13"/>
        <v>4.7483380816714157E-3</v>
      </c>
      <c r="BP208" s="64">
        <f t="shared" si="14"/>
        <v>8.5470085470085479E-3</v>
      </c>
    </row>
    <row r="209" spans="1:68" x14ac:dyDescent="0.2">
      <c r="A209" s="572"/>
      <c r="B209" s="550"/>
      <c r="C209" s="550"/>
      <c r="D209" s="550"/>
      <c r="E209" s="550"/>
      <c r="F209" s="550"/>
      <c r="G209" s="550"/>
      <c r="H209" s="550"/>
      <c r="I209" s="550"/>
      <c r="J209" s="550"/>
      <c r="K209" s="550"/>
      <c r="L209" s="550"/>
      <c r="M209" s="550"/>
      <c r="N209" s="550"/>
      <c r="O209" s="573"/>
      <c r="P209" s="554" t="s">
        <v>75</v>
      </c>
      <c r="Q209" s="555"/>
      <c r="R209" s="555"/>
      <c r="S209" s="555"/>
      <c r="T209" s="555"/>
      <c r="U209" s="555"/>
      <c r="V209" s="556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137.96296296296296</v>
      </c>
      <c r="Y209" s="547">
        <f>IFERROR(Y201/H201,"0")+IFERROR(Y202/H202,"0")+IFERROR(Y203/H203,"0")+IFERROR(Y204/H204,"0")+IFERROR(Y205/H205,"0")+IFERROR(Y206/H206,"0")+IFERROR(Y207/H207,"0")+IFERROR(Y208/H208,"0")</f>
        <v>141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1.2158199999999999</v>
      </c>
      <c r="AA209" s="548"/>
      <c r="AB209" s="548"/>
      <c r="AC209" s="548"/>
    </row>
    <row r="210" spans="1:68" x14ac:dyDescent="0.2">
      <c r="A210" s="550"/>
      <c r="B210" s="550"/>
      <c r="C210" s="550"/>
      <c r="D210" s="550"/>
      <c r="E210" s="550"/>
      <c r="F210" s="550"/>
      <c r="G210" s="550"/>
      <c r="H210" s="550"/>
      <c r="I210" s="550"/>
      <c r="J210" s="550"/>
      <c r="K210" s="550"/>
      <c r="L210" s="550"/>
      <c r="M210" s="550"/>
      <c r="N210" s="550"/>
      <c r="O210" s="573"/>
      <c r="P210" s="554" t="s">
        <v>75</v>
      </c>
      <c r="Q210" s="555"/>
      <c r="R210" s="555"/>
      <c r="S210" s="555"/>
      <c r="T210" s="555"/>
      <c r="U210" s="555"/>
      <c r="V210" s="556"/>
      <c r="W210" s="37" t="s">
        <v>69</v>
      </c>
      <c r="X210" s="547">
        <f>IFERROR(SUM(X201:X208),"0")</f>
        <v>703</v>
      </c>
      <c r="Y210" s="547">
        <f>IFERROR(SUM(Y201:Y208),"0")</f>
        <v>711</v>
      </c>
      <c r="Z210" s="37"/>
      <c r="AA210" s="548"/>
      <c r="AB210" s="548"/>
      <c r="AC210" s="548"/>
    </row>
    <row r="211" spans="1:68" ht="14.25" hidden="1" customHeight="1" x14ac:dyDescent="0.25">
      <c r="A211" s="557" t="s">
        <v>77</v>
      </c>
      <c r="B211" s="550"/>
      <c r="C211" s="550"/>
      <c r="D211" s="550"/>
      <c r="E211" s="550"/>
      <c r="F211" s="550"/>
      <c r="G211" s="550"/>
      <c r="H211" s="550"/>
      <c r="I211" s="550"/>
      <c r="J211" s="550"/>
      <c r="K211" s="550"/>
      <c r="L211" s="550"/>
      <c r="M211" s="550"/>
      <c r="N211" s="550"/>
      <c r="O211" s="550"/>
      <c r="P211" s="550"/>
      <c r="Q211" s="550"/>
      <c r="R211" s="550"/>
      <c r="S211" s="550"/>
      <c r="T211" s="550"/>
      <c r="U211" s="550"/>
      <c r="V211" s="550"/>
      <c r="W211" s="550"/>
      <c r="X211" s="550"/>
      <c r="Y211" s="550"/>
      <c r="Z211" s="550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48</v>
      </c>
      <c r="Y212" s="546">
        <f t="shared" ref="Y212:Y220" si="15">IFERROR(IF(X212="",0,CEILING((X212/$H212),1)*$H212),"")</f>
        <v>48.599999999999994</v>
      </c>
      <c r="Z212" s="36">
        <f>IFERROR(IF(Y212=0,"",ROUNDUP(Y212/H212,0)*0.01898),"")</f>
        <v>0.11388000000000001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50.927407407407401</v>
      </c>
      <c r="BN212" s="64">
        <f t="shared" ref="BN212:BN220" si="17">IFERROR(Y212*I212/H212,"0")</f>
        <v>51.563999999999993</v>
      </c>
      <c r="BO212" s="64">
        <f t="shared" ref="BO212:BO220" si="18">IFERROR(1/J212*(X212/H212),"0")</f>
        <v>9.2592592592592601E-2</v>
      </c>
      <c r="BP212" s="64">
        <f t="shared" ref="BP212:BP220" si="19">IFERROR(1/J212*(Y212/H212),"0")</f>
        <v>9.375E-2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6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46</v>
      </c>
      <c r="Y215" s="546">
        <f t="shared" si="15"/>
        <v>48</v>
      </c>
      <c r="Z215" s="36">
        <f t="shared" ref="Z215:Z220" si="20">IFERROR(IF(Y215=0,"",ROUNDUP(Y215/H215,0)*0.00651),"")</f>
        <v>0.13020000000000001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51.174999999999997</v>
      </c>
      <c r="BN215" s="64">
        <f t="shared" si="17"/>
        <v>53.4</v>
      </c>
      <c r="BO215" s="64">
        <f t="shared" si="18"/>
        <v>0.10531135531135533</v>
      </c>
      <c r="BP215" s="64">
        <f t="shared" si="19"/>
        <v>0.1098901098901099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6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230</v>
      </c>
      <c r="M218" s="33" t="s">
        <v>80</v>
      </c>
      <c r="N218" s="33"/>
      <c r="O218" s="32">
        <v>45</v>
      </c>
      <c r="P218" s="5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45</v>
      </c>
      <c r="Y219" s="546">
        <f t="shared" si="15"/>
        <v>45.6</v>
      </c>
      <c r="Z219" s="36">
        <f t="shared" si="20"/>
        <v>0.12369000000000001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49.725000000000001</v>
      </c>
      <c r="BN219" s="64">
        <f t="shared" si="17"/>
        <v>50.388000000000005</v>
      </c>
      <c r="BO219" s="64">
        <f t="shared" si="18"/>
        <v>0.10302197802197803</v>
      </c>
      <c r="BP219" s="64">
        <f t="shared" si="19"/>
        <v>0.1043956043956044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52</v>
      </c>
      <c r="Y220" s="546">
        <f t="shared" si="15"/>
        <v>52.8</v>
      </c>
      <c r="Z220" s="36">
        <f t="shared" si="20"/>
        <v>0.14322000000000001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57.59</v>
      </c>
      <c r="BN220" s="64">
        <f t="shared" si="17"/>
        <v>58.475999999999999</v>
      </c>
      <c r="BO220" s="64">
        <f t="shared" si="18"/>
        <v>0.11904761904761907</v>
      </c>
      <c r="BP220" s="64">
        <f t="shared" si="19"/>
        <v>0.12087912087912089</v>
      </c>
    </row>
    <row r="221" spans="1:68" x14ac:dyDescent="0.2">
      <c r="A221" s="572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73"/>
      <c r="P221" s="554" t="s">
        <v>75</v>
      </c>
      <c r="Q221" s="555"/>
      <c r="R221" s="555"/>
      <c r="S221" s="555"/>
      <c r="T221" s="555"/>
      <c r="U221" s="555"/>
      <c r="V221" s="556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65.509259259259267</v>
      </c>
      <c r="Y221" s="547">
        <f>IFERROR(Y212/H212,"0")+IFERROR(Y213/H213,"0")+IFERROR(Y214/H214,"0")+IFERROR(Y215/H215,"0")+IFERROR(Y216/H216,"0")+IFERROR(Y217/H217,"0")+IFERROR(Y218/H218,"0")+IFERROR(Y219/H219,"0")+IFERROR(Y220/H220,"0")</f>
        <v>67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0.51099000000000006</v>
      </c>
      <c r="AA221" s="548"/>
      <c r="AB221" s="548"/>
      <c r="AC221" s="548"/>
    </row>
    <row r="222" spans="1:68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73"/>
      <c r="P222" s="554" t="s">
        <v>75</v>
      </c>
      <c r="Q222" s="555"/>
      <c r="R222" s="555"/>
      <c r="S222" s="555"/>
      <c r="T222" s="555"/>
      <c r="U222" s="555"/>
      <c r="V222" s="556"/>
      <c r="W222" s="37" t="s">
        <v>69</v>
      </c>
      <c r="X222" s="547">
        <f>IFERROR(SUM(X212:X220),"0")</f>
        <v>191</v>
      </c>
      <c r="Y222" s="547">
        <f>IFERROR(SUM(Y212:Y220),"0")</f>
        <v>195</v>
      </c>
      <c r="Z222" s="37"/>
      <c r="AA222" s="548"/>
      <c r="AB222" s="548"/>
      <c r="AC222" s="548"/>
    </row>
    <row r="223" spans="1:68" ht="14.25" hidden="1" customHeight="1" x14ac:dyDescent="0.25">
      <c r="A223" s="557" t="s">
        <v>165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6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72"/>
      <c r="B226" s="550"/>
      <c r="C226" s="550"/>
      <c r="D226" s="550"/>
      <c r="E226" s="550"/>
      <c r="F226" s="550"/>
      <c r="G226" s="550"/>
      <c r="H226" s="550"/>
      <c r="I226" s="550"/>
      <c r="J226" s="550"/>
      <c r="K226" s="550"/>
      <c r="L226" s="550"/>
      <c r="M226" s="550"/>
      <c r="N226" s="550"/>
      <c r="O226" s="573"/>
      <c r="P226" s="554" t="s">
        <v>75</v>
      </c>
      <c r="Q226" s="555"/>
      <c r="R226" s="555"/>
      <c r="S226" s="555"/>
      <c r="T226" s="555"/>
      <c r="U226" s="555"/>
      <c r="V226" s="556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0"/>
      <c r="B227" s="550"/>
      <c r="C227" s="550"/>
      <c r="D227" s="550"/>
      <c r="E227" s="550"/>
      <c r="F227" s="550"/>
      <c r="G227" s="550"/>
      <c r="H227" s="550"/>
      <c r="I227" s="550"/>
      <c r="J227" s="550"/>
      <c r="K227" s="550"/>
      <c r="L227" s="550"/>
      <c r="M227" s="550"/>
      <c r="N227" s="550"/>
      <c r="O227" s="573"/>
      <c r="P227" s="554" t="s">
        <v>75</v>
      </c>
      <c r="Q227" s="555"/>
      <c r="R227" s="555"/>
      <c r="S227" s="555"/>
      <c r="T227" s="555"/>
      <c r="U227" s="555"/>
      <c r="V227" s="556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69" t="s">
        <v>380</v>
      </c>
      <c r="B228" s="550"/>
      <c r="C228" s="550"/>
      <c r="D228" s="550"/>
      <c r="E228" s="550"/>
      <c r="F228" s="550"/>
      <c r="G228" s="550"/>
      <c r="H228" s="550"/>
      <c r="I228" s="550"/>
      <c r="J228" s="550"/>
      <c r="K228" s="550"/>
      <c r="L228" s="550"/>
      <c r="M228" s="550"/>
      <c r="N228" s="550"/>
      <c r="O228" s="550"/>
      <c r="P228" s="550"/>
      <c r="Q228" s="550"/>
      <c r="R228" s="550"/>
      <c r="S228" s="550"/>
      <c r="T228" s="550"/>
      <c r="U228" s="550"/>
      <c r="V228" s="550"/>
      <c r="W228" s="550"/>
      <c r="X228" s="550"/>
      <c r="Y228" s="550"/>
      <c r="Z228" s="550"/>
      <c r="AA228" s="540"/>
      <c r="AB228" s="540"/>
      <c r="AC228" s="540"/>
    </row>
    <row r="229" spans="1:68" ht="14.25" hidden="1" customHeight="1" x14ac:dyDescent="0.25">
      <c r="A229" s="557" t="s">
        <v>102</v>
      </c>
      <c r="B229" s="550"/>
      <c r="C229" s="550"/>
      <c r="D229" s="550"/>
      <c r="E229" s="550"/>
      <c r="F229" s="550"/>
      <c r="G229" s="550"/>
      <c r="H229" s="550"/>
      <c r="I229" s="550"/>
      <c r="J229" s="550"/>
      <c r="K229" s="550"/>
      <c r="L229" s="550"/>
      <c r="M229" s="550"/>
      <c r="N229" s="550"/>
      <c r="O229" s="550"/>
      <c r="P229" s="550"/>
      <c r="Q229" s="550"/>
      <c r="R229" s="550"/>
      <c r="S229" s="550"/>
      <c r="T229" s="550"/>
      <c r="U229" s="550"/>
      <c r="V229" s="550"/>
      <c r="W229" s="550"/>
      <c r="X229" s="550"/>
      <c r="Y229" s="550"/>
      <c r="Z229" s="550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6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4301012196</v>
      </c>
      <c r="D233" s="558">
        <v>4680115884144</v>
      </c>
      <c r="E233" s="559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6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4301011824</v>
      </c>
      <c r="D234" s="558">
        <v>4680115884144</v>
      </c>
      <c r="E234" s="559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64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8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4301012195</v>
      </c>
      <c r="D237" s="558">
        <v>4680115884205</v>
      </c>
      <c r="E237" s="559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84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4301011722</v>
      </c>
      <c r="D238" s="558">
        <v>4680115884205</v>
      </c>
      <c r="E238" s="559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6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72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73"/>
      <c r="P239" s="554" t="s">
        <v>75</v>
      </c>
      <c r="Q239" s="555"/>
      <c r="R239" s="555"/>
      <c r="S239" s="555"/>
      <c r="T239" s="555"/>
      <c r="U239" s="555"/>
      <c r="V239" s="556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73"/>
      <c r="P240" s="554" t="s">
        <v>75</v>
      </c>
      <c r="Q240" s="555"/>
      <c r="R240" s="555"/>
      <c r="S240" s="555"/>
      <c r="T240" s="555"/>
      <c r="U240" s="555"/>
      <c r="V240" s="556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7" t="s">
        <v>137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2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73"/>
      <c r="P243" s="554" t="s">
        <v>75</v>
      </c>
      <c r="Q243" s="555"/>
      <c r="R243" s="555"/>
      <c r="S243" s="555"/>
      <c r="T243" s="555"/>
      <c r="U243" s="555"/>
      <c r="V243" s="556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73"/>
      <c r="P244" s="554" t="s">
        <v>75</v>
      </c>
      <c r="Q244" s="555"/>
      <c r="R244" s="555"/>
      <c r="S244" s="555"/>
      <c r="T244" s="555"/>
      <c r="U244" s="555"/>
      <c r="V244" s="556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7" t="s">
        <v>404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2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2.1944444444444446</v>
      </c>
      <c r="BN246" s="64">
        <f>IFERROR(Y246*I246/H246,"0")</f>
        <v>3.95</v>
      </c>
      <c r="BO246" s="64">
        <f>IFERROR(1/J246*(X246/H246),"0")</f>
        <v>5.1440329218106996E-3</v>
      </c>
      <c r="BP246" s="64">
        <f>IFERROR(1/J246*(Y246/H246),"0")</f>
        <v>9.2592592592592587E-3</v>
      </c>
    </row>
    <row r="247" spans="1:68" x14ac:dyDescent="0.2">
      <c r="A247" s="572"/>
      <c r="B247" s="550"/>
      <c r="C247" s="550"/>
      <c r="D247" s="550"/>
      <c r="E247" s="550"/>
      <c r="F247" s="550"/>
      <c r="G247" s="550"/>
      <c r="H247" s="550"/>
      <c r="I247" s="550"/>
      <c r="J247" s="550"/>
      <c r="K247" s="550"/>
      <c r="L247" s="550"/>
      <c r="M247" s="550"/>
      <c r="N247" s="550"/>
      <c r="O247" s="573"/>
      <c r="P247" s="554" t="s">
        <v>75</v>
      </c>
      <c r="Q247" s="555"/>
      <c r="R247" s="555"/>
      <c r="S247" s="555"/>
      <c r="T247" s="555"/>
      <c r="U247" s="555"/>
      <c r="V247" s="556"/>
      <c r="W247" s="37" t="s">
        <v>76</v>
      </c>
      <c r="X247" s="547">
        <f>IFERROR(X246/H246,"0")</f>
        <v>1.1111111111111112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0"/>
      <c r="B248" s="550"/>
      <c r="C248" s="550"/>
      <c r="D248" s="550"/>
      <c r="E248" s="550"/>
      <c r="F248" s="550"/>
      <c r="G248" s="550"/>
      <c r="H248" s="550"/>
      <c r="I248" s="550"/>
      <c r="J248" s="550"/>
      <c r="K248" s="550"/>
      <c r="L248" s="550"/>
      <c r="M248" s="550"/>
      <c r="N248" s="550"/>
      <c r="O248" s="573"/>
      <c r="P248" s="554" t="s">
        <v>75</v>
      </c>
      <c r="Q248" s="555"/>
      <c r="R248" s="555"/>
      <c r="S248" s="555"/>
      <c r="T248" s="555"/>
      <c r="U248" s="555"/>
      <c r="V248" s="556"/>
      <c r="W248" s="37" t="s">
        <v>69</v>
      </c>
      <c r="X248" s="547">
        <f>IFERROR(SUM(X246:X246),"0")</f>
        <v>2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hidden="1" customHeight="1" x14ac:dyDescent="0.25">
      <c r="A249" s="557" t="s">
        <v>408</v>
      </c>
      <c r="B249" s="550"/>
      <c r="C249" s="550"/>
      <c r="D249" s="550"/>
      <c r="E249" s="550"/>
      <c r="F249" s="550"/>
      <c r="G249" s="550"/>
      <c r="H249" s="550"/>
      <c r="I249" s="550"/>
      <c r="J249" s="550"/>
      <c r="K249" s="550"/>
      <c r="L249" s="550"/>
      <c r="M249" s="550"/>
      <c r="N249" s="550"/>
      <c r="O249" s="550"/>
      <c r="P249" s="550"/>
      <c r="Q249" s="550"/>
      <c r="R249" s="550"/>
      <c r="S249" s="550"/>
      <c r="T249" s="550"/>
      <c r="U249" s="550"/>
      <c r="V249" s="550"/>
      <c r="W249" s="550"/>
      <c r="X249" s="550"/>
      <c r="Y249" s="550"/>
      <c r="Z249" s="550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7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0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72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573"/>
      <c r="P255" s="554" t="s">
        <v>75</v>
      </c>
      <c r="Q255" s="555"/>
      <c r="R255" s="555"/>
      <c r="S255" s="555"/>
      <c r="T255" s="555"/>
      <c r="U255" s="555"/>
      <c r="V255" s="556"/>
      <c r="W255" s="37" t="s">
        <v>76</v>
      </c>
      <c r="X255" s="547">
        <f>IFERROR(X250/H250,"0")+IFERROR(X251/H251,"0")+IFERROR(X252/H252,"0")+IFERROR(X253/H253,"0")+IFERROR(X254/H254,"0")</f>
        <v>1.1111111111111112</v>
      </c>
      <c r="Y255" s="547">
        <f>IFERROR(Y250/H250,"0")+IFERROR(Y251/H251,"0")+IFERROR(Y252/H252,"0")+IFERROR(Y253/H253,"0")+IFERROR(Y254/H254,"0")</f>
        <v>2</v>
      </c>
      <c r="Z255" s="547">
        <f>IFERROR(IF(Z250="",0,Z250),"0")+IFERROR(IF(Z251="",0,Z251),"0")+IFERROR(IF(Z252="",0,Z252),"0")+IFERROR(IF(Z253="",0,Z253),"0")+IFERROR(IF(Z254="",0,Z254),"0")</f>
        <v>1.18E-2</v>
      </c>
      <c r="AA255" s="548"/>
      <c r="AB255" s="548"/>
      <c r="AC255" s="548"/>
    </row>
    <row r="256" spans="1:68" x14ac:dyDescent="0.2">
      <c r="A256" s="550"/>
      <c r="B256" s="550"/>
      <c r="C256" s="550"/>
      <c r="D256" s="550"/>
      <c r="E256" s="550"/>
      <c r="F256" s="550"/>
      <c r="G256" s="550"/>
      <c r="H256" s="550"/>
      <c r="I256" s="550"/>
      <c r="J256" s="550"/>
      <c r="K256" s="550"/>
      <c r="L256" s="550"/>
      <c r="M256" s="550"/>
      <c r="N256" s="550"/>
      <c r="O256" s="573"/>
      <c r="P256" s="554" t="s">
        <v>75</v>
      </c>
      <c r="Q256" s="555"/>
      <c r="R256" s="555"/>
      <c r="S256" s="555"/>
      <c r="T256" s="555"/>
      <c r="U256" s="555"/>
      <c r="V256" s="556"/>
      <c r="W256" s="37" t="s">
        <v>69</v>
      </c>
      <c r="X256" s="547">
        <f>IFERROR(SUM(X250:X254),"0")</f>
        <v>1</v>
      </c>
      <c r="Y256" s="547">
        <f>IFERROR(SUM(Y250:Y254),"0")</f>
        <v>1.8</v>
      </c>
      <c r="Z256" s="37"/>
      <c r="AA256" s="548"/>
      <c r="AB256" s="548"/>
      <c r="AC256" s="548"/>
    </row>
    <row r="257" spans="1:68" ht="16.5" hidden="1" customHeight="1" x14ac:dyDescent="0.25">
      <c r="A257" s="569" t="s">
        <v>420</v>
      </c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  <c r="Z257" s="550"/>
      <c r="AA257" s="540"/>
      <c r="AB257" s="540"/>
      <c r="AC257" s="540"/>
    </row>
    <row r="258" spans="1:68" ht="14.25" hidden="1" customHeight="1" x14ac:dyDescent="0.25">
      <c r="A258" s="557" t="s">
        <v>102</v>
      </c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  <c r="Z258" s="550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5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6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5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72"/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73"/>
      <c r="P264" s="554" t="s">
        <v>75</v>
      </c>
      <c r="Q264" s="555"/>
      <c r="R264" s="555"/>
      <c r="S264" s="555"/>
      <c r="T264" s="555"/>
      <c r="U264" s="555"/>
      <c r="V264" s="556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0"/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73"/>
      <c r="P265" s="554" t="s">
        <v>75</v>
      </c>
      <c r="Q265" s="555"/>
      <c r="R265" s="555"/>
      <c r="S265" s="555"/>
      <c r="T265" s="555"/>
      <c r="U265" s="555"/>
      <c r="V265" s="556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69" t="s">
        <v>436</v>
      </c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  <c r="Z266" s="550"/>
      <c r="AA266" s="540"/>
      <c r="AB266" s="540"/>
      <c r="AC266" s="540"/>
    </row>
    <row r="267" spans="1:68" ht="14.25" hidden="1" customHeight="1" x14ac:dyDescent="0.25">
      <c r="A267" s="557" t="s">
        <v>102</v>
      </c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  <c r="Z267" s="550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8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6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63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8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72"/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73"/>
      <c r="P272" s="554" t="s">
        <v>75</v>
      </c>
      <c r="Q272" s="555"/>
      <c r="R272" s="555"/>
      <c r="S272" s="555"/>
      <c r="T272" s="555"/>
      <c r="U272" s="555"/>
      <c r="V272" s="556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0"/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73"/>
      <c r="P273" s="554" t="s">
        <v>75</v>
      </c>
      <c r="Q273" s="555"/>
      <c r="R273" s="555"/>
      <c r="S273" s="555"/>
      <c r="T273" s="555"/>
      <c r="U273" s="555"/>
      <c r="V273" s="556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69" t="s">
        <v>447</v>
      </c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  <c r="Z274" s="550"/>
      <c r="AA274" s="540"/>
      <c r="AB274" s="540"/>
      <c r="AC274" s="540"/>
    </row>
    <row r="275" spans="1:68" ht="14.25" hidden="1" customHeight="1" x14ac:dyDescent="0.25">
      <c r="A275" s="557" t="s">
        <v>77</v>
      </c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  <c r="Z275" s="550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230</v>
      </c>
      <c r="M278" s="33" t="s">
        <v>80</v>
      </c>
      <c r="N278" s="33"/>
      <c r="O278" s="32">
        <v>45</v>
      </c>
      <c r="P278" s="6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72"/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73"/>
      <c r="P279" s="554" t="s">
        <v>75</v>
      </c>
      <c r="Q279" s="555"/>
      <c r="R279" s="555"/>
      <c r="S279" s="555"/>
      <c r="T279" s="555"/>
      <c r="U279" s="555"/>
      <c r="V279" s="556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0"/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73"/>
      <c r="P280" s="554" t="s">
        <v>75</v>
      </c>
      <c r="Q280" s="555"/>
      <c r="R280" s="555"/>
      <c r="S280" s="555"/>
      <c r="T280" s="555"/>
      <c r="U280" s="555"/>
      <c r="V280" s="556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69" t="s">
        <v>456</v>
      </c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  <c r="Z281" s="550"/>
      <c r="AA281" s="540"/>
      <c r="AB281" s="540"/>
      <c r="AC281" s="540"/>
    </row>
    <row r="282" spans="1:68" ht="14.25" hidden="1" customHeight="1" x14ac:dyDescent="0.25">
      <c r="A282" s="557" t="s">
        <v>64</v>
      </c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  <c r="Z282" s="550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2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73"/>
      <c r="P285" s="554" t="s">
        <v>75</v>
      </c>
      <c r="Q285" s="555"/>
      <c r="R285" s="555"/>
      <c r="S285" s="555"/>
      <c r="T285" s="555"/>
      <c r="U285" s="555"/>
      <c r="V285" s="556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73"/>
      <c r="P286" s="554" t="s">
        <v>75</v>
      </c>
      <c r="Q286" s="555"/>
      <c r="R286" s="555"/>
      <c r="S286" s="555"/>
      <c r="T286" s="555"/>
      <c r="U286" s="555"/>
      <c r="V286" s="556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7" t="s">
        <v>77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5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72"/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73"/>
      <c r="P290" s="554" t="s">
        <v>75</v>
      </c>
      <c r="Q290" s="555"/>
      <c r="R290" s="555"/>
      <c r="S290" s="555"/>
      <c r="T290" s="555"/>
      <c r="U290" s="555"/>
      <c r="V290" s="556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0"/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73"/>
      <c r="P291" s="554" t="s">
        <v>75</v>
      </c>
      <c r="Q291" s="555"/>
      <c r="R291" s="555"/>
      <c r="S291" s="555"/>
      <c r="T291" s="555"/>
      <c r="U291" s="555"/>
      <c r="V291" s="556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69" t="s">
        <v>469</v>
      </c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  <c r="Z292" s="550"/>
      <c r="AA292" s="540"/>
      <c r="AB292" s="540"/>
      <c r="AC292" s="540"/>
    </row>
    <row r="293" spans="1:68" ht="14.25" hidden="1" customHeight="1" x14ac:dyDescent="0.25">
      <c r="A293" s="557" t="s">
        <v>102</v>
      </c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  <c r="Z293" s="550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8">
        <v>4680115885615</v>
      </c>
      <c r="E294" s="559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63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8">
        <v>4680115885646</v>
      </c>
      <c r="E295" s="559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64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8">
        <v>4680115885554</v>
      </c>
      <c r="E296" s="559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8">
        <v>4680115885622</v>
      </c>
      <c r="E297" s="559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57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8">
        <v>4680115885608</v>
      </c>
      <c r="E298" s="559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6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72"/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73"/>
      <c r="P299" s="554" t="s">
        <v>75</v>
      </c>
      <c r="Q299" s="555"/>
      <c r="R299" s="555"/>
      <c r="S299" s="555"/>
      <c r="T299" s="555"/>
      <c r="U299" s="555"/>
      <c r="V299" s="556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0"/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73"/>
      <c r="P300" s="554" t="s">
        <v>75</v>
      </c>
      <c r="Q300" s="555"/>
      <c r="R300" s="555"/>
      <c r="S300" s="555"/>
      <c r="T300" s="555"/>
      <c r="U300" s="555"/>
      <c r="V300" s="556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7" t="s">
        <v>64</v>
      </c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  <c r="Z301" s="550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8">
        <v>4607091387193</v>
      </c>
      <c r="E302" s="559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8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8">
        <v>4607091387230</v>
      </c>
      <c r="E303" s="559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7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8">
        <v>4607091387292</v>
      </c>
      <c r="E304" s="559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6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8">
        <v>4607091387285</v>
      </c>
      <c r="E305" s="559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80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8">
        <v>4607091389845</v>
      </c>
      <c r="E306" s="559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5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8">
        <v>4607091383836</v>
      </c>
      <c r="E307" s="559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56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72"/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73"/>
      <c r="P308" s="554" t="s">
        <v>75</v>
      </c>
      <c r="Q308" s="555"/>
      <c r="R308" s="555"/>
      <c r="S308" s="555"/>
      <c r="T308" s="555"/>
      <c r="U308" s="555"/>
      <c r="V308" s="556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0"/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73"/>
      <c r="P309" s="554" t="s">
        <v>75</v>
      </c>
      <c r="Q309" s="555"/>
      <c r="R309" s="555"/>
      <c r="S309" s="555"/>
      <c r="T309" s="555"/>
      <c r="U309" s="555"/>
      <c r="V309" s="556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7" t="s">
        <v>77</v>
      </c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  <c r="Z310" s="550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8">
        <v>4607091387766</v>
      </c>
      <c r="E311" s="559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8">
        <v>4607091387957</v>
      </c>
      <c r="E312" s="559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7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8">
        <v>4607091387964</v>
      </c>
      <c r="E313" s="559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5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8">
        <v>4680115884588</v>
      </c>
      <c r="E314" s="559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66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72"/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73"/>
      <c r="P315" s="554" t="s">
        <v>75</v>
      </c>
      <c r="Q315" s="555"/>
      <c r="R315" s="555"/>
      <c r="S315" s="555"/>
      <c r="T315" s="555"/>
      <c r="U315" s="555"/>
      <c r="V315" s="556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0"/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73"/>
      <c r="P316" s="554" t="s">
        <v>75</v>
      </c>
      <c r="Q316" s="555"/>
      <c r="R316" s="555"/>
      <c r="S316" s="555"/>
      <c r="T316" s="555"/>
      <c r="U316" s="555"/>
      <c r="V316" s="556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7" t="s">
        <v>165</v>
      </c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  <c r="Z317" s="550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8">
        <v>4607091380880</v>
      </c>
      <c r="E318" s="559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8">
        <v>4607091384482</v>
      </c>
      <c r="E319" s="559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5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91</v>
      </c>
      <c r="Y319" s="546">
        <f>IFERROR(IF(X319="",0,CEILING((X319/$H319),1)*$H319),"")</f>
        <v>93.6</v>
      </c>
      <c r="Z319" s="36">
        <f>IFERROR(IF(Y319=0,"",ROUNDUP(Y319/H319,0)*0.01898),"")</f>
        <v>0.22776000000000002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96.763333333333335</v>
      </c>
      <c r="BN319" s="64">
        <f>IFERROR(Y319*I319/H319,"0")</f>
        <v>99.528000000000006</v>
      </c>
      <c r="BO319" s="64">
        <f>IFERROR(1/J319*(X319/H319),"0")</f>
        <v>0.18229166666666666</v>
      </c>
      <c r="BP319" s="64">
        <f>IFERROR(1/J319*(Y319/H319),"0")</f>
        <v>0.1875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8">
        <v>4607091380897</v>
      </c>
      <c r="E320" s="559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72"/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73"/>
      <c r="P321" s="554" t="s">
        <v>75</v>
      </c>
      <c r="Q321" s="555"/>
      <c r="R321" s="555"/>
      <c r="S321" s="555"/>
      <c r="T321" s="555"/>
      <c r="U321" s="555"/>
      <c r="V321" s="556"/>
      <c r="W321" s="37" t="s">
        <v>76</v>
      </c>
      <c r="X321" s="547">
        <f>IFERROR(X318/H318,"0")+IFERROR(X319/H319,"0")+IFERROR(X320/H320,"0")</f>
        <v>11.666666666666666</v>
      </c>
      <c r="Y321" s="547">
        <f>IFERROR(Y318/H318,"0")+IFERROR(Y319/H319,"0")+IFERROR(Y320/H320,"0")</f>
        <v>12</v>
      </c>
      <c r="Z321" s="547">
        <f>IFERROR(IF(Z318="",0,Z318),"0")+IFERROR(IF(Z319="",0,Z319),"0")+IFERROR(IF(Z320="",0,Z320),"0")</f>
        <v>0.22776000000000002</v>
      </c>
      <c r="AA321" s="548"/>
      <c r="AB321" s="548"/>
      <c r="AC321" s="548"/>
    </row>
    <row r="322" spans="1:68" x14ac:dyDescent="0.2">
      <c r="A322" s="550"/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73"/>
      <c r="P322" s="554" t="s">
        <v>75</v>
      </c>
      <c r="Q322" s="555"/>
      <c r="R322" s="555"/>
      <c r="S322" s="555"/>
      <c r="T322" s="555"/>
      <c r="U322" s="555"/>
      <c r="V322" s="556"/>
      <c r="W322" s="37" t="s">
        <v>69</v>
      </c>
      <c r="X322" s="547">
        <f>IFERROR(SUM(X318:X320),"0")</f>
        <v>91</v>
      </c>
      <c r="Y322" s="547">
        <f>IFERROR(SUM(Y318:Y320),"0")</f>
        <v>93.6</v>
      </c>
      <c r="Z322" s="37"/>
      <c r="AA322" s="548"/>
      <c r="AB322" s="548"/>
      <c r="AC322" s="548"/>
    </row>
    <row r="323" spans="1:68" ht="14.25" hidden="1" customHeight="1" x14ac:dyDescent="0.25">
      <c r="A323" s="557" t="s">
        <v>94</v>
      </c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  <c r="Z323" s="550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8">
        <v>4607091388381</v>
      </c>
      <c r="E324" s="559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8">
        <v>4607091388374</v>
      </c>
      <c r="E325" s="559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68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8">
        <v>4607091383102</v>
      </c>
      <c r="E326" s="559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8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8">
        <v>4607091388404</v>
      </c>
      <c r="E327" s="559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6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72"/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73"/>
      <c r="P328" s="554" t="s">
        <v>75</v>
      </c>
      <c r="Q328" s="555"/>
      <c r="R328" s="555"/>
      <c r="S328" s="555"/>
      <c r="T328" s="555"/>
      <c r="U328" s="555"/>
      <c r="V328" s="556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0"/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73"/>
      <c r="P329" s="554" t="s">
        <v>75</v>
      </c>
      <c r="Q329" s="555"/>
      <c r="R329" s="555"/>
      <c r="S329" s="555"/>
      <c r="T329" s="555"/>
      <c r="U329" s="555"/>
      <c r="V329" s="556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7" t="s">
        <v>532</v>
      </c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  <c r="Z330" s="550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8">
        <v>4680115881808</v>
      </c>
      <c r="E331" s="559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8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3</v>
      </c>
      <c r="Y331" s="546">
        <f>IFERROR(IF(X331="",0,CEILING((X331/$H331),1)*$H331),"")</f>
        <v>4</v>
      </c>
      <c r="Z331" s="36">
        <f>IFERROR(IF(Y331=0,"",ROUNDUP(Y331/H331,0)*0.00474),"")</f>
        <v>9.4800000000000006E-3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3.3600000000000003</v>
      </c>
      <c r="BN331" s="64">
        <f>IFERROR(Y331*I331/H331,"0")</f>
        <v>4.4800000000000004</v>
      </c>
      <c r="BO331" s="64">
        <f>IFERROR(1/J331*(X331/H331),"0")</f>
        <v>6.3025210084033615E-3</v>
      </c>
      <c r="BP331" s="64">
        <f>IFERROR(1/J331*(Y331/H331),"0")</f>
        <v>8.4033613445378148E-3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58">
        <v>4680115881822</v>
      </c>
      <c r="E332" s="559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1</v>
      </c>
      <c r="Y332" s="546">
        <f>IFERROR(IF(X332="",0,CEILING((X332/$H332),1)*$H332),"")</f>
        <v>2</v>
      </c>
      <c r="Z332" s="36">
        <f>IFERROR(IF(Y332=0,"",ROUNDUP(Y332/H332,0)*0.00474),"")</f>
        <v>4.7400000000000003E-3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1.1200000000000001</v>
      </c>
      <c r="BN332" s="64">
        <f>IFERROR(Y332*I332/H332,"0")</f>
        <v>2.2400000000000002</v>
      </c>
      <c r="BO332" s="64">
        <f>IFERROR(1/J332*(X332/H332),"0")</f>
        <v>2.1008403361344537E-3</v>
      </c>
      <c r="BP332" s="64">
        <f>IFERROR(1/J332*(Y332/H332),"0")</f>
        <v>4.2016806722689074E-3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8">
        <v>4680115880016</v>
      </c>
      <c r="E333" s="559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6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1</v>
      </c>
      <c r="Y333" s="546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x14ac:dyDescent="0.2">
      <c r="A334" s="572"/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73"/>
      <c r="P334" s="554" t="s">
        <v>75</v>
      </c>
      <c r="Q334" s="555"/>
      <c r="R334" s="555"/>
      <c r="S334" s="555"/>
      <c r="T334" s="555"/>
      <c r="U334" s="555"/>
      <c r="V334" s="556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4</v>
      </c>
      <c r="Z334" s="547">
        <f>IFERROR(IF(Z331="",0,Z331),"0")+IFERROR(IF(Z332="",0,Z332),"0")+IFERROR(IF(Z333="",0,Z333),"0")</f>
        <v>1.8960000000000001E-2</v>
      </c>
      <c r="AA334" s="548"/>
      <c r="AB334" s="548"/>
      <c r="AC334" s="548"/>
    </row>
    <row r="335" spans="1:68" x14ac:dyDescent="0.2">
      <c r="A335" s="550"/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73"/>
      <c r="P335" s="554" t="s">
        <v>75</v>
      </c>
      <c r="Q335" s="555"/>
      <c r="R335" s="555"/>
      <c r="S335" s="555"/>
      <c r="T335" s="555"/>
      <c r="U335" s="555"/>
      <c r="V335" s="556"/>
      <c r="W335" s="37" t="s">
        <v>69</v>
      </c>
      <c r="X335" s="547">
        <f>IFERROR(SUM(X331:X333),"0")</f>
        <v>5</v>
      </c>
      <c r="Y335" s="547">
        <f>IFERROR(SUM(Y331:Y333),"0")</f>
        <v>8</v>
      </c>
      <c r="Z335" s="37"/>
      <c r="AA335" s="548"/>
      <c r="AB335" s="548"/>
      <c r="AC335" s="548"/>
    </row>
    <row r="336" spans="1:68" ht="16.5" hidden="1" customHeight="1" x14ac:dyDescent="0.25">
      <c r="A336" s="569" t="s">
        <v>541</v>
      </c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  <c r="Z336" s="550"/>
      <c r="AA336" s="540"/>
      <c r="AB336" s="540"/>
      <c r="AC336" s="540"/>
    </row>
    <row r="337" spans="1:68" ht="14.25" hidden="1" customHeight="1" x14ac:dyDescent="0.25">
      <c r="A337" s="557" t="s">
        <v>77</v>
      </c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  <c r="Z337" s="550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8">
        <v>4607091387919</v>
      </c>
      <c r="E338" s="559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5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8">
        <v>4680115883604</v>
      </c>
      <c r="E339" s="559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8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8">
        <v>4680115883567</v>
      </c>
      <c r="E340" s="559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7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72"/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73"/>
      <c r="P341" s="554" t="s">
        <v>75</v>
      </c>
      <c r="Q341" s="555"/>
      <c r="R341" s="555"/>
      <c r="S341" s="555"/>
      <c r="T341" s="555"/>
      <c r="U341" s="555"/>
      <c r="V341" s="556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0"/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73"/>
      <c r="P342" s="554" t="s">
        <v>75</v>
      </c>
      <c r="Q342" s="555"/>
      <c r="R342" s="555"/>
      <c r="S342" s="555"/>
      <c r="T342" s="555"/>
      <c r="U342" s="555"/>
      <c r="V342" s="556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688" t="s">
        <v>551</v>
      </c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89"/>
      <c r="N343" s="689"/>
      <c r="O343" s="689"/>
      <c r="P343" s="689"/>
      <c r="Q343" s="689"/>
      <c r="R343" s="689"/>
      <c r="S343" s="689"/>
      <c r="T343" s="689"/>
      <c r="U343" s="689"/>
      <c r="V343" s="689"/>
      <c r="W343" s="689"/>
      <c r="X343" s="689"/>
      <c r="Y343" s="689"/>
      <c r="Z343" s="689"/>
      <c r="AA343" s="48"/>
      <c r="AB343" s="48"/>
      <c r="AC343" s="48"/>
    </row>
    <row r="344" spans="1:68" ht="16.5" hidden="1" customHeight="1" x14ac:dyDescent="0.25">
      <c r="A344" s="569" t="s">
        <v>552</v>
      </c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  <c r="Z344" s="550"/>
      <c r="AA344" s="540"/>
      <c r="AB344" s="540"/>
      <c r="AC344" s="540"/>
    </row>
    <row r="345" spans="1:68" ht="14.25" hidden="1" customHeight="1" x14ac:dyDescent="0.25">
      <c r="A345" s="557" t="s">
        <v>102</v>
      </c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  <c r="Z345" s="550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8">
        <v>4680115884847</v>
      </c>
      <c r="E346" s="559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6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441</v>
      </c>
      <c r="Y346" s="546">
        <f t="shared" ref="Y346:Y352" si="31">IFERROR(IF(X346="",0,CEILING((X346/$H346),1)*$H346),"")</f>
        <v>450</v>
      </c>
      <c r="Z346" s="36">
        <f>IFERROR(IF(Y346=0,"",ROUNDUP(Y346/H346,0)*0.02175),"")</f>
        <v>0.65249999999999997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454.81800000000004</v>
      </c>
      <c r="BN346" s="64">
        <f t="shared" ref="BN346:BN352" si="33">IFERROR(Y346*I346/H346,"0")</f>
        <v>464.1</v>
      </c>
      <c r="BO346" s="64">
        <f t="shared" ref="BO346:BO352" si="34">IFERROR(1/J346*(X346/H346),"0")</f>
        <v>0.61249999999999993</v>
      </c>
      <c r="BP346" s="64">
        <f t="shared" ref="BP346:BP352" si="35">IFERROR(1/J346*(Y346/H346),"0")</f>
        <v>0.625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8">
        <v>4680115884854</v>
      </c>
      <c r="E347" s="559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6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58">
        <v>4680115887046</v>
      </c>
      <c r="E348" s="559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65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276</v>
      </c>
      <c r="Y348" s="546">
        <f t="shared" si="31"/>
        <v>285</v>
      </c>
      <c r="Z348" s="36">
        <f>IFERROR(IF(Y348=0,"",ROUNDUP(Y348/H348,0)*0.02175),"")</f>
        <v>0.41324999999999995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284.64800000000002</v>
      </c>
      <c r="BN348" s="64">
        <f t="shared" si="33"/>
        <v>293.93</v>
      </c>
      <c r="BO348" s="64">
        <f t="shared" si="34"/>
        <v>0.3833333333333333</v>
      </c>
      <c r="BP348" s="64">
        <f t="shared" si="35"/>
        <v>0.39583333333333331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6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8">
        <v>4680115882638</v>
      </c>
      <c r="E350" s="559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8">
        <v>4680115884922</v>
      </c>
      <c r="E351" s="559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8">
        <v>4680115884861</v>
      </c>
      <c r="E352" s="559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7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72"/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73"/>
      <c r="P353" s="554" t="s">
        <v>75</v>
      </c>
      <c r="Q353" s="555"/>
      <c r="R353" s="555"/>
      <c r="S353" s="555"/>
      <c r="T353" s="555"/>
      <c r="U353" s="555"/>
      <c r="V353" s="556"/>
      <c r="W353" s="37" t="s">
        <v>76</v>
      </c>
      <c r="X353" s="547">
        <f>IFERROR(X346/H346,"0")+IFERROR(X347/H347,"0")+IFERROR(X348/H348,"0")+IFERROR(X349/H349,"0")+IFERROR(X350/H350,"0")+IFERROR(X351/H351,"0")+IFERROR(X352/H352,"0")</f>
        <v>47.8</v>
      </c>
      <c r="Y353" s="547">
        <f>IFERROR(Y346/H346,"0")+IFERROR(Y347/H347,"0")+IFERROR(Y348/H348,"0")+IFERROR(Y349/H349,"0")+IFERROR(Y350/H350,"0")+IFERROR(Y351/H351,"0")+IFERROR(Y352/H352,"0")</f>
        <v>49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1.06575</v>
      </c>
      <c r="AA353" s="548"/>
      <c r="AB353" s="548"/>
      <c r="AC353" s="548"/>
    </row>
    <row r="354" spans="1:68" x14ac:dyDescent="0.2">
      <c r="A354" s="550"/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73"/>
      <c r="P354" s="554" t="s">
        <v>75</v>
      </c>
      <c r="Q354" s="555"/>
      <c r="R354" s="555"/>
      <c r="S354" s="555"/>
      <c r="T354" s="555"/>
      <c r="U354" s="555"/>
      <c r="V354" s="556"/>
      <c r="W354" s="37" t="s">
        <v>69</v>
      </c>
      <c r="X354" s="547">
        <f>IFERROR(SUM(X346:X352),"0")</f>
        <v>717</v>
      </c>
      <c r="Y354" s="547">
        <f>IFERROR(SUM(Y346:Y352),"0")</f>
        <v>735</v>
      </c>
      <c r="Z354" s="37"/>
      <c r="AA354" s="548"/>
      <c r="AB354" s="548"/>
      <c r="AC354" s="548"/>
    </row>
    <row r="355" spans="1:68" ht="14.25" hidden="1" customHeight="1" x14ac:dyDescent="0.25">
      <c r="A355" s="557" t="s">
        <v>137</v>
      </c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  <c r="Z355" s="550"/>
      <c r="AA355" s="541"/>
      <c r="AB355" s="541"/>
      <c r="AC355" s="541"/>
    </row>
    <row r="356" spans="1:68" ht="27" hidden="1" customHeight="1" x14ac:dyDescent="0.25">
      <c r="A356" s="54" t="s">
        <v>572</v>
      </c>
      <c r="B356" s="54" t="s">
        <v>573</v>
      </c>
      <c r="C356" s="31">
        <v>4301020178</v>
      </c>
      <c r="D356" s="558">
        <v>4607091383980</v>
      </c>
      <c r="E356" s="559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8">
        <v>4607091384178</v>
      </c>
      <c r="E357" s="559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6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572"/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73"/>
      <c r="P358" s="554" t="s">
        <v>75</v>
      </c>
      <c r="Q358" s="555"/>
      <c r="R358" s="555"/>
      <c r="S358" s="555"/>
      <c r="T358" s="555"/>
      <c r="U358" s="555"/>
      <c r="V358" s="556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hidden="1" x14ac:dyDescent="0.2">
      <c r="A359" s="550"/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73"/>
      <c r="P359" s="554" t="s">
        <v>75</v>
      </c>
      <c r="Q359" s="555"/>
      <c r="R359" s="555"/>
      <c r="S359" s="555"/>
      <c r="T359" s="555"/>
      <c r="U359" s="555"/>
      <c r="V359" s="556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hidden="1" customHeight="1" x14ac:dyDescent="0.25">
      <c r="A360" s="557" t="s">
        <v>77</v>
      </c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  <c r="Z360" s="550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8">
        <v>4607091383928</v>
      </c>
      <c r="E361" s="559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4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8">
        <v>4607091384260</v>
      </c>
      <c r="E362" s="559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6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72"/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73"/>
      <c r="P363" s="554" t="s">
        <v>75</v>
      </c>
      <c r="Q363" s="555"/>
      <c r="R363" s="555"/>
      <c r="S363" s="555"/>
      <c r="T363" s="555"/>
      <c r="U363" s="555"/>
      <c r="V363" s="556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0"/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73"/>
      <c r="P364" s="554" t="s">
        <v>75</v>
      </c>
      <c r="Q364" s="555"/>
      <c r="R364" s="555"/>
      <c r="S364" s="555"/>
      <c r="T364" s="555"/>
      <c r="U364" s="555"/>
      <c r="V364" s="556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7" t="s">
        <v>165</v>
      </c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  <c r="Z365" s="550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8">
        <v>4607091384673</v>
      </c>
      <c r="E366" s="559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17</v>
      </c>
      <c r="Y366" s="546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17.93311111111111</v>
      </c>
      <c r="BN366" s="64">
        <f>IFERROR(Y366*I366/H366,"0")</f>
        <v>18.988</v>
      </c>
      <c r="BO366" s="64">
        <f>IFERROR(1/J366*(X366/H366),"0")</f>
        <v>2.9513888888888888E-2</v>
      </c>
      <c r="BP366" s="64">
        <f>IFERROR(1/J366*(Y366/H366),"0")</f>
        <v>3.125E-2</v>
      </c>
    </row>
    <row r="367" spans="1:68" x14ac:dyDescent="0.2">
      <c r="A367" s="572"/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73"/>
      <c r="P367" s="554" t="s">
        <v>75</v>
      </c>
      <c r="Q367" s="555"/>
      <c r="R367" s="555"/>
      <c r="S367" s="555"/>
      <c r="T367" s="555"/>
      <c r="U367" s="555"/>
      <c r="V367" s="556"/>
      <c r="W367" s="37" t="s">
        <v>76</v>
      </c>
      <c r="X367" s="547">
        <f>IFERROR(X366/H366,"0")</f>
        <v>1.8888888888888888</v>
      </c>
      <c r="Y367" s="547">
        <f>IFERROR(Y366/H366,"0")</f>
        <v>2</v>
      </c>
      <c r="Z367" s="547">
        <f>IFERROR(IF(Z366="",0,Z366),"0")</f>
        <v>3.7960000000000001E-2</v>
      </c>
      <c r="AA367" s="548"/>
      <c r="AB367" s="548"/>
      <c r="AC367" s="548"/>
    </row>
    <row r="368" spans="1:68" x14ac:dyDescent="0.2">
      <c r="A368" s="550"/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73"/>
      <c r="P368" s="554" t="s">
        <v>75</v>
      </c>
      <c r="Q368" s="555"/>
      <c r="R368" s="555"/>
      <c r="S368" s="555"/>
      <c r="T368" s="555"/>
      <c r="U368" s="555"/>
      <c r="V368" s="556"/>
      <c r="W368" s="37" t="s">
        <v>69</v>
      </c>
      <c r="X368" s="547">
        <f>IFERROR(SUM(X366:X366),"0")</f>
        <v>17</v>
      </c>
      <c r="Y368" s="547">
        <f>IFERROR(SUM(Y366:Y366),"0")</f>
        <v>18</v>
      </c>
      <c r="Z368" s="37"/>
      <c r="AA368" s="548"/>
      <c r="AB368" s="548"/>
      <c r="AC368" s="548"/>
    </row>
    <row r="369" spans="1:68" ht="16.5" hidden="1" customHeight="1" x14ac:dyDescent="0.25">
      <c r="A369" s="569" t="s">
        <v>587</v>
      </c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  <c r="Z369" s="550"/>
      <c r="AA369" s="540"/>
      <c r="AB369" s="540"/>
      <c r="AC369" s="540"/>
    </row>
    <row r="370" spans="1:68" ht="14.25" hidden="1" customHeight="1" x14ac:dyDescent="0.25">
      <c r="A370" s="557" t="s">
        <v>102</v>
      </c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  <c r="Z370" s="550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8">
        <v>4680115884885</v>
      </c>
      <c r="E371" s="559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8">
        <v>4680115884908</v>
      </c>
      <c r="E372" s="559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69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72"/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73"/>
      <c r="P373" s="554" t="s">
        <v>75</v>
      </c>
      <c r="Q373" s="555"/>
      <c r="R373" s="555"/>
      <c r="S373" s="555"/>
      <c r="T373" s="555"/>
      <c r="U373" s="555"/>
      <c r="V373" s="556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0"/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73"/>
      <c r="P374" s="554" t="s">
        <v>75</v>
      </c>
      <c r="Q374" s="555"/>
      <c r="R374" s="555"/>
      <c r="S374" s="555"/>
      <c r="T374" s="555"/>
      <c r="U374" s="555"/>
      <c r="V374" s="556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7" t="s">
        <v>64</v>
      </c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  <c r="Z375" s="550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8">
        <v>4607091384802</v>
      </c>
      <c r="E376" s="559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7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8">
        <v>4607091384802</v>
      </c>
      <c r="E377" s="559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35</v>
      </c>
      <c r="P377" s="7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2"/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73"/>
      <c r="P378" s="554" t="s">
        <v>75</v>
      </c>
      <c r="Q378" s="555"/>
      <c r="R378" s="555"/>
      <c r="S378" s="555"/>
      <c r="T378" s="555"/>
      <c r="U378" s="555"/>
      <c r="V378" s="556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0"/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73"/>
      <c r="P379" s="554" t="s">
        <v>75</v>
      </c>
      <c r="Q379" s="555"/>
      <c r="R379" s="555"/>
      <c r="S379" s="555"/>
      <c r="T379" s="555"/>
      <c r="U379" s="555"/>
      <c r="V379" s="556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7" t="s">
        <v>77</v>
      </c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  <c r="Z380" s="550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8">
        <v>4607091384246</v>
      </c>
      <c r="E381" s="559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246</v>
      </c>
      <c r="Y381" s="546">
        <f>IFERROR(IF(X381="",0,CEILING((X381/$H381),1)*$H381),"")</f>
        <v>252</v>
      </c>
      <c r="Z381" s="36">
        <f>IFERROR(IF(Y381=0,"",ROUNDUP(Y381/H381,0)*0.01898),"")</f>
        <v>0.53144000000000002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259.50266666666664</v>
      </c>
      <c r="BN381" s="64">
        <f>IFERROR(Y381*I381/H381,"0")</f>
        <v>265.83199999999999</v>
      </c>
      <c r="BO381" s="64">
        <f>IFERROR(1/J381*(X381/H381),"0")</f>
        <v>0.42708333333333331</v>
      </c>
      <c r="BP381" s="64">
        <f>IFERROR(1/J381*(Y381/H381),"0")</f>
        <v>0.4375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4301052069</v>
      </c>
      <c r="D382" s="558">
        <v>4607091384253</v>
      </c>
      <c r="E382" s="559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82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604</v>
      </c>
      <c r="C383" s="31">
        <v>4301051660</v>
      </c>
      <c r="D383" s="558">
        <v>4607091384253</v>
      </c>
      <c r="E383" s="559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72"/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73"/>
      <c r="P384" s="554" t="s">
        <v>75</v>
      </c>
      <c r="Q384" s="555"/>
      <c r="R384" s="555"/>
      <c r="S384" s="555"/>
      <c r="T384" s="555"/>
      <c r="U384" s="555"/>
      <c r="V384" s="556"/>
      <c r="W384" s="37" t="s">
        <v>76</v>
      </c>
      <c r="X384" s="547">
        <f>IFERROR(X381/H381,"0")+IFERROR(X382/H382,"0")+IFERROR(X383/H383,"0")</f>
        <v>27.333333333333332</v>
      </c>
      <c r="Y384" s="547">
        <f>IFERROR(Y381/H381,"0")+IFERROR(Y382/H382,"0")+IFERROR(Y383/H383,"0")</f>
        <v>28</v>
      </c>
      <c r="Z384" s="547">
        <f>IFERROR(IF(Z381="",0,Z381),"0")+IFERROR(IF(Z382="",0,Z382),"0")+IFERROR(IF(Z383="",0,Z383),"0")</f>
        <v>0.53144000000000002</v>
      </c>
      <c r="AA384" s="548"/>
      <c r="AB384" s="548"/>
      <c r="AC384" s="548"/>
    </row>
    <row r="385" spans="1:68" x14ac:dyDescent="0.2">
      <c r="A385" s="550"/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73"/>
      <c r="P385" s="554" t="s">
        <v>75</v>
      </c>
      <c r="Q385" s="555"/>
      <c r="R385" s="555"/>
      <c r="S385" s="555"/>
      <c r="T385" s="555"/>
      <c r="U385" s="555"/>
      <c r="V385" s="556"/>
      <c r="W385" s="37" t="s">
        <v>69</v>
      </c>
      <c r="X385" s="547">
        <f>IFERROR(SUM(X381:X383),"0")</f>
        <v>246</v>
      </c>
      <c r="Y385" s="547">
        <f>IFERROR(SUM(Y381:Y383),"0")</f>
        <v>252</v>
      </c>
      <c r="Z385" s="37"/>
      <c r="AA385" s="548"/>
      <c r="AB385" s="548"/>
      <c r="AC385" s="548"/>
    </row>
    <row r="386" spans="1:68" ht="27.75" hidden="1" customHeight="1" x14ac:dyDescent="0.2">
      <c r="A386" s="688" t="s">
        <v>605</v>
      </c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89"/>
      <c r="N386" s="689"/>
      <c r="O386" s="689"/>
      <c r="P386" s="689"/>
      <c r="Q386" s="689"/>
      <c r="R386" s="689"/>
      <c r="S386" s="689"/>
      <c r="T386" s="689"/>
      <c r="U386" s="689"/>
      <c r="V386" s="689"/>
      <c r="W386" s="689"/>
      <c r="X386" s="689"/>
      <c r="Y386" s="689"/>
      <c r="Z386" s="689"/>
      <c r="AA386" s="48"/>
      <c r="AB386" s="48"/>
      <c r="AC386" s="48"/>
    </row>
    <row r="387" spans="1:68" ht="16.5" hidden="1" customHeight="1" x14ac:dyDescent="0.25">
      <c r="A387" s="569" t="s">
        <v>606</v>
      </c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  <c r="Z387" s="550"/>
      <c r="AA387" s="540"/>
      <c r="AB387" s="540"/>
      <c r="AC387" s="540"/>
    </row>
    <row r="388" spans="1:68" ht="14.25" hidden="1" customHeight="1" x14ac:dyDescent="0.25">
      <c r="A388" s="557" t="s">
        <v>64</v>
      </c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  <c r="Z388" s="550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8">
        <v>4680115886100</v>
      </c>
      <c r="E389" s="559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208</v>
      </c>
      <c r="M389" s="33" t="s">
        <v>68</v>
      </c>
      <c r="N389" s="33"/>
      <c r="O389" s="32">
        <v>50</v>
      </c>
      <c r="P389" s="8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87</v>
      </c>
      <c r="Y389" s="546">
        <f t="shared" ref="Y389:Y397" si="36">IFERROR(IF(X389="",0,CEILING((X389/$H389),1)*$H389),"")</f>
        <v>91.800000000000011</v>
      </c>
      <c r="Z389" s="36">
        <f>IFERROR(IF(Y389=0,"",ROUNDUP(Y389/H389,0)*0.00902),"")</f>
        <v>0.15334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90.061111111111103</v>
      </c>
      <c r="BN389" s="64">
        <f t="shared" ref="BN389:BN397" si="38">IFERROR(Y389*I389/H389,"0")</f>
        <v>95.03</v>
      </c>
      <c r="BO389" s="64">
        <f t="shared" ref="BO389:BO397" si="39">IFERROR(1/J389*(X389/H389),"0")</f>
        <v>0.12205387205387205</v>
      </c>
      <c r="BP389" s="64">
        <f t="shared" ref="BP389:BP397" si="40">IFERROR(1/J389*(Y389/H389),"0")</f>
        <v>0.12878787878787878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8">
        <v>4680115886117</v>
      </c>
      <c r="E390" s="559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68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8">
        <v>4680115886124</v>
      </c>
      <c r="E391" s="559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8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8">
        <v>4680115883147</v>
      </c>
      <c r="E392" s="559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8">
        <v>4607091384338</v>
      </c>
      <c r="E393" s="559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8">
        <v>4607091389524</v>
      </c>
      <c r="E394" s="559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8">
        <v>4680115883161</v>
      </c>
      <c r="E395" s="559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8">
        <v>4607091389531</v>
      </c>
      <c r="E396" s="559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8">
        <v>4607091384345</v>
      </c>
      <c r="E397" s="559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72"/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73"/>
      <c r="P398" s="554" t="s">
        <v>75</v>
      </c>
      <c r="Q398" s="555"/>
      <c r="R398" s="555"/>
      <c r="S398" s="555"/>
      <c r="T398" s="555"/>
      <c r="U398" s="555"/>
      <c r="V398" s="556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16.111111111111111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0.15334</v>
      </c>
      <c r="AA398" s="548"/>
      <c r="AB398" s="548"/>
      <c r="AC398" s="548"/>
    </row>
    <row r="399" spans="1:68" x14ac:dyDescent="0.2">
      <c r="A399" s="550"/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73"/>
      <c r="P399" s="554" t="s">
        <v>75</v>
      </c>
      <c r="Q399" s="555"/>
      <c r="R399" s="555"/>
      <c r="S399" s="555"/>
      <c r="T399" s="555"/>
      <c r="U399" s="555"/>
      <c r="V399" s="556"/>
      <c r="W399" s="37" t="s">
        <v>69</v>
      </c>
      <c r="X399" s="547">
        <f>IFERROR(SUM(X389:X397),"0")</f>
        <v>87</v>
      </c>
      <c r="Y399" s="547">
        <f>IFERROR(SUM(Y389:Y397),"0")</f>
        <v>91.800000000000011</v>
      </c>
      <c r="Z399" s="37"/>
      <c r="AA399" s="548"/>
      <c r="AB399" s="548"/>
      <c r="AC399" s="548"/>
    </row>
    <row r="400" spans="1:68" ht="14.25" hidden="1" customHeight="1" x14ac:dyDescent="0.25">
      <c r="A400" s="557" t="s">
        <v>77</v>
      </c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  <c r="Z400" s="550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8">
        <v>4607091384352</v>
      </c>
      <c r="E401" s="559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8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8">
        <v>4607091389654</v>
      </c>
      <c r="E402" s="559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8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72"/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73"/>
      <c r="P403" s="554" t="s">
        <v>75</v>
      </c>
      <c r="Q403" s="555"/>
      <c r="R403" s="555"/>
      <c r="S403" s="555"/>
      <c r="T403" s="555"/>
      <c r="U403" s="555"/>
      <c r="V403" s="556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0"/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73"/>
      <c r="P404" s="554" t="s">
        <v>75</v>
      </c>
      <c r="Q404" s="555"/>
      <c r="R404" s="555"/>
      <c r="S404" s="555"/>
      <c r="T404" s="555"/>
      <c r="U404" s="555"/>
      <c r="V404" s="556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69" t="s">
        <v>637</v>
      </c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  <c r="Z405" s="550"/>
      <c r="AA405" s="540"/>
      <c r="AB405" s="540"/>
      <c r="AC405" s="540"/>
    </row>
    <row r="406" spans="1:68" ht="14.25" hidden="1" customHeight="1" x14ac:dyDescent="0.25">
      <c r="A406" s="557" t="s">
        <v>137</v>
      </c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  <c r="Z406" s="550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8">
        <v>4680115885240</v>
      </c>
      <c r="E407" s="559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2"/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73"/>
      <c r="P408" s="554" t="s">
        <v>75</v>
      </c>
      <c r="Q408" s="555"/>
      <c r="R408" s="555"/>
      <c r="S408" s="555"/>
      <c r="T408" s="555"/>
      <c r="U408" s="555"/>
      <c r="V408" s="556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0"/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73"/>
      <c r="P409" s="554" t="s">
        <v>75</v>
      </c>
      <c r="Q409" s="555"/>
      <c r="R409" s="555"/>
      <c r="S409" s="555"/>
      <c r="T409" s="555"/>
      <c r="U409" s="555"/>
      <c r="V409" s="556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7" t="s">
        <v>64</v>
      </c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  <c r="Z410" s="550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58">
        <v>4680115886094</v>
      </c>
      <c r="E411" s="559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208</v>
      </c>
      <c r="M411" s="33" t="s">
        <v>107</v>
      </c>
      <c r="N411" s="33"/>
      <c r="O411" s="32">
        <v>50</v>
      </c>
      <c r="P411" s="7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60</v>
      </c>
      <c r="Y411" s="546">
        <f>IFERROR(IF(X411="",0,CEILING((X411/$H411),1)*$H411),"")</f>
        <v>64.800000000000011</v>
      </c>
      <c r="Z411" s="36">
        <f>IFERROR(IF(Y411=0,"",ROUNDUP(Y411/H411,0)*0.00902),"")</f>
        <v>0.10824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62.1111111111111</v>
      </c>
      <c r="BN411" s="64">
        <f>IFERROR(Y411*I411/H411,"0")</f>
        <v>67.08</v>
      </c>
      <c r="BO411" s="64">
        <f>IFERROR(1/J411*(X411/H411),"0")</f>
        <v>8.4175084175084181E-2</v>
      </c>
      <c r="BP411" s="64">
        <f>IFERROR(1/J411*(Y411/H411),"0")</f>
        <v>9.0909090909090925E-2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8">
        <v>4607091389425</v>
      </c>
      <c r="E412" s="559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6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8">
        <v>4680115880771</v>
      </c>
      <c r="E413" s="559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8">
        <v>4607091389500</v>
      </c>
      <c r="E414" s="559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72"/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73"/>
      <c r="P415" s="554" t="s">
        <v>75</v>
      </c>
      <c r="Q415" s="555"/>
      <c r="R415" s="555"/>
      <c r="S415" s="555"/>
      <c r="T415" s="555"/>
      <c r="U415" s="555"/>
      <c r="V415" s="556"/>
      <c r="W415" s="37" t="s">
        <v>76</v>
      </c>
      <c r="X415" s="547">
        <f>IFERROR(X411/H411,"0")+IFERROR(X412/H412,"0")+IFERROR(X413/H413,"0")+IFERROR(X414/H414,"0")</f>
        <v>11.111111111111111</v>
      </c>
      <c r="Y415" s="547">
        <f>IFERROR(Y411/H411,"0")+IFERROR(Y412/H412,"0")+IFERROR(Y413/H413,"0")+IFERROR(Y414/H414,"0")</f>
        <v>12.000000000000002</v>
      </c>
      <c r="Z415" s="547">
        <f>IFERROR(IF(Z411="",0,Z411),"0")+IFERROR(IF(Z412="",0,Z412),"0")+IFERROR(IF(Z413="",0,Z413),"0")+IFERROR(IF(Z414="",0,Z414),"0")</f>
        <v>0.10824</v>
      </c>
      <c r="AA415" s="548"/>
      <c r="AB415" s="548"/>
      <c r="AC415" s="548"/>
    </row>
    <row r="416" spans="1:68" x14ac:dyDescent="0.2">
      <c r="A416" s="550"/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73"/>
      <c r="P416" s="554" t="s">
        <v>75</v>
      </c>
      <c r="Q416" s="555"/>
      <c r="R416" s="555"/>
      <c r="S416" s="555"/>
      <c r="T416" s="555"/>
      <c r="U416" s="555"/>
      <c r="V416" s="556"/>
      <c r="W416" s="37" t="s">
        <v>69</v>
      </c>
      <c r="X416" s="547">
        <f>IFERROR(SUM(X411:X414),"0")</f>
        <v>60</v>
      </c>
      <c r="Y416" s="547">
        <f>IFERROR(SUM(Y411:Y414),"0")</f>
        <v>64.800000000000011</v>
      </c>
      <c r="Z416" s="37"/>
      <c r="AA416" s="548"/>
      <c r="AB416" s="548"/>
      <c r="AC416" s="548"/>
    </row>
    <row r="417" spans="1:68" ht="16.5" hidden="1" customHeight="1" x14ac:dyDescent="0.25">
      <c r="A417" s="569" t="s">
        <v>652</v>
      </c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  <c r="Z417" s="550"/>
      <c r="AA417" s="540"/>
      <c r="AB417" s="540"/>
      <c r="AC417" s="540"/>
    </row>
    <row r="418" spans="1:68" ht="14.25" hidden="1" customHeight="1" x14ac:dyDescent="0.25">
      <c r="A418" s="557" t="s">
        <v>64</v>
      </c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  <c r="Z418" s="550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8">
        <v>4680115885110</v>
      </c>
      <c r="E419" s="559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5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2"/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73"/>
      <c r="P420" s="554" t="s">
        <v>75</v>
      </c>
      <c r="Q420" s="555"/>
      <c r="R420" s="555"/>
      <c r="S420" s="555"/>
      <c r="T420" s="555"/>
      <c r="U420" s="555"/>
      <c r="V420" s="556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0"/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73"/>
      <c r="P421" s="554" t="s">
        <v>75</v>
      </c>
      <c r="Q421" s="555"/>
      <c r="R421" s="555"/>
      <c r="S421" s="555"/>
      <c r="T421" s="555"/>
      <c r="U421" s="555"/>
      <c r="V421" s="556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688" t="s">
        <v>656</v>
      </c>
      <c r="B422" s="689"/>
      <c r="C422" s="689"/>
      <c r="D422" s="689"/>
      <c r="E422" s="689"/>
      <c r="F422" s="689"/>
      <c r="G422" s="689"/>
      <c r="H422" s="689"/>
      <c r="I422" s="689"/>
      <c r="J422" s="689"/>
      <c r="K422" s="689"/>
      <c r="L422" s="689"/>
      <c r="M422" s="689"/>
      <c r="N422" s="689"/>
      <c r="O422" s="689"/>
      <c r="P422" s="689"/>
      <c r="Q422" s="689"/>
      <c r="R422" s="689"/>
      <c r="S422" s="689"/>
      <c r="T422" s="689"/>
      <c r="U422" s="689"/>
      <c r="V422" s="689"/>
      <c r="W422" s="689"/>
      <c r="X422" s="689"/>
      <c r="Y422" s="689"/>
      <c r="Z422" s="689"/>
      <c r="AA422" s="48"/>
      <c r="AB422" s="48"/>
      <c r="AC422" s="48"/>
    </row>
    <row r="423" spans="1:68" ht="16.5" hidden="1" customHeight="1" x14ac:dyDescent="0.25">
      <c r="A423" s="569" t="s">
        <v>656</v>
      </c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  <c r="Z423" s="550"/>
      <c r="AA423" s="540"/>
      <c r="AB423" s="540"/>
      <c r="AC423" s="540"/>
    </row>
    <row r="424" spans="1:68" ht="14.25" hidden="1" customHeight="1" x14ac:dyDescent="0.25">
      <c r="A424" s="557" t="s">
        <v>102</v>
      </c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  <c r="Z424" s="550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8">
        <v>4607091389067</v>
      </c>
      <c r="E425" s="559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107</v>
      </c>
      <c r="N425" s="33"/>
      <c r="O425" s="32">
        <v>60</v>
      </c>
      <c r="P425" s="7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30</v>
      </c>
      <c r="Y425" s="546">
        <f t="shared" ref="Y425:Y436" si="42">IFERROR(IF(X425="",0,CEILING((X425/$H425),1)*$H425),"")</f>
        <v>31.68</v>
      </c>
      <c r="Z425" s="36">
        <f t="shared" ref="Z425:Z431" si="43">IFERROR(IF(Y425=0,"",ROUNDUP(Y425/H425,0)*0.01196),"")</f>
        <v>7.1760000000000004E-2</v>
      </c>
      <c r="AA425" s="56"/>
      <c r="AB425" s="57"/>
      <c r="AC425" s="469" t="s">
        <v>108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31.988636363636363</v>
      </c>
      <c r="BN425" s="64">
        <f t="shared" ref="BN425:BN436" si="45">IFERROR(Y425*I425/H425,"0")</f>
        <v>33.779999999999994</v>
      </c>
      <c r="BO425" s="64">
        <f t="shared" ref="BO425:BO436" si="46">IFERROR(1/J425*(X425/H425),"0")</f>
        <v>5.4632867132867136E-2</v>
      </c>
      <c r="BP425" s="64">
        <f t="shared" ref="BP425:BP436" si="47">IFERROR(1/J425*(Y425/H425),"0")</f>
        <v>5.7692307692307696E-2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8">
        <v>4607091383522</v>
      </c>
      <c r="E426" s="559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80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8">
        <v>4607091383522</v>
      </c>
      <c r="E427" s="559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817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8">
        <v>4680115885271</v>
      </c>
      <c r="E428" s="559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8">
        <v>4680115885226</v>
      </c>
      <c r="E429" s="559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8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63</v>
      </c>
      <c r="Y429" s="546">
        <f t="shared" si="42"/>
        <v>63.36</v>
      </c>
      <c r="Z429" s="36">
        <f t="shared" si="43"/>
        <v>0.14352000000000001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67.17613636363636</v>
      </c>
      <c r="BN429" s="64">
        <f t="shared" si="45"/>
        <v>67.559999999999988</v>
      </c>
      <c r="BO429" s="64">
        <f t="shared" si="46"/>
        <v>0.11472902097902099</v>
      </c>
      <c r="BP429" s="64">
        <f t="shared" si="47"/>
        <v>0.11538461538461539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8">
        <v>4680115884502</v>
      </c>
      <c r="E430" s="559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6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4301011771</v>
      </c>
      <c r="D431" s="558">
        <v>4607091389104</v>
      </c>
      <c r="E431" s="559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7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8">
        <v>4680115886391</v>
      </c>
      <c r="E432" s="559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8">
        <v>4680115880603</v>
      </c>
      <c r="E433" s="559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6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8">
        <v>4680115882782</v>
      </c>
      <c r="E434" s="559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58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8">
        <v>4680115885479</v>
      </c>
      <c r="E435" s="559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5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8">
        <v>4607091389982</v>
      </c>
      <c r="E436" s="559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72"/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73"/>
      <c r="P437" s="554" t="s">
        <v>75</v>
      </c>
      <c r="Q437" s="555"/>
      <c r="R437" s="555"/>
      <c r="S437" s="555"/>
      <c r="T437" s="555"/>
      <c r="U437" s="555"/>
      <c r="V437" s="556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17.613636363636363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18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0.21528000000000003</v>
      </c>
      <c r="AA437" s="548"/>
      <c r="AB437" s="548"/>
      <c r="AC437" s="548"/>
    </row>
    <row r="438" spans="1:68" x14ac:dyDescent="0.2">
      <c r="A438" s="550"/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73"/>
      <c r="P438" s="554" t="s">
        <v>75</v>
      </c>
      <c r="Q438" s="555"/>
      <c r="R438" s="555"/>
      <c r="S438" s="555"/>
      <c r="T438" s="555"/>
      <c r="U438" s="555"/>
      <c r="V438" s="556"/>
      <c r="W438" s="37" t="s">
        <v>69</v>
      </c>
      <c r="X438" s="547">
        <f>IFERROR(SUM(X425:X436),"0")</f>
        <v>93</v>
      </c>
      <c r="Y438" s="547">
        <f>IFERROR(SUM(Y425:Y436),"0")</f>
        <v>95.039999999999992</v>
      </c>
      <c r="Z438" s="37"/>
      <c r="AA438" s="548"/>
      <c r="AB438" s="548"/>
      <c r="AC438" s="548"/>
    </row>
    <row r="439" spans="1:68" ht="14.25" hidden="1" customHeight="1" x14ac:dyDescent="0.25">
      <c r="A439" s="557" t="s">
        <v>137</v>
      </c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  <c r="Z439" s="550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8">
        <v>4607091388930</v>
      </c>
      <c r="E440" s="559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8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224</v>
      </c>
      <c r="Y440" s="546">
        <f>IFERROR(IF(X440="",0,CEILING((X440/$H440),1)*$H440),"")</f>
        <v>227.04000000000002</v>
      </c>
      <c r="Z440" s="36">
        <f>IFERROR(IF(Y440=0,"",ROUNDUP(Y440/H440,0)*0.01196),"")</f>
        <v>0.51427999999999996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238.84848484848482</v>
      </c>
      <c r="BN440" s="64">
        <f>IFERROR(Y440*I440/H440,"0")</f>
        <v>242.09</v>
      </c>
      <c r="BO440" s="64">
        <f>IFERROR(1/J440*(X440/H440),"0")</f>
        <v>0.40792540792540793</v>
      </c>
      <c r="BP440" s="64">
        <f>IFERROR(1/J440*(Y440/H440),"0")</f>
        <v>0.41346153846153849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8">
        <v>4680115886407</v>
      </c>
      <c r="E441" s="559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8">
        <v>4680115880054</v>
      </c>
      <c r="E442" s="559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7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72"/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73"/>
      <c r="P443" s="554" t="s">
        <v>75</v>
      </c>
      <c r="Q443" s="555"/>
      <c r="R443" s="555"/>
      <c r="S443" s="555"/>
      <c r="T443" s="555"/>
      <c r="U443" s="555"/>
      <c r="V443" s="556"/>
      <c r="W443" s="37" t="s">
        <v>76</v>
      </c>
      <c r="X443" s="547">
        <f>IFERROR(X440/H440,"0")+IFERROR(X441/H441,"0")+IFERROR(X442/H442,"0")</f>
        <v>42.424242424242422</v>
      </c>
      <c r="Y443" s="547">
        <f>IFERROR(Y440/H440,"0")+IFERROR(Y441/H441,"0")+IFERROR(Y442/H442,"0")</f>
        <v>43</v>
      </c>
      <c r="Z443" s="547">
        <f>IFERROR(IF(Z440="",0,Z440),"0")+IFERROR(IF(Z441="",0,Z441),"0")+IFERROR(IF(Z442="",0,Z442),"0")</f>
        <v>0.51427999999999996</v>
      </c>
      <c r="AA443" s="548"/>
      <c r="AB443" s="548"/>
      <c r="AC443" s="548"/>
    </row>
    <row r="444" spans="1:68" x14ac:dyDescent="0.2">
      <c r="A444" s="550"/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73"/>
      <c r="P444" s="554" t="s">
        <v>75</v>
      </c>
      <c r="Q444" s="555"/>
      <c r="R444" s="555"/>
      <c r="S444" s="555"/>
      <c r="T444" s="555"/>
      <c r="U444" s="555"/>
      <c r="V444" s="556"/>
      <c r="W444" s="37" t="s">
        <v>69</v>
      </c>
      <c r="X444" s="547">
        <f>IFERROR(SUM(X440:X442),"0")</f>
        <v>224</v>
      </c>
      <c r="Y444" s="547">
        <f>IFERROR(SUM(Y440:Y442),"0")</f>
        <v>227.04000000000002</v>
      </c>
      <c r="Z444" s="37"/>
      <c r="AA444" s="548"/>
      <c r="AB444" s="548"/>
      <c r="AC444" s="548"/>
    </row>
    <row r="445" spans="1:68" ht="14.25" hidden="1" customHeight="1" x14ac:dyDescent="0.25">
      <c r="A445" s="557" t="s">
        <v>64</v>
      </c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  <c r="Z445" s="550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8">
        <v>4680115883116</v>
      </c>
      <c r="E446" s="559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8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8">
        <v>4680115883093</v>
      </c>
      <c r="E447" s="559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8">
        <v>4680115883109</v>
      </c>
      <c r="E448" s="559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60</v>
      </c>
      <c r="Y448" s="546">
        <f t="shared" si="48"/>
        <v>63.36</v>
      </c>
      <c r="Z448" s="36">
        <f>IFERROR(IF(Y448=0,"",ROUNDUP(Y448/H448,0)*0.01196),"")</f>
        <v>0.14352000000000001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63.977272727272727</v>
      </c>
      <c r="BN448" s="64">
        <f t="shared" si="50"/>
        <v>67.559999999999988</v>
      </c>
      <c r="BO448" s="64">
        <f t="shared" si="51"/>
        <v>0.10926573426573427</v>
      </c>
      <c r="BP448" s="64">
        <f t="shared" si="52"/>
        <v>0.11538461538461539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8">
        <v>4680115882072</v>
      </c>
      <c r="E449" s="559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6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8">
        <v>4680115882102</v>
      </c>
      <c r="E450" s="559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8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8">
        <v>4680115882096</v>
      </c>
      <c r="E451" s="559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72"/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73"/>
      <c r="P452" s="554" t="s">
        <v>75</v>
      </c>
      <c r="Q452" s="555"/>
      <c r="R452" s="555"/>
      <c r="S452" s="555"/>
      <c r="T452" s="555"/>
      <c r="U452" s="555"/>
      <c r="V452" s="556"/>
      <c r="W452" s="37" t="s">
        <v>76</v>
      </c>
      <c r="X452" s="547">
        <f>IFERROR(X446/H446,"0")+IFERROR(X447/H447,"0")+IFERROR(X448/H448,"0")+IFERROR(X449/H449,"0")+IFERROR(X450/H450,"0")+IFERROR(X451/H451,"0")</f>
        <v>11.363636363636363</v>
      </c>
      <c r="Y452" s="547">
        <f>IFERROR(Y446/H446,"0")+IFERROR(Y447/H447,"0")+IFERROR(Y448/H448,"0")+IFERROR(Y449/H449,"0")+IFERROR(Y450/H450,"0")+IFERROR(Y451/H451,"0")</f>
        <v>12</v>
      </c>
      <c r="Z452" s="547">
        <f>IFERROR(IF(Z446="",0,Z446),"0")+IFERROR(IF(Z447="",0,Z447),"0")+IFERROR(IF(Z448="",0,Z448),"0")+IFERROR(IF(Z449="",0,Z449),"0")+IFERROR(IF(Z450="",0,Z450),"0")+IFERROR(IF(Z451="",0,Z451),"0")</f>
        <v>0.14352000000000001</v>
      </c>
      <c r="AA452" s="548"/>
      <c r="AB452" s="548"/>
      <c r="AC452" s="548"/>
    </row>
    <row r="453" spans="1:68" x14ac:dyDescent="0.2">
      <c r="A453" s="550"/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73"/>
      <c r="P453" s="554" t="s">
        <v>75</v>
      </c>
      <c r="Q453" s="555"/>
      <c r="R453" s="555"/>
      <c r="S453" s="555"/>
      <c r="T453" s="555"/>
      <c r="U453" s="555"/>
      <c r="V453" s="556"/>
      <c r="W453" s="37" t="s">
        <v>69</v>
      </c>
      <c r="X453" s="547">
        <f>IFERROR(SUM(X446:X451),"0")</f>
        <v>60</v>
      </c>
      <c r="Y453" s="547">
        <f>IFERROR(SUM(Y446:Y451),"0")</f>
        <v>63.36</v>
      </c>
      <c r="Z453" s="37"/>
      <c r="AA453" s="548"/>
      <c r="AB453" s="548"/>
      <c r="AC453" s="548"/>
    </row>
    <row r="454" spans="1:68" ht="14.25" hidden="1" customHeight="1" x14ac:dyDescent="0.25">
      <c r="A454" s="557" t="s">
        <v>77</v>
      </c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  <c r="Z454" s="550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8">
        <v>4680115883536</v>
      </c>
      <c r="E455" s="559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8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72"/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73"/>
      <c r="P456" s="554" t="s">
        <v>75</v>
      </c>
      <c r="Q456" s="555"/>
      <c r="R456" s="555"/>
      <c r="S456" s="555"/>
      <c r="T456" s="555"/>
      <c r="U456" s="555"/>
      <c r="V456" s="556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0"/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73"/>
      <c r="P457" s="554" t="s">
        <v>75</v>
      </c>
      <c r="Q457" s="555"/>
      <c r="R457" s="555"/>
      <c r="S457" s="555"/>
      <c r="T457" s="555"/>
      <c r="U457" s="555"/>
      <c r="V457" s="556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688" t="s">
        <v>712</v>
      </c>
      <c r="B458" s="689"/>
      <c r="C458" s="689"/>
      <c r="D458" s="689"/>
      <c r="E458" s="689"/>
      <c r="F458" s="689"/>
      <c r="G458" s="689"/>
      <c r="H458" s="689"/>
      <c r="I458" s="689"/>
      <c r="J458" s="689"/>
      <c r="K458" s="689"/>
      <c r="L458" s="689"/>
      <c r="M458" s="689"/>
      <c r="N458" s="689"/>
      <c r="O458" s="689"/>
      <c r="P458" s="689"/>
      <c r="Q458" s="689"/>
      <c r="R458" s="689"/>
      <c r="S458" s="689"/>
      <c r="T458" s="689"/>
      <c r="U458" s="689"/>
      <c r="V458" s="689"/>
      <c r="W458" s="689"/>
      <c r="X458" s="689"/>
      <c r="Y458" s="689"/>
      <c r="Z458" s="689"/>
      <c r="AA458" s="48"/>
      <c r="AB458" s="48"/>
      <c r="AC458" s="48"/>
    </row>
    <row r="459" spans="1:68" ht="16.5" hidden="1" customHeight="1" x14ac:dyDescent="0.25">
      <c r="A459" s="569" t="s">
        <v>712</v>
      </c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  <c r="Z459" s="550"/>
      <c r="AA459" s="540"/>
      <c r="AB459" s="540"/>
      <c r="AC459" s="540"/>
    </row>
    <row r="460" spans="1:68" ht="14.25" hidden="1" customHeight="1" x14ac:dyDescent="0.25">
      <c r="A460" s="557" t="s">
        <v>102</v>
      </c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  <c r="Z460" s="550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8">
        <v>4640242181011</v>
      </c>
      <c r="E461" s="559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8">
        <v>4640242180441</v>
      </c>
      <c r="E462" s="559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67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8">
        <v>4640242180564</v>
      </c>
      <c r="E463" s="559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6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8">
        <v>4640242181189</v>
      </c>
      <c r="E464" s="559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80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72"/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73"/>
      <c r="P465" s="554" t="s">
        <v>75</v>
      </c>
      <c r="Q465" s="555"/>
      <c r="R465" s="555"/>
      <c r="S465" s="555"/>
      <c r="T465" s="555"/>
      <c r="U465" s="555"/>
      <c r="V465" s="556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0"/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73"/>
      <c r="P466" s="554" t="s">
        <v>75</v>
      </c>
      <c r="Q466" s="555"/>
      <c r="R466" s="555"/>
      <c r="S466" s="555"/>
      <c r="T466" s="555"/>
      <c r="U466" s="555"/>
      <c r="V466" s="556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7" t="s">
        <v>137</v>
      </c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  <c r="Z467" s="550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8">
        <v>4640242180519</v>
      </c>
      <c r="E468" s="559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81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8">
        <v>4640242180526</v>
      </c>
      <c r="E469" s="559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79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2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73"/>
      <c r="P470" s="554" t="s">
        <v>75</v>
      </c>
      <c r="Q470" s="555"/>
      <c r="R470" s="555"/>
      <c r="S470" s="555"/>
      <c r="T470" s="555"/>
      <c r="U470" s="555"/>
      <c r="V470" s="556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0"/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73"/>
      <c r="P471" s="554" t="s">
        <v>75</v>
      </c>
      <c r="Q471" s="555"/>
      <c r="R471" s="555"/>
      <c r="S471" s="555"/>
      <c r="T471" s="555"/>
      <c r="U471" s="555"/>
      <c r="V471" s="556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7" t="s">
        <v>64</v>
      </c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  <c r="Z472" s="550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8">
        <v>4640242180816</v>
      </c>
      <c r="E473" s="559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84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8">
        <v>4640242180595</v>
      </c>
      <c r="E474" s="559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8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2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73"/>
      <c r="P475" s="554" t="s">
        <v>75</v>
      </c>
      <c r="Q475" s="555"/>
      <c r="R475" s="555"/>
      <c r="S475" s="555"/>
      <c r="T475" s="555"/>
      <c r="U475" s="555"/>
      <c r="V475" s="556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0"/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73"/>
      <c r="P476" s="554" t="s">
        <v>75</v>
      </c>
      <c r="Q476" s="555"/>
      <c r="R476" s="555"/>
      <c r="S476" s="555"/>
      <c r="T476" s="555"/>
      <c r="U476" s="555"/>
      <c r="V476" s="556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7" t="s">
        <v>77</v>
      </c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  <c r="Z477" s="550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8">
        <v>4640242180533</v>
      </c>
      <c r="E478" s="559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2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73"/>
      <c r="P479" s="554" t="s">
        <v>75</v>
      </c>
      <c r="Q479" s="555"/>
      <c r="R479" s="555"/>
      <c r="S479" s="555"/>
      <c r="T479" s="555"/>
      <c r="U479" s="555"/>
      <c r="V479" s="556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0"/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73"/>
      <c r="P480" s="554" t="s">
        <v>75</v>
      </c>
      <c r="Q480" s="555"/>
      <c r="R480" s="555"/>
      <c r="S480" s="555"/>
      <c r="T480" s="555"/>
      <c r="U480" s="555"/>
      <c r="V480" s="556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7" t="s">
        <v>165</v>
      </c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  <c r="Z481" s="550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8">
        <v>4640242180120</v>
      </c>
      <c r="E482" s="559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8">
        <v>4640242180137</v>
      </c>
      <c r="E483" s="559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0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2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73"/>
      <c r="P484" s="554" t="s">
        <v>75</v>
      </c>
      <c r="Q484" s="555"/>
      <c r="R484" s="555"/>
      <c r="S484" s="555"/>
      <c r="T484" s="555"/>
      <c r="U484" s="555"/>
      <c r="V484" s="556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0"/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73"/>
      <c r="P485" s="554" t="s">
        <v>75</v>
      </c>
      <c r="Q485" s="555"/>
      <c r="R485" s="555"/>
      <c r="S485" s="555"/>
      <c r="T485" s="555"/>
      <c r="U485" s="555"/>
      <c r="V485" s="556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9" t="s">
        <v>745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40"/>
      <c r="AB486" s="540"/>
      <c r="AC486" s="540"/>
    </row>
    <row r="487" spans="1:68" ht="14.25" hidden="1" customHeight="1" x14ac:dyDescent="0.25">
      <c r="A487" s="557" t="s">
        <v>137</v>
      </c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  <c r="Z487" s="550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8">
        <v>4640242180090</v>
      </c>
      <c r="E488" s="559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0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2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73"/>
      <c r="P489" s="554" t="s">
        <v>75</v>
      </c>
      <c r="Q489" s="555"/>
      <c r="R489" s="555"/>
      <c r="S489" s="555"/>
      <c r="T489" s="555"/>
      <c r="U489" s="555"/>
      <c r="V489" s="556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0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73"/>
      <c r="P490" s="554" t="s">
        <v>75</v>
      </c>
      <c r="Q490" s="555"/>
      <c r="R490" s="555"/>
      <c r="S490" s="555"/>
      <c r="T490" s="555"/>
      <c r="U490" s="555"/>
      <c r="V490" s="556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81"/>
      <c r="P491" s="646" t="s">
        <v>749</v>
      </c>
      <c r="Q491" s="647"/>
      <c r="R491" s="647"/>
      <c r="S491" s="647"/>
      <c r="T491" s="647"/>
      <c r="U491" s="647"/>
      <c r="V491" s="619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3397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3482.9600000000005</v>
      </c>
      <c r="Z491" s="37"/>
      <c r="AA491" s="548"/>
      <c r="AB491" s="548"/>
      <c r="AC491" s="548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81"/>
      <c r="P492" s="646" t="s">
        <v>750</v>
      </c>
      <c r="Q492" s="647"/>
      <c r="R492" s="647"/>
      <c r="S492" s="647"/>
      <c r="T492" s="647"/>
      <c r="U492" s="647"/>
      <c r="V492" s="619"/>
      <c r="W492" s="37" t="s">
        <v>69</v>
      </c>
      <c r="X492" s="547">
        <f>IFERROR(SUM(BM22:BM488),"0")</f>
        <v>3554.3160911495906</v>
      </c>
      <c r="Y492" s="547">
        <f>IFERROR(SUM(BN22:BN488),"0")</f>
        <v>3644.806</v>
      </c>
      <c r="Z492" s="37"/>
      <c r="AA492" s="548"/>
      <c r="AB492" s="548"/>
      <c r="AC492" s="548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81"/>
      <c r="P493" s="646" t="s">
        <v>751</v>
      </c>
      <c r="Q493" s="647"/>
      <c r="R493" s="647"/>
      <c r="S493" s="647"/>
      <c r="T493" s="647"/>
      <c r="U493" s="647"/>
      <c r="V493" s="619"/>
      <c r="W493" s="37" t="s">
        <v>752</v>
      </c>
      <c r="X493" s="38">
        <f>ROUNDUP(SUM(BO22:BO488),0)</f>
        <v>6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81"/>
      <c r="P494" s="646" t="s">
        <v>753</v>
      </c>
      <c r="Q494" s="647"/>
      <c r="R494" s="647"/>
      <c r="S494" s="647"/>
      <c r="T494" s="647"/>
      <c r="U494" s="647"/>
      <c r="V494" s="619"/>
      <c r="W494" s="37" t="s">
        <v>69</v>
      </c>
      <c r="X494" s="547">
        <f>GrossWeightTotal+PalletQtyTotal*25</f>
        <v>3704.3160911495906</v>
      </c>
      <c r="Y494" s="547">
        <f>GrossWeightTotalR+PalletQtyTotalR*25</f>
        <v>3794.806</v>
      </c>
      <c r="Z494" s="37"/>
      <c r="AA494" s="548"/>
      <c r="AB494" s="548"/>
      <c r="AC494" s="548"/>
    </row>
    <row r="495" spans="1:68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81"/>
      <c r="P495" s="646" t="s">
        <v>754</v>
      </c>
      <c r="Q495" s="647"/>
      <c r="R495" s="647"/>
      <c r="S495" s="647"/>
      <c r="T495" s="647"/>
      <c r="U495" s="647"/>
      <c r="V495" s="619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549.16580086580075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567</v>
      </c>
      <c r="Z495" s="37"/>
      <c r="AA495" s="548"/>
      <c r="AB495" s="548"/>
      <c r="AC495" s="548"/>
    </row>
    <row r="496" spans="1:68" ht="14.25" hidden="1" customHeight="1" x14ac:dyDescent="0.2">
      <c r="A496" s="550"/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81"/>
      <c r="P496" s="646" t="s">
        <v>755</v>
      </c>
      <c r="Q496" s="647"/>
      <c r="R496" s="647"/>
      <c r="S496" s="647"/>
      <c r="T496" s="647"/>
      <c r="U496" s="647"/>
      <c r="V496" s="619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6.5659799999999997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642" t="s">
        <v>100</v>
      </c>
      <c r="D498" s="769"/>
      <c r="E498" s="769"/>
      <c r="F498" s="769"/>
      <c r="G498" s="769"/>
      <c r="H498" s="770"/>
      <c r="I498" s="642" t="s">
        <v>267</v>
      </c>
      <c r="J498" s="769"/>
      <c r="K498" s="769"/>
      <c r="L498" s="769"/>
      <c r="M498" s="769"/>
      <c r="N498" s="769"/>
      <c r="O498" s="769"/>
      <c r="P498" s="769"/>
      <c r="Q498" s="769"/>
      <c r="R498" s="770"/>
      <c r="S498" s="642" t="s">
        <v>551</v>
      </c>
      <c r="T498" s="770"/>
      <c r="U498" s="642" t="s">
        <v>605</v>
      </c>
      <c r="V498" s="769"/>
      <c r="W498" s="770"/>
      <c r="X498" s="542" t="s">
        <v>656</v>
      </c>
      <c r="Y498" s="642" t="s">
        <v>712</v>
      </c>
      <c r="Z498" s="770"/>
      <c r="AB498" s="52"/>
      <c r="AC498" s="52"/>
      <c r="AF498" s="543"/>
    </row>
    <row r="499" spans="1:32" ht="14.25" customHeight="1" thickTop="1" x14ac:dyDescent="0.2">
      <c r="A499" s="582" t="s">
        <v>758</v>
      </c>
      <c r="B499" s="642" t="s">
        <v>63</v>
      </c>
      <c r="C499" s="642" t="s">
        <v>101</v>
      </c>
      <c r="D499" s="642" t="s">
        <v>118</v>
      </c>
      <c r="E499" s="642" t="s">
        <v>172</v>
      </c>
      <c r="F499" s="642" t="s">
        <v>196</v>
      </c>
      <c r="G499" s="642" t="s">
        <v>237</v>
      </c>
      <c r="H499" s="642" t="s">
        <v>100</v>
      </c>
      <c r="I499" s="642" t="s">
        <v>268</v>
      </c>
      <c r="J499" s="642" t="s">
        <v>321</v>
      </c>
      <c r="K499" s="642" t="s">
        <v>380</v>
      </c>
      <c r="L499" s="642" t="s">
        <v>420</v>
      </c>
      <c r="M499" s="642" t="s">
        <v>436</v>
      </c>
      <c r="N499" s="543"/>
      <c r="O499" s="642" t="s">
        <v>447</v>
      </c>
      <c r="P499" s="642" t="s">
        <v>456</v>
      </c>
      <c r="Q499" s="642" t="s">
        <v>469</v>
      </c>
      <c r="R499" s="642" t="s">
        <v>541</v>
      </c>
      <c r="S499" s="642" t="s">
        <v>552</v>
      </c>
      <c r="T499" s="642" t="s">
        <v>587</v>
      </c>
      <c r="U499" s="642" t="s">
        <v>606</v>
      </c>
      <c r="V499" s="642" t="s">
        <v>637</v>
      </c>
      <c r="W499" s="642" t="s">
        <v>652</v>
      </c>
      <c r="X499" s="642" t="s">
        <v>656</v>
      </c>
      <c r="Y499" s="642" t="s">
        <v>712</v>
      </c>
      <c r="Z499" s="642" t="s">
        <v>745</v>
      </c>
      <c r="AB499" s="52"/>
      <c r="AC499" s="52"/>
      <c r="AF499" s="543"/>
    </row>
    <row r="500" spans="1:32" ht="13.5" customHeight="1" thickBot="1" x14ac:dyDescent="0.25">
      <c r="A500" s="58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543"/>
      <c r="O500" s="643"/>
      <c r="P500" s="643"/>
      <c r="Q500" s="643"/>
      <c r="R500" s="643"/>
      <c r="S500" s="643"/>
      <c r="T500" s="643"/>
      <c r="U500" s="643"/>
      <c r="V500" s="643"/>
      <c r="W500" s="643"/>
      <c r="X500" s="643"/>
      <c r="Y500" s="643"/>
      <c r="Z500" s="643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162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54</v>
      </c>
      <c r="E501" s="46">
        <f>IFERROR(Y86*1,"0")+IFERROR(Y87*1,"0")+IFERROR(Y88*1,"0")+IFERROR(Y89*1,"0")+IFERROR(Y93*1,"0")+IFERROR(Y94*1,"0")+IFERROR(Y95*1,"0")+IFERROR(Y96*1,"0")</f>
        <v>148.5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183.60000000000002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374.82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906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5.4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101.6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753</v>
      </c>
      <c r="T501" s="46">
        <f>IFERROR(Y371*1,"0")+IFERROR(Y372*1,"0")+IFERROR(Y376*1,"0")+IFERROR(Y377*1,"0")+IFERROR(Y381*1,"0")+IFERROR(Y382*1,"0")+IFERROR(Y383*1,"0")</f>
        <v>252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91.800000000000011</v>
      </c>
      <c r="V501" s="46">
        <f>IFERROR(Y407*1,"0")+IFERROR(Y411*1,"0")+IFERROR(Y412*1,"0")+IFERROR(Y413*1,"0")+IFERROR(Y414*1,"0")</f>
        <v>64.800000000000011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385.44000000000005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oCdOgtkUbzxhjDfjKecSysnGrm6WYw83YzigAkyIyyTgM4dpsTOyPAkeeWmwJ/jv1z+HJbJoVyz6tsKXrn4fGw==" saltValue="ZnxxvsBM2R3sI+Zgat7cS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,00"/>
        <filter val="1,11"/>
        <filter val="1,89"/>
        <filter val="108,00"/>
        <filter val="11,00"/>
        <filter val="11,11"/>
        <filter val="11,36"/>
        <filter val="11,67"/>
        <filter val="137,96"/>
        <filter val="14,72"/>
        <filter val="145,00"/>
        <filter val="158,00"/>
        <filter val="159,00"/>
        <filter val="16,11"/>
        <filter val="16,39"/>
        <filter val="165,00"/>
        <filter val="17,00"/>
        <filter val="17,61"/>
        <filter val="177,00"/>
        <filter val="18,22"/>
        <filter val="188,00"/>
        <filter val="191,00"/>
        <filter val="193,00"/>
        <filter val="2,00"/>
        <filter val="2,50"/>
        <filter val="224,00"/>
        <filter val="246,00"/>
        <filter val="27,33"/>
        <filter val="276,00"/>
        <filter val="3 397,00"/>
        <filter val="3 554,32"/>
        <filter val="3 704,32"/>
        <filter val="3,00"/>
        <filter val="30,00"/>
        <filter val="301,00"/>
        <filter val="35,00"/>
        <filter val="366,00"/>
        <filter val="37,00"/>
        <filter val="4,72"/>
        <filter val="42,42"/>
        <filter val="441,00"/>
        <filter val="45,00"/>
        <filter val="46,00"/>
        <filter val="47,80"/>
        <filter val="48,00"/>
        <filter val="5,00"/>
        <filter val="51,00"/>
        <filter val="52,00"/>
        <filter val="549,17"/>
        <filter val="6"/>
        <filter val="60,00"/>
        <filter val="63,00"/>
        <filter val="65,51"/>
        <filter val="703,00"/>
        <filter val="717,00"/>
        <filter val="8,00"/>
        <filter val="87,00"/>
        <filter val="91,00"/>
        <filter val="93,00"/>
        <filter val="98,02"/>
      </filters>
    </filterColumn>
    <filterColumn colId="29" showButton="0"/>
    <filterColumn colId="30" showButton="0"/>
  </autoFilter>
  <mergeCells count="878"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P231:T231"/>
    <mergeCell ref="P302:T302"/>
    <mergeCell ref="D174:E174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P204:T204"/>
    <mergeCell ref="D253:E253"/>
    <mergeCell ref="P316:V316"/>
    <mergeCell ref="A369:Z369"/>
    <mergeCell ref="A418:Z418"/>
    <mergeCell ref="D283:E283"/>
    <mergeCell ref="P144:T144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A92:Z92"/>
    <mergeCell ref="P227:V227"/>
    <mergeCell ref="P373:V373"/>
    <mergeCell ref="P429:T429"/>
    <mergeCell ref="A439:Z439"/>
    <mergeCell ref="D435:E435"/>
    <mergeCell ref="P446:T446"/>
    <mergeCell ref="P440:T440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96:E296"/>
    <mergeCell ref="P448:T448"/>
    <mergeCell ref="W499:W500"/>
    <mergeCell ref="A406:Z406"/>
    <mergeCell ref="P385:V385"/>
    <mergeCell ref="Y499:Y500"/>
    <mergeCell ref="D463:E463"/>
    <mergeCell ref="Z499:Z500"/>
    <mergeCell ref="P499:P500"/>
    <mergeCell ref="O499:O500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D269:E269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G17:G18"/>
    <mergeCell ref="P61:T61"/>
    <mergeCell ref="P41:T41"/>
    <mergeCell ref="D22:E22"/>
    <mergeCell ref="A26:Z26"/>
    <mergeCell ref="P27:T27"/>
    <mergeCell ref="P325:T325"/>
    <mergeCell ref="D75:E75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AB17:AB18"/>
    <mergeCell ref="D427:E427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P22:T22"/>
    <mergeCell ref="P320:T320"/>
    <mergeCell ref="P314:T314"/>
    <mergeCell ref="A437:O438"/>
    <mergeCell ref="D428:E428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P334:V334"/>
    <mergeCell ref="P462:T462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70:E170"/>
    <mergeCell ref="D468:E468"/>
    <mergeCell ref="P379:V379"/>
    <mergeCell ref="D196:E196"/>
    <mergeCell ref="P294:T294"/>
    <mergeCell ref="P443:V443"/>
    <mergeCell ref="P272:V272"/>
    <mergeCell ref="P176:T176"/>
    <mergeCell ref="D383:E383"/>
    <mergeCell ref="P333:T333"/>
    <mergeCell ref="D314:E314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102:T102"/>
    <mergeCell ref="P214:T214"/>
    <mergeCell ref="P270:T270"/>
    <mergeCell ref="D105:E105"/>
    <mergeCell ref="P139:T139"/>
    <mergeCell ref="P80:T80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P120:V120"/>
    <mergeCell ref="P35:T35"/>
    <mergeCell ref="P184:V184"/>
    <mergeCell ref="A152:O153"/>
    <mergeCell ref="A143:Z143"/>
    <mergeCell ref="P121:V121"/>
    <mergeCell ref="D80:E80"/>
    <mergeCell ref="D347:E347"/>
    <mergeCell ref="P304:T304"/>
    <mergeCell ref="P206:T206"/>
    <mergeCell ref="D176:E176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D133:E133"/>
    <mergeCell ref="P447:T447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331:E331"/>
    <mergeCell ref="P163:V163"/>
    <mergeCell ref="D268:E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3 X101 X104 X116 X118 X166 X168:X169 X201:X202 X204 X215 X217:X220 X277:X278 X319 X346:X347 X349 X356 X381 X389 X411 X429 X431 X440 X446:X448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yAY1Il2C0DYVIoexGDUnpMFt07IYurfY1Ospbqr2DYvW/45esaxcCkdxAfnt5qpNoZnXUsDpnnp51wRGOJQTbg==" saltValue="PKC8C7FchOAOxyfTyUzbb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