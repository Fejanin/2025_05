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C92279-8CE4-429A-BC2E-966E1E32AA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BP144" i="1" s="1"/>
  <c r="P144" i="1"/>
  <c r="X141" i="1"/>
  <c r="X140" i="1"/>
  <c r="BO139" i="1"/>
  <c r="BM139" i="1"/>
  <c r="Y139" i="1"/>
  <c r="BP139" i="1" s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1" i="1"/>
  <c r="X130" i="1"/>
  <c r="BO129" i="1"/>
  <c r="BM129" i="1"/>
  <c r="Y129" i="1"/>
  <c r="BP129" i="1" s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1" i="1" l="1"/>
  <c r="BN81" i="1"/>
  <c r="Z81" i="1"/>
  <c r="BP118" i="1"/>
  <c r="BN118" i="1"/>
  <c r="Z118" i="1"/>
  <c r="BP165" i="1"/>
  <c r="BN165" i="1"/>
  <c r="Z165" i="1"/>
  <c r="BP201" i="1"/>
  <c r="BN201" i="1"/>
  <c r="Z201" i="1"/>
  <c r="BP225" i="1"/>
  <c r="BN225" i="1"/>
  <c r="Z225" i="1"/>
  <c r="BP254" i="1"/>
  <c r="BN254" i="1"/>
  <c r="Z254" i="1"/>
  <c r="BP284" i="1"/>
  <c r="BN284" i="1"/>
  <c r="Z284" i="1"/>
  <c r="BP288" i="1"/>
  <c r="BN288" i="1"/>
  <c r="Z288" i="1"/>
  <c r="BP315" i="1"/>
  <c r="BN315" i="1"/>
  <c r="Z315" i="1"/>
  <c r="BP351" i="1"/>
  <c r="BN351" i="1"/>
  <c r="Z351" i="1"/>
  <c r="BP394" i="1"/>
  <c r="BN394" i="1"/>
  <c r="Z394" i="1"/>
  <c r="BP431" i="1"/>
  <c r="BN431" i="1"/>
  <c r="Z431" i="1"/>
  <c r="BP463" i="1"/>
  <c r="BN463" i="1"/>
  <c r="Z463" i="1"/>
  <c r="X496" i="1"/>
  <c r="Z28" i="1"/>
  <c r="BN28" i="1"/>
  <c r="Z55" i="1"/>
  <c r="BN55" i="1"/>
  <c r="BP67" i="1"/>
  <c r="BN67" i="1"/>
  <c r="Z67" i="1"/>
  <c r="BP89" i="1"/>
  <c r="BN89" i="1"/>
  <c r="Z89" i="1"/>
  <c r="BP150" i="1"/>
  <c r="BN150" i="1"/>
  <c r="Z150" i="1"/>
  <c r="BP182" i="1"/>
  <c r="BN182" i="1"/>
  <c r="Z182" i="1"/>
  <c r="BP213" i="1"/>
  <c r="BN213" i="1"/>
  <c r="Z213" i="1"/>
  <c r="BP236" i="1"/>
  <c r="BN236" i="1"/>
  <c r="Z236" i="1"/>
  <c r="BP268" i="1"/>
  <c r="BN268" i="1"/>
  <c r="Z268" i="1"/>
  <c r="BP303" i="1"/>
  <c r="BN303" i="1"/>
  <c r="Z303" i="1"/>
  <c r="BP333" i="1"/>
  <c r="BN333" i="1"/>
  <c r="Z333" i="1"/>
  <c r="BP378" i="1"/>
  <c r="BN378" i="1"/>
  <c r="Z378" i="1"/>
  <c r="BP413" i="1"/>
  <c r="BN413" i="1"/>
  <c r="Z413" i="1"/>
  <c r="BP441" i="1"/>
  <c r="BN441" i="1"/>
  <c r="Z441" i="1"/>
  <c r="Z444" i="1" s="1"/>
  <c r="Y481" i="1"/>
  <c r="Y480" i="1"/>
  <c r="BP479" i="1"/>
  <c r="BN479" i="1"/>
  <c r="Z479" i="1"/>
  <c r="Z480" i="1" s="1"/>
  <c r="BP483" i="1"/>
  <c r="BN483" i="1"/>
  <c r="Z483" i="1"/>
  <c r="L502" i="1"/>
  <c r="Y90" i="1"/>
  <c r="Y183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Z22" i="1"/>
  <c r="BN22" i="1"/>
  <c r="X492" i="1"/>
  <c r="Y32" i="1"/>
  <c r="Z30" i="1"/>
  <c r="BN30" i="1"/>
  <c r="C502" i="1"/>
  <c r="Z53" i="1"/>
  <c r="BN53" i="1"/>
  <c r="Z57" i="1"/>
  <c r="BN57" i="1"/>
  <c r="Y65" i="1"/>
  <c r="Z63" i="1"/>
  <c r="BN63" i="1"/>
  <c r="Z69" i="1"/>
  <c r="BN69" i="1"/>
  <c r="Y77" i="1"/>
  <c r="Z75" i="1"/>
  <c r="BN75" i="1"/>
  <c r="Z86" i="1"/>
  <c r="BN86" i="1"/>
  <c r="Z87" i="1"/>
  <c r="BN87" i="1"/>
  <c r="Z95" i="1"/>
  <c r="BN95" i="1"/>
  <c r="Z103" i="1"/>
  <c r="BN103" i="1"/>
  <c r="Z109" i="1"/>
  <c r="Z113" i="1" s="1"/>
  <c r="BN109" i="1"/>
  <c r="Z110" i="1"/>
  <c r="BN110" i="1"/>
  <c r="Z116" i="1"/>
  <c r="BN116" i="1"/>
  <c r="BP116" i="1"/>
  <c r="Z129" i="1"/>
  <c r="BN129" i="1"/>
  <c r="Y135" i="1"/>
  <c r="Z139" i="1"/>
  <c r="BN139" i="1"/>
  <c r="Z144" i="1"/>
  <c r="BN144" i="1"/>
  <c r="Y178" i="1"/>
  <c r="Z167" i="1"/>
  <c r="BN167" i="1"/>
  <c r="Z171" i="1"/>
  <c r="BN171" i="1"/>
  <c r="Z174" i="1"/>
  <c r="BN174" i="1"/>
  <c r="Z180" i="1"/>
  <c r="BN180" i="1"/>
  <c r="BP180" i="1"/>
  <c r="Z197" i="1"/>
  <c r="BN197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38" i="1"/>
  <c r="BN238" i="1"/>
  <c r="Y256" i="1"/>
  <c r="Z252" i="1"/>
  <c r="BN252" i="1"/>
  <c r="Z259" i="1"/>
  <c r="BN259" i="1"/>
  <c r="BP259" i="1"/>
  <c r="Z263" i="1"/>
  <c r="BN263" i="1"/>
  <c r="Z270" i="1"/>
  <c r="BN270" i="1"/>
  <c r="BP277" i="1"/>
  <c r="BN277" i="1"/>
  <c r="BP295" i="1"/>
  <c r="BN295" i="1"/>
  <c r="Z295" i="1"/>
  <c r="BP305" i="1"/>
  <c r="BN305" i="1"/>
  <c r="Z305" i="1"/>
  <c r="Y323" i="1"/>
  <c r="BP319" i="1"/>
  <c r="BN319" i="1"/>
  <c r="Z319" i="1"/>
  <c r="BP340" i="1"/>
  <c r="BN340" i="1"/>
  <c r="Z340" i="1"/>
  <c r="BP353" i="1"/>
  <c r="BN353" i="1"/>
  <c r="Z353" i="1"/>
  <c r="Y386" i="1"/>
  <c r="BP382" i="1"/>
  <c r="BN382" i="1"/>
  <c r="Z38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309" i="1"/>
  <c r="Y359" i="1"/>
  <c r="Y445" i="1"/>
  <c r="Y444" i="1"/>
  <c r="Y485" i="1"/>
  <c r="W502" i="1"/>
  <c r="F9" i="1"/>
  <c r="J9" i="1"/>
  <c r="F10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Z290" i="1" s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Z77" i="1" s="1"/>
  <c r="Y82" i="1"/>
  <c r="BP88" i="1"/>
  <c r="BN88" i="1"/>
  <c r="Z88" i="1"/>
  <c r="Z90" i="1" s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85" i="1" l="1"/>
  <c r="Z438" i="1"/>
  <c r="Z364" i="1"/>
  <c r="Z239" i="1"/>
  <c r="Z379" i="1"/>
  <c r="Z177" i="1"/>
  <c r="Z140" i="1"/>
  <c r="Z44" i="1"/>
  <c r="Z32" i="1"/>
  <c r="Z198" i="1"/>
  <c r="Z146" i="1"/>
  <c r="Z354" i="1"/>
  <c r="Y494" i="1"/>
  <c r="Y493" i="1"/>
  <c r="Y495" i="1" s="1"/>
  <c r="Z329" i="1"/>
  <c r="Z453" i="1"/>
  <c r="Z399" i="1"/>
  <c r="Z309" i="1"/>
  <c r="Z106" i="1"/>
  <c r="Z97" i="1"/>
  <c r="Z466" i="1"/>
  <c r="Z58" i="1"/>
  <c r="Y496" i="1"/>
  <c r="X495" i="1"/>
  <c r="Z342" i="1"/>
  <c r="Z279" i="1"/>
  <c r="Z221" i="1"/>
  <c r="Z152" i="1"/>
  <c r="Y492" i="1"/>
  <c r="Z416" i="1"/>
  <c r="Z209" i="1"/>
  <c r="Z300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<sst xmlns="http://schemas.openxmlformats.org/spreadsheetml/2006/main" count="2363" uniqueCount="779">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</sst>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347" sqref="AA347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46008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Среда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0.375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hidden="1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hidden="1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idden="1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hidden="1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hidden="1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idden="1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hidden="1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hidden="1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hidden="1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hidden="1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hidden="1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5000</v>
      </c>
      <c r="Y347" s="548">
        <f t="shared" ref="Y347:Y353" si="36">IFERROR(IF(X347="",0,CEILING((X347/$H347),1)*$H347),"")</f>
        <v>5010</v>
      </c>
      <c r="Z347" s="36">
        <f>IFERROR(IF(Y347=0,"",ROUNDUP(Y347/H347,0)*0.02175),"")</f>
        <v>7.2644999999999991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5156.666666666667</v>
      </c>
      <c r="BN347" s="64">
        <f t="shared" ref="BN347:BN353" si="38">IFERROR(Y347*I347/H347,"0")</f>
        <v>5166.9799999999996</v>
      </c>
      <c r="BO347" s="64">
        <f t="shared" ref="BO347:BO353" si="39">IFERROR(1/J347*(X347/H347),"0")</f>
        <v>6.9444444444444438</v>
      </c>
      <c r="BP347" s="64">
        <f t="shared" ref="BP347:BP353" si="40">IFERROR(1/J347*(Y347/H347),"0")</f>
        <v>6.958333333333333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5000</v>
      </c>
      <c r="Y349" s="548">
        <f t="shared" si="36"/>
        <v>5010</v>
      </c>
      <c r="Z349" s="36">
        <f>IFERROR(IF(Y349=0,"",ROUNDUP(Y349/H349,0)*0.02175),"")</f>
        <v>7.2644999999999991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5156.666666666667</v>
      </c>
      <c r="BN349" s="64">
        <f t="shared" si="38"/>
        <v>5166.9799999999996</v>
      </c>
      <c r="BO349" s="64">
        <f t="shared" si="39"/>
        <v>6.9444444444444438</v>
      </c>
      <c r="BP349" s="64">
        <f t="shared" si="40"/>
        <v>6.958333333333333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666.66666666666663</v>
      </c>
      <c r="Y354" s="549">
        <f>IFERROR(Y347/H347,"0")+IFERROR(Y348/H348,"0")+IFERROR(Y349/H349,"0")+IFERROR(Y350/H350,"0")+IFERROR(Y351/H351,"0")+IFERROR(Y352/H352,"0")+IFERROR(Y353/H353,"0")</f>
        <v>668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14.528999999999998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10000</v>
      </c>
      <c r="Y355" s="549">
        <f>IFERROR(SUM(Y347:Y353),"0")</f>
        <v>10020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5000</v>
      </c>
      <c r="Y357" s="548">
        <f>IFERROR(IF(X357="",0,CEILING((X357/$H357),1)*$H357),"")</f>
        <v>5010</v>
      </c>
      <c r="Z357" s="36">
        <f>IFERROR(IF(Y357=0,"",ROUNDUP(Y357/H357,0)*0.02175),"")</f>
        <v>7.2644999999999991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5156.666666666667</v>
      </c>
      <c r="BN357" s="64">
        <f>IFERROR(Y357*I357/H357,"0")</f>
        <v>5166.9799999999996</v>
      </c>
      <c r="BO357" s="64">
        <f>IFERROR(1/J357*(X357/H357),"0")</f>
        <v>6.9444444444444438</v>
      </c>
      <c r="BP357" s="64">
        <f>IFERROR(1/J357*(Y357/H357),"0")</f>
        <v>6.958333333333333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333.33333333333331</v>
      </c>
      <c r="Y359" s="549">
        <f>IFERROR(Y357/H357,"0")+IFERROR(Y358/H358,"0")</f>
        <v>334</v>
      </c>
      <c r="Z359" s="549">
        <f>IFERROR(IF(Z357="",0,Z357),"0")+IFERROR(IF(Z358="",0,Z358),"0")</f>
        <v>7.2644999999999991</v>
      </c>
      <c r="AA359" s="550"/>
      <c r="AB359" s="550"/>
      <c r="AC359" s="550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5000</v>
      </c>
      <c r="Y360" s="549">
        <f>IFERROR(SUM(Y357:Y358),"0")</f>
        <v>5010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hidden="1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hidden="1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idden="1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hidden="1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hidden="1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hidden="1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hidden="1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idden="1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hidden="1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hidden="1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15000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15030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15470</v>
      </c>
      <c r="Y493" s="549">
        <f>IFERROR(SUM(BN22:BN489),"0")</f>
        <v>15500.939999999999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21</v>
      </c>
      <c r="Y494" s="38">
        <f>ROUNDUP(SUM(BP22:BP489),0)</f>
        <v>21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15995</v>
      </c>
      <c r="Y495" s="549">
        <f>GrossWeightTotalR+PalletQtyTotalR*25</f>
        <v>16025.939999999999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1000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1002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21.793499999999998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15030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 000,00"/>
        <filter val="15 000,00"/>
        <filter val="15 470,00"/>
        <filter val="15 995,00"/>
        <filter val="21"/>
        <filter val="333,33"/>
        <filter val="5 000,00"/>
        <filter val="666,67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2025-12-15T10:35:25Z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