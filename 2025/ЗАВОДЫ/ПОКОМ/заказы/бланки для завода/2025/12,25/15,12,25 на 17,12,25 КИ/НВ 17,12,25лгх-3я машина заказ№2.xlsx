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2EE3CE-A135-47FB-8D94-0B0016931D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Y316" i="1" s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N270" i="1"/>
  <c r="BM270" i="1"/>
  <c r="Z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L501" i="1" s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X495" i="1" l="1"/>
  <c r="Z28" i="1"/>
  <c r="BN28" i="1"/>
  <c r="Z55" i="1"/>
  <c r="BN55" i="1"/>
  <c r="Z76" i="1"/>
  <c r="BN76" i="1"/>
  <c r="Z94" i="1"/>
  <c r="BN94" i="1"/>
  <c r="Z123" i="1"/>
  <c r="Z124" i="1" s="1"/>
  <c r="BN123" i="1"/>
  <c r="BP123" i="1"/>
  <c r="Y124" i="1"/>
  <c r="Z128" i="1"/>
  <c r="BN128" i="1"/>
  <c r="Y131" i="1"/>
  <c r="Z149" i="1"/>
  <c r="BN149" i="1"/>
  <c r="Y152" i="1"/>
  <c r="Z168" i="1"/>
  <c r="BN168" i="1"/>
  <c r="Z181" i="1"/>
  <c r="BN181" i="1"/>
  <c r="Z205" i="1"/>
  <c r="BN205" i="1"/>
  <c r="Z217" i="1"/>
  <c r="BN217" i="1"/>
  <c r="Z234" i="1"/>
  <c r="BN234" i="1"/>
  <c r="Z252" i="1"/>
  <c r="BN252" i="1"/>
  <c r="Z263" i="1"/>
  <c r="BN263" i="1"/>
  <c r="Z288" i="1"/>
  <c r="BN288" i="1"/>
  <c r="Z305" i="1"/>
  <c r="BN305" i="1"/>
  <c r="Z319" i="1"/>
  <c r="BN319" i="1"/>
  <c r="Z333" i="1"/>
  <c r="BN333" i="1"/>
  <c r="Z350" i="1"/>
  <c r="BN350" i="1"/>
  <c r="Z377" i="1"/>
  <c r="BN377" i="1"/>
  <c r="Z393" i="1"/>
  <c r="BN393" i="1"/>
  <c r="Z412" i="1"/>
  <c r="BN412" i="1"/>
  <c r="Z432" i="1"/>
  <c r="BN432" i="1"/>
  <c r="Z442" i="1"/>
  <c r="BN442" i="1"/>
  <c r="Z450" i="1"/>
  <c r="BN450" i="1"/>
  <c r="Z474" i="1"/>
  <c r="BN474" i="1"/>
  <c r="Y82" i="1"/>
  <c r="BP80" i="1"/>
  <c r="BN80" i="1"/>
  <c r="BP88" i="1"/>
  <c r="BN88" i="1"/>
  <c r="Z88" i="1"/>
  <c r="BP104" i="1"/>
  <c r="BN104" i="1"/>
  <c r="Z104" i="1"/>
  <c r="BP119" i="1"/>
  <c r="BN119" i="1"/>
  <c r="Z119" i="1"/>
  <c r="BP145" i="1"/>
  <c r="BN145" i="1"/>
  <c r="Z145" i="1"/>
  <c r="BP166" i="1"/>
  <c r="BN166" i="1"/>
  <c r="Z166" i="1"/>
  <c r="BP175" i="1"/>
  <c r="BN175" i="1"/>
  <c r="Z175" i="1"/>
  <c r="BP203" i="1"/>
  <c r="BN203" i="1"/>
  <c r="Z203" i="1"/>
  <c r="BP215" i="1"/>
  <c r="BN215" i="1"/>
  <c r="Z215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BP250" i="1"/>
  <c r="BN250" i="1"/>
  <c r="Z250" i="1"/>
  <c r="BP261" i="1"/>
  <c r="BN261" i="1"/>
  <c r="Z261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Z22" i="1"/>
  <c r="BN22" i="1"/>
  <c r="Y25" i="1"/>
  <c r="X491" i="1"/>
  <c r="Y33" i="1"/>
  <c r="Z30" i="1"/>
  <c r="BN30" i="1"/>
  <c r="C501" i="1"/>
  <c r="Z53" i="1"/>
  <c r="BN53" i="1"/>
  <c r="Z57" i="1"/>
  <c r="BN57" i="1"/>
  <c r="Z62" i="1"/>
  <c r="BN62" i="1"/>
  <c r="Y71" i="1"/>
  <c r="Z74" i="1"/>
  <c r="BN74" i="1"/>
  <c r="Z80" i="1"/>
  <c r="BP96" i="1"/>
  <c r="BN96" i="1"/>
  <c r="Z96" i="1"/>
  <c r="BP111" i="1"/>
  <c r="BN111" i="1"/>
  <c r="Z111" i="1"/>
  <c r="BP134" i="1"/>
  <c r="BN134" i="1"/>
  <c r="Z134" i="1"/>
  <c r="BP151" i="1"/>
  <c r="BN151" i="1"/>
  <c r="Z151" i="1"/>
  <c r="BP170" i="1"/>
  <c r="BN170" i="1"/>
  <c r="Z170" i="1"/>
  <c r="J501" i="1"/>
  <c r="BP192" i="1"/>
  <c r="BN192" i="1"/>
  <c r="Z192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8" i="1"/>
  <c r="BN268" i="1"/>
  <c r="Z268" i="1"/>
  <c r="Y140" i="1"/>
  <c r="Y153" i="1"/>
  <c r="Y184" i="1"/>
  <c r="Y273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34" i="1"/>
  <c r="Y358" i="1"/>
  <c r="H9" i="1"/>
  <c r="A10" i="1"/>
  <c r="B501" i="1"/>
  <c r="X492" i="1"/>
  <c r="X493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F9" i="1"/>
  <c r="J9" i="1"/>
  <c r="Y45" i="1"/>
  <c r="D501" i="1"/>
  <c r="Y58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F501" i="1"/>
  <c r="Y106" i="1"/>
  <c r="G501" i="1"/>
  <c r="Z129" i="1"/>
  <c r="Z130" i="1" s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BN144" i="1"/>
  <c r="BP144" i="1"/>
  <c r="Y147" i="1"/>
  <c r="Z150" i="1"/>
  <c r="Z152" i="1" s="1"/>
  <c r="BN150" i="1"/>
  <c r="BP150" i="1"/>
  <c r="I501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Y378" i="1"/>
  <c r="Y146" i="1"/>
  <c r="Y193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Z315" i="1" s="1"/>
  <c r="BP320" i="1"/>
  <c r="BN320" i="1"/>
  <c r="Z320" i="1"/>
  <c r="Y322" i="1"/>
  <c r="Y329" i="1"/>
  <c r="BP324" i="1"/>
  <c r="BN324" i="1"/>
  <c r="Z324" i="1"/>
  <c r="Z328" i="1" s="1"/>
  <c r="Y328" i="1"/>
  <c r="BP332" i="1"/>
  <c r="BN332" i="1"/>
  <c r="Z332" i="1"/>
  <c r="Z334" i="1" s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43" i="1" l="1"/>
  <c r="Z272" i="1"/>
  <c r="Z264" i="1"/>
  <c r="Z378" i="1"/>
  <c r="Z146" i="1"/>
  <c r="Z113" i="1"/>
  <c r="Y493" i="1"/>
  <c r="Z437" i="1"/>
  <c r="Z452" i="1"/>
  <c r="Z398" i="1"/>
  <c r="Z353" i="1"/>
  <c r="Z209" i="1"/>
  <c r="Z183" i="1"/>
  <c r="Z177" i="1"/>
  <c r="Y492" i="1"/>
  <c r="Y494" i="1" s="1"/>
  <c r="Y491" i="1"/>
  <c r="Z415" i="1"/>
  <c r="Z308" i="1"/>
  <c r="Z299" i="1"/>
  <c r="Z221" i="1"/>
  <c r="Z106" i="1"/>
  <c r="Z97" i="1"/>
  <c r="Z90" i="1"/>
  <c r="Z77" i="1"/>
  <c r="Y495" i="1"/>
  <c r="Z465" i="1"/>
  <c r="Z321" i="1"/>
  <c r="Z279" i="1"/>
  <c r="Z64" i="1"/>
  <c r="Z58" i="1"/>
  <c r="Z44" i="1"/>
  <c r="Z32" i="1"/>
  <c r="X494" i="1"/>
  <c r="Z496" i="1" l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<sst xmlns="http://schemas.openxmlformats.org/spreadsheetml/2006/main" count="2272" uniqueCount="776">
  <si>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</si>
  <si>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</si>
  <si>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</si>
  <si>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</si>
  <si>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</si>
  <si>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</si>
  <si>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</si>
  <si>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</si>
  <si>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</si>
  <si>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</si>
  <si>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</si>
  <si>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</si>
  <si>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</si>
  <si>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</si>
  <si>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</si>
  <si>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</si>
  <si>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</si>
  <si>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</si>
  <si>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</si>
  <si>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</si>
  <si>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</si>
  <si>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</si>
  <si>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</si>
  <si>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</si>
  <si>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</si>
  <si>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</si>
  <si>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</si>
  <si>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</si>
  <si>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</si>
  <si>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</si>
  <si>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</si>
  <si>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</si>
  <si>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</si>
  <si>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</si>
  <si>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</si>
  <si>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</si>
  <si>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</si>
  <si>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</si>
  <si>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</si>
  <si>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</si>
  <si>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</si>
  <si>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</si>
  <si>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</si>
  <si>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</si>
  <si>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</si>
  <si>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</si>
  <si>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</si>
  <si>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</si>
  <si>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</si>
  <si>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</si>
  <si>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</si>
  <si>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</si>
  <si>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</si>
  <si>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</si>
  <si>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</si>
  <si>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</si>
  <si>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</si>
  <si>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</si>
  <si>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</si>
  <si>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</si>
  <si>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</si>
  <si>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</si>
  <si>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</si>
  <si>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</si>
  <si>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</si>
  <si>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</si>
  <si>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</si>
  <si>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</si>
  <si>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</si>
  <si>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</si>
  <si>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</si>
  <si>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</si>
  <si>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</si>
  <si>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</si>
  <si>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</si>
  <si>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</si>
  <si>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</si>
  <si>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</si>
  <si>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</si>
  <si>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</si>
  <si>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</si>
  <si>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</si>
  <si>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</si>
  <si>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</si>
  <si>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</si>
  <si>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</si>
  <si>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</si>
  <si>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</si>
  <si>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</si>
  <si>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</si>
  <si>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</si>
  <si>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</si>
  <si>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</si>
  <si>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</si>
  <si>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</si>
  <si>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</si>
  <si>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</si>
  <si>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</si>
  <si>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</si>
  <si>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</si>
  <si>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</si>
  <si>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</si>
  <si>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</si>
  <si>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</si>
  <si>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</si>
  <si>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</si>
  <si>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</si>
  <si>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</si>
  <si>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</si>
  <si>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</si>
  <si>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</si>
  <si>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</si>
  <si>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</si>
  <si>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</si>
  <si>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</si>
  <si>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</si>
  <si>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</si>
  <si>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</si>
  <si>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</si>
  <si>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</si>
  <si>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</si>
  <si>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</si>
  <si>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</si>
  <si>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</si>
  <si>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</si>
  <si>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</si>
  <si>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</si>
  <si>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</si>
  <si>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</si>
  <si>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</si>
  <si>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</si>
  <si>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</si>
  <si>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</si>
  <si>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</si>
  <si>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</si>
  <si>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</si>
  <si>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</si>
  <si>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</si>
  <si>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</si>
  <si>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</si>
  <si>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</si>
  <si>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</si>
  <si>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</si>
  <si>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</si>
  <si>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</si>
  <si>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</si>
  <si>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</si>
  <si>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</si>
  <si>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</si>
  <si>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</si>
  <si>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</si>
  <si>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</si>
  <si>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</si>
  <si>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</si>
  <si>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</si>
  <si>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</si>
  <si>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</si>
  <si>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</si>
  <si>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</si>
  <si>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</si>
  <si>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</si>
  <si>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</si>
  <si>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</si>
  <si>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</si>
  <si>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</si>
  <si>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</si>
  <si>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</si>
  <si>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</si>
  <si>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</si>
  <si>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</si>
  <si>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</si>
  <si>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</si>
  <si>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</si>
  <si>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</si>
  <si>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</si>
  <si>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</si>
  <si>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</si>
  <si>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</si>
  <si>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</si>
  <si>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</si>
  <si>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</si>
  <si>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</si>
  <si>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</si>
  <si>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</si>
  <si>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</si>
  <si>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</si>
  <si>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</si>
  <si>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</si>
  <si>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</si>
  <si>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</si>
  <si>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</si>
  <si>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</si>
  <si>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</si>
  <si>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</si>
  <si>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</si>
  <si>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</si>
  <si>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</si>
  <si>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</si>
  <si>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</si>
  <si>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</si>
  <si>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</si>
  <si>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</si>
  <si>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</si>
  <si>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</si>
  <si>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</si>
  <si>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</si>
  <si>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</si>
  <si>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</si>
  <si>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</si>
  <si>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</si>
  <si>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</si>
  <si>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</si>
  <si>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</si>
  <si>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</si>
  <si>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</si>
  <si>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</si>
  <si>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</si>
  <si>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</si>
  <si>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</si>
  <si>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</si>
  <si>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</si>
  <si>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</si>
  <si>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</si>
  <si>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</si>
  <si>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</si>
  <si>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</si>
  <si>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</si>
  <si>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</si>
  <si>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</si>
  <si>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</si>
  <si>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</si>
  <si>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</si>
  <si>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</si>
  <si>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</si>
  <si>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</si>
  <si>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</si>
  <si>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</si>
  <si>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</si>
  <si>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</si>
  <si>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</si>
  <si>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</si>
  <si>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</si>
  <si>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</si>
  <si>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</si>
  <si>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</si>
  <si>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</si>
  <si>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</si>
  <si>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</si>
  <si>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</si>
  <si>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</si>
  <si>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</si>
  <si>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</si>
  <si>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</si>
  <si>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</si>
  <si>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</si>
  <si>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</si>
  <si>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</si>
  <si>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</si>
  <si>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</si>
  <si>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</si>
  <si>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</si>
  <si>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</si>
  <si>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</si>
  <si>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</si>
  <si>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</si>
  <si>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</si>
  <si>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</si>
  <si>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</si>
  <si>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</si>
  <si>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</si>
  <si>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</si>
  <si>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</si>
  <si>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</si>
  <si>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</si>
  <si>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</si>
  <si>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</si>
  <si>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</si>
  <si>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</si>
  <si>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</si>
  <si>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</si>
  <si>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</si>
  <si>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</si>
  <si>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</si>
  <si>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</si>
  <si>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</si>
  <si>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</si>
  <si>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</si>
  <si>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</si>
  <si>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</si>
  <si>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</si>
  <si>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</si>
  <si>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</si>
  <si>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</si>
  <si>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</si>
  <si>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</si>
  <si>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</si>
  <si>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</si>
  <si>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</si>
  <si>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</si>
  <si>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</si>
  <si>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</si>
  <si>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</si>
  <si>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</si>
  <si>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</si>
  <si>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</si>
  <si>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</si>
  <si>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</si>
  <si>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</si>
  <si>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</si>
  <si>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</si>
  <si>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</si>
  <si>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</si>
  <si>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</si>
  <si>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</si>
  <si>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</si>
  <si>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</si>
  <si>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</si>
  <si>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</si>
  <si>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</si>
  <si>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</si>
  <si>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</si>
  <si>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</si>
  <si>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</si>
  <si>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</si>
  <si>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</si>
  <si>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</si>
  <si>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</si>
  <si>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</si>
  <si>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</si>
  <si>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</si>
  <si>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</si>
  <si>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</si>
  <si>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</si>
  <si>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</si>
  <si>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</si>
  <si>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</si>
  <si>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</si>
  <si>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</si>
  <si>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</si>
  <si>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</si>
  <si>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</si>
  <si>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</si>
  <si>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</si>
  <si>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</si>
  <si>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</si>
  <si>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</si>
  <si>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</si>
  <si>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</si>
  <si>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</si>
  <si>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</si>
  <si>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</si>
  <si>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</si>
  <si>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</si>
  <si>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</si>
  <si>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</si>
  <si>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</si>
  <si>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</si>
  <si>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</si>
  <si>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</si>
  <si>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</si>
  <si>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</si>
  <si>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</si>
  <si>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</si>
  <si>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</si>
  <si>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</si>
  <si>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</si>
  <si>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</si>
  <si>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</si>
  <si>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</si>
  <si>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</si>
  <si>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</si>
  <si>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</si>
  <si>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</si>
  <si>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</si>
  <si>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</si>
  <si>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</si>
  <si>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</si>
  <si>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</si>
  <si>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</si>
  <si>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</si>
  <si>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</si>
  <si>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</si>
  <si>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</si>
  <si>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</si>
  <si>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</si>
  <si>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</si>
  <si>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</si>
  <si>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</si>
  <si>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</si>
  <si>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</si>
  <si>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</si>
  <si>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</si>
  <si>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</si>
  <si>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</si>
  <si>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</si>
  <si>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</si>
  <si>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</si>
  <si>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</si>
  <si>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</si>
  <si>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</si>
  <si>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</si>
  <si>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</si>
  <si>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</si>
  <si>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</si>
  <si>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</si>
  <si>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</si>
  <si>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</si>
  <si>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</si>
  <si>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</si>
  <si>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</si>
  <si>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</si>
  <si>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</si>
  <si>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</si>
  <si>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</si>
  <si>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</si>
  <si>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</si>
  <si>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</si>
  <si>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</si>
  <si>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</si>
  <si>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</si>
  <si>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</si>
  <si>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</si>
  <si>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</si>
  <si>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</si>
  <si>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</si>
  <si>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</si>
  <si>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</si>
  <si>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</si>
  <si>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</si>
  <si>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</si>
  <si>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</si>
  <si>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</si>
  <si>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</si>
  <si>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</si>
  <si>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</si>
  <si>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</si>
  <si>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</si>
  <si>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</si>
  <si>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</si>
  <si>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</si>
  <si>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</si>
  <si>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</si>
  <si>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</si>
  <si>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</si>
  <si>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</si>
  <si>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</si>
  <si>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</si>
  <si>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</si>
  <si>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</si>
  <si>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</si>
  <si>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</si>
  <si>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</si>
  <si>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</si>
  <si>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</si>
  <si>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</si>
  <si>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</si>
  <si>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</si>
  <si>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</si>
  <si>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</si>
  <si>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</si>
  <si>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</si>
  <si>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</si>
  <si>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</si>
  <si>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</si>
  <si>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</si>
  <si>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</si>
  <si>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</si>
  <si>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</si>
  <si>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</si>
  <si>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</si>
  <si>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</si>
  <si>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</si>
  <si>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</si>
  <si>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</si>
  <si>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</si>
  <si>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</si>
  <si>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</si>
  <si>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</si>
  <si>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</si>
  <si>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</si>
  <si>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</si>
  <si>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</si>
  <si>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</si>
  <si>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</si>
  <si>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</si>
  <si>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</si>
  <si>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</si>
  <si>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</si>
  <si>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</si>
  <si>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</si>
  <si>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</si>
  <si>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</si>
  <si>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</si>
  <si>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</si>
  <si>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</si>
  <si>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</si>
  <si>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</si>
  <si>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</si>
  <si>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</si>
  <si>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</si>
  <si>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</si>
  <si>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</si>
  <si>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</si>
  <si>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</si>
  <si>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</si>
  <si>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</si>
  <si>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</si>
  <si>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</si>
  <si>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</si>
  <si>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</si>
  <si>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</si>
  <si>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</si>
  <si>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</si>
  <si>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</si>
  <si>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</si>
  <si>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</si>
  <si>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</si>
  <si>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</si>
  <si>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</si>
  <si>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</si>
  <si>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</si>
  <si>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</si>
  <si>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</si>
  <si>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</si>
  <si>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</si>
  <si>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</si>
  <si>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</si>
  <si>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</si>
  <si>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</si>
  <si>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</si>
  <si>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</si>
  <si>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</si>
  <si>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</si>
  <si>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</si>
  <si>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</si>
  <si>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</si>
  <si>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</si>
  <si>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</si>
  <si>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</si>
  <si>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</si>
  <si>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</si>
  <si>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</si>
  <si>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</si>
  <si>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</si>
  <si>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</si>
  <si>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</si>
  <si>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</si>
  <si>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</si>
  <si>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</si>
  <si>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</si>
  <si>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</si>
  <si>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</si>
  <si>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</si>
  <si>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</si>
  <si>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</si>
  <si>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</si>
  <si>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</si>
  <si>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</si>
  <si>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</si>
  <si>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</si>
  <si>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</si>
  <si>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</si>
  <si>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</si>
  <si>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</si>
  <si>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</si>
  <si>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</si>
  <si>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</si>
  <si>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</si>
  <si>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</si>
  <si>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</si>
  <si>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</si>
  <si>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</si>
  <si>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</si>
  <si>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</si>
  <si>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</si>
  <si>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</si>
  <si>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</si>
  <si>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</si>
  <si>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</si>
  <si>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</si>
  <si>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</si>
  <si>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</si>
  <si>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</si>
  <si>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</si>
  <si>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</si>
  <si>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</si>
  <si>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</si>
  <si>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</si>
  <si>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</si>
  <si>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</si>
  <si>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</si>
  <si>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</si>
  <si>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</si>
  <si>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</si>
  <si>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</si>
  <si>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</si>
  <si>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</si>
  <si>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</si>
  <si>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</si>
  <si>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</si>
  <si>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</si>
  <si>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</si>
  <si>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</si>
  <si>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</si>
  <si>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</si>
  <si>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</si>
  <si>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</si>
  <si>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</si>
  <si>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</si>
  <si>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</si>
  <si>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</si>
  <si>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</si>
  <si>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</si>
  <si>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</si>
  <si>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</si>
  <si>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</si>
  <si>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</si>
  <si>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</si>
  <si>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</si>
  <si>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</si>
  <si>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</si>
  <si>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</si>
  <si>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</si>
  <si>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</si>
  <si>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</si>
  <si>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</si>
  <si>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</si>
  <si>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</si>
  <si>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</si>
  <si>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</si>
  <si>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</si>
  <si>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</si>
  <si>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</si>
  <si>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</si>
  <si>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</si>
  <si>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</si>
  <si>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</si>
  <si>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</si>
  <si>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</si>
  <si>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</si>
  <si>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</si>
  <si>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</si>
  <si>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</si>
  <si>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</si>
  <si>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</si>
  <si>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</si>
  <si>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</si>
  <si>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</si>
  <si>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</si>
  <si>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</si>
  <si>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</si>
  <si>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</si>
  <si>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</si>
  <si>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</si>
  <si>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</si>
  <si>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</si>
  <si>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</si>
  <si>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</si>
  <si>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</si>
  <si>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</si>
  <si>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</si>
  <si>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</si>
  <si>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</si>
  <si>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</si>
  <si>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</si>
  <si>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</si>
  <si>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</si>
  <si>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</si>
  <si>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</si>
  <si>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</si>
  <si>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</si>
  <si>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</si>
  <si>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</si>
  <si>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</si>
  <si>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</si>
  <si>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</si>
  <si>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</si>
  <si>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</si>
  <si>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</si>
  <si>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</si>
  <si>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</si>
  <si>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</si>
  <si>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</si>
  <si>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</si>
  <si>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</si>
  <si>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</si>
  <si>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</si>
  <si>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</si>
  <si>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</si>
  <si>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</si>
  <si>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</si>
  <si>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</si>
  <si>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</si>
  <si>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</si>
  <si>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</si>
  <si>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</si>
  <si>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</si>
  <si>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</si>
  <si>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</si>
  <si>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</si>
  <si>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</si>
  <si>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</si>
  <si>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</si>
  <si>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</si>
  <si>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</si>
  <si>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</si>
  <si>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</si>
  <si>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</si>
  <si>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</si>
  <si>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</si>
  <si>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</si>
  <si>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</si>
  <si>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</si>
  <si>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</si>
  <si>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</si>
  <si>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</si>
  <si>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</si>
  <si>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</si>
  <si>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</si>
  <si>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</si>
  <si>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</si>
  <si>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</si>
  <si>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</si>
  <si>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</si>
  <si>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</si>
  <si>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</si>
  <si>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</si>
  <si>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</si>
  <si>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</si>
  <si>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</si>
  <si>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</si>
  <si>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</si>
  <si>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</si>
  <si>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</si>
  <si>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</si>
  <si>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</si>
  <si>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</si>
  <si>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</si>
  <si>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</si>
  <si>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</si>
  <si>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</si>
  <si>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</si>
  <si>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</si>
  <si>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</si>
  <si>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</si>
  <si>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</si>
  <si>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</si>
  <si>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</si>
  <si>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</si>
  <si>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</si>
  <si>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</si>
  <si>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</si>
  <si>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</si>
  <si>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</si>
  <si>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</si>
  <si>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</si>
  <si>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</si>
  <si>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</si>
  <si>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</si>
  <si>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</si>
  <si>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</si>
  <si>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</si>
  <si>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</si>
  <si>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</si>
  <si>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</si>
  <si>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</si>
  <si>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</si>
  <si>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</si>
  <si>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</si>
  <si>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</si>
  <si>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</si>
  <si>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</si>
  <si>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</si>
  <si>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</si>
  <si>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</si>
  <si>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11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</si>
</sst>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46008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Среда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0.54166666666666663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434</v>
      </c>
      <c r="Y41" s="546">
        <f>IFERROR(IF(X41="",0,CEILING((X41/$H41),1)*$H41),"")</f>
        <v>442.8</v>
      </c>
      <c r="Z41" s="36">
        <f>IFERROR(IF(Y41=0,"",ROUNDUP(Y41/H41,0)*0.01898),"")</f>
        <v>0.77817999999999998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450.47592592592594</v>
      </c>
      <c r="BN41" s="64">
        <f>IFERROR(Y41*I41/H41,"0")</f>
        <v>459.61</v>
      </c>
      <c r="BO41" s="64">
        <f>IFERROR(1/J41*(X41/H41),"0")</f>
        <v>0.62789351851851849</v>
      </c>
      <c r="BP41" s="64">
        <f>IFERROR(1/J41*(Y41/H41),"0")</f>
        <v>0.640625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40.185185185185183</v>
      </c>
      <c r="Y44" s="547">
        <f>IFERROR(Y41/H41,"0")+IFERROR(Y42/H42,"0")+IFERROR(Y43/H43,"0")</f>
        <v>41</v>
      </c>
      <c r="Z44" s="547">
        <f>IFERROR(IF(Z41="",0,Z41),"0")+IFERROR(IF(Z42="",0,Z42),"0")+IFERROR(IF(Z43="",0,Z43),"0")</f>
        <v>0.77817999999999998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434</v>
      </c>
      <c r="Y45" s="547">
        <f>IFERROR(SUM(Y41:Y43),"0")</f>
        <v>442.8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105</v>
      </c>
      <c r="Y52" s="546">
        <f t="shared" ref="Y52:Y57" si="0">IFERROR(IF(X52="",0,CEILING((X52/$H52),1)*$H52),"")</f>
        <v>112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108.84375</v>
      </c>
      <c r="BN52" s="64">
        <f t="shared" ref="BN52:BN57" si="2">IFERROR(Y52*I52/H52,"0")</f>
        <v>116.10000000000001</v>
      </c>
      <c r="BO52" s="64">
        <f t="shared" ref="BO52:BO57" si="3">IFERROR(1/J52*(X52/H52),"0")</f>
        <v>0.146484375</v>
      </c>
      <c r="BP52" s="64">
        <f t="shared" ref="BP52:BP57" si="4">IFERROR(1/J52*(Y52/H52),"0")</f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164</v>
      </c>
      <c r="Y53" s="546">
        <f t="shared" si="0"/>
        <v>172.8</v>
      </c>
      <c r="Z53" s="36">
        <f>IFERROR(IF(Y53=0,"",ROUNDUP(Y53/H53,0)*0.01898),"")</f>
        <v>0.30368000000000001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170.22592592592591</v>
      </c>
      <c r="BN53" s="64">
        <f t="shared" si="2"/>
        <v>179.36</v>
      </c>
      <c r="BO53" s="64">
        <f t="shared" si="3"/>
        <v>0.23726851851851849</v>
      </c>
      <c r="BP53" s="64">
        <f t="shared" si="4"/>
        <v>0.25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78</v>
      </c>
      <c r="Y55" s="546">
        <f t="shared" si="0"/>
        <v>80</v>
      </c>
      <c r="Z55" s="36">
        <f>IFERROR(IF(Y55=0,"",ROUNDUP(Y55/H55,0)*0.00902),"")</f>
        <v>0.1804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81.705000000000013</v>
      </c>
      <c r="BN55" s="64">
        <f t="shared" si="2"/>
        <v>83.800000000000011</v>
      </c>
      <c r="BO55" s="64">
        <f t="shared" si="3"/>
        <v>0.14772727272727273</v>
      </c>
      <c r="BP55" s="64">
        <f t="shared" si="4"/>
        <v>0.15151515151515152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44.060185185185183</v>
      </c>
      <c r="Y58" s="547">
        <f>IFERROR(Y52/H52,"0")+IFERROR(Y53/H53,"0")+IFERROR(Y54/H54,"0")+IFERROR(Y55/H55,"0")+IFERROR(Y56/H56,"0")+IFERROR(Y57/H57,"0")</f>
        <v>46</v>
      </c>
      <c r="Z58" s="547">
        <f>IFERROR(IF(Z52="",0,Z52),"0")+IFERROR(IF(Z53="",0,Z53),"0")+IFERROR(IF(Z54="",0,Z54),"0")+IFERROR(IF(Z55="",0,Z55),"0")+IFERROR(IF(Z56="",0,Z56),"0")+IFERROR(IF(Z57="",0,Z57),"0")</f>
        <v>0.67388000000000003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347</v>
      </c>
      <c r="Y59" s="547">
        <f>IFERROR(SUM(Y52:Y57),"0")</f>
        <v>364.8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157</v>
      </c>
      <c r="Y61" s="546">
        <f>IFERROR(IF(X61="",0,CEILING((X61/$H61),1)*$H61),"")</f>
        <v>162</v>
      </c>
      <c r="Z61" s="36">
        <f>IFERROR(IF(Y61=0,"",ROUNDUP(Y61/H61,0)*0.01898),"")</f>
        <v>0.28470000000000001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162.96018518518517</v>
      </c>
      <c r="BN61" s="64">
        <f>IFERROR(Y61*I61/H61,"0")</f>
        <v>168.15</v>
      </c>
      <c r="BO61" s="64">
        <f>IFERROR(1/J61*(X61/H61),"0")</f>
        <v>0.22714120370370369</v>
      </c>
      <c r="BP61" s="64">
        <f>IFERROR(1/J61*(Y61/H61),"0")</f>
        <v>0.23437499999999997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14.537037037037036</v>
      </c>
      <c r="Y64" s="547">
        <f>IFERROR(Y61/H61,"0")+IFERROR(Y62/H62,"0")+IFERROR(Y63/H63,"0")</f>
        <v>14.999999999999998</v>
      </c>
      <c r="Z64" s="547">
        <f>IFERROR(IF(Z61="",0,Z61),"0")+IFERROR(IF(Z62="",0,Z62),"0")+IFERROR(IF(Z63="",0,Z63),"0")</f>
        <v>0.28470000000000001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157</v>
      </c>
      <c r="Y65" s="547">
        <f>IFERROR(SUM(Y61:Y63),"0")</f>
        <v>162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307</v>
      </c>
      <c r="Y86" s="546">
        <f>IFERROR(IF(X86="",0,CEILING((X86/$H86),1)*$H86),"")</f>
        <v>313.20000000000005</v>
      </c>
      <c r="Z86" s="36">
        <f>IFERROR(IF(Y86=0,"",ROUNDUP(Y86/H86,0)*0.01898),"")</f>
        <v>0.55042000000000002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318.65462962962965</v>
      </c>
      <c r="BN86" s="64">
        <f>IFERROR(Y86*I86/H86,"0")</f>
        <v>325.09000000000003</v>
      </c>
      <c r="BO86" s="64">
        <f>IFERROR(1/J86*(X86/H86),"0")</f>
        <v>0.44415509259259256</v>
      </c>
      <c r="BP86" s="64">
        <f>IFERROR(1/J86*(Y86/H86),"0")</f>
        <v>0.45312500000000006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28.425925925925924</v>
      </c>
      <c r="Y90" s="547">
        <f>IFERROR(Y86/H86,"0")+IFERROR(Y87/H87,"0")+IFERROR(Y88/H88,"0")+IFERROR(Y89/H89,"0")</f>
        <v>29.000000000000004</v>
      </c>
      <c r="Z90" s="547">
        <f>IFERROR(IF(Z86="",0,Z86),"0")+IFERROR(IF(Z87="",0,Z87),"0")+IFERROR(IF(Z88="",0,Z88),"0")+IFERROR(IF(Z89="",0,Z89),"0")</f>
        <v>0.55042000000000002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307</v>
      </c>
      <c r="Y91" s="547">
        <f>IFERROR(SUM(Y86:Y89),"0")</f>
        <v>313.20000000000005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354</v>
      </c>
      <c r="Y101" s="546">
        <f>IFERROR(IF(X101="",0,CEILING((X101/$H101),1)*$H101),"")</f>
        <v>356.40000000000003</v>
      </c>
      <c r="Z101" s="36">
        <f>IFERROR(IF(Y101=0,"",ROUNDUP(Y101/H101,0)*0.01898),"")</f>
        <v>0.62634000000000001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367.43888888888887</v>
      </c>
      <c r="BN101" s="64">
        <f>IFERROR(Y101*I101/H101,"0")</f>
        <v>369.93</v>
      </c>
      <c r="BO101" s="64">
        <f>IFERROR(1/J101*(X101/H101),"0")</f>
        <v>0.51215277777777779</v>
      </c>
      <c r="BP101" s="64">
        <f>IFERROR(1/J101*(Y101/H101),"0")</f>
        <v>0.515625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88</v>
      </c>
      <c r="Y104" s="546">
        <f>IFERROR(IF(X104="",0,CEILING((X104/$H104),1)*$H104),"")</f>
        <v>90</v>
      </c>
      <c r="Z104" s="36">
        <f>IFERROR(IF(Y104=0,"",ROUNDUP(Y104/H104,0)*0.00902),"")</f>
        <v>0.1804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91.715555555555568</v>
      </c>
      <c r="BN104" s="64">
        <f>IFERROR(Y104*I104/H104,"0")</f>
        <v>93.800000000000011</v>
      </c>
      <c r="BO104" s="64">
        <f>IFERROR(1/J104*(X104/H104),"0")</f>
        <v>0.14814814814814817</v>
      </c>
      <c r="BP104" s="64">
        <f>IFERROR(1/J104*(Y104/H104),"0")</f>
        <v>0.15151515151515152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52.333333333333336</v>
      </c>
      <c r="Y106" s="547">
        <f>IFERROR(Y101/H101,"0")+IFERROR(Y102/H102,"0")+IFERROR(Y103/H103,"0")+IFERROR(Y104/H104,"0")+IFERROR(Y105/H105,"0")</f>
        <v>53</v>
      </c>
      <c r="Z106" s="547">
        <f>IFERROR(IF(Z101="",0,Z101),"0")+IFERROR(IF(Z102="",0,Z102),"0")+IFERROR(IF(Z103="",0,Z103),"0")+IFERROR(IF(Z104="",0,Z104),"0")+IFERROR(IF(Z105="",0,Z105),"0")</f>
        <v>0.80674000000000001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442</v>
      </c>
      <c r="Y107" s="547">
        <f>IFERROR(SUM(Y101:Y105),"0")</f>
        <v>446.40000000000003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71</v>
      </c>
      <c r="Y112" s="546">
        <f>IFERROR(IF(X112="",0,CEILING((X112/$H112),1)*$H112),"")</f>
        <v>72</v>
      </c>
      <c r="Z112" s="36">
        <f>IFERROR(IF(Y112=0,"",ROUNDUP(Y112/H112,0)*0.00651),"")</f>
        <v>0.1953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76.325000000000003</v>
      </c>
      <c r="BN112" s="64">
        <f>IFERROR(Y112*I112/H112,"0")</f>
        <v>77.400000000000006</v>
      </c>
      <c r="BO112" s="64">
        <f>IFERROR(1/J112*(X112/H112),"0")</f>
        <v>0.16254578754578758</v>
      </c>
      <c r="BP112" s="64">
        <f>IFERROR(1/J112*(Y112/H112),"0")</f>
        <v>0.16483516483516486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29.583333333333336</v>
      </c>
      <c r="Y113" s="547">
        <f>IFERROR(Y109/H109,"0")+IFERROR(Y110/H110,"0")+IFERROR(Y111/H111,"0")+IFERROR(Y112/H112,"0")</f>
        <v>30</v>
      </c>
      <c r="Z113" s="547">
        <f>IFERROR(IF(Z109="",0,Z109),"0")+IFERROR(IF(Z110="",0,Z110),"0")+IFERROR(IF(Z111="",0,Z111),"0")+IFERROR(IF(Z112="",0,Z112),"0")</f>
        <v>0.1953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71</v>
      </c>
      <c r="Y114" s="547">
        <f>IFERROR(SUM(Y109:Y112),"0")</f>
        <v>72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111</v>
      </c>
      <c r="Y230" s="546">
        <f t="shared" ref="Y230:Y238" si="21">IFERROR(IF(X230="",0,CEILING((X230/$H230),1)*$H230),"")</f>
        <v>116</v>
      </c>
      <c r="Z230" s="36">
        <f>IFERROR(IF(Y230=0,"",ROUNDUP(Y230/H230,0)*0.01898),"")</f>
        <v>0.1898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114.92327586206896</v>
      </c>
      <c r="BN230" s="64">
        <f t="shared" ref="BN230:BN238" si="23">IFERROR(Y230*I230/H230,"0")</f>
        <v>120.10000000000001</v>
      </c>
      <c r="BO230" s="64">
        <f t="shared" ref="BO230:BO238" si="24">IFERROR(1/J230*(X230/H230),"0")</f>
        <v>0.14951508620689655</v>
      </c>
      <c r="BP230" s="64">
        <f t="shared" ref="BP230:BP238" si="25">IFERROR(1/J230*(Y230/H230),"0")</f>
        <v>0.15625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9.568965517241379</v>
      </c>
      <c r="Y239" s="547">
        <f>IFERROR(Y230/H230,"0")+IFERROR(Y231/H231,"0")+IFERROR(Y232/H232,"0")+IFERROR(Y233/H233,"0")+IFERROR(Y234/H234,"0")+IFERROR(Y235/H235,"0")+IFERROR(Y236/H236,"0")+IFERROR(Y237/H237,"0")+IFERROR(Y238/H238,"0")</f>
        <v>10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0.1898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111</v>
      </c>
      <c r="Y240" s="547">
        <f>IFERROR(SUM(Y230:Y238),"0")</f>
        <v>116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18</v>
      </c>
      <c r="Y327" s="546">
        <f>IFERROR(IF(X327="",0,CEILING((X327/$H327),1)*$H327),"")</f>
        <v>20.399999999999999</v>
      </c>
      <c r="Z327" s="36">
        <f>IFERROR(IF(Y327=0,"",ROUNDUP(Y327/H327,0)*0.00651),"")</f>
        <v>5.2080000000000001E-2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20.329411764705881</v>
      </c>
      <c r="BN327" s="64">
        <f>IFERROR(Y327*I327/H327,"0")</f>
        <v>23.04</v>
      </c>
      <c r="BO327" s="64">
        <f>IFERROR(1/J327*(X327/H327),"0")</f>
        <v>3.8784744667097616E-2</v>
      </c>
      <c r="BP327" s="64">
        <f>IFERROR(1/J327*(Y327/H327),"0")</f>
        <v>4.3956043956043959E-2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7.0588235294117654</v>
      </c>
      <c r="Y328" s="547">
        <f>IFERROR(Y324/H324,"0")+IFERROR(Y325/H325,"0")+IFERROR(Y326/H326,"0")+IFERROR(Y327/H327,"0")</f>
        <v>8</v>
      </c>
      <c r="Z328" s="547">
        <f>IFERROR(IF(Z324="",0,Z324),"0")+IFERROR(IF(Z325="",0,Z325),"0")+IFERROR(IF(Z326="",0,Z326),"0")+IFERROR(IF(Z327="",0,Z327),"0")</f>
        <v>5.2080000000000001E-2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18</v>
      </c>
      <c r="Y329" s="547">
        <f>IFERROR(SUM(Y324:Y327),"0")</f>
        <v>20.399999999999999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676</v>
      </c>
      <c r="Y346" s="546">
        <f t="shared" ref="Y346:Y352" si="31">IFERROR(IF(X346="",0,CEILING((X346/$H346),1)*$H346),"")</f>
        <v>690</v>
      </c>
      <c r="Z346" s="36">
        <f>IFERROR(IF(Y346=0,"",ROUNDUP(Y346/H346,0)*0.02175),"")</f>
        <v>1.0004999999999999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697.18133333333344</v>
      </c>
      <c r="BN346" s="64">
        <f t="shared" ref="BN346:BN352" si="33">IFERROR(Y346*I346/H346,"0")</f>
        <v>711.62000000000012</v>
      </c>
      <c r="BO346" s="64">
        <f t="shared" ref="BO346:BO352" si="34">IFERROR(1/J346*(X346/H346),"0")</f>
        <v>0.93888888888888888</v>
      </c>
      <c r="BP346" s="64">
        <f t="shared" ref="BP346:BP352" si="35">IFERROR(1/J346*(Y346/H346),"0")</f>
        <v>0.95833333333333326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415</v>
      </c>
      <c r="Y347" s="546">
        <f t="shared" si="31"/>
        <v>420</v>
      </c>
      <c r="Z347" s="36">
        <f>IFERROR(IF(Y347=0,"",ROUNDUP(Y347/H347,0)*0.02175),"")</f>
        <v>0.60899999999999999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428.00333333333333</v>
      </c>
      <c r="BN347" s="64">
        <f t="shared" si="33"/>
        <v>433.16</v>
      </c>
      <c r="BO347" s="64">
        <f t="shared" si="34"/>
        <v>0.57638888888888884</v>
      </c>
      <c r="BP347" s="64">
        <f t="shared" si="35"/>
        <v>0.58333333333333326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502</v>
      </c>
      <c r="Y348" s="546">
        <f t="shared" si="31"/>
        <v>510</v>
      </c>
      <c r="Z348" s="36">
        <f>IFERROR(IF(Y348=0,"",ROUNDUP(Y348/H348,0)*0.02175),"")</f>
        <v>0.73949999999999994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517.72933333333333</v>
      </c>
      <c r="BN348" s="64">
        <f t="shared" si="33"/>
        <v>525.98</v>
      </c>
      <c r="BO348" s="64">
        <f t="shared" si="34"/>
        <v>0.69722222222222219</v>
      </c>
      <c r="BP348" s="64">
        <f t="shared" si="35"/>
        <v>0.70833333333333326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632</v>
      </c>
      <c r="Y349" s="546">
        <f t="shared" si="31"/>
        <v>645</v>
      </c>
      <c r="Z349" s="36">
        <f>IFERROR(IF(Y349=0,"",ROUNDUP(Y349/H349,0)*0.02175),"")</f>
        <v>0.93524999999999991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651.80266666666671</v>
      </c>
      <c r="BN349" s="64">
        <f t="shared" si="33"/>
        <v>665.20999999999992</v>
      </c>
      <c r="BO349" s="64">
        <f t="shared" si="34"/>
        <v>0.87777777777777777</v>
      </c>
      <c r="BP349" s="64">
        <f t="shared" si="35"/>
        <v>0.89583333333333326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148.33333333333334</v>
      </c>
      <c r="Y353" s="547">
        <f>IFERROR(Y346/H346,"0")+IFERROR(Y347/H347,"0")+IFERROR(Y348/H348,"0")+IFERROR(Y349/H349,"0")+IFERROR(Y350/H350,"0")+IFERROR(Y351/H351,"0")+IFERROR(Y352/H352,"0")</f>
        <v>151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3.2842499999999997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2225</v>
      </c>
      <c r="Y354" s="547">
        <f>IFERROR(SUM(Y346:Y352),"0")</f>
        <v>2265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982</v>
      </c>
      <c r="Y356" s="546">
        <f>IFERROR(IF(X356="",0,CEILING((X356/$H356),1)*$H356),"")</f>
        <v>990</v>
      </c>
      <c r="Z356" s="36">
        <f>IFERROR(IF(Y356=0,"",ROUNDUP(Y356/H356,0)*0.02175),"")</f>
        <v>1.4355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1012.7693333333334</v>
      </c>
      <c r="BN356" s="64">
        <f>IFERROR(Y356*I356/H356,"0")</f>
        <v>1021.0200000000001</v>
      </c>
      <c r="BO356" s="64">
        <f>IFERROR(1/J356*(X356/H356),"0")</f>
        <v>1.3638888888888889</v>
      </c>
      <c r="BP356" s="64">
        <f>IFERROR(1/J356*(Y356/H356),"0")</f>
        <v>1.375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65.466666666666669</v>
      </c>
      <c r="Y358" s="547">
        <f>IFERROR(Y356/H356,"0")+IFERROR(Y357/H357,"0")</f>
        <v>66</v>
      </c>
      <c r="Z358" s="547">
        <f>IFERROR(IF(Z356="",0,Z356),"0")+IFERROR(IF(Z357="",0,Z357),"0")</f>
        <v>1.4355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982</v>
      </c>
      <c r="Y359" s="547">
        <f>IFERROR(SUM(Y356:Y357),"0")</f>
        <v>990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306</v>
      </c>
      <c r="Y429" s="546">
        <f t="shared" si="42"/>
        <v>306.24</v>
      </c>
      <c r="Z429" s="36">
        <f t="shared" si="43"/>
        <v>0.69367999999999996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326.28409090909088</v>
      </c>
      <c r="BN429" s="64">
        <f t="shared" si="45"/>
        <v>326.53999999999996</v>
      </c>
      <c r="BO429" s="64">
        <f t="shared" si="46"/>
        <v>0.55725524475524479</v>
      </c>
      <c r="BP429" s="64">
        <f t="shared" si="47"/>
        <v>0.55769230769230771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575</v>
      </c>
      <c r="Y431" s="546">
        <f t="shared" si="42"/>
        <v>575.52</v>
      </c>
      <c r="Z431" s="36">
        <f t="shared" si="43"/>
        <v>1.3036399999999999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613.11553030303025</v>
      </c>
      <c r="BN431" s="64">
        <f t="shared" si="45"/>
        <v>613.66999999999996</v>
      </c>
      <c r="BO431" s="64">
        <f t="shared" si="46"/>
        <v>1.0471299533799534</v>
      </c>
      <c r="BP431" s="64">
        <f t="shared" si="47"/>
        <v>1.0480769230769229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166.85606060606059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1.9973199999999998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881</v>
      </c>
      <c r="Y438" s="547">
        <f>IFERROR(SUM(Y425:Y436),"0")</f>
        <v>881.76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313</v>
      </c>
      <c r="Y440" s="546">
        <f>IFERROR(IF(X440="",0,CEILING((X440/$H440),1)*$H440),"")</f>
        <v>316.8</v>
      </c>
      <c r="Z440" s="36">
        <f>IFERROR(IF(Y440=0,"",ROUNDUP(Y440/H440,0)*0.01196),"")</f>
        <v>0.71760000000000002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333.74810606060606</v>
      </c>
      <c r="BN440" s="64">
        <f>IFERROR(Y440*I440/H440,"0")</f>
        <v>337.8</v>
      </c>
      <c r="BO440" s="64">
        <f>IFERROR(1/J440*(X440/H440),"0")</f>
        <v>0.57000291375291368</v>
      </c>
      <c r="BP440" s="64">
        <f>IFERROR(1/J440*(Y440/H440),"0")</f>
        <v>0.57692307692307698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59.280303030303024</v>
      </c>
      <c r="Y443" s="547">
        <f>IFERROR(Y440/H440,"0")+IFERROR(Y441/H441,"0")+IFERROR(Y442/H442,"0")</f>
        <v>60</v>
      </c>
      <c r="Z443" s="547">
        <f>IFERROR(IF(Z440="",0,Z440),"0")+IFERROR(IF(Z441="",0,Z441),"0")+IFERROR(IF(Z442="",0,Z442),"0")</f>
        <v>0.71760000000000002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313</v>
      </c>
      <c r="Y444" s="547">
        <f>IFERROR(SUM(Y440:Y442),"0")</f>
        <v>316.8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96</v>
      </c>
      <c r="Y446" s="546">
        <f t="shared" ref="Y446:Y451" si="48">IFERROR(IF(X446="",0,CEILING((X446/$H446),1)*$H446),"")</f>
        <v>100.32000000000001</v>
      </c>
      <c r="Z446" s="36">
        <f>IFERROR(IF(Y446=0,"",ROUNDUP(Y446/H446,0)*0.01196),"")</f>
        <v>0.22724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102.36363636363636</v>
      </c>
      <c r="BN446" s="64">
        <f t="shared" ref="BN446:BN451" si="50">IFERROR(Y446*I446/H446,"0")</f>
        <v>106.97</v>
      </c>
      <c r="BO446" s="64">
        <f t="shared" ref="BO446:BO451" si="51">IFERROR(1/J446*(X446/H446),"0")</f>
        <v>0.17482517482517482</v>
      </c>
      <c r="BP446" s="64">
        <f t="shared" ref="BP446:BP451" si="52">IFERROR(1/J446*(Y446/H446),"0")</f>
        <v>0.18269230769230771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94</v>
      </c>
      <c r="Y447" s="546">
        <f t="shared" si="48"/>
        <v>95.04</v>
      </c>
      <c r="Z447" s="36">
        <f>IFERROR(IF(Y447=0,"",ROUNDUP(Y447/H447,0)*0.01196),"")</f>
        <v>0.21528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100.23106060606061</v>
      </c>
      <c r="BN447" s="64">
        <f t="shared" si="50"/>
        <v>101.33999999999999</v>
      </c>
      <c r="BO447" s="64">
        <f t="shared" si="51"/>
        <v>0.17118298368298368</v>
      </c>
      <c r="BP447" s="64">
        <f t="shared" si="52"/>
        <v>0.17307692307692307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256</v>
      </c>
      <c r="Y448" s="546">
        <f t="shared" si="48"/>
        <v>258.72000000000003</v>
      </c>
      <c r="Z448" s="36">
        <f>IFERROR(IF(Y448=0,"",ROUNDUP(Y448/H448,0)*0.01196),"")</f>
        <v>0.58604000000000001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272.96969696969694</v>
      </c>
      <c r="BN448" s="64">
        <f t="shared" si="50"/>
        <v>275.87</v>
      </c>
      <c r="BO448" s="64">
        <f t="shared" si="51"/>
        <v>0.46620046620046623</v>
      </c>
      <c r="BP448" s="64">
        <f t="shared" si="52"/>
        <v>0.4711538461538462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84.469696969696969</v>
      </c>
      <c r="Y452" s="547">
        <f>IFERROR(Y446/H446,"0")+IFERROR(Y447/H447,"0")+IFERROR(Y448/H448,"0")+IFERROR(Y449/H449,"0")+IFERROR(Y450/H450,"0")+IFERROR(Y451/H451,"0")</f>
        <v>86</v>
      </c>
      <c r="Z452" s="547">
        <f>IFERROR(IF(Z446="",0,Z446),"0")+IFERROR(IF(Z447="",0,Z447),"0")+IFERROR(IF(Z448="",0,Z448),"0")+IFERROR(IF(Z449="",0,Z449),"0")+IFERROR(IF(Z450="",0,Z450),"0")+IFERROR(IF(Z451="",0,Z451),"0")</f>
        <v>1.0285600000000001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446</v>
      </c>
      <c r="Y453" s="547">
        <f>IFERROR(SUM(Y446:Y451),"0")</f>
        <v>454.08000000000004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6734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6845.2400000000007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7019.7956699500073</v>
      </c>
      <c r="Y492" s="547">
        <f>IFERROR(SUM(BN22:BN488),"0")</f>
        <v>7135.56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7294.7956699500073</v>
      </c>
      <c r="Y494" s="547">
        <f>GrossWeightTotalR+PalletQtyTotalR*25</f>
        <v>7410.56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750.1588496527138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762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11.99433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442.8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526.79999999999995</v>
      </c>
      <c r="E501" s="46">
        <f>IFERROR(Y86*1,"0")+IFERROR(Y87*1,"0")+IFERROR(Y88*1,"0")+IFERROR(Y89*1,"0")+IFERROR(Y93*1,"0")+IFERROR(Y94*1,"0")+IFERROR(Y95*1,"0")+IFERROR(Y96*1,"0")</f>
        <v>313.20000000000005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518.40000000000009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116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20.399999999999999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3255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1652.6399999999999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5,00"/>
        <filter val="11"/>
        <filter val="111,00"/>
        <filter val="14,54"/>
        <filter val="148,33"/>
        <filter val="157,00"/>
        <filter val="164,00"/>
        <filter val="166,86"/>
        <filter val="18,00"/>
        <filter val="2 225,00"/>
        <filter val="256,00"/>
        <filter val="28,43"/>
        <filter val="29,58"/>
        <filter val="306,00"/>
        <filter val="307,00"/>
        <filter val="313,00"/>
        <filter val="347,00"/>
        <filter val="354,00"/>
        <filter val="40,19"/>
        <filter val="415,00"/>
        <filter val="434,00"/>
        <filter val="44,06"/>
        <filter val="442,00"/>
        <filter val="446,00"/>
        <filter val="502,00"/>
        <filter val="52,33"/>
        <filter val="575,00"/>
        <filter val="59,28"/>
        <filter val="6 734,00"/>
        <filter val="632,00"/>
        <filter val="65,47"/>
        <filter val="676,00"/>
        <filter val="7 019,80"/>
        <filter val="7 294,80"/>
        <filter val="7,06"/>
        <filter val="71,00"/>
        <filter val="750,16"/>
        <filter val="78,00"/>
        <filter val="84,47"/>
        <filter val="88,00"/>
        <filter val="881,00"/>
        <filter val="9,57"/>
        <filter val="94,00"/>
        <filter val="96,00"/>
        <filter val="982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2025-12-15T10:40:16Z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