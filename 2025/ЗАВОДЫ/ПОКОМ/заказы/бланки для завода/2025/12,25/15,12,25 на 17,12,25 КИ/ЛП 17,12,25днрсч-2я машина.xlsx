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бланки для завода\2025\12,25\15,12,25 на 17,12,25 КИ\"/>
    </mc:Choice>
  </mc:AlternateContent>
  <xr:revisionPtr revIDLastSave="0" documentId="13_ncr:1_{C7D17AC3-BF91-49D4-B65C-860E26ADC10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O465" i="1"/>
  <c r="BM465" i="1"/>
  <c r="Y465" i="1"/>
  <c r="P465" i="1"/>
  <c r="BO464" i="1"/>
  <c r="BM464" i="1"/>
  <c r="Y464" i="1"/>
  <c r="P464" i="1"/>
  <c r="BO463" i="1"/>
  <c r="BM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O402" i="1"/>
  <c r="BM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Y385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Y364" i="1" s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X343" i="1"/>
  <c r="X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X301" i="1"/>
  <c r="X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Y285" i="1" s="1"/>
  <c r="P283" i="1"/>
  <c r="X280" i="1"/>
  <c r="X279" i="1"/>
  <c r="BO278" i="1"/>
  <c r="BM278" i="1"/>
  <c r="Y278" i="1"/>
  <c r="P278" i="1"/>
  <c r="BO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BP263" i="1" s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BP144" i="1" s="1"/>
  <c r="P144" i="1"/>
  <c r="X141" i="1"/>
  <c r="X140" i="1"/>
  <c r="BO139" i="1"/>
  <c r="BM139" i="1"/>
  <c r="Y139" i="1"/>
  <c r="BP139" i="1" s="1"/>
  <c r="P139" i="1"/>
  <c r="BO138" i="1"/>
  <c r="BM138" i="1"/>
  <c r="Y138" i="1"/>
  <c r="Y140" i="1" s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P133" i="1"/>
  <c r="X131" i="1"/>
  <c r="X130" i="1"/>
  <c r="BO129" i="1"/>
  <c r="BM129" i="1"/>
  <c r="Y129" i="1"/>
  <c r="BP129" i="1" s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O110" i="1"/>
  <c r="BM110" i="1"/>
  <c r="Y110" i="1"/>
  <c r="BP110" i="1" s="1"/>
  <c r="BO109" i="1"/>
  <c r="BM109" i="1"/>
  <c r="Y109" i="1"/>
  <c r="BP109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O95" i="1"/>
  <c r="BM95" i="1"/>
  <c r="Y95" i="1"/>
  <c r="BP95" i="1" s="1"/>
  <c r="P95" i="1"/>
  <c r="BO94" i="1"/>
  <c r="BM94" i="1"/>
  <c r="Y94" i="1"/>
  <c r="P94" i="1"/>
  <c r="BP93" i="1"/>
  <c r="BO93" i="1"/>
  <c r="BN93" i="1"/>
  <c r="BM93" i="1"/>
  <c r="Z93" i="1"/>
  <c r="Y93" i="1"/>
  <c r="P93" i="1"/>
  <c r="X91" i="1"/>
  <c r="X90" i="1"/>
  <c r="BO89" i="1"/>
  <c r="BM89" i="1"/>
  <c r="Y89" i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BP86" i="1" s="1"/>
  <c r="P86" i="1"/>
  <c r="X83" i="1"/>
  <c r="X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D502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81" i="1" l="1"/>
  <c r="BN81" i="1"/>
  <c r="Z81" i="1"/>
  <c r="BP118" i="1"/>
  <c r="BN118" i="1"/>
  <c r="Z118" i="1"/>
  <c r="BP165" i="1"/>
  <c r="BN165" i="1"/>
  <c r="Z165" i="1"/>
  <c r="BP201" i="1"/>
  <c r="BN201" i="1"/>
  <c r="Z201" i="1"/>
  <c r="BP225" i="1"/>
  <c r="BN225" i="1"/>
  <c r="Z225" i="1"/>
  <c r="BP254" i="1"/>
  <c r="BN254" i="1"/>
  <c r="Z254" i="1"/>
  <c r="BP284" i="1"/>
  <c r="BN284" i="1"/>
  <c r="Z284" i="1"/>
  <c r="BP288" i="1"/>
  <c r="BN288" i="1"/>
  <c r="Z288" i="1"/>
  <c r="BP315" i="1"/>
  <c r="BN315" i="1"/>
  <c r="Z315" i="1"/>
  <c r="BP351" i="1"/>
  <c r="BN351" i="1"/>
  <c r="Z351" i="1"/>
  <c r="BP394" i="1"/>
  <c r="BN394" i="1"/>
  <c r="Z394" i="1"/>
  <c r="BP431" i="1"/>
  <c r="BN431" i="1"/>
  <c r="Z431" i="1"/>
  <c r="BP463" i="1"/>
  <c r="BN463" i="1"/>
  <c r="Z463" i="1"/>
  <c r="X496" i="1"/>
  <c r="Z28" i="1"/>
  <c r="BN28" i="1"/>
  <c r="Z55" i="1"/>
  <c r="BN55" i="1"/>
  <c r="BP67" i="1"/>
  <c r="BN67" i="1"/>
  <c r="Z67" i="1"/>
  <c r="BP89" i="1"/>
  <c r="BN89" i="1"/>
  <c r="Z89" i="1"/>
  <c r="BP150" i="1"/>
  <c r="BN150" i="1"/>
  <c r="Z150" i="1"/>
  <c r="BP182" i="1"/>
  <c r="BN182" i="1"/>
  <c r="Z182" i="1"/>
  <c r="BP213" i="1"/>
  <c r="BN213" i="1"/>
  <c r="Z213" i="1"/>
  <c r="BP236" i="1"/>
  <c r="BN236" i="1"/>
  <c r="Z236" i="1"/>
  <c r="BP268" i="1"/>
  <c r="BN268" i="1"/>
  <c r="Z268" i="1"/>
  <c r="BP303" i="1"/>
  <c r="BN303" i="1"/>
  <c r="Z303" i="1"/>
  <c r="BP333" i="1"/>
  <c r="BN333" i="1"/>
  <c r="Z333" i="1"/>
  <c r="BP378" i="1"/>
  <c r="BN378" i="1"/>
  <c r="Z378" i="1"/>
  <c r="BP413" i="1"/>
  <c r="BN413" i="1"/>
  <c r="Z413" i="1"/>
  <c r="BP441" i="1"/>
  <c r="BN441" i="1"/>
  <c r="Z441" i="1"/>
  <c r="Y481" i="1"/>
  <c r="Y480" i="1"/>
  <c r="BP479" i="1"/>
  <c r="BN479" i="1"/>
  <c r="Z479" i="1"/>
  <c r="Z480" i="1" s="1"/>
  <c r="BP483" i="1"/>
  <c r="BN483" i="1"/>
  <c r="Z483" i="1"/>
  <c r="L502" i="1"/>
  <c r="Y90" i="1"/>
  <c r="Y183" i="1"/>
  <c r="BP299" i="1"/>
  <c r="BN299" i="1"/>
  <c r="Z299" i="1"/>
  <c r="BP313" i="1"/>
  <c r="BN313" i="1"/>
  <c r="Z313" i="1"/>
  <c r="BP327" i="1"/>
  <c r="BN327" i="1"/>
  <c r="Z327" i="1"/>
  <c r="BP349" i="1"/>
  <c r="BN349" i="1"/>
  <c r="Z349" i="1"/>
  <c r="BP363" i="1"/>
  <c r="BN363" i="1"/>
  <c r="Z363" i="1"/>
  <c r="Y369" i="1"/>
  <c r="Y368" i="1"/>
  <c r="BP367" i="1"/>
  <c r="BN367" i="1"/>
  <c r="Z367" i="1"/>
  <c r="Z368" i="1" s="1"/>
  <c r="BP372" i="1"/>
  <c r="BN372" i="1"/>
  <c r="Z372" i="1"/>
  <c r="BP392" i="1"/>
  <c r="BN392" i="1"/>
  <c r="Z392" i="1"/>
  <c r="BP402" i="1"/>
  <c r="BN402" i="1"/>
  <c r="Z402" i="1"/>
  <c r="BP429" i="1"/>
  <c r="BN429" i="1"/>
  <c r="Z429" i="1"/>
  <c r="BP437" i="1"/>
  <c r="BN437" i="1"/>
  <c r="Z437" i="1"/>
  <c r="BP451" i="1"/>
  <c r="BN451" i="1"/>
  <c r="Z451" i="1"/>
  <c r="BP475" i="1"/>
  <c r="BN475" i="1"/>
  <c r="Z475" i="1"/>
  <c r="Z22" i="1"/>
  <c r="BN22" i="1"/>
  <c r="Y32" i="1"/>
  <c r="Z30" i="1"/>
  <c r="BN30" i="1"/>
  <c r="C502" i="1"/>
  <c r="Z53" i="1"/>
  <c r="BN53" i="1"/>
  <c r="Z57" i="1"/>
  <c r="BN57" i="1"/>
  <c r="Y65" i="1"/>
  <c r="Z63" i="1"/>
  <c r="BN63" i="1"/>
  <c r="Z69" i="1"/>
  <c r="BN69" i="1"/>
  <c r="Y77" i="1"/>
  <c r="Z75" i="1"/>
  <c r="BN75" i="1"/>
  <c r="Z86" i="1"/>
  <c r="BN86" i="1"/>
  <c r="Z87" i="1"/>
  <c r="BN87" i="1"/>
  <c r="Z95" i="1"/>
  <c r="BN95" i="1"/>
  <c r="Z103" i="1"/>
  <c r="BN103" i="1"/>
  <c r="Z109" i="1"/>
  <c r="BN109" i="1"/>
  <c r="Z110" i="1"/>
  <c r="BN110" i="1"/>
  <c r="Z116" i="1"/>
  <c r="BN116" i="1"/>
  <c r="BP116" i="1"/>
  <c r="Z129" i="1"/>
  <c r="BN129" i="1"/>
  <c r="Y135" i="1"/>
  <c r="Z139" i="1"/>
  <c r="BN139" i="1"/>
  <c r="Z144" i="1"/>
  <c r="BN144" i="1"/>
  <c r="Y178" i="1"/>
  <c r="Z167" i="1"/>
  <c r="BN167" i="1"/>
  <c r="Z171" i="1"/>
  <c r="BN171" i="1"/>
  <c r="Z174" i="1"/>
  <c r="BN174" i="1"/>
  <c r="Z180" i="1"/>
  <c r="BN180" i="1"/>
  <c r="BP180" i="1"/>
  <c r="Z197" i="1"/>
  <c r="BN197" i="1"/>
  <c r="Z203" i="1"/>
  <c r="BN203" i="1"/>
  <c r="Z207" i="1"/>
  <c r="BN207" i="1"/>
  <c r="Z215" i="1"/>
  <c r="BN215" i="1"/>
  <c r="Z219" i="1"/>
  <c r="BN219" i="1"/>
  <c r="Z230" i="1"/>
  <c r="BN230" i="1"/>
  <c r="Z234" i="1"/>
  <c r="BN234" i="1"/>
  <c r="Z238" i="1"/>
  <c r="BN238" i="1"/>
  <c r="Y256" i="1"/>
  <c r="Z252" i="1"/>
  <c r="BN252" i="1"/>
  <c r="Z259" i="1"/>
  <c r="BN259" i="1"/>
  <c r="BP259" i="1"/>
  <c r="Z263" i="1"/>
  <c r="BN263" i="1"/>
  <c r="Z270" i="1"/>
  <c r="BN270" i="1"/>
  <c r="BP277" i="1"/>
  <c r="BN277" i="1"/>
  <c r="BP295" i="1"/>
  <c r="BN295" i="1"/>
  <c r="Z295" i="1"/>
  <c r="BP305" i="1"/>
  <c r="BN305" i="1"/>
  <c r="Z305" i="1"/>
  <c r="Y323" i="1"/>
  <c r="BP319" i="1"/>
  <c r="BN319" i="1"/>
  <c r="Z319" i="1"/>
  <c r="BP340" i="1"/>
  <c r="BN340" i="1"/>
  <c r="Z340" i="1"/>
  <c r="BP353" i="1"/>
  <c r="BN353" i="1"/>
  <c r="Z353" i="1"/>
  <c r="Y386" i="1"/>
  <c r="BP382" i="1"/>
  <c r="BN382" i="1"/>
  <c r="Z382" i="1"/>
  <c r="BP396" i="1"/>
  <c r="BN396" i="1"/>
  <c r="Z396" i="1"/>
  <c r="BP415" i="1"/>
  <c r="BN415" i="1"/>
  <c r="Z415" i="1"/>
  <c r="BP433" i="1"/>
  <c r="BN433" i="1"/>
  <c r="Z433" i="1"/>
  <c r="BP443" i="1"/>
  <c r="BN443" i="1"/>
  <c r="Z443" i="1"/>
  <c r="BP447" i="1"/>
  <c r="BN447" i="1"/>
  <c r="Z447" i="1"/>
  <c r="BP465" i="1"/>
  <c r="BN465" i="1"/>
  <c r="Z465" i="1"/>
  <c r="Y309" i="1"/>
  <c r="Y359" i="1"/>
  <c r="Y445" i="1"/>
  <c r="Y444" i="1"/>
  <c r="Y485" i="1"/>
  <c r="W502" i="1"/>
  <c r="F9" i="1"/>
  <c r="J9" i="1"/>
  <c r="F10" i="1"/>
  <c r="Y25" i="1"/>
  <c r="Y33" i="1"/>
  <c r="Y37" i="1"/>
  <c r="Y45" i="1"/>
  <c r="Y49" i="1"/>
  <c r="Y58" i="1"/>
  <c r="Y64" i="1"/>
  <c r="BP76" i="1"/>
  <c r="BN76" i="1"/>
  <c r="Z76" i="1"/>
  <c r="Y78" i="1"/>
  <c r="Y83" i="1"/>
  <c r="BP80" i="1"/>
  <c r="BN80" i="1"/>
  <c r="Z80" i="1"/>
  <c r="Z82" i="1" s="1"/>
  <c r="BP94" i="1"/>
  <c r="BN94" i="1"/>
  <c r="Z94" i="1"/>
  <c r="BP102" i="1"/>
  <c r="BN102" i="1"/>
  <c r="Z102" i="1"/>
  <c r="Y106" i="1"/>
  <c r="BP111" i="1"/>
  <c r="BN111" i="1"/>
  <c r="Z111" i="1"/>
  <c r="Z113" i="1" s="1"/>
  <c r="BP119" i="1"/>
  <c r="BN119" i="1"/>
  <c r="Z119" i="1"/>
  <c r="Y121" i="1"/>
  <c r="Y124" i="1"/>
  <c r="BP123" i="1"/>
  <c r="BN123" i="1"/>
  <c r="Z123" i="1"/>
  <c r="Z124" i="1" s="1"/>
  <c r="Y125" i="1"/>
  <c r="G502" i="1"/>
  <c r="Y131" i="1"/>
  <c r="BP128" i="1"/>
  <c r="BN128" i="1"/>
  <c r="Z128" i="1"/>
  <c r="Z130" i="1" s="1"/>
  <c r="BP145" i="1"/>
  <c r="BN145" i="1"/>
  <c r="Z145" i="1"/>
  <c r="Z146" i="1" s="1"/>
  <c r="Y147" i="1"/>
  <c r="Y152" i="1"/>
  <c r="BP149" i="1"/>
  <c r="BN149" i="1"/>
  <c r="Z149" i="1"/>
  <c r="BP168" i="1"/>
  <c r="BN168" i="1"/>
  <c r="Z168" i="1"/>
  <c r="BP172" i="1"/>
  <c r="BN172" i="1"/>
  <c r="Z172" i="1"/>
  <c r="BP175" i="1"/>
  <c r="BN175" i="1"/>
  <c r="Z175" i="1"/>
  <c r="BP192" i="1"/>
  <c r="BN192" i="1"/>
  <c r="Z192" i="1"/>
  <c r="Z193" i="1" s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Y226" i="1"/>
  <c r="BP253" i="1"/>
  <c r="BN253" i="1"/>
  <c r="Z253" i="1"/>
  <c r="BP271" i="1"/>
  <c r="BN271" i="1"/>
  <c r="Z271" i="1"/>
  <c r="Y273" i="1"/>
  <c r="O502" i="1"/>
  <c r="Y279" i="1"/>
  <c r="BP276" i="1"/>
  <c r="BN276" i="1"/>
  <c r="Z276" i="1"/>
  <c r="Y280" i="1"/>
  <c r="BP289" i="1"/>
  <c r="BN289" i="1"/>
  <c r="Z289" i="1"/>
  <c r="Z290" i="1" s="1"/>
  <c r="Y291" i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Y330" i="1"/>
  <c r="BP334" i="1"/>
  <c r="BN334" i="1"/>
  <c r="Z334" i="1"/>
  <c r="Y336" i="1"/>
  <c r="R502" i="1"/>
  <c r="Y343" i="1"/>
  <c r="Y342" i="1"/>
  <c r="BP339" i="1"/>
  <c r="BN339" i="1"/>
  <c r="Z339" i="1"/>
  <c r="H502" i="1"/>
  <c r="H9" i="1"/>
  <c r="B502" i="1"/>
  <c r="X493" i="1"/>
  <c r="X494" i="1"/>
  <c r="Z23" i="1"/>
  <c r="Z24" i="1" s="1"/>
  <c r="BN23" i="1"/>
  <c r="Y24" i="1"/>
  <c r="X492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BN62" i="1"/>
  <c r="Y71" i="1"/>
  <c r="Z68" i="1"/>
  <c r="Z70" i="1" s="1"/>
  <c r="BN68" i="1"/>
  <c r="Y70" i="1"/>
  <c r="BP74" i="1"/>
  <c r="BN74" i="1"/>
  <c r="Z74" i="1"/>
  <c r="Z77" i="1" s="1"/>
  <c r="Y82" i="1"/>
  <c r="BP88" i="1"/>
  <c r="BN88" i="1"/>
  <c r="Z88" i="1"/>
  <c r="Z90" i="1" s="1"/>
  <c r="Y97" i="1"/>
  <c r="BP96" i="1"/>
  <c r="BN96" i="1"/>
  <c r="Z96" i="1"/>
  <c r="Y98" i="1"/>
  <c r="F502" i="1"/>
  <c r="Y107" i="1"/>
  <c r="BP101" i="1"/>
  <c r="BN101" i="1"/>
  <c r="Z101" i="1"/>
  <c r="BP104" i="1"/>
  <c r="BN104" i="1"/>
  <c r="Z104" i="1"/>
  <c r="Y114" i="1"/>
  <c r="Y113" i="1"/>
  <c r="BP117" i="1"/>
  <c r="BN117" i="1"/>
  <c r="Z117" i="1"/>
  <c r="Z120" i="1" s="1"/>
  <c r="Y130" i="1"/>
  <c r="BP134" i="1"/>
  <c r="BN134" i="1"/>
  <c r="Z134" i="1"/>
  <c r="Z135" i="1" s="1"/>
  <c r="Y136" i="1"/>
  <c r="Y141" i="1"/>
  <c r="BP138" i="1"/>
  <c r="BN138" i="1"/>
  <c r="Z138" i="1"/>
  <c r="Z140" i="1" s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BP170" i="1"/>
  <c r="BN170" i="1"/>
  <c r="Z170" i="1"/>
  <c r="BP173" i="1"/>
  <c r="BN173" i="1"/>
  <c r="Z173" i="1"/>
  <c r="Y177" i="1"/>
  <c r="BP181" i="1"/>
  <c r="BN181" i="1"/>
  <c r="Z181" i="1"/>
  <c r="Z183" i="1" s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Z374" i="1" s="1"/>
  <c r="Y375" i="1"/>
  <c r="Y380" i="1"/>
  <c r="BP377" i="1"/>
  <c r="BN377" i="1"/>
  <c r="Z377" i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Z255" i="1" s="1"/>
  <c r="Y255" i="1"/>
  <c r="BP260" i="1"/>
  <c r="BN260" i="1"/>
  <c r="Z260" i="1"/>
  <c r="Z264" i="1" s="1"/>
  <c r="Y264" i="1"/>
  <c r="BP269" i="1"/>
  <c r="BN269" i="1"/>
  <c r="Z269" i="1"/>
  <c r="Z272" i="1" s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BP308" i="1"/>
  <c r="BN308" i="1"/>
  <c r="Z308" i="1"/>
  <c r="Y310" i="1"/>
  <c r="Y317" i="1"/>
  <c r="BP312" i="1"/>
  <c r="BN312" i="1"/>
  <c r="Z312" i="1"/>
  <c r="Z316" i="1" s="1"/>
  <c r="Y316" i="1"/>
  <c r="BP320" i="1"/>
  <c r="BN320" i="1"/>
  <c r="Z320" i="1"/>
  <c r="Y329" i="1"/>
  <c r="BP328" i="1"/>
  <c r="BN328" i="1"/>
  <c r="Z328" i="1"/>
  <c r="Y335" i="1"/>
  <c r="BP332" i="1"/>
  <c r="BN332" i="1"/>
  <c r="Z332" i="1"/>
  <c r="Z335" i="1" s="1"/>
  <c r="BP341" i="1"/>
  <c r="BN341" i="1"/>
  <c r="Z341" i="1"/>
  <c r="BP348" i="1"/>
  <c r="BN348" i="1"/>
  <c r="Z348" i="1"/>
  <c r="Y354" i="1"/>
  <c r="BP352" i="1"/>
  <c r="BN352" i="1"/>
  <c r="Z352" i="1"/>
  <c r="BP391" i="1"/>
  <c r="BN391" i="1"/>
  <c r="Z391" i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BP358" i="1"/>
  <c r="BN358" i="1"/>
  <c r="Z358" i="1"/>
  <c r="Z359" i="1" s="1"/>
  <c r="Y360" i="1"/>
  <c r="Y365" i="1"/>
  <c r="BP362" i="1"/>
  <c r="BN362" i="1"/>
  <c r="Z362" i="1"/>
  <c r="BP383" i="1"/>
  <c r="BN383" i="1"/>
  <c r="Z383" i="1"/>
  <c r="Z385" i="1" s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Z453" i="1" s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Y466" i="1"/>
  <c r="BP470" i="1"/>
  <c r="BN470" i="1"/>
  <c r="Z470" i="1"/>
  <c r="Z471" i="1" s="1"/>
  <c r="Y472" i="1"/>
  <c r="Y477" i="1"/>
  <c r="BP474" i="1"/>
  <c r="BN474" i="1"/>
  <c r="Z474" i="1"/>
  <c r="Z476" i="1" s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Y453" i="1"/>
  <c r="BP450" i="1"/>
  <c r="BN450" i="1"/>
  <c r="Z450" i="1"/>
  <c r="BP464" i="1"/>
  <c r="BN464" i="1"/>
  <c r="Z464" i="1"/>
  <c r="Y471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Z444" i="1" l="1"/>
  <c r="Z364" i="1"/>
  <c r="Z354" i="1"/>
  <c r="Z329" i="1"/>
  <c r="Z322" i="1"/>
  <c r="Z379" i="1"/>
  <c r="Z64" i="1"/>
  <c r="Z58" i="1"/>
  <c r="Z399" i="1"/>
  <c r="Y493" i="1"/>
  <c r="Z97" i="1"/>
  <c r="Z438" i="1"/>
  <c r="Z309" i="1"/>
  <c r="Z239" i="1"/>
  <c r="Z177" i="1"/>
  <c r="Y494" i="1"/>
  <c r="Y495" i="1" s="1"/>
  <c r="Z416" i="1"/>
  <c r="Z209" i="1"/>
  <c r="Z106" i="1"/>
  <c r="Z44" i="1"/>
  <c r="Z32" i="1"/>
  <c r="Y496" i="1"/>
  <c r="X495" i="1"/>
  <c r="Z342" i="1"/>
  <c r="Z279" i="1"/>
  <c r="Z221" i="1"/>
  <c r="Z152" i="1"/>
  <c r="Y492" i="1"/>
  <c r="Z466" i="1"/>
  <c r="Z300" i="1"/>
  <c r="Z497" i="1" l="1"/>
</calcChain>
</file>

<file path=xl/sharedStrings.xml><?xml version="1.0" encoding="utf-8"?>
<sst xmlns="http://schemas.openxmlformats.org/spreadsheetml/2006/main" count="2363" uniqueCount="779">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</sst>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7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2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812" t="s">
        <v>0</v>
      </c>
      <c r="E1" s="587"/>
      <c r="F1" s="587"/>
      <c r="G1" s="12" t="s">
        <v>1</v>
      </c>
      <c r="H1" s="812" t="s">
        <v>2</v>
      </c>
      <c r="I1" s="587"/>
      <c r="J1" s="587"/>
      <c r="K1" s="587"/>
      <c r="L1" s="587"/>
      <c r="M1" s="587"/>
      <c r="N1" s="587"/>
      <c r="O1" s="587"/>
      <c r="P1" s="587"/>
      <c r="Q1" s="587"/>
      <c r="R1" s="853" t="s">
        <v>3</v>
      </c>
      <c r="S1" s="587"/>
      <c r="T1" s="58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761" t="s">
        <v>8</v>
      </c>
      <c r="B5" s="580"/>
      <c r="C5" s="581"/>
      <c r="D5" s="756"/>
      <c r="E5" s="758"/>
      <c r="F5" s="615" t="s">
        <v>9</v>
      </c>
      <c r="G5" s="581"/>
      <c r="H5" s="756" t="s">
        <v>778</v>
      </c>
      <c r="I5" s="757"/>
      <c r="J5" s="757"/>
      <c r="K5" s="757"/>
      <c r="L5" s="757"/>
      <c r="M5" s="758"/>
      <c r="N5" s="58"/>
      <c r="P5" s="24" t="s">
        <v>10</v>
      </c>
      <c r="Q5" s="759">
        <v>46008</v>
      </c>
      <c r="R5" s="672"/>
      <c r="T5" s="749" t="s">
        <v>11</v>
      </c>
      <c r="U5" s="674"/>
      <c r="V5" s="751" t="s">
        <v>12</v>
      </c>
      <c r="W5" s="672"/>
      <c r="AB5" s="51"/>
      <c r="AC5" s="51"/>
      <c r="AD5" s="51"/>
      <c r="AE5" s="51"/>
    </row>
    <row r="6" spans="1:32" s="541" customFormat="1" ht="24" customHeight="1" x14ac:dyDescent="0.2">
      <c r="A6" s="761" t="s">
        <v>13</v>
      </c>
      <c r="B6" s="580"/>
      <c r="C6" s="581"/>
      <c r="D6" s="670" t="s">
        <v>14</v>
      </c>
      <c r="E6" s="671"/>
      <c r="F6" s="671"/>
      <c r="G6" s="671"/>
      <c r="H6" s="671"/>
      <c r="I6" s="671"/>
      <c r="J6" s="671"/>
      <c r="K6" s="671"/>
      <c r="L6" s="671"/>
      <c r="M6" s="672"/>
      <c r="N6" s="59"/>
      <c r="P6" s="24" t="s">
        <v>15</v>
      </c>
      <c r="Q6" s="760" t="str">
        <f>IF(Q5=0," ",CHOOSE(WEEKDAY(Q5,2),"Понедельник","Вторник","Среда","Четверг","Пятница","Суббота","Воскресенье"))</f>
        <v>Среда</v>
      </c>
      <c r="R6" s="554"/>
      <c r="T6" s="740" t="s">
        <v>16</v>
      </c>
      <c r="U6" s="674"/>
      <c r="V6" s="681" t="s">
        <v>17</v>
      </c>
      <c r="W6" s="68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862" t="str">
        <f>IFERROR(VLOOKUP(DeliveryAddress,Table,3,0),1)</f>
        <v>1</v>
      </c>
      <c r="E7" s="863"/>
      <c r="F7" s="863"/>
      <c r="G7" s="863"/>
      <c r="H7" s="863"/>
      <c r="I7" s="863"/>
      <c r="J7" s="863"/>
      <c r="K7" s="863"/>
      <c r="L7" s="863"/>
      <c r="M7" s="754"/>
      <c r="N7" s="60"/>
      <c r="P7" s="24"/>
      <c r="Q7" s="42"/>
      <c r="R7" s="42"/>
      <c r="T7" s="561"/>
      <c r="U7" s="674"/>
      <c r="V7" s="683"/>
      <c r="W7" s="684"/>
      <c r="AB7" s="51"/>
      <c r="AC7" s="51"/>
      <c r="AD7" s="51"/>
      <c r="AE7" s="51"/>
    </row>
    <row r="8" spans="1:32" s="541" customFormat="1" ht="25.5" customHeight="1" x14ac:dyDescent="0.2">
      <c r="A8" s="576" t="s">
        <v>18</v>
      </c>
      <c r="B8" s="558"/>
      <c r="C8" s="559"/>
      <c r="D8" s="831" t="s">
        <v>19</v>
      </c>
      <c r="E8" s="832"/>
      <c r="F8" s="832"/>
      <c r="G8" s="832"/>
      <c r="H8" s="832"/>
      <c r="I8" s="832"/>
      <c r="J8" s="832"/>
      <c r="K8" s="832"/>
      <c r="L8" s="832"/>
      <c r="M8" s="833"/>
      <c r="N8" s="61"/>
      <c r="P8" s="24" t="s">
        <v>20</v>
      </c>
      <c r="Q8" s="753">
        <v>0.5</v>
      </c>
      <c r="R8" s="754"/>
      <c r="T8" s="561"/>
      <c r="U8" s="674"/>
      <c r="V8" s="683"/>
      <c r="W8" s="684"/>
      <c r="AB8" s="51"/>
      <c r="AC8" s="51"/>
      <c r="AD8" s="51"/>
      <c r="AE8" s="51"/>
    </row>
    <row r="9" spans="1:32" s="541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32"/>
      <c r="E9" s="633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726" t="str">
        <f>IF(AND($A$9="Тип доверенности/получателя при получении в адресе перегруза:",$D$9="Разовая доверенность"),"Введите ФИО","")</f>
        <v/>
      </c>
      <c r="I9" s="633"/>
      <c r="J9" s="7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3"/>
      <c r="L9" s="633"/>
      <c r="M9" s="633"/>
      <c r="N9" s="539"/>
      <c r="P9" s="26" t="s">
        <v>21</v>
      </c>
      <c r="Q9" s="788"/>
      <c r="R9" s="620"/>
      <c r="T9" s="561"/>
      <c r="U9" s="674"/>
      <c r="V9" s="685"/>
      <c r="W9" s="686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32"/>
      <c r="E10" s="633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695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41"/>
      <c r="R10" s="742"/>
      <c r="U10" s="24" t="s">
        <v>23</v>
      </c>
      <c r="V10" s="861" t="s">
        <v>24</v>
      </c>
      <c r="W10" s="68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0"/>
      <c r="R11" s="672"/>
      <c r="U11" s="24" t="s">
        <v>27</v>
      </c>
      <c r="V11" s="619" t="s">
        <v>28</v>
      </c>
      <c r="W11" s="620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45" t="s">
        <v>29</v>
      </c>
      <c r="B12" s="580"/>
      <c r="C12" s="580"/>
      <c r="D12" s="580"/>
      <c r="E12" s="580"/>
      <c r="F12" s="580"/>
      <c r="G12" s="580"/>
      <c r="H12" s="580"/>
      <c r="I12" s="580"/>
      <c r="J12" s="580"/>
      <c r="K12" s="580"/>
      <c r="L12" s="580"/>
      <c r="M12" s="581"/>
      <c r="N12" s="62"/>
      <c r="P12" s="24" t="s">
        <v>30</v>
      </c>
      <c r="Q12" s="753"/>
      <c r="R12" s="754"/>
      <c r="S12" s="23"/>
      <c r="U12" s="24"/>
      <c r="V12" s="587"/>
      <c r="W12" s="561"/>
      <c r="AB12" s="51"/>
      <c r="AC12" s="51"/>
      <c r="AD12" s="51"/>
      <c r="AE12" s="51"/>
    </row>
    <row r="13" spans="1:32" s="541" customFormat="1" ht="23.25" customHeight="1" x14ac:dyDescent="0.2">
      <c r="A13" s="745" t="s">
        <v>31</v>
      </c>
      <c r="B13" s="580"/>
      <c r="C13" s="580"/>
      <c r="D13" s="580"/>
      <c r="E13" s="580"/>
      <c r="F13" s="580"/>
      <c r="G13" s="580"/>
      <c r="H13" s="580"/>
      <c r="I13" s="580"/>
      <c r="J13" s="580"/>
      <c r="K13" s="580"/>
      <c r="L13" s="580"/>
      <c r="M13" s="581"/>
      <c r="N13" s="62"/>
      <c r="O13" s="26"/>
      <c r="P13" s="26" t="s">
        <v>32</v>
      </c>
      <c r="Q13" s="619"/>
      <c r="R13" s="62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45" t="s">
        <v>33</v>
      </c>
      <c r="B14" s="580"/>
      <c r="C14" s="580"/>
      <c r="D14" s="580"/>
      <c r="E14" s="580"/>
      <c r="F14" s="580"/>
      <c r="G14" s="580"/>
      <c r="H14" s="580"/>
      <c r="I14" s="580"/>
      <c r="J14" s="580"/>
      <c r="K14" s="580"/>
      <c r="L14" s="580"/>
      <c r="M14" s="58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46" t="s">
        <v>34</v>
      </c>
      <c r="B15" s="580"/>
      <c r="C15" s="580"/>
      <c r="D15" s="580"/>
      <c r="E15" s="580"/>
      <c r="F15" s="580"/>
      <c r="G15" s="580"/>
      <c r="H15" s="580"/>
      <c r="I15" s="580"/>
      <c r="J15" s="580"/>
      <c r="K15" s="580"/>
      <c r="L15" s="580"/>
      <c r="M15" s="581"/>
      <c r="N15" s="63"/>
      <c r="P15" s="873" t="s">
        <v>35</v>
      </c>
      <c r="Q15" s="587"/>
      <c r="R15" s="587"/>
      <c r="S15" s="587"/>
      <c r="T15" s="58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74"/>
      <c r="Q16" s="874"/>
      <c r="R16" s="874"/>
      <c r="S16" s="874"/>
      <c r="T16" s="87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1" t="s">
        <v>36</v>
      </c>
      <c r="B17" s="551" t="s">
        <v>37</v>
      </c>
      <c r="C17" s="877" t="s">
        <v>38</v>
      </c>
      <c r="D17" s="551" t="s">
        <v>39</v>
      </c>
      <c r="E17" s="584"/>
      <c r="F17" s="551" t="s">
        <v>40</v>
      </c>
      <c r="G17" s="551" t="s">
        <v>41</v>
      </c>
      <c r="H17" s="551" t="s">
        <v>42</v>
      </c>
      <c r="I17" s="551" t="s">
        <v>43</v>
      </c>
      <c r="J17" s="551" t="s">
        <v>44</v>
      </c>
      <c r="K17" s="551" t="s">
        <v>45</v>
      </c>
      <c r="L17" s="551" t="s">
        <v>46</v>
      </c>
      <c r="M17" s="551" t="s">
        <v>47</v>
      </c>
      <c r="N17" s="551" t="s">
        <v>48</v>
      </c>
      <c r="O17" s="551" t="s">
        <v>49</v>
      </c>
      <c r="P17" s="551" t="s">
        <v>50</v>
      </c>
      <c r="Q17" s="801"/>
      <c r="R17" s="801"/>
      <c r="S17" s="801"/>
      <c r="T17" s="584"/>
      <c r="U17" s="607" t="s">
        <v>51</v>
      </c>
      <c r="V17" s="581"/>
      <c r="W17" s="551" t="s">
        <v>52</v>
      </c>
      <c r="X17" s="551" t="s">
        <v>53</v>
      </c>
      <c r="Y17" s="605" t="s">
        <v>54</v>
      </c>
      <c r="Z17" s="692" t="s">
        <v>55</v>
      </c>
      <c r="AA17" s="594" t="s">
        <v>56</v>
      </c>
      <c r="AB17" s="594" t="s">
        <v>57</v>
      </c>
      <c r="AC17" s="594" t="s">
        <v>58</v>
      </c>
      <c r="AD17" s="594" t="s">
        <v>59</v>
      </c>
      <c r="AE17" s="595"/>
      <c r="AF17" s="596"/>
      <c r="AG17" s="66"/>
      <c r="BD17" s="65" t="s">
        <v>60</v>
      </c>
    </row>
    <row r="18" spans="1:68" ht="14.25" customHeight="1" x14ac:dyDescent="0.2">
      <c r="A18" s="552"/>
      <c r="B18" s="552"/>
      <c r="C18" s="552"/>
      <c r="D18" s="585"/>
      <c r="E18" s="586"/>
      <c r="F18" s="552"/>
      <c r="G18" s="552"/>
      <c r="H18" s="552"/>
      <c r="I18" s="552"/>
      <c r="J18" s="552"/>
      <c r="K18" s="552"/>
      <c r="L18" s="552"/>
      <c r="M18" s="552"/>
      <c r="N18" s="552"/>
      <c r="O18" s="552"/>
      <c r="P18" s="585"/>
      <c r="Q18" s="802"/>
      <c r="R18" s="802"/>
      <c r="S18" s="802"/>
      <c r="T18" s="586"/>
      <c r="U18" s="67" t="s">
        <v>61</v>
      </c>
      <c r="V18" s="67" t="s">
        <v>62</v>
      </c>
      <c r="W18" s="552"/>
      <c r="X18" s="552"/>
      <c r="Y18" s="606"/>
      <c r="Z18" s="693"/>
      <c r="AA18" s="694"/>
      <c r="AB18" s="694"/>
      <c r="AC18" s="694"/>
      <c r="AD18" s="597"/>
      <c r="AE18" s="598"/>
      <c r="AF18" s="599"/>
      <c r="AG18" s="66"/>
      <c r="BD18" s="65"/>
    </row>
    <row r="19" spans="1:68" ht="27.75" hidden="1" customHeight="1" x14ac:dyDescent="0.2">
      <c r="A19" s="652" t="s">
        <v>63</v>
      </c>
      <c r="B19" s="653"/>
      <c r="C19" s="653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53"/>
      <c r="W19" s="653"/>
      <c r="X19" s="653"/>
      <c r="Y19" s="653"/>
      <c r="Z19" s="653"/>
      <c r="AA19" s="48"/>
      <c r="AB19" s="48"/>
      <c r="AC19" s="48"/>
    </row>
    <row r="20" spans="1:68" ht="16.5" hidden="1" customHeight="1" x14ac:dyDescent="0.25">
      <c r="A20" s="589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hidden="1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3">
        <v>4680115887510</v>
      </c>
      <c r="E22" s="554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3">
        <v>4680115886643</v>
      </c>
      <c r="E23" s="554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87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57" t="s">
        <v>75</v>
      </c>
      <c r="Q24" s="558"/>
      <c r="R24" s="558"/>
      <c r="S24" s="558"/>
      <c r="T24" s="558"/>
      <c r="U24" s="558"/>
      <c r="V24" s="559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57" t="s">
        <v>75</v>
      </c>
      <c r="Q25" s="558"/>
      <c r="R25" s="558"/>
      <c r="S25" s="558"/>
      <c r="T25" s="558"/>
      <c r="U25" s="558"/>
      <c r="V25" s="559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3">
        <v>4680115885912</v>
      </c>
      <c r="E27" s="554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3">
        <v>4607091388237</v>
      </c>
      <c r="E28" s="554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3">
        <v>4680115887350</v>
      </c>
      <c r="E29" s="554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7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3">
        <v>4680115885905</v>
      </c>
      <c r="E30" s="554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86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94</v>
      </c>
      <c r="B31" s="54" t="s">
        <v>95</v>
      </c>
      <c r="C31" s="31">
        <v>4301051851</v>
      </c>
      <c r="D31" s="553">
        <v>4607091388244</v>
      </c>
      <c r="E31" s="554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8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0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57" t="s">
        <v>75</v>
      </c>
      <c r="Q32" s="558"/>
      <c r="R32" s="558"/>
      <c r="S32" s="558"/>
      <c r="T32" s="558"/>
      <c r="U32" s="558"/>
      <c r="V32" s="559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61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2"/>
      <c r="P33" s="557" t="s">
        <v>75</v>
      </c>
      <c r="Q33" s="558"/>
      <c r="R33" s="558"/>
      <c r="S33" s="558"/>
      <c r="T33" s="558"/>
      <c r="U33" s="558"/>
      <c r="V33" s="559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63" t="s">
        <v>96</v>
      </c>
      <c r="B34" s="561"/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43"/>
      <c r="AB34" s="543"/>
      <c r="AC34" s="543"/>
    </row>
    <row r="35" spans="1:68" ht="27" hidden="1" customHeight="1" x14ac:dyDescent="0.25">
      <c r="A35" s="54" t="s">
        <v>97</v>
      </c>
      <c r="B35" s="54" t="s">
        <v>98</v>
      </c>
      <c r="C35" s="31">
        <v>4301032013</v>
      </c>
      <c r="D35" s="553">
        <v>4607091388503</v>
      </c>
      <c r="E35" s="554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6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0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57" t="s">
        <v>75</v>
      </c>
      <c r="Q36" s="558"/>
      <c r="R36" s="558"/>
      <c r="S36" s="558"/>
      <c r="T36" s="558"/>
      <c r="U36" s="558"/>
      <c r="V36" s="559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61"/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2"/>
      <c r="P37" s="557" t="s">
        <v>75</v>
      </c>
      <c r="Q37" s="558"/>
      <c r="R37" s="558"/>
      <c r="S37" s="558"/>
      <c r="T37" s="558"/>
      <c r="U37" s="558"/>
      <c r="V37" s="559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52" t="s">
        <v>102</v>
      </c>
      <c r="B38" s="653"/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  <c r="Y38" s="653"/>
      <c r="Z38" s="653"/>
      <c r="AA38" s="48"/>
      <c r="AB38" s="48"/>
      <c r="AC38" s="48"/>
    </row>
    <row r="39" spans="1:68" ht="16.5" hidden="1" customHeight="1" x14ac:dyDescent="0.25">
      <c r="A39" s="589" t="s">
        <v>103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2"/>
      <c r="AB39" s="542"/>
      <c r="AC39" s="542"/>
    </row>
    <row r="40" spans="1:68" ht="14.25" hidden="1" customHeight="1" x14ac:dyDescent="0.25">
      <c r="A40" s="563" t="s">
        <v>104</v>
      </c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3">
        <v>4607091385670</v>
      </c>
      <c r="E41" s="554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6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47">
        <v>200</v>
      </c>
      <c r="Y41" s="548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207.59259259259258</v>
      </c>
      <c r="BN41" s="64">
        <f>IFERROR(Y41*I41/H41,"0")</f>
        <v>212.99</v>
      </c>
      <c r="BO41" s="64">
        <f>IFERROR(1/J41*(X41/H41),"0")</f>
        <v>0.28935185185185186</v>
      </c>
      <c r="BP41" s="64">
        <f>IFERROR(1/J41*(Y41/H41),"0")</f>
        <v>0.296875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3">
        <v>4680115882539</v>
      </c>
      <c r="E42" s="554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8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4301011382</v>
      </c>
      <c r="D43" s="553">
        <v>4607091385687</v>
      </c>
      <c r="E43" s="554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7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0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57" t="s">
        <v>75</v>
      </c>
      <c r="Q44" s="558"/>
      <c r="R44" s="558"/>
      <c r="S44" s="558"/>
      <c r="T44" s="558"/>
      <c r="U44" s="558"/>
      <c r="V44" s="559"/>
      <c r="W44" s="37" t="s">
        <v>76</v>
      </c>
      <c r="X44" s="549">
        <f>IFERROR(X41/H41,"0")+IFERROR(X42/H42,"0")+IFERROR(X43/H43,"0")</f>
        <v>18.518518518518519</v>
      </c>
      <c r="Y44" s="549">
        <f>IFERROR(Y41/H41,"0")+IFERROR(Y42/H42,"0")+IFERROR(Y43/H43,"0")</f>
        <v>19</v>
      </c>
      <c r="Z44" s="549">
        <f>IFERROR(IF(Z41="",0,Z41),"0")+IFERROR(IF(Z42="",0,Z42),"0")+IFERROR(IF(Z43="",0,Z43),"0")</f>
        <v>0.36062</v>
      </c>
      <c r="AA44" s="550"/>
      <c r="AB44" s="550"/>
      <c r="AC44" s="550"/>
    </row>
    <row r="45" spans="1:68" x14ac:dyDescent="0.2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2"/>
      <c r="P45" s="557" t="s">
        <v>75</v>
      </c>
      <c r="Q45" s="558"/>
      <c r="R45" s="558"/>
      <c r="S45" s="558"/>
      <c r="T45" s="558"/>
      <c r="U45" s="558"/>
      <c r="V45" s="559"/>
      <c r="W45" s="37" t="s">
        <v>69</v>
      </c>
      <c r="X45" s="549">
        <f>IFERROR(SUM(X41:X43),"0")</f>
        <v>200</v>
      </c>
      <c r="Y45" s="549">
        <f>IFERROR(SUM(Y41:Y43),"0")</f>
        <v>205.20000000000002</v>
      </c>
      <c r="Z45" s="37"/>
      <c r="AA45" s="550"/>
      <c r="AB45" s="550"/>
      <c r="AC45" s="550"/>
    </row>
    <row r="46" spans="1:68" ht="14.25" hidden="1" customHeight="1" x14ac:dyDescent="0.25">
      <c r="A46" s="563" t="s">
        <v>77</v>
      </c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43"/>
      <c r="AB46" s="543"/>
      <c r="AC46" s="543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53">
        <v>4680115884915</v>
      </c>
      <c r="E47" s="554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81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0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57" t="s">
        <v>75</v>
      </c>
      <c r="Q48" s="558"/>
      <c r="R48" s="558"/>
      <c r="S48" s="558"/>
      <c r="T48" s="558"/>
      <c r="U48" s="558"/>
      <c r="V48" s="559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61"/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2"/>
      <c r="P49" s="557" t="s">
        <v>75</v>
      </c>
      <c r="Q49" s="558"/>
      <c r="R49" s="558"/>
      <c r="S49" s="558"/>
      <c r="T49" s="558"/>
      <c r="U49" s="558"/>
      <c r="V49" s="559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89" t="s">
        <v>120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2"/>
      <c r="AB50" s="542"/>
      <c r="AC50" s="542"/>
    </row>
    <row r="51" spans="1:68" ht="14.25" hidden="1" customHeight="1" x14ac:dyDescent="0.25">
      <c r="A51" s="563" t="s">
        <v>104</v>
      </c>
      <c r="B51" s="561"/>
      <c r="C51" s="561"/>
      <c r="D51" s="561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43"/>
      <c r="AB51" s="543"/>
      <c r="AC51" s="543"/>
    </row>
    <row r="52" spans="1:68" ht="27" hidden="1" customHeight="1" x14ac:dyDescent="0.25">
      <c r="A52" s="54" t="s">
        <v>121</v>
      </c>
      <c r="B52" s="54" t="s">
        <v>122</v>
      </c>
      <c r="C52" s="31">
        <v>4301012030</v>
      </c>
      <c r="D52" s="553">
        <v>4680115885882</v>
      </c>
      <c r="E52" s="554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8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4301011816</v>
      </c>
      <c r="D53" s="553">
        <v>4680115881426</v>
      </c>
      <c r="E53" s="554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53">
        <v>4680115880283</v>
      </c>
      <c r="E54" s="554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63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53">
        <v>4680115881525</v>
      </c>
      <c r="E55" s="554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79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53">
        <v>4680115885899</v>
      </c>
      <c r="E56" s="554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84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136</v>
      </c>
      <c r="B57" s="54" t="s">
        <v>137</v>
      </c>
      <c r="C57" s="31">
        <v>4301011801</v>
      </c>
      <c r="D57" s="553">
        <v>4680115881419</v>
      </c>
      <c r="E57" s="554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62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0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57" t="s">
        <v>75</v>
      </c>
      <c r="Q58" s="558"/>
      <c r="R58" s="558"/>
      <c r="S58" s="558"/>
      <c r="T58" s="558"/>
      <c r="U58" s="558"/>
      <c r="V58" s="559"/>
      <c r="W58" s="37" t="s">
        <v>76</v>
      </c>
      <c r="X58" s="549">
        <f>IFERROR(X52/H52,"0")+IFERROR(X53/H53,"0")+IFERROR(X54/H54,"0")+IFERROR(X55/H55,"0")+IFERROR(X56/H56,"0")+IFERROR(X57/H57,"0")</f>
        <v>0</v>
      </c>
      <c r="Y58" s="549">
        <f>IFERROR(Y52/H52,"0")+IFERROR(Y53/H53,"0")+IFERROR(Y54/H54,"0")+IFERROR(Y55/H55,"0")+IFERROR(Y56/H56,"0")+IFERROR(Y57/H57,"0")</f>
        <v>0</v>
      </c>
      <c r="Z58" s="549">
        <f>IFERROR(IF(Z52="",0,Z52),"0")+IFERROR(IF(Z53="",0,Z53),"0")+IFERROR(IF(Z54="",0,Z54),"0")+IFERROR(IF(Z55="",0,Z55),"0")+IFERROR(IF(Z56="",0,Z56),"0")+IFERROR(IF(Z57="",0,Z57),"0")</f>
        <v>0</v>
      </c>
      <c r="AA58" s="550"/>
      <c r="AB58" s="550"/>
      <c r="AC58" s="550"/>
    </row>
    <row r="59" spans="1:68" hidden="1" x14ac:dyDescent="0.2">
      <c r="A59" s="561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2"/>
      <c r="P59" s="557" t="s">
        <v>75</v>
      </c>
      <c r="Q59" s="558"/>
      <c r="R59" s="558"/>
      <c r="S59" s="558"/>
      <c r="T59" s="558"/>
      <c r="U59" s="558"/>
      <c r="V59" s="559"/>
      <c r="W59" s="37" t="s">
        <v>69</v>
      </c>
      <c r="X59" s="549">
        <f>IFERROR(SUM(X52:X57),"0")</f>
        <v>0</v>
      </c>
      <c r="Y59" s="549">
        <f>IFERROR(SUM(Y52:Y57),"0")</f>
        <v>0</v>
      </c>
      <c r="Z59" s="37"/>
      <c r="AA59" s="550"/>
      <c r="AB59" s="550"/>
      <c r="AC59" s="550"/>
    </row>
    <row r="60" spans="1:68" ht="14.25" hidden="1" customHeight="1" x14ac:dyDescent="0.25">
      <c r="A60" s="563" t="s">
        <v>139</v>
      </c>
      <c r="B60" s="561"/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3">
        <v>4680115881440</v>
      </c>
      <c r="E61" s="554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1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47">
        <v>500</v>
      </c>
      <c r="Y61" s="548">
        <f>IFERROR(IF(X61="",0,CEILING((X61/$H61),1)*$H61),"")</f>
        <v>507.6</v>
      </c>
      <c r="Z61" s="36">
        <f>IFERROR(IF(Y61=0,"",ROUNDUP(Y61/H61,0)*0.01898),"")</f>
        <v>0.89205999999999996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518.98148148148141</v>
      </c>
      <c r="BN61" s="64">
        <f>IFERROR(Y61*I61/H61,"0")</f>
        <v>526.87</v>
      </c>
      <c r="BO61" s="64">
        <f>IFERROR(1/J61*(X61/H61),"0")</f>
        <v>0.72337962962962954</v>
      </c>
      <c r="BP61" s="64">
        <f>IFERROR(1/J61*(Y61/H61),"0")</f>
        <v>0.734375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53">
        <v>4680115885950</v>
      </c>
      <c r="E62" s="554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4301020296</v>
      </c>
      <c r="D63" s="553">
        <v>4680115881433</v>
      </c>
      <c r="E63" s="554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8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0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57" t="s">
        <v>75</v>
      </c>
      <c r="Q64" s="558"/>
      <c r="R64" s="558"/>
      <c r="S64" s="558"/>
      <c r="T64" s="558"/>
      <c r="U64" s="558"/>
      <c r="V64" s="559"/>
      <c r="W64" s="37" t="s">
        <v>76</v>
      </c>
      <c r="X64" s="549">
        <f>IFERROR(X61/H61,"0")+IFERROR(X62/H62,"0")+IFERROR(X63/H63,"0")</f>
        <v>46.296296296296291</v>
      </c>
      <c r="Y64" s="549">
        <f>IFERROR(Y61/H61,"0")+IFERROR(Y62/H62,"0")+IFERROR(Y63/H63,"0")</f>
        <v>47</v>
      </c>
      <c r="Z64" s="549">
        <f>IFERROR(IF(Z61="",0,Z61),"0")+IFERROR(IF(Z62="",0,Z62),"0")+IFERROR(IF(Z63="",0,Z63),"0")</f>
        <v>0.89205999999999996</v>
      </c>
      <c r="AA64" s="550"/>
      <c r="AB64" s="550"/>
      <c r="AC64" s="550"/>
    </row>
    <row r="65" spans="1:68" x14ac:dyDescent="0.2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2"/>
      <c r="P65" s="557" t="s">
        <v>75</v>
      </c>
      <c r="Q65" s="558"/>
      <c r="R65" s="558"/>
      <c r="S65" s="558"/>
      <c r="T65" s="558"/>
      <c r="U65" s="558"/>
      <c r="V65" s="559"/>
      <c r="W65" s="37" t="s">
        <v>69</v>
      </c>
      <c r="X65" s="549">
        <f>IFERROR(SUM(X61:X63),"0")</f>
        <v>500</v>
      </c>
      <c r="Y65" s="549">
        <f>IFERROR(SUM(Y61:Y63),"0")</f>
        <v>507.6</v>
      </c>
      <c r="Z65" s="37"/>
      <c r="AA65" s="550"/>
      <c r="AB65" s="550"/>
      <c r="AC65" s="550"/>
    </row>
    <row r="66" spans="1:68" ht="14.25" hidden="1" customHeight="1" x14ac:dyDescent="0.25">
      <c r="A66" s="563" t="s">
        <v>64</v>
      </c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43"/>
      <c r="AB66" s="543"/>
      <c r="AC66" s="543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53">
        <v>4680115885073</v>
      </c>
      <c r="E67" s="554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53">
        <v>4680115885059</v>
      </c>
      <c r="E68" s="554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6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53">
        <v>4680115885097</v>
      </c>
      <c r="E69" s="554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5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7"/>
      <c r="R69" s="567"/>
      <c r="S69" s="567"/>
      <c r="T69" s="568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0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2"/>
      <c r="P70" s="557" t="s">
        <v>75</v>
      </c>
      <c r="Q70" s="558"/>
      <c r="R70" s="558"/>
      <c r="S70" s="558"/>
      <c r="T70" s="558"/>
      <c r="U70" s="558"/>
      <c r="V70" s="559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hidden="1" x14ac:dyDescent="0.2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2"/>
      <c r="P71" s="557" t="s">
        <v>75</v>
      </c>
      <c r="Q71" s="558"/>
      <c r="R71" s="558"/>
      <c r="S71" s="558"/>
      <c r="T71" s="558"/>
      <c r="U71" s="558"/>
      <c r="V71" s="559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hidden="1" customHeight="1" x14ac:dyDescent="0.25">
      <c r="A72" s="563" t="s">
        <v>77</v>
      </c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43"/>
      <c r="AB72" s="543"/>
      <c r="AC72" s="543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53">
        <v>4680115885769</v>
      </c>
      <c r="E73" s="554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53">
        <v>4680115884311</v>
      </c>
      <c r="E74" s="554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53">
        <v>4680115885929</v>
      </c>
      <c r="E75" s="554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62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53">
        <v>4680115884403</v>
      </c>
      <c r="E76" s="554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7"/>
      <c r="R76" s="567"/>
      <c r="S76" s="567"/>
      <c r="T76" s="568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0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2"/>
      <c r="P77" s="557" t="s">
        <v>75</v>
      </c>
      <c r="Q77" s="558"/>
      <c r="R77" s="558"/>
      <c r="S77" s="558"/>
      <c r="T77" s="558"/>
      <c r="U77" s="558"/>
      <c r="V77" s="559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hidden="1" x14ac:dyDescent="0.2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2"/>
      <c r="P78" s="557" t="s">
        <v>75</v>
      </c>
      <c r="Q78" s="558"/>
      <c r="R78" s="558"/>
      <c r="S78" s="558"/>
      <c r="T78" s="558"/>
      <c r="U78" s="558"/>
      <c r="V78" s="559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hidden="1" customHeight="1" x14ac:dyDescent="0.25">
      <c r="A79" s="563" t="s">
        <v>167</v>
      </c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43"/>
      <c r="AB79" s="543"/>
      <c r="AC79" s="543"/>
    </row>
    <row r="80" spans="1:68" ht="27" hidden="1" customHeight="1" x14ac:dyDescent="0.25">
      <c r="A80" s="54" t="s">
        <v>168</v>
      </c>
      <c r="B80" s="54" t="s">
        <v>169</v>
      </c>
      <c r="C80" s="31">
        <v>4301060455</v>
      </c>
      <c r="D80" s="553">
        <v>4680115881532</v>
      </c>
      <c r="E80" s="554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69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53">
        <v>4680115881464</v>
      </c>
      <c r="E81" s="554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8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7"/>
      <c r="R81" s="567"/>
      <c r="S81" s="567"/>
      <c r="T81" s="568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0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2"/>
      <c r="P82" s="557" t="s">
        <v>75</v>
      </c>
      <c r="Q82" s="558"/>
      <c r="R82" s="558"/>
      <c r="S82" s="558"/>
      <c r="T82" s="558"/>
      <c r="U82" s="558"/>
      <c r="V82" s="559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hidden="1" x14ac:dyDescent="0.2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2"/>
      <c r="P83" s="557" t="s">
        <v>75</v>
      </c>
      <c r="Q83" s="558"/>
      <c r="R83" s="558"/>
      <c r="S83" s="558"/>
      <c r="T83" s="558"/>
      <c r="U83" s="558"/>
      <c r="V83" s="559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hidden="1" customHeight="1" x14ac:dyDescent="0.25">
      <c r="A84" s="589" t="s">
        <v>174</v>
      </c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42"/>
      <c r="AB84" s="542"/>
      <c r="AC84" s="542"/>
    </row>
    <row r="85" spans="1:68" ht="14.25" hidden="1" customHeight="1" x14ac:dyDescent="0.25">
      <c r="A85" s="563" t="s">
        <v>104</v>
      </c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3">
        <v>4680115881327</v>
      </c>
      <c r="E86" s="554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8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7"/>
      <c r="R86" s="567"/>
      <c r="S86" s="567"/>
      <c r="T86" s="568"/>
      <c r="U86" s="34"/>
      <c r="V86" s="34"/>
      <c r="W86" s="35" t="s">
        <v>69</v>
      </c>
      <c r="X86" s="547">
        <v>500</v>
      </c>
      <c r="Y86" s="548">
        <f>IFERROR(IF(X86="",0,CEILING((X86/$H86),1)*$H86),"")</f>
        <v>507.6</v>
      </c>
      <c r="Z86" s="36">
        <f>IFERROR(IF(Y86=0,"",ROUNDUP(Y86/H86,0)*0.01898),"")</f>
        <v>0.89205999999999996</v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518.98148148148141</v>
      </c>
      <c r="BN86" s="64">
        <f>IFERROR(Y86*I86/H86,"0")</f>
        <v>526.87</v>
      </c>
      <c r="BO86" s="64">
        <f>IFERROR(1/J86*(X86/H86),"0")</f>
        <v>0.72337962962962954</v>
      </c>
      <c r="BP86" s="64">
        <f>IFERROR(1/J86*(Y86/H86),"0")</f>
        <v>0.734375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4301011261</v>
      </c>
      <c r="D87" s="553">
        <v>4680115887732</v>
      </c>
      <c r="E87" s="554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79" t="s">
        <v>181</v>
      </c>
      <c r="Q87" s="567"/>
      <c r="R87" s="567"/>
      <c r="S87" s="567"/>
      <c r="T87" s="568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183</v>
      </c>
      <c r="B88" s="54" t="s">
        <v>184</v>
      </c>
      <c r="C88" s="31">
        <v>4301011476</v>
      </c>
      <c r="D88" s="553">
        <v>4680115881518</v>
      </c>
      <c r="E88" s="554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7"/>
      <c r="R88" s="567"/>
      <c r="S88" s="567"/>
      <c r="T88" s="568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185</v>
      </c>
      <c r="B89" s="54" t="s">
        <v>186</v>
      </c>
      <c r="C89" s="31">
        <v>4301011443</v>
      </c>
      <c r="D89" s="553">
        <v>4680115881303</v>
      </c>
      <c r="E89" s="554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7"/>
      <c r="R89" s="567"/>
      <c r="S89" s="567"/>
      <c r="T89" s="568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0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2"/>
      <c r="P90" s="557" t="s">
        <v>75</v>
      </c>
      <c r="Q90" s="558"/>
      <c r="R90" s="558"/>
      <c r="S90" s="558"/>
      <c r="T90" s="558"/>
      <c r="U90" s="558"/>
      <c r="V90" s="559"/>
      <c r="W90" s="37" t="s">
        <v>76</v>
      </c>
      <c r="X90" s="549">
        <f>IFERROR(X86/H86,"0")+IFERROR(X87/H87,"0")+IFERROR(X88/H88,"0")+IFERROR(X89/H89,"0")</f>
        <v>46.296296296296291</v>
      </c>
      <c r="Y90" s="549">
        <f>IFERROR(Y86/H86,"0")+IFERROR(Y87/H87,"0")+IFERROR(Y88/H88,"0")+IFERROR(Y89/H89,"0")</f>
        <v>47</v>
      </c>
      <c r="Z90" s="549">
        <f>IFERROR(IF(Z86="",0,Z86),"0")+IFERROR(IF(Z87="",0,Z87),"0")+IFERROR(IF(Z88="",0,Z88),"0")+IFERROR(IF(Z89="",0,Z89),"0")</f>
        <v>0.89205999999999996</v>
      </c>
      <c r="AA90" s="550"/>
      <c r="AB90" s="550"/>
      <c r="AC90" s="550"/>
    </row>
    <row r="91" spans="1:68" x14ac:dyDescent="0.2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2"/>
      <c r="P91" s="557" t="s">
        <v>75</v>
      </c>
      <c r="Q91" s="558"/>
      <c r="R91" s="558"/>
      <c r="S91" s="558"/>
      <c r="T91" s="558"/>
      <c r="U91" s="558"/>
      <c r="V91" s="559"/>
      <c r="W91" s="37" t="s">
        <v>69</v>
      </c>
      <c r="X91" s="549">
        <f>IFERROR(SUM(X86:X89),"0")</f>
        <v>500</v>
      </c>
      <c r="Y91" s="549">
        <f>IFERROR(SUM(Y86:Y89),"0")</f>
        <v>507.6</v>
      </c>
      <c r="Z91" s="37"/>
      <c r="AA91" s="550"/>
      <c r="AB91" s="550"/>
      <c r="AC91" s="550"/>
    </row>
    <row r="92" spans="1:68" ht="14.25" hidden="1" customHeight="1" x14ac:dyDescent="0.25">
      <c r="A92" s="563" t="s">
        <v>77</v>
      </c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3">
        <v>4607091386967</v>
      </c>
      <c r="E93" s="554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67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47">
        <v>200</v>
      </c>
      <c r="Y93" s="548">
        <f>IFERROR(IF(X93="",0,CEILING((X93/$H93),1)*$H93),"")</f>
        <v>202.5</v>
      </c>
      <c r="Z93" s="36">
        <f>IFERROR(IF(Y93=0,"",ROUNDUP(Y93/H93,0)*0.01898),"")</f>
        <v>0.47450000000000003</v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212.19753086419755</v>
      </c>
      <c r="BN93" s="64">
        <f>IFERROR(Y93*I93/H93,"0")</f>
        <v>214.85</v>
      </c>
      <c r="BO93" s="64">
        <f>IFERROR(1/J93*(X93/H93),"0")</f>
        <v>0.38580246913580246</v>
      </c>
      <c r="BP93" s="64">
        <f>IFERROR(1/J93*(Y93/H93),"0")</f>
        <v>0.390625</v>
      </c>
    </row>
    <row r="94" spans="1:68" ht="27" hidden="1" customHeight="1" x14ac:dyDescent="0.25">
      <c r="A94" s="54" t="s">
        <v>190</v>
      </c>
      <c r="B94" s="54" t="s">
        <v>191</v>
      </c>
      <c r="C94" s="31">
        <v>4301051788</v>
      </c>
      <c r="D94" s="553">
        <v>4680115884953</v>
      </c>
      <c r="E94" s="554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77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193</v>
      </c>
      <c r="B95" s="54" t="s">
        <v>194</v>
      </c>
      <c r="C95" s="31">
        <v>4301051718</v>
      </c>
      <c r="D95" s="553">
        <v>4607091385731</v>
      </c>
      <c r="E95" s="554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83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7"/>
      <c r="R95" s="567"/>
      <c r="S95" s="567"/>
      <c r="T95" s="568"/>
      <c r="U95" s="34"/>
      <c r="V95" s="34"/>
      <c r="W95" s="35" t="s">
        <v>69</v>
      </c>
      <c r="X95" s="547">
        <v>360</v>
      </c>
      <c r="Y95" s="548">
        <f>IFERROR(IF(X95="",0,CEILING((X95/$H95),1)*$H95),"")</f>
        <v>361.8</v>
      </c>
      <c r="Z95" s="36">
        <f>IFERROR(IF(Y95=0,"",ROUNDUP(Y95/H95,0)*0.00651),"")</f>
        <v>0.87234</v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393.59999999999997</v>
      </c>
      <c r="BN95" s="64">
        <f>IFERROR(Y95*I95/H95,"0")</f>
        <v>395.56799999999998</v>
      </c>
      <c r="BO95" s="64">
        <f>IFERROR(1/J95*(X95/H95),"0")</f>
        <v>0.73260073260073255</v>
      </c>
      <c r="BP95" s="64">
        <f>IFERROR(1/J95*(Y95/H95),"0")</f>
        <v>0.73626373626373631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3">
        <v>4680115880894</v>
      </c>
      <c r="E96" s="554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0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7"/>
      <c r="R96" s="567"/>
      <c r="S96" s="567"/>
      <c r="T96" s="568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0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2"/>
      <c r="P97" s="557" t="s">
        <v>75</v>
      </c>
      <c r="Q97" s="558"/>
      <c r="R97" s="558"/>
      <c r="S97" s="558"/>
      <c r="T97" s="558"/>
      <c r="U97" s="558"/>
      <c r="V97" s="559"/>
      <c r="W97" s="37" t="s">
        <v>76</v>
      </c>
      <c r="X97" s="549">
        <f>IFERROR(X93/H93,"0")+IFERROR(X94/H94,"0")+IFERROR(X95/H95,"0")+IFERROR(X96/H96,"0")</f>
        <v>158.02469135802468</v>
      </c>
      <c r="Y97" s="549">
        <f>IFERROR(Y93/H93,"0")+IFERROR(Y94/H94,"0")+IFERROR(Y95/H95,"0")+IFERROR(Y96/H96,"0")</f>
        <v>159</v>
      </c>
      <c r="Z97" s="549">
        <f>IFERROR(IF(Z93="",0,Z93),"0")+IFERROR(IF(Z94="",0,Z94),"0")+IFERROR(IF(Z95="",0,Z95),"0")+IFERROR(IF(Z96="",0,Z96),"0")</f>
        <v>1.34684</v>
      </c>
      <c r="AA97" s="550"/>
      <c r="AB97" s="550"/>
      <c r="AC97" s="550"/>
    </row>
    <row r="98" spans="1:68" x14ac:dyDescent="0.2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2"/>
      <c r="P98" s="557" t="s">
        <v>75</v>
      </c>
      <c r="Q98" s="558"/>
      <c r="R98" s="558"/>
      <c r="S98" s="558"/>
      <c r="T98" s="558"/>
      <c r="U98" s="558"/>
      <c r="V98" s="559"/>
      <c r="W98" s="37" t="s">
        <v>69</v>
      </c>
      <c r="X98" s="549">
        <f>IFERROR(SUM(X93:X96),"0")</f>
        <v>560</v>
      </c>
      <c r="Y98" s="549">
        <f>IFERROR(SUM(Y93:Y96),"0")</f>
        <v>564.29999999999995</v>
      </c>
      <c r="Z98" s="37"/>
      <c r="AA98" s="550"/>
      <c r="AB98" s="550"/>
      <c r="AC98" s="550"/>
    </row>
    <row r="99" spans="1:68" ht="16.5" hidden="1" customHeight="1" x14ac:dyDescent="0.25">
      <c r="A99" s="589" t="s">
        <v>198</v>
      </c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42"/>
      <c r="AB99" s="542"/>
      <c r="AC99" s="542"/>
    </row>
    <row r="100" spans="1:68" ht="14.25" hidden="1" customHeight="1" x14ac:dyDescent="0.25">
      <c r="A100" s="563" t="s">
        <v>104</v>
      </c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43"/>
      <c r="AB100" s="543"/>
      <c r="AC100" s="543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3">
        <v>4680115882133</v>
      </c>
      <c r="E101" s="554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6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47">
        <v>500</v>
      </c>
      <c r="Y101" s="548">
        <f>IFERROR(IF(X101="",0,CEILING((X101/$H101),1)*$H101),"")</f>
        <v>507.6</v>
      </c>
      <c r="Z101" s="36">
        <f>IFERROR(IF(Y101=0,"",ROUNDUP(Y101/H101,0)*0.01898),"")</f>
        <v>0.89205999999999996</v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518.98148148148141</v>
      </c>
      <c r="BN101" s="64">
        <f>IFERROR(Y101*I101/H101,"0")</f>
        <v>526.87</v>
      </c>
      <c r="BO101" s="64">
        <f>IFERROR(1/J101*(X101/H101),"0")</f>
        <v>0.72337962962962954</v>
      </c>
      <c r="BP101" s="64">
        <f>IFERROR(1/J101*(Y101/H101),"0")</f>
        <v>0.734375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3">
        <v>4680115887718</v>
      </c>
      <c r="E102" s="554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608" t="s">
        <v>204</v>
      </c>
      <c r="Q102" s="567"/>
      <c r="R102" s="567"/>
      <c r="S102" s="567"/>
      <c r="T102" s="568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3">
        <v>4680115880269</v>
      </c>
      <c r="E103" s="554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3">
        <v>4680115880429</v>
      </c>
      <c r="E104" s="554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87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3">
        <v>4680115881457</v>
      </c>
      <c r="E105" s="554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7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7"/>
      <c r="R105" s="567"/>
      <c r="S105" s="567"/>
      <c r="T105" s="568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0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2"/>
      <c r="P106" s="557" t="s">
        <v>75</v>
      </c>
      <c r="Q106" s="558"/>
      <c r="R106" s="558"/>
      <c r="S106" s="558"/>
      <c r="T106" s="558"/>
      <c r="U106" s="558"/>
      <c r="V106" s="559"/>
      <c r="W106" s="37" t="s">
        <v>76</v>
      </c>
      <c r="X106" s="549">
        <f>IFERROR(X101/H101,"0")+IFERROR(X102/H102,"0")+IFERROR(X103/H103,"0")+IFERROR(X104/H104,"0")+IFERROR(X105/H105,"0")</f>
        <v>46.296296296296291</v>
      </c>
      <c r="Y106" s="549">
        <f>IFERROR(Y101/H101,"0")+IFERROR(Y102/H102,"0")+IFERROR(Y103/H103,"0")+IFERROR(Y104/H104,"0")+IFERROR(Y105/H105,"0")</f>
        <v>47</v>
      </c>
      <c r="Z106" s="549">
        <f>IFERROR(IF(Z101="",0,Z101),"0")+IFERROR(IF(Z102="",0,Z102),"0")+IFERROR(IF(Z103="",0,Z103),"0")+IFERROR(IF(Z104="",0,Z104),"0")+IFERROR(IF(Z105="",0,Z105),"0")</f>
        <v>0.89205999999999996</v>
      </c>
      <c r="AA106" s="550"/>
      <c r="AB106" s="550"/>
      <c r="AC106" s="550"/>
    </row>
    <row r="107" spans="1:68" x14ac:dyDescent="0.2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2"/>
      <c r="P107" s="557" t="s">
        <v>75</v>
      </c>
      <c r="Q107" s="558"/>
      <c r="R107" s="558"/>
      <c r="S107" s="558"/>
      <c r="T107" s="558"/>
      <c r="U107" s="558"/>
      <c r="V107" s="559"/>
      <c r="W107" s="37" t="s">
        <v>69</v>
      </c>
      <c r="X107" s="549">
        <f>IFERROR(SUM(X101:X105),"0")</f>
        <v>500</v>
      </c>
      <c r="Y107" s="549">
        <f>IFERROR(SUM(Y101:Y105),"0")</f>
        <v>507.6</v>
      </c>
      <c r="Z107" s="37"/>
      <c r="AA107" s="550"/>
      <c r="AB107" s="550"/>
      <c r="AC107" s="550"/>
    </row>
    <row r="108" spans="1:68" ht="14.25" hidden="1" customHeight="1" x14ac:dyDescent="0.25">
      <c r="A108" s="563" t="s">
        <v>139</v>
      </c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43"/>
      <c r="AB108" s="543"/>
      <c r="AC108" s="543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3">
        <v>4680115881488</v>
      </c>
      <c r="E109" s="554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68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3">
        <v>4680115887664</v>
      </c>
      <c r="E110" s="554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738" t="s">
        <v>218</v>
      </c>
      <c r="Q110" s="567"/>
      <c r="R110" s="567"/>
      <c r="S110" s="567"/>
      <c r="T110" s="568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3">
        <v>4680115882775</v>
      </c>
      <c r="E111" s="554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66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3">
        <v>4680115880658</v>
      </c>
      <c r="E112" s="554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66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7"/>
      <c r="R112" s="567"/>
      <c r="S112" s="567"/>
      <c r="T112" s="568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0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2"/>
      <c r="P113" s="557" t="s">
        <v>75</v>
      </c>
      <c r="Q113" s="558"/>
      <c r="R113" s="558"/>
      <c r="S113" s="558"/>
      <c r="T113" s="558"/>
      <c r="U113" s="558"/>
      <c r="V113" s="559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hidden="1" x14ac:dyDescent="0.2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O114" s="562"/>
      <c r="P114" s="557" t="s">
        <v>75</v>
      </c>
      <c r="Q114" s="558"/>
      <c r="R114" s="558"/>
      <c r="S114" s="558"/>
      <c r="T114" s="558"/>
      <c r="U114" s="558"/>
      <c r="V114" s="559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hidden="1" customHeight="1" x14ac:dyDescent="0.25">
      <c r="A115" s="563" t="s">
        <v>77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3">
        <v>4607091385168</v>
      </c>
      <c r="E116" s="554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8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47">
        <v>500</v>
      </c>
      <c r="Y116" s="548">
        <f>IFERROR(IF(X116="",0,CEILING((X116/$H116),1)*$H116),"")</f>
        <v>502.2</v>
      </c>
      <c r="Z116" s="36">
        <f>IFERROR(IF(Y116=0,"",ROUNDUP(Y116/H116,0)*0.01898),"")</f>
        <v>1.17676</v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530.12345679012344</v>
      </c>
      <c r="BN116" s="64">
        <f>IFERROR(Y116*I116/H116,"0")</f>
        <v>532.4559999999999</v>
      </c>
      <c r="BO116" s="64">
        <f>IFERROR(1/J116*(X116/H116),"0")</f>
        <v>0.96450617283950624</v>
      </c>
      <c r="BP116" s="64">
        <f>IFERROR(1/J116*(Y116/H116),"0")</f>
        <v>0.96875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3">
        <v>4607091383256</v>
      </c>
      <c r="E117" s="554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3">
        <v>4607091385748</v>
      </c>
      <c r="E118" s="554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47">
        <v>450</v>
      </c>
      <c r="Y118" s="548">
        <f>IFERROR(IF(X118="",0,CEILING((X118/$H118),1)*$H118),"")</f>
        <v>450.90000000000003</v>
      </c>
      <c r="Z118" s="36">
        <f>IFERROR(IF(Y118=0,"",ROUNDUP(Y118/H118,0)*0.00651),"")</f>
        <v>1.08717</v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492</v>
      </c>
      <c r="BN118" s="64">
        <f>IFERROR(Y118*I118/H118,"0")</f>
        <v>492.98399999999998</v>
      </c>
      <c r="BO118" s="64">
        <f>IFERROR(1/J118*(X118/H118),"0")</f>
        <v>0.91575091575091572</v>
      </c>
      <c r="BP118" s="64">
        <f>IFERROR(1/J118*(Y118/H118),"0")</f>
        <v>0.91758241758241765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3">
        <v>4680115884533</v>
      </c>
      <c r="E119" s="554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85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7"/>
      <c r="R119" s="567"/>
      <c r="S119" s="567"/>
      <c r="T119" s="568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0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2"/>
      <c r="P120" s="557" t="s">
        <v>75</v>
      </c>
      <c r="Q120" s="558"/>
      <c r="R120" s="558"/>
      <c r="S120" s="558"/>
      <c r="T120" s="558"/>
      <c r="U120" s="558"/>
      <c r="V120" s="559"/>
      <c r="W120" s="37" t="s">
        <v>76</v>
      </c>
      <c r="X120" s="549">
        <f>IFERROR(X116/H116,"0")+IFERROR(X117/H117,"0")+IFERROR(X118/H118,"0")+IFERROR(X119/H119,"0")</f>
        <v>228.39506172839506</v>
      </c>
      <c r="Y120" s="549">
        <f>IFERROR(Y116/H116,"0")+IFERROR(Y117/H117,"0")+IFERROR(Y118/H118,"0")+IFERROR(Y119/H119,"0")</f>
        <v>229</v>
      </c>
      <c r="Z120" s="549">
        <f>IFERROR(IF(Z116="",0,Z116),"0")+IFERROR(IF(Z117="",0,Z117),"0")+IFERROR(IF(Z118="",0,Z118),"0")+IFERROR(IF(Z119="",0,Z119),"0")</f>
        <v>2.2639300000000002</v>
      </c>
      <c r="AA120" s="550"/>
      <c r="AB120" s="550"/>
      <c r="AC120" s="550"/>
    </row>
    <row r="121" spans="1:68" x14ac:dyDescent="0.2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2"/>
      <c r="P121" s="557" t="s">
        <v>75</v>
      </c>
      <c r="Q121" s="558"/>
      <c r="R121" s="558"/>
      <c r="S121" s="558"/>
      <c r="T121" s="558"/>
      <c r="U121" s="558"/>
      <c r="V121" s="559"/>
      <c r="W121" s="37" t="s">
        <v>69</v>
      </c>
      <c r="X121" s="549">
        <f>IFERROR(SUM(X116:X119),"0")</f>
        <v>950</v>
      </c>
      <c r="Y121" s="549">
        <f>IFERROR(SUM(Y116:Y119),"0")</f>
        <v>953.1</v>
      </c>
      <c r="Z121" s="37"/>
      <c r="AA121" s="550"/>
      <c r="AB121" s="550"/>
      <c r="AC121" s="550"/>
    </row>
    <row r="122" spans="1:68" ht="14.25" hidden="1" customHeight="1" x14ac:dyDescent="0.25">
      <c r="A122" s="563" t="s">
        <v>167</v>
      </c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43"/>
      <c r="AB122" s="543"/>
      <c r="AC122" s="543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3">
        <v>4680115880238</v>
      </c>
      <c r="E123" s="554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7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7"/>
      <c r="R123" s="567"/>
      <c r="S123" s="567"/>
      <c r="T123" s="568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0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2"/>
      <c r="P124" s="557" t="s">
        <v>75</v>
      </c>
      <c r="Q124" s="558"/>
      <c r="R124" s="558"/>
      <c r="S124" s="558"/>
      <c r="T124" s="558"/>
      <c r="U124" s="558"/>
      <c r="V124" s="559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hidden="1" x14ac:dyDescent="0.2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2"/>
      <c r="P125" s="557" t="s">
        <v>75</v>
      </c>
      <c r="Q125" s="558"/>
      <c r="R125" s="558"/>
      <c r="S125" s="558"/>
      <c r="T125" s="558"/>
      <c r="U125" s="558"/>
      <c r="V125" s="559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hidden="1" customHeight="1" x14ac:dyDescent="0.25">
      <c r="A126" s="589" t="s">
        <v>237</v>
      </c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42"/>
      <c r="AB126" s="542"/>
      <c r="AC126" s="542"/>
    </row>
    <row r="127" spans="1:68" ht="14.25" hidden="1" customHeight="1" x14ac:dyDescent="0.25">
      <c r="A127" s="563" t="s">
        <v>104</v>
      </c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43"/>
      <c r="AB127" s="543"/>
      <c r="AC127" s="543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3">
        <v>4680115882577</v>
      </c>
      <c r="E128" s="554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6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67"/>
      <c r="R128" s="567"/>
      <c r="S128" s="567"/>
      <c r="T128" s="568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3">
        <v>4680115882577</v>
      </c>
      <c r="E129" s="554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8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67"/>
      <c r="R129" s="567"/>
      <c r="S129" s="567"/>
      <c r="T129" s="568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0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2"/>
      <c r="P130" s="557" t="s">
        <v>75</v>
      </c>
      <c r="Q130" s="558"/>
      <c r="R130" s="558"/>
      <c r="S130" s="558"/>
      <c r="T130" s="558"/>
      <c r="U130" s="558"/>
      <c r="V130" s="559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hidden="1" x14ac:dyDescent="0.2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O131" s="562"/>
      <c r="P131" s="557" t="s">
        <v>75</v>
      </c>
      <c r="Q131" s="558"/>
      <c r="R131" s="558"/>
      <c r="S131" s="558"/>
      <c r="T131" s="558"/>
      <c r="U131" s="558"/>
      <c r="V131" s="559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hidden="1" customHeight="1" x14ac:dyDescent="0.25">
      <c r="A132" s="563" t="s">
        <v>64</v>
      </c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43"/>
      <c r="AB132" s="543"/>
      <c r="AC132" s="543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3">
        <v>4680115883444</v>
      </c>
      <c r="E133" s="554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62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3">
        <v>4680115883444</v>
      </c>
      <c r="E134" s="554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64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67"/>
      <c r="R134" s="567"/>
      <c r="S134" s="567"/>
      <c r="T134" s="568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0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2"/>
      <c r="P135" s="557" t="s">
        <v>75</v>
      </c>
      <c r="Q135" s="558"/>
      <c r="R135" s="558"/>
      <c r="S135" s="558"/>
      <c r="T135" s="558"/>
      <c r="U135" s="558"/>
      <c r="V135" s="559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hidden="1" x14ac:dyDescent="0.2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2"/>
      <c r="P136" s="557" t="s">
        <v>75</v>
      </c>
      <c r="Q136" s="558"/>
      <c r="R136" s="558"/>
      <c r="S136" s="558"/>
      <c r="T136" s="558"/>
      <c r="U136" s="558"/>
      <c r="V136" s="559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hidden="1" customHeight="1" x14ac:dyDescent="0.25">
      <c r="A137" s="563" t="s">
        <v>77</v>
      </c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43"/>
      <c r="AB137" s="543"/>
      <c r="AC137" s="543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3">
        <v>4680115882584</v>
      </c>
      <c r="E138" s="554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7"/>
      <c r="R138" s="567"/>
      <c r="S138" s="567"/>
      <c r="T138" s="568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3">
        <v>4680115882584</v>
      </c>
      <c r="E139" s="554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6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7"/>
      <c r="R139" s="567"/>
      <c r="S139" s="567"/>
      <c r="T139" s="568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0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2"/>
      <c r="P140" s="557" t="s">
        <v>75</v>
      </c>
      <c r="Q140" s="558"/>
      <c r="R140" s="558"/>
      <c r="S140" s="558"/>
      <c r="T140" s="558"/>
      <c r="U140" s="558"/>
      <c r="V140" s="559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hidden="1" x14ac:dyDescent="0.2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2"/>
      <c r="P141" s="557" t="s">
        <v>75</v>
      </c>
      <c r="Q141" s="558"/>
      <c r="R141" s="558"/>
      <c r="S141" s="558"/>
      <c r="T141" s="558"/>
      <c r="U141" s="558"/>
      <c r="V141" s="559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hidden="1" customHeight="1" x14ac:dyDescent="0.25">
      <c r="A142" s="589" t="s">
        <v>102</v>
      </c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42"/>
      <c r="AB142" s="542"/>
      <c r="AC142" s="542"/>
    </row>
    <row r="143" spans="1:68" ht="14.25" hidden="1" customHeight="1" x14ac:dyDescent="0.25">
      <c r="A143" s="563" t="s">
        <v>104</v>
      </c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43"/>
      <c r="AB143" s="543"/>
      <c r="AC143" s="543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3">
        <v>4680115887374</v>
      </c>
      <c r="E144" s="554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85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3">
        <v>4607091384604</v>
      </c>
      <c r="E145" s="554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84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7"/>
      <c r="R145" s="567"/>
      <c r="S145" s="567"/>
      <c r="T145" s="568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0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2"/>
      <c r="P146" s="557" t="s">
        <v>75</v>
      </c>
      <c r="Q146" s="558"/>
      <c r="R146" s="558"/>
      <c r="S146" s="558"/>
      <c r="T146" s="558"/>
      <c r="U146" s="558"/>
      <c r="V146" s="559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hidden="1" x14ac:dyDescent="0.2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2"/>
      <c r="P147" s="557" t="s">
        <v>75</v>
      </c>
      <c r="Q147" s="558"/>
      <c r="R147" s="558"/>
      <c r="S147" s="558"/>
      <c r="T147" s="558"/>
      <c r="U147" s="558"/>
      <c r="V147" s="559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hidden="1" customHeight="1" x14ac:dyDescent="0.25">
      <c r="A148" s="563" t="s">
        <v>64</v>
      </c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43"/>
      <c r="AB148" s="543"/>
      <c r="AC148" s="543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3">
        <v>4607091387667</v>
      </c>
      <c r="E149" s="554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60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67"/>
      <c r="R149" s="567"/>
      <c r="S149" s="567"/>
      <c r="T149" s="568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3">
        <v>4607091387636</v>
      </c>
      <c r="E150" s="554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5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3">
        <v>4607091382426</v>
      </c>
      <c r="E151" s="554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7"/>
      <c r="R151" s="567"/>
      <c r="S151" s="567"/>
      <c r="T151" s="568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57" t="s">
        <v>75</v>
      </c>
      <c r="Q152" s="558"/>
      <c r="R152" s="558"/>
      <c r="S152" s="558"/>
      <c r="T152" s="558"/>
      <c r="U152" s="558"/>
      <c r="V152" s="559"/>
      <c r="W152" s="37" t="s">
        <v>76</v>
      </c>
      <c r="X152" s="549">
        <f>IFERROR(X149/H149,"0")+IFERROR(X150/H150,"0")+IFERROR(X151/H151,"0")</f>
        <v>0</v>
      </c>
      <c r="Y152" s="549">
        <f>IFERROR(Y149/H149,"0")+IFERROR(Y150/H150,"0")+IFERROR(Y151/H151,"0")</f>
        <v>0</v>
      </c>
      <c r="Z152" s="549">
        <f>IFERROR(IF(Z149="",0,Z149),"0")+IFERROR(IF(Z150="",0,Z150),"0")+IFERROR(IF(Z151="",0,Z151),"0")</f>
        <v>0</v>
      </c>
      <c r="AA152" s="550"/>
      <c r="AB152" s="550"/>
      <c r="AC152" s="550"/>
    </row>
    <row r="153" spans="1:68" hidden="1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57" t="s">
        <v>75</v>
      </c>
      <c r="Q153" s="558"/>
      <c r="R153" s="558"/>
      <c r="S153" s="558"/>
      <c r="T153" s="558"/>
      <c r="U153" s="558"/>
      <c r="V153" s="559"/>
      <c r="W153" s="37" t="s">
        <v>69</v>
      </c>
      <c r="X153" s="549">
        <f>IFERROR(SUM(X149:X151),"0")</f>
        <v>0</v>
      </c>
      <c r="Y153" s="549">
        <f>IFERROR(SUM(Y149:Y151),"0")</f>
        <v>0</v>
      </c>
      <c r="Z153" s="37"/>
      <c r="AA153" s="550"/>
      <c r="AB153" s="550"/>
      <c r="AC153" s="550"/>
    </row>
    <row r="154" spans="1:68" ht="14.25" hidden="1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3">
        <v>4680115887459</v>
      </c>
      <c r="E155" s="554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8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67"/>
      <c r="R155" s="567"/>
      <c r="S155" s="567"/>
      <c r="T155" s="568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57" t="s">
        <v>75</v>
      </c>
      <c r="Q156" s="558"/>
      <c r="R156" s="558"/>
      <c r="S156" s="558"/>
      <c r="T156" s="558"/>
      <c r="U156" s="558"/>
      <c r="V156" s="559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57" t="s">
        <v>75</v>
      </c>
      <c r="Q157" s="558"/>
      <c r="R157" s="558"/>
      <c r="S157" s="558"/>
      <c r="T157" s="558"/>
      <c r="U157" s="558"/>
      <c r="V157" s="559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652" t="s">
        <v>267</v>
      </c>
      <c r="B158" s="653"/>
      <c r="C158" s="653"/>
      <c r="D158" s="653"/>
      <c r="E158" s="653"/>
      <c r="F158" s="653"/>
      <c r="G158" s="653"/>
      <c r="H158" s="653"/>
      <c r="I158" s="653"/>
      <c r="J158" s="653"/>
      <c r="K158" s="653"/>
      <c r="L158" s="653"/>
      <c r="M158" s="653"/>
      <c r="N158" s="653"/>
      <c r="O158" s="653"/>
      <c r="P158" s="653"/>
      <c r="Q158" s="653"/>
      <c r="R158" s="653"/>
      <c r="S158" s="653"/>
      <c r="T158" s="653"/>
      <c r="U158" s="653"/>
      <c r="V158" s="653"/>
      <c r="W158" s="653"/>
      <c r="X158" s="653"/>
      <c r="Y158" s="653"/>
      <c r="Z158" s="653"/>
      <c r="AA158" s="48"/>
      <c r="AB158" s="48"/>
      <c r="AC158" s="48"/>
    </row>
    <row r="159" spans="1:68" ht="16.5" hidden="1" customHeight="1" x14ac:dyDescent="0.25">
      <c r="A159" s="589" t="s">
        <v>268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hidden="1" customHeight="1" x14ac:dyDescent="0.25">
      <c r="A160" s="563" t="s">
        <v>139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3">
        <v>4680115886223</v>
      </c>
      <c r="E161" s="554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67"/>
      <c r="R161" s="567"/>
      <c r="S161" s="567"/>
      <c r="T161" s="568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57" t="s">
        <v>75</v>
      </c>
      <c r="Q162" s="558"/>
      <c r="R162" s="558"/>
      <c r="S162" s="558"/>
      <c r="T162" s="558"/>
      <c r="U162" s="558"/>
      <c r="V162" s="559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57" t="s">
        <v>75</v>
      </c>
      <c r="Q163" s="558"/>
      <c r="R163" s="558"/>
      <c r="S163" s="558"/>
      <c r="T163" s="558"/>
      <c r="U163" s="558"/>
      <c r="V163" s="559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3">
        <v>4680115887565</v>
      </c>
      <c r="E165" s="554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859" t="s">
        <v>274</v>
      </c>
      <c r="Q165" s="567"/>
      <c r="R165" s="567"/>
      <c r="S165" s="567"/>
      <c r="T165" s="568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3">
        <v>4680115880993</v>
      </c>
      <c r="E166" s="554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81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7"/>
      <c r="R166" s="567"/>
      <c r="S166" s="567"/>
      <c r="T166" s="568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3">
        <v>4680115881761</v>
      </c>
      <c r="E167" s="554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7"/>
      <c r="R167" s="567"/>
      <c r="S167" s="567"/>
      <c r="T167" s="568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3">
        <v>4680115881563</v>
      </c>
      <c r="E168" s="554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82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7"/>
      <c r="R168" s="567"/>
      <c r="S168" s="567"/>
      <c r="T168" s="568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3">
        <v>4680115880986</v>
      </c>
      <c r="E169" s="554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2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67"/>
      <c r="R169" s="567"/>
      <c r="S169" s="567"/>
      <c r="T169" s="568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3">
        <v>4680115887213</v>
      </c>
      <c r="E170" s="554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8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67"/>
      <c r="R170" s="567"/>
      <c r="S170" s="567"/>
      <c r="T170" s="568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3">
        <v>4680115881785</v>
      </c>
      <c r="E171" s="554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3">
        <v>4680115886537</v>
      </c>
      <c r="E172" s="554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87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3">
        <v>4680115887596</v>
      </c>
      <c r="E173" s="554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775" t="s">
        <v>299</v>
      </c>
      <c r="Q173" s="567"/>
      <c r="R173" s="567"/>
      <c r="S173" s="567"/>
      <c r="T173" s="568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3">
        <v>4680115881679</v>
      </c>
      <c r="E174" s="554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60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67"/>
      <c r="R174" s="567"/>
      <c r="S174" s="567"/>
      <c r="T174" s="568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3">
        <v>4680115880191</v>
      </c>
      <c r="E175" s="554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67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3">
        <v>4680115883963</v>
      </c>
      <c r="E176" s="554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60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2"/>
      <c r="P177" s="557" t="s">
        <v>75</v>
      </c>
      <c r="Q177" s="558"/>
      <c r="R177" s="558"/>
      <c r="S177" s="558"/>
      <c r="T177" s="558"/>
      <c r="U177" s="558"/>
      <c r="V177" s="559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hidden="1" x14ac:dyDescent="0.2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2"/>
      <c r="P178" s="557" t="s">
        <v>75</v>
      </c>
      <c r="Q178" s="558"/>
      <c r="R178" s="558"/>
      <c r="S178" s="558"/>
      <c r="T178" s="558"/>
      <c r="U178" s="558"/>
      <c r="V178" s="559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hidden="1" customHeight="1" x14ac:dyDescent="0.25">
      <c r="A179" s="563" t="s">
        <v>96</v>
      </c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43"/>
      <c r="AB179" s="543"/>
      <c r="AC179" s="543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3">
        <v>4680115886780</v>
      </c>
      <c r="E180" s="554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7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3">
        <v>4680115886742</v>
      </c>
      <c r="E181" s="554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6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67"/>
      <c r="R181" s="567"/>
      <c r="S181" s="567"/>
      <c r="T181" s="568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3">
        <v>4680115886766</v>
      </c>
      <c r="E182" s="554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83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67"/>
      <c r="R182" s="567"/>
      <c r="S182" s="567"/>
      <c r="T182" s="568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0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2"/>
      <c r="P183" s="557" t="s">
        <v>75</v>
      </c>
      <c r="Q183" s="558"/>
      <c r="R183" s="558"/>
      <c r="S183" s="558"/>
      <c r="T183" s="558"/>
      <c r="U183" s="558"/>
      <c r="V183" s="559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hidden="1" x14ac:dyDescent="0.2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2"/>
      <c r="P184" s="557" t="s">
        <v>75</v>
      </c>
      <c r="Q184" s="558"/>
      <c r="R184" s="558"/>
      <c r="S184" s="558"/>
      <c r="T184" s="558"/>
      <c r="U184" s="558"/>
      <c r="V184" s="559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hidden="1" customHeight="1" x14ac:dyDescent="0.25">
      <c r="A185" s="563" t="s">
        <v>318</v>
      </c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43"/>
      <c r="AB185" s="543"/>
      <c r="AC185" s="543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3">
        <v>4680115886797</v>
      </c>
      <c r="E186" s="554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61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0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2"/>
      <c r="P187" s="557" t="s">
        <v>75</v>
      </c>
      <c r="Q187" s="558"/>
      <c r="R187" s="558"/>
      <c r="S187" s="558"/>
      <c r="T187" s="558"/>
      <c r="U187" s="558"/>
      <c r="V187" s="559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hidden="1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2"/>
      <c r="P188" s="557" t="s">
        <v>75</v>
      </c>
      <c r="Q188" s="558"/>
      <c r="R188" s="558"/>
      <c r="S188" s="558"/>
      <c r="T188" s="558"/>
      <c r="U188" s="558"/>
      <c r="V188" s="559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hidden="1" customHeight="1" x14ac:dyDescent="0.25">
      <c r="A189" s="589" t="s">
        <v>321</v>
      </c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42"/>
      <c r="AB189" s="542"/>
      <c r="AC189" s="542"/>
    </row>
    <row r="190" spans="1:68" ht="14.25" hidden="1" customHeight="1" x14ac:dyDescent="0.25">
      <c r="A190" s="563" t="s">
        <v>104</v>
      </c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43"/>
      <c r="AB190" s="543"/>
      <c r="AC190" s="543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3">
        <v>4680115881402</v>
      </c>
      <c r="E191" s="554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6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67"/>
      <c r="R191" s="567"/>
      <c r="S191" s="567"/>
      <c r="T191" s="568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3">
        <v>4680115881396</v>
      </c>
      <c r="E192" s="554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81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67"/>
      <c r="R192" s="567"/>
      <c r="S192" s="567"/>
      <c r="T192" s="568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0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2"/>
      <c r="P193" s="557" t="s">
        <v>75</v>
      </c>
      <c r="Q193" s="558"/>
      <c r="R193" s="558"/>
      <c r="S193" s="558"/>
      <c r="T193" s="558"/>
      <c r="U193" s="558"/>
      <c r="V193" s="559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hidden="1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2"/>
      <c r="P194" s="557" t="s">
        <v>75</v>
      </c>
      <c r="Q194" s="558"/>
      <c r="R194" s="558"/>
      <c r="S194" s="558"/>
      <c r="T194" s="558"/>
      <c r="U194" s="558"/>
      <c r="V194" s="559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hidden="1" customHeight="1" x14ac:dyDescent="0.25">
      <c r="A195" s="563" t="s">
        <v>139</v>
      </c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43"/>
      <c r="AB195" s="543"/>
      <c r="AC195" s="543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3">
        <v>4680115882935</v>
      </c>
      <c r="E196" s="554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60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67"/>
      <c r="R196" s="567"/>
      <c r="S196" s="567"/>
      <c r="T196" s="568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3">
        <v>4680115880764</v>
      </c>
      <c r="E197" s="554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7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67"/>
      <c r="R197" s="567"/>
      <c r="S197" s="567"/>
      <c r="T197" s="568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0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2"/>
      <c r="P198" s="557" t="s">
        <v>75</v>
      </c>
      <c r="Q198" s="558"/>
      <c r="R198" s="558"/>
      <c r="S198" s="558"/>
      <c r="T198" s="558"/>
      <c r="U198" s="558"/>
      <c r="V198" s="559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hidden="1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2"/>
      <c r="P199" s="557" t="s">
        <v>75</v>
      </c>
      <c r="Q199" s="558"/>
      <c r="R199" s="558"/>
      <c r="S199" s="558"/>
      <c r="T199" s="558"/>
      <c r="U199" s="558"/>
      <c r="V199" s="559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hidden="1" customHeight="1" x14ac:dyDescent="0.25">
      <c r="A200" s="563" t="s">
        <v>64</v>
      </c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43"/>
      <c r="AB200" s="543"/>
      <c r="AC200" s="543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3">
        <v>4680115882683</v>
      </c>
      <c r="E201" s="554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6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67"/>
      <c r="R201" s="567"/>
      <c r="S201" s="567"/>
      <c r="T201" s="568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3">
        <v>4680115882690</v>
      </c>
      <c r="E202" s="554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5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67"/>
      <c r="R202" s="567"/>
      <c r="S202" s="567"/>
      <c r="T202" s="568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3">
        <v>4680115882669</v>
      </c>
      <c r="E203" s="554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67"/>
      <c r="R203" s="567"/>
      <c r="S203" s="567"/>
      <c r="T203" s="568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3">
        <v>4680115882676</v>
      </c>
      <c r="E204" s="554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67"/>
      <c r="R204" s="567"/>
      <c r="S204" s="567"/>
      <c r="T204" s="568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3">
        <v>4680115884014</v>
      </c>
      <c r="E205" s="554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79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3">
        <v>4680115884007</v>
      </c>
      <c r="E206" s="554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2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3">
        <v>4680115884038</v>
      </c>
      <c r="E207" s="554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3">
        <v>4680115884021</v>
      </c>
      <c r="E208" s="554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60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2"/>
      <c r="P209" s="557" t="s">
        <v>75</v>
      </c>
      <c r="Q209" s="558"/>
      <c r="R209" s="558"/>
      <c r="S209" s="558"/>
      <c r="T209" s="558"/>
      <c r="U209" s="558"/>
      <c r="V209" s="559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0</v>
      </c>
      <c r="Y209" s="549">
        <f>IFERROR(Y201/H201,"0")+IFERROR(Y202/H202,"0")+IFERROR(Y203/H203,"0")+IFERROR(Y204/H204,"0")+IFERROR(Y205/H205,"0")+IFERROR(Y206/H206,"0")+IFERROR(Y207/H207,"0")+IFERROR(Y208/H208,"0")</f>
        <v>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50"/>
      <c r="AB209" s="550"/>
      <c r="AC209" s="550"/>
    </row>
    <row r="210" spans="1:68" hidden="1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2"/>
      <c r="P210" s="557" t="s">
        <v>75</v>
      </c>
      <c r="Q210" s="558"/>
      <c r="R210" s="558"/>
      <c r="S210" s="558"/>
      <c r="T210" s="558"/>
      <c r="U210" s="558"/>
      <c r="V210" s="559"/>
      <c r="W210" s="37" t="s">
        <v>69</v>
      </c>
      <c r="X210" s="549">
        <f>IFERROR(SUM(X201:X208),"0")</f>
        <v>0</v>
      </c>
      <c r="Y210" s="549">
        <f>IFERROR(SUM(Y201:Y208),"0")</f>
        <v>0</v>
      </c>
      <c r="Z210" s="37"/>
      <c r="AA210" s="550"/>
      <c r="AB210" s="550"/>
      <c r="AC210" s="550"/>
    </row>
    <row r="211" spans="1:68" ht="14.25" hidden="1" customHeight="1" x14ac:dyDescent="0.25">
      <c r="A211" s="563" t="s">
        <v>77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43"/>
      <c r="AB211" s="543"/>
      <c r="AC211" s="543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3">
        <v>4680115881594</v>
      </c>
      <c r="E212" s="554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3">
        <v>4680115881617</v>
      </c>
      <c r="E213" s="554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8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67"/>
      <c r="R213" s="567"/>
      <c r="S213" s="567"/>
      <c r="T213" s="568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3">
        <v>4680115880573</v>
      </c>
      <c r="E214" s="554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71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67"/>
      <c r="R214" s="567"/>
      <c r="S214" s="567"/>
      <c r="T214" s="568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3">
        <v>4680115882195</v>
      </c>
      <c r="E215" s="554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85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67"/>
      <c r="R215" s="567"/>
      <c r="S215" s="567"/>
      <c r="T215" s="568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3">
        <v>4680115882607</v>
      </c>
      <c r="E216" s="554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3">
        <v>4680115880092</v>
      </c>
      <c r="E217" s="554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67"/>
      <c r="R217" s="567"/>
      <c r="S217" s="567"/>
      <c r="T217" s="568"/>
      <c r="U217" s="34"/>
      <c r="V217" s="34"/>
      <c r="W217" s="35" t="s">
        <v>69</v>
      </c>
      <c r="X217" s="547">
        <v>200</v>
      </c>
      <c r="Y217" s="548">
        <f t="shared" si="15"/>
        <v>201.6</v>
      </c>
      <c r="Z217" s="36">
        <f t="shared" si="20"/>
        <v>0.54683999999999999</v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221</v>
      </c>
      <c r="BN217" s="64">
        <f t="shared" si="17"/>
        <v>222.768</v>
      </c>
      <c r="BO217" s="64">
        <f t="shared" si="18"/>
        <v>0.45787545787545797</v>
      </c>
      <c r="BP217" s="64">
        <f t="shared" si="19"/>
        <v>0.46153846153846156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3">
        <v>4680115880221</v>
      </c>
      <c r="E218" s="554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5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47">
        <v>200</v>
      </c>
      <c r="Y218" s="548">
        <f t="shared" si="15"/>
        <v>201.6</v>
      </c>
      <c r="Z218" s="36">
        <f t="shared" si="20"/>
        <v>0.54683999999999999</v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221</v>
      </c>
      <c r="BN218" s="64">
        <f t="shared" si="17"/>
        <v>222.768</v>
      </c>
      <c r="BO218" s="64">
        <f t="shared" si="18"/>
        <v>0.45787545787545797</v>
      </c>
      <c r="BP218" s="64">
        <f t="shared" si="19"/>
        <v>0.46153846153846156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3">
        <v>4680115880504</v>
      </c>
      <c r="E219" s="554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7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67"/>
      <c r="R219" s="567"/>
      <c r="S219" s="567"/>
      <c r="T219" s="568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3">
        <v>4680115882164</v>
      </c>
      <c r="E220" s="554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0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2"/>
      <c r="P221" s="557" t="s">
        <v>75</v>
      </c>
      <c r="Q221" s="558"/>
      <c r="R221" s="558"/>
      <c r="S221" s="558"/>
      <c r="T221" s="558"/>
      <c r="U221" s="558"/>
      <c r="V221" s="559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166.66666666666669</v>
      </c>
      <c r="Y221" s="549">
        <f>IFERROR(Y212/H212,"0")+IFERROR(Y213/H213,"0")+IFERROR(Y214/H214,"0")+IFERROR(Y215/H215,"0")+IFERROR(Y216/H216,"0")+IFERROR(Y217/H217,"0")+IFERROR(Y218/H218,"0")+IFERROR(Y219/H219,"0")+IFERROR(Y220/H220,"0")</f>
        <v>168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1.09368</v>
      </c>
      <c r="AA221" s="550"/>
      <c r="AB221" s="550"/>
      <c r="AC221" s="550"/>
    </row>
    <row r="222" spans="1:68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2"/>
      <c r="P222" s="557" t="s">
        <v>75</v>
      </c>
      <c r="Q222" s="558"/>
      <c r="R222" s="558"/>
      <c r="S222" s="558"/>
      <c r="T222" s="558"/>
      <c r="U222" s="558"/>
      <c r="V222" s="559"/>
      <c r="W222" s="37" t="s">
        <v>69</v>
      </c>
      <c r="X222" s="549">
        <f>IFERROR(SUM(X212:X220),"0")</f>
        <v>400</v>
      </c>
      <c r="Y222" s="549">
        <f>IFERROR(SUM(Y212:Y220),"0")</f>
        <v>403.2</v>
      </c>
      <c r="Z222" s="37"/>
      <c r="AA222" s="550"/>
      <c r="AB222" s="550"/>
      <c r="AC222" s="550"/>
    </row>
    <row r="223" spans="1:68" ht="14.25" hidden="1" customHeight="1" x14ac:dyDescent="0.25">
      <c r="A223" s="563" t="s">
        <v>167</v>
      </c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43"/>
      <c r="AB223" s="543"/>
      <c r="AC223" s="543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3">
        <v>4680115880818</v>
      </c>
      <c r="E224" s="554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3">
        <v>4680115880801</v>
      </c>
      <c r="E225" s="554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6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67"/>
      <c r="R225" s="567"/>
      <c r="S225" s="567"/>
      <c r="T225" s="568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60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2"/>
      <c r="P226" s="557" t="s">
        <v>75</v>
      </c>
      <c r="Q226" s="558"/>
      <c r="R226" s="558"/>
      <c r="S226" s="558"/>
      <c r="T226" s="558"/>
      <c r="U226" s="558"/>
      <c r="V226" s="559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hidden="1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2"/>
      <c r="P227" s="557" t="s">
        <v>75</v>
      </c>
      <c r="Q227" s="558"/>
      <c r="R227" s="558"/>
      <c r="S227" s="558"/>
      <c r="T227" s="558"/>
      <c r="U227" s="558"/>
      <c r="V227" s="559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hidden="1" customHeight="1" x14ac:dyDescent="0.25">
      <c r="A228" s="589" t="s">
        <v>380</v>
      </c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42"/>
      <c r="AB228" s="542"/>
      <c r="AC228" s="542"/>
    </row>
    <row r="229" spans="1:68" ht="14.25" hidden="1" customHeight="1" x14ac:dyDescent="0.25">
      <c r="A229" s="563" t="s">
        <v>104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43"/>
      <c r="AB229" s="543"/>
      <c r="AC229" s="543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3">
        <v>4680115884137</v>
      </c>
      <c r="E230" s="554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82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67"/>
      <c r="R230" s="567"/>
      <c r="S230" s="567"/>
      <c r="T230" s="568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3">
        <v>4680115884236</v>
      </c>
      <c r="E231" s="554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6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67"/>
      <c r="R231" s="567"/>
      <c r="S231" s="567"/>
      <c r="T231" s="568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3">
        <v>4680115884175</v>
      </c>
      <c r="E232" s="554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67"/>
      <c r="R232" s="567"/>
      <c r="S232" s="567"/>
      <c r="T232" s="568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3">
        <v>4680115884144</v>
      </c>
      <c r="E233" s="554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67"/>
      <c r="R233" s="567"/>
      <c r="S233" s="567"/>
      <c r="T233" s="568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3">
        <v>4680115884144</v>
      </c>
      <c r="E234" s="554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3">
        <v>4680115886551</v>
      </c>
      <c r="E235" s="554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3">
        <v>4680115887282</v>
      </c>
      <c r="E236" s="554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8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3">
        <v>4680115884205</v>
      </c>
      <c r="E237" s="554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8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3">
        <v>4680115884205</v>
      </c>
      <c r="E238" s="554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4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0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2"/>
      <c r="P239" s="557" t="s">
        <v>75</v>
      </c>
      <c r="Q239" s="558"/>
      <c r="R239" s="558"/>
      <c r="S239" s="558"/>
      <c r="T239" s="558"/>
      <c r="U239" s="558"/>
      <c r="V239" s="559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hidden="1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2"/>
      <c r="P240" s="557" t="s">
        <v>75</v>
      </c>
      <c r="Q240" s="558"/>
      <c r="R240" s="558"/>
      <c r="S240" s="558"/>
      <c r="T240" s="558"/>
      <c r="U240" s="558"/>
      <c r="V240" s="559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hidden="1" customHeight="1" x14ac:dyDescent="0.25">
      <c r="A241" s="563" t="s">
        <v>139</v>
      </c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43"/>
      <c r="AB241" s="543"/>
      <c r="AC241" s="543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3">
        <v>4680115885981</v>
      </c>
      <c r="E242" s="554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8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0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2"/>
      <c r="P243" s="557" t="s">
        <v>75</v>
      </c>
      <c r="Q243" s="558"/>
      <c r="R243" s="558"/>
      <c r="S243" s="558"/>
      <c r="T243" s="558"/>
      <c r="U243" s="558"/>
      <c r="V243" s="559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hidden="1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2"/>
      <c r="P244" s="557" t="s">
        <v>75</v>
      </c>
      <c r="Q244" s="558"/>
      <c r="R244" s="558"/>
      <c r="S244" s="558"/>
      <c r="T244" s="558"/>
      <c r="U244" s="558"/>
      <c r="V244" s="559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hidden="1" customHeight="1" x14ac:dyDescent="0.25">
      <c r="A245" s="563" t="s">
        <v>404</v>
      </c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43"/>
      <c r="AB245" s="543"/>
      <c r="AC245" s="543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3">
        <v>4680115886803</v>
      </c>
      <c r="E246" s="554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0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2"/>
      <c r="P247" s="557" t="s">
        <v>75</v>
      </c>
      <c r="Q247" s="558"/>
      <c r="R247" s="558"/>
      <c r="S247" s="558"/>
      <c r="T247" s="558"/>
      <c r="U247" s="558"/>
      <c r="V247" s="559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hidden="1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2"/>
      <c r="P248" s="557" t="s">
        <v>75</v>
      </c>
      <c r="Q248" s="558"/>
      <c r="R248" s="558"/>
      <c r="S248" s="558"/>
      <c r="T248" s="558"/>
      <c r="U248" s="558"/>
      <c r="V248" s="559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hidden="1" customHeight="1" x14ac:dyDescent="0.25">
      <c r="A249" s="563" t="s">
        <v>408</v>
      </c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43"/>
      <c r="AB249" s="543"/>
      <c r="AC249" s="543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3">
        <v>4680115886704</v>
      </c>
      <c r="E250" s="554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80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3">
        <v>4680115886681</v>
      </c>
      <c r="E251" s="554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6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67"/>
      <c r="R251" s="567"/>
      <c r="S251" s="567"/>
      <c r="T251" s="568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3">
        <v>4680115886735</v>
      </c>
      <c r="E252" s="554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8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67"/>
      <c r="R252" s="567"/>
      <c r="S252" s="567"/>
      <c r="T252" s="568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3">
        <v>4680115886728</v>
      </c>
      <c r="E253" s="554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61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67"/>
      <c r="R253" s="567"/>
      <c r="S253" s="567"/>
      <c r="T253" s="568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3">
        <v>4680115886711</v>
      </c>
      <c r="E254" s="554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69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0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2"/>
      <c r="P255" s="557" t="s">
        <v>75</v>
      </c>
      <c r="Q255" s="558"/>
      <c r="R255" s="558"/>
      <c r="S255" s="558"/>
      <c r="T255" s="558"/>
      <c r="U255" s="558"/>
      <c r="V255" s="559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hidden="1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2"/>
      <c r="P256" s="557" t="s">
        <v>75</v>
      </c>
      <c r="Q256" s="558"/>
      <c r="R256" s="558"/>
      <c r="S256" s="558"/>
      <c r="T256" s="558"/>
      <c r="U256" s="558"/>
      <c r="V256" s="559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hidden="1" customHeight="1" x14ac:dyDescent="0.25">
      <c r="A257" s="589" t="s">
        <v>420</v>
      </c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42"/>
      <c r="AB257" s="542"/>
      <c r="AC257" s="542"/>
    </row>
    <row r="258" spans="1:68" ht="14.25" hidden="1" customHeight="1" x14ac:dyDescent="0.25">
      <c r="A258" s="563" t="s">
        <v>104</v>
      </c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43"/>
      <c r="AB258" s="543"/>
      <c r="AC258" s="543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3">
        <v>4680115885837</v>
      </c>
      <c r="E259" s="554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82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67"/>
      <c r="R259" s="567"/>
      <c r="S259" s="567"/>
      <c r="T259" s="568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3">
        <v>4680115885851</v>
      </c>
      <c r="E260" s="554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67"/>
      <c r="R260" s="567"/>
      <c r="S260" s="567"/>
      <c r="T260" s="568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3">
        <v>4680115885806</v>
      </c>
      <c r="E261" s="554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0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67"/>
      <c r="R261" s="567"/>
      <c r="S261" s="567"/>
      <c r="T261" s="568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3">
        <v>4680115885844</v>
      </c>
      <c r="E262" s="554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59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67"/>
      <c r="R262" s="567"/>
      <c r="S262" s="567"/>
      <c r="T262" s="568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3">
        <v>4680115885820</v>
      </c>
      <c r="E263" s="554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6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0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2"/>
      <c r="P264" s="557" t="s">
        <v>75</v>
      </c>
      <c r="Q264" s="558"/>
      <c r="R264" s="558"/>
      <c r="S264" s="558"/>
      <c r="T264" s="558"/>
      <c r="U264" s="558"/>
      <c r="V264" s="559"/>
      <c r="W264" s="37" t="s">
        <v>76</v>
      </c>
      <c r="X264" s="549">
        <f>IFERROR(X259/H259,"0")+IFERROR(X260/H260,"0")+IFERROR(X261/H261,"0")+IFERROR(X262/H262,"0")+IFERROR(X263/H263,"0")</f>
        <v>0</v>
      </c>
      <c r="Y264" s="549">
        <f>IFERROR(Y259/H259,"0")+IFERROR(Y260/H260,"0")+IFERROR(Y261/H261,"0")+IFERROR(Y262/H262,"0")+IFERROR(Y263/H263,"0")</f>
        <v>0</v>
      </c>
      <c r="Z264" s="549">
        <f>IFERROR(IF(Z259="",0,Z259),"0")+IFERROR(IF(Z260="",0,Z260),"0")+IFERROR(IF(Z261="",0,Z261),"0")+IFERROR(IF(Z262="",0,Z262),"0")+IFERROR(IF(Z263="",0,Z263),"0")</f>
        <v>0</v>
      </c>
      <c r="AA264" s="550"/>
      <c r="AB264" s="550"/>
      <c r="AC264" s="550"/>
    </row>
    <row r="265" spans="1:68" hidden="1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2"/>
      <c r="P265" s="557" t="s">
        <v>75</v>
      </c>
      <c r="Q265" s="558"/>
      <c r="R265" s="558"/>
      <c r="S265" s="558"/>
      <c r="T265" s="558"/>
      <c r="U265" s="558"/>
      <c r="V265" s="559"/>
      <c r="W265" s="37" t="s">
        <v>69</v>
      </c>
      <c r="X265" s="549">
        <f>IFERROR(SUM(X259:X263),"0")</f>
        <v>0</v>
      </c>
      <c r="Y265" s="549">
        <f>IFERROR(SUM(Y259:Y263),"0")</f>
        <v>0</v>
      </c>
      <c r="Z265" s="37"/>
      <c r="AA265" s="550"/>
      <c r="AB265" s="550"/>
      <c r="AC265" s="550"/>
    </row>
    <row r="266" spans="1:68" ht="16.5" hidden="1" customHeight="1" x14ac:dyDescent="0.25">
      <c r="A266" s="589" t="s">
        <v>436</v>
      </c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42"/>
      <c r="AB266" s="542"/>
      <c r="AC266" s="542"/>
    </row>
    <row r="267" spans="1:68" ht="14.25" hidden="1" customHeight="1" x14ac:dyDescent="0.25">
      <c r="A267" s="563" t="s">
        <v>104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43"/>
      <c r="AB267" s="543"/>
      <c r="AC267" s="543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3">
        <v>4607091383423</v>
      </c>
      <c r="E268" s="554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82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67"/>
      <c r="R268" s="567"/>
      <c r="S268" s="567"/>
      <c r="T268" s="568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3">
        <v>4680115886957</v>
      </c>
      <c r="E269" s="554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67"/>
      <c r="R269" s="567"/>
      <c r="S269" s="567"/>
      <c r="T269" s="568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3">
        <v>4680115885660</v>
      </c>
      <c r="E270" s="554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7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67"/>
      <c r="R270" s="567"/>
      <c r="S270" s="567"/>
      <c r="T270" s="568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3">
        <v>4680115886773</v>
      </c>
      <c r="E271" s="554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77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67"/>
      <c r="R271" s="567"/>
      <c r="S271" s="567"/>
      <c r="T271" s="568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0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2"/>
      <c r="P272" s="557" t="s">
        <v>75</v>
      </c>
      <c r="Q272" s="558"/>
      <c r="R272" s="558"/>
      <c r="S272" s="558"/>
      <c r="T272" s="558"/>
      <c r="U272" s="558"/>
      <c r="V272" s="559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hidden="1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2"/>
      <c r="P273" s="557" t="s">
        <v>75</v>
      </c>
      <c r="Q273" s="558"/>
      <c r="R273" s="558"/>
      <c r="S273" s="558"/>
      <c r="T273" s="558"/>
      <c r="U273" s="558"/>
      <c r="V273" s="559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hidden="1" customHeight="1" x14ac:dyDescent="0.25">
      <c r="A274" s="589" t="s">
        <v>447</v>
      </c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42"/>
      <c r="AB274" s="542"/>
      <c r="AC274" s="542"/>
    </row>
    <row r="275" spans="1:68" ht="14.25" hidden="1" customHeight="1" x14ac:dyDescent="0.25">
      <c r="A275" s="563" t="s">
        <v>77</v>
      </c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43"/>
      <c r="AB275" s="543"/>
      <c r="AC275" s="543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3">
        <v>4680115886186</v>
      </c>
      <c r="E276" s="554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6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67"/>
      <c r="R276" s="567"/>
      <c r="S276" s="567"/>
      <c r="T276" s="568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3">
        <v>4680115881228</v>
      </c>
      <c r="E277" s="554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67"/>
      <c r="R277" s="567"/>
      <c r="S277" s="567"/>
      <c r="T277" s="568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3">
        <v>4680115881211</v>
      </c>
      <c r="E278" s="554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6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67"/>
      <c r="R278" s="567"/>
      <c r="S278" s="567"/>
      <c r="T278" s="568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0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2"/>
      <c r="P279" s="557" t="s">
        <v>75</v>
      </c>
      <c r="Q279" s="558"/>
      <c r="R279" s="558"/>
      <c r="S279" s="558"/>
      <c r="T279" s="558"/>
      <c r="U279" s="558"/>
      <c r="V279" s="559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hidden="1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2"/>
      <c r="P280" s="557" t="s">
        <v>75</v>
      </c>
      <c r="Q280" s="558"/>
      <c r="R280" s="558"/>
      <c r="S280" s="558"/>
      <c r="T280" s="558"/>
      <c r="U280" s="558"/>
      <c r="V280" s="559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hidden="1" customHeight="1" x14ac:dyDescent="0.25">
      <c r="A281" s="589" t="s">
        <v>456</v>
      </c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42"/>
      <c r="AB281" s="542"/>
      <c r="AC281" s="542"/>
    </row>
    <row r="282" spans="1:68" ht="14.25" hidden="1" customHeight="1" x14ac:dyDescent="0.25">
      <c r="A282" s="563" t="s">
        <v>64</v>
      </c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43"/>
      <c r="AB282" s="543"/>
      <c r="AC282" s="543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3">
        <v>4680115880344</v>
      </c>
      <c r="E283" s="554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1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67"/>
      <c r="R283" s="567"/>
      <c r="S283" s="567"/>
      <c r="T283" s="568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3">
        <v>4680115886919</v>
      </c>
      <c r="E284" s="554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80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67"/>
      <c r="R284" s="567"/>
      <c r="S284" s="567"/>
      <c r="T284" s="568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0"/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2"/>
      <c r="P285" s="557" t="s">
        <v>75</v>
      </c>
      <c r="Q285" s="558"/>
      <c r="R285" s="558"/>
      <c r="S285" s="558"/>
      <c r="T285" s="558"/>
      <c r="U285" s="558"/>
      <c r="V285" s="559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hidden="1" x14ac:dyDescent="0.2">
      <c r="A286" s="561"/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2"/>
      <c r="P286" s="557" t="s">
        <v>75</v>
      </c>
      <c r="Q286" s="558"/>
      <c r="R286" s="558"/>
      <c r="S286" s="558"/>
      <c r="T286" s="558"/>
      <c r="U286" s="558"/>
      <c r="V286" s="559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hidden="1" customHeight="1" x14ac:dyDescent="0.25">
      <c r="A287" s="563" t="s">
        <v>77</v>
      </c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43"/>
      <c r="AB287" s="543"/>
      <c r="AC287" s="543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3">
        <v>4680115884618</v>
      </c>
      <c r="E288" s="554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6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3">
        <v>4680115887114</v>
      </c>
      <c r="E289" s="554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67"/>
      <c r="R289" s="567"/>
      <c r="S289" s="567"/>
      <c r="T289" s="568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0"/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2"/>
      <c r="P290" s="557" t="s">
        <v>75</v>
      </c>
      <c r="Q290" s="558"/>
      <c r="R290" s="558"/>
      <c r="S290" s="558"/>
      <c r="T290" s="558"/>
      <c r="U290" s="558"/>
      <c r="V290" s="559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hidden="1" x14ac:dyDescent="0.2">
      <c r="A291" s="561"/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2"/>
      <c r="P291" s="557" t="s">
        <v>75</v>
      </c>
      <c r="Q291" s="558"/>
      <c r="R291" s="558"/>
      <c r="S291" s="558"/>
      <c r="T291" s="558"/>
      <c r="U291" s="558"/>
      <c r="V291" s="559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hidden="1" customHeight="1" x14ac:dyDescent="0.25">
      <c r="A292" s="589" t="s">
        <v>469</v>
      </c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42"/>
      <c r="AB292" s="542"/>
      <c r="AC292" s="542"/>
    </row>
    <row r="293" spans="1:68" ht="14.25" hidden="1" customHeight="1" x14ac:dyDescent="0.25">
      <c r="A293" s="563" t="s">
        <v>104</v>
      </c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43"/>
      <c r="AB293" s="543"/>
      <c r="AC293" s="543"/>
    </row>
    <row r="294" spans="1:68" ht="27" hidden="1" customHeight="1" x14ac:dyDescent="0.25">
      <c r="A294" s="54" t="s">
        <v>470</v>
      </c>
      <c r="B294" s="54" t="s">
        <v>471</v>
      </c>
      <c r="C294" s="31">
        <v>4301012126</v>
      </c>
      <c r="D294" s="553">
        <v>4607091386004</v>
      </c>
      <c r="E294" s="554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65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67"/>
      <c r="R294" s="567"/>
      <c r="S294" s="567"/>
      <c r="T294" s="568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hidden="1" customHeight="1" x14ac:dyDescent="0.25">
      <c r="A295" s="54" t="s">
        <v>473</v>
      </c>
      <c r="B295" s="54" t="s">
        <v>474</v>
      </c>
      <c r="C295" s="31">
        <v>4301012024</v>
      </c>
      <c r="D295" s="553">
        <v>4680115885615</v>
      </c>
      <c r="E295" s="554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66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67"/>
      <c r="R295" s="567"/>
      <c r="S295" s="567"/>
      <c r="T295" s="568"/>
      <c r="U295" s="34"/>
      <c r="V295" s="34"/>
      <c r="W295" s="35" t="s">
        <v>69</v>
      </c>
      <c r="X295" s="547">
        <v>0</v>
      </c>
      <c r="Y295" s="548">
        <f t="shared" si="26"/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t="37.5" hidden="1" customHeight="1" x14ac:dyDescent="0.25">
      <c r="A296" s="54" t="s">
        <v>476</v>
      </c>
      <c r="B296" s="54" t="s">
        <v>477</v>
      </c>
      <c r="C296" s="31">
        <v>4301011858</v>
      </c>
      <c r="D296" s="553">
        <v>4680115885646</v>
      </c>
      <c r="E296" s="554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4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67"/>
      <c r="R296" s="567"/>
      <c r="S296" s="567"/>
      <c r="T296" s="568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4301012016</v>
      </c>
      <c r="D297" s="553">
        <v>4680115885554</v>
      </c>
      <c r="E297" s="554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5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67"/>
      <c r="R297" s="567"/>
      <c r="S297" s="567"/>
      <c r="T297" s="568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482</v>
      </c>
      <c r="B298" s="54" t="s">
        <v>483</v>
      </c>
      <c r="C298" s="31">
        <v>4301011857</v>
      </c>
      <c r="D298" s="553">
        <v>4680115885622</v>
      </c>
      <c r="E298" s="554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6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484</v>
      </c>
      <c r="B299" s="54" t="s">
        <v>485</v>
      </c>
      <c r="C299" s="31">
        <v>4301011859</v>
      </c>
      <c r="D299" s="553">
        <v>4680115885608</v>
      </c>
      <c r="E299" s="554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idden="1" x14ac:dyDescent="0.2">
      <c r="A300" s="560"/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2"/>
      <c r="P300" s="557" t="s">
        <v>75</v>
      </c>
      <c r="Q300" s="558"/>
      <c r="R300" s="558"/>
      <c r="S300" s="558"/>
      <c r="T300" s="558"/>
      <c r="U300" s="558"/>
      <c r="V300" s="559"/>
      <c r="W300" s="37" t="s">
        <v>76</v>
      </c>
      <c r="X300" s="549">
        <f>IFERROR(X294/H294,"0")+IFERROR(X295/H295,"0")+IFERROR(X296/H296,"0")+IFERROR(X297/H297,"0")+IFERROR(X298/H298,"0")+IFERROR(X299/H299,"0")</f>
        <v>0</v>
      </c>
      <c r="Y300" s="549">
        <f>IFERROR(Y294/H294,"0")+IFERROR(Y295/H295,"0")+IFERROR(Y296/H296,"0")+IFERROR(Y297/H297,"0")+IFERROR(Y298/H298,"0")+IFERROR(Y299/H299,"0")</f>
        <v>0</v>
      </c>
      <c r="Z300" s="549">
        <f>IFERROR(IF(Z294="",0,Z294),"0")+IFERROR(IF(Z295="",0,Z295),"0")+IFERROR(IF(Z296="",0,Z296),"0")+IFERROR(IF(Z297="",0,Z297),"0")+IFERROR(IF(Z298="",0,Z298),"0")+IFERROR(IF(Z299="",0,Z299),"0")</f>
        <v>0</v>
      </c>
      <c r="AA300" s="550"/>
      <c r="AB300" s="550"/>
      <c r="AC300" s="550"/>
    </row>
    <row r="301" spans="1:68" hidden="1" x14ac:dyDescent="0.2">
      <c r="A301" s="561"/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2"/>
      <c r="P301" s="557" t="s">
        <v>75</v>
      </c>
      <c r="Q301" s="558"/>
      <c r="R301" s="558"/>
      <c r="S301" s="558"/>
      <c r="T301" s="558"/>
      <c r="U301" s="558"/>
      <c r="V301" s="559"/>
      <c r="W301" s="37" t="s">
        <v>69</v>
      </c>
      <c r="X301" s="549">
        <f>IFERROR(SUM(X294:X299),"0")</f>
        <v>0</v>
      </c>
      <c r="Y301" s="549">
        <f>IFERROR(SUM(Y294:Y299),"0")</f>
        <v>0</v>
      </c>
      <c r="Z301" s="37"/>
      <c r="AA301" s="550"/>
      <c r="AB301" s="550"/>
      <c r="AC301" s="550"/>
    </row>
    <row r="302" spans="1:68" ht="14.25" hidden="1" customHeight="1" x14ac:dyDescent="0.25">
      <c r="A302" s="563" t="s">
        <v>64</v>
      </c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43"/>
      <c r="AB302" s="543"/>
      <c r="AC302" s="543"/>
    </row>
    <row r="303" spans="1:68" ht="27" hidden="1" customHeight="1" x14ac:dyDescent="0.25">
      <c r="A303" s="54" t="s">
        <v>487</v>
      </c>
      <c r="B303" s="54" t="s">
        <v>488</v>
      </c>
      <c r="C303" s="31">
        <v>4301030878</v>
      </c>
      <c r="D303" s="553">
        <v>4607091387193</v>
      </c>
      <c r="E303" s="554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76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67"/>
      <c r="R303" s="567"/>
      <c r="S303" s="567"/>
      <c r="T303" s="568"/>
      <c r="U303" s="34"/>
      <c r="V303" s="34"/>
      <c r="W303" s="35" t="s">
        <v>69</v>
      </c>
      <c r="X303" s="547">
        <v>0</v>
      </c>
      <c r="Y303" s="548">
        <f t="shared" ref="Y303:Y308" si="31">IFERROR(IF(X303="",0,CEILING((X303/$H303),1)*$H303),"")</f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0</v>
      </c>
      <c r="BN303" s="64">
        <f t="shared" ref="BN303:BN308" si="33">IFERROR(Y303*I303/H303,"0")</f>
        <v>0</v>
      </c>
      <c r="BO303" s="64">
        <f t="shared" ref="BO303:BO308" si="34">IFERROR(1/J303*(X303/H303),"0")</f>
        <v>0</v>
      </c>
      <c r="BP303" s="64">
        <f t="shared" ref="BP303:BP308" si="35">IFERROR(1/J303*(Y303/H303),"0")</f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4301031153</v>
      </c>
      <c r="D304" s="553">
        <v>4607091387230</v>
      </c>
      <c r="E304" s="554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67"/>
      <c r="R304" s="567"/>
      <c r="S304" s="567"/>
      <c r="T304" s="568"/>
      <c r="U304" s="34"/>
      <c r="V304" s="34"/>
      <c r="W304" s="35" t="s">
        <v>69</v>
      </c>
      <c r="X304" s="547">
        <v>0</v>
      </c>
      <c r="Y304" s="548">
        <f t="shared" si="31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4301031154</v>
      </c>
      <c r="D305" s="553">
        <v>4607091387292</v>
      </c>
      <c r="E305" s="554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76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67"/>
      <c r="R305" s="567"/>
      <c r="S305" s="567"/>
      <c r="T305" s="568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496</v>
      </c>
      <c r="B306" s="54" t="s">
        <v>497</v>
      </c>
      <c r="C306" s="31">
        <v>4301031152</v>
      </c>
      <c r="D306" s="553">
        <v>4607091387285</v>
      </c>
      <c r="E306" s="554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67"/>
      <c r="R306" s="567"/>
      <c r="S306" s="567"/>
      <c r="T306" s="568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4301031305</v>
      </c>
      <c r="D307" s="553">
        <v>4607091389845</v>
      </c>
      <c r="E307" s="554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57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501</v>
      </c>
      <c r="B308" s="54" t="s">
        <v>502</v>
      </c>
      <c r="C308" s="31">
        <v>4301031066</v>
      </c>
      <c r="D308" s="553">
        <v>4607091383836</v>
      </c>
      <c r="E308" s="554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idden="1" x14ac:dyDescent="0.2">
      <c r="A309" s="560"/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2"/>
      <c r="P309" s="557" t="s">
        <v>75</v>
      </c>
      <c r="Q309" s="558"/>
      <c r="R309" s="558"/>
      <c r="S309" s="558"/>
      <c r="T309" s="558"/>
      <c r="U309" s="558"/>
      <c r="V309" s="559"/>
      <c r="W309" s="37" t="s">
        <v>76</v>
      </c>
      <c r="X309" s="549">
        <f>IFERROR(X303/H303,"0")+IFERROR(X304/H304,"0")+IFERROR(X305/H305,"0")+IFERROR(X306/H306,"0")+IFERROR(X307/H307,"0")+IFERROR(X308/H308,"0")</f>
        <v>0</v>
      </c>
      <c r="Y309" s="549">
        <f>IFERROR(Y303/H303,"0")+IFERROR(Y304/H304,"0")+IFERROR(Y305/H305,"0")+IFERROR(Y306/H306,"0")+IFERROR(Y307/H307,"0")+IFERROR(Y308/H308,"0")</f>
        <v>0</v>
      </c>
      <c r="Z309" s="549">
        <f>IFERROR(IF(Z303="",0,Z303),"0")+IFERROR(IF(Z304="",0,Z304),"0")+IFERROR(IF(Z305="",0,Z305),"0")+IFERROR(IF(Z306="",0,Z306),"0")+IFERROR(IF(Z307="",0,Z307),"0")+IFERROR(IF(Z308="",0,Z308),"0")</f>
        <v>0</v>
      </c>
      <c r="AA309" s="550"/>
      <c r="AB309" s="550"/>
      <c r="AC309" s="550"/>
    </row>
    <row r="310" spans="1:68" hidden="1" x14ac:dyDescent="0.2">
      <c r="A310" s="561"/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2"/>
      <c r="P310" s="557" t="s">
        <v>75</v>
      </c>
      <c r="Q310" s="558"/>
      <c r="R310" s="558"/>
      <c r="S310" s="558"/>
      <c r="T310" s="558"/>
      <c r="U310" s="558"/>
      <c r="V310" s="559"/>
      <c r="W310" s="37" t="s">
        <v>69</v>
      </c>
      <c r="X310" s="549">
        <f>IFERROR(SUM(X303:X308),"0")</f>
        <v>0</v>
      </c>
      <c r="Y310" s="549">
        <f>IFERROR(SUM(Y303:Y308),"0")</f>
        <v>0</v>
      </c>
      <c r="Z310" s="37"/>
      <c r="AA310" s="550"/>
      <c r="AB310" s="550"/>
      <c r="AC310" s="550"/>
    </row>
    <row r="311" spans="1:68" ht="14.25" hidden="1" customHeight="1" x14ac:dyDescent="0.25">
      <c r="A311" s="563" t="s">
        <v>77</v>
      </c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3">
        <v>4607091387766</v>
      </c>
      <c r="E312" s="554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7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67"/>
      <c r="R312" s="567"/>
      <c r="S312" s="567"/>
      <c r="T312" s="568"/>
      <c r="U312" s="34"/>
      <c r="V312" s="34"/>
      <c r="W312" s="35" t="s">
        <v>69</v>
      </c>
      <c r="X312" s="547">
        <v>200</v>
      </c>
      <c r="Y312" s="548">
        <f>IFERROR(IF(X312="",0,CEILING((X312/$H312),1)*$H312),"")</f>
        <v>202.79999999999998</v>
      </c>
      <c r="Z312" s="36">
        <f>IFERROR(IF(Y312=0,"",ROUNDUP(Y312/H312,0)*0.01898),"")</f>
        <v>0.49348000000000003</v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212.51282051282053</v>
      </c>
      <c r="BN312" s="64">
        <f>IFERROR(Y312*I312/H312,"0")</f>
        <v>215.488</v>
      </c>
      <c r="BO312" s="64">
        <f>IFERROR(1/J312*(X312/H312),"0")</f>
        <v>0.40064102564102566</v>
      </c>
      <c r="BP312" s="64">
        <f>IFERROR(1/J312*(Y312/H312),"0")</f>
        <v>0.40625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4301051818</v>
      </c>
      <c r="D313" s="553">
        <v>4607091387957</v>
      </c>
      <c r="E313" s="554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5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67"/>
      <c r="R313" s="567"/>
      <c r="S313" s="567"/>
      <c r="T313" s="568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4301051819</v>
      </c>
      <c r="D314" s="553">
        <v>4607091387964</v>
      </c>
      <c r="E314" s="554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67"/>
      <c r="R314" s="567"/>
      <c r="S314" s="567"/>
      <c r="T314" s="568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513</v>
      </c>
      <c r="B315" s="54" t="s">
        <v>514</v>
      </c>
      <c r="C315" s="31">
        <v>4301051734</v>
      </c>
      <c r="D315" s="553">
        <v>4680115884588</v>
      </c>
      <c r="E315" s="554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6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67"/>
      <c r="R315" s="567"/>
      <c r="S315" s="567"/>
      <c r="T315" s="568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60"/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2"/>
      <c r="P316" s="557" t="s">
        <v>75</v>
      </c>
      <c r="Q316" s="558"/>
      <c r="R316" s="558"/>
      <c r="S316" s="558"/>
      <c r="T316" s="558"/>
      <c r="U316" s="558"/>
      <c r="V316" s="559"/>
      <c r="W316" s="37" t="s">
        <v>76</v>
      </c>
      <c r="X316" s="549">
        <f>IFERROR(X312/H312,"0")+IFERROR(X313/H313,"0")+IFERROR(X314/H314,"0")+IFERROR(X315/H315,"0")</f>
        <v>25.641025641025642</v>
      </c>
      <c r="Y316" s="549">
        <f>IFERROR(Y312/H312,"0")+IFERROR(Y313/H313,"0")+IFERROR(Y314/H314,"0")+IFERROR(Y315/H315,"0")</f>
        <v>26</v>
      </c>
      <c r="Z316" s="549">
        <f>IFERROR(IF(Z312="",0,Z312),"0")+IFERROR(IF(Z313="",0,Z313),"0")+IFERROR(IF(Z314="",0,Z314),"0")+IFERROR(IF(Z315="",0,Z315),"0")</f>
        <v>0.49348000000000003</v>
      </c>
      <c r="AA316" s="550"/>
      <c r="AB316" s="550"/>
      <c r="AC316" s="550"/>
    </row>
    <row r="317" spans="1:68" x14ac:dyDescent="0.2">
      <c r="A317" s="561"/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2"/>
      <c r="P317" s="557" t="s">
        <v>75</v>
      </c>
      <c r="Q317" s="558"/>
      <c r="R317" s="558"/>
      <c r="S317" s="558"/>
      <c r="T317" s="558"/>
      <c r="U317" s="558"/>
      <c r="V317" s="559"/>
      <c r="W317" s="37" t="s">
        <v>69</v>
      </c>
      <c r="X317" s="549">
        <f>IFERROR(SUM(X312:X315),"0")</f>
        <v>200</v>
      </c>
      <c r="Y317" s="549">
        <f>IFERROR(SUM(Y312:Y315),"0")</f>
        <v>202.79999999999998</v>
      </c>
      <c r="Z317" s="37"/>
      <c r="AA317" s="550"/>
      <c r="AB317" s="550"/>
      <c r="AC317" s="550"/>
    </row>
    <row r="318" spans="1:68" ht="14.25" hidden="1" customHeight="1" x14ac:dyDescent="0.25">
      <c r="A318" s="563" t="s">
        <v>167</v>
      </c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43"/>
      <c r="AB318" s="543"/>
      <c r="AC318" s="543"/>
    </row>
    <row r="319" spans="1:68" ht="27" hidden="1" customHeight="1" x14ac:dyDescent="0.25">
      <c r="A319" s="54" t="s">
        <v>516</v>
      </c>
      <c r="B319" s="54" t="s">
        <v>517</v>
      </c>
      <c r="C319" s="31">
        <v>4301060387</v>
      </c>
      <c r="D319" s="553">
        <v>4607091380880</v>
      </c>
      <c r="E319" s="554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5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519</v>
      </c>
      <c r="B320" s="54" t="s">
        <v>520</v>
      </c>
      <c r="C320" s="31">
        <v>4301060406</v>
      </c>
      <c r="D320" s="553">
        <v>4607091384482</v>
      </c>
      <c r="E320" s="554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6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67"/>
      <c r="R320" s="567"/>
      <c r="S320" s="567"/>
      <c r="T320" s="568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16.5" hidden="1" customHeight="1" x14ac:dyDescent="0.25">
      <c r="A321" s="54" t="s">
        <v>522</v>
      </c>
      <c r="B321" s="54" t="s">
        <v>523</v>
      </c>
      <c r="C321" s="31">
        <v>4301060484</v>
      </c>
      <c r="D321" s="553">
        <v>4607091380897</v>
      </c>
      <c r="E321" s="554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6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67"/>
      <c r="R321" s="567"/>
      <c r="S321" s="567"/>
      <c r="T321" s="568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560"/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2"/>
      <c r="P322" s="557" t="s">
        <v>75</v>
      </c>
      <c r="Q322" s="558"/>
      <c r="R322" s="558"/>
      <c r="S322" s="558"/>
      <c r="T322" s="558"/>
      <c r="U322" s="558"/>
      <c r="V322" s="559"/>
      <c r="W322" s="37" t="s">
        <v>76</v>
      </c>
      <c r="X322" s="549">
        <f>IFERROR(X319/H319,"0")+IFERROR(X320/H320,"0")+IFERROR(X321/H321,"0")</f>
        <v>0</v>
      </c>
      <c r="Y322" s="549">
        <f>IFERROR(Y319/H319,"0")+IFERROR(Y320/H320,"0")+IFERROR(Y321/H321,"0")</f>
        <v>0</v>
      </c>
      <c r="Z322" s="549">
        <f>IFERROR(IF(Z319="",0,Z319),"0")+IFERROR(IF(Z320="",0,Z320),"0")+IFERROR(IF(Z321="",0,Z321),"0")</f>
        <v>0</v>
      </c>
      <c r="AA322" s="550"/>
      <c r="AB322" s="550"/>
      <c r="AC322" s="550"/>
    </row>
    <row r="323" spans="1:68" hidden="1" x14ac:dyDescent="0.2">
      <c r="A323" s="561"/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2"/>
      <c r="P323" s="557" t="s">
        <v>75</v>
      </c>
      <c r="Q323" s="558"/>
      <c r="R323" s="558"/>
      <c r="S323" s="558"/>
      <c r="T323" s="558"/>
      <c r="U323" s="558"/>
      <c r="V323" s="559"/>
      <c r="W323" s="37" t="s">
        <v>69</v>
      </c>
      <c r="X323" s="549">
        <f>IFERROR(SUM(X319:X321),"0")</f>
        <v>0</v>
      </c>
      <c r="Y323" s="549">
        <f>IFERROR(SUM(Y319:Y321),"0")</f>
        <v>0</v>
      </c>
      <c r="Z323" s="37"/>
      <c r="AA323" s="550"/>
      <c r="AB323" s="550"/>
      <c r="AC323" s="550"/>
    </row>
    <row r="324" spans="1:68" ht="14.25" hidden="1" customHeight="1" x14ac:dyDescent="0.25">
      <c r="A324" s="563" t="s">
        <v>96</v>
      </c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43"/>
      <c r="AB324" s="543"/>
      <c r="AC324" s="543"/>
    </row>
    <row r="325" spans="1:68" ht="27" hidden="1" customHeight="1" x14ac:dyDescent="0.25">
      <c r="A325" s="54" t="s">
        <v>525</v>
      </c>
      <c r="B325" s="54" t="s">
        <v>526</v>
      </c>
      <c r="C325" s="31">
        <v>4301030235</v>
      </c>
      <c r="D325" s="553">
        <v>4607091388381</v>
      </c>
      <c r="E325" s="554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67"/>
      <c r="R325" s="567"/>
      <c r="S325" s="567"/>
      <c r="T325" s="568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528</v>
      </c>
      <c r="B326" s="54" t="s">
        <v>529</v>
      </c>
      <c r="C326" s="31">
        <v>4301030232</v>
      </c>
      <c r="D326" s="553">
        <v>4607091388374</v>
      </c>
      <c r="E326" s="554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85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67"/>
      <c r="R326" s="567"/>
      <c r="S326" s="567"/>
      <c r="T326" s="568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4301032015</v>
      </c>
      <c r="D327" s="553">
        <v>4607091383102</v>
      </c>
      <c r="E327" s="554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67"/>
      <c r="R327" s="567"/>
      <c r="S327" s="567"/>
      <c r="T327" s="568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4301030233</v>
      </c>
      <c r="D328" s="553">
        <v>4607091388404</v>
      </c>
      <c r="E328" s="554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86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67"/>
      <c r="R328" s="567"/>
      <c r="S328" s="567"/>
      <c r="T328" s="568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560"/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2"/>
      <c r="P329" s="557" t="s">
        <v>75</v>
      </c>
      <c r="Q329" s="558"/>
      <c r="R329" s="558"/>
      <c r="S329" s="558"/>
      <c r="T329" s="558"/>
      <c r="U329" s="558"/>
      <c r="V329" s="559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hidden="1" x14ac:dyDescent="0.2">
      <c r="A330" s="561"/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2"/>
      <c r="P330" s="557" t="s">
        <v>75</v>
      </c>
      <c r="Q330" s="558"/>
      <c r="R330" s="558"/>
      <c r="S330" s="558"/>
      <c r="T330" s="558"/>
      <c r="U330" s="558"/>
      <c r="V330" s="559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hidden="1" customHeight="1" x14ac:dyDescent="0.25">
      <c r="A331" s="563" t="s">
        <v>535</v>
      </c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43"/>
      <c r="AB331" s="543"/>
      <c r="AC331" s="543"/>
    </row>
    <row r="332" spans="1:68" ht="16.5" hidden="1" customHeight="1" x14ac:dyDescent="0.25">
      <c r="A332" s="54" t="s">
        <v>536</v>
      </c>
      <c r="B332" s="54" t="s">
        <v>537</v>
      </c>
      <c r="C332" s="31">
        <v>4301180007</v>
      </c>
      <c r="D332" s="553">
        <v>4680115881808</v>
      </c>
      <c r="E332" s="554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67"/>
      <c r="R332" s="567"/>
      <c r="S332" s="567"/>
      <c r="T332" s="568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540</v>
      </c>
      <c r="B333" s="54" t="s">
        <v>541</v>
      </c>
      <c r="C333" s="31">
        <v>4301180006</v>
      </c>
      <c r="D333" s="553">
        <v>4680115881822</v>
      </c>
      <c r="E333" s="554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69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67"/>
      <c r="R333" s="567"/>
      <c r="S333" s="567"/>
      <c r="T333" s="568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542</v>
      </c>
      <c r="B334" s="54" t="s">
        <v>543</v>
      </c>
      <c r="C334" s="31">
        <v>4301180001</v>
      </c>
      <c r="D334" s="553">
        <v>4680115880016</v>
      </c>
      <c r="E334" s="554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8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67"/>
      <c r="R334" s="567"/>
      <c r="S334" s="567"/>
      <c r="T334" s="568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560"/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2"/>
      <c r="P335" s="557" t="s">
        <v>75</v>
      </c>
      <c r="Q335" s="558"/>
      <c r="R335" s="558"/>
      <c r="S335" s="558"/>
      <c r="T335" s="558"/>
      <c r="U335" s="558"/>
      <c r="V335" s="559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hidden="1" x14ac:dyDescent="0.2">
      <c r="A336" s="561"/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2"/>
      <c r="P336" s="557" t="s">
        <v>75</v>
      </c>
      <c r="Q336" s="558"/>
      <c r="R336" s="558"/>
      <c r="S336" s="558"/>
      <c r="T336" s="558"/>
      <c r="U336" s="558"/>
      <c r="V336" s="559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hidden="1" customHeight="1" x14ac:dyDescent="0.25">
      <c r="A337" s="589" t="s">
        <v>544</v>
      </c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42"/>
      <c r="AB337" s="542"/>
      <c r="AC337" s="542"/>
    </row>
    <row r="338" spans="1:68" ht="14.25" hidden="1" customHeight="1" x14ac:dyDescent="0.25">
      <c r="A338" s="563" t="s">
        <v>77</v>
      </c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43"/>
      <c r="AB338" s="543"/>
      <c r="AC338" s="543"/>
    </row>
    <row r="339" spans="1:68" ht="27" hidden="1" customHeight="1" x14ac:dyDescent="0.25">
      <c r="A339" s="54" t="s">
        <v>545</v>
      </c>
      <c r="B339" s="54" t="s">
        <v>546</v>
      </c>
      <c r="C339" s="31">
        <v>4301051489</v>
      </c>
      <c r="D339" s="553">
        <v>4607091387919</v>
      </c>
      <c r="E339" s="554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8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67"/>
      <c r="R339" s="567"/>
      <c r="S339" s="567"/>
      <c r="T339" s="568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3">
        <v>4680115883604</v>
      </c>
      <c r="E340" s="554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7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67"/>
      <c r="R340" s="567"/>
      <c r="S340" s="567"/>
      <c r="T340" s="568"/>
      <c r="U340" s="34"/>
      <c r="V340" s="34"/>
      <c r="W340" s="35" t="s">
        <v>69</v>
      </c>
      <c r="X340" s="547">
        <v>126</v>
      </c>
      <c r="Y340" s="548">
        <f>IFERROR(IF(X340="",0,CEILING((X340/$H340),1)*$H340),"")</f>
        <v>126</v>
      </c>
      <c r="Z340" s="36">
        <f>IFERROR(IF(Y340=0,"",ROUNDUP(Y340/H340,0)*0.00651),"")</f>
        <v>0.3906</v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141.11999999999998</v>
      </c>
      <c r="BN340" s="64">
        <f>IFERROR(Y340*I340/H340,"0")</f>
        <v>141.11999999999998</v>
      </c>
      <c r="BO340" s="64">
        <f>IFERROR(1/J340*(X340/H340),"0")</f>
        <v>0.32967032967032972</v>
      </c>
      <c r="BP340" s="64">
        <f>IFERROR(1/J340*(Y340/H340),"0")</f>
        <v>0.32967032967032972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3">
        <v>4680115883567</v>
      </c>
      <c r="E341" s="554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64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67"/>
      <c r="R341" s="567"/>
      <c r="S341" s="567"/>
      <c r="T341" s="568"/>
      <c r="U341" s="34"/>
      <c r="V341" s="34"/>
      <c r="W341" s="35" t="s">
        <v>69</v>
      </c>
      <c r="X341" s="547">
        <v>84</v>
      </c>
      <c r="Y341" s="548">
        <f>IFERROR(IF(X341="",0,CEILING((X341/$H341),1)*$H341),"")</f>
        <v>84</v>
      </c>
      <c r="Z341" s="36">
        <f>IFERROR(IF(Y341=0,"",ROUNDUP(Y341/H341,0)*0.00651),"")</f>
        <v>0.26040000000000002</v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93.6</v>
      </c>
      <c r="BN341" s="64">
        <f>IFERROR(Y341*I341/H341,"0")</f>
        <v>93.6</v>
      </c>
      <c r="BO341" s="64">
        <f>IFERROR(1/J341*(X341/H341),"0")</f>
        <v>0.2197802197802198</v>
      </c>
      <c r="BP341" s="64">
        <f>IFERROR(1/J341*(Y341/H341),"0")</f>
        <v>0.2197802197802198</v>
      </c>
    </row>
    <row r="342" spans="1:68" x14ac:dyDescent="0.2">
      <c r="A342" s="560"/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2"/>
      <c r="P342" s="557" t="s">
        <v>75</v>
      </c>
      <c r="Q342" s="558"/>
      <c r="R342" s="558"/>
      <c r="S342" s="558"/>
      <c r="T342" s="558"/>
      <c r="U342" s="558"/>
      <c r="V342" s="559"/>
      <c r="W342" s="37" t="s">
        <v>76</v>
      </c>
      <c r="X342" s="549">
        <f>IFERROR(X339/H339,"0")+IFERROR(X340/H340,"0")+IFERROR(X341/H341,"0")</f>
        <v>100</v>
      </c>
      <c r="Y342" s="549">
        <f>IFERROR(Y339/H339,"0")+IFERROR(Y340/H340,"0")+IFERROR(Y341/H341,"0")</f>
        <v>100</v>
      </c>
      <c r="Z342" s="549">
        <f>IFERROR(IF(Z339="",0,Z339),"0")+IFERROR(IF(Z340="",0,Z340),"0")+IFERROR(IF(Z341="",0,Z341),"0")</f>
        <v>0.65100000000000002</v>
      </c>
      <c r="AA342" s="550"/>
      <c r="AB342" s="550"/>
      <c r="AC342" s="550"/>
    </row>
    <row r="343" spans="1:68" x14ac:dyDescent="0.2">
      <c r="A343" s="561"/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2"/>
      <c r="P343" s="557" t="s">
        <v>75</v>
      </c>
      <c r="Q343" s="558"/>
      <c r="R343" s="558"/>
      <c r="S343" s="558"/>
      <c r="T343" s="558"/>
      <c r="U343" s="558"/>
      <c r="V343" s="559"/>
      <c r="W343" s="37" t="s">
        <v>69</v>
      </c>
      <c r="X343" s="549">
        <f>IFERROR(SUM(X339:X341),"0")</f>
        <v>210</v>
      </c>
      <c r="Y343" s="549">
        <f>IFERROR(SUM(Y339:Y341),"0")</f>
        <v>210</v>
      </c>
      <c r="Z343" s="37"/>
      <c r="AA343" s="550"/>
      <c r="AB343" s="550"/>
      <c r="AC343" s="550"/>
    </row>
    <row r="344" spans="1:68" ht="27.75" hidden="1" customHeight="1" x14ac:dyDescent="0.2">
      <c r="A344" s="652" t="s">
        <v>554</v>
      </c>
      <c r="B344" s="653"/>
      <c r="C344" s="653"/>
      <c r="D344" s="653"/>
      <c r="E344" s="653"/>
      <c r="F344" s="653"/>
      <c r="G344" s="653"/>
      <c r="H344" s="653"/>
      <c r="I344" s="653"/>
      <c r="J344" s="653"/>
      <c r="K344" s="653"/>
      <c r="L344" s="653"/>
      <c r="M344" s="653"/>
      <c r="N344" s="653"/>
      <c r="O344" s="653"/>
      <c r="P344" s="653"/>
      <c r="Q344" s="653"/>
      <c r="R344" s="653"/>
      <c r="S344" s="653"/>
      <c r="T344" s="653"/>
      <c r="U344" s="653"/>
      <c r="V344" s="653"/>
      <c r="W344" s="653"/>
      <c r="X344" s="653"/>
      <c r="Y344" s="653"/>
      <c r="Z344" s="653"/>
      <c r="AA344" s="48"/>
      <c r="AB344" s="48"/>
      <c r="AC344" s="48"/>
    </row>
    <row r="345" spans="1:68" ht="16.5" hidden="1" customHeight="1" x14ac:dyDescent="0.25">
      <c r="A345" s="589" t="s">
        <v>555</v>
      </c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42"/>
      <c r="AB345" s="542"/>
      <c r="AC345" s="542"/>
    </row>
    <row r="346" spans="1:68" ht="14.25" hidden="1" customHeight="1" x14ac:dyDescent="0.25">
      <c r="A346" s="563" t="s">
        <v>104</v>
      </c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43"/>
      <c r="AB346" s="543"/>
      <c r="AC346" s="543"/>
    </row>
    <row r="347" spans="1:68" ht="37.5" hidden="1" customHeight="1" x14ac:dyDescent="0.25">
      <c r="A347" s="54" t="s">
        <v>556</v>
      </c>
      <c r="B347" s="54" t="s">
        <v>557</v>
      </c>
      <c r="C347" s="31">
        <v>4301011869</v>
      </c>
      <c r="D347" s="553">
        <v>4680115884847</v>
      </c>
      <c r="E347" s="554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6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67"/>
      <c r="R347" s="567"/>
      <c r="S347" s="567"/>
      <c r="T347" s="568"/>
      <c r="U347" s="34"/>
      <c r="V347" s="34"/>
      <c r="W347" s="35" t="s">
        <v>69</v>
      </c>
      <c r="X347" s="547">
        <v>0</v>
      </c>
      <c r="Y347" s="548">
        <f t="shared" ref="Y347:Y353" si="36">IFERROR(IF(X347="",0,CEILING((X347/$H347),1)*$H347),"")</f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0</v>
      </c>
      <c r="BN347" s="64">
        <f t="shared" ref="BN347:BN353" si="38">IFERROR(Y347*I347/H347,"0")</f>
        <v>0</v>
      </c>
      <c r="BO347" s="64">
        <f t="shared" ref="BO347:BO353" si="39">IFERROR(1/J347*(X347/H347),"0")</f>
        <v>0</v>
      </c>
      <c r="BP347" s="64">
        <f t="shared" ref="BP347:BP353" si="40">IFERROR(1/J347*(Y347/H347),"0")</f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3">
        <v>4680115884854</v>
      </c>
      <c r="E348" s="554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66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67"/>
      <c r="R348" s="567"/>
      <c r="S348" s="567"/>
      <c r="T348" s="568"/>
      <c r="U348" s="34"/>
      <c r="V348" s="34"/>
      <c r="W348" s="35" t="s">
        <v>69</v>
      </c>
      <c r="X348" s="547">
        <v>1500</v>
      </c>
      <c r="Y348" s="548">
        <f t="shared" si="36"/>
        <v>1500</v>
      </c>
      <c r="Z348" s="36">
        <f>IFERROR(IF(Y348=0,"",ROUNDUP(Y348/H348,0)*0.02175),"")</f>
        <v>2.1749999999999998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1547</v>
      </c>
      <c r="BN348" s="64">
        <f t="shared" si="38"/>
        <v>1547</v>
      </c>
      <c r="BO348" s="64">
        <f t="shared" si="39"/>
        <v>2.083333333333333</v>
      </c>
      <c r="BP348" s="64">
        <f t="shared" si="40"/>
        <v>2.083333333333333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3">
        <v>4680115884830</v>
      </c>
      <c r="E349" s="554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6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67"/>
      <c r="R349" s="567"/>
      <c r="S349" s="567"/>
      <c r="T349" s="568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4301012215</v>
      </c>
      <c r="D350" s="553">
        <v>4680115887046</v>
      </c>
      <c r="E350" s="554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80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67"/>
      <c r="R350" s="567"/>
      <c r="S350" s="567"/>
      <c r="T350" s="568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4301011433</v>
      </c>
      <c r="D351" s="553">
        <v>4680115882638</v>
      </c>
      <c r="E351" s="554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78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4301011952</v>
      </c>
      <c r="D352" s="553">
        <v>4680115884922</v>
      </c>
      <c r="E352" s="554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8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67"/>
      <c r="R352" s="567"/>
      <c r="S352" s="567"/>
      <c r="T352" s="568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hidden="1" customHeight="1" x14ac:dyDescent="0.25">
      <c r="A353" s="54" t="s">
        <v>573</v>
      </c>
      <c r="B353" s="54" t="s">
        <v>574</v>
      </c>
      <c r="C353" s="31">
        <v>4301011868</v>
      </c>
      <c r="D353" s="553">
        <v>4680115884861</v>
      </c>
      <c r="E353" s="554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67"/>
      <c r="R353" s="567"/>
      <c r="S353" s="567"/>
      <c r="T353" s="568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60"/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2"/>
      <c r="P354" s="557" t="s">
        <v>75</v>
      </c>
      <c r="Q354" s="558"/>
      <c r="R354" s="558"/>
      <c r="S354" s="558"/>
      <c r="T354" s="558"/>
      <c r="U354" s="558"/>
      <c r="V354" s="559"/>
      <c r="W354" s="37" t="s">
        <v>76</v>
      </c>
      <c r="X354" s="549">
        <f>IFERROR(X347/H347,"0")+IFERROR(X348/H348,"0")+IFERROR(X349/H349,"0")+IFERROR(X350/H350,"0")+IFERROR(X351/H351,"0")+IFERROR(X352/H352,"0")+IFERROR(X353/H353,"0")</f>
        <v>100</v>
      </c>
      <c r="Y354" s="549">
        <f>IFERROR(Y347/H347,"0")+IFERROR(Y348/H348,"0")+IFERROR(Y349/H349,"0")+IFERROR(Y350/H350,"0")+IFERROR(Y351/H351,"0")+IFERROR(Y352/H352,"0")+IFERROR(Y353/H353,"0")</f>
        <v>100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2.1749999999999998</v>
      </c>
      <c r="AA354" s="550"/>
      <c r="AB354" s="550"/>
      <c r="AC354" s="550"/>
    </row>
    <row r="355" spans="1:68" x14ac:dyDescent="0.2">
      <c r="A355" s="561"/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2"/>
      <c r="P355" s="557" t="s">
        <v>75</v>
      </c>
      <c r="Q355" s="558"/>
      <c r="R355" s="558"/>
      <c r="S355" s="558"/>
      <c r="T355" s="558"/>
      <c r="U355" s="558"/>
      <c r="V355" s="559"/>
      <c r="W355" s="37" t="s">
        <v>69</v>
      </c>
      <c r="X355" s="549">
        <f>IFERROR(SUM(X347:X353),"0")</f>
        <v>1500</v>
      </c>
      <c r="Y355" s="549">
        <f>IFERROR(SUM(Y347:Y353),"0")</f>
        <v>1500</v>
      </c>
      <c r="Z355" s="37"/>
      <c r="AA355" s="550"/>
      <c r="AB355" s="550"/>
      <c r="AC355" s="550"/>
    </row>
    <row r="356" spans="1:68" ht="14.25" hidden="1" customHeight="1" x14ac:dyDescent="0.25">
      <c r="A356" s="563" t="s">
        <v>139</v>
      </c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43"/>
      <c r="AB356" s="543"/>
      <c r="AC356" s="543"/>
    </row>
    <row r="357" spans="1:68" ht="27" hidden="1" customHeight="1" x14ac:dyDescent="0.25">
      <c r="A357" s="54" t="s">
        <v>575</v>
      </c>
      <c r="B357" s="54" t="s">
        <v>576</v>
      </c>
      <c r="C357" s="31">
        <v>4301020178</v>
      </c>
      <c r="D357" s="553">
        <v>4607091383980</v>
      </c>
      <c r="E357" s="554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6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67"/>
      <c r="R357" s="567"/>
      <c r="S357" s="567"/>
      <c r="T357" s="568"/>
      <c r="U357" s="34"/>
      <c r="V357" s="34"/>
      <c r="W357" s="35" t="s">
        <v>69</v>
      </c>
      <c r="X357" s="547">
        <v>0</v>
      </c>
      <c r="Y357" s="548">
        <f>IFERROR(IF(X357="",0,CEILING((X357/$H357),1)*$H357),"")</f>
        <v>0</v>
      </c>
      <c r="Z357" s="36" t="str">
        <f>IFERROR(IF(Y357=0,"",ROUNDUP(Y357/H357,0)*0.02175),"")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578</v>
      </c>
      <c r="B358" s="54" t="s">
        <v>579</v>
      </c>
      <c r="C358" s="31">
        <v>4301020179</v>
      </c>
      <c r="D358" s="553">
        <v>4607091384178</v>
      </c>
      <c r="E358" s="554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77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67"/>
      <c r="R358" s="567"/>
      <c r="S358" s="567"/>
      <c r="T358" s="568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60"/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2"/>
      <c r="P359" s="557" t="s">
        <v>75</v>
      </c>
      <c r="Q359" s="558"/>
      <c r="R359" s="558"/>
      <c r="S359" s="558"/>
      <c r="T359" s="558"/>
      <c r="U359" s="558"/>
      <c r="V359" s="559"/>
      <c r="W359" s="37" t="s">
        <v>76</v>
      </c>
      <c r="X359" s="549">
        <f>IFERROR(X357/H357,"0")+IFERROR(X358/H358,"0")</f>
        <v>0</v>
      </c>
      <c r="Y359" s="549">
        <f>IFERROR(Y357/H357,"0")+IFERROR(Y358/H358,"0")</f>
        <v>0</v>
      </c>
      <c r="Z359" s="549">
        <f>IFERROR(IF(Z357="",0,Z357),"0")+IFERROR(IF(Z358="",0,Z358),"0")</f>
        <v>0</v>
      </c>
      <c r="AA359" s="550"/>
      <c r="AB359" s="550"/>
      <c r="AC359" s="550"/>
    </row>
    <row r="360" spans="1:68" hidden="1" x14ac:dyDescent="0.2">
      <c r="A360" s="561"/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2"/>
      <c r="P360" s="557" t="s">
        <v>75</v>
      </c>
      <c r="Q360" s="558"/>
      <c r="R360" s="558"/>
      <c r="S360" s="558"/>
      <c r="T360" s="558"/>
      <c r="U360" s="558"/>
      <c r="V360" s="559"/>
      <c r="W360" s="37" t="s">
        <v>69</v>
      </c>
      <c r="X360" s="549">
        <f>IFERROR(SUM(X357:X358),"0")</f>
        <v>0</v>
      </c>
      <c r="Y360" s="549">
        <f>IFERROR(SUM(Y357:Y358),"0")</f>
        <v>0</v>
      </c>
      <c r="Z360" s="37"/>
      <c r="AA360" s="550"/>
      <c r="AB360" s="550"/>
      <c r="AC360" s="550"/>
    </row>
    <row r="361" spans="1:68" ht="14.25" hidden="1" customHeight="1" x14ac:dyDescent="0.25">
      <c r="A361" s="563" t="s">
        <v>77</v>
      </c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43"/>
      <c r="AB361" s="543"/>
      <c r="AC361" s="543"/>
    </row>
    <row r="362" spans="1:68" ht="27" hidden="1" customHeight="1" x14ac:dyDescent="0.25">
      <c r="A362" s="54" t="s">
        <v>581</v>
      </c>
      <c r="B362" s="54" t="s">
        <v>582</v>
      </c>
      <c r="C362" s="31">
        <v>4301051903</v>
      </c>
      <c r="D362" s="553">
        <v>4607091383928</v>
      </c>
      <c r="E362" s="554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63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67"/>
      <c r="R362" s="567"/>
      <c r="S362" s="567"/>
      <c r="T362" s="568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584</v>
      </c>
      <c r="B363" s="54" t="s">
        <v>585</v>
      </c>
      <c r="C363" s="31">
        <v>4301051897</v>
      </c>
      <c r="D363" s="553">
        <v>4607091384260</v>
      </c>
      <c r="E363" s="554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5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67"/>
      <c r="R363" s="567"/>
      <c r="S363" s="567"/>
      <c r="T363" s="568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60"/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2"/>
      <c r="P364" s="557" t="s">
        <v>75</v>
      </c>
      <c r="Q364" s="558"/>
      <c r="R364" s="558"/>
      <c r="S364" s="558"/>
      <c r="T364" s="558"/>
      <c r="U364" s="558"/>
      <c r="V364" s="559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hidden="1" x14ac:dyDescent="0.2">
      <c r="A365" s="561"/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2"/>
      <c r="P365" s="557" t="s">
        <v>75</v>
      </c>
      <c r="Q365" s="558"/>
      <c r="R365" s="558"/>
      <c r="S365" s="558"/>
      <c r="T365" s="558"/>
      <c r="U365" s="558"/>
      <c r="V365" s="559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hidden="1" customHeight="1" x14ac:dyDescent="0.25">
      <c r="A366" s="563" t="s">
        <v>167</v>
      </c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43"/>
      <c r="AB366" s="543"/>
      <c r="AC366" s="543"/>
    </row>
    <row r="367" spans="1:68" ht="16.5" hidden="1" customHeight="1" x14ac:dyDescent="0.25">
      <c r="A367" s="54" t="s">
        <v>587</v>
      </c>
      <c r="B367" s="54" t="s">
        <v>588</v>
      </c>
      <c r="C367" s="31">
        <v>4301060524</v>
      </c>
      <c r="D367" s="553">
        <v>4607091384673</v>
      </c>
      <c r="E367" s="554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62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60"/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2"/>
      <c r="P368" s="557" t="s">
        <v>75</v>
      </c>
      <c r="Q368" s="558"/>
      <c r="R368" s="558"/>
      <c r="S368" s="558"/>
      <c r="T368" s="558"/>
      <c r="U368" s="558"/>
      <c r="V368" s="559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hidden="1" x14ac:dyDescent="0.2">
      <c r="A369" s="561"/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2"/>
      <c r="P369" s="557" t="s">
        <v>75</v>
      </c>
      <c r="Q369" s="558"/>
      <c r="R369" s="558"/>
      <c r="S369" s="558"/>
      <c r="T369" s="558"/>
      <c r="U369" s="558"/>
      <c r="V369" s="559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hidden="1" customHeight="1" x14ac:dyDescent="0.25">
      <c r="A370" s="589" t="s">
        <v>590</v>
      </c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42"/>
      <c r="AB370" s="542"/>
      <c r="AC370" s="542"/>
    </row>
    <row r="371" spans="1:68" ht="14.25" hidden="1" customHeight="1" x14ac:dyDescent="0.25">
      <c r="A371" s="563" t="s">
        <v>104</v>
      </c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43"/>
      <c r="AB371" s="543"/>
      <c r="AC371" s="543"/>
    </row>
    <row r="372" spans="1:68" ht="37.5" hidden="1" customHeight="1" x14ac:dyDescent="0.25">
      <c r="A372" s="54" t="s">
        <v>591</v>
      </c>
      <c r="B372" s="54" t="s">
        <v>592</v>
      </c>
      <c r="C372" s="31">
        <v>4301011875</v>
      </c>
      <c r="D372" s="553">
        <v>4680115884885</v>
      </c>
      <c r="E372" s="554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6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67"/>
      <c r="R372" s="567"/>
      <c r="S372" s="567"/>
      <c r="T372" s="568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hidden="1" customHeight="1" x14ac:dyDescent="0.25">
      <c r="A373" s="54" t="s">
        <v>594</v>
      </c>
      <c r="B373" s="54" t="s">
        <v>595</v>
      </c>
      <c r="C373" s="31">
        <v>4301011871</v>
      </c>
      <c r="D373" s="553">
        <v>4680115884908</v>
      </c>
      <c r="E373" s="554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57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67"/>
      <c r="R373" s="567"/>
      <c r="S373" s="567"/>
      <c r="T373" s="568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0"/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2"/>
      <c r="P374" s="557" t="s">
        <v>75</v>
      </c>
      <c r="Q374" s="558"/>
      <c r="R374" s="558"/>
      <c r="S374" s="558"/>
      <c r="T374" s="558"/>
      <c r="U374" s="558"/>
      <c r="V374" s="559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hidden="1" x14ac:dyDescent="0.2">
      <c r="A375" s="561"/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2"/>
      <c r="P375" s="557" t="s">
        <v>75</v>
      </c>
      <c r="Q375" s="558"/>
      <c r="R375" s="558"/>
      <c r="S375" s="558"/>
      <c r="T375" s="558"/>
      <c r="U375" s="558"/>
      <c r="V375" s="559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hidden="1" customHeight="1" x14ac:dyDescent="0.25">
      <c r="A376" s="563" t="s">
        <v>64</v>
      </c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43"/>
      <c r="AB376" s="543"/>
      <c r="AC376" s="543"/>
    </row>
    <row r="377" spans="1:68" ht="27" hidden="1" customHeight="1" x14ac:dyDescent="0.25">
      <c r="A377" s="54" t="s">
        <v>596</v>
      </c>
      <c r="B377" s="54" t="s">
        <v>597</v>
      </c>
      <c r="C377" s="31">
        <v>4301031303</v>
      </c>
      <c r="D377" s="553">
        <v>4607091384802</v>
      </c>
      <c r="E377" s="554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2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67"/>
      <c r="R377" s="567"/>
      <c r="S377" s="567"/>
      <c r="T377" s="568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596</v>
      </c>
      <c r="B378" s="54" t="s">
        <v>599</v>
      </c>
      <c r="C378" s="31">
        <v>4301031457</v>
      </c>
      <c r="D378" s="553">
        <v>4607091384802</v>
      </c>
      <c r="E378" s="554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7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67"/>
      <c r="R378" s="567"/>
      <c r="S378" s="567"/>
      <c r="T378" s="568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60"/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2"/>
      <c r="P379" s="557" t="s">
        <v>75</v>
      </c>
      <c r="Q379" s="558"/>
      <c r="R379" s="558"/>
      <c r="S379" s="558"/>
      <c r="T379" s="558"/>
      <c r="U379" s="558"/>
      <c r="V379" s="559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hidden="1" x14ac:dyDescent="0.2">
      <c r="A380" s="561"/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2"/>
      <c r="P380" s="557" t="s">
        <v>75</v>
      </c>
      <c r="Q380" s="558"/>
      <c r="R380" s="558"/>
      <c r="S380" s="558"/>
      <c r="T380" s="558"/>
      <c r="U380" s="558"/>
      <c r="V380" s="559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hidden="1" customHeight="1" x14ac:dyDescent="0.25">
      <c r="A381" s="563" t="s">
        <v>77</v>
      </c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3">
        <v>4607091384246</v>
      </c>
      <c r="E382" s="554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8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47">
        <v>3000</v>
      </c>
      <c r="Y382" s="548">
        <f>IFERROR(IF(X382="",0,CEILING((X382/$H382),1)*$H382),"")</f>
        <v>3006</v>
      </c>
      <c r="Z382" s="36">
        <f>IFERROR(IF(Y382=0,"",ROUNDUP(Y382/H382,0)*0.01898),"")</f>
        <v>6.3393199999999998</v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3164.6666666666665</v>
      </c>
      <c r="BN382" s="64">
        <f>IFERROR(Y382*I382/H382,"0")</f>
        <v>3170.9960000000001</v>
      </c>
      <c r="BO382" s="64">
        <f>IFERROR(1/J382*(X382/H382),"0")</f>
        <v>5.208333333333333</v>
      </c>
      <c r="BP382" s="64">
        <f>IFERROR(1/J382*(Y382/H382),"0")</f>
        <v>5.21875</v>
      </c>
    </row>
    <row r="383" spans="1:68" ht="27" customHeight="1" x14ac:dyDescent="0.25">
      <c r="A383" s="54" t="s">
        <v>604</v>
      </c>
      <c r="B383" s="54" t="s">
        <v>605</v>
      </c>
      <c r="C383" s="31">
        <v>4301051660</v>
      </c>
      <c r="D383" s="553">
        <v>4607091384253</v>
      </c>
      <c r="E383" s="554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5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67"/>
      <c r="R383" s="567"/>
      <c r="S383" s="567"/>
      <c r="T383" s="568"/>
      <c r="U383" s="34"/>
      <c r="V383" s="34"/>
      <c r="W383" s="35" t="s">
        <v>69</v>
      </c>
      <c r="X383" s="547">
        <v>40</v>
      </c>
      <c r="Y383" s="548">
        <f>IFERROR(IF(X383="",0,CEILING((X383/$H383),1)*$H383),"")</f>
        <v>40.799999999999997</v>
      </c>
      <c r="Z383" s="36">
        <f>IFERROR(IF(Y383=0,"",ROUNDUP(Y383/H383,0)*0.00651),"")</f>
        <v>0.11067</v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44.400000000000006</v>
      </c>
      <c r="BN383" s="64">
        <f>IFERROR(Y383*I383/H383,"0")</f>
        <v>45.287999999999997</v>
      </c>
      <c r="BO383" s="64">
        <f>IFERROR(1/J383*(X383/H383),"0")</f>
        <v>9.1575091575091583E-2</v>
      </c>
      <c r="BP383" s="64">
        <f>IFERROR(1/J383*(Y383/H383),"0")</f>
        <v>9.3406593406593408E-2</v>
      </c>
    </row>
    <row r="384" spans="1:68" ht="27" hidden="1" customHeight="1" x14ac:dyDescent="0.25">
      <c r="A384" s="54" t="s">
        <v>604</v>
      </c>
      <c r="B384" s="54" t="s">
        <v>606</v>
      </c>
      <c r="C384" s="31">
        <v>4301052069</v>
      </c>
      <c r="D384" s="553">
        <v>4607091384253</v>
      </c>
      <c r="E384" s="554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86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67"/>
      <c r="R384" s="567"/>
      <c r="S384" s="567"/>
      <c r="T384" s="568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60"/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2"/>
      <c r="P385" s="557" t="s">
        <v>75</v>
      </c>
      <c r="Q385" s="558"/>
      <c r="R385" s="558"/>
      <c r="S385" s="558"/>
      <c r="T385" s="558"/>
      <c r="U385" s="558"/>
      <c r="V385" s="559"/>
      <c r="W385" s="37" t="s">
        <v>76</v>
      </c>
      <c r="X385" s="549">
        <f>IFERROR(X382/H382,"0")+IFERROR(X383/H383,"0")+IFERROR(X384/H384,"0")</f>
        <v>350</v>
      </c>
      <c r="Y385" s="549">
        <f>IFERROR(Y382/H382,"0")+IFERROR(Y383/H383,"0")+IFERROR(Y384/H384,"0")</f>
        <v>351</v>
      </c>
      <c r="Z385" s="549">
        <f>IFERROR(IF(Z382="",0,Z382),"0")+IFERROR(IF(Z383="",0,Z383),"0")+IFERROR(IF(Z384="",0,Z384),"0")</f>
        <v>6.4499899999999997</v>
      </c>
      <c r="AA385" s="550"/>
      <c r="AB385" s="550"/>
      <c r="AC385" s="550"/>
    </row>
    <row r="386" spans="1:68" x14ac:dyDescent="0.2">
      <c r="A386" s="561"/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2"/>
      <c r="P386" s="557" t="s">
        <v>75</v>
      </c>
      <c r="Q386" s="558"/>
      <c r="R386" s="558"/>
      <c r="S386" s="558"/>
      <c r="T386" s="558"/>
      <c r="U386" s="558"/>
      <c r="V386" s="559"/>
      <c r="W386" s="37" t="s">
        <v>69</v>
      </c>
      <c r="X386" s="549">
        <f>IFERROR(SUM(X382:X384),"0")</f>
        <v>3040</v>
      </c>
      <c r="Y386" s="549">
        <f>IFERROR(SUM(Y382:Y384),"0")</f>
        <v>3046.8</v>
      </c>
      <c r="Z386" s="37"/>
      <c r="AA386" s="550"/>
      <c r="AB386" s="550"/>
      <c r="AC386" s="550"/>
    </row>
    <row r="387" spans="1:68" ht="27.75" hidden="1" customHeight="1" x14ac:dyDescent="0.2">
      <c r="A387" s="652" t="s">
        <v>608</v>
      </c>
      <c r="B387" s="653"/>
      <c r="C387" s="653"/>
      <c r="D387" s="653"/>
      <c r="E387" s="653"/>
      <c r="F387" s="653"/>
      <c r="G387" s="653"/>
      <c r="H387" s="653"/>
      <c r="I387" s="653"/>
      <c r="J387" s="653"/>
      <c r="K387" s="653"/>
      <c r="L387" s="653"/>
      <c r="M387" s="653"/>
      <c r="N387" s="653"/>
      <c r="O387" s="653"/>
      <c r="P387" s="653"/>
      <c r="Q387" s="653"/>
      <c r="R387" s="653"/>
      <c r="S387" s="653"/>
      <c r="T387" s="653"/>
      <c r="U387" s="653"/>
      <c r="V387" s="653"/>
      <c r="W387" s="653"/>
      <c r="X387" s="653"/>
      <c r="Y387" s="653"/>
      <c r="Z387" s="653"/>
      <c r="AA387" s="48"/>
      <c r="AB387" s="48"/>
      <c r="AC387" s="48"/>
    </row>
    <row r="388" spans="1:68" ht="16.5" hidden="1" customHeight="1" x14ac:dyDescent="0.25">
      <c r="A388" s="589" t="s">
        <v>609</v>
      </c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42"/>
      <c r="AB388" s="542"/>
      <c r="AC388" s="542"/>
    </row>
    <row r="389" spans="1:68" ht="14.25" hidden="1" customHeight="1" x14ac:dyDescent="0.25">
      <c r="A389" s="563" t="s">
        <v>64</v>
      </c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43"/>
      <c r="AB389" s="543"/>
      <c r="AC389" s="543"/>
    </row>
    <row r="390" spans="1:68" ht="27" hidden="1" customHeight="1" x14ac:dyDescent="0.25">
      <c r="A390" s="54" t="s">
        <v>610</v>
      </c>
      <c r="B390" s="54" t="s">
        <v>611</v>
      </c>
      <c r="C390" s="31">
        <v>4301031405</v>
      </c>
      <c r="D390" s="553">
        <v>4680115886100</v>
      </c>
      <c r="E390" s="554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67"/>
      <c r="R390" s="567"/>
      <c r="S390" s="567"/>
      <c r="T390" s="568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4301031406</v>
      </c>
      <c r="D391" s="553">
        <v>4680115886117</v>
      </c>
      <c r="E391" s="554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86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67"/>
      <c r="R391" s="567"/>
      <c r="S391" s="567"/>
      <c r="T391" s="568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4301031402</v>
      </c>
      <c r="D392" s="553">
        <v>4680115886124</v>
      </c>
      <c r="E392" s="554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8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67"/>
      <c r="R392" s="567"/>
      <c r="S392" s="567"/>
      <c r="T392" s="568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619</v>
      </c>
      <c r="B393" s="54" t="s">
        <v>620</v>
      </c>
      <c r="C393" s="31">
        <v>4301031366</v>
      </c>
      <c r="D393" s="553">
        <v>4680115883147</v>
      </c>
      <c r="E393" s="554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67"/>
      <c r="R393" s="567"/>
      <c r="S393" s="567"/>
      <c r="T393" s="568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621</v>
      </c>
      <c r="B394" s="54" t="s">
        <v>622</v>
      </c>
      <c r="C394" s="31">
        <v>4301031362</v>
      </c>
      <c r="D394" s="553">
        <v>4607091384338</v>
      </c>
      <c r="E394" s="554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84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67"/>
      <c r="R394" s="567"/>
      <c r="S394" s="567"/>
      <c r="T394" s="568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hidden="1" customHeight="1" x14ac:dyDescent="0.25">
      <c r="A395" s="54" t="s">
        <v>623</v>
      </c>
      <c r="B395" s="54" t="s">
        <v>624</v>
      </c>
      <c r="C395" s="31">
        <v>4301031361</v>
      </c>
      <c r="D395" s="553">
        <v>4607091389524</v>
      </c>
      <c r="E395" s="554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0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67"/>
      <c r="R395" s="567"/>
      <c r="S395" s="567"/>
      <c r="T395" s="568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4301031364</v>
      </c>
      <c r="D396" s="553">
        <v>4680115883161</v>
      </c>
      <c r="E396" s="554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629</v>
      </c>
      <c r="B397" s="54" t="s">
        <v>630</v>
      </c>
      <c r="C397" s="31">
        <v>4301031358</v>
      </c>
      <c r="D397" s="553">
        <v>4607091389531</v>
      </c>
      <c r="E397" s="554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67"/>
      <c r="R397" s="567"/>
      <c r="S397" s="567"/>
      <c r="T397" s="568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632</v>
      </c>
      <c r="B398" s="54" t="s">
        <v>633</v>
      </c>
      <c r="C398" s="31">
        <v>4301031360</v>
      </c>
      <c r="D398" s="553">
        <v>4607091384345</v>
      </c>
      <c r="E398" s="554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idden="1" x14ac:dyDescent="0.2">
      <c r="A399" s="560"/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2"/>
      <c r="P399" s="557" t="s">
        <v>75</v>
      </c>
      <c r="Q399" s="558"/>
      <c r="R399" s="558"/>
      <c r="S399" s="558"/>
      <c r="T399" s="558"/>
      <c r="U399" s="558"/>
      <c r="V399" s="559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0</v>
      </c>
      <c r="Y399" s="549">
        <f>IFERROR(Y390/H390,"0")+IFERROR(Y391/H391,"0")+IFERROR(Y392/H392,"0")+IFERROR(Y393/H393,"0")+IFERROR(Y394/H394,"0")+IFERROR(Y395/H395,"0")+IFERROR(Y396/H396,"0")+IFERROR(Y397/H397,"0")+IFERROR(Y398/H398,"0")</f>
        <v>0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50"/>
      <c r="AB399" s="550"/>
      <c r="AC399" s="550"/>
    </row>
    <row r="400" spans="1:68" hidden="1" x14ac:dyDescent="0.2">
      <c r="A400" s="561"/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2"/>
      <c r="P400" s="557" t="s">
        <v>75</v>
      </c>
      <c r="Q400" s="558"/>
      <c r="R400" s="558"/>
      <c r="S400" s="558"/>
      <c r="T400" s="558"/>
      <c r="U400" s="558"/>
      <c r="V400" s="559"/>
      <c r="W400" s="37" t="s">
        <v>69</v>
      </c>
      <c r="X400" s="549">
        <f>IFERROR(SUM(X390:X398),"0")</f>
        <v>0</v>
      </c>
      <c r="Y400" s="549">
        <f>IFERROR(SUM(Y390:Y398),"0")</f>
        <v>0</v>
      </c>
      <c r="Z400" s="37"/>
      <c r="AA400" s="550"/>
      <c r="AB400" s="550"/>
      <c r="AC400" s="550"/>
    </row>
    <row r="401" spans="1:68" ht="14.25" hidden="1" customHeight="1" x14ac:dyDescent="0.25">
      <c r="A401" s="563" t="s">
        <v>77</v>
      </c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43"/>
      <c r="AB401" s="543"/>
      <c r="AC401" s="543"/>
    </row>
    <row r="402" spans="1:68" ht="27" hidden="1" customHeight="1" x14ac:dyDescent="0.25">
      <c r="A402" s="54" t="s">
        <v>634</v>
      </c>
      <c r="B402" s="54" t="s">
        <v>635</v>
      </c>
      <c r="C402" s="31">
        <v>4301051284</v>
      </c>
      <c r="D402" s="553">
        <v>4607091384352</v>
      </c>
      <c r="E402" s="554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8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637</v>
      </c>
      <c r="B403" s="54" t="s">
        <v>638</v>
      </c>
      <c r="C403" s="31">
        <v>4301051431</v>
      </c>
      <c r="D403" s="553">
        <v>4607091389654</v>
      </c>
      <c r="E403" s="554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79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67"/>
      <c r="R403" s="567"/>
      <c r="S403" s="567"/>
      <c r="T403" s="568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60"/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2"/>
      <c r="P404" s="557" t="s">
        <v>75</v>
      </c>
      <c r="Q404" s="558"/>
      <c r="R404" s="558"/>
      <c r="S404" s="558"/>
      <c r="T404" s="558"/>
      <c r="U404" s="558"/>
      <c r="V404" s="559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hidden="1" x14ac:dyDescent="0.2">
      <c r="A405" s="561"/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2"/>
      <c r="P405" s="557" t="s">
        <v>75</v>
      </c>
      <c r="Q405" s="558"/>
      <c r="R405" s="558"/>
      <c r="S405" s="558"/>
      <c r="T405" s="558"/>
      <c r="U405" s="558"/>
      <c r="V405" s="559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hidden="1" customHeight="1" x14ac:dyDescent="0.25">
      <c r="A406" s="589" t="s">
        <v>640</v>
      </c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42"/>
      <c r="AB406" s="542"/>
      <c r="AC406" s="542"/>
    </row>
    <row r="407" spans="1:68" ht="14.25" hidden="1" customHeight="1" x14ac:dyDescent="0.25">
      <c r="A407" s="563" t="s">
        <v>139</v>
      </c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43"/>
      <c r="AB407" s="543"/>
      <c r="AC407" s="543"/>
    </row>
    <row r="408" spans="1:68" ht="27" hidden="1" customHeight="1" x14ac:dyDescent="0.25">
      <c r="A408" s="54" t="s">
        <v>641</v>
      </c>
      <c r="B408" s="54" t="s">
        <v>642</v>
      </c>
      <c r="C408" s="31">
        <v>4301020319</v>
      </c>
      <c r="D408" s="553">
        <v>4680115885240</v>
      </c>
      <c r="E408" s="554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73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67"/>
      <c r="R408" s="567"/>
      <c r="S408" s="567"/>
      <c r="T408" s="568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560"/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2"/>
      <c r="P409" s="557" t="s">
        <v>75</v>
      </c>
      <c r="Q409" s="558"/>
      <c r="R409" s="558"/>
      <c r="S409" s="558"/>
      <c r="T409" s="558"/>
      <c r="U409" s="558"/>
      <c r="V409" s="559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hidden="1" x14ac:dyDescent="0.2">
      <c r="A410" s="561"/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2"/>
      <c r="P410" s="557" t="s">
        <v>75</v>
      </c>
      <c r="Q410" s="558"/>
      <c r="R410" s="558"/>
      <c r="S410" s="558"/>
      <c r="T410" s="558"/>
      <c r="U410" s="558"/>
      <c r="V410" s="559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hidden="1" customHeight="1" x14ac:dyDescent="0.25">
      <c r="A411" s="563" t="s">
        <v>64</v>
      </c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43"/>
      <c r="AB411" s="543"/>
      <c r="AC411" s="543"/>
    </row>
    <row r="412" spans="1:68" ht="27" hidden="1" customHeight="1" x14ac:dyDescent="0.25">
      <c r="A412" s="54" t="s">
        <v>644</v>
      </c>
      <c r="B412" s="54" t="s">
        <v>645</v>
      </c>
      <c r="C412" s="31">
        <v>4301031403</v>
      </c>
      <c r="D412" s="553">
        <v>4680115886094</v>
      </c>
      <c r="E412" s="554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6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4301031363</v>
      </c>
      <c r="D413" s="553">
        <v>4607091389425</v>
      </c>
      <c r="E413" s="554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67"/>
      <c r="R413" s="567"/>
      <c r="S413" s="567"/>
      <c r="T413" s="568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4301031373</v>
      </c>
      <c r="D414" s="553">
        <v>4680115880771</v>
      </c>
      <c r="E414" s="554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67"/>
      <c r="R414" s="567"/>
      <c r="S414" s="567"/>
      <c r="T414" s="568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653</v>
      </c>
      <c r="B415" s="54" t="s">
        <v>654</v>
      </c>
      <c r="C415" s="31">
        <v>4301031359</v>
      </c>
      <c r="D415" s="553">
        <v>4607091389500</v>
      </c>
      <c r="E415" s="554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67"/>
      <c r="R415" s="567"/>
      <c r="S415" s="567"/>
      <c r="T415" s="568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60"/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2"/>
      <c r="P416" s="557" t="s">
        <v>75</v>
      </c>
      <c r="Q416" s="558"/>
      <c r="R416" s="558"/>
      <c r="S416" s="558"/>
      <c r="T416" s="558"/>
      <c r="U416" s="558"/>
      <c r="V416" s="559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hidden="1" x14ac:dyDescent="0.2">
      <c r="A417" s="561"/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2"/>
      <c r="P417" s="557" t="s">
        <v>75</v>
      </c>
      <c r="Q417" s="558"/>
      <c r="R417" s="558"/>
      <c r="S417" s="558"/>
      <c r="T417" s="558"/>
      <c r="U417" s="558"/>
      <c r="V417" s="559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hidden="1" customHeight="1" x14ac:dyDescent="0.25">
      <c r="A418" s="589" t="s">
        <v>655</v>
      </c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42"/>
      <c r="AB418" s="542"/>
      <c r="AC418" s="542"/>
    </row>
    <row r="419" spans="1:68" ht="14.25" hidden="1" customHeight="1" x14ac:dyDescent="0.25">
      <c r="A419" s="563" t="s">
        <v>64</v>
      </c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43"/>
      <c r="AB419" s="543"/>
      <c r="AC419" s="543"/>
    </row>
    <row r="420" spans="1:68" ht="27" hidden="1" customHeight="1" x14ac:dyDescent="0.25">
      <c r="A420" s="54" t="s">
        <v>656</v>
      </c>
      <c r="B420" s="54" t="s">
        <v>657</v>
      </c>
      <c r="C420" s="31">
        <v>4301031347</v>
      </c>
      <c r="D420" s="553">
        <v>4680115885110</v>
      </c>
      <c r="E420" s="554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63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67"/>
      <c r="R420" s="567"/>
      <c r="S420" s="567"/>
      <c r="T420" s="568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560"/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2"/>
      <c r="P421" s="557" t="s">
        <v>75</v>
      </c>
      <c r="Q421" s="558"/>
      <c r="R421" s="558"/>
      <c r="S421" s="558"/>
      <c r="T421" s="558"/>
      <c r="U421" s="558"/>
      <c r="V421" s="559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hidden="1" x14ac:dyDescent="0.2">
      <c r="A422" s="561"/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2"/>
      <c r="P422" s="557" t="s">
        <v>75</v>
      </c>
      <c r="Q422" s="558"/>
      <c r="R422" s="558"/>
      <c r="S422" s="558"/>
      <c r="T422" s="558"/>
      <c r="U422" s="558"/>
      <c r="V422" s="559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hidden="1" customHeight="1" x14ac:dyDescent="0.2">
      <c r="A423" s="652" t="s">
        <v>659</v>
      </c>
      <c r="B423" s="653"/>
      <c r="C423" s="653"/>
      <c r="D423" s="653"/>
      <c r="E423" s="653"/>
      <c r="F423" s="653"/>
      <c r="G423" s="653"/>
      <c r="H423" s="653"/>
      <c r="I423" s="653"/>
      <c r="J423" s="653"/>
      <c r="K423" s="653"/>
      <c r="L423" s="653"/>
      <c r="M423" s="653"/>
      <c r="N423" s="653"/>
      <c r="O423" s="653"/>
      <c r="P423" s="653"/>
      <c r="Q423" s="653"/>
      <c r="R423" s="653"/>
      <c r="S423" s="653"/>
      <c r="T423" s="653"/>
      <c r="U423" s="653"/>
      <c r="V423" s="653"/>
      <c r="W423" s="653"/>
      <c r="X423" s="653"/>
      <c r="Y423" s="653"/>
      <c r="Z423" s="653"/>
      <c r="AA423" s="48"/>
      <c r="AB423" s="48"/>
      <c r="AC423" s="48"/>
    </row>
    <row r="424" spans="1:68" ht="16.5" hidden="1" customHeight="1" x14ac:dyDescent="0.25">
      <c r="A424" s="589" t="s">
        <v>659</v>
      </c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42"/>
      <c r="AB424" s="542"/>
      <c r="AC424" s="542"/>
    </row>
    <row r="425" spans="1:68" ht="14.25" hidden="1" customHeight="1" x14ac:dyDescent="0.25">
      <c r="A425" s="563" t="s">
        <v>104</v>
      </c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43"/>
      <c r="AB425" s="543"/>
      <c r="AC425" s="543"/>
    </row>
    <row r="426" spans="1:68" ht="27" customHeight="1" x14ac:dyDescent="0.25">
      <c r="A426" s="54" t="s">
        <v>660</v>
      </c>
      <c r="B426" s="54" t="s">
        <v>661</v>
      </c>
      <c r="C426" s="31">
        <v>4301011795</v>
      </c>
      <c r="D426" s="553">
        <v>4607091389067</v>
      </c>
      <c r="E426" s="554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8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67"/>
      <c r="R426" s="567"/>
      <c r="S426" s="567"/>
      <c r="T426" s="568"/>
      <c r="U426" s="34"/>
      <c r="V426" s="34"/>
      <c r="W426" s="35" t="s">
        <v>69</v>
      </c>
      <c r="X426" s="547">
        <v>100</v>
      </c>
      <c r="Y426" s="548">
        <f t="shared" ref="Y426:Y437" si="47">IFERROR(IF(X426="",0,CEILING((X426/$H426),1)*$H426),"")</f>
        <v>100.32000000000001</v>
      </c>
      <c r="Z426" s="36">
        <f t="shared" ref="Z426:Z432" si="48">IFERROR(IF(Y426=0,"",ROUNDUP(Y426/H426,0)*0.01196),"")</f>
        <v>0.22724</v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106.62878787878788</v>
      </c>
      <c r="BN426" s="64">
        <f t="shared" ref="BN426:BN437" si="50">IFERROR(Y426*I426/H426,"0")</f>
        <v>106.97</v>
      </c>
      <c r="BO426" s="64">
        <f t="shared" ref="BO426:BO437" si="51">IFERROR(1/J426*(X426/H426),"0")</f>
        <v>0.18210955710955709</v>
      </c>
      <c r="BP426" s="64">
        <f t="shared" ref="BP426:BP437" si="52">IFERROR(1/J426*(Y426/H426),"0")</f>
        <v>0.18269230769230771</v>
      </c>
    </row>
    <row r="427" spans="1:68" ht="27" hidden="1" customHeight="1" x14ac:dyDescent="0.25">
      <c r="A427" s="54" t="s">
        <v>662</v>
      </c>
      <c r="B427" s="54" t="s">
        <v>663</v>
      </c>
      <c r="C427" s="31">
        <v>4301012210</v>
      </c>
      <c r="D427" s="553">
        <v>4607091383522</v>
      </c>
      <c r="E427" s="554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654" t="s">
        <v>664</v>
      </c>
      <c r="Q427" s="567"/>
      <c r="R427" s="567"/>
      <c r="S427" s="567"/>
      <c r="T427" s="568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666</v>
      </c>
      <c r="C428" s="31">
        <v>4301012145</v>
      </c>
      <c r="D428" s="553">
        <v>4607091383522</v>
      </c>
      <c r="E428" s="554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79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7"/>
      <c r="R428" s="567"/>
      <c r="S428" s="567"/>
      <c r="T428" s="568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4301011961</v>
      </c>
      <c r="D429" s="553">
        <v>4680115885271</v>
      </c>
      <c r="E429" s="554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8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67"/>
      <c r="R429" s="567"/>
      <c r="S429" s="567"/>
      <c r="T429" s="568"/>
      <c r="U429" s="34"/>
      <c r="V429" s="34"/>
      <c r="W429" s="35" t="s">
        <v>69</v>
      </c>
      <c r="X429" s="547">
        <v>400</v>
      </c>
      <c r="Y429" s="548">
        <f t="shared" si="47"/>
        <v>401.28000000000003</v>
      </c>
      <c r="Z429" s="36">
        <f t="shared" si="48"/>
        <v>0.90895999999999999</v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426.5151515151515</v>
      </c>
      <c r="BN429" s="64">
        <f t="shared" si="50"/>
        <v>427.88</v>
      </c>
      <c r="BO429" s="64">
        <f t="shared" si="51"/>
        <v>0.72843822843822836</v>
      </c>
      <c r="BP429" s="64">
        <f t="shared" si="52"/>
        <v>0.73076923076923084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3">
        <v>4680115885226</v>
      </c>
      <c r="E430" s="554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6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67"/>
      <c r="R430" s="567"/>
      <c r="S430" s="567"/>
      <c r="T430" s="568"/>
      <c r="U430" s="34"/>
      <c r="V430" s="34"/>
      <c r="W430" s="35" t="s">
        <v>69</v>
      </c>
      <c r="X430" s="547">
        <v>1500</v>
      </c>
      <c r="Y430" s="548">
        <f t="shared" si="47"/>
        <v>1504.8000000000002</v>
      </c>
      <c r="Z430" s="36">
        <f t="shared" si="48"/>
        <v>3.4085999999999999</v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1599.431818181818</v>
      </c>
      <c r="BN430" s="64">
        <f t="shared" si="50"/>
        <v>1604.5500000000002</v>
      </c>
      <c r="BO430" s="64">
        <f t="shared" si="51"/>
        <v>2.7316433566433567</v>
      </c>
      <c r="BP430" s="64">
        <f t="shared" si="52"/>
        <v>2.7403846153846154</v>
      </c>
    </row>
    <row r="431" spans="1:68" ht="16.5" hidden="1" customHeight="1" x14ac:dyDescent="0.25">
      <c r="A431" s="54" t="s">
        <v>673</v>
      </c>
      <c r="B431" s="54" t="s">
        <v>674</v>
      </c>
      <c r="C431" s="31">
        <v>4301011774</v>
      </c>
      <c r="D431" s="553">
        <v>4680115884502</v>
      </c>
      <c r="E431" s="554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7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67"/>
      <c r="R431" s="567"/>
      <c r="S431" s="567"/>
      <c r="T431" s="568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3">
        <v>4607091389104</v>
      </c>
      <c r="E432" s="554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8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67"/>
      <c r="R432" s="567"/>
      <c r="S432" s="567"/>
      <c r="T432" s="568"/>
      <c r="U432" s="34"/>
      <c r="V432" s="34"/>
      <c r="W432" s="35" t="s">
        <v>69</v>
      </c>
      <c r="X432" s="547">
        <v>1500</v>
      </c>
      <c r="Y432" s="548">
        <f t="shared" si="47"/>
        <v>1504.8000000000002</v>
      </c>
      <c r="Z432" s="36">
        <f t="shared" si="48"/>
        <v>3.4085999999999999</v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1599.431818181818</v>
      </c>
      <c r="BN432" s="64">
        <f t="shared" si="50"/>
        <v>1604.5500000000002</v>
      </c>
      <c r="BO432" s="64">
        <f t="shared" si="51"/>
        <v>2.7316433566433567</v>
      </c>
      <c r="BP432" s="64">
        <f t="shared" si="52"/>
        <v>2.7403846153846154</v>
      </c>
    </row>
    <row r="433" spans="1:68" ht="27" hidden="1" customHeight="1" x14ac:dyDescent="0.25">
      <c r="A433" s="54" t="s">
        <v>679</v>
      </c>
      <c r="B433" s="54" t="s">
        <v>680</v>
      </c>
      <c r="C433" s="31">
        <v>4301012125</v>
      </c>
      <c r="D433" s="553">
        <v>4680115886391</v>
      </c>
      <c r="E433" s="554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5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67"/>
      <c r="R433" s="567"/>
      <c r="S433" s="567"/>
      <c r="T433" s="568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681</v>
      </c>
      <c r="B434" s="54" t="s">
        <v>682</v>
      </c>
      <c r="C434" s="31">
        <v>4301012035</v>
      </c>
      <c r="D434" s="553">
        <v>4680115880603</v>
      </c>
      <c r="E434" s="554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6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683</v>
      </c>
      <c r="B435" s="54" t="s">
        <v>684</v>
      </c>
      <c r="C435" s="31">
        <v>4301012036</v>
      </c>
      <c r="D435" s="553">
        <v>4680115882782</v>
      </c>
      <c r="E435" s="554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59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4301012050</v>
      </c>
      <c r="D436" s="553">
        <v>4680115885479</v>
      </c>
      <c r="E436" s="554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64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688</v>
      </c>
      <c r="B437" s="54" t="s">
        <v>689</v>
      </c>
      <c r="C437" s="31">
        <v>4301012034</v>
      </c>
      <c r="D437" s="553">
        <v>4607091389982</v>
      </c>
      <c r="E437" s="554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6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67"/>
      <c r="R437" s="567"/>
      <c r="S437" s="567"/>
      <c r="T437" s="568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60"/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2"/>
      <c r="P438" s="557" t="s">
        <v>75</v>
      </c>
      <c r="Q438" s="558"/>
      <c r="R438" s="558"/>
      <c r="S438" s="558"/>
      <c r="T438" s="558"/>
      <c r="U438" s="558"/>
      <c r="V438" s="559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662.87878787878776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665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7.9534000000000002</v>
      </c>
      <c r="AA438" s="550"/>
      <c r="AB438" s="550"/>
      <c r="AC438" s="550"/>
    </row>
    <row r="439" spans="1:68" x14ac:dyDescent="0.2">
      <c r="A439" s="561"/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2"/>
      <c r="P439" s="557" t="s">
        <v>75</v>
      </c>
      <c r="Q439" s="558"/>
      <c r="R439" s="558"/>
      <c r="S439" s="558"/>
      <c r="T439" s="558"/>
      <c r="U439" s="558"/>
      <c r="V439" s="559"/>
      <c r="W439" s="37" t="s">
        <v>69</v>
      </c>
      <c r="X439" s="549">
        <f>IFERROR(SUM(X426:X437),"0")</f>
        <v>3500</v>
      </c>
      <c r="Y439" s="549">
        <f>IFERROR(SUM(Y426:Y437),"0")</f>
        <v>3511.2000000000003</v>
      </c>
      <c r="Z439" s="37"/>
      <c r="AA439" s="550"/>
      <c r="AB439" s="550"/>
      <c r="AC439" s="550"/>
    </row>
    <row r="440" spans="1:68" ht="14.25" hidden="1" customHeight="1" x14ac:dyDescent="0.25">
      <c r="A440" s="563" t="s">
        <v>139</v>
      </c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3">
        <v>4607091388930</v>
      </c>
      <c r="E441" s="554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3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67"/>
      <c r="R441" s="567"/>
      <c r="S441" s="567"/>
      <c r="T441" s="568"/>
      <c r="U441" s="34"/>
      <c r="V441" s="34"/>
      <c r="W441" s="35" t="s">
        <v>69</v>
      </c>
      <c r="X441" s="547">
        <v>1000</v>
      </c>
      <c r="Y441" s="548">
        <f>IFERROR(IF(X441="",0,CEILING((X441/$H441),1)*$H441),"")</f>
        <v>1003.2</v>
      </c>
      <c r="Z441" s="36">
        <f>IFERROR(IF(Y441=0,"",ROUNDUP(Y441/H441,0)*0.01196),"")</f>
        <v>2.2724000000000002</v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1066.2878787878788</v>
      </c>
      <c r="BN441" s="64">
        <f>IFERROR(Y441*I441/H441,"0")</f>
        <v>1069.7</v>
      </c>
      <c r="BO441" s="64">
        <f>IFERROR(1/J441*(X441/H441),"0")</f>
        <v>1.821095571095571</v>
      </c>
      <c r="BP441" s="64">
        <f>IFERROR(1/J441*(Y441/H441),"0")</f>
        <v>1.8269230769230771</v>
      </c>
    </row>
    <row r="442" spans="1:68" ht="16.5" hidden="1" customHeight="1" x14ac:dyDescent="0.25">
      <c r="A442" s="54" t="s">
        <v>693</v>
      </c>
      <c r="B442" s="54" t="s">
        <v>694</v>
      </c>
      <c r="C442" s="31">
        <v>4301020384</v>
      </c>
      <c r="D442" s="553">
        <v>4680115886407</v>
      </c>
      <c r="E442" s="554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6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67"/>
      <c r="R442" s="567"/>
      <c r="S442" s="567"/>
      <c r="T442" s="568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695</v>
      </c>
      <c r="B443" s="54" t="s">
        <v>696</v>
      </c>
      <c r="C443" s="31">
        <v>4301020385</v>
      </c>
      <c r="D443" s="553">
        <v>4680115880054</v>
      </c>
      <c r="E443" s="554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8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67"/>
      <c r="R443" s="567"/>
      <c r="S443" s="567"/>
      <c r="T443" s="568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0"/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2"/>
      <c r="P444" s="557" t="s">
        <v>75</v>
      </c>
      <c r="Q444" s="558"/>
      <c r="R444" s="558"/>
      <c r="S444" s="558"/>
      <c r="T444" s="558"/>
      <c r="U444" s="558"/>
      <c r="V444" s="559"/>
      <c r="W444" s="37" t="s">
        <v>76</v>
      </c>
      <c r="X444" s="549">
        <f>IFERROR(X441/H441,"0")+IFERROR(X442/H442,"0")+IFERROR(X443/H443,"0")</f>
        <v>189.39393939393938</v>
      </c>
      <c r="Y444" s="549">
        <f>IFERROR(Y441/H441,"0")+IFERROR(Y442/H442,"0")+IFERROR(Y443/H443,"0")</f>
        <v>190</v>
      </c>
      <c r="Z444" s="549">
        <f>IFERROR(IF(Z441="",0,Z441),"0")+IFERROR(IF(Z442="",0,Z442),"0")+IFERROR(IF(Z443="",0,Z443),"0")</f>
        <v>2.2724000000000002</v>
      </c>
      <c r="AA444" s="550"/>
      <c r="AB444" s="550"/>
      <c r="AC444" s="550"/>
    </row>
    <row r="445" spans="1:68" x14ac:dyDescent="0.2">
      <c r="A445" s="561"/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2"/>
      <c r="P445" s="557" t="s">
        <v>75</v>
      </c>
      <c r="Q445" s="558"/>
      <c r="R445" s="558"/>
      <c r="S445" s="558"/>
      <c r="T445" s="558"/>
      <c r="U445" s="558"/>
      <c r="V445" s="559"/>
      <c r="W445" s="37" t="s">
        <v>69</v>
      </c>
      <c r="X445" s="549">
        <f>IFERROR(SUM(X441:X443),"0")</f>
        <v>1000</v>
      </c>
      <c r="Y445" s="549">
        <f>IFERROR(SUM(Y441:Y443),"0")</f>
        <v>1003.2</v>
      </c>
      <c r="Z445" s="37"/>
      <c r="AA445" s="550"/>
      <c r="AB445" s="550"/>
      <c r="AC445" s="550"/>
    </row>
    <row r="446" spans="1:68" ht="14.25" hidden="1" customHeight="1" x14ac:dyDescent="0.25">
      <c r="A446" s="563" t="s">
        <v>64</v>
      </c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3">
        <v>4680115883116</v>
      </c>
      <c r="E447" s="554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60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47">
        <v>700</v>
      </c>
      <c r="Y447" s="548">
        <f t="shared" ref="Y447:Y452" si="53">IFERROR(IF(X447="",0,CEILING((X447/$H447),1)*$H447),"")</f>
        <v>702.24</v>
      </c>
      <c r="Z447" s="36">
        <f>IFERROR(IF(Y447=0,"",ROUNDUP(Y447/H447,0)*0.01196),"")</f>
        <v>1.5906800000000001</v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746.40151515151513</v>
      </c>
      <c r="BN447" s="64">
        <f t="shared" ref="BN447:BN452" si="55">IFERROR(Y447*I447/H447,"0")</f>
        <v>748.79</v>
      </c>
      <c r="BO447" s="64">
        <f t="shared" ref="BO447:BO452" si="56">IFERROR(1/J447*(X447/H447),"0")</f>
        <v>1.2747668997668997</v>
      </c>
      <c r="BP447" s="64">
        <f t="shared" ref="BP447:BP452" si="57">IFERROR(1/J447*(Y447/H447),"0")</f>
        <v>1.278846153846154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3">
        <v>4680115883093</v>
      </c>
      <c r="E448" s="554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67"/>
      <c r="R448" s="567"/>
      <c r="S448" s="567"/>
      <c r="T448" s="568"/>
      <c r="U448" s="34"/>
      <c r="V448" s="34"/>
      <c r="W448" s="35" t="s">
        <v>69</v>
      </c>
      <c r="X448" s="547">
        <v>700</v>
      </c>
      <c r="Y448" s="548">
        <f t="shared" si="53"/>
        <v>702.24</v>
      </c>
      <c r="Z448" s="36">
        <f>IFERROR(IF(Y448=0,"",ROUNDUP(Y448/H448,0)*0.01196),"")</f>
        <v>1.5906800000000001</v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746.40151515151513</v>
      </c>
      <c r="BN448" s="64">
        <f t="shared" si="55"/>
        <v>748.79</v>
      </c>
      <c r="BO448" s="64">
        <f t="shared" si="56"/>
        <v>1.2747668997668997</v>
      </c>
      <c r="BP448" s="64">
        <f t="shared" si="57"/>
        <v>1.278846153846154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3">
        <v>4680115883109</v>
      </c>
      <c r="E449" s="554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5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67"/>
      <c r="R449" s="567"/>
      <c r="S449" s="567"/>
      <c r="T449" s="568"/>
      <c r="U449" s="34"/>
      <c r="V449" s="34"/>
      <c r="W449" s="35" t="s">
        <v>69</v>
      </c>
      <c r="X449" s="547">
        <v>1000</v>
      </c>
      <c r="Y449" s="548">
        <f t="shared" si="53"/>
        <v>1003.2</v>
      </c>
      <c r="Z449" s="36">
        <f>IFERROR(IF(Y449=0,"",ROUNDUP(Y449/H449,0)*0.01196),"")</f>
        <v>2.2724000000000002</v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1066.2878787878788</v>
      </c>
      <c r="BN449" s="64">
        <f t="shared" si="55"/>
        <v>1069.7</v>
      </c>
      <c r="BO449" s="64">
        <f t="shared" si="56"/>
        <v>1.821095571095571</v>
      </c>
      <c r="BP449" s="64">
        <f t="shared" si="57"/>
        <v>1.8269230769230771</v>
      </c>
    </row>
    <row r="450" spans="1:68" ht="27" hidden="1" customHeight="1" x14ac:dyDescent="0.25">
      <c r="A450" s="54" t="s">
        <v>706</v>
      </c>
      <c r="B450" s="54" t="s">
        <v>707</v>
      </c>
      <c r="C450" s="31">
        <v>4301031419</v>
      </c>
      <c r="D450" s="553">
        <v>4680115882072</v>
      </c>
      <c r="E450" s="554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7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67"/>
      <c r="R450" s="567"/>
      <c r="S450" s="567"/>
      <c r="T450" s="568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708</v>
      </c>
      <c r="B451" s="54" t="s">
        <v>709</v>
      </c>
      <c r="C451" s="31">
        <v>4301031418</v>
      </c>
      <c r="D451" s="553">
        <v>4680115882102</v>
      </c>
      <c r="E451" s="554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8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67"/>
      <c r="R451" s="567"/>
      <c r="S451" s="567"/>
      <c r="T451" s="568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710</v>
      </c>
      <c r="B452" s="54" t="s">
        <v>711</v>
      </c>
      <c r="C452" s="31">
        <v>4301031417</v>
      </c>
      <c r="D452" s="553">
        <v>4680115882096</v>
      </c>
      <c r="E452" s="554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6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67"/>
      <c r="R452" s="567"/>
      <c r="S452" s="567"/>
      <c r="T452" s="568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0"/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2"/>
      <c r="P453" s="557" t="s">
        <v>75</v>
      </c>
      <c r="Q453" s="558"/>
      <c r="R453" s="558"/>
      <c r="S453" s="558"/>
      <c r="T453" s="558"/>
      <c r="U453" s="558"/>
      <c r="V453" s="559"/>
      <c r="W453" s="37" t="s">
        <v>76</v>
      </c>
      <c r="X453" s="549">
        <f>IFERROR(X447/H447,"0")+IFERROR(X448/H448,"0")+IFERROR(X449/H449,"0")+IFERROR(X450/H450,"0")+IFERROR(X451/H451,"0")+IFERROR(X452/H452,"0")</f>
        <v>454.5454545454545</v>
      </c>
      <c r="Y453" s="549">
        <f>IFERROR(Y447/H447,"0")+IFERROR(Y448/H448,"0")+IFERROR(Y449/H449,"0")+IFERROR(Y450/H450,"0")+IFERROR(Y451/H451,"0")+IFERROR(Y452/H452,"0")</f>
        <v>456</v>
      </c>
      <c r="Z453" s="549">
        <f>IFERROR(IF(Z447="",0,Z447),"0")+IFERROR(IF(Z448="",0,Z448),"0")+IFERROR(IF(Z449="",0,Z449),"0")+IFERROR(IF(Z450="",0,Z450),"0")+IFERROR(IF(Z451="",0,Z451),"0")+IFERROR(IF(Z452="",0,Z452),"0")</f>
        <v>5.4537600000000008</v>
      </c>
      <c r="AA453" s="550"/>
      <c r="AB453" s="550"/>
      <c r="AC453" s="550"/>
    </row>
    <row r="454" spans="1:68" x14ac:dyDescent="0.2">
      <c r="A454" s="561"/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2"/>
      <c r="P454" s="557" t="s">
        <v>75</v>
      </c>
      <c r="Q454" s="558"/>
      <c r="R454" s="558"/>
      <c r="S454" s="558"/>
      <c r="T454" s="558"/>
      <c r="U454" s="558"/>
      <c r="V454" s="559"/>
      <c r="W454" s="37" t="s">
        <v>69</v>
      </c>
      <c r="X454" s="549">
        <f>IFERROR(SUM(X447:X452),"0")</f>
        <v>2400</v>
      </c>
      <c r="Y454" s="549">
        <f>IFERROR(SUM(Y447:Y452),"0")</f>
        <v>2407.6800000000003</v>
      </c>
      <c r="Z454" s="37"/>
      <c r="AA454" s="550"/>
      <c r="AB454" s="550"/>
      <c r="AC454" s="550"/>
    </row>
    <row r="455" spans="1:68" ht="14.25" hidden="1" customHeight="1" x14ac:dyDescent="0.25">
      <c r="A455" s="563" t="s">
        <v>77</v>
      </c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43"/>
      <c r="AB455" s="543"/>
      <c r="AC455" s="543"/>
    </row>
    <row r="456" spans="1:68" ht="27" hidden="1" customHeight="1" x14ac:dyDescent="0.25">
      <c r="A456" s="54" t="s">
        <v>712</v>
      </c>
      <c r="B456" s="54" t="s">
        <v>713</v>
      </c>
      <c r="C456" s="31">
        <v>4301051064</v>
      </c>
      <c r="D456" s="553">
        <v>4680115883536</v>
      </c>
      <c r="E456" s="554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8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67"/>
      <c r="R456" s="567"/>
      <c r="S456" s="567"/>
      <c r="T456" s="568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560"/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2"/>
      <c r="P457" s="557" t="s">
        <v>75</v>
      </c>
      <c r="Q457" s="558"/>
      <c r="R457" s="558"/>
      <c r="S457" s="558"/>
      <c r="T457" s="558"/>
      <c r="U457" s="558"/>
      <c r="V457" s="559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hidden="1" x14ac:dyDescent="0.2">
      <c r="A458" s="561"/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2"/>
      <c r="P458" s="557" t="s">
        <v>75</v>
      </c>
      <c r="Q458" s="558"/>
      <c r="R458" s="558"/>
      <c r="S458" s="558"/>
      <c r="T458" s="558"/>
      <c r="U458" s="558"/>
      <c r="V458" s="559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hidden="1" customHeight="1" x14ac:dyDescent="0.2">
      <c r="A459" s="652" t="s">
        <v>715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48"/>
      <c r="AB459" s="48"/>
      <c r="AC459" s="48"/>
    </row>
    <row r="460" spans="1:68" ht="16.5" hidden="1" customHeight="1" x14ac:dyDescent="0.25">
      <c r="A460" s="589" t="s">
        <v>715</v>
      </c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42"/>
      <c r="AB460" s="542"/>
      <c r="AC460" s="542"/>
    </row>
    <row r="461" spans="1:68" ht="14.25" hidden="1" customHeight="1" x14ac:dyDescent="0.25">
      <c r="A461" s="563" t="s">
        <v>104</v>
      </c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43"/>
      <c r="AB461" s="543"/>
      <c r="AC461" s="543"/>
    </row>
    <row r="462" spans="1:68" ht="27" hidden="1" customHeight="1" x14ac:dyDescent="0.25">
      <c r="A462" s="54" t="s">
        <v>716</v>
      </c>
      <c r="B462" s="54" t="s">
        <v>717</v>
      </c>
      <c r="C462" s="31">
        <v>4301011763</v>
      </c>
      <c r="D462" s="553">
        <v>4640242181011</v>
      </c>
      <c r="E462" s="554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6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67"/>
      <c r="R462" s="567"/>
      <c r="S462" s="567"/>
      <c r="T462" s="568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4301011585</v>
      </c>
      <c r="D463" s="553">
        <v>4640242180441</v>
      </c>
      <c r="E463" s="554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64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67"/>
      <c r="R463" s="567"/>
      <c r="S463" s="567"/>
      <c r="T463" s="568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3">
        <v>4640242180564</v>
      </c>
      <c r="E464" s="554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81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67"/>
      <c r="R464" s="567"/>
      <c r="S464" s="567"/>
      <c r="T464" s="568"/>
      <c r="U464" s="34"/>
      <c r="V464" s="34"/>
      <c r="W464" s="35" t="s">
        <v>69</v>
      </c>
      <c r="X464" s="547">
        <v>200</v>
      </c>
      <c r="Y464" s="548">
        <f>IFERROR(IF(X464="",0,CEILING((X464/$H464),1)*$H464),"")</f>
        <v>204</v>
      </c>
      <c r="Z464" s="36">
        <f>IFERROR(IF(Y464=0,"",ROUNDUP(Y464/H464,0)*0.01898),"")</f>
        <v>0.32266</v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206.83333333333334</v>
      </c>
      <c r="BN464" s="64">
        <f>IFERROR(Y464*I464/H464,"0")</f>
        <v>210.97</v>
      </c>
      <c r="BO464" s="64">
        <f>IFERROR(1/J464*(X464/H464),"0")</f>
        <v>0.26041666666666669</v>
      </c>
      <c r="BP464" s="64">
        <f>IFERROR(1/J464*(Y464/H464),"0")</f>
        <v>0.265625</v>
      </c>
    </row>
    <row r="465" spans="1:68" ht="27" hidden="1" customHeight="1" x14ac:dyDescent="0.25">
      <c r="A465" s="54" t="s">
        <v>725</v>
      </c>
      <c r="B465" s="54" t="s">
        <v>726</v>
      </c>
      <c r="C465" s="31">
        <v>4301011764</v>
      </c>
      <c r="D465" s="553">
        <v>4640242181189</v>
      </c>
      <c r="E465" s="554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63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67"/>
      <c r="R465" s="567"/>
      <c r="S465" s="567"/>
      <c r="T465" s="568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0"/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2"/>
      <c r="P466" s="557" t="s">
        <v>75</v>
      </c>
      <c r="Q466" s="558"/>
      <c r="R466" s="558"/>
      <c r="S466" s="558"/>
      <c r="T466" s="558"/>
      <c r="U466" s="558"/>
      <c r="V466" s="559"/>
      <c r="W466" s="37" t="s">
        <v>76</v>
      </c>
      <c r="X466" s="549">
        <f>IFERROR(X462/H462,"0")+IFERROR(X463/H463,"0")+IFERROR(X464/H464,"0")+IFERROR(X465/H465,"0")</f>
        <v>16.666666666666668</v>
      </c>
      <c r="Y466" s="549">
        <f>IFERROR(Y462/H462,"0")+IFERROR(Y463/H463,"0")+IFERROR(Y464/H464,"0")+IFERROR(Y465/H465,"0")</f>
        <v>17</v>
      </c>
      <c r="Z466" s="549">
        <f>IFERROR(IF(Z462="",0,Z462),"0")+IFERROR(IF(Z463="",0,Z463),"0")+IFERROR(IF(Z464="",0,Z464),"0")+IFERROR(IF(Z465="",0,Z465),"0")</f>
        <v>0.32266</v>
      </c>
      <c r="AA466" s="550"/>
      <c r="AB466" s="550"/>
      <c r="AC466" s="550"/>
    </row>
    <row r="467" spans="1:68" x14ac:dyDescent="0.2">
      <c r="A467" s="561"/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2"/>
      <c r="P467" s="557" t="s">
        <v>75</v>
      </c>
      <c r="Q467" s="558"/>
      <c r="R467" s="558"/>
      <c r="S467" s="558"/>
      <c r="T467" s="558"/>
      <c r="U467" s="558"/>
      <c r="V467" s="559"/>
      <c r="W467" s="37" t="s">
        <v>69</v>
      </c>
      <c r="X467" s="549">
        <f>IFERROR(SUM(X462:X465),"0")</f>
        <v>200</v>
      </c>
      <c r="Y467" s="549">
        <f>IFERROR(SUM(Y462:Y465),"0")</f>
        <v>204</v>
      </c>
      <c r="Z467" s="37"/>
      <c r="AA467" s="550"/>
      <c r="AB467" s="550"/>
      <c r="AC467" s="550"/>
    </row>
    <row r="468" spans="1:68" ht="14.25" hidden="1" customHeight="1" x14ac:dyDescent="0.25">
      <c r="A468" s="563" t="s">
        <v>139</v>
      </c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43"/>
      <c r="AB468" s="543"/>
      <c r="AC468" s="543"/>
    </row>
    <row r="469" spans="1:68" ht="27" hidden="1" customHeight="1" x14ac:dyDescent="0.25">
      <c r="A469" s="54" t="s">
        <v>727</v>
      </c>
      <c r="B469" s="54" t="s">
        <v>728</v>
      </c>
      <c r="C469" s="31">
        <v>4301020400</v>
      </c>
      <c r="D469" s="553">
        <v>4640242180519</v>
      </c>
      <c r="E469" s="554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67"/>
      <c r="R469" s="567"/>
      <c r="S469" s="567"/>
      <c r="T469" s="568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730</v>
      </c>
      <c r="B470" s="54" t="s">
        <v>731</v>
      </c>
      <c r="C470" s="31">
        <v>4301020260</v>
      </c>
      <c r="D470" s="553">
        <v>4640242180526</v>
      </c>
      <c r="E470" s="554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66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67"/>
      <c r="R470" s="567"/>
      <c r="S470" s="567"/>
      <c r="T470" s="568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560"/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2"/>
      <c r="P471" s="557" t="s">
        <v>75</v>
      </c>
      <c r="Q471" s="558"/>
      <c r="R471" s="558"/>
      <c r="S471" s="558"/>
      <c r="T471" s="558"/>
      <c r="U471" s="558"/>
      <c r="V471" s="559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hidden="1" x14ac:dyDescent="0.2">
      <c r="A472" s="561"/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2"/>
      <c r="P472" s="557" t="s">
        <v>75</v>
      </c>
      <c r="Q472" s="558"/>
      <c r="R472" s="558"/>
      <c r="S472" s="558"/>
      <c r="T472" s="558"/>
      <c r="U472" s="558"/>
      <c r="V472" s="559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hidden="1" customHeight="1" x14ac:dyDescent="0.25">
      <c r="A473" s="563" t="s">
        <v>64</v>
      </c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43"/>
      <c r="AB473" s="543"/>
      <c r="AC473" s="543"/>
    </row>
    <row r="474" spans="1:68" ht="27" hidden="1" customHeight="1" x14ac:dyDescent="0.25">
      <c r="A474" s="54" t="s">
        <v>733</v>
      </c>
      <c r="B474" s="54" t="s">
        <v>734</v>
      </c>
      <c r="C474" s="31">
        <v>4301031280</v>
      </c>
      <c r="D474" s="553">
        <v>4640242180816</v>
      </c>
      <c r="E474" s="554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83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67"/>
      <c r="R474" s="567"/>
      <c r="S474" s="567"/>
      <c r="T474" s="568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hidden="1" customHeight="1" x14ac:dyDescent="0.25">
      <c r="A475" s="54" t="s">
        <v>736</v>
      </c>
      <c r="B475" s="54" t="s">
        <v>737</v>
      </c>
      <c r="C475" s="31">
        <v>4301031244</v>
      </c>
      <c r="D475" s="553">
        <v>4640242180595</v>
      </c>
      <c r="E475" s="554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67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7"/>
      <c r="R475" s="567"/>
      <c r="S475" s="567"/>
      <c r="T475" s="568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0"/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2"/>
      <c r="P476" s="557" t="s">
        <v>75</v>
      </c>
      <c r="Q476" s="558"/>
      <c r="R476" s="558"/>
      <c r="S476" s="558"/>
      <c r="T476" s="558"/>
      <c r="U476" s="558"/>
      <c r="V476" s="559"/>
      <c r="W476" s="37" t="s">
        <v>76</v>
      </c>
      <c r="X476" s="549">
        <f>IFERROR(X474/H474,"0")+IFERROR(X475/H475,"0")</f>
        <v>0</v>
      </c>
      <c r="Y476" s="549">
        <f>IFERROR(Y474/H474,"0")+IFERROR(Y475/H475,"0")</f>
        <v>0</v>
      </c>
      <c r="Z476" s="549">
        <f>IFERROR(IF(Z474="",0,Z474),"0")+IFERROR(IF(Z475="",0,Z475),"0")</f>
        <v>0</v>
      </c>
      <c r="AA476" s="550"/>
      <c r="AB476" s="550"/>
      <c r="AC476" s="550"/>
    </row>
    <row r="477" spans="1:68" hidden="1" x14ac:dyDescent="0.2">
      <c r="A477" s="561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57" t="s">
        <v>75</v>
      </c>
      <c r="Q477" s="558"/>
      <c r="R477" s="558"/>
      <c r="S477" s="558"/>
      <c r="T477" s="558"/>
      <c r="U477" s="558"/>
      <c r="V477" s="559"/>
      <c r="W477" s="37" t="s">
        <v>69</v>
      </c>
      <c r="X477" s="549">
        <f>IFERROR(SUM(X474:X475),"0")</f>
        <v>0</v>
      </c>
      <c r="Y477" s="549">
        <f>IFERROR(SUM(Y474:Y475),"0")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63" t="s">
        <v>77</v>
      </c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43"/>
      <c r="AB478" s="543"/>
      <c r="AC478" s="543"/>
    </row>
    <row r="479" spans="1:68" ht="27" customHeight="1" x14ac:dyDescent="0.25">
      <c r="A479" s="54" t="s">
        <v>739</v>
      </c>
      <c r="B479" s="54" t="s">
        <v>740</v>
      </c>
      <c r="C479" s="31">
        <v>4301052046</v>
      </c>
      <c r="D479" s="553">
        <v>4640242180533</v>
      </c>
      <c r="E479" s="554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8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47">
        <v>300</v>
      </c>
      <c r="Y479" s="548">
        <f>IFERROR(IF(X479="",0,CEILING((X479/$H479),1)*$H479),"")</f>
        <v>306</v>
      </c>
      <c r="Z479" s="36">
        <f>IFERROR(IF(Y479=0,"",ROUNDUP(Y479/H479,0)*0.01898),"")</f>
        <v>0.64532</v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316.46666666666664</v>
      </c>
      <c r="BN479" s="64">
        <f>IFERROR(Y479*I479/H479,"0")</f>
        <v>322.79599999999999</v>
      </c>
      <c r="BO479" s="64">
        <f>IFERROR(1/J479*(X479/H479),"0")</f>
        <v>0.52083333333333337</v>
      </c>
      <c r="BP479" s="64">
        <f>IFERROR(1/J479*(Y479/H479),"0")</f>
        <v>0.53125</v>
      </c>
    </row>
    <row r="480" spans="1:68" x14ac:dyDescent="0.2">
      <c r="A480" s="560"/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2"/>
      <c r="P480" s="557" t="s">
        <v>75</v>
      </c>
      <c r="Q480" s="558"/>
      <c r="R480" s="558"/>
      <c r="S480" s="558"/>
      <c r="T480" s="558"/>
      <c r="U480" s="558"/>
      <c r="V480" s="559"/>
      <c r="W480" s="37" t="s">
        <v>76</v>
      </c>
      <c r="X480" s="549">
        <f>IFERROR(X479/H479,"0")</f>
        <v>33.333333333333336</v>
      </c>
      <c r="Y480" s="549">
        <f>IFERROR(Y479/H479,"0")</f>
        <v>34</v>
      </c>
      <c r="Z480" s="549">
        <f>IFERROR(IF(Z479="",0,Z479),"0")</f>
        <v>0.64532</v>
      </c>
      <c r="AA480" s="550"/>
      <c r="AB480" s="550"/>
      <c r="AC480" s="550"/>
    </row>
    <row r="481" spans="1:68" x14ac:dyDescent="0.2">
      <c r="A481" s="561"/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2"/>
      <c r="P481" s="557" t="s">
        <v>75</v>
      </c>
      <c r="Q481" s="558"/>
      <c r="R481" s="558"/>
      <c r="S481" s="558"/>
      <c r="T481" s="558"/>
      <c r="U481" s="558"/>
      <c r="V481" s="559"/>
      <c r="W481" s="37" t="s">
        <v>69</v>
      </c>
      <c r="X481" s="549">
        <f>IFERROR(SUM(X479:X479),"0")</f>
        <v>300</v>
      </c>
      <c r="Y481" s="549">
        <f>IFERROR(SUM(Y479:Y479),"0")</f>
        <v>306</v>
      </c>
      <c r="Z481" s="37"/>
      <c r="AA481" s="550"/>
      <c r="AB481" s="550"/>
      <c r="AC481" s="550"/>
    </row>
    <row r="482" spans="1:68" ht="14.25" hidden="1" customHeight="1" x14ac:dyDescent="0.25">
      <c r="A482" s="563" t="s">
        <v>167</v>
      </c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43"/>
      <c r="AB482" s="543"/>
      <c r="AC482" s="543"/>
    </row>
    <row r="483" spans="1:68" ht="27" hidden="1" customHeight="1" x14ac:dyDescent="0.25">
      <c r="A483" s="54" t="s">
        <v>742</v>
      </c>
      <c r="B483" s="54" t="s">
        <v>743</v>
      </c>
      <c r="C483" s="31">
        <v>4301060491</v>
      </c>
      <c r="D483" s="553">
        <v>4640242180120</v>
      </c>
      <c r="E483" s="554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4301060493</v>
      </c>
      <c r="D484" s="553">
        <v>4640242180137</v>
      </c>
      <c r="E484" s="554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60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7"/>
      <c r="R484" s="567"/>
      <c r="S484" s="567"/>
      <c r="T484" s="568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0"/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2"/>
      <c r="P485" s="557" t="s">
        <v>75</v>
      </c>
      <c r="Q485" s="558"/>
      <c r="R485" s="558"/>
      <c r="S485" s="558"/>
      <c r="T485" s="558"/>
      <c r="U485" s="558"/>
      <c r="V485" s="559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61"/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2"/>
      <c r="P486" s="557" t="s">
        <v>75</v>
      </c>
      <c r="Q486" s="558"/>
      <c r="R486" s="558"/>
      <c r="S486" s="558"/>
      <c r="T486" s="558"/>
      <c r="U486" s="558"/>
      <c r="V486" s="559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89" t="s">
        <v>748</v>
      </c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42"/>
      <c r="AB487" s="542"/>
      <c r="AC487" s="542"/>
    </row>
    <row r="488" spans="1:68" ht="14.25" hidden="1" customHeight="1" x14ac:dyDescent="0.25">
      <c r="A488" s="563" t="s">
        <v>139</v>
      </c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43"/>
      <c r="AB488" s="543"/>
      <c r="AC488" s="543"/>
    </row>
    <row r="489" spans="1:68" ht="27" hidden="1" customHeight="1" x14ac:dyDescent="0.25">
      <c r="A489" s="54" t="s">
        <v>749</v>
      </c>
      <c r="B489" s="54" t="s">
        <v>750</v>
      </c>
      <c r="C489" s="31">
        <v>4301020314</v>
      </c>
      <c r="D489" s="553">
        <v>4640242180090</v>
      </c>
      <c r="E489" s="554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8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7"/>
      <c r="R489" s="567"/>
      <c r="S489" s="567"/>
      <c r="T489" s="568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0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2"/>
      <c r="P490" s="557" t="s">
        <v>75</v>
      </c>
      <c r="Q490" s="558"/>
      <c r="R490" s="558"/>
      <c r="S490" s="558"/>
      <c r="T490" s="558"/>
      <c r="U490" s="558"/>
      <c r="V490" s="559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2"/>
      <c r="P491" s="557" t="s">
        <v>75</v>
      </c>
      <c r="Q491" s="558"/>
      <c r="R491" s="558"/>
      <c r="S491" s="558"/>
      <c r="T491" s="558"/>
      <c r="U491" s="558"/>
      <c r="V491" s="559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673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674"/>
      <c r="P492" s="579" t="s">
        <v>752</v>
      </c>
      <c r="Q492" s="580"/>
      <c r="R492" s="580"/>
      <c r="S492" s="580"/>
      <c r="T492" s="580"/>
      <c r="U492" s="580"/>
      <c r="V492" s="581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15960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16040.280000000002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674"/>
      <c r="P493" s="579" t="s">
        <v>753</v>
      </c>
      <c r="Q493" s="580"/>
      <c r="R493" s="580"/>
      <c r="S493" s="580"/>
      <c r="T493" s="580"/>
      <c r="U493" s="580"/>
      <c r="V493" s="581"/>
      <c r="W493" s="37" t="s">
        <v>69</v>
      </c>
      <c r="X493" s="549">
        <f>IFERROR(SUM(BM22:BM489),"0")</f>
        <v>16918.443875507208</v>
      </c>
      <c r="Y493" s="549">
        <f>IFERROR(SUM(BN22:BN489),"0")</f>
        <v>17003.182000000001</v>
      </c>
      <c r="Z493" s="37"/>
      <c r="AA493" s="550"/>
      <c r="AB493" s="550"/>
      <c r="AC493" s="550"/>
    </row>
    <row r="494" spans="1:68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674"/>
      <c r="P494" s="579" t="s">
        <v>754</v>
      </c>
      <c r="Q494" s="580"/>
      <c r="R494" s="580"/>
      <c r="S494" s="580"/>
      <c r="T494" s="580"/>
      <c r="U494" s="580"/>
      <c r="V494" s="581"/>
      <c r="W494" s="37" t="s">
        <v>755</v>
      </c>
      <c r="X494" s="38">
        <f>ROUNDUP(SUM(BO22:BO489),0)</f>
        <v>29</v>
      </c>
      <c r="Y494" s="38">
        <f>ROUNDUP(SUM(BP22:BP489),0)</f>
        <v>29</v>
      </c>
      <c r="Z494" s="37"/>
      <c r="AA494" s="550"/>
      <c r="AB494" s="550"/>
      <c r="AC494" s="550"/>
    </row>
    <row r="495" spans="1:68" x14ac:dyDescent="0.2">
      <c r="A495" s="561"/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674"/>
      <c r="P495" s="579" t="s">
        <v>756</v>
      </c>
      <c r="Q495" s="580"/>
      <c r="R495" s="580"/>
      <c r="S495" s="580"/>
      <c r="T495" s="580"/>
      <c r="U495" s="580"/>
      <c r="V495" s="581"/>
      <c r="W495" s="37" t="s">
        <v>69</v>
      </c>
      <c r="X495" s="549">
        <f>GrossWeightTotal+PalletQtyTotal*25</f>
        <v>17643.443875507208</v>
      </c>
      <c r="Y495" s="549">
        <f>GrossWeightTotalR+PalletQtyTotalR*25</f>
        <v>17728.182000000001</v>
      </c>
      <c r="Z495" s="37"/>
      <c r="AA495" s="550"/>
      <c r="AB495" s="550"/>
      <c r="AC495" s="550"/>
    </row>
    <row r="496" spans="1:68" x14ac:dyDescent="0.2">
      <c r="A496" s="561"/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674"/>
      <c r="P496" s="579" t="s">
        <v>757</v>
      </c>
      <c r="Q496" s="580"/>
      <c r="R496" s="580"/>
      <c r="S496" s="580"/>
      <c r="T496" s="580"/>
      <c r="U496" s="580"/>
      <c r="V496" s="581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2642.9530346197012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2655</v>
      </c>
      <c r="Z496" s="37"/>
      <c r="AA496" s="550"/>
      <c r="AB496" s="550"/>
      <c r="AC496" s="550"/>
    </row>
    <row r="497" spans="1:32" ht="14.25" hidden="1" customHeight="1" x14ac:dyDescent="0.2">
      <c r="A497" s="561"/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674"/>
      <c r="P497" s="579" t="s">
        <v>758</v>
      </c>
      <c r="Q497" s="580"/>
      <c r="R497" s="580"/>
      <c r="S497" s="580"/>
      <c r="T497" s="580"/>
      <c r="U497" s="580"/>
      <c r="V497" s="581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34.158259999999999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555" t="s">
        <v>102</v>
      </c>
      <c r="D499" s="573"/>
      <c r="E499" s="573"/>
      <c r="F499" s="573"/>
      <c r="G499" s="573"/>
      <c r="H499" s="574"/>
      <c r="I499" s="555" t="s">
        <v>267</v>
      </c>
      <c r="J499" s="573"/>
      <c r="K499" s="573"/>
      <c r="L499" s="573"/>
      <c r="M499" s="573"/>
      <c r="N499" s="573"/>
      <c r="O499" s="573"/>
      <c r="P499" s="573"/>
      <c r="Q499" s="573"/>
      <c r="R499" s="574"/>
      <c r="S499" s="555" t="s">
        <v>554</v>
      </c>
      <c r="T499" s="574"/>
      <c r="U499" s="555" t="s">
        <v>608</v>
      </c>
      <c r="V499" s="573"/>
      <c r="W499" s="574"/>
      <c r="X499" s="544" t="s">
        <v>659</v>
      </c>
      <c r="Y499" s="555" t="s">
        <v>715</v>
      </c>
      <c r="Z499" s="574"/>
      <c r="AB499" s="52"/>
      <c r="AC499" s="52"/>
      <c r="AF499" s="545"/>
    </row>
    <row r="500" spans="1:32" ht="14.25" customHeight="1" thickTop="1" x14ac:dyDescent="0.2">
      <c r="A500" s="564" t="s">
        <v>761</v>
      </c>
      <c r="B500" s="555" t="s">
        <v>63</v>
      </c>
      <c r="C500" s="555" t="s">
        <v>103</v>
      </c>
      <c r="D500" s="555" t="s">
        <v>120</v>
      </c>
      <c r="E500" s="555" t="s">
        <v>174</v>
      </c>
      <c r="F500" s="555" t="s">
        <v>198</v>
      </c>
      <c r="G500" s="555" t="s">
        <v>237</v>
      </c>
      <c r="H500" s="555" t="s">
        <v>102</v>
      </c>
      <c r="I500" s="555" t="s">
        <v>268</v>
      </c>
      <c r="J500" s="555" t="s">
        <v>321</v>
      </c>
      <c r="K500" s="555" t="s">
        <v>380</v>
      </c>
      <c r="L500" s="555" t="s">
        <v>420</v>
      </c>
      <c r="M500" s="555" t="s">
        <v>436</v>
      </c>
      <c r="N500" s="545"/>
      <c r="O500" s="555" t="s">
        <v>447</v>
      </c>
      <c r="P500" s="555" t="s">
        <v>456</v>
      </c>
      <c r="Q500" s="555" t="s">
        <v>469</v>
      </c>
      <c r="R500" s="555" t="s">
        <v>544</v>
      </c>
      <c r="S500" s="555" t="s">
        <v>555</v>
      </c>
      <c r="T500" s="555" t="s">
        <v>590</v>
      </c>
      <c r="U500" s="555" t="s">
        <v>609</v>
      </c>
      <c r="V500" s="555" t="s">
        <v>640</v>
      </c>
      <c r="W500" s="555" t="s">
        <v>655</v>
      </c>
      <c r="X500" s="555" t="s">
        <v>659</v>
      </c>
      <c r="Y500" s="555" t="s">
        <v>715</v>
      </c>
      <c r="Z500" s="555" t="s">
        <v>748</v>
      </c>
      <c r="AB500" s="52"/>
      <c r="AC500" s="52"/>
      <c r="AF500" s="545"/>
    </row>
    <row r="501" spans="1:32" ht="13.5" customHeight="1" thickBot="1" x14ac:dyDescent="0.25">
      <c r="A501" s="565"/>
      <c r="B501" s="556"/>
      <c r="C501" s="556"/>
      <c r="D501" s="556"/>
      <c r="E501" s="556"/>
      <c r="F501" s="556"/>
      <c r="G501" s="556"/>
      <c r="H501" s="556"/>
      <c r="I501" s="556"/>
      <c r="J501" s="556"/>
      <c r="K501" s="556"/>
      <c r="L501" s="556"/>
      <c r="M501" s="556"/>
      <c r="N501" s="545"/>
      <c r="O501" s="556"/>
      <c r="P501" s="556"/>
      <c r="Q501" s="556"/>
      <c r="R501" s="556"/>
      <c r="S501" s="556"/>
      <c r="T501" s="556"/>
      <c r="U501" s="556"/>
      <c r="V501" s="556"/>
      <c r="W501" s="556"/>
      <c r="X501" s="556"/>
      <c r="Y501" s="556"/>
      <c r="Z501" s="556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205.20000000000002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507.6</v>
      </c>
      <c r="E502" s="46">
        <f>IFERROR(Y86*1,"0")+IFERROR(Y87*1,"0")+IFERROR(Y88*1,"0")+IFERROR(Y89*1,"0")+IFERROR(Y93*1,"0")+IFERROR(Y94*1,"0")+IFERROR(Y95*1,"0")+IFERROR(Y96*1,"0")</f>
        <v>1071.9000000000001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1460.7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0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403.2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202.79999999999998</v>
      </c>
      <c r="R502" s="46">
        <f>IFERROR(Y339*1,"0")+IFERROR(Y340*1,"0")+IFERROR(Y341*1,"0")</f>
        <v>210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1500</v>
      </c>
      <c r="T502" s="46">
        <f>IFERROR(Y372*1,"0")+IFERROR(Y373*1,"0")+IFERROR(Y377*1,"0")+IFERROR(Y378*1,"0")+IFERROR(Y382*1,"0")+IFERROR(Y383*1,"0")+IFERROR(Y384*1,"0")</f>
        <v>3046.8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6922.08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510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00,00"/>
        <filter val="126,00"/>
        <filter val="15 960,00"/>
        <filter val="158,02"/>
        <filter val="16 918,44"/>
        <filter val="16,67"/>
        <filter val="166,67"/>
        <filter val="17 643,44"/>
        <filter val="18,52"/>
        <filter val="189,39"/>
        <filter val="2 400,00"/>
        <filter val="2 642,95"/>
        <filter val="200,00"/>
        <filter val="210,00"/>
        <filter val="228,40"/>
        <filter val="25,64"/>
        <filter val="29"/>
        <filter val="3 000,00"/>
        <filter val="3 040,00"/>
        <filter val="3 500,00"/>
        <filter val="300,00"/>
        <filter val="33,33"/>
        <filter val="350,00"/>
        <filter val="360,00"/>
        <filter val="40,00"/>
        <filter val="400,00"/>
        <filter val="450,00"/>
        <filter val="454,55"/>
        <filter val="46,30"/>
        <filter val="500,00"/>
        <filter val="560,00"/>
        <filter val="662,88"/>
        <filter val="700,00"/>
        <filter val="84,00"/>
        <filter val="950,00"/>
      </filters>
    </filterColumn>
    <filterColumn colId="29" showButton="0"/>
    <filterColumn colId="30" showButton="0"/>
  </autoFilter>
  <mergeCells count="880">
    <mergeCell ref="D167:E167"/>
    <mergeCell ref="D161:E161"/>
    <mergeCell ref="A164:Z164"/>
    <mergeCell ref="A17:A18"/>
    <mergeCell ref="C17:C18"/>
    <mergeCell ref="A12:M12"/>
    <mergeCell ref="A19:Z19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37:V37"/>
    <mergeCell ref="P104:T104"/>
    <mergeCell ref="D9:E9"/>
    <mergeCell ref="D205:E205"/>
    <mergeCell ref="A379:O380"/>
    <mergeCell ref="D363:E363"/>
    <mergeCell ref="D357:E357"/>
    <mergeCell ref="P172:T172"/>
    <mergeCell ref="P432:T432"/>
    <mergeCell ref="P400:V400"/>
    <mergeCell ref="D220:E220"/>
    <mergeCell ref="P199:V199"/>
    <mergeCell ref="A195:Z195"/>
    <mergeCell ref="A198:O199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P73:T73"/>
    <mergeCell ref="P144:T144"/>
    <mergeCell ref="D448:E448"/>
    <mergeCell ref="P119:T119"/>
    <mergeCell ref="P322:V322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P491:V491"/>
    <mergeCell ref="P369:V369"/>
    <mergeCell ref="P198:V198"/>
    <mergeCell ref="A487:Z487"/>
    <mergeCell ref="P197:T197"/>
    <mergeCell ref="A354:O355"/>
    <mergeCell ref="A183:O184"/>
    <mergeCell ref="P351:T351"/>
    <mergeCell ref="P289:T289"/>
    <mergeCell ref="D403:E403"/>
    <mergeCell ref="D232:E232"/>
    <mergeCell ref="D327:E327"/>
    <mergeCell ref="P439:V439"/>
    <mergeCell ref="P364:V364"/>
    <mergeCell ref="A189:Z189"/>
    <mergeCell ref="P489:T489"/>
    <mergeCell ref="P451:T451"/>
    <mergeCell ref="P224:T224"/>
    <mergeCell ref="A285:O286"/>
    <mergeCell ref="P466:V466"/>
    <mergeCell ref="A490:O491"/>
    <mergeCell ref="P453:V453"/>
    <mergeCell ref="P309:V309"/>
    <mergeCell ref="D297:E297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398:E398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74:E74"/>
    <mergeCell ref="P87:T87"/>
    <mergeCell ref="D372:E372"/>
    <mergeCell ref="D201:E201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A5:C5"/>
    <mergeCell ref="P135:V135"/>
    <mergeCell ref="P64:V64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D109:E109"/>
    <mergeCell ref="P138:T138"/>
    <mergeCell ref="A406:Z406"/>
    <mergeCell ref="P385:V385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P354:V354"/>
    <mergeCell ref="A473:Z473"/>
    <mergeCell ref="P340:T340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P204:T204"/>
    <mergeCell ref="A381:Z381"/>
    <mergeCell ref="P124:V124"/>
    <mergeCell ref="P360:V360"/>
    <mergeCell ref="A108:Z108"/>
    <mergeCell ref="D166:E166"/>
    <mergeCell ref="D261:E261"/>
    <mergeCell ref="P169:T169"/>
    <mergeCell ref="A130:O131"/>
    <mergeCell ref="D118:E118"/>
    <mergeCell ref="P53:T53"/>
    <mergeCell ref="D63:E63"/>
    <mergeCell ref="D52:E52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P232:T232"/>
    <mergeCell ref="P152:V152"/>
    <mergeCell ref="A275:Z275"/>
    <mergeCell ref="P395:T395"/>
    <mergeCell ref="P261:T261"/>
    <mergeCell ref="P332:T332"/>
    <mergeCell ref="P217:T217"/>
    <mergeCell ref="D204:E204"/>
    <mergeCell ref="P161:T161"/>
    <mergeCell ref="A152:O153"/>
    <mergeCell ref="A143:Z143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P121:V121"/>
    <mergeCell ref="P214:T214"/>
    <mergeCell ref="P270:T270"/>
    <mergeCell ref="P306:T306"/>
    <mergeCell ref="P157:V157"/>
    <mergeCell ref="P308:T308"/>
    <mergeCell ref="A146:O147"/>
    <mergeCell ref="P283:T283"/>
    <mergeCell ref="P260:T260"/>
    <mergeCell ref="P246:T246"/>
    <mergeCell ref="P183:V183"/>
    <mergeCell ref="P469:T469"/>
    <mergeCell ref="D390:E390"/>
    <mergeCell ref="A370:Z370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D155:E155"/>
    <mergeCell ref="D22:E22"/>
    <mergeCell ref="A455:Z455"/>
    <mergeCell ref="D320:E320"/>
    <mergeCell ref="D447:E447"/>
    <mergeCell ref="D149:E149"/>
    <mergeCell ref="P255:V255"/>
    <mergeCell ref="P295:T295"/>
    <mergeCell ref="P276:T276"/>
    <mergeCell ref="A40:Z40"/>
    <mergeCell ref="P96:T96"/>
    <mergeCell ref="D80:E80"/>
    <mergeCell ref="P61:T61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D269:E269"/>
    <mergeCell ref="D296:E296"/>
    <mergeCell ref="D203:E203"/>
    <mergeCell ref="D420:E420"/>
    <mergeCell ref="A419:Z419"/>
    <mergeCell ref="A423:Z423"/>
    <mergeCell ref="D402:E402"/>
    <mergeCell ref="A438:O439"/>
    <mergeCell ref="P427:T427"/>
    <mergeCell ref="A258:Z258"/>
    <mergeCell ref="P437:T437"/>
    <mergeCell ref="D358:E358"/>
    <mergeCell ref="P105:T105"/>
    <mergeCell ref="P155:T155"/>
    <mergeCell ref="P153:V153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D384:E384"/>
    <mergeCell ref="P341:T341"/>
    <mergeCell ref="D213:E213"/>
    <mergeCell ref="D151:E151"/>
    <mergeCell ref="A64:O65"/>
    <mergeCell ref="D321:E321"/>
    <mergeCell ref="P278:T278"/>
    <mergeCell ref="D150:E150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D215:E215"/>
    <mergeCell ref="A255:O256"/>
    <mergeCell ref="P194:V194"/>
    <mergeCell ref="D29:E29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430:T430"/>
    <mergeCell ref="D174:E174"/>
    <mergeCell ref="P277:T277"/>
    <mergeCell ref="P102:T102"/>
    <mergeCell ref="P484:T484"/>
    <mergeCell ref="P288:T288"/>
    <mergeCell ref="A478:Z478"/>
    <mergeCell ref="D234:E234"/>
    <mergeCell ref="P434:T434"/>
    <mergeCell ref="P263:T263"/>
    <mergeCell ref="D171:E171"/>
    <mergeCell ref="P310:V310"/>
    <mergeCell ref="P181:T181"/>
    <mergeCell ref="P357:T357"/>
    <mergeCell ref="D391:E391"/>
    <mergeCell ref="P465:T465"/>
    <mergeCell ref="A364:O365"/>
    <mergeCell ref="D449:E449"/>
    <mergeCell ref="D465:E465"/>
    <mergeCell ref="D464:E464"/>
    <mergeCell ref="D442:E442"/>
    <mergeCell ref="P442:T442"/>
    <mergeCell ref="P452:T452"/>
    <mergeCell ref="P315:T315"/>
    <mergeCell ref="P231:T231"/>
    <mergeCell ref="P410:V410"/>
    <mergeCell ref="P415:T415"/>
    <mergeCell ref="AD17:AF18"/>
    <mergeCell ref="D101:E101"/>
    <mergeCell ref="A132:Z132"/>
    <mergeCell ref="D76:E76"/>
    <mergeCell ref="P494:V494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A279:O280"/>
    <mergeCell ref="P174:T174"/>
    <mergeCell ref="P149:T149"/>
    <mergeCell ref="D95:E95"/>
    <mergeCell ref="P447:T447"/>
    <mergeCell ref="Y17:Y18"/>
    <mergeCell ref="U17:V17"/>
    <mergeCell ref="P481:V481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W500:W501"/>
    <mergeCell ref="P492:V492"/>
    <mergeCell ref="P286:V286"/>
    <mergeCell ref="P463:T463"/>
    <mergeCell ref="U500:U501"/>
    <mergeCell ref="P483:T483"/>
    <mergeCell ref="P470:T470"/>
    <mergeCell ref="V500:V501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U499:W499"/>
    <mergeCell ref="A44:O45"/>
    <mergeCell ref="P383:T383"/>
    <mergeCell ref="A329:O330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2025-12-15T10:41:34Z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