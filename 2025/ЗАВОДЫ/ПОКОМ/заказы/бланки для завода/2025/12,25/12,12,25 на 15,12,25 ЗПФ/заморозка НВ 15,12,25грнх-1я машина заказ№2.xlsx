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FCE65B4-8B72-4C4A-BD03-95FB7163BAA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BP252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Z244" i="1" s="1"/>
  <c r="Y243" i="1"/>
  <c r="P243" i="1"/>
  <c r="BO242" i="1"/>
  <c r="BM242" i="1"/>
  <c r="Z242" i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BO195" i="1"/>
  <c r="BM195" i="1"/>
  <c r="Z195" i="1"/>
  <c r="Y195" i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Y147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Z121" i="1" s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Y39" i="1"/>
  <c r="Y41" i="1" s="1"/>
  <c r="P39" i="1"/>
  <c r="X35" i="1"/>
  <c r="X34" i="1"/>
  <c r="BO33" i="1"/>
  <c r="BM33" i="1"/>
  <c r="Z33" i="1"/>
  <c r="Y33" i="1"/>
  <c r="P33" i="1"/>
  <c r="BO32" i="1"/>
  <c r="BM32" i="1"/>
  <c r="Z32" i="1"/>
  <c r="Y32" i="1"/>
  <c r="Y34" i="1" s="1"/>
  <c r="P32" i="1"/>
  <c r="X29" i="1"/>
  <c r="X270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71" i="1" s="1"/>
  <c r="Z22" i="1"/>
  <c r="Y22" i="1"/>
  <c r="Y28" i="1" s="1"/>
  <c r="P22" i="1"/>
  <c r="H10" i="1"/>
  <c r="A9" i="1"/>
  <c r="A10" i="1" s="1"/>
  <c r="D7" i="1"/>
  <c r="Q6" i="1"/>
  <c r="P2" i="1"/>
  <c r="BN116" i="1" l="1"/>
  <c r="Z135" i="1"/>
  <c r="Z200" i="1"/>
  <c r="Y245" i="1"/>
  <c r="Z28" i="1"/>
  <c r="X272" i="1"/>
  <c r="X273" i="1" s="1"/>
  <c r="Z34" i="1"/>
  <c r="BN32" i="1"/>
  <c r="BP32" i="1"/>
  <c r="Y35" i="1"/>
  <c r="Z41" i="1"/>
  <c r="Z48" i="1"/>
  <c r="BN45" i="1"/>
  <c r="BP45" i="1"/>
  <c r="Y48" i="1"/>
  <c r="BN47" i="1"/>
  <c r="Y57" i="1"/>
  <c r="Y70" i="1"/>
  <c r="BN69" i="1"/>
  <c r="Y76" i="1"/>
  <c r="Z82" i="1"/>
  <c r="Y93" i="1"/>
  <c r="Y104" i="1"/>
  <c r="Y109" i="1"/>
  <c r="Y122" i="1"/>
  <c r="BN114" i="1"/>
  <c r="Y135" i="1"/>
  <c r="BN134" i="1"/>
  <c r="Z141" i="1"/>
  <c r="Z147" i="1"/>
  <c r="BN145" i="1"/>
  <c r="BP145" i="1"/>
  <c r="Z174" i="1"/>
  <c r="Z182" i="1"/>
  <c r="BN179" i="1"/>
  <c r="BP179" i="1"/>
  <c r="BN181" i="1"/>
  <c r="Y201" i="1"/>
  <c r="BN196" i="1"/>
  <c r="BN198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BN242" i="1"/>
  <c r="BP242" i="1"/>
  <c r="Z255" i="1"/>
  <c r="BN252" i="1"/>
  <c r="BN254" i="1"/>
  <c r="Y268" i="1"/>
  <c r="F9" i="1"/>
  <c r="J9" i="1"/>
  <c r="F10" i="1"/>
  <c r="BN22" i="1"/>
  <c r="BP22" i="1"/>
  <c r="BN24" i="1"/>
  <c r="BN26" i="1"/>
  <c r="X274" i="1"/>
  <c r="Y29" i="1"/>
  <c r="BN33" i="1"/>
  <c r="BP33" i="1"/>
  <c r="BN39" i="1"/>
  <c r="BP39" i="1"/>
  <c r="Y42" i="1"/>
  <c r="BN46" i="1"/>
  <c r="BP46" i="1"/>
  <c r="BN53" i="1"/>
  <c r="BN55" i="1"/>
  <c r="Y56" i="1"/>
  <c r="BN60" i="1"/>
  <c r="BP60" i="1"/>
  <c r="Y61" i="1"/>
  <c r="BN64" i="1"/>
  <c r="BP64" i="1"/>
  <c r="Y65" i="1"/>
  <c r="BN68" i="1"/>
  <c r="BP68" i="1"/>
  <c r="Y71" i="1"/>
  <c r="BN74" i="1"/>
  <c r="Y77" i="1"/>
  <c r="BN81" i="1"/>
  <c r="Y82" i="1"/>
  <c r="BN86" i="1"/>
  <c r="BP86" i="1"/>
  <c r="Y87" i="1"/>
  <c r="BN91" i="1"/>
  <c r="BP91" i="1"/>
  <c r="Y94" i="1"/>
  <c r="BN98" i="1"/>
  <c r="BN100" i="1"/>
  <c r="BN102" i="1"/>
  <c r="Y103" i="1"/>
  <c r="BN107" i="1"/>
  <c r="BP107" i="1"/>
  <c r="Y110" i="1"/>
  <c r="BN118" i="1"/>
  <c r="BN120" i="1"/>
  <c r="Y121" i="1"/>
  <c r="BN124" i="1"/>
  <c r="BP124" i="1"/>
  <c r="Y125" i="1"/>
  <c r="BN128" i="1"/>
  <c r="BP128" i="1"/>
  <c r="Y129" i="1"/>
  <c r="BN133" i="1"/>
  <c r="BP133" i="1"/>
  <c r="Y136" i="1"/>
  <c r="BN140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H9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9" i="1"/>
  <c r="BP139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Z275" i="1" s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4" i="1" l="1"/>
  <c r="Y271" i="1"/>
  <c r="Y270" i="1"/>
  <c r="Y272" i="1"/>
  <c r="Y273" i="1" l="1"/>
  <c r="C283" i="1" s="1"/>
  <c r="A283" i="1"/>
  <c r="B283" i="1" l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<sst xmlns="http://schemas.openxmlformats.org/spreadsheetml/2006/main" count="1223" uniqueCount="395">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</sst>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Z10" sqref="Z1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46006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0.41666666666666669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0</v>
      </c>
      <c r="Y41" s="270">
        <f>IFERROR(SUM(Y39:Y40),"0")</f>
        <v>0</v>
      </c>
      <c r="Z41" s="270">
        <f>IFERROR(IF(Z39="",0,Z39),"0")+IFERROR(IF(Z40="",0,Z40),"0")</f>
        <v>0</v>
      </c>
      <c r="AA41" s="271"/>
      <c r="AB41" s="271"/>
      <c r="AC41" s="271"/>
    </row>
    <row r="42" spans="1:68" hidden="1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0</v>
      </c>
      <c r="Y42" s="270">
        <f>IFERROR(SUMPRODUCT(Y39:Y40*H39:H40),"0")</f>
        <v>0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hidden="1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hidden="1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hidden="1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hidden="1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hidden="1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hidden="1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0</v>
      </c>
      <c r="Y93" s="270">
        <f>IFERROR(SUM(Y91:Y92),"0")</f>
        <v>0</v>
      </c>
      <c r="Z93" s="270">
        <f>IFERROR(IF(Z91="",0,Z91),"0")+IFERROR(IF(Z92="",0,Z92),"0")</f>
        <v>0</v>
      </c>
      <c r="AA93" s="271"/>
      <c r="AB93" s="271"/>
      <c r="AC93" s="271"/>
    </row>
    <row r="94" spans="1:68" hidden="1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0</v>
      </c>
      <c r="Y94" s="270">
        <f>IFERROR(SUMPRODUCT(Y91:Y92*H91:H92),"0")</f>
        <v>0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hidden="1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hidden="1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hidden="1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0</v>
      </c>
      <c r="Y100" s="269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idden="1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0</v>
      </c>
      <c r="Y103" s="270">
        <f>IFERROR(SUM(Y97:Y102),"0")</f>
        <v>0</v>
      </c>
      <c r="Z103" s="270">
        <f>IFERROR(IF(Z97="",0,Z97),"0")+IFERROR(IF(Z98="",0,Z98),"0")+IFERROR(IF(Z99="",0,Z99),"0")+IFERROR(IF(Z100="",0,Z100),"0")+IFERROR(IF(Z101="",0,Z101),"0")+IFERROR(IF(Z102="",0,Z102),"0")</f>
        <v>0</v>
      </c>
      <c r="AA103" s="271"/>
      <c r="AB103" s="271"/>
      <c r="AC103" s="271"/>
    </row>
    <row r="104" spans="1:68" hidden="1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0</v>
      </c>
      <c r="Y104" s="270">
        <f>IFERROR(SUMPRODUCT(Y97:Y102*H97:H102),"0")</f>
        <v>0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idden="1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0</v>
      </c>
      <c r="Y121" s="270">
        <f>IFERROR(SUM(Y113:Y120),"0")</f>
        <v>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271"/>
      <c r="AB121" s="271"/>
      <c r="AC121" s="271"/>
    </row>
    <row r="122" spans="1:68" hidden="1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0</v>
      </c>
      <c r="Y122" s="270">
        <f>IFERROR(SUMPRODUCT(Y113:Y120*H113:H120),"0")</f>
        <v>0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hidden="1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idden="1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hidden="1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hidden="1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hidden="1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hidden="1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hidden="1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0</v>
      </c>
      <c r="Y166" s="269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0</v>
      </c>
      <c r="Y167" s="270">
        <f>IFERROR(SUM(Y166:Y166),"0")</f>
        <v>0</v>
      </c>
      <c r="Z167" s="270">
        <f>IFERROR(IF(Z166="",0,Z166),"0")</f>
        <v>0</v>
      </c>
      <c r="AA167" s="271"/>
      <c r="AB167" s="271"/>
      <c r="AC167" s="271"/>
    </row>
    <row r="168" spans="1:68" hidden="1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0</v>
      </c>
      <c r="Y168" s="270">
        <f>IFERROR(SUMPRODUCT(Y166:Y166*H166:H166),"0")</f>
        <v>0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hidden="1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hidden="1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idden="1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0</v>
      </c>
      <c r="Y182" s="270">
        <f>IFERROR(SUM(Y179:Y181),"0")</f>
        <v>0</v>
      </c>
      <c r="Z182" s="270">
        <f>IFERROR(IF(Z179="",0,Z179),"0")+IFERROR(IF(Z180="",0,Z180),"0")+IFERROR(IF(Z181="",0,Z181),"0")</f>
        <v>0</v>
      </c>
      <c r="AA182" s="271"/>
      <c r="AB182" s="271"/>
      <c r="AC182" s="271"/>
    </row>
    <row r="183" spans="1:68" hidden="1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0</v>
      </c>
      <c r="Y183" s="270">
        <f>IFERROR(SUMPRODUCT(Y179:Y181*H179:H181),"0")</f>
        <v>0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hidden="1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hidden="1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252</v>
      </c>
      <c r="Y259" s="269">
        <f t="shared" si="18"/>
        <v>252</v>
      </c>
      <c r="Z259" s="36">
        <f>IFERROR(IF(X259="","",X259*0.00936),"")</f>
        <v>2.3587199999999999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980.78399999999999</v>
      </c>
      <c r="BN259" s="67">
        <f t="shared" si="20"/>
        <v>980.78399999999999</v>
      </c>
      <c r="BO259" s="67">
        <f t="shared" si="21"/>
        <v>2</v>
      </c>
      <c r="BP259" s="67">
        <f t="shared" si="22"/>
        <v>2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96</v>
      </c>
      <c r="Y260" s="269">
        <f t="shared" si="18"/>
        <v>96</v>
      </c>
      <c r="Z260" s="36">
        <f>IFERROR(IF(X260="","",X260*0.0155),"")</f>
        <v>1.488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550.56000000000006</v>
      </c>
      <c r="BN260" s="67">
        <f t="shared" si="20"/>
        <v>550.56000000000006</v>
      </c>
      <c r="BO260" s="67">
        <f t="shared" si="21"/>
        <v>1.1428571428571428</v>
      </c>
      <c r="BP260" s="67">
        <f t="shared" si="22"/>
        <v>1.1428571428571428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56</v>
      </c>
      <c r="Y261" s="269">
        <f t="shared" si="18"/>
        <v>56</v>
      </c>
      <c r="Z261" s="36">
        <f t="shared" ref="Z261:Z266" si="23">IFERROR(IF(X261="","",X261*0.00936),"")</f>
        <v>0.52415999999999996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178.75200000000001</v>
      </c>
      <c r="BN261" s="67">
        <f t="shared" si="20"/>
        <v>178.75200000000001</v>
      </c>
      <c r="BO261" s="67">
        <f t="shared" si="21"/>
        <v>0.44444444444444442</v>
      </c>
      <c r="BP261" s="67">
        <f t="shared" si="22"/>
        <v>0.44444444444444442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630</v>
      </c>
      <c r="Y262" s="269">
        <f t="shared" si="18"/>
        <v>630</v>
      </c>
      <c r="Z262" s="36">
        <f t="shared" si="23"/>
        <v>5.8967999999999998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2451.96</v>
      </c>
      <c r="BN262" s="67">
        <f t="shared" si="20"/>
        <v>2451.96</v>
      </c>
      <c r="BO262" s="67">
        <f t="shared" si="21"/>
        <v>5</v>
      </c>
      <c r="BP262" s="67">
        <f t="shared" si="22"/>
        <v>5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14</v>
      </c>
      <c r="Y263" s="269">
        <f t="shared" si="18"/>
        <v>14</v>
      </c>
      <c r="Z263" s="36">
        <f t="shared" si="23"/>
        <v>0.13103999999999999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54.488</v>
      </c>
      <c r="BN263" s="67">
        <f t="shared" si="20"/>
        <v>54.488</v>
      </c>
      <c r="BO263" s="67">
        <f t="shared" si="21"/>
        <v>0.1111111111111111</v>
      </c>
      <c r="BP263" s="67">
        <f t="shared" si="22"/>
        <v>0.1111111111111111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1048</v>
      </c>
      <c r="Y268" s="270">
        <f>IFERROR(SUM(Y258:Y267),"0")</f>
        <v>1048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10.398719999999999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4011.2000000000003</v>
      </c>
      <c r="Y269" s="270">
        <f>IFERROR(SUMPRODUCT(Y258:Y267*H258:H267),"0")</f>
        <v>4011.2000000000003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4011.2000000000003</v>
      </c>
      <c r="Y270" s="270">
        <f>IFERROR(Y29+Y35+Y42+Y49+Y57+Y62+Y66+Y71+Y77+Y83+Y88+Y94+Y104+Y110+Y122+Y126+Y130+Y136+Y142+Y148+Y153+Y158+Y163+Y168+Y175+Y183+Y187+Y193+Y201+Y206+Y211+Y216+Y222+Y228+Y234+Y238+Y245+Y250+Y256+Y269,"0")</f>
        <v>4011.2000000000003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4216.5440000000008</v>
      </c>
      <c r="Y271" s="270">
        <f>IFERROR(SUM(BN22:BN267),"0")</f>
        <v>4216.5440000000008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9</v>
      </c>
      <c r="Y272" s="38">
        <f>ROUNDUP(SUM(BP22:BP267),0)</f>
        <v>9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4441.5440000000008</v>
      </c>
      <c r="Y273" s="270">
        <f>GrossWeightTotalR+PalletQtyTotalR*25</f>
        <v>4441.5440000000008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1048</v>
      </c>
      <c r="Y274" s="270">
        <f>IFERROR(Y28+Y34+Y41+Y48+Y56+Y61+Y65+Y70+Y76+Y82+Y87+Y93+Y103+Y109+Y121+Y125+Y129+Y135+Y141+Y147+Y152+Y157+Y162+Y167+Y174+Y182+Y186+Y192+Y200+Y205+Y210+Y215+Y221+Y227+Y233+Y237+Y244+Y249+Y255+Y268,"0")</f>
        <v>1048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10.398719999999999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0</v>
      </c>
      <c r="E280" s="46">
        <f>IFERROR(X45*H45,"0")+IFERROR(X46*H46,"0")+IFERROR(X47*H47,"0")</f>
        <v>0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0</v>
      </c>
      <c r="J280" s="46">
        <f>IFERROR(X91*H91,"0")+IFERROR(X92*H92,"0")</f>
        <v>0</v>
      </c>
      <c r="K280" s="46">
        <f>IFERROR(X97*H97,"0")+IFERROR(X98*H98,"0")+IFERROR(X99*H99,"0")+IFERROR(X100*H100,"0")+IFERROR(X101*H101,"0")+IFERROR(X102*H102,"0")</f>
        <v>0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266"/>
      <c r="O280" s="46">
        <f>IFERROR(X133*H133,"0")+IFERROR(X134*H134,"0")</f>
        <v>0</v>
      </c>
      <c r="P280" s="46">
        <f>IFERROR(X139*H139,"0")+IFERROR(X140*H140,"0")</f>
        <v>0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0</v>
      </c>
      <c r="V280" s="46">
        <f>IFERROR(X172*H172,"0")+IFERROR(X173*H173,"0")</f>
        <v>0</v>
      </c>
      <c r="W280" s="46">
        <f>IFERROR(X179*H179,"0")+IFERROR(X180*H180,"0")+IFERROR(X181*H181,"0")+IFERROR(X185*H185,"0")</f>
        <v>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4011.2000000000003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0</v>
      </c>
      <c r="B283" s="60">
        <f>SUMPRODUCT(--(BB:BB="ПГП"),--(W:W="кор"),H:H,Y:Y)+SUMPRODUCT(--(BB:BB="ПГП"),--(W:W="кг"),Y:Y)</f>
        <v>4011.2000000000003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8,00"/>
        <filter val="14,00"/>
        <filter val="252,00"/>
        <filter val="4 011,20"/>
        <filter val="4 216,54"/>
        <filter val="4 441,54"/>
        <filter val="56,00"/>
        <filter val="630,00"/>
        <filter val="9"/>
        <filter val="96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2025-12-12T11:08:52Z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