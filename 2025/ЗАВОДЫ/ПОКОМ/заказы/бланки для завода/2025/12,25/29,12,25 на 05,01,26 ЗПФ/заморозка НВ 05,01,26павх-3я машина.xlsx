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20A6E49-BED6-458B-988A-2A86F0EE5E8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O266" i="1"/>
  <c r="BM266" i="1"/>
  <c r="Z266" i="1"/>
  <c r="Y266" i="1"/>
  <c r="BP266" i="1" s="1"/>
  <c r="P266" i="1"/>
  <c r="BO265" i="1"/>
  <c r="BM265" i="1"/>
  <c r="Z265" i="1"/>
  <c r="Y265" i="1"/>
  <c r="P265" i="1"/>
  <c r="BO264" i="1"/>
  <c r="BM264" i="1"/>
  <c r="Z264" i="1"/>
  <c r="Y264" i="1"/>
  <c r="BP264" i="1" s="1"/>
  <c r="P264" i="1"/>
  <c r="BO263" i="1"/>
  <c r="BM263" i="1"/>
  <c r="Z263" i="1"/>
  <c r="Y263" i="1"/>
  <c r="P263" i="1"/>
  <c r="BO262" i="1"/>
  <c r="BM262" i="1"/>
  <c r="Z262" i="1"/>
  <c r="Y262" i="1"/>
  <c r="BP262" i="1" s="1"/>
  <c r="P262" i="1"/>
  <c r="BO261" i="1"/>
  <c r="BM261" i="1"/>
  <c r="Z261" i="1"/>
  <c r="Y261" i="1"/>
  <c r="P261" i="1"/>
  <c r="BO260" i="1"/>
  <c r="BM260" i="1"/>
  <c r="Z260" i="1"/>
  <c r="Y260" i="1"/>
  <c r="BP260" i="1" s="1"/>
  <c r="P260" i="1"/>
  <c r="BO259" i="1"/>
  <c r="BM259" i="1"/>
  <c r="Z259" i="1"/>
  <c r="Y259" i="1"/>
  <c r="P259" i="1"/>
  <c r="BO258" i="1"/>
  <c r="BM258" i="1"/>
  <c r="Z258" i="1"/>
  <c r="Y258" i="1"/>
  <c r="BP258" i="1" s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P252" i="1"/>
  <c r="X250" i="1"/>
  <c r="X249" i="1"/>
  <c r="BO248" i="1"/>
  <c r="BM248" i="1"/>
  <c r="Z248" i="1"/>
  <c r="Y248" i="1"/>
  <c r="BP248" i="1" s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O214" i="1"/>
  <c r="BM214" i="1"/>
  <c r="Z214" i="1"/>
  <c r="Y214" i="1"/>
  <c r="BP214" i="1" s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BO195" i="1"/>
  <c r="BM195" i="1"/>
  <c r="Z195" i="1"/>
  <c r="Z200" i="1" s="1"/>
  <c r="Y195" i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Y158" i="1" s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X94" i="1"/>
  <c r="X93" i="1"/>
  <c r="BO92" i="1"/>
  <c r="BM92" i="1"/>
  <c r="Z92" i="1"/>
  <c r="Y92" i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BP80" i="1" s="1"/>
  <c r="P80" i="1"/>
  <c r="X77" i="1"/>
  <c r="X76" i="1"/>
  <c r="BO75" i="1"/>
  <c r="BM75" i="1"/>
  <c r="Z75" i="1"/>
  <c r="Y75" i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BP45" i="1" s="1"/>
  <c r="P45" i="1"/>
  <c r="X42" i="1"/>
  <c r="X41" i="1"/>
  <c r="BO40" i="1"/>
  <c r="BM40" i="1"/>
  <c r="Z40" i="1"/>
  <c r="Y40" i="1"/>
  <c r="P40" i="1"/>
  <c r="BO39" i="1"/>
  <c r="BM39" i="1"/>
  <c r="Z39" i="1"/>
  <c r="Y39" i="1"/>
  <c r="P39" i="1"/>
  <c r="X35" i="1"/>
  <c r="X34" i="1"/>
  <c r="BO33" i="1"/>
  <c r="BM33" i="1"/>
  <c r="Z33" i="1"/>
  <c r="Y33" i="1"/>
  <c r="P33" i="1"/>
  <c r="BO32" i="1"/>
  <c r="BM32" i="1"/>
  <c r="Z32" i="1"/>
  <c r="Y32" i="1"/>
  <c r="BP32" i="1" s="1"/>
  <c r="P32" i="1"/>
  <c r="X29" i="1"/>
  <c r="X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BM22" i="1"/>
  <c r="Z22" i="1"/>
  <c r="Y22" i="1"/>
  <c r="P22" i="1"/>
  <c r="H10" i="1"/>
  <c r="A9" i="1"/>
  <c r="A10" i="1" s="1"/>
  <c r="D7" i="1"/>
  <c r="Q6" i="1"/>
  <c r="P2" i="1"/>
  <c r="Z28" i="1" l="1"/>
  <c r="Z34" i="1"/>
  <c r="BN32" i="1"/>
  <c r="Y35" i="1"/>
  <c r="Z41" i="1"/>
  <c r="Z48" i="1"/>
  <c r="BN45" i="1"/>
  <c r="BN47" i="1"/>
  <c r="Y70" i="1"/>
  <c r="BN69" i="1"/>
  <c r="Z82" i="1"/>
  <c r="BN80" i="1"/>
  <c r="Y135" i="1"/>
  <c r="BN134" i="1"/>
  <c r="Z147" i="1"/>
  <c r="Z93" i="1"/>
  <c r="Z103" i="1"/>
  <c r="BN97" i="1"/>
  <c r="Z109" i="1"/>
  <c r="Z121" i="1"/>
  <c r="BN173" i="1"/>
  <c r="Y183" i="1"/>
  <c r="BN214" i="1"/>
  <c r="Y244" i="1"/>
  <c r="Z244" i="1"/>
  <c r="BN248" i="1"/>
  <c r="Y256" i="1"/>
  <c r="Z268" i="1"/>
  <c r="BN258" i="1"/>
  <c r="Y269" i="1"/>
  <c r="BN260" i="1"/>
  <c r="BN262" i="1"/>
  <c r="BN264" i="1"/>
  <c r="BN266" i="1"/>
  <c r="BP139" i="1"/>
  <c r="BN139" i="1"/>
  <c r="Y147" i="1"/>
  <c r="BP145" i="1"/>
  <c r="BN145" i="1"/>
  <c r="Y148" i="1"/>
  <c r="X272" i="1"/>
  <c r="BP23" i="1"/>
  <c r="BN23" i="1"/>
  <c r="BP25" i="1"/>
  <c r="BN25" i="1"/>
  <c r="BP27" i="1"/>
  <c r="BN27" i="1"/>
  <c r="BP40" i="1"/>
  <c r="BN40" i="1"/>
  <c r="Y57" i="1"/>
  <c r="BP52" i="1"/>
  <c r="BN52" i="1"/>
  <c r="BP54" i="1"/>
  <c r="BN54" i="1"/>
  <c r="Y76" i="1"/>
  <c r="BP73" i="1"/>
  <c r="BN73" i="1"/>
  <c r="BP75" i="1"/>
  <c r="BN75" i="1"/>
  <c r="BP92" i="1"/>
  <c r="BN92" i="1"/>
  <c r="BP108" i="1"/>
  <c r="BN108" i="1"/>
  <c r="Y245" i="1"/>
  <c r="Y28" i="1"/>
  <c r="X271" i="1"/>
  <c r="X270" i="1"/>
  <c r="Y34" i="1"/>
  <c r="Y41" i="1"/>
  <c r="Y48" i="1"/>
  <c r="Z56" i="1"/>
  <c r="Z70" i="1"/>
  <c r="Z76" i="1"/>
  <c r="Y83" i="1"/>
  <c r="Y93" i="1"/>
  <c r="Y104" i="1"/>
  <c r="Y109" i="1"/>
  <c r="Y122" i="1"/>
  <c r="Z135" i="1"/>
  <c r="Z141" i="1"/>
  <c r="Z182" i="1"/>
  <c r="BN179" i="1"/>
  <c r="BP179" i="1"/>
  <c r="BN181" i="1"/>
  <c r="Y201" i="1"/>
  <c r="BN196" i="1"/>
  <c r="BN198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BN242" i="1"/>
  <c r="BP242" i="1"/>
  <c r="Z255" i="1"/>
  <c r="BN252" i="1"/>
  <c r="BP252" i="1"/>
  <c r="BN254" i="1"/>
  <c r="Y268" i="1"/>
  <c r="F9" i="1"/>
  <c r="J9" i="1"/>
  <c r="F10" i="1"/>
  <c r="BN22" i="1"/>
  <c r="BP22" i="1"/>
  <c r="BN24" i="1"/>
  <c r="BN26" i="1"/>
  <c r="X274" i="1"/>
  <c r="Y29" i="1"/>
  <c r="BN33" i="1"/>
  <c r="BP33" i="1"/>
  <c r="BN39" i="1"/>
  <c r="BP39" i="1"/>
  <c r="Y42" i="1"/>
  <c r="BN46" i="1"/>
  <c r="Y49" i="1"/>
  <c r="BN53" i="1"/>
  <c r="BN55" i="1"/>
  <c r="Y56" i="1"/>
  <c r="BN60" i="1"/>
  <c r="BP60" i="1"/>
  <c r="Y61" i="1"/>
  <c r="BN64" i="1"/>
  <c r="BP64" i="1"/>
  <c r="Y65" i="1"/>
  <c r="BN68" i="1"/>
  <c r="BP68" i="1"/>
  <c r="Y71" i="1"/>
  <c r="BN74" i="1"/>
  <c r="Y77" i="1"/>
  <c r="BN81" i="1"/>
  <c r="Y82" i="1"/>
  <c r="BN86" i="1"/>
  <c r="BP86" i="1"/>
  <c r="Y87" i="1"/>
  <c r="BN91" i="1"/>
  <c r="BP91" i="1"/>
  <c r="Y94" i="1"/>
  <c r="BN98" i="1"/>
  <c r="BN100" i="1"/>
  <c r="BN102" i="1"/>
  <c r="Y103" i="1"/>
  <c r="BN107" i="1"/>
  <c r="BP107" i="1"/>
  <c r="Y110" i="1"/>
  <c r="BN114" i="1"/>
  <c r="BN116" i="1"/>
  <c r="BN118" i="1"/>
  <c r="BN120" i="1"/>
  <c r="Y121" i="1"/>
  <c r="BN124" i="1"/>
  <c r="BP124" i="1"/>
  <c r="Y125" i="1"/>
  <c r="BN128" i="1"/>
  <c r="BP128" i="1"/>
  <c r="Y129" i="1"/>
  <c r="BN133" i="1"/>
  <c r="BP133" i="1"/>
  <c r="Y136" i="1"/>
  <c r="Y142" i="1"/>
  <c r="BN140" i="1"/>
  <c r="Y141" i="1"/>
  <c r="BP146" i="1"/>
  <c r="BN146" i="1"/>
  <c r="Y157" i="1"/>
  <c r="BP156" i="1"/>
  <c r="BN156" i="1"/>
  <c r="Y167" i="1"/>
  <c r="BP166" i="1"/>
  <c r="BN166" i="1"/>
  <c r="Z174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H9" i="1"/>
  <c r="BN99" i="1"/>
  <c r="BN101" i="1"/>
  <c r="BN113" i="1"/>
  <c r="BP113" i="1"/>
  <c r="BN115" i="1"/>
  <c r="BN117" i="1"/>
  <c r="BN119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X273" i="1" l="1"/>
  <c r="Z275" i="1"/>
  <c r="Y274" i="1"/>
  <c r="Y271" i="1"/>
  <c r="Y270" i="1"/>
  <c r="Y272" i="1"/>
  <c r="Y273" i="1" l="1"/>
  <c r="B283" i="1" s="1"/>
  <c r="A283" i="1" l="1"/>
  <c r="C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<sst xmlns="http://schemas.openxmlformats.org/spreadsheetml/2006/main" count="1223" uniqueCount="395">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</sst>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46027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0.5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140</v>
      </c>
      <c r="Y39" s="269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140</v>
      </c>
      <c r="Y41" s="270">
        <f>IFERROR(SUM(Y39:Y40),"0")</f>
        <v>140</v>
      </c>
      <c r="Z41" s="270">
        <f>IFERROR(IF(Z39="",0,Z39),"0")+IFERROR(IF(Z40="",0,Z40),"0")</f>
        <v>1.3173999999999999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210</v>
      </c>
      <c r="Y42" s="270">
        <f>IFERROR(SUMPRODUCT(Y39:Y40*H39:H40),"0")</f>
        <v>210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hidden="1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146</v>
      </c>
      <c r="Y52" s="269">
        <f>IFERROR(IF(X52="","",X52),"")</f>
        <v>146</v>
      </c>
      <c r="Z52" s="36">
        <f>IFERROR(IF(X52="","",X52*0.0155),"")</f>
        <v>2.2629999999999999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1065.8</v>
      </c>
      <c r="BN52" s="67">
        <f>IFERROR(Y52*I52,"0")</f>
        <v>1065.8</v>
      </c>
      <c r="BO52" s="67">
        <f>IFERROR(X52/J52,"0")</f>
        <v>1.7380952380952381</v>
      </c>
      <c r="BP52" s="67">
        <f>IFERROR(Y52/J52,"0")</f>
        <v>1.7380952380952381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146</v>
      </c>
      <c r="Y53" s="269">
        <f>IFERROR(IF(X53="","",X53),"")</f>
        <v>146</v>
      </c>
      <c r="Z53" s="36">
        <f>IFERROR(IF(X53="","",X53*0.0155),"")</f>
        <v>2.2629999999999999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1063.7559999999999</v>
      </c>
      <c r="BN53" s="67">
        <f>IFERROR(Y53*I53,"0")</f>
        <v>1063.7559999999999</v>
      </c>
      <c r="BO53" s="67">
        <f>IFERROR(X53/J53,"0")</f>
        <v>1.7380952380952381</v>
      </c>
      <c r="BP53" s="67">
        <f>IFERROR(Y53/J53,"0")</f>
        <v>1.7380952380952381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146</v>
      </c>
      <c r="Y55" s="269">
        <f>IFERROR(IF(X55="","",X55),"")</f>
        <v>146</v>
      </c>
      <c r="Z55" s="36">
        <f>IFERROR(IF(X55="","",X55*0.0155),"")</f>
        <v>2.2629999999999999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1065.8</v>
      </c>
      <c r="BN55" s="67">
        <f>IFERROR(Y55*I55,"0")</f>
        <v>1065.8</v>
      </c>
      <c r="BO55" s="67">
        <f>IFERROR(X55/J55,"0")</f>
        <v>1.7380952380952381</v>
      </c>
      <c r="BP55" s="67">
        <f>IFERROR(Y55/J55,"0")</f>
        <v>1.7380952380952381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438</v>
      </c>
      <c r="Y56" s="270">
        <f>IFERROR(SUM(Y52:Y55),"0")</f>
        <v>438</v>
      </c>
      <c r="Z56" s="270">
        <f>IFERROR(IF(Z52="",0,Z52),"0")+IFERROR(IF(Z53="",0,Z53),"0")+IFERROR(IF(Z54="",0,Z54),"0")+IFERROR(IF(Z55="",0,Z55),"0")</f>
        <v>6.7889999999999997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3066</v>
      </c>
      <c r="Y57" s="270">
        <f>IFERROR(SUMPRODUCT(Y52:Y55*H52:H55),"0")</f>
        <v>3066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96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98</v>
      </c>
      <c r="AK64" s="71">
        <v>14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139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140</v>
      </c>
      <c r="AK73" s="71">
        <v>140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139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70</v>
      </c>
      <c r="Y74" s="269">
        <f>IFERROR(IF(X74="","",X74),"")</f>
        <v>70</v>
      </c>
      <c r="Z74" s="36">
        <f>IFERROR(IF(X74="","",X74*0.00941),"")</f>
        <v>0.65869999999999995</v>
      </c>
      <c r="AA74" s="56"/>
      <c r="AB74" s="57"/>
      <c r="AC74" s="116" t="s">
        <v>143</v>
      </c>
      <c r="AG74" s="67"/>
      <c r="AJ74" s="71" t="s">
        <v>140</v>
      </c>
      <c r="AK74" s="71">
        <v>140</v>
      </c>
      <c r="BB74" s="117" t="s">
        <v>99</v>
      </c>
      <c r="BM74" s="67">
        <f>IFERROR(X74*I74,"0")</f>
        <v>109.2</v>
      </c>
      <c r="BN74" s="67">
        <f>IFERROR(Y74*I74,"0")</f>
        <v>109.2</v>
      </c>
      <c r="BO74" s="67">
        <f>IFERROR(X74/J74,"0")</f>
        <v>0.5</v>
      </c>
      <c r="BP74" s="67">
        <f>IFERROR(Y74/J74,"0")</f>
        <v>0.5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139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140</v>
      </c>
      <c r="Y75" s="269">
        <f>IFERROR(IF(X75="","",X75),"")</f>
        <v>140</v>
      </c>
      <c r="Z75" s="36">
        <f>IFERROR(IF(X75="","",X75*0.00941),"")</f>
        <v>1.3173999999999999</v>
      </c>
      <c r="AA75" s="56"/>
      <c r="AB75" s="57"/>
      <c r="AC75" s="118" t="s">
        <v>143</v>
      </c>
      <c r="AG75" s="67"/>
      <c r="AJ75" s="71" t="s">
        <v>140</v>
      </c>
      <c r="AK75" s="71">
        <v>140</v>
      </c>
      <c r="BB75" s="119" t="s">
        <v>99</v>
      </c>
      <c r="BM75" s="67">
        <f>IFERROR(X75*I75,"0")</f>
        <v>218.4</v>
      </c>
      <c r="BN75" s="67">
        <f>IFERROR(Y75*I75,"0")</f>
        <v>218.4</v>
      </c>
      <c r="BO75" s="67">
        <f>IFERROR(X75/J75,"0")</f>
        <v>1</v>
      </c>
      <c r="BP75" s="67">
        <f>IFERROR(Y75/J75,"0")</f>
        <v>1</v>
      </c>
    </row>
    <row r="76" spans="1:68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210</v>
      </c>
      <c r="Y76" s="270">
        <f>IFERROR(SUM(Y73:Y75),"0")</f>
        <v>210</v>
      </c>
      <c r="Z76" s="270">
        <f>IFERROR(IF(Z73="",0,Z73),"0")+IFERROR(IF(Z74="",0,Z74),"0")+IFERROR(IF(Z75="",0,Z75),"0")</f>
        <v>1.9760999999999997</v>
      </c>
      <c r="AA76" s="271"/>
      <c r="AB76" s="271"/>
      <c r="AC76" s="271"/>
    </row>
    <row r="77" spans="1:68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252</v>
      </c>
      <c r="Y77" s="270">
        <f>IFERROR(SUMPRODUCT(Y73:Y75*H73:H75),"0")</f>
        <v>252</v>
      </c>
      <c r="Z77" s="37"/>
      <c r="AA77" s="271"/>
      <c r="AB77" s="271"/>
      <c r="AC77" s="271"/>
    </row>
    <row r="78" spans="1:68" ht="16.5" hidden="1" customHeight="1" x14ac:dyDescent="0.25">
      <c r="A78" s="288" t="s">
        <v>146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72</v>
      </c>
      <c r="Y81" s="269">
        <f>IFERROR(IF(X81="","",X81),"")</f>
        <v>72</v>
      </c>
      <c r="Z81" s="36">
        <f>IFERROR(IF(X81="","",X81*0.00866),"")</f>
        <v>0.62351999999999996</v>
      </c>
      <c r="AA81" s="56"/>
      <c r="AB81" s="57"/>
      <c r="AC81" s="122" t="s">
        <v>150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375.35039999999998</v>
      </c>
      <c r="BN81" s="67">
        <f>IFERROR(Y81*I81,"0")</f>
        <v>375.35039999999998</v>
      </c>
      <c r="BO81" s="67">
        <f>IFERROR(X81/J81,"0")</f>
        <v>0.5</v>
      </c>
      <c r="BP81" s="67">
        <f>IFERROR(Y81/J81,"0")</f>
        <v>0.5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72</v>
      </c>
      <c r="Y82" s="270">
        <f>IFERROR(SUM(Y80:Y81),"0")</f>
        <v>72</v>
      </c>
      <c r="Z82" s="270">
        <f>IFERROR(IF(Z80="",0,Z80),"0")+IFERROR(IF(Z81="",0,Z81),"0")</f>
        <v>0.62351999999999996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360</v>
      </c>
      <c r="Y83" s="270">
        <f>IFERROR(SUMPRODUCT(Y80:Y81*H80:H81),"0")</f>
        <v>360</v>
      </c>
      <c r="Z83" s="37"/>
      <c r="AA83" s="271"/>
      <c r="AB83" s="271"/>
      <c r="AC83" s="271"/>
    </row>
    <row r="84" spans="1:68" ht="16.5" hidden="1" customHeight="1" x14ac:dyDescent="0.25">
      <c r="A84" s="288" t="s">
        <v>153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hidden="1" customHeight="1" x14ac:dyDescent="0.25">
      <c r="A86" s="54" t="s">
        <v>154</v>
      </c>
      <c r="B86" s="54" t="s">
        <v>155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hidden="1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hidden="1" customHeight="1" x14ac:dyDescent="0.25">
      <c r="A89" s="288" t="s">
        <v>157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158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140</v>
      </c>
      <c r="Y91" s="269">
        <f>IFERROR(IF(X91="","",X91),"")</f>
        <v>140</v>
      </c>
      <c r="Z91" s="36">
        <f>IFERROR(IF(X91="","",X91*0.01788),"")</f>
        <v>2.5032000000000001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602.50400000000002</v>
      </c>
      <c r="BN91" s="67">
        <f>IFERROR(Y91*I91,"0")</f>
        <v>602.50400000000002</v>
      </c>
      <c r="BO91" s="67">
        <f>IFERROR(X91/J91,"0")</f>
        <v>2</v>
      </c>
      <c r="BP91" s="67">
        <f>IFERROR(Y91/J91,"0")</f>
        <v>2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140</v>
      </c>
      <c r="Y92" s="269">
        <f>IFERROR(IF(X92="","",X92),"")</f>
        <v>140</v>
      </c>
      <c r="Z92" s="36">
        <f>IFERROR(IF(X92="","",X92*0.01788),"")</f>
        <v>2.5032000000000001</v>
      </c>
      <c r="AA92" s="56"/>
      <c r="AB92" s="57"/>
      <c r="AC92" s="128" t="s">
        <v>164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602.50400000000002</v>
      </c>
      <c r="BN92" s="67">
        <f>IFERROR(Y92*I92,"0")</f>
        <v>602.50400000000002</v>
      </c>
      <c r="BO92" s="67">
        <f>IFERROR(X92/J92,"0")</f>
        <v>2</v>
      </c>
      <c r="BP92" s="67">
        <f>IFERROR(Y92/J92,"0")</f>
        <v>2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280</v>
      </c>
      <c r="Y93" s="270">
        <f>IFERROR(SUM(Y91:Y92),"0")</f>
        <v>280</v>
      </c>
      <c r="Z93" s="270">
        <f>IFERROR(IF(Z91="",0,Z91),"0")+IFERROR(IF(Z92="",0,Z92),"0")</f>
        <v>5.0064000000000002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1008</v>
      </c>
      <c r="Y94" s="270">
        <f>IFERROR(SUMPRODUCT(Y91:Y92*H91:H92),"0")</f>
        <v>1008</v>
      </c>
      <c r="Z94" s="37"/>
      <c r="AA94" s="271"/>
      <c r="AB94" s="271"/>
      <c r="AC94" s="271"/>
    </row>
    <row r="95" spans="1:68" ht="16.5" hidden="1" customHeight="1" x14ac:dyDescent="0.25">
      <c r="A95" s="288" t="s">
        <v>165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140</v>
      </c>
      <c r="Y97" s="269">
        <f t="shared" ref="Y97:Y102" si="6">IFERROR(IF(X97="","",X97),"")</f>
        <v>140</v>
      </c>
      <c r="Z97" s="36">
        <f t="shared" ref="Z97:Z102" si="7">IFERROR(IF(X97="","",X97*0.01788),"")</f>
        <v>2.5032000000000001</v>
      </c>
      <c r="AA97" s="56"/>
      <c r="AB97" s="57"/>
      <c r="AC97" s="130" t="s">
        <v>156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501.70400000000001</v>
      </c>
      <c r="BN97" s="67">
        <f t="shared" ref="BN97:BN102" si="9">IFERROR(Y97*I97,"0")</f>
        <v>501.70400000000001</v>
      </c>
      <c r="BO97" s="67">
        <f t="shared" ref="BO97:BO102" si="10">IFERROR(X97/J97,"0")</f>
        <v>2</v>
      </c>
      <c r="BP97" s="67">
        <f t="shared" ref="BP97:BP102" si="11">IFERROR(Y97/J97,"0")</f>
        <v>2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70</v>
      </c>
      <c r="Y98" s="269">
        <f t="shared" si="6"/>
        <v>70</v>
      </c>
      <c r="Z98" s="36">
        <f t="shared" si="7"/>
        <v>1.2516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70</v>
      </c>
      <c r="Y99" s="269">
        <f t="shared" si="6"/>
        <v>70</v>
      </c>
      <c r="Z99" s="36">
        <f t="shared" si="7"/>
        <v>1.2516</v>
      </c>
      <c r="AA99" s="56"/>
      <c r="AB99" s="57"/>
      <c r="AC99" s="134" t="s">
        <v>172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250.852</v>
      </c>
      <c r="BN99" s="67">
        <f t="shared" si="9"/>
        <v>250.852</v>
      </c>
      <c r="BO99" s="67">
        <f t="shared" si="10"/>
        <v>1</v>
      </c>
      <c r="BP99" s="67">
        <f t="shared" si="11"/>
        <v>1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140</v>
      </c>
      <c r="Y100" s="269">
        <f t="shared" si="6"/>
        <v>140</v>
      </c>
      <c r="Z100" s="36">
        <f t="shared" si="7"/>
        <v>2.5032000000000001</v>
      </c>
      <c r="AA100" s="56"/>
      <c r="AB100" s="57"/>
      <c r="AC100" s="136" t="s">
        <v>156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501.70400000000001</v>
      </c>
      <c r="BN100" s="67">
        <f t="shared" si="9"/>
        <v>501.70400000000001</v>
      </c>
      <c r="BO100" s="67">
        <f t="shared" si="10"/>
        <v>2</v>
      </c>
      <c r="BP100" s="67">
        <f t="shared" si="11"/>
        <v>2</v>
      </c>
    </row>
    <row r="101" spans="1:68" ht="27" hidden="1" customHeight="1" x14ac:dyDescent="0.25">
      <c r="A101" s="54" t="s">
        <v>175</v>
      </c>
      <c r="B101" s="54" t="s">
        <v>176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177</v>
      </c>
      <c r="B102" s="54" t="s">
        <v>178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420</v>
      </c>
      <c r="Y103" s="270">
        <f>IFERROR(SUM(Y97:Y102),"0")</f>
        <v>420</v>
      </c>
      <c r="Z103" s="270">
        <f>IFERROR(IF(Z97="",0,Z97),"0")+IFERROR(IF(Z98="",0,Z98),"0")+IFERROR(IF(Z99="",0,Z99),"0")+IFERROR(IF(Z100="",0,Z100),"0")+IFERROR(IF(Z101="",0,Z101),"0")+IFERROR(IF(Z102="",0,Z102),"0")</f>
        <v>7.5096000000000007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1209.5999999999999</v>
      </c>
      <c r="Y104" s="270">
        <f>IFERROR(SUMPRODUCT(Y97:Y102*H97:H102),"0")</f>
        <v>1209.5999999999999</v>
      </c>
      <c r="Z104" s="37"/>
      <c r="AA104" s="271"/>
      <c r="AB104" s="271"/>
      <c r="AC104" s="271"/>
    </row>
    <row r="105" spans="1:68" ht="16.5" hidden="1" customHeight="1" x14ac:dyDescent="0.25">
      <c r="A105" s="288" t="s">
        <v>180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181</v>
      </c>
      <c r="B107" s="54" t="s">
        <v>182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8" t="s">
        <v>186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187</v>
      </c>
      <c r="B113" s="54" t="s">
        <v>188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191</v>
      </c>
      <c r="B114" s="54" t="s">
        <v>192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194</v>
      </c>
      <c r="B115" s="54" t="s">
        <v>195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84</v>
      </c>
      <c r="Y116" s="269">
        <f t="shared" si="12"/>
        <v>84</v>
      </c>
      <c r="Z116" s="36">
        <f t="shared" si="13"/>
        <v>1.302</v>
      </c>
      <c r="AA116" s="56"/>
      <c r="AB116" s="57"/>
      <c r="AC116" s="152" t="s">
        <v>150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613.19999999999993</v>
      </c>
      <c r="BN116" s="67">
        <f t="shared" si="15"/>
        <v>613.19999999999993</v>
      </c>
      <c r="BO116" s="67">
        <f t="shared" si="16"/>
        <v>1</v>
      </c>
      <c r="BP116" s="67">
        <f t="shared" si="17"/>
        <v>1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201</v>
      </c>
      <c r="B118" s="54" t="s">
        <v>202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203</v>
      </c>
      <c r="B119" s="54" t="s">
        <v>204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84</v>
      </c>
      <c r="Y121" s="270">
        <f>IFERROR(SUM(Y113:Y120),"0")</f>
        <v>84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1.302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588</v>
      </c>
      <c r="Y122" s="270">
        <f>IFERROR(SUMPRODUCT(Y113:Y120*H113:H120),"0")</f>
        <v>588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208</v>
      </c>
      <c r="B124" s="54" t="s">
        <v>209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211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212</v>
      </c>
      <c r="B128" s="54" t="s">
        <v>213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215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140</v>
      </c>
      <c r="Y133" s="269">
        <f>IFERROR(IF(X133="","",X133),"")</f>
        <v>140</v>
      </c>
      <c r="Z133" s="36">
        <f>IFERROR(IF(X133="","",X133*0.01788),"")</f>
        <v>2.5032000000000001</v>
      </c>
      <c r="AA133" s="56"/>
      <c r="AB133" s="57"/>
      <c r="AC133" s="166" t="s">
        <v>218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518.50400000000002</v>
      </c>
      <c r="BN133" s="67">
        <f>IFERROR(Y133*I133,"0")</f>
        <v>518.50400000000002</v>
      </c>
      <c r="BO133" s="67">
        <f>IFERROR(X133/J133,"0")</f>
        <v>2</v>
      </c>
      <c r="BP133" s="67">
        <f>IFERROR(Y133/J133,"0")</f>
        <v>2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139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140</v>
      </c>
      <c r="Y134" s="269">
        <f>IFERROR(IF(X134="","",X134),"")</f>
        <v>140</v>
      </c>
      <c r="Z134" s="36">
        <f>IFERROR(IF(X134="","",X134*0.01788),"")</f>
        <v>2.5032000000000001</v>
      </c>
      <c r="AA134" s="56"/>
      <c r="AB134" s="57"/>
      <c r="AC134" s="168" t="s">
        <v>156</v>
      </c>
      <c r="AG134" s="67"/>
      <c r="AJ134" s="71" t="s">
        <v>140</v>
      </c>
      <c r="AK134" s="71">
        <v>70</v>
      </c>
      <c r="BB134" s="169" t="s">
        <v>99</v>
      </c>
      <c r="BM134" s="67">
        <f>IFERROR(X134*I134,"0")</f>
        <v>518.50400000000002</v>
      </c>
      <c r="BN134" s="67">
        <f>IFERROR(Y134*I134,"0")</f>
        <v>518.50400000000002</v>
      </c>
      <c r="BO134" s="67">
        <f>IFERROR(X134/J134,"0")</f>
        <v>2</v>
      </c>
      <c r="BP134" s="67">
        <f>IFERROR(Y134/J134,"0")</f>
        <v>2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280</v>
      </c>
      <c r="Y135" s="270">
        <f>IFERROR(SUM(Y133:Y134),"0")</f>
        <v>280</v>
      </c>
      <c r="Z135" s="270">
        <f>IFERROR(IF(Z133="",0,Z133),"0")+IFERROR(IF(Z134="",0,Z134),"0")</f>
        <v>5.0064000000000002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840</v>
      </c>
      <c r="Y136" s="270">
        <f>IFERROR(SUMPRODUCT(Y133:Y134*H133:H134),"0")</f>
        <v>840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70</v>
      </c>
      <c r="Y139" s="269">
        <f>IFERROR(IF(X139="","",X139),"")</f>
        <v>70</v>
      </c>
      <c r="Z139" s="36">
        <f>IFERROR(IF(X139="","",X139*0.01788),"")</f>
        <v>1.2516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262.36</v>
      </c>
      <c r="BN139" s="67">
        <f>IFERROR(Y139*I139,"0")</f>
        <v>262.36</v>
      </c>
      <c r="BO139" s="67">
        <f>IFERROR(X139/J139,"0")</f>
        <v>1</v>
      </c>
      <c r="BP139" s="67">
        <f>IFERROR(Y139/J139,"0")</f>
        <v>1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70</v>
      </c>
      <c r="Y140" s="269">
        <f>IFERROR(IF(X140="","",X140),"")</f>
        <v>70</v>
      </c>
      <c r="Z140" s="36">
        <f>IFERROR(IF(X140="","",X140*0.01788),"")</f>
        <v>1.2516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259.25200000000001</v>
      </c>
      <c r="BN140" s="67">
        <f>IFERROR(Y140*I140,"0")</f>
        <v>259.25200000000001</v>
      </c>
      <c r="BO140" s="67">
        <f>IFERROR(X140/J140,"0")</f>
        <v>1</v>
      </c>
      <c r="BP140" s="67">
        <f>IFERROR(Y140/J140,"0")</f>
        <v>1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140</v>
      </c>
      <c r="Y141" s="270">
        <f>IFERROR(SUM(Y139:Y140),"0")</f>
        <v>140</v>
      </c>
      <c r="Z141" s="270">
        <f>IFERROR(IF(Z139="",0,Z139),"0")+IFERROR(IF(Z140="",0,Z140),"0")</f>
        <v>2.5032000000000001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420</v>
      </c>
      <c r="Y142" s="270">
        <f>IFERROR(SUMPRODUCT(Y139:Y140*H139:H140),"0")</f>
        <v>420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140</v>
      </c>
      <c r="Y145" s="269">
        <f>IFERROR(IF(X145="","",X145),"")</f>
        <v>140</v>
      </c>
      <c r="Z145" s="36">
        <f>IFERROR(IF(X145="","",X145*0.01788),"")</f>
        <v>2.5032000000000001</v>
      </c>
      <c r="AA145" s="56"/>
      <c r="AB145" s="57"/>
      <c r="AC145" s="174" t="s">
        <v>218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375.20000000000005</v>
      </c>
      <c r="BN145" s="67">
        <f>IFERROR(Y145*I145,"0")</f>
        <v>375.20000000000005</v>
      </c>
      <c r="BO145" s="67">
        <f>IFERROR(X145/J145,"0")</f>
        <v>2</v>
      </c>
      <c r="BP145" s="67">
        <f>IFERROR(Y145/J145,"0")</f>
        <v>2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140</v>
      </c>
      <c r="Y146" s="269">
        <f>IFERROR(IF(X146="","",X146),"")</f>
        <v>140</v>
      </c>
      <c r="Z146" s="36">
        <f>IFERROR(IF(X146="","",X146*0.01788),"")</f>
        <v>2.5032000000000001</v>
      </c>
      <c r="AA146" s="56"/>
      <c r="AB146" s="57"/>
      <c r="AC146" s="176" t="s">
        <v>218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375.20000000000005</v>
      </c>
      <c r="BN146" s="67">
        <f>IFERROR(Y146*I146,"0")</f>
        <v>375.20000000000005</v>
      </c>
      <c r="BO146" s="67">
        <f>IFERROR(X146/J146,"0")</f>
        <v>2</v>
      </c>
      <c r="BP146" s="67">
        <f>IFERROR(Y146/J146,"0")</f>
        <v>2</v>
      </c>
    </row>
    <row r="147" spans="1:68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280</v>
      </c>
      <c r="Y147" s="270">
        <f>IFERROR(SUM(Y145:Y146),"0")</f>
        <v>280</v>
      </c>
      <c r="Z147" s="270">
        <f>IFERROR(IF(Z145="",0,Z145),"0")+IFERROR(IF(Z146="",0,Z146),"0")</f>
        <v>5.0064000000000002</v>
      </c>
      <c r="AA147" s="271"/>
      <c r="AB147" s="271"/>
      <c r="AC147" s="271"/>
    </row>
    <row r="148" spans="1:68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672</v>
      </c>
      <c r="Y148" s="270">
        <f>IFERROR(SUMPRODUCT(Y145:Y146*H145:H146),"0")</f>
        <v>672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140</v>
      </c>
      <c r="Y151" s="269">
        <f>IFERROR(IF(X151="","",X151),"")</f>
        <v>140</v>
      </c>
      <c r="Z151" s="36">
        <f>IFERROR(IF(X151="","",X151*0.01788),"")</f>
        <v>2.5032000000000001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518.50400000000002</v>
      </c>
      <c r="BN151" s="67">
        <f>IFERROR(Y151*I151,"0")</f>
        <v>518.50400000000002</v>
      </c>
      <c r="BO151" s="67">
        <f>IFERROR(X151/J151,"0")</f>
        <v>2</v>
      </c>
      <c r="BP151" s="67">
        <f>IFERROR(Y151/J151,"0")</f>
        <v>2</v>
      </c>
    </row>
    <row r="152" spans="1:68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140</v>
      </c>
      <c r="Y152" s="270">
        <f>IFERROR(SUM(Y151:Y151),"0")</f>
        <v>140</v>
      </c>
      <c r="Z152" s="270">
        <f>IFERROR(IF(Z151="",0,Z151),"0")</f>
        <v>2.5032000000000001</v>
      </c>
      <c r="AA152" s="271"/>
      <c r="AB152" s="271"/>
      <c r="AC152" s="271"/>
    </row>
    <row r="153" spans="1:68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420</v>
      </c>
      <c r="Y153" s="270">
        <f>IFERROR(SUMPRODUCT(Y151:Y151*H151:H151),"0")</f>
        <v>420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211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96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98</v>
      </c>
      <c r="AK161" s="71">
        <v>6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210</v>
      </c>
      <c r="Y166" s="269">
        <f>IFERROR(IF(X166="","",X166),"")</f>
        <v>210</v>
      </c>
      <c r="Z166" s="36">
        <f>IFERROR(IF(X166="","",X166*0.00941),"")</f>
        <v>1.9761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441.37799999999999</v>
      </c>
      <c r="BN166" s="67">
        <f>IFERROR(Y166*I166,"0")</f>
        <v>441.37799999999999</v>
      </c>
      <c r="BO166" s="67">
        <f>IFERROR(X166/J166,"0")</f>
        <v>1.5</v>
      </c>
      <c r="BP166" s="67">
        <f>IFERROR(Y166/J166,"0")</f>
        <v>1.5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210</v>
      </c>
      <c r="Y167" s="270">
        <f>IFERROR(SUM(Y166:Y166),"0")</f>
        <v>210</v>
      </c>
      <c r="Z167" s="270">
        <f>IFERROR(IF(Z166="",0,Z166),"0")</f>
        <v>1.9761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352.8</v>
      </c>
      <c r="Y168" s="270">
        <f>IFERROR(SUMPRODUCT(Y166:Y166*H166:H166),"0")</f>
        <v>352.8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hidden="1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hidden="1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idden="1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0</v>
      </c>
      <c r="Y182" s="270">
        <f>IFERROR(SUM(Y179:Y181),"0")</f>
        <v>0</v>
      </c>
      <c r="Z182" s="270">
        <f>IFERROR(IF(Z179="",0,Z179),"0")+IFERROR(IF(Z180="",0,Z180),"0")+IFERROR(IF(Z181="",0,Z181),"0")</f>
        <v>0</v>
      </c>
      <c r="AA182" s="271"/>
      <c r="AB182" s="271"/>
      <c r="AC182" s="271"/>
    </row>
    <row r="183" spans="1:68" hidden="1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0</v>
      </c>
      <c r="Y183" s="270">
        <f>IFERROR(SUMPRODUCT(Y179:Y181*H179:H181),"0")</f>
        <v>0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96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98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hidden="1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96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98</v>
      </c>
      <c r="AK213" s="71">
        <v>14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96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98</v>
      </c>
      <c r="AK214" s="71">
        <v>14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96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98</v>
      </c>
      <c r="AK236" s="71">
        <v>14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hidden="1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149</v>
      </c>
      <c r="L248" s="32" t="s">
        <v>96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98</v>
      </c>
      <c r="AK248" s="71">
        <v>18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hidden="1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96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98</v>
      </c>
      <c r="AK258" s="71">
        <v>14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hidden="1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139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140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96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98</v>
      </c>
      <c r="AK265" s="71">
        <v>14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96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98</v>
      </c>
      <c r="AK266" s="71">
        <v>14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149</v>
      </c>
      <c r="L267" s="32" t="s">
        <v>96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98</v>
      </c>
      <c r="AK267" s="71">
        <v>18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idden="1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0</v>
      </c>
      <c r="Y268" s="270">
        <f>IFERROR(SUM(Y258:Y267),"0")</f>
        <v>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271"/>
      <c r="AB268" s="271"/>
      <c r="AC268" s="271"/>
    </row>
    <row r="269" spans="1:68" hidden="1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0</v>
      </c>
      <c r="Y269" s="270">
        <f>IFERROR(SUMPRODUCT(Y258:Y267*H258:H267),"0")</f>
        <v>0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9398.4</v>
      </c>
      <c r="Y270" s="270">
        <f>IFERROR(Y29+Y35+Y42+Y49+Y57+Y62+Y66+Y71+Y77+Y83+Y88+Y94+Y104+Y110+Y122+Y126+Y130+Y136+Y142+Y148+Y153+Y158+Y163+Y168+Y175+Y183+Y187+Y193+Y201+Y206+Y211+Y216+Y222+Y228+Y234+Y238+Y245+Y250+Y256+Y269,"0")</f>
        <v>9398.4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10759.580400000003</v>
      </c>
      <c r="Y271" s="270">
        <f>IFERROR(SUM(BN22:BN267),"0")</f>
        <v>10759.580400000003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33</v>
      </c>
      <c r="Y272" s="38">
        <f>ROUNDUP(SUM(BP22:BP267),0)</f>
        <v>33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11584.580400000003</v>
      </c>
      <c r="Y273" s="270">
        <f>GrossWeightTotalR+PalletQtyTotalR*25</f>
        <v>11584.580400000003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2694</v>
      </c>
      <c r="Y274" s="270">
        <f>IFERROR(Y28+Y34+Y41+Y48+Y56+Y61+Y65+Y70+Y76+Y82+Y87+Y93+Y103+Y109+Y121+Y125+Y129+Y135+Y141+Y147+Y152+Y157+Y162+Y167+Y174+Y182+Y186+Y192+Y200+Y205+Y210+Y215+Y221+Y227+Y233+Y237+Y244+Y249+Y255+Y268,"0")</f>
        <v>2694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41.51932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146</v>
      </c>
      <c r="I278" s="294" t="s">
        <v>153</v>
      </c>
      <c r="J278" s="294" t="s">
        <v>157</v>
      </c>
      <c r="K278" s="294" t="s">
        <v>165</v>
      </c>
      <c r="L278" s="294" t="s">
        <v>180</v>
      </c>
      <c r="M278" s="294" t="s">
        <v>186</v>
      </c>
      <c r="N278" s="266"/>
      <c r="O278" s="294" t="s">
        <v>215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210</v>
      </c>
      <c r="E280" s="46">
        <f>IFERROR(X45*H45,"0")+IFERROR(X46*H46,"0")+IFERROR(X47*H47,"0")</f>
        <v>0</v>
      </c>
      <c r="F280" s="46">
        <f>IFERROR(X52*H52,"0")+IFERROR(X53*H53,"0")+IFERROR(X54*H54,"0")+IFERROR(X55*H55,"0")</f>
        <v>3066</v>
      </c>
      <c r="G280" s="46">
        <f>IFERROR(X60*H60,"0")+IFERROR(X64*H64,"0")+IFERROR(X68*H68,"0")+IFERROR(X69*H69,"0")+IFERROR(X73*H73,"0")+IFERROR(X74*H74,"0")+IFERROR(X75*H75,"0")</f>
        <v>252</v>
      </c>
      <c r="H280" s="46">
        <f>IFERROR(X80*H80,"0")+IFERROR(X81*H81,"0")</f>
        <v>360</v>
      </c>
      <c r="I280" s="46">
        <f>IFERROR(X86*H86,"0")</f>
        <v>0</v>
      </c>
      <c r="J280" s="46">
        <f>IFERROR(X91*H91,"0")+IFERROR(X92*H92,"0")</f>
        <v>1008</v>
      </c>
      <c r="K280" s="46">
        <f>IFERROR(X97*H97,"0")+IFERROR(X98*H98,"0")+IFERROR(X99*H99,"0")+IFERROR(X100*H100,"0")+IFERROR(X101*H101,"0")+IFERROR(X102*H102,"0")</f>
        <v>1209.5999999999999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588</v>
      </c>
      <c r="N280" s="266"/>
      <c r="O280" s="46">
        <f>IFERROR(X133*H133,"0")+IFERROR(X134*H134,"0")</f>
        <v>840</v>
      </c>
      <c r="P280" s="46">
        <f>IFERROR(X139*H139,"0")+IFERROR(X140*H140,"0")</f>
        <v>420</v>
      </c>
      <c r="Q280" s="46">
        <f>IFERROR(X145*H145,"0")+IFERROR(X146*H146,"0")</f>
        <v>672</v>
      </c>
      <c r="R280" s="46">
        <f>IFERROR(X151*H151,"0")</f>
        <v>420</v>
      </c>
      <c r="S280" s="46">
        <f>IFERROR(X156*H156,"0")</f>
        <v>0</v>
      </c>
      <c r="T280" s="46">
        <f>IFERROR(X161*H161,"0")</f>
        <v>0</v>
      </c>
      <c r="U280" s="46">
        <f>IFERROR(X166*H166,"0")</f>
        <v>352.8</v>
      </c>
      <c r="V280" s="46">
        <f>IFERROR(X172*H172,"0")+IFERROR(X173*H173,"0")</f>
        <v>0</v>
      </c>
      <c r="W280" s="46">
        <f>IFERROR(X179*H179,"0")+IFERROR(X180*H180,"0")+IFERROR(X181*H181,"0")+IFERROR(X185*H185,"0")</f>
        <v>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4014</v>
      </c>
      <c r="B283" s="60">
        <f>SUMPRODUCT(--(BB:BB="ПГП"),--(W:W="кор"),H:H,Y:Y)+SUMPRODUCT(--(BB:BB="ПГП"),--(W:W="кг"),Y:Y)</f>
        <v>5384.4000000000005</v>
      </c>
      <c r="C283" s="60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209,60"/>
        <filter val="10 759,58"/>
        <filter val="11 584,58"/>
        <filter val="140,00"/>
        <filter val="146,00"/>
        <filter val="2 694,00"/>
        <filter val="210,00"/>
        <filter val="252,00"/>
        <filter val="280,00"/>
        <filter val="3 066,00"/>
        <filter val="33"/>
        <filter val="352,80"/>
        <filter val="360,00"/>
        <filter val="420,00"/>
        <filter val="438,00"/>
        <filter val="588,00"/>
        <filter val="672,00"/>
        <filter val="70,00"/>
        <filter val="72,00"/>
        <filter val="84,00"/>
        <filter val="840,00"/>
        <filter val="9 398,4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3 X117 X120 X124 X128 X139 X145 X172 X185 X195 X197 X209 X220 X232 X242 X25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4:X116 X118:X119 X133 X140 X146 X151 X156 X161 X166 X173 X179:X181 X191 X196 X198:X199 X204 X213:X214 X226 X236 X243 X247:X248 X252:X253 X258:X261 X263:X26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62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2025-12-29T13:12:31Z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