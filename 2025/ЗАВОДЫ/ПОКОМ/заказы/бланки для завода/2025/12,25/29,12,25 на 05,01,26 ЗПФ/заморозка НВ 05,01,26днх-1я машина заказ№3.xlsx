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560E1F2C-C61A-4FB7-9A8A-89533B184EA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Y269" i="1" s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BP252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Z244" i="1" s="1"/>
  <c r="Y243" i="1"/>
  <c r="P243" i="1"/>
  <c r="BO242" i="1"/>
  <c r="BM242" i="1"/>
  <c r="Z242" i="1"/>
  <c r="Y242" i="1"/>
  <c r="Y244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Y206" i="1" s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0" i="1" s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Y193" i="1" s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Y172" i="1"/>
  <c r="P172" i="1"/>
  <c r="X168" i="1"/>
  <c r="X167" i="1"/>
  <c r="BO166" i="1"/>
  <c r="BM166" i="1"/>
  <c r="Z166" i="1"/>
  <c r="Z167" i="1" s="1"/>
  <c r="Y166" i="1"/>
  <c r="Y168" i="1" s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Y158" i="1" s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BP139" i="1" s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P114" i="1"/>
  <c r="BO113" i="1"/>
  <c r="BM113" i="1"/>
  <c r="Z113" i="1"/>
  <c r="Y113" i="1"/>
  <c r="BP113" i="1" s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P98" i="1"/>
  <c r="BO97" i="1"/>
  <c r="BM97" i="1"/>
  <c r="Z97" i="1"/>
  <c r="Y97" i="1"/>
  <c r="BP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Y83" i="1" s="1"/>
  <c r="P81" i="1"/>
  <c r="BP80" i="1"/>
  <c r="BO80" i="1"/>
  <c r="BN80" i="1"/>
  <c r="BM80" i="1"/>
  <c r="Z80" i="1"/>
  <c r="Z82" i="1" s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P74" i="1"/>
  <c r="BO73" i="1"/>
  <c r="BM73" i="1"/>
  <c r="Z73" i="1"/>
  <c r="Y73" i="1"/>
  <c r="Y77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Z68" i="1"/>
  <c r="Y68" i="1"/>
  <c r="Y70" i="1" s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BO52" i="1"/>
  <c r="BM52" i="1"/>
  <c r="Z52" i="1"/>
  <c r="Y52" i="1"/>
  <c r="Y56" i="1" s="1"/>
  <c r="P52" i="1"/>
  <c r="X49" i="1"/>
  <c r="X48" i="1"/>
  <c r="BP47" i="1"/>
  <c r="BO47" i="1"/>
  <c r="BN47" i="1"/>
  <c r="BM47" i="1"/>
  <c r="Z47" i="1"/>
  <c r="Y47" i="1"/>
  <c r="P47" i="1"/>
  <c r="BO46" i="1"/>
  <c r="BM46" i="1"/>
  <c r="Z46" i="1"/>
  <c r="Y46" i="1"/>
  <c r="Y48" i="1" s="1"/>
  <c r="P46" i="1"/>
  <c r="BP45" i="1"/>
  <c r="BO45" i="1"/>
  <c r="BN45" i="1"/>
  <c r="BM45" i="1"/>
  <c r="Z45" i="1"/>
  <c r="Z48" i="1" s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Z41" i="1" s="1"/>
  <c r="Y39" i="1"/>
  <c r="P39" i="1"/>
  <c r="X35" i="1"/>
  <c r="X34" i="1"/>
  <c r="BO33" i="1"/>
  <c r="BM33" i="1"/>
  <c r="Z33" i="1"/>
  <c r="Y33" i="1"/>
  <c r="Y35" i="1" s="1"/>
  <c r="P33" i="1"/>
  <c r="BP32" i="1"/>
  <c r="BO32" i="1"/>
  <c r="BN32" i="1"/>
  <c r="BM32" i="1"/>
  <c r="Z32" i="1"/>
  <c r="Z34" i="1" s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X272" i="1" s="1"/>
  <c r="BM22" i="1"/>
  <c r="Z22" i="1"/>
  <c r="Z28" i="1" s="1"/>
  <c r="Y22" i="1"/>
  <c r="P22" i="1"/>
  <c r="H10" i="1"/>
  <c r="A9" i="1"/>
  <c r="A10" i="1" s="1"/>
  <c r="D7" i="1"/>
  <c r="Q6" i="1"/>
  <c r="P2" i="1"/>
  <c r="Z93" i="1" l="1"/>
  <c r="Z103" i="1"/>
  <c r="BN97" i="1"/>
  <c r="Y104" i="1"/>
  <c r="BN99" i="1"/>
  <c r="BN101" i="1"/>
  <c r="Z109" i="1"/>
  <c r="Z121" i="1"/>
  <c r="BN113" i="1"/>
  <c r="Y122" i="1"/>
  <c r="BN115" i="1"/>
  <c r="BN117" i="1"/>
  <c r="BN119" i="1"/>
  <c r="Z135" i="1"/>
  <c r="Z141" i="1"/>
  <c r="BN139" i="1"/>
  <c r="Z147" i="1"/>
  <c r="BN145" i="1"/>
  <c r="Y245" i="1"/>
  <c r="Y28" i="1"/>
  <c r="X271" i="1"/>
  <c r="X273" i="1" s="1"/>
  <c r="BN23" i="1"/>
  <c r="BN25" i="1"/>
  <c r="BN27" i="1"/>
  <c r="X270" i="1"/>
  <c r="Y34" i="1"/>
  <c r="Y41" i="1"/>
  <c r="BN40" i="1"/>
  <c r="Y49" i="1"/>
  <c r="Z56" i="1"/>
  <c r="BN52" i="1"/>
  <c r="BP52" i="1"/>
  <c r="Y57" i="1"/>
  <c r="BN54" i="1"/>
  <c r="Z70" i="1"/>
  <c r="Z76" i="1"/>
  <c r="BN73" i="1"/>
  <c r="BP73" i="1"/>
  <c r="Y76" i="1"/>
  <c r="BN75" i="1"/>
  <c r="Y82" i="1"/>
  <c r="Y93" i="1"/>
  <c r="BN92" i="1"/>
  <c r="Y103" i="1"/>
  <c r="Y109" i="1"/>
  <c r="BN108" i="1"/>
  <c r="Y121" i="1"/>
  <c r="Y135" i="1"/>
  <c r="BN134" i="1"/>
  <c r="Y147" i="1"/>
  <c r="Y148" i="1"/>
  <c r="BN173" i="1"/>
  <c r="Z215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BN242" i="1"/>
  <c r="BP242" i="1"/>
  <c r="Z255" i="1"/>
  <c r="BN252" i="1"/>
  <c r="BN254" i="1"/>
  <c r="F9" i="1"/>
  <c r="J9" i="1"/>
  <c r="F10" i="1"/>
  <c r="BN22" i="1"/>
  <c r="BP22" i="1"/>
  <c r="BN24" i="1"/>
  <c r="BN26" i="1"/>
  <c r="X274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7" i="1"/>
  <c r="BP107" i="1"/>
  <c r="Y110" i="1"/>
  <c r="BN114" i="1"/>
  <c r="BP114" i="1"/>
  <c r="BN116" i="1"/>
  <c r="BN118" i="1"/>
  <c r="BN120" i="1"/>
  <c r="BN124" i="1"/>
  <c r="BP124" i="1"/>
  <c r="Y125" i="1"/>
  <c r="BN128" i="1"/>
  <c r="BP128" i="1"/>
  <c r="Y129" i="1"/>
  <c r="BN133" i="1"/>
  <c r="BP133" i="1"/>
  <c r="Y136" i="1"/>
  <c r="Y142" i="1"/>
  <c r="BN140" i="1"/>
  <c r="Y141" i="1"/>
  <c r="BP146" i="1"/>
  <c r="BN146" i="1"/>
  <c r="Y157" i="1"/>
  <c r="BP156" i="1"/>
  <c r="BN156" i="1"/>
  <c r="Y167" i="1"/>
  <c r="BP166" i="1"/>
  <c r="BN166" i="1"/>
  <c r="Z174" i="1"/>
  <c r="Y183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Z249" i="1"/>
  <c r="Y256" i="1"/>
  <c r="Y268" i="1"/>
  <c r="H9" i="1"/>
  <c r="Y152" i="1"/>
  <c r="BP151" i="1"/>
  <c r="BN151" i="1"/>
  <c r="Y162" i="1"/>
  <c r="BP161" i="1"/>
  <c r="BN161" i="1"/>
  <c r="Y175" i="1"/>
  <c r="BP172" i="1"/>
  <c r="BN172" i="1"/>
  <c r="Y174" i="1"/>
  <c r="BP180" i="1"/>
  <c r="BN180" i="1"/>
  <c r="Y182" i="1"/>
  <c r="Y186" i="1"/>
  <c r="BP185" i="1"/>
  <c r="BN185" i="1"/>
  <c r="Y200" i="1"/>
  <c r="BP195" i="1"/>
  <c r="BN195" i="1"/>
  <c r="BP197" i="1"/>
  <c r="BN197" i="1"/>
  <c r="BP199" i="1"/>
  <c r="BN199" i="1"/>
  <c r="Y210" i="1"/>
  <c r="BP209" i="1"/>
  <c r="BN209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4" i="1" l="1"/>
  <c r="Z275" i="1"/>
  <c r="Y271" i="1"/>
  <c r="Y270" i="1"/>
  <c r="Y272" i="1"/>
  <c r="A283" i="1" l="1"/>
  <c r="Y273" i="1"/>
  <c r="C283" i="1" s="1"/>
  <c r="B283" i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<sst xmlns="http://schemas.openxmlformats.org/spreadsheetml/2006/main" count="1223" uniqueCount="395">
  <si>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</si>
  <si>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</si>
  <si>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</si>
  <si>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</si>
  <si>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</si>
  <si>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</si>
  <si>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</si>
  <si>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</si>
  <si>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</si>
  <si>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</si>
  <si>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</si>
  <si>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</si>
  <si>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</si>
  <si>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</si>
  <si>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</si>
  <si>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</si>
  <si>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</si>
  <si>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</si>
  <si>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</si>
  <si>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</si>
  <si>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</si>
  <si>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</si>
  <si>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</si>
  <si>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</si>
  <si>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</si>
  <si>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</si>
  <si>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</si>
  <si>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</si>
  <si>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</si>
  <si>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</si>
  <si>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</si>
  <si>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</si>
  <si>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</si>
  <si>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</si>
  <si>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</si>
  <si>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</si>
  <si>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</si>
  <si>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</si>
  <si>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</si>
  <si>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</si>
  <si>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</si>
  <si>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</si>
  <si>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</si>
  <si>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</si>
  <si>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</si>
  <si>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</si>
  <si>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</si>
  <si>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</si>
  <si>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</si>
  <si>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</si>
  <si>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</si>
  <si>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</si>
  <si>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</si>
  <si>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</si>
  <si>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</si>
  <si>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</si>
  <si>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</si>
  <si>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</si>
  <si>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</si>
  <si>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</si>
  <si>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</si>
  <si>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</si>
  <si>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</si>
  <si>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</si>
  <si>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</si>
  <si>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</si>
  <si>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</si>
  <si>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</si>
  <si>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</si>
  <si>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</si>
  <si>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</si>
  <si>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</si>
  <si>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</si>
  <si>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</si>
  <si>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</si>
  <si>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</si>
  <si>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</si>
  <si>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</si>
  <si>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</si>
  <si>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</si>
  <si>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</si>
  <si>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</si>
  <si>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</si>
  <si>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</si>
  <si>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</si>
  <si>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</si>
  <si>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</si>
  <si>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</si>
  <si>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</si>
  <si>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</si>
  <si>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</si>
  <si>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</si>
  <si>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</si>
  <si>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</si>
  <si>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</si>
  <si>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</si>
  <si>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</si>
  <si>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</si>
  <si>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</si>
  <si>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</si>
  <si>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</si>
  <si>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</si>
  <si>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</si>
  <si>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</si>
  <si>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</si>
  <si>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</si>
  <si>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</si>
  <si>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</si>
  <si>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</si>
  <si>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</si>
  <si>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</si>
  <si>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</si>
  <si>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</si>
  <si>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</si>
  <si>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</si>
  <si>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</si>
  <si>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</si>
  <si>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</si>
  <si>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</si>
  <si>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</si>
  <si>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</si>
  <si>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</si>
  <si>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</si>
  <si>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</si>
  <si>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</si>
  <si>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</si>
  <si>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</si>
  <si>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</si>
  <si>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</si>
  <si>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</si>
  <si>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</si>
  <si>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</si>
  <si>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</si>
  <si>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</si>
  <si>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</si>
  <si>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</si>
  <si>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</si>
  <si>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</si>
  <si>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</si>
  <si>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</si>
  <si>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</si>
  <si>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</si>
  <si>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</si>
  <si>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</si>
  <si>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</si>
  <si>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</si>
  <si>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</si>
  <si>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</si>
  <si>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</si>
  <si>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</si>
  <si>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</si>
  <si>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</si>
  <si>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</si>
  <si>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</si>
  <si>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</si>
  <si>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</si>
  <si>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</si>
  <si>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</si>
  <si>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</si>
  <si>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</si>
  <si>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</si>
  <si>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</si>
  <si>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</si>
  <si>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</si>
  <si>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</si>
  <si>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</si>
  <si>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</si>
  <si>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</si>
  <si>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</si>
  <si>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</si>
  <si>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</si>
  <si>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</si>
  <si>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</si>
  <si>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</si>
  <si>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</si>
  <si>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</si>
  <si>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</si>
  <si>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</si>
  <si>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</si>
  <si>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</si>
  <si>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</si>
  <si>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</si>
  <si>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</si>
  <si>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</si>
  <si>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</si>
  <si>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</si>
  <si>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</si>
  <si>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</si>
  <si>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</si>
  <si>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</si>
  <si>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</si>
  <si>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</si>
  <si>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</si>
  <si>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</si>
  <si>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</si>
  <si>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</si>
  <si>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</si>
  <si>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</si>
  <si>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</si>
  <si>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</si>
  <si>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</si>
  <si>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</si>
  <si>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</si>
  <si>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</si>
  <si>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</si>
  <si>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</si>
  <si>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</si>
  <si>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</si>
  <si>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</si>
  <si>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</si>
  <si>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</si>
  <si>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</si>
  <si>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</si>
  <si>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</si>
  <si>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</si>
  <si>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</si>
  <si>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</si>
  <si>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</si>
  <si>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</si>
  <si>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</si>
  <si>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</si>
  <si>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</si>
  <si>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</si>
  <si>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</si>
  <si>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</si>
  <si>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</si>
  <si>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</si>
  <si>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</si>
  <si>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</si>
  <si>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</si>
  <si>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</si>
  <si>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</si>
  <si>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</si>
  <si>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</si>
  <si>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</si>
  <si>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</si>
  <si>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</si>
  <si>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</si>
  <si>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</si>
  <si>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</si>
  <si>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</si>
  <si>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</si>
  <si>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</si>
  <si>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</si>
  <si>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</si>
  <si>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</si>
  <si>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</si>
  <si>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</si>
  <si>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</si>
  <si>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</si>
  <si>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</si>
  <si>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</si>
  <si>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</si>
  <si>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</si>
  <si>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</si>
  <si>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</si>
  <si>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</si>
  <si>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</si>
  <si>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</si>
  <si>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</si>
  <si>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</si>
  <si>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</si>
  <si>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</si>
  <si>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</si>
  <si>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</si>
  <si>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</si>
  <si>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</si>
  <si>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</si>
  <si>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</si>
  <si>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</si>
  <si>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</si>
  <si>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</si>
  <si>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</si>
  <si>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</si>
  <si>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</si>
  <si>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</si>
  <si>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</si>
  <si>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</si>
  <si>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</si>
  <si>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</si>
  <si>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</si>
  <si>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</si>
  <si>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</si>
  <si>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</si>
  <si>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</si>
  <si>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</si>
  <si>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</si>
  <si>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</si>
  <si>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</si>
  <si>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</si>
  <si>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</si>
  <si>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</si>
  <si>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</si>
  <si>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</si>
  <si>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</si>
  <si>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</si>
  <si>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</si>
  <si>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</si>
  <si>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</si>
  <si>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</si>
  <si>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</si>
  <si>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</si>
  <si>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</si>
  <si>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</si>
  <si>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</si>
  <si>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</si>
  <si>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</si>
  <si>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</si>
  <si>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</si>
  <si>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</si>
  <si>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</si>
  <si>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</si>
  <si>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</si>
  <si>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</si>
  <si>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</si>
  <si>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</si>
  <si>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</si>
  <si>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</si>
  <si>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</si>
  <si>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</si>
  <si>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</si>
  <si>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</si>
  <si>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</si>
  <si>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</si>
  <si>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</si>
  <si>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</si>
  <si>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</si>
  <si>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</si>
  <si>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</si>
  <si>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</si>
  <si>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</si>
  <si>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</si>
  <si>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</si>
  <si>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</si>
  <si>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</si>
  <si>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</si>
  <si>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</si>
  <si>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</si>
  <si>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</si>
  <si>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</si>
  <si>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</si>
  <si>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</si>
  <si>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</si>
  <si>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</si>
  <si>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</si>
  <si>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</si>
  <si>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</si>
  <si>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</si>
  <si>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</si>
  <si>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</si>
  <si>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</si>
  <si>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</si>
  <si>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</si>
  <si>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</si>
  <si>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</si>
  <si>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</si>
  <si>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</si>
  <si>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</si>
  <si>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</si>
  <si>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</si>
  <si>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</si>
  <si>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</si>
  <si>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</si>
  <si>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</si>
  <si>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</si>
  <si>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</si>
  <si>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</si>
  <si>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</si>
  <si>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</si>
  <si>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</si>
  <si>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</si>
  <si>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</si>
  <si>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</si>
  <si>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</si>
  <si>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</si>
  <si>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</si>
  <si>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</si>
  <si>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</si>
  <si>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</si>
  <si>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</si>
  <si>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</si>
  <si>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</si>
  <si>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</si>
  <si>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</si>
  <si>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</si>
  <si>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</si>
  <si>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</si>
  <si>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</si>
  <si>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</si>
  <si>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</si>
  <si>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</si>
  <si>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</si>
  <si>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</si>
  <si>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</si>
  <si>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№3,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</si>
</sst>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46027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0.41666666666666669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24</v>
      </c>
      <c r="Y24" s="269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24</v>
      </c>
      <c r="Y28" s="270">
        <f>IFERROR(SUM(Y22:Y27),"0")</f>
        <v>24</v>
      </c>
      <c r="Z28" s="270">
        <f>IFERROR(IF(Z22="",0,Z22),"0")+IFERROR(IF(Z23="",0,Z23),"0")+IFERROR(IF(Z24="",0,Z24),"0")+IFERROR(IF(Z25="",0,Z25),"0")+IFERROR(IF(Z26="",0,Z26),"0")+IFERROR(IF(Z27="",0,Z27),"0")</f>
        <v>0.372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172.8</v>
      </c>
      <c r="Y29" s="270">
        <f>IFERROR(SUMPRODUCT(Y22:Y27*H22:H27),"0")</f>
        <v>172.8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0</v>
      </c>
      <c r="Y39" s="269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0</v>
      </c>
      <c r="Y40" s="269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0</v>
      </c>
      <c r="Y41" s="270">
        <f>IFERROR(SUM(Y39:Y40),"0")</f>
        <v>0</v>
      </c>
      <c r="Z41" s="270">
        <f>IFERROR(IF(Z39="",0,Z39),"0")+IFERROR(IF(Z40="",0,Z40),"0")</f>
        <v>0</v>
      </c>
      <c r="AA41" s="271"/>
      <c r="AB41" s="271"/>
      <c r="AC41" s="271"/>
    </row>
    <row r="42" spans="1:68" hidden="1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0</v>
      </c>
      <c r="Y42" s="270">
        <f>IFERROR(SUMPRODUCT(Y39:Y40*H39:H40),"0")</f>
        <v>0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0</v>
      </c>
      <c r="Y46" s="269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0</v>
      </c>
      <c r="Y48" s="270">
        <f>IFERROR(SUM(Y45:Y47),"0")</f>
        <v>0</v>
      </c>
      <c r="Z48" s="270">
        <f>IFERROR(IF(Z45="",0,Z45),"0")+IFERROR(IF(Z46="",0,Z46),"0")+IFERROR(IF(Z47="",0,Z47),"0")</f>
        <v>0</v>
      </c>
      <c r="AA48" s="271"/>
      <c r="AB48" s="271"/>
      <c r="AC48" s="271"/>
    </row>
    <row r="49" spans="1:68" hidden="1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0</v>
      </c>
      <c r="Y49" s="270">
        <f>IFERROR(SUMPRODUCT(Y45:Y47*H45:H47),"0")</f>
        <v>0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0</v>
      </c>
      <c r="Y52" s="269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0</v>
      </c>
      <c r="Y53" s="269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0</v>
      </c>
      <c r="Y56" s="270">
        <f>IFERROR(SUM(Y52:Y55),"0")</f>
        <v>0</v>
      </c>
      <c r="Z56" s="270">
        <f>IFERROR(IF(Z52="",0,Z52),"0")+IFERROR(IF(Z53="",0,Z53),"0")+IFERROR(IF(Z54="",0,Z54),"0")+IFERROR(IF(Z55="",0,Z55),"0")</f>
        <v>0</v>
      </c>
      <c r="AA56" s="271"/>
      <c r="AB56" s="271"/>
      <c r="AC56" s="271"/>
    </row>
    <row r="57" spans="1:68" hidden="1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0</v>
      </c>
      <c r="Y57" s="270">
        <f>IFERROR(SUMPRODUCT(Y52:Y55*H52:H55),"0")</f>
        <v>0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0</v>
      </c>
      <c r="Y81" s="269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0</v>
      </c>
      <c r="Y82" s="270">
        <f>IFERROR(SUM(Y80:Y81),"0")</f>
        <v>0</v>
      </c>
      <c r="Z82" s="270">
        <f>IFERROR(IF(Z80="",0,Z80),"0")+IFERROR(IF(Z81="",0,Z81),"0")</f>
        <v>0</v>
      </c>
      <c r="AA82" s="271"/>
      <c r="AB82" s="271"/>
      <c r="AC82" s="271"/>
    </row>
    <row r="83" spans="1:68" hidden="1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0</v>
      </c>
      <c r="Y83" s="270">
        <f>IFERROR(SUMPRODUCT(Y80:Y81*H80:H81),"0")</f>
        <v>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0</v>
      </c>
      <c r="Y91" s="269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28</v>
      </c>
      <c r="Y92" s="269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28</v>
      </c>
      <c r="Y93" s="270">
        <f>IFERROR(SUM(Y91:Y92),"0")</f>
        <v>28</v>
      </c>
      <c r="Z93" s="270">
        <f>IFERROR(IF(Z91="",0,Z91),"0")+IFERROR(IF(Z92="",0,Z92),"0")</f>
        <v>0.50063999999999997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100.8</v>
      </c>
      <c r="Y94" s="270">
        <f>IFERROR(SUMPRODUCT(Y91:Y92*H91:H92),"0")</f>
        <v>100.8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14</v>
      </c>
      <c r="Y97" s="269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14</v>
      </c>
      <c r="Y98" s="269">
        <f t="shared" si="6"/>
        <v>14</v>
      </c>
      <c r="Z98" s="36">
        <f t="shared" si="7"/>
        <v>0.25031999999999999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50.170400000000001</v>
      </c>
      <c r="BN98" s="67">
        <f t="shared" si="9"/>
        <v>50.170400000000001</v>
      </c>
      <c r="BO98" s="67">
        <f t="shared" si="10"/>
        <v>0.2</v>
      </c>
      <c r="BP98" s="67">
        <f t="shared" si="11"/>
        <v>0.2</v>
      </c>
    </row>
    <row r="99" spans="1:68" ht="27" hidden="1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0</v>
      </c>
      <c r="Y99" s="269">
        <f t="shared" si="6"/>
        <v>0</v>
      </c>
      <c r="Z99" s="36">
        <f t="shared" si="7"/>
        <v>0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14</v>
      </c>
      <c r="Y100" s="269">
        <f t="shared" si="6"/>
        <v>14</v>
      </c>
      <c r="Z100" s="36">
        <f t="shared" si="7"/>
        <v>0.25031999999999999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50.170400000000001</v>
      </c>
      <c r="BN100" s="67">
        <f t="shared" si="9"/>
        <v>50.170400000000001</v>
      </c>
      <c r="BO100" s="67">
        <f t="shared" si="10"/>
        <v>0.2</v>
      </c>
      <c r="BP100" s="67">
        <f t="shared" si="11"/>
        <v>0.2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42</v>
      </c>
      <c r="Y103" s="270">
        <f>IFERROR(SUM(Y97:Y102),"0")</f>
        <v>42</v>
      </c>
      <c r="Z103" s="270">
        <f>IFERROR(IF(Z97="",0,Z97),"0")+IFERROR(IF(Z98="",0,Z98),"0")+IFERROR(IF(Z99="",0,Z99),"0")+IFERROR(IF(Z100="",0,Z100),"0")+IFERROR(IF(Z101="",0,Z101),"0")+IFERROR(IF(Z102="",0,Z102),"0")</f>
        <v>0.75095999999999996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120.96000000000001</v>
      </c>
      <c r="Y104" s="270">
        <f>IFERROR(SUMPRODUCT(Y97:Y102*H97:H102),"0")</f>
        <v>120.96000000000001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28</v>
      </c>
      <c r="Y107" s="269">
        <f>IFERROR(IF(X107="","",X107),"")</f>
        <v>28</v>
      </c>
      <c r="Z107" s="36">
        <f>IFERROR(IF(X107="","",X107*0.00936),"")</f>
        <v>0.26207999999999998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69.753600000000006</v>
      </c>
      <c r="BN107" s="67">
        <f>IFERROR(Y107*I107,"0")</f>
        <v>69.753600000000006</v>
      </c>
      <c r="BO107" s="67">
        <f>IFERROR(X107/J107,"0")</f>
        <v>0.22222222222222221</v>
      </c>
      <c r="BP107" s="67">
        <f>IFERROR(Y107/J107,"0")</f>
        <v>0.22222222222222221</v>
      </c>
    </row>
    <row r="108" spans="1:68" ht="27" hidden="1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28</v>
      </c>
      <c r="Y109" s="270">
        <f>IFERROR(SUM(Y107:Y108),"0")</f>
        <v>28</v>
      </c>
      <c r="Z109" s="270">
        <f>IFERROR(IF(Z107="",0,Z107),"0")+IFERROR(IF(Z108="",0,Z108),"0")</f>
        <v>0.26207999999999998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60.480000000000004</v>
      </c>
      <c r="Y110" s="270">
        <f>IFERROR(SUMPRODUCT(Y107:Y108*H107:H108),"0")</f>
        <v>60.480000000000004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48</v>
      </c>
      <c r="Y116" s="269">
        <f t="shared" si="12"/>
        <v>48</v>
      </c>
      <c r="Z116" s="36">
        <f t="shared" si="13"/>
        <v>0.74399999999999999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350.4</v>
      </c>
      <c r="BN116" s="67">
        <f t="shared" si="15"/>
        <v>350.4</v>
      </c>
      <c r="BO116" s="67">
        <f t="shared" si="16"/>
        <v>0.5714285714285714</v>
      </c>
      <c r="BP116" s="67">
        <f t="shared" si="17"/>
        <v>0.5714285714285714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72</v>
      </c>
      <c r="Y119" s="269">
        <f t="shared" si="12"/>
        <v>72</v>
      </c>
      <c r="Z119" s="36">
        <f t="shared" si="13"/>
        <v>1.1160000000000001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525.6</v>
      </c>
      <c r="BN119" s="67">
        <f t="shared" si="15"/>
        <v>525.6</v>
      </c>
      <c r="BO119" s="67">
        <f t="shared" si="16"/>
        <v>0.8571428571428571</v>
      </c>
      <c r="BP119" s="67">
        <f t="shared" si="17"/>
        <v>0.8571428571428571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120</v>
      </c>
      <c r="Y121" s="270">
        <f>IFERROR(SUM(Y113:Y120),"0")</f>
        <v>120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1.86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840</v>
      </c>
      <c r="Y122" s="270">
        <f>IFERROR(SUMPRODUCT(Y113:Y120*H113:H120),"0")</f>
        <v>840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42</v>
      </c>
      <c r="Y133" s="269">
        <f>IFERROR(IF(X133="","",X133),"")</f>
        <v>42</v>
      </c>
      <c r="Z133" s="36">
        <f>IFERROR(IF(X133="","",X133*0.01788),"")</f>
        <v>0.75095999999999996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155.55119999999999</v>
      </c>
      <c r="BN133" s="67">
        <f>IFERROR(Y133*I133,"0")</f>
        <v>155.55119999999999</v>
      </c>
      <c r="BO133" s="67">
        <f>IFERROR(X133/J133,"0")</f>
        <v>0.6</v>
      </c>
      <c r="BP133" s="67">
        <f>IFERROR(Y133/J133,"0")</f>
        <v>0.6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155.55119999999999</v>
      </c>
      <c r="BN134" s="67">
        <f>IFERROR(Y134*I134,"0")</f>
        <v>155.55119999999999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84</v>
      </c>
      <c r="Y135" s="270">
        <f>IFERROR(SUM(Y133:Y134),"0")</f>
        <v>84</v>
      </c>
      <c r="Z135" s="270">
        <f>IFERROR(IF(Z133="",0,Z133),"0")+IFERROR(IF(Z134="",0,Z134),"0")</f>
        <v>1.5019199999999999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252</v>
      </c>
      <c r="Y136" s="270">
        <f>IFERROR(SUMPRODUCT(Y133:Y134*H133:H134),"0")</f>
        <v>252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hidden="1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0</v>
      </c>
      <c r="Y140" s="269">
        <f>IFERROR(IF(X140="","",X140),"")</f>
        <v>0</v>
      </c>
      <c r="Z140" s="36">
        <f>IFERROR(IF(X140="","",X140*0.01788),"")</f>
        <v>0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0</v>
      </c>
      <c r="Y141" s="270">
        <f>IFERROR(SUM(Y139:Y140),"0")</f>
        <v>0</v>
      </c>
      <c r="Z141" s="270">
        <f>IFERROR(IF(Z139="",0,Z139),"0")+IFERROR(IF(Z140="",0,Z140),"0")</f>
        <v>0</v>
      </c>
      <c r="AA141" s="271"/>
      <c r="AB141" s="271"/>
      <c r="AC141" s="271"/>
    </row>
    <row r="142" spans="1:68" hidden="1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0</v>
      </c>
      <c r="Y142" s="270">
        <f>IFERROR(SUMPRODUCT(Y139:Y140*H139:H140),"0")</f>
        <v>0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14</v>
      </c>
      <c r="Y145" s="269">
        <f>IFERROR(IF(X145="","",X145),"")</f>
        <v>14</v>
      </c>
      <c r="Z145" s="36">
        <f>IFERROR(IF(X145="","",X145*0.01788),"")</f>
        <v>0.25031999999999999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37.520000000000003</v>
      </c>
      <c r="BN145" s="67">
        <f>IFERROR(Y145*I145,"0")</f>
        <v>37.520000000000003</v>
      </c>
      <c r="BO145" s="67">
        <f>IFERROR(X145/J145,"0")</f>
        <v>0.2</v>
      </c>
      <c r="BP145" s="67">
        <f>IFERROR(Y145/J145,"0")</f>
        <v>0.2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42</v>
      </c>
      <c r="Y146" s="269">
        <f>IFERROR(IF(X146="","",X146),"")</f>
        <v>42</v>
      </c>
      <c r="Z146" s="36">
        <f>IFERROR(IF(X146="","",X146*0.01788),"")</f>
        <v>0.75095999999999996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112.56</v>
      </c>
      <c r="BN146" s="67">
        <f>IFERROR(Y146*I146,"0")</f>
        <v>112.56</v>
      </c>
      <c r="BO146" s="67">
        <f>IFERROR(X146/J146,"0")</f>
        <v>0.6</v>
      </c>
      <c r="BP146" s="67">
        <f>IFERROR(Y146/J146,"0")</f>
        <v>0.6</v>
      </c>
    </row>
    <row r="147" spans="1:68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hidden="1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0</v>
      </c>
      <c r="Y151" s="269">
        <f>IFERROR(IF(X151="","",X151),"")</f>
        <v>0</v>
      </c>
      <c r="Z151" s="36">
        <f>IFERROR(IF(X151="","",X151*0.01788),"")</f>
        <v>0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hidden="1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0</v>
      </c>
      <c r="Y152" s="270">
        <f>IFERROR(SUM(Y151:Y151),"0")</f>
        <v>0</v>
      </c>
      <c r="Z152" s="270">
        <f>IFERROR(IF(Z151="",0,Z151),"0")</f>
        <v>0</v>
      </c>
      <c r="AA152" s="271"/>
      <c r="AB152" s="271"/>
      <c r="AC152" s="271"/>
    </row>
    <row r="153" spans="1:68" hidden="1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0</v>
      </c>
      <c r="Y153" s="270">
        <f>IFERROR(SUMPRODUCT(Y151:Y151*H151:H151),"0")</f>
        <v>0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28</v>
      </c>
      <c r="Y166" s="269">
        <f>IFERROR(IF(X166="","",X166),"")</f>
        <v>28</v>
      </c>
      <c r="Z166" s="36">
        <f>IFERROR(IF(X166="","",X166*0.00941),"")</f>
        <v>0.26347999999999999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58.850399999999993</v>
      </c>
      <c r="BN166" s="67">
        <f>IFERROR(Y166*I166,"0")</f>
        <v>58.850399999999993</v>
      </c>
      <c r="BO166" s="67">
        <f>IFERROR(X166/J166,"0")</f>
        <v>0.2</v>
      </c>
      <c r="BP166" s="67">
        <f>IFERROR(Y166/J166,"0")</f>
        <v>0.2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28</v>
      </c>
      <c r="Y167" s="270">
        <f>IFERROR(SUM(Y166:Y166),"0")</f>
        <v>28</v>
      </c>
      <c r="Z167" s="270">
        <f>IFERROR(IF(Z166="",0,Z166),"0")</f>
        <v>0.26347999999999999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47.04</v>
      </c>
      <c r="Y168" s="270">
        <f>IFERROR(SUMPRODUCT(Y166:Y166*H166:H166),"0")</f>
        <v>47.04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12</v>
      </c>
      <c r="Y173" s="269">
        <f>IFERROR(IF(X173="","",X173),"")</f>
        <v>12</v>
      </c>
      <c r="Z173" s="36">
        <f>IFERROR(IF(X173="","",X173*0.00866),"")</f>
        <v>0.10391999999999998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62.558399999999992</v>
      </c>
      <c r="BN173" s="67">
        <f>IFERROR(Y173*I173,"0")</f>
        <v>62.558399999999992</v>
      </c>
      <c r="BO173" s="67">
        <f>IFERROR(X173/J173,"0")</f>
        <v>8.3333333333333329E-2</v>
      </c>
      <c r="BP173" s="67">
        <f>IFERROR(Y173/J173,"0")</f>
        <v>8.3333333333333329E-2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12</v>
      </c>
      <c r="Y174" s="270">
        <f>IFERROR(SUM(Y172:Y173),"0")</f>
        <v>12</v>
      </c>
      <c r="Z174" s="270">
        <f>IFERROR(IF(Z172="",0,Z172),"0")+IFERROR(IF(Z173="",0,Z173),"0")</f>
        <v>0.10391999999999998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60</v>
      </c>
      <c r="Y175" s="270">
        <f>IFERROR(SUMPRODUCT(Y172:Y173*H172:H173),"0")</f>
        <v>60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42</v>
      </c>
      <c r="Y179" s="269">
        <f>IFERROR(IF(X179="","",X179),"")</f>
        <v>42</v>
      </c>
      <c r="Z179" s="36">
        <f>IFERROR(IF(X179="","",X179*0.01788),"")</f>
        <v>0.75095999999999996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142.29599999999999</v>
      </c>
      <c r="BN179" s="67">
        <f>IFERROR(Y179*I179,"0")</f>
        <v>142.29599999999999</v>
      </c>
      <c r="BO179" s="67">
        <f>IFERROR(X179/J179,"0")</f>
        <v>0.6</v>
      </c>
      <c r="BP179" s="67">
        <f>IFERROR(Y179/J179,"0")</f>
        <v>0.6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168</v>
      </c>
      <c r="Y180" s="269">
        <f>IFERROR(IF(X180="","",X180),"")</f>
        <v>168</v>
      </c>
      <c r="Z180" s="36">
        <f>IFERROR(IF(X180="","",X180*0.01788),"")</f>
        <v>3.0038399999999998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569.18399999999997</v>
      </c>
      <c r="BN180" s="67">
        <f>IFERROR(Y180*I180,"0")</f>
        <v>569.18399999999997</v>
      </c>
      <c r="BO180" s="67">
        <f>IFERROR(X180/J180,"0")</f>
        <v>2.4</v>
      </c>
      <c r="BP180" s="67">
        <f>IFERROR(Y180/J180,"0")</f>
        <v>2.4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238</v>
      </c>
      <c r="Y182" s="270">
        <f>IFERROR(SUM(Y179:Y181),"0")</f>
        <v>238</v>
      </c>
      <c r="Z182" s="270">
        <f>IFERROR(IF(Z179="",0,Z179),"0")+IFERROR(IF(Z180="",0,Z180),"0")+IFERROR(IF(Z181="",0,Z181),"0")</f>
        <v>4.2554400000000001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714</v>
      </c>
      <c r="Y183" s="270">
        <f>IFERROR(SUMPRODUCT(Y179:Y181*H179:H181),"0")</f>
        <v>714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hidden="1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0</v>
      </c>
      <c r="Y191" s="269">
        <f>IFERROR(IF(X191="","",X191),"")</f>
        <v>0</v>
      </c>
      <c r="Z191" s="36">
        <f>IFERROR(IF(X191="","",X191*0.01788),"")</f>
        <v>0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0</v>
      </c>
      <c r="Y192" s="270">
        <f>IFERROR(SUM(Y191:Y191),"0")</f>
        <v>0</v>
      </c>
      <c r="Z192" s="270">
        <f>IFERROR(IF(Z191="",0,Z191),"0")</f>
        <v>0</v>
      </c>
      <c r="AA192" s="271"/>
      <c r="AB192" s="271"/>
      <c r="AC192" s="271"/>
    </row>
    <row r="193" spans="1:68" hidden="1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0</v>
      </c>
      <c r="Y193" s="270">
        <f>IFERROR(SUMPRODUCT(Y191:Y191*H191:H191),"0")</f>
        <v>0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hidden="1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idden="1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0</v>
      </c>
      <c r="Y200" s="270">
        <f>IFERROR(SUM(Y195:Y199),"0")</f>
        <v>0</v>
      </c>
      <c r="Z200" s="270">
        <f>IFERROR(IF(Z195="",0,Z195),"0")+IFERROR(IF(Z196="",0,Z196),"0")+IFERROR(IF(Z197="",0,Z197),"0")+IFERROR(IF(Z198="",0,Z198),"0")+IFERROR(IF(Z199="",0,Z199),"0")</f>
        <v>0</v>
      </c>
      <c r="AA200" s="271"/>
      <c r="AB200" s="271"/>
      <c r="AC200" s="271"/>
    </row>
    <row r="201" spans="1:68" hidden="1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0</v>
      </c>
      <c r="Y201" s="270">
        <f>IFERROR(SUMPRODUCT(Y195:Y199*H195:H199),"0")</f>
        <v>0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hidden="1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hidden="1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hidden="1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hidden="1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hidden="1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12</v>
      </c>
      <c r="Y247" s="269">
        <f>IFERROR(IF(X247="","",X247),"")</f>
        <v>12</v>
      </c>
      <c r="Z247" s="36">
        <f>IFERROR(IF(X247="","",X247*0.0155),"")</f>
        <v>0.186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75.12</v>
      </c>
      <c r="BN247" s="67">
        <f>IFERROR(Y247*I247,"0")</f>
        <v>75.12</v>
      </c>
      <c r="BO247" s="67">
        <f>IFERROR(X247/J247,"0")</f>
        <v>0.14285714285714285</v>
      </c>
      <c r="BP247" s="67">
        <f>IFERROR(Y247/J247,"0")</f>
        <v>0.14285714285714285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12</v>
      </c>
      <c r="Y249" s="270">
        <f>IFERROR(SUM(Y247:Y248),"0")</f>
        <v>12</v>
      </c>
      <c r="Z249" s="270">
        <f>IFERROR(IF(Z247="",0,Z247),"0")+IFERROR(IF(Z248="",0,Z248),"0")</f>
        <v>0.186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72</v>
      </c>
      <c r="Y250" s="270">
        <f>IFERROR(SUMPRODUCT(Y247:Y248*H247:H248),"0")</f>
        <v>72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14</v>
      </c>
      <c r="Y252" s="269">
        <f>IFERROR(IF(X252="","",X252),"")</f>
        <v>14</v>
      </c>
      <c r="Z252" s="36">
        <f>IFERROR(IF(X252="","",X252*0.00936),"")</f>
        <v>0.13103999999999999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40.468400000000003</v>
      </c>
      <c r="BN252" s="67">
        <f>IFERROR(Y252*I252,"0")</f>
        <v>40.468400000000003</v>
      </c>
      <c r="BO252" s="67">
        <f>IFERROR(X252/J252,"0")</f>
        <v>0.1111111111111111</v>
      </c>
      <c r="BP252" s="67">
        <f>IFERROR(Y252/J252,"0")</f>
        <v>0.1111111111111111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14</v>
      </c>
      <c r="Y255" s="270">
        <f>IFERROR(SUM(Y252:Y254),"0")</f>
        <v>14</v>
      </c>
      <c r="Z255" s="270">
        <f>IFERROR(IF(Z252="",0,Z252),"0")+IFERROR(IF(Z253="",0,Z253),"0")+IFERROR(IF(Z254="",0,Z254),"0")</f>
        <v>0.13103999999999999</v>
      </c>
      <c r="AA255" s="271"/>
      <c r="AB255" s="271"/>
      <c r="AC255" s="271"/>
    </row>
    <row r="256" spans="1:68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37.800000000000004</v>
      </c>
      <c r="Y256" s="270">
        <f>IFERROR(SUMPRODUCT(Y252:Y254*H252:H254),"0")</f>
        <v>37.800000000000004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hidden="1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0</v>
      </c>
      <c r="Y259" s="269">
        <f t="shared" si="18"/>
        <v>0</v>
      </c>
      <c r="Z259" s="36">
        <f>IFERROR(IF(X259="","",X259*0.00936),"")</f>
        <v>0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0</v>
      </c>
      <c r="BN259" s="67">
        <f t="shared" si="20"/>
        <v>0</v>
      </c>
      <c r="BO259" s="67">
        <f t="shared" si="21"/>
        <v>0</v>
      </c>
      <c r="BP259" s="67">
        <f t="shared" si="22"/>
        <v>0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14</v>
      </c>
      <c r="Y268" s="270">
        <f>IFERROR(SUM(Y258:Y267),"0")</f>
        <v>14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0.13103999999999999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42</v>
      </c>
      <c r="Y269" s="270">
        <f>IFERROR(SUMPRODUCT(Y258:Y267*H258:H267),"0")</f>
        <v>42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2834.28</v>
      </c>
      <c r="Y270" s="270">
        <f>IFERROR(Y29+Y35+Y42+Y49+Y57+Y62+Y66+Y71+Y77+Y83+Y88+Y94+Y104+Y110+Y122+Y126+Y130+Y136+Y142+Y148+Y153+Y158+Y163+Y168+Y175+Y183+Y187+Y193+Y201+Y206+Y211+Y216+Y222+Y228+Y234+Y238+Y245+Y250+Y256+Y269,"0")</f>
        <v>2834.28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3143.2812000000004</v>
      </c>
      <c r="Y271" s="270">
        <f>IFERROR(SUM(BN22:BN267),"0")</f>
        <v>3143.2812000000004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10</v>
      </c>
      <c r="Y272" s="38">
        <f>ROUNDUP(SUM(BP22:BP267),0)</f>
        <v>10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3393.2812000000004</v>
      </c>
      <c r="Y273" s="270">
        <f>GrossWeightTotalR+PalletQtyTotalR*25</f>
        <v>3393.2812000000004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736</v>
      </c>
      <c r="Y274" s="270">
        <f>IFERROR(Y28+Y34+Y41+Y48+Y56+Y61+Y65+Y70+Y76+Y82+Y87+Y93+Y103+Y109+Y121+Y125+Y129+Y135+Y141+Y147+Y152+Y157+Y162+Y167+Y174+Y182+Y186+Y192+Y200+Y205+Y210+Y215+Y221+Y227+Y233+Y237+Y244+Y249+Y255+Y268,"0")</f>
        <v>736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11.877800000000001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172.8</v>
      </c>
      <c r="C280" s="46">
        <f>IFERROR(X32*H32,"0")+IFERROR(X33*H33,"0")</f>
        <v>0</v>
      </c>
      <c r="D280" s="46">
        <f>IFERROR(X39*H39,"0")+IFERROR(X40*H40,"0")</f>
        <v>0</v>
      </c>
      <c r="E280" s="46">
        <f>IFERROR(X45*H45,"0")+IFERROR(X46*H46,"0")+IFERROR(X47*H47,"0")</f>
        <v>0</v>
      </c>
      <c r="F280" s="46">
        <f>IFERROR(X52*H52,"0")+IFERROR(X53*H53,"0")+IFERROR(X54*H54,"0")+IFERROR(X55*H55,"0")</f>
        <v>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0</v>
      </c>
      <c r="I280" s="46">
        <f>IFERROR(X86*H86,"0")</f>
        <v>0</v>
      </c>
      <c r="J280" s="46">
        <f>IFERROR(X91*H91,"0")+IFERROR(X92*H92,"0")</f>
        <v>100.8</v>
      </c>
      <c r="K280" s="46">
        <f>IFERROR(X97*H97,"0")+IFERROR(X98*H98,"0")+IFERROR(X99*H99,"0")+IFERROR(X100*H100,"0")+IFERROR(X101*H101,"0")+IFERROR(X102*H102,"0")</f>
        <v>120.96000000000001</v>
      </c>
      <c r="L280" s="46">
        <f>IFERROR(X107*H107,"0")+IFERROR(X108*H108,"0")</f>
        <v>60.480000000000004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840</v>
      </c>
      <c r="N280" s="266"/>
      <c r="O280" s="46">
        <f>IFERROR(X133*H133,"0")+IFERROR(X134*H134,"0")</f>
        <v>252</v>
      </c>
      <c r="P280" s="46">
        <f>IFERROR(X139*H139,"0")+IFERROR(X140*H140,"0")</f>
        <v>0</v>
      </c>
      <c r="Q280" s="46">
        <f>IFERROR(X145*H145,"0")+IFERROR(X146*H146,"0")</f>
        <v>134.4</v>
      </c>
      <c r="R280" s="46">
        <f>IFERROR(X151*H151,"0")</f>
        <v>0</v>
      </c>
      <c r="S280" s="46">
        <f>IFERROR(X156*H156,"0")</f>
        <v>0</v>
      </c>
      <c r="T280" s="46">
        <f>IFERROR(X161*H161,"0")</f>
        <v>0</v>
      </c>
      <c r="U280" s="46">
        <f>IFERROR(X166*H166,"0")</f>
        <v>47.04</v>
      </c>
      <c r="V280" s="46">
        <f>IFERROR(X172*H172,"0")+IFERROR(X173*H173,"0")</f>
        <v>60</v>
      </c>
      <c r="W280" s="46">
        <f>IFERROR(X179*H179,"0")+IFERROR(X180*H180,"0")+IFERROR(X181*H181,"0")+IFERROR(X185*H185,"0")</f>
        <v>714</v>
      </c>
      <c r="X280" s="46">
        <f>IFERROR(X191*H191,"0")+IFERROR(X195*H195,"0")+IFERROR(X196*H196,"0")+IFERROR(X197*H197,"0")+IFERROR(X198*H198,"0")+IFERROR(X199*H199,"0")</f>
        <v>0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151.80000000000001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1252.8</v>
      </c>
      <c r="B283" s="60">
        <f>SUMPRODUCT(--(BB:BB="ПГП"),--(W:W="кор"),H:H,Y:Y)+SUMPRODUCT(--(BB:BB="ПГП"),--(W:W="кг"),Y:Y)</f>
        <v>1581.4799999999998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"/>
        <filter val="100,80"/>
        <filter val="12,00"/>
        <filter val="120,00"/>
        <filter val="120,96"/>
        <filter val="134,40"/>
        <filter val="14,00"/>
        <filter val="168,00"/>
        <filter val="172,80"/>
        <filter val="180,00"/>
        <filter val="2 834,28"/>
        <filter val="238,00"/>
        <filter val="24,00"/>
        <filter val="252,00"/>
        <filter val="28,00"/>
        <filter val="3 143,28"/>
        <filter val="3 393,28"/>
        <filter val="36,00"/>
        <filter val="37,80"/>
        <filter val="42,00"/>
        <filter val="47,04"/>
        <filter val="48,00"/>
        <filter val="56,00"/>
        <filter val="60,00"/>
        <filter val="60,48"/>
        <filter val="714,00"/>
        <filter val="72,00"/>
        <filter val="736,00"/>
        <filter val="84,00"/>
        <filter val="840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2025-12-29T13:06:17Z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