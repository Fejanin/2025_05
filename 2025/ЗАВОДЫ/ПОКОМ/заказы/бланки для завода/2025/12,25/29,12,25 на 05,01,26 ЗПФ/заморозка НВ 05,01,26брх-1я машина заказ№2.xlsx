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FACBEB7-B9B5-4EC1-BD7E-17A29DDA142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O266" i="1"/>
  <c r="BM266" i="1"/>
  <c r="Z266" i="1"/>
  <c r="Y266" i="1"/>
  <c r="P266" i="1"/>
  <c r="BO265" i="1"/>
  <c r="BM265" i="1"/>
  <c r="Z265" i="1"/>
  <c r="Y265" i="1"/>
  <c r="P265" i="1"/>
  <c r="BO264" i="1"/>
  <c r="BM264" i="1"/>
  <c r="Z264" i="1"/>
  <c r="Y264" i="1"/>
  <c r="P264" i="1"/>
  <c r="BO263" i="1"/>
  <c r="BM263" i="1"/>
  <c r="Z263" i="1"/>
  <c r="Y263" i="1"/>
  <c r="P263" i="1"/>
  <c r="BO262" i="1"/>
  <c r="BM262" i="1"/>
  <c r="Z262" i="1"/>
  <c r="Y262" i="1"/>
  <c r="P262" i="1"/>
  <c r="BO261" i="1"/>
  <c r="BM261" i="1"/>
  <c r="Z261" i="1"/>
  <c r="Y261" i="1"/>
  <c r="P261" i="1"/>
  <c r="BO260" i="1"/>
  <c r="BM260" i="1"/>
  <c r="Z260" i="1"/>
  <c r="Y260" i="1"/>
  <c r="P260" i="1"/>
  <c r="BO259" i="1"/>
  <c r="BM259" i="1"/>
  <c r="Z259" i="1"/>
  <c r="Y259" i="1"/>
  <c r="P259" i="1"/>
  <c r="BO258" i="1"/>
  <c r="BM258" i="1"/>
  <c r="Z258" i="1"/>
  <c r="Y258" i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BO252" i="1"/>
  <c r="BM252" i="1"/>
  <c r="Z252" i="1"/>
  <c r="Y252" i="1"/>
  <c r="BP252" i="1" s="1"/>
  <c r="P252" i="1"/>
  <c r="X250" i="1"/>
  <c r="X249" i="1"/>
  <c r="BO248" i="1"/>
  <c r="BM248" i="1"/>
  <c r="Z248" i="1"/>
  <c r="Y248" i="1"/>
  <c r="P248" i="1"/>
  <c r="BO247" i="1"/>
  <c r="BM247" i="1"/>
  <c r="Z247" i="1"/>
  <c r="Y247" i="1"/>
  <c r="P247" i="1"/>
  <c r="X245" i="1"/>
  <c r="X244" i="1"/>
  <c r="BO243" i="1"/>
  <c r="BM243" i="1"/>
  <c r="Z243" i="1"/>
  <c r="Y243" i="1"/>
  <c r="P243" i="1"/>
  <c r="BO242" i="1"/>
  <c r="BM242" i="1"/>
  <c r="Z242" i="1"/>
  <c r="Y242" i="1"/>
  <c r="BP242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6" i="1"/>
  <c r="X215" i="1"/>
  <c r="BO214" i="1"/>
  <c r="BM214" i="1"/>
  <c r="Z214" i="1"/>
  <c r="Y214" i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Y206" i="1" s="1"/>
  <c r="P204" i="1"/>
  <c r="X201" i="1"/>
  <c r="X200" i="1"/>
  <c r="BO199" i="1"/>
  <c r="BM199" i="1"/>
  <c r="Z199" i="1"/>
  <c r="Y199" i="1"/>
  <c r="P199" i="1"/>
  <c r="BO198" i="1"/>
  <c r="BM198" i="1"/>
  <c r="Z198" i="1"/>
  <c r="Y198" i="1"/>
  <c r="P198" i="1"/>
  <c r="BO197" i="1"/>
  <c r="BM197" i="1"/>
  <c r="Z197" i="1"/>
  <c r="Y197" i="1"/>
  <c r="P197" i="1"/>
  <c r="BO196" i="1"/>
  <c r="BM196" i="1"/>
  <c r="Z196" i="1"/>
  <c r="Y196" i="1"/>
  <c r="P196" i="1"/>
  <c r="BO195" i="1"/>
  <c r="BM195" i="1"/>
  <c r="Z195" i="1"/>
  <c r="Z200" i="1" s="1"/>
  <c r="Y195" i="1"/>
  <c r="P195" i="1"/>
  <c r="X193" i="1"/>
  <c r="X192" i="1"/>
  <c r="BO191" i="1"/>
  <c r="BM191" i="1"/>
  <c r="Z191" i="1"/>
  <c r="Z192" i="1" s="1"/>
  <c r="Y191" i="1"/>
  <c r="Y193" i="1" s="1"/>
  <c r="P191" i="1"/>
  <c r="X187" i="1"/>
  <c r="X186" i="1"/>
  <c r="BO185" i="1"/>
  <c r="BM185" i="1"/>
  <c r="Z185" i="1"/>
  <c r="Z186" i="1" s="1"/>
  <c r="Y185" i="1"/>
  <c r="Y187" i="1" s="1"/>
  <c r="X183" i="1"/>
  <c r="X182" i="1"/>
  <c r="BO181" i="1"/>
  <c r="BM181" i="1"/>
  <c r="Z181" i="1"/>
  <c r="Y181" i="1"/>
  <c r="P181" i="1"/>
  <c r="BO180" i="1"/>
  <c r="BM180" i="1"/>
  <c r="Z180" i="1"/>
  <c r="Y180" i="1"/>
  <c r="P180" i="1"/>
  <c r="BO179" i="1"/>
  <c r="BM179" i="1"/>
  <c r="Z179" i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Y172" i="1"/>
  <c r="P172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Y158" i="1" s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Y142" i="1" s="1"/>
  <c r="P139" i="1"/>
  <c r="X136" i="1"/>
  <c r="X135" i="1"/>
  <c r="BO134" i="1"/>
  <c r="BM134" i="1"/>
  <c r="Z134" i="1"/>
  <c r="Y134" i="1"/>
  <c r="P134" i="1"/>
  <c r="BO133" i="1"/>
  <c r="BM133" i="1"/>
  <c r="Z133" i="1"/>
  <c r="Y133" i="1"/>
  <c r="P133" i="1"/>
  <c r="X130" i="1"/>
  <c r="X129" i="1"/>
  <c r="BO128" i="1"/>
  <c r="BM128" i="1"/>
  <c r="Z128" i="1"/>
  <c r="Z129" i="1" s="1"/>
  <c r="Y128" i="1"/>
  <c r="P128" i="1"/>
  <c r="X126" i="1"/>
  <c r="X125" i="1"/>
  <c r="BO124" i="1"/>
  <c r="BM124" i="1"/>
  <c r="Z124" i="1"/>
  <c r="Z125" i="1" s="1"/>
  <c r="Y124" i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Y121" i="1" s="1"/>
  <c r="P113" i="1"/>
  <c r="X110" i="1"/>
  <c r="X109" i="1"/>
  <c r="BO108" i="1"/>
  <c r="BM108" i="1"/>
  <c r="Z108" i="1"/>
  <c r="Y108" i="1"/>
  <c r="P108" i="1"/>
  <c r="BO107" i="1"/>
  <c r="BM107" i="1"/>
  <c r="Z107" i="1"/>
  <c r="Y107" i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Y97" i="1"/>
  <c r="Y103" i="1" s="1"/>
  <c r="P97" i="1"/>
  <c r="X94" i="1"/>
  <c r="X93" i="1"/>
  <c r="BO92" i="1"/>
  <c r="BM92" i="1"/>
  <c r="Z92" i="1"/>
  <c r="Y92" i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P74" i="1"/>
  <c r="BO73" i="1"/>
  <c r="BM73" i="1"/>
  <c r="Z73" i="1"/>
  <c r="Y73" i="1"/>
  <c r="P73" i="1"/>
  <c r="X71" i="1"/>
  <c r="X70" i="1"/>
  <c r="BO69" i="1"/>
  <c r="BM69" i="1"/>
  <c r="Z69" i="1"/>
  <c r="Y69" i="1"/>
  <c r="P69" i="1"/>
  <c r="BO68" i="1"/>
  <c r="BM68" i="1"/>
  <c r="Z68" i="1"/>
  <c r="Y68" i="1"/>
  <c r="BP68" i="1" s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P55" i="1"/>
  <c r="BO54" i="1"/>
  <c r="BM54" i="1"/>
  <c r="Z54" i="1"/>
  <c r="Y54" i="1"/>
  <c r="BP54" i="1" s="1"/>
  <c r="P54" i="1"/>
  <c r="BO53" i="1"/>
  <c r="BM53" i="1"/>
  <c r="Z53" i="1"/>
  <c r="Y53" i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P40" i="1"/>
  <c r="BO39" i="1"/>
  <c r="BM39" i="1"/>
  <c r="Z39" i="1"/>
  <c r="Y39" i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P26" i="1"/>
  <c r="BO25" i="1"/>
  <c r="BM25" i="1"/>
  <c r="Z25" i="1"/>
  <c r="Y25" i="1"/>
  <c r="BP25" i="1" s="1"/>
  <c r="P25" i="1"/>
  <c r="BO24" i="1"/>
  <c r="BM24" i="1"/>
  <c r="Z24" i="1"/>
  <c r="Y24" i="1"/>
  <c r="P24" i="1"/>
  <c r="BO23" i="1"/>
  <c r="BM23" i="1"/>
  <c r="Z23" i="1"/>
  <c r="Y23" i="1"/>
  <c r="P23" i="1"/>
  <c r="BO22" i="1"/>
  <c r="BM22" i="1"/>
  <c r="Z22" i="1"/>
  <c r="Y22" i="1"/>
  <c r="P22" i="1"/>
  <c r="H10" i="1"/>
  <c r="A9" i="1"/>
  <c r="A10" i="1" s="1"/>
  <c r="D7" i="1"/>
  <c r="Q6" i="1"/>
  <c r="P2" i="1"/>
  <c r="Y34" i="1" l="1"/>
  <c r="BN33" i="1"/>
  <c r="Y49" i="1"/>
  <c r="Z48" i="1"/>
  <c r="BN46" i="1"/>
  <c r="Z56" i="1"/>
  <c r="BN60" i="1"/>
  <c r="BP60" i="1"/>
  <c r="Y61" i="1"/>
  <c r="BN64" i="1"/>
  <c r="BP64" i="1"/>
  <c r="Y65" i="1"/>
  <c r="Z70" i="1"/>
  <c r="BN68" i="1"/>
  <c r="Y71" i="1"/>
  <c r="Y82" i="1"/>
  <c r="BN81" i="1"/>
  <c r="BN173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Z244" i="1"/>
  <c r="BN242" i="1"/>
  <c r="Y245" i="1"/>
  <c r="Z249" i="1"/>
  <c r="Z255" i="1"/>
  <c r="BN252" i="1"/>
  <c r="BN254" i="1"/>
  <c r="Z268" i="1"/>
  <c r="F9" i="1"/>
  <c r="F10" i="1"/>
  <c r="Y93" i="1"/>
  <c r="BP91" i="1"/>
  <c r="BN91" i="1"/>
  <c r="Y109" i="1"/>
  <c r="BP107" i="1"/>
  <c r="BN107" i="1"/>
  <c r="Y126" i="1"/>
  <c r="Y125" i="1"/>
  <c r="BP124" i="1"/>
  <c r="BN124" i="1"/>
  <c r="Y135" i="1"/>
  <c r="BP133" i="1"/>
  <c r="BN133" i="1"/>
  <c r="BP145" i="1"/>
  <c r="BN145" i="1"/>
  <c r="BP214" i="1"/>
  <c r="BN214" i="1"/>
  <c r="BP248" i="1"/>
  <c r="BN248" i="1"/>
  <c r="Y268" i="1"/>
  <c r="Y269" i="1"/>
  <c r="BP258" i="1"/>
  <c r="BN258" i="1"/>
  <c r="BP260" i="1"/>
  <c r="BN260" i="1"/>
  <c r="BP262" i="1"/>
  <c r="BN262" i="1"/>
  <c r="BP264" i="1"/>
  <c r="BN264" i="1"/>
  <c r="BP266" i="1"/>
  <c r="BN266" i="1"/>
  <c r="J9" i="1"/>
  <c r="Y28" i="1"/>
  <c r="BP22" i="1"/>
  <c r="BN22" i="1"/>
  <c r="BP24" i="1"/>
  <c r="BN24" i="1"/>
  <c r="BP26" i="1"/>
  <c r="BN26" i="1"/>
  <c r="Y41" i="1"/>
  <c r="BP39" i="1"/>
  <c r="BN39" i="1"/>
  <c r="BP53" i="1"/>
  <c r="BN53" i="1"/>
  <c r="BP55" i="1"/>
  <c r="BN55" i="1"/>
  <c r="BP74" i="1"/>
  <c r="BN74" i="1"/>
  <c r="Y88" i="1"/>
  <c r="Y87" i="1"/>
  <c r="BP86" i="1"/>
  <c r="BN86" i="1"/>
  <c r="Y130" i="1"/>
  <c r="Y129" i="1"/>
  <c r="BP128" i="1"/>
  <c r="BN128" i="1"/>
  <c r="Y183" i="1"/>
  <c r="BP179" i="1"/>
  <c r="BN179" i="1"/>
  <c r="BP181" i="1"/>
  <c r="BN181" i="1"/>
  <c r="BP196" i="1"/>
  <c r="BN196" i="1"/>
  <c r="BP198" i="1"/>
  <c r="BN198" i="1"/>
  <c r="Y201" i="1"/>
  <c r="Z28" i="1"/>
  <c r="Y29" i="1"/>
  <c r="X274" i="1"/>
  <c r="Z34" i="1"/>
  <c r="Z41" i="1"/>
  <c r="Y42" i="1"/>
  <c r="Y56" i="1"/>
  <c r="Y70" i="1"/>
  <c r="Y77" i="1"/>
  <c r="Z76" i="1"/>
  <c r="Z82" i="1"/>
  <c r="Z93" i="1"/>
  <c r="Y94" i="1"/>
  <c r="Z103" i="1"/>
  <c r="Z109" i="1"/>
  <c r="Y110" i="1"/>
  <c r="Z121" i="1"/>
  <c r="Z135" i="1"/>
  <c r="Y136" i="1"/>
  <c r="Z147" i="1"/>
  <c r="Y148" i="1"/>
  <c r="Z174" i="1"/>
  <c r="Z182" i="1"/>
  <c r="Y256" i="1"/>
  <c r="H9" i="1"/>
  <c r="X271" i="1"/>
  <c r="X272" i="1"/>
  <c r="BN23" i="1"/>
  <c r="BP23" i="1"/>
  <c r="BN25" i="1"/>
  <c r="BN27" i="1"/>
  <c r="X270" i="1"/>
  <c r="BN32" i="1"/>
  <c r="BP32" i="1"/>
  <c r="Y35" i="1"/>
  <c r="BN40" i="1"/>
  <c r="BP40" i="1"/>
  <c r="BN45" i="1"/>
  <c r="BP45" i="1"/>
  <c r="BN47" i="1"/>
  <c r="Y48" i="1"/>
  <c r="BN52" i="1"/>
  <c r="BP52" i="1"/>
  <c r="BN54" i="1"/>
  <c r="Y57" i="1"/>
  <c r="BN69" i="1"/>
  <c r="BP69" i="1"/>
  <c r="BN73" i="1"/>
  <c r="BP73" i="1"/>
  <c r="BN75" i="1"/>
  <c r="Y76" i="1"/>
  <c r="BN80" i="1"/>
  <c r="BP80" i="1"/>
  <c r="Y83" i="1"/>
  <c r="BN92" i="1"/>
  <c r="BP92" i="1"/>
  <c r="BN97" i="1"/>
  <c r="BP97" i="1"/>
  <c r="BN99" i="1"/>
  <c r="BN101" i="1"/>
  <c r="Y104" i="1"/>
  <c r="BN108" i="1"/>
  <c r="BP108" i="1"/>
  <c r="BN113" i="1"/>
  <c r="BP113" i="1"/>
  <c r="BN115" i="1"/>
  <c r="BN117" i="1"/>
  <c r="BN119" i="1"/>
  <c r="Y122" i="1"/>
  <c r="BN134" i="1"/>
  <c r="BP134" i="1"/>
  <c r="Z141" i="1"/>
  <c r="BN139" i="1"/>
  <c r="BP139" i="1"/>
  <c r="Y147" i="1"/>
  <c r="Y152" i="1"/>
  <c r="BP151" i="1"/>
  <c r="BN151" i="1"/>
  <c r="Y162" i="1"/>
  <c r="BP161" i="1"/>
  <c r="BN161" i="1"/>
  <c r="Y175" i="1"/>
  <c r="BP172" i="1"/>
  <c r="BN172" i="1"/>
  <c r="Y174" i="1"/>
  <c r="BP180" i="1"/>
  <c r="BN180" i="1"/>
  <c r="Y182" i="1"/>
  <c r="Y186" i="1"/>
  <c r="BP185" i="1"/>
  <c r="BN185" i="1"/>
  <c r="Y200" i="1"/>
  <c r="BP195" i="1"/>
  <c r="BN195" i="1"/>
  <c r="BP197" i="1"/>
  <c r="BN197" i="1"/>
  <c r="BP199" i="1"/>
  <c r="BN199" i="1"/>
  <c r="Y210" i="1"/>
  <c r="BP209" i="1"/>
  <c r="BN209" i="1"/>
  <c r="Z215" i="1"/>
  <c r="Y244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Z275" i="1" l="1"/>
  <c r="Y271" i="1"/>
  <c r="Y274" i="1"/>
  <c r="Y270" i="1"/>
  <c r="Y272" i="1"/>
  <c r="X273" i="1"/>
  <c r="Y273" i="1" l="1"/>
  <c r="B283" i="1" l="1"/>
  <c r="C283" i="1"/>
  <c r="A283" i="1"/>
</calcChain>
</file>

<file path=xl/sharedStrings.xml><?xml version="1.0" encoding="utf-8"?>
<sst xmlns="http://schemas.openxmlformats.org/spreadsheetml/2006/main" count="1223" uniqueCount="395">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</sst>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25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7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6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5" fillId="0" borderId="0" xfId="0" applyFont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26" sqref="AA2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416" t="s">
        <v>0</v>
      </c>
      <c r="E1" s="312"/>
      <c r="F1" s="312"/>
      <c r="G1" s="12" t="s">
        <v>1</v>
      </c>
      <c r="H1" s="416" t="s">
        <v>2</v>
      </c>
      <c r="I1" s="312"/>
      <c r="J1" s="312"/>
      <c r="K1" s="312"/>
      <c r="L1" s="312"/>
      <c r="M1" s="312"/>
      <c r="N1" s="312"/>
      <c r="O1" s="312"/>
      <c r="P1" s="312"/>
      <c r="Q1" s="312"/>
      <c r="R1" s="441" t="s">
        <v>3</v>
      </c>
      <c r="S1" s="312"/>
      <c r="T1" s="31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7"/>
      <c r="R2" s="277"/>
      <c r="S2" s="277"/>
      <c r="T2" s="277"/>
      <c r="U2" s="277"/>
      <c r="V2" s="277"/>
      <c r="W2" s="277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7"/>
      <c r="Q3" s="277"/>
      <c r="R3" s="277"/>
      <c r="S3" s="277"/>
      <c r="T3" s="277"/>
      <c r="U3" s="277"/>
      <c r="V3" s="277"/>
      <c r="W3" s="277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422" t="s">
        <v>7</v>
      </c>
      <c r="B5" s="311"/>
      <c r="C5" s="290"/>
      <c r="D5" s="346"/>
      <c r="E5" s="348"/>
      <c r="F5" s="327" t="s">
        <v>8</v>
      </c>
      <c r="G5" s="290"/>
      <c r="H5" s="346" t="s">
        <v>394</v>
      </c>
      <c r="I5" s="347"/>
      <c r="J5" s="347"/>
      <c r="K5" s="347"/>
      <c r="L5" s="347"/>
      <c r="M5" s="348"/>
      <c r="N5" s="61"/>
      <c r="P5" s="24" t="s">
        <v>9</v>
      </c>
      <c r="Q5" s="317">
        <v>46027</v>
      </c>
      <c r="R5" s="318"/>
      <c r="T5" s="387" t="s">
        <v>10</v>
      </c>
      <c r="U5" s="294"/>
      <c r="V5" s="388" t="s">
        <v>11</v>
      </c>
      <c r="W5" s="318"/>
      <c r="AB5" s="51"/>
      <c r="AC5" s="51"/>
      <c r="AD5" s="51"/>
      <c r="AE5" s="51"/>
    </row>
    <row r="6" spans="1:32" s="262" customFormat="1" ht="24" customHeight="1" x14ac:dyDescent="0.2">
      <c r="A6" s="422" t="s">
        <v>12</v>
      </c>
      <c r="B6" s="311"/>
      <c r="C6" s="290"/>
      <c r="D6" s="350" t="s">
        <v>13</v>
      </c>
      <c r="E6" s="351"/>
      <c r="F6" s="351"/>
      <c r="G6" s="351"/>
      <c r="H6" s="351"/>
      <c r="I6" s="351"/>
      <c r="J6" s="351"/>
      <c r="K6" s="351"/>
      <c r="L6" s="351"/>
      <c r="M6" s="318"/>
      <c r="N6" s="62"/>
      <c r="P6" s="24" t="s">
        <v>14</v>
      </c>
      <c r="Q6" s="307" t="str">
        <f>IF(Q5=0," ",CHOOSE(WEEKDAY(Q5,2),"Понедельник","Вторник","Среда","Четверг","Пятница","Суббота","Воскресенье"))</f>
        <v>Понедельник</v>
      </c>
      <c r="R6" s="279"/>
      <c r="T6" s="394" t="s">
        <v>15</v>
      </c>
      <c r="U6" s="294"/>
      <c r="V6" s="366" t="s">
        <v>16</v>
      </c>
      <c r="W6" s="367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426" t="str">
        <f>IFERROR(VLOOKUP(DeliveryAddress,Table,3,0),1)</f>
        <v>1</v>
      </c>
      <c r="E7" s="427"/>
      <c r="F7" s="427"/>
      <c r="G7" s="427"/>
      <c r="H7" s="427"/>
      <c r="I7" s="427"/>
      <c r="J7" s="427"/>
      <c r="K7" s="427"/>
      <c r="L7" s="427"/>
      <c r="M7" s="391"/>
      <c r="N7" s="63"/>
      <c r="P7" s="24"/>
      <c r="Q7" s="42"/>
      <c r="R7" s="42"/>
      <c r="T7" s="277"/>
      <c r="U7" s="294"/>
      <c r="V7" s="368"/>
      <c r="W7" s="369"/>
      <c r="AB7" s="51"/>
      <c r="AC7" s="51"/>
      <c r="AD7" s="51"/>
      <c r="AE7" s="51"/>
    </row>
    <row r="8" spans="1:32" s="262" customFormat="1" ht="25.5" customHeight="1" x14ac:dyDescent="0.2">
      <c r="A8" s="299" t="s">
        <v>17</v>
      </c>
      <c r="B8" s="287"/>
      <c r="C8" s="288"/>
      <c r="D8" s="433" t="s">
        <v>18</v>
      </c>
      <c r="E8" s="434"/>
      <c r="F8" s="434"/>
      <c r="G8" s="434"/>
      <c r="H8" s="434"/>
      <c r="I8" s="434"/>
      <c r="J8" s="434"/>
      <c r="K8" s="434"/>
      <c r="L8" s="434"/>
      <c r="M8" s="435"/>
      <c r="N8" s="64"/>
      <c r="P8" s="24" t="s">
        <v>19</v>
      </c>
      <c r="Q8" s="390">
        <v>0.41666666666666669</v>
      </c>
      <c r="R8" s="391"/>
      <c r="T8" s="277"/>
      <c r="U8" s="294"/>
      <c r="V8" s="368"/>
      <c r="W8" s="369"/>
      <c r="AB8" s="51"/>
      <c r="AC8" s="51"/>
      <c r="AD8" s="51"/>
      <c r="AE8" s="51"/>
    </row>
    <row r="9" spans="1:32" s="262" customFormat="1" ht="39.950000000000003" customHeight="1" x14ac:dyDescent="0.2">
      <c r="A9" s="3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7"/>
      <c r="C9" s="277"/>
      <c r="D9" s="338"/>
      <c r="E9" s="339"/>
      <c r="F9" s="3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7"/>
      <c r="H9" s="378" t="str">
        <f>IF(AND($A$9="Тип доверенности/получателя при получении в адресе перегруза:",$D$9="Разовая доверенность"),"Введите ФИО","")</f>
        <v/>
      </c>
      <c r="I9" s="339"/>
      <c r="J9" s="37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9"/>
      <c r="L9" s="339"/>
      <c r="M9" s="339"/>
      <c r="N9" s="260"/>
      <c r="P9" s="26" t="s">
        <v>20</v>
      </c>
      <c r="Q9" s="457"/>
      <c r="R9" s="330"/>
      <c r="T9" s="277"/>
      <c r="U9" s="294"/>
      <c r="V9" s="370"/>
      <c r="W9" s="371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7"/>
      <c r="C10" s="277"/>
      <c r="D10" s="338"/>
      <c r="E10" s="339"/>
      <c r="F10" s="3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7"/>
      <c r="H10" s="357" t="str">
        <f>IFERROR(VLOOKUP($D$10,Proxy,2,FALSE),"")</f>
        <v/>
      </c>
      <c r="I10" s="277"/>
      <c r="J10" s="277"/>
      <c r="K10" s="277"/>
      <c r="L10" s="277"/>
      <c r="M10" s="277"/>
      <c r="N10" s="261"/>
      <c r="P10" s="26" t="s">
        <v>21</v>
      </c>
      <c r="Q10" s="395"/>
      <c r="R10" s="396"/>
      <c r="U10" s="24" t="s">
        <v>22</v>
      </c>
      <c r="V10" s="444" t="s">
        <v>23</v>
      </c>
      <c r="W10" s="367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06"/>
      <c r="R11" s="318"/>
      <c r="U11" s="24" t="s">
        <v>26</v>
      </c>
      <c r="V11" s="329" t="s">
        <v>27</v>
      </c>
      <c r="W11" s="330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413" t="s">
        <v>28</v>
      </c>
      <c r="B12" s="311"/>
      <c r="C12" s="311"/>
      <c r="D12" s="311"/>
      <c r="E12" s="311"/>
      <c r="F12" s="311"/>
      <c r="G12" s="311"/>
      <c r="H12" s="311"/>
      <c r="I12" s="311"/>
      <c r="J12" s="311"/>
      <c r="K12" s="311"/>
      <c r="L12" s="311"/>
      <c r="M12" s="290"/>
      <c r="N12" s="65"/>
      <c r="P12" s="24" t="s">
        <v>29</v>
      </c>
      <c r="Q12" s="390"/>
      <c r="R12" s="391"/>
      <c r="S12" s="23"/>
      <c r="U12" s="24"/>
      <c r="V12" s="312"/>
      <c r="W12" s="277"/>
      <c r="AB12" s="51"/>
      <c r="AC12" s="51"/>
      <c r="AD12" s="51"/>
      <c r="AE12" s="51"/>
    </row>
    <row r="13" spans="1:32" s="262" customFormat="1" ht="23.25" customHeight="1" x14ac:dyDescent="0.2">
      <c r="A13" s="413" t="s">
        <v>30</v>
      </c>
      <c r="B13" s="311"/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290"/>
      <c r="N13" s="65"/>
      <c r="O13" s="26"/>
      <c r="P13" s="26" t="s">
        <v>31</v>
      </c>
      <c r="Q13" s="329"/>
      <c r="R13" s="33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413" t="s">
        <v>32</v>
      </c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29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415" t="s">
        <v>33</v>
      </c>
      <c r="B15" s="311"/>
      <c r="C15" s="311"/>
      <c r="D15" s="311"/>
      <c r="E15" s="311"/>
      <c r="F15" s="311"/>
      <c r="G15" s="311"/>
      <c r="H15" s="311"/>
      <c r="I15" s="311"/>
      <c r="J15" s="311"/>
      <c r="K15" s="311"/>
      <c r="L15" s="311"/>
      <c r="M15" s="290"/>
      <c r="N15" s="66"/>
      <c r="P15" s="397" t="s">
        <v>34</v>
      </c>
      <c r="Q15" s="312"/>
      <c r="R15" s="312"/>
      <c r="S15" s="312"/>
      <c r="T15" s="31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98"/>
      <c r="Q16" s="398"/>
      <c r="R16" s="398"/>
      <c r="S16" s="398"/>
      <c r="T16" s="39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80" t="s">
        <v>35</v>
      </c>
      <c r="B17" s="280" t="s">
        <v>36</v>
      </c>
      <c r="C17" s="401" t="s">
        <v>37</v>
      </c>
      <c r="D17" s="280" t="s">
        <v>38</v>
      </c>
      <c r="E17" s="281"/>
      <c r="F17" s="280" t="s">
        <v>39</v>
      </c>
      <c r="G17" s="280" t="s">
        <v>40</v>
      </c>
      <c r="H17" s="280" t="s">
        <v>41</v>
      </c>
      <c r="I17" s="280" t="s">
        <v>42</v>
      </c>
      <c r="J17" s="280" t="s">
        <v>43</v>
      </c>
      <c r="K17" s="280" t="s">
        <v>44</v>
      </c>
      <c r="L17" s="280" t="s">
        <v>45</v>
      </c>
      <c r="M17" s="280" t="s">
        <v>46</v>
      </c>
      <c r="N17" s="280" t="s">
        <v>47</v>
      </c>
      <c r="O17" s="280" t="s">
        <v>48</v>
      </c>
      <c r="P17" s="280" t="s">
        <v>49</v>
      </c>
      <c r="Q17" s="419"/>
      <c r="R17" s="419"/>
      <c r="S17" s="419"/>
      <c r="T17" s="281"/>
      <c r="U17" s="289" t="s">
        <v>50</v>
      </c>
      <c r="V17" s="290"/>
      <c r="W17" s="280" t="s">
        <v>51</v>
      </c>
      <c r="X17" s="280" t="s">
        <v>52</v>
      </c>
      <c r="Y17" s="291" t="s">
        <v>53</v>
      </c>
      <c r="Z17" s="364" t="s">
        <v>54</v>
      </c>
      <c r="AA17" s="321" t="s">
        <v>55</v>
      </c>
      <c r="AB17" s="321" t="s">
        <v>56</v>
      </c>
      <c r="AC17" s="321" t="s">
        <v>57</v>
      </c>
      <c r="AD17" s="321" t="s">
        <v>58</v>
      </c>
      <c r="AE17" s="322"/>
      <c r="AF17" s="323"/>
      <c r="AG17" s="69"/>
      <c r="BD17" s="68" t="s">
        <v>59</v>
      </c>
    </row>
    <row r="18" spans="1:68" ht="14.25" customHeight="1" x14ac:dyDescent="0.2">
      <c r="A18" s="285"/>
      <c r="B18" s="285"/>
      <c r="C18" s="285"/>
      <c r="D18" s="282"/>
      <c r="E18" s="283"/>
      <c r="F18" s="285"/>
      <c r="G18" s="285"/>
      <c r="H18" s="285"/>
      <c r="I18" s="285"/>
      <c r="J18" s="285"/>
      <c r="K18" s="285"/>
      <c r="L18" s="285"/>
      <c r="M18" s="285"/>
      <c r="N18" s="285"/>
      <c r="O18" s="285"/>
      <c r="P18" s="282"/>
      <c r="Q18" s="420"/>
      <c r="R18" s="420"/>
      <c r="S18" s="420"/>
      <c r="T18" s="283"/>
      <c r="U18" s="70" t="s">
        <v>60</v>
      </c>
      <c r="V18" s="70" t="s">
        <v>61</v>
      </c>
      <c r="W18" s="285"/>
      <c r="X18" s="285"/>
      <c r="Y18" s="292"/>
      <c r="Z18" s="365"/>
      <c r="AA18" s="356"/>
      <c r="AB18" s="356"/>
      <c r="AC18" s="356"/>
      <c r="AD18" s="324"/>
      <c r="AE18" s="325"/>
      <c r="AF18" s="326"/>
      <c r="AG18" s="69"/>
      <c r="BD18" s="68"/>
    </row>
    <row r="19" spans="1:68" ht="27.75" hidden="1" customHeight="1" x14ac:dyDescent="0.2">
      <c r="A19" s="274" t="s">
        <v>62</v>
      </c>
      <c r="B19" s="275"/>
      <c r="C19" s="275"/>
      <c r="D19" s="275"/>
      <c r="E19" s="275"/>
      <c r="F19" s="275"/>
      <c r="G19" s="275"/>
      <c r="H19" s="275"/>
      <c r="I19" s="275"/>
      <c r="J19" s="275"/>
      <c r="K19" s="275"/>
      <c r="L19" s="275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  <c r="AA19" s="48"/>
      <c r="AB19" s="48"/>
      <c r="AC19" s="48"/>
    </row>
    <row r="20" spans="1:68" ht="16.5" hidden="1" customHeight="1" x14ac:dyDescent="0.25">
      <c r="A20" s="284" t="s">
        <v>62</v>
      </c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63"/>
      <c r="AB20" s="263"/>
      <c r="AC20" s="263"/>
    </row>
    <row r="21" spans="1:68" ht="14.25" hidden="1" customHeight="1" x14ac:dyDescent="0.25">
      <c r="A21" s="276" t="s">
        <v>63</v>
      </c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78">
        <v>4607111035912</v>
      </c>
      <c r="E22" s="279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36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96"/>
      <c r="R22" s="296"/>
      <c r="S22" s="296"/>
      <c r="T22" s="297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78">
        <v>4607111035103</v>
      </c>
      <c r="E23" s="279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99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96"/>
      <c r="R23" s="296"/>
      <c r="S23" s="296"/>
      <c r="T23" s="297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4301071109</v>
      </c>
      <c r="D24" s="278">
        <v>4607111035929</v>
      </c>
      <c r="E24" s="279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8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96"/>
      <c r="R24" s="296"/>
      <c r="S24" s="296"/>
      <c r="T24" s="297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78">
        <v>4607111035882</v>
      </c>
      <c r="E25" s="279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31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96"/>
      <c r="R25" s="296"/>
      <c r="S25" s="296"/>
      <c r="T25" s="297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8">
        <v>4607111035110</v>
      </c>
      <c r="E26" s="279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4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96"/>
      <c r="R26" s="296"/>
      <c r="S26" s="296"/>
      <c r="T26" s="297"/>
      <c r="U26" s="34"/>
      <c r="V26" s="34"/>
      <c r="W26" s="35" t="s">
        <v>69</v>
      </c>
      <c r="X26" s="268">
        <v>12</v>
      </c>
      <c r="Y26" s="269">
        <f t="shared" si="0"/>
        <v>12</v>
      </c>
      <c r="Z26" s="36">
        <f t="shared" si="1"/>
        <v>0.186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89.64</v>
      </c>
      <c r="BN26" s="67">
        <f t="shared" si="3"/>
        <v>89.64</v>
      </c>
      <c r="BO26" s="67">
        <f t="shared" si="4"/>
        <v>0.14285714285714285</v>
      </c>
      <c r="BP26" s="67">
        <f t="shared" si="5"/>
        <v>0.14285714285714285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78">
        <v>4607111035905</v>
      </c>
      <c r="E27" s="279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7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96"/>
      <c r="R27" s="296"/>
      <c r="S27" s="296"/>
      <c r="T27" s="297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302"/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303"/>
      <c r="P28" s="286" t="s">
        <v>82</v>
      </c>
      <c r="Q28" s="287"/>
      <c r="R28" s="287"/>
      <c r="S28" s="287"/>
      <c r="T28" s="287"/>
      <c r="U28" s="287"/>
      <c r="V28" s="288"/>
      <c r="W28" s="37" t="s">
        <v>69</v>
      </c>
      <c r="X28" s="270">
        <f>IFERROR(SUM(X22:X27),"0")</f>
        <v>12</v>
      </c>
      <c r="Y28" s="270">
        <f>IFERROR(SUM(Y22:Y27),"0")</f>
        <v>12</v>
      </c>
      <c r="Z28" s="270">
        <f>IFERROR(IF(Z22="",0,Z22),"0")+IFERROR(IF(Z23="",0,Z23),"0")+IFERROR(IF(Z24="",0,Z24),"0")+IFERROR(IF(Z25="",0,Z25),"0")+IFERROR(IF(Z26="",0,Z26),"0")+IFERROR(IF(Z27="",0,Z27),"0")</f>
        <v>0.186</v>
      </c>
      <c r="AA28" s="271"/>
      <c r="AB28" s="271"/>
      <c r="AC28" s="271"/>
    </row>
    <row r="29" spans="1:68" x14ac:dyDescent="0.2">
      <c r="A29" s="277"/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303"/>
      <c r="P29" s="286" t="s">
        <v>82</v>
      </c>
      <c r="Q29" s="287"/>
      <c r="R29" s="287"/>
      <c r="S29" s="287"/>
      <c r="T29" s="287"/>
      <c r="U29" s="287"/>
      <c r="V29" s="288"/>
      <c r="W29" s="37" t="s">
        <v>83</v>
      </c>
      <c r="X29" s="270">
        <f>IFERROR(SUMPRODUCT(X22:X27*H22:H27),"0")</f>
        <v>86.4</v>
      </c>
      <c r="Y29" s="270">
        <f>IFERROR(SUMPRODUCT(Y22:Y27*H22:H27),"0")</f>
        <v>86.4</v>
      </c>
      <c r="Z29" s="37"/>
      <c r="AA29" s="271"/>
      <c r="AB29" s="271"/>
      <c r="AC29" s="271"/>
    </row>
    <row r="30" spans="1:68" ht="16.5" hidden="1" customHeight="1" x14ac:dyDescent="0.25">
      <c r="A30" s="284" t="s">
        <v>84</v>
      </c>
      <c r="B30" s="277"/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63"/>
      <c r="AB30" s="263"/>
      <c r="AC30" s="263"/>
    </row>
    <row r="31" spans="1:68" ht="14.25" hidden="1" customHeight="1" x14ac:dyDescent="0.25">
      <c r="A31" s="276" t="s">
        <v>63</v>
      </c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78">
        <v>4607111039019</v>
      </c>
      <c r="E32" s="279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43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96"/>
      <c r="R32" s="296"/>
      <c r="S32" s="296"/>
      <c r="T32" s="297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78">
        <v>4607111038708</v>
      </c>
      <c r="E33" s="279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35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96"/>
      <c r="R33" s="296"/>
      <c r="S33" s="296"/>
      <c r="T33" s="297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302"/>
      <c r="B34" s="277"/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303"/>
      <c r="P34" s="286" t="s">
        <v>82</v>
      </c>
      <c r="Q34" s="287"/>
      <c r="R34" s="287"/>
      <c r="S34" s="287"/>
      <c r="T34" s="287"/>
      <c r="U34" s="287"/>
      <c r="V34" s="288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7"/>
      <c r="B35" s="277"/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303"/>
      <c r="P35" s="286" t="s">
        <v>82</v>
      </c>
      <c r="Q35" s="287"/>
      <c r="R35" s="287"/>
      <c r="S35" s="287"/>
      <c r="T35" s="287"/>
      <c r="U35" s="287"/>
      <c r="V35" s="288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74" t="s">
        <v>90</v>
      </c>
      <c r="B36" s="275"/>
      <c r="C36" s="275"/>
      <c r="D36" s="275"/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  <c r="AA36" s="48"/>
      <c r="AB36" s="48"/>
      <c r="AC36" s="48"/>
    </row>
    <row r="37" spans="1:68" ht="16.5" hidden="1" customHeight="1" x14ac:dyDescent="0.25">
      <c r="A37" s="284" t="s">
        <v>91</v>
      </c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63"/>
      <c r="AB37" s="263"/>
      <c r="AC37" s="263"/>
    </row>
    <row r="38" spans="1:68" ht="14.25" hidden="1" customHeight="1" x14ac:dyDescent="0.25">
      <c r="A38" s="276" t="s">
        <v>92</v>
      </c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8">
        <v>4607111036537</v>
      </c>
      <c r="E39" s="279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96"/>
      <c r="R39" s="296"/>
      <c r="S39" s="296"/>
      <c r="T39" s="297"/>
      <c r="U39" s="34"/>
      <c r="V39" s="34"/>
      <c r="W39" s="35" t="s">
        <v>69</v>
      </c>
      <c r="X39" s="268">
        <v>56</v>
      </c>
      <c r="Y39" s="269">
        <f>IFERROR(IF(X39="","",X39),"")</f>
        <v>56</v>
      </c>
      <c r="Z39" s="36">
        <f>IFERROR(IF(X39="","",X39*0.00941),"")</f>
        <v>0.52695999999999998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107.6208</v>
      </c>
      <c r="BN39" s="67">
        <f>IFERROR(Y39*I39,"0")</f>
        <v>107.6208</v>
      </c>
      <c r="BO39" s="67">
        <f>IFERROR(X39/J39,"0")</f>
        <v>0.4</v>
      </c>
      <c r="BP39" s="67">
        <f>IFERROR(Y39/J39,"0")</f>
        <v>0.4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8">
        <v>4607111036605</v>
      </c>
      <c r="E40" s="279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362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96"/>
      <c r="R40" s="296"/>
      <c r="S40" s="296"/>
      <c r="T40" s="297"/>
      <c r="U40" s="34"/>
      <c r="V40" s="34"/>
      <c r="W40" s="35" t="s">
        <v>69</v>
      </c>
      <c r="X40" s="268">
        <v>14</v>
      </c>
      <c r="Y40" s="269">
        <f>IFERROR(IF(X40="","",X40),"")</f>
        <v>14</v>
      </c>
      <c r="Z40" s="36">
        <f>IFERROR(IF(X40="","",X40*0.00941),"")</f>
        <v>0.13174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26.905200000000001</v>
      </c>
      <c r="BN40" s="67">
        <f>IFERROR(Y40*I40,"0")</f>
        <v>26.905200000000001</v>
      </c>
      <c r="BO40" s="67">
        <f>IFERROR(X40/J40,"0")</f>
        <v>0.1</v>
      </c>
      <c r="BP40" s="67">
        <f>IFERROR(Y40/J40,"0")</f>
        <v>0.1</v>
      </c>
    </row>
    <row r="41" spans="1:68" x14ac:dyDescent="0.2">
      <c r="A41" s="302"/>
      <c r="B41" s="277"/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303"/>
      <c r="P41" s="286" t="s">
        <v>82</v>
      </c>
      <c r="Q41" s="287"/>
      <c r="R41" s="287"/>
      <c r="S41" s="287"/>
      <c r="T41" s="287"/>
      <c r="U41" s="287"/>
      <c r="V41" s="288"/>
      <c r="W41" s="37" t="s">
        <v>69</v>
      </c>
      <c r="X41" s="270">
        <f>IFERROR(SUM(X39:X40),"0")</f>
        <v>70</v>
      </c>
      <c r="Y41" s="270">
        <f>IFERROR(SUM(Y39:Y40),"0")</f>
        <v>70</v>
      </c>
      <c r="Z41" s="270">
        <f>IFERROR(IF(Z39="",0,Z39),"0")+IFERROR(IF(Z40="",0,Z40),"0")</f>
        <v>0.65869999999999995</v>
      </c>
      <c r="AA41" s="271"/>
      <c r="AB41" s="271"/>
      <c r="AC41" s="271"/>
    </row>
    <row r="42" spans="1:68" x14ac:dyDescent="0.2">
      <c r="A42" s="277"/>
      <c r="B42" s="277"/>
      <c r="C42" s="277"/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303"/>
      <c r="P42" s="286" t="s">
        <v>82</v>
      </c>
      <c r="Q42" s="287"/>
      <c r="R42" s="287"/>
      <c r="S42" s="287"/>
      <c r="T42" s="287"/>
      <c r="U42" s="287"/>
      <c r="V42" s="288"/>
      <c r="W42" s="37" t="s">
        <v>83</v>
      </c>
      <c r="X42" s="270">
        <f>IFERROR(SUMPRODUCT(X39:X40*H39:H40),"0")</f>
        <v>105</v>
      </c>
      <c r="Y42" s="270">
        <f>IFERROR(SUMPRODUCT(Y39:Y40*H39:H40),"0")</f>
        <v>105</v>
      </c>
      <c r="Z42" s="37"/>
      <c r="AA42" s="271"/>
      <c r="AB42" s="271"/>
      <c r="AC42" s="271"/>
    </row>
    <row r="43" spans="1:68" ht="16.5" hidden="1" customHeight="1" x14ac:dyDescent="0.25">
      <c r="A43" s="284" t="s">
        <v>102</v>
      </c>
      <c r="B43" s="277"/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  <c r="AA43" s="263"/>
      <c r="AB43" s="263"/>
      <c r="AC43" s="263"/>
    </row>
    <row r="44" spans="1:68" ht="14.25" hidden="1" customHeight="1" x14ac:dyDescent="0.25">
      <c r="A44" s="276" t="s">
        <v>63</v>
      </c>
      <c r="B44" s="277"/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8">
        <v>4620207490075</v>
      </c>
      <c r="E45" s="279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6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96"/>
      <c r="R45" s="296"/>
      <c r="S45" s="296"/>
      <c r="T45" s="297"/>
      <c r="U45" s="34"/>
      <c r="V45" s="34"/>
      <c r="W45" s="35" t="s">
        <v>69</v>
      </c>
      <c r="X45" s="268">
        <v>12</v>
      </c>
      <c r="Y45" s="269">
        <f>IFERROR(IF(X45="","",X45),"")</f>
        <v>12</v>
      </c>
      <c r="Z45" s="36">
        <f>IFERROR(IF(X45="","",X45*0.0155),"")</f>
        <v>0.186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70.44</v>
      </c>
      <c r="BN45" s="67">
        <f>IFERROR(Y45*I45,"0")</f>
        <v>70.44</v>
      </c>
      <c r="BO45" s="67">
        <f>IFERROR(X45/J45,"0")</f>
        <v>0.14285714285714285</v>
      </c>
      <c r="BP45" s="67">
        <f>IFERROR(Y45/J45,"0")</f>
        <v>0.14285714285714285</v>
      </c>
    </row>
    <row r="46" spans="1:68" ht="27" hidden="1" customHeight="1" x14ac:dyDescent="0.25">
      <c r="A46" s="54" t="s">
        <v>106</v>
      </c>
      <c r="B46" s="54" t="s">
        <v>107</v>
      </c>
      <c r="C46" s="31">
        <v>4301071092</v>
      </c>
      <c r="D46" s="278">
        <v>4620207490174</v>
      </c>
      <c r="E46" s="279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35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96"/>
      <c r="R46" s="296"/>
      <c r="S46" s="296"/>
      <c r="T46" s="297"/>
      <c r="U46" s="34"/>
      <c r="V46" s="34"/>
      <c r="W46" s="35" t="s">
        <v>69</v>
      </c>
      <c r="X46" s="268">
        <v>0</v>
      </c>
      <c r="Y46" s="269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hidden="1" customHeight="1" x14ac:dyDescent="0.25">
      <c r="A47" s="54" t="s">
        <v>109</v>
      </c>
      <c r="B47" s="54" t="s">
        <v>110</v>
      </c>
      <c r="C47" s="31">
        <v>4301071091</v>
      </c>
      <c r="D47" s="278">
        <v>4620207490044</v>
      </c>
      <c r="E47" s="279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41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96"/>
      <c r="R47" s="296"/>
      <c r="S47" s="296"/>
      <c r="T47" s="297"/>
      <c r="U47" s="34"/>
      <c r="V47" s="34"/>
      <c r="W47" s="35" t="s">
        <v>69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302"/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303"/>
      <c r="P48" s="286" t="s">
        <v>82</v>
      </c>
      <c r="Q48" s="287"/>
      <c r="R48" s="287"/>
      <c r="S48" s="287"/>
      <c r="T48" s="287"/>
      <c r="U48" s="287"/>
      <c r="V48" s="288"/>
      <c r="W48" s="37" t="s">
        <v>69</v>
      </c>
      <c r="X48" s="270">
        <f>IFERROR(SUM(X45:X47),"0")</f>
        <v>12</v>
      </c>
      <c r="Y48" s="270">
        <f>IFERROR(SUM(Y45:Y47),"0")</f>
        <v>12</v>
      </c>
      <c r="Z48" s="270">
        <f>IFERROR(IF(Z45="",0,Z45),"0")+IFERROR(IF(Z46="",0,Z46),"0")+IFERROR(IF(Z47="",0,Z47),"0")</f>
        <v>0.186</v>
      </c>
      <c r="AA48" s="271"/>
      <c r="AB48" s="271"/>
      <c r="AC48" s="271"/>
    </row>
    <row r="49" spans="1:68" x14ac:dyDescent="0.2">
      <c r="A49" s="277"/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303"/>
      <c r="P49" s="286" t="s">
        <v>82</v>
      </c>
      <c r="Q49" s="287"/>
      <c r="R49" s="287"/>
      <c r="S49" s="287"/>
      <c r="T49" s="287"/>
      <c r="U49" s="287"/>
      <c r="V49" s="288"/>
      <c r="W49" s="37" t="s">
        <v>83</v>
      </c>
      <c r="X49" s="270">
        <f>IFERROR(SUMPRODUCT(X45:X47*H45:H47),"0")</f>
        <v>67.199999999999989</v>
      </c>
      <c r="Y49" s="270">
        <f>IFERROR(SUMPRODUCT(Y45:Y47*H45:H47),"0")</f>
        <v>67.199999999999989</v>
      </c>
      <c r="Z49" s="37"/>
      <c r="AA49" s="271"/>
      <c r="AB49" s="271"/>
      <c r="AC49" s="271"/>
    </row>
    <row r="50" spans="1:68" ht="16.5" hidden="1" customHeight="1" x14ac:dyDescent="0.25">
      <c r="A50" s="284" t="s">
        <v>112</v>
      </c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  <c r="AA50" s="263"/>
      <c r="AB50" s="263"/>
      <c r="AC50" s="263"/>
    </row>
    <row r="51" spans="1:68" ht="14.25" hidden="1" customHeight="1" x14ac:dyDescent="0.25">
      <c r="A51" s="276" t="s">
        <v>63</v>
      </c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64"/>
      <c r="AB51" s="264"/>
      <c r="AC51" s="264"/>
    </row>
    <row r="52" spans="1:68" ht="27" hidden="1" customHeight="1" x14ac:dyDescent="0.25">
      <c r="A52" s="54" t="s">
        <v>113</v>
      </c>
      <c r="B52" s="54" t="s">
        <v>114</v>
      </c>
      <c r="C52" s="31">
        <v>4301071044</v>
      </c>
      <c r="D52" s="278">
        <v>4607111039385</v>
      </c>
      <c r="E52" s="279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42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96"/>
      <c r="R52" s="296"/>
      <c r="S52" s="296"/>
      <c r="T52" s="297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8">
        <v>4607111038982</v>
      </c>
      <c r="E53" s="279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40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96"/>
      <c r="R53" s="296"/>
      <c r="S53" s="296"/>
      <c r="T53" s="297"/>
      <c r="U53" s="34"/>
      <c r="V53" s="34"/>
      <c r="W53" s="35" t="s">
        <v>69</v>
      </c>
      <c r="X53" s="268">
        <v>12</v>
      </c>
      <c r="Y53" s="269">
        <f>IFERROR(IF(X53="","",X53),"")</f>
        <v>12</v>
      </c>
      <c r="Z53" s="36">
        <f>IFERROR(IF(X53="","",X53*0.0155),"")</f>
        <v>0.186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87.431999999999988</v>
      </c>
      <c r="BN53" s="67">
        <f>IFERROR(Y53*I53,"0")</f>
        <v>87.431999999999988</v>
      </c>
      <c r="BO53" s="67">
        <f>IFERROR(X53/J53,"0")</f>
        <v>0.14285714285714285</v>
      </c>
      <c r="BP53" s="67">
        <f>IFERROR(Y53/J53,"0")</f>
        <v>0.14285714285714285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78">
        <v>4607111039354</v>
      </c>
      <c r="E54" s="279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33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96"/>
      <c r="R54" s="296"/>
      <c r="S54" s="296"/>
      <c r="T54" s="297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4301071047</v>
      </c>
      <c r="D55" s="278">
        <v>4607111039330</v>
      </c>
      <c r="E55" s="279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41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96"/>
      <c r="R55" s="296"/>
      <c r="S55" s="296"/>
      <c r="T55" s="297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302"/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303"/>
      <c r="P56" s="286" t="s">
        <v>82</v>
      </c>
      <c r="Q56" s="287"/>
      <c r="R56" s="287"/>
      <c r="S56" s="287"/>
      <c r="T56" s="287"/>
      <c r="U56" s="287"/>
      <c r="V56" s="288"/>
      <c r="W56" s="37" t="s">
        <v>69</v>
      </c>
      <c r="X56" s="270">
        <f>IFERROR(SUM(X52:X55),"0")</f>
        <v>12</v>
      </c>
      <c r="Y56" s="270">
        <f>IFERROR(SUM(Y52:Y55),"0")</f>
        <v>12</v>
      </c>
      <c r="Z56" s="270">
        <f>IFERROR(IF(Z52="",0,Z52),"0")+IFERROR(IF(Z53="",0,Z53),"0")+IFERROR(IF(Z54="",0,Z54),"0")+IFERROR(IF(Z55="",0,Z55),"0")</f>
        <v>0.186</v>
      </c>
      <c r="AA56" s="271"/>
      <c r="AB56" s="271"/>
      <c r="AC56" s="271"/>
    </row>
    <row r="57" spans="1:68" x14ac:dyDescent="0.2">
      <c r="A57" s="277"/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303"/>
      <c r="P57" s="286" t="s">
        <v>82</v>
      </c>
      <c r="Q57" s="287"/>
      <c r="R57" s="287"/>
      <c r="S57" s="287"/>
      <c r="T57" s="287"/>
      <c r="U57" s="287"/>
      <c r="V57" s="288"/>
      <c r="W57" s="37" t="s">
        <v>83</v>
      </c>
      <c r="X57" s="270">
        <f>IFERROR(SUMPRODUCT(X52:X55*H52:H55),"0")</f>
        <v>84</v>
      </c>
      <c r="Y57" s="270">
        <f>IFERROR(SUMPRODUCT(Y52:Y55*H52:H55),"0")</f>
        <v>84</v>
      </c>
      <c r="Z57" s="37"/>
      <c r="AA57" s="271"/>
      <c r="AB57" s="271"/>
      <c r="AC57" s="271"/>
    </row>
    <row r="58" spans="1:68" ht="16.5" hidden="1" customHeight="1" x14ac:dyDescent="0.25">
      <c r="A58" s="284" t="s">
        <v>123</v>
      </c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63"/>
      <c r="AB58" s="263"/>
      <c r="AC58" s="263"/>
    </row>
    <row r="59" spans="1:68" ht="14.25" hidden="1" customHeight="1" x14ac:dyDescent="0.25">
      <c r="A59" s="276" t="s">
        <v>63</v>
      </c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78">
        <v>4620207490822</v>
      </c>
      <c r="E60" s="279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32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96"/>
      <c r="R60" s="296"/>
      <c r="S60" s="296"/>
      <c r="T60" s="297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302"/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303"/>
      <c r="P61" s="286" t="s">
        <v>82</v>
      </c>
      <c r="Q61" s="287"/>
      <c r="R61" s="287"/>
      <c r="S61" s="287"/>
      <c r="T61" s="287"/>
      <c r="U61" s="287"/>
      <c r="V61" s="288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7"/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303"/>
      <c r="P62" s="286" t="s">
        <v>82</v>
      </c>
      <c r="Q62" s="287"/>
      <c r="R62" s="287"/>
      <c r="S62" s="287"/>
      <c r="T62" s="287"/>
      <c r="U62" s="287"/>
      <c r="V62" s="288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7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78">
        <v>4607111039712</v>
      </c>
      <c r="E64" s="279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34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96"/>
      <c r="R64" s="296"/>
      <c r="S64" s="296"/>
      <c r="T64" s="297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302"/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303"/>
      <c r="P65" s="286" t="s">
        <v>82</v>
      </c>
      <c r="Q65" s="287"/>
      <c r="R65" s="287"/>
      <c r="S65" s="287"/>
      <c r="T65" s="287"/>
      <c r="U65" s="287"/>
      <c r="V65" s="288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303"/>
      <c r="P66" s="286" t="s">
        <v>82</v>
      </c>
      <c r="Q66" s="287"/>
      <c r="R66" s="287"/>
      <c r="S66" s="287"/>
      <c r="T66" s="287"/>
      <c r="U66" s="287"/>
      <c r="V66" s="288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78">
        <v>4607111037008</v>
      </c>
      <c r="E68" s="279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40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96"/>
      <c r="R68" s="296"/>
      <c r="S68" s="296"/>
      <c r="T68" s="297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78">
        <v>4607111037398</v>
      </c>
      <c r="E69" s="279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8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96"/>
      <c r="R69" s="296"/>
      <c r="S69" s="296"/>
      <c r="T69" s="297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302"/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303"/>
      <c r="P70" s="286" t="s">
        <v>82</v>
      </c>
      <c r="Q70" s="287"/>
      <c r="R70" s="287"/>
      <c r="S70" s="287"/>
      <c r="T70" s="287"/>
      <c r="U70" s="287"/>
      <c r="V70" s="288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7"/>
      <c r="B71" s="277"/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303"/>
      <c r="P71" s="286" t="s">
        <v>82</v>
      </c>
      <c r="Q71" s="287"/>
      <c r="R71" s="287"/>
      <c r="S71" s="287"/>
      <c r="T71" s="287"/>
      <c r="U71" s="287"/>
      <c r="V71" s="288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78">
        <v>4607111039705</v>
      </c>
      <c r="E73" s="279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41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96"/>
      <c r="R73" s="296"/>
      <c r="S73" s="296"/>
      <c r="T73" s="297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78">
        <v>4607111039729</v>
      </c>
      <c r="E74" s="279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45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96"/>
      <c r="R74" s="296"/>
      <c r="S74" s="296"/>
      <c r="T74" s="297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78">
        <v>4620207490228</v>
      </c>
      <c r="E75" s="279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33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96"/>
      <c r="R75" s="296"/>
      <c r="S75" s="296"/>
      <c r="T75" s="297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302"/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303"/>
      <c r="P76" s="286" t="s">
        <v>82</v>
      </c>
      <c r="Q76" s="287"/>
      <c r="R76" s="287"/>
      <c r="S76" s="287"/>
      <c r="T76" s="287"/>
      <c r="U76" s="287"/>
      <c r="V76" s="288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77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303"/>
      <c r="P77" s="286" t="s">
        <v>82</v>
      </c>
      <c r="Q77" s="287"/>
      <c r="R77" s="287"/>
      <c r="S77" s="287"/>
      <c r="T77" s="287"/>
      <c r="U77" s="287"/>
      <c r="V77" s="288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4" t="s">
        <v>144</v>
      </c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  <c r="AA78" s="263"/>
      <c r="AB78" s="263"/>
      <c r="AC78" s="263"/>
    </row>
    <row r="79" spans="1:68" ht="14.25" hidden="1" customHeight="1" x14ac:dyDescent="0.25">
      <c r="A79" s="276" t="s">
        <v>63</v>
      </c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64"/>
      <c r="AB79" s="264"/>
      <c r="AC79" s="264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78">
        <v>4607111037411</v>
      </c>
      <c r="E80" s="279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36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96"/>
      <c r="R80" s="296"/>
      <c r="S80" s="296"/>
      <c r="T80" s="297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8">
        <v>4607111036728</v>
      </c>
      <c r="E81" s="279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44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96"/>
      <c r="R81" s="296"/>
      <c r="S81" s="296"/>
      <c r="T81" s="297"/>
      <c r="U81" s="34"/>
      <c r="V81" s="34"/>
      <c r="W81" s="35" t="s">
        <v>69</v>
      </c>
      <c r="X81" s="268">
        <v>24</v>
      </c>
      <c r="Y81" s="269">
        <f>IFERROR(IF(X81="","",X81),"")</f>
        <v>24</v>
      </c>
      <c r="Z81" s="36">
        <f>IFERROR(IF(X81="","",X81*0.00866),"")</f>
        <v>0.20783999999999997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125.11679999999998</v>
      </c>
      <c r="BN81" s="67">
        <f>IFERROR(Y81*I81,"0")</f>
        <v>125.11679999999998</v>
      </c>
      <c r="BO81" s="67">
        <f>IFERROR(X81/J81,"0")</f>
        <v>0.16666666666666666</v>
      </c>
      <c r="BP81" s="67">
        <f>IFERROR(Y81/J81,"0")</f>
        <v>0.16666666666666666</v>
      </c>
    </row>
    <row r="82" spans="1:68" x14ac:dyDescent="0.2">
      <c r="A82" s="302"/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303"/>
      <c r="P82" s="286" t="s">
        <v>82</v>
      </c>
      <c r="Q82" s="287"/>
      <c r="R82" s="287"/>
      <c r="S82" s="287"/>
      <c r="T82" s="287"/>
      <c r="U82" s="287"/>
      <c r="V82" s="288"/>
      <c r="W82" s="37" t="s">
        <v>69</v>
      </c>
      <c r="X82" s="270">
        <f>IFERROR(SUM(X80:X81),"0")</f>
        <v>24</v>
      </c>
      <c r="Y82" s="270">
        <f>IFERROR(SUM(Y80:Y81),"0")</f>
        <v>24</v>
      </c>
      <c r="Z82" s="270">
        <f>IFERROR(IF(Z80="",0,Z80),"0")+IFERROR(IF(Z81="",0,Z81),"0")</f>
        <v>0.20783999999999997</v>
      </c>
      <c r="AA82" s="271"/>
      <c r="AB82" s="271"/>
      <c r="AC82" s="271"/>
    </row>
    <row r="83" spans="1:68" x14ac:dyDescent="0.2">
      <c r="A83" s="277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303"/>
      <c r="P83" s="286" t="s">
        <v>82</v>
      </c>
      <c r="Q83" s="287"/>
      <c r="R83" s="287"/>
      <c r="S83" s="287"/>
      <c r="T83" s="287"/>
      <c r="U83" s="287"/>
      <c r="V83" s="288"/>
      <c r="W83" s="37" t="s">
        <v>83</v>
      </c>
      <c r="X83" s="270">
        <f>IFERROR(SUMPRODUCT(X80:X81*H80:H81),"0")</f>
        <v>120</v>
      </c>
      <c r="Y83" s="270">
        <f>IFERROR(SUMPRODUCT(Y80:Y81*H80:H81),"0")</f>
        <v>120</v>
      </c>
      <c r="Z83" s="37"/>
      <c r="AA83" s="271"/>
      <c r="AB83" s="271"/>
      <c r="AC83" s="271"/>
    </row>
    <row r="84" spans="1:68" ht="16.5" hidden="1" customHeight="1" x14ac:dyDescent="0.25">
      <c r="A84" s="284" t="s">
        <v>151</v>
      </c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  <c r="AA84" s="263"/>
      <c r="AB84" s="263"/>
      <c r="AC84" s="263"/>
    </row>
    <row r="85" spans="1:68" ht="14.25" hidden="1" customHeight="1" x14ac:dyDescent="0.25">
      <c r="A85" s="276" t="s">
        <v>136</v>
      </c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64"/>
      <c r="AB85" s="264"/>
      <c r="AC85" s="264"/>
    </row>
    <row r="86" spans="1:68" ht="27" hidden="1" customHeight="1" x14ac:dyDescent="0.25">
      <c r="A86" s="54" t="s">
        <v>152</v>
      </c>
      <c r="B86" s="54" t="s">
        <v>153</v>
      </c>
      <c r="C86" s="31">
        <v>4301135574</v>
      </c>
      <c r="D86" s="278">
        <v>4607111033659</v>
      </c>
      <c r="E86" s="279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44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96"/>
      <c r="R86" s="296"/>
      <c r="S86" s="296"/>
      <c r="T86" s="297"/>
      <c r="U86" s="34"/>
      <c r="V86" s="34"/>
      <c r="W86" s="35" t="s">
        <v>69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302"/>
      <c r="B87" s="277"/>
      <c r="C87" s="277"/>
      <c r="D87" s="277"/>
      <c r="E87" s="277"/>
      <c r="F87" s="277"/>
      <c r="G87" s="277"/>
      <c r="H87" s="277"/>
      <c r="I87" s="277"/>
      <c r="J87" s="277"/>
      <c r="K87" s="277"/>
      <c r="L87" s="277"/>
      <c r="M87" s="277"/>
      <c r="N87" s="277"/>
      <c r="O87" s="303"/>
      <c r="P87" s="286" t="s">
        <v>82</v>
      </c>
      <c r="Q87" s="287"/>
      <c r="R87" s="287"/>
      <c r="S87" s="287"/>
      <c r="T87" s="287"/>
      <c r="U87" s="287"/>
      <c r="V87" s="288"/>
      <c r="W87" s="37" t="s">
        <v>69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hidden="1" x14ac:dyDescent="0.2">
      <c r="A88" s="277"/>
      <c r="B88" s="277"/>
      <c r="C88" s="277"/>
      <c r="D88" s="277"/>
      <c r="E88" s="277"/>
      <c r="F88" s="277"/>
      <c r="G88" s="277"/>
      <c r="H88" s="277"/>
      <c r="I88" s="277"/>
      <c r="J88" s="277"/>
      <c r="K88" s="277"/>
      <c r="L88" s="277"/>
      <c r="M88" s="277"/>
      <c r="N88" s="277"/>
      <c r="O88" s="303"/>
      <c r="P88" s="286" t="s">
        <v>82</v>
      </c>
      <c r="Q88" s="287"/>
      <c r="R88" s="287"/>
      <c r="S88" s="287"/>
      <c r="T88" s="287"/>
      <c r="U88" s="287"/>
      <c r="V88" s="288"/>
      <c r="W88" s="37" t="s">
        <v>83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hidden="1" customHeight="1" x14ac:dyDescent="0.25">
      <c r="A89" s="284" t="s">
        <v>155</v>
      </c>
      <c r="B89" s="277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  <c r="AA89" s="263"/>
      <c r="AB89" s="263"/>
      <c r="AC89" s="263"/>
    </row>
    <row r="90" spans="1:68" ht="14.25" hidden="1" customHeight="1" x14ac:dyDescent="0.25">
      <c r="A90" s="276" t="s">
        <v>156</v>
      </c>
      <c r="B90" s="277"/>
      <c r="C90" s="277"/>
      <c r="D90" s="277"/>
      <c r="E90" s="277"/>
      <c r="F90" s="277"/>
      <c r="G90" s="277"/>
      <c r="H90" s="277"/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W90" s="277"/>
      <c r="X90" s="277"/>
      <c r="Y90" s="277"/>
      <c r="Z90" s="277"/>
      <c r="AA90" s="264"/>
      <c r="AB90" s="264"/>
      <c r="AC90" s="264"/>
    </row>
    <row r="91" spans="1:68" ht="27" hidden="1" customHeight="1" x14ac:dyDescent="0.25">
      <c r="A91" s="54" t="s">
        <v>157</v>
      </c>
      <c r="B91" s="54" t="s">
        <v>158</v>
      </c>
      <c r="C91" s="31">
        <v>4301131047</v>
      </c>
      <c r="D91" s="278">
        <v>4607111034120</v>
      </c>
      <c r="E91" s="279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8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96"/>
      <c r="R91" s="296"/>
      <c r="S91" s="296"/>
      <c r="T91" s="297"/>
      <c r="U91" s="34"/>
      <c r="V91" s="34"/>
      <c r="W91" s="35" t="s">
        <v>69</v>
      </c>
      <c r="X91" s="268">
        <v>0</v>
      </c>
      <c r="Y91" s="269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8">
        <v>4607111034137</v>
      </c>
      <c r="E92" s="279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42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96"/>
      <c r="R92" s="296"/>
      <c r="S92" s="296"/>
      <c r="T92" s="297"/>
      <c r="U92" s="34"/>
      <c r="V92" s="34"/>
      <c r="W92" s="35" t="s">
        <v>69</v>
      </c>
      <c r="X92" s="268">
        <v>28</v>
      </c>
      <c r="Y92" s="269">
        <f>IFERROR(IF(X92="","",X92),"")</f>
        <v>28</v>
      </c>
      <c r="Z92" s="36">
        <f>IFERROR(IF(X92="","",X92*0.01788),"")</f>
        <v>0.50063999999999997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120.50080000000001</v>
      </c>
      <c r="BN92" s="67">
        <f>IFERROR(Y92*I92,"0")</f>
        <v>120.50080000000001</v>
      </c>
      <c r="BO92" s="67">
        <f>IFERROR(X92/J92,"0")</f>
        <v>0.4</v>
      </c>
      <c r="BP92" s="67">
        <f>IFERROR(Y92/J92,"0")</f>
        <v>0.4</v>
      </c>
    </row>
    <row r="93" spans="1:68" x14ac:dyDescent="0.2">
      <c r="A93" s="302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303"/>
      <c r="P93" s="286" t="s">
        <v>82</v>
      </c>
      <c r="Q93" s="287"/>
      <c r="R93" s="287"/>
      <c r="S93" s="287"/>
      <c r="T93" s="287"/>
      <c r="U93" s="287"/>
      <c r="V93" s="288"/>
      <c r="W93" s="37" t="s">
        <v>69</v>
      </c>
      <c r="X93" s="270">
        <f>IFERROR(SUM(X91:X92),"0")</f>
        <v>28</v>
      </c>
      <c r="Y93" s="270">
        <f>IFERROR(SUM(Y91:Y92),"0")</f>
        <v>28</v>
      </c>
      <c r="Z93" s="270">
        <f>IFERROR(IF(Z91="",0,Z91),"0")+IFERROR(IF(Z92="",0,Z92),"0")</f>
        <v>0.50063999999999997</v>
      </c>
      <c r="AA93" s="271"/>
      <c r="AB93" s="271"/>
      <c r="AC93" s="271"/>
    </row>
    <row r="94" spans="1:68" x14ac:dyDescent="0.2">
      <c r="A94" s="277"/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303"/>
      <c r="P94" s="286" t="s">
        <v>82</v>
      </c>
      <c r="Q94" s="287"/>
      <c r="R94" s="287"/>
      <c r="S94" s="287"/>
      <c r="T94" s="287"/>
      <c r="U94" s="287"/>
      <c r="V94" s="288"/>
      <c r="W94" s="37" t="s">
        <v>83</v>
      </c>
      <c r="X94" s="270">
        <f>IFERROR(SUMPRODUCT(X91:X92*H91:H92),"0")</f>
        <v>100.8</v>
      </c>
      <c r="Y94" s="270">
        <f>IFERROR(SUMPRODUCT(Y91:Y92*H91:H92),"0")</f>
        <v>100.8</v>
      </c>
      <c r="Z94" s="37"/>
      <c r="AA94" s="271"/>
      <c r="AB94" s="271"/>
      <c r="AC94" s="271"/>
    </row>
    <row r="95" spans="1:68" ht="16.5" hidden="1" customHeight="1" x14ac:dyDescent="0.25">
      <c r="A95" s="284" t="s">
        <v>163</v>
      </c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  <c r="AA95" s="263"/>
      <c r="AB95" s="263"/>
      <c r="AC95" s="263"/>
    </row>
    <row r="96" spans="1:68" ht="14.25" hidden="1" customHeight="1" x14ac:dyDescent="0.25">
      <c r="A96" s="276" t="s">
        <v>136</v>
      </c>
      <c r="B96" s="277"/>
      <c r="C96" s="277"/>
      <c r="D96" s="277"/>
      <c r="E96" s="27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8">
        <v>4620207491027</v>
      </c>
      <c r="E97" s="279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44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96"/>
      <c r="R97" s="296"/>
      <c r="S97" s="296"/>
      <c r="T97" s="297"/>
      <c r="U97" s="34"/>
      <c r="V97" s="34"/>
      <c r="W97" s="35" t="s">
        <v>69</v>
      </c>
      <c r="X97" s="268">
        <v>14</v>
      </c>
      <c r="Y97" s="269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hidden="1" customHeight="1" x14ac:dyDescent="0.25">
      <c r="A98" s="54" t="s">
        <v>166</v>
      </c>
      <c r="B98" s="54" t="s">
        <v>167</v>
      </c>
      <c r="C98" s="31">
        <v>4301135793</v>
      </c>
      <c r="D98" s="278">
        <v>4620207491003</v>
      </c>
      <c r="E98" s="279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34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96"/>
      <c r="R98" s="296"/>
      <c r="S98" s="296"/>
      <c r="T98" s="297"/>
      <c r="U98" s="34"/>
      <c r="V98" s="34"/>
      <c r="W98" s="35" t="s">
        <v>69</v>
      </c>
      <c r="X98" s="268">
        <v>0</v>
      </c>
      <c r="Y98" s="269">
        <f t="shared" si="6"/>
        <v>0</v>
      </c>
      <c r="Z98" s="36">
        <f t="shared" si="7"/>
        <v>0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hidden="1" customHeight="1" x14ac:dyDescent="0.25">
      <c r="A99" s="54" t="s">
        <v>168</v>
      </c>
      <c r="B99" s="54" t="s">
        <v>169</v>
      </c>
      <c r="C99" s="31">
        <v>4301135768</v>
      </c>
      <c r="D99" s="278">
        <v>4620207491034</v>
      </c>
      <c r="E99" s="279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44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96"/>
      <c r="R99" s="296"/>
      <c r="S99" s="296"/>
      <c r="T99" s="297"/>
      <c r="U99" s="34"/>
      <c r="V99" s="34"/>
      <c r="W99" s="35" t="s">
        <v>69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8">
        <v>4620207491010</v>
      </c>
      <c r="E100" s="279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43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96"/>
      <c r="R100" s="296"/>
      <c r="S100" s="296"/>
      <c r="T100" s="297"/>
      <c r="U100" s="34"/>
      <c r="V100" s="34"/>
      <c r="W100" s="35" t="s">
        <v>69</v>
      </c>
      <c r="X100" s="268">
        <v>14</v>
      </c>
      <c r="Y100" s="269">
        <f t="shared" si="6"/>
        <v>14</v>
      </c>
      <c r="Z100" s="36">
        <f t="shared" si="7"/>
        <v>0.25031999999999999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50.170400000000001</v>
      </c>
      <c r="BN100" s="67">
        <f t="shared" si="9"/>
        <v>50.170400000000001</v>
      </c>
      <c r="BO100" s="67">
        <f t="shared" si="10"/>
        <v>0.2</v>
      </c>
      <c r="BP100" s="67">
        <f t="shared" si="11"/>
        <v>0.2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78">
        <v>4607111035028</v>
      </c>
      <c r="E101" s="279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38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96"/>
      <c r="R101" s="296"/>
      <c r="S101" s="296"/>
      <c r="T101" s="297"/>
      <c r="U101" s="34"/>
      <c r="V101" s="34"/>
      <c r="W101" s="35" t="s">
        <v>69</v>
      </c>
      <c r="X101" s="268">
        <v>14</v>
      </c>
      <c r="Y101" s="269">
        <f t="shared" si="6"/>
        <v>14</v>
      </c>
      <c r="Z101" s="36">
        <f t="shared" si="7"/>
        <v>0.25031999999999999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62.283200000000008</v>
      </c>
      <c r="BN101" s="67">
        <f t="shared" si="9"/>
        <v>62.283200000000008</v>
      </c>
      <c r="BO101" s="67">
        <f t="shared" si="10"/>
        <v>0.2</v>
      </c>
      <c r="BP101" s="67">
        <f t="shared" si="11"/>
        <v>0.2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78">
        <v>4607111036407</v>
      </c>
      <c r="E102" s="279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67</v>
      </c>
      <c r="M102" s="33" t="s">
        <v>68</v>
      </c>
      <c r="N102" s="33"/>
      <c r="O102" s="32">
        <v>180</v>
      </c>
      <c r="P102" s="38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96"/>
      <c r="R102" s="296"/>
      <c r="S102" s="296"/>
      <c r="T102" s="297"/>
      <c r="U102" s="34"/>
      <c r="V102" s="34"/>
      <c r="W102" s="35" t="s">
        <v>69</v>
      </c>
      <c r="X102" s="268">
        <v>14</v>
      </c>
      <c r="Y102" s="269">
        <f t="shared" si="6"/>
        <v>14</v>
      </c>
      <c r="Z102" s="36">
        <f t="shared" si="7"/>
        <v>0.25031999999999999</v>
      </c>
      <c r="AA102" s="56"/>
      <c r="AB102" s="57"/>
      <c r="AC102" s="140" t="s">
        <v>177</v>
      </c>
      <c r="AG102" s="67"/>
      <c r="AJ102" s="71" t="s">
        <v>71</v>
      </c>
      <c r="AK102" s="71">
        <v>1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302"/>
      <c r="B103" s="277"/>
      <c r="C103" s="277"/>
      <c r="D103" s="277"/>
      <c r="E103" s="277"/>
      <c r="F103" s="277"/>
      <c r="G103" s="277"/>
      <c r="H103" s="277"/>
      <c r="I103" s="277"/>
      <c r="J103" s="277"/>
      <c r="K103" s="277"/>
      <c r="L103" s="277"/>
      <c r="M103" s="277"/>
      <c r="N103" s="277"/>
      <c r="O103" s="303"/>
      <c r="P103" s="286" t="s">
        <v>82</v>
      </c>
      <c r="Q103" s="287"/>
      <c r="R103" s="287"/>
      <c r="S103" s="287"/>
      <c r="T103" s="287"/>
      <c r="U103" s="287"/>
      <c r="V103" s="288"/>
      <c r="W103" s="37" t="s">
        <v>69</v>
      </c>
      <c r="X103" s="270">
        <f>IFERROR(SUM(X97:X102),"0")</f>
        <v>56</v>
      </c>
      <c r="Y103" s="270">
        <f>IFERROR(SUM(Y97:Y102),"0")</f>
        <v>56</v>
      </c>
      <c r="Z103" s="270">
        <f>IFERROR(IF(Z97="",0,Z97),"0")+IFERROR(IF(Z98="",0,Z98),"0")+IFERROR(IF(Z99="",0,Z99),"0")+IFERROR(IF(Z100="",0,Z100),"0")+IFERROR(IF(Z101="",0,Z101),"0")+IFERROR(IF(Z102="",0,Z102),"0")</f>
        <v>1.0012799999999999</v>
      </c>
      <c r="AA103" s="271"/>
      <c r="AB103" s="271"/>
      <c r="AC103" s="271"/>
    </row>
    <row r="104" spans="1:68" x14ac:dyDescent="0.2">
      <c r="A104" s="277"/>
      <c r="B104" s="277"/>
      <c r="C104" s="277"/>
      <c r="D104" s="277"/>
      <c r="E104" s="277"/>
      <c r="F104" s="277"/>
      <c r="G104" s="277"/>
      <c r="H104" s="277"/>
      <c r="I104" s="277"/>
      <c r="J104" s="277"/>
      <c r="K104" s="277"/>
      <c r="L104" s="277"/>
      <c r="M104" s="277"/>
      <c r="N104" s="277"/>
      <c r="O104" s="303"/>
      <c r="P104" s="286" t="s">
        <v>82</v>
      </c>
      <c r="Q104" s="287"/>
      <c r="R104" s="287"/>
      <c r="S104" s="287"/>
      <c r="T104" s="287"/>
      <c r="U104" s="287"/>
      <c r="V104" s="288"/>
      <c r="W104" s="37" t="s">
        <v>83</v>
      </c>
      <c r="X104" s="270">
        <f>IFERROR(SUMPRODUCT(X97:X102*H97:H102),"0")</f>
        <v>193.20000000000002</v>
      </c>
      <c r="Y104" s="270">
        <f>IFERROR(SUMPRODUCT(Y97:Y102*H97:H102),"0")</f>
        <v>193.20000000000002</v>
      </c>
      <c r="Z104" s="37"/>
      <c r="AA104" s="271"/>
      <c r="AB104" s="271"/>
      <c r="AC104" s="271"/>
    </row>
    <row r="105" spans="1:68" ht="16.5" hidden="1" customHeight="1" x14ac:dyDescent="0.25">
      <c r="A105" s="284" t="s">
        <v>178</v>
      </c>
      <c r="B105" s="277"/>
      <c r="C105" s="277"/>
      <c r="D105" s="277"/>
      <c r="E105" s="277"/>
      <c r="F105" s="277"/>
      <c r="G105" s="277"/>
      <c r="H105" s="277"/>
      <c r="I105" s="277"/>
      <c r="J105" s="277"/>
      <c r="K105" s="277"/>
      <c r="L105" s="277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  <c r="W105" s="277"/>
      <c r="X105" s="277"/>
      <c r="Y105" s="277"/>
      <c r="Z105" s="277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7"/>
      <c r="C106" s="277"/>
      <c r="D106" s="277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64"/>
      <c r="AB106" s="264"/>
      <c r="AC106" s="264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78">
        <v>4607025784012</v>
      </c>
      <c r="E107" s="279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298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96"/>
      <c r="R107" s="296"/>
      <c r="S107" s="296"/>
      <c r="T107" s="297"/>
      <c r="U107" s="34"/>
      <c r="V107" s="34"/>
      <c r="W107" s="35" t="s">
        <v>69</v>
      </c>
      <c r="X107" s="268">
        <v>14</v>
      </c>
      <c r="Y107" s="269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hidden="1" customHeight="1" x14ac:dyDescent="0.25">
      <c r="A108" s="54" t="s">
        <v>182</v>
      </c>
      <c r="B108" s="54" t="s">
        <v>183</v>
      </c>
      <c r="C108" s="31">
        <v>4301136079</v>
      </c>
      <c r="D108" s="278">
        <v>4607025784319</v>
      </c>
      <c r="E108" s="279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5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96"/>
      <c r="R108" s="296"/>
      <c r="S108" s="296"/>
      <c r="T108" s="297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302"/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  <c r="M109" s="277"/>
      <c r="N109" s="277"/>
      <c r="O109" s="303"/>
      <c r="P109" s="286" t="s">
        <v>82</v>
      </c>
      <c r="Q109" s="287"/>
      <c r="R109" s="287"/>
      <c r="S109" s="287"/>
      <c r="T109" s="287"/>
      <c r="U109" s="287"/>
      <c r="V109" s="288"/>
      <c r="W109" s="37" t="s">
        <v>69</v>
      </c>
      <c r="X109" s="270">
        <f>IFERROR(SUM(X107:X108),"0")</f>
        <v>14</v>
      </c>
      <c r="Y109" s="270">
        <f>IFERROR(SUM(Y107:Y108),"0")</f>
        <v>14</v>
      </c>
      <c r="Z109" s="270">
        <f>IFERROR(IF(Z107="",0,Z107),"0")+IFERROR(IF(Z108="",0,Z108),"0")</f>
        <v>0.13103999999999999</v>
      </c>
      <c r="AA109" s="271"/>
      <c r="AB109" s="271"/>
      <c r="AC109" s="271"/>
    </row>
    <row r="110" spans="1:68" x14ac:dyDescent="0.2">
      <c r="A110" s="277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303"/>
      <c r="P110" s="286" t="s">
        <v>82</v>
      </c>
      <c r="Q110" s="287"/>
      <c r="R110" s="287"/>
      <c r="S110" s="287"/>
      <c r="T110" s="287"/>
      <c r="U110" s="287"/>
      <c r="V110" s="288"/>
      <c r="W110" s="37" t="s">
        <v>83</v>
      </c>
      <c r="X110" s="270">
        <f>IFERROR(SUMPRODUCT(X107:X108*H107:H108),"0")</f>
        <v>30.240000000000002</v>
      </c>
      <c r="Y110" s="270">
        <f>IFERROR(SUMPRODUCT(Y107:Y108*H107:H108),"0")</f>
        <v>30.240000000000002</v>
      </c>
      <c r="Z110" s="37"/>
      <c r="AA110" s="271"/>
      <c r="AB110" s="271"/>
      <c r="AC110" s="271"/>
    </row>
    <row r="111" spans="1:68" ht="16.5" hidden="1" customHeight="1" x14ac:dyDescent="0.25">
      <c r="A111" s="284" t="s">
        <v>184</v>
      </c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277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7"/>
      <c r="C112" s="277"/>
      <c r="D112" s="277"/>
      <c r="E112" s="27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  <c r="AA112" s="264"/>
      <c r="AB112" s="264"/>
      <c r="AC112" s="264"/>
    </row>
    <row r="113" spans="1:68" ht="27" hidden="1" customHeight="1" x14ac:dyDescent="0.25">
      <c r="A113" s="54" t="s">
        <v>185</v>
      </c>
      <c r="B113" s="54" t="s">
        <v>186</v>
      </c>
      <c r="C113" s="31">
        <v>4301071121</v>
      </c>
      <c r="D113" s="278">
        <v>4620207491393</v>
      </c>
      <c r="E113" s="279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41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96"/>
      <c r="R113" s="296"/>
      <c r="S113" s="296"/>
      <c r="T113" s="297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4301071074</v>
      </c>
      <c r="D114" s="278">
        <v>4620207491157</v>
      </c>
      <c r="E114" s="279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30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96"/>
      <c r="R114" s="296"/>
      <c r="S114" s="296"/>
      <c r="T114" s="297"/>
      <c r="U114" s="34"/>
      <c r="V114" s="34"/>
      <c r="W114" s="35" t="s">
        <v>69</v>
      </c>
      <c r="X114" s="268">
        <v>12</v>
      </c>
      <c r="Y114" s="269">
        <f t="shared" si="12"/>
        <v>12</v>
      </c>
      <c r="Z114" s="36">
        <f t="shared" si="13"/>
        <v>0.186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87.36</v>
      </c>
      <c r="BN114" s="67">
        <f t="shared" si="15"/>
        <v>87.36</v>
      </c>
      <c r="BO114" s="67">
        <f t="shared" si="16"/>
        <v>0.14285714285714285</v>
      </c>
      <c r="BP114" s="67">
        <f t="shared" si="17"/>
        <v>0.14285714285714285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8">
        <v>4607111039262</v>
      </c>
      <c r="E115" s="279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41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96"/>
      <c r="R115" s="296"/>
      <c r="S115" s="296"/>
      <c r="T115" s="297"/>
      <c r="U115" s="34"/>
      <c r="V115" s="34"/>
      <c r="W115" s="35" t="s">
        <v>69</v>
      </c>
      <c r="X115" s="268">
        <v>24</v>
      </c>
      <c r="Y115" s="269">
        <f t="shared" si="12"/>
        <v>24</v>
      </c>
      <c r="Z115" s="36">
        <f t="shared" si="13"/>
        <v>0.372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161.2704</v>
      </c>
      <c r="BN115" s="67">
        <f t="shared" si="15"/>
        <v>161.2704</v>
      </c>
      <c r="BO115" s="67">
        <f t="shared" si="16"/>
        <v>0.2857142857142857</v>
      </c>
      <c r="BP115" s="67">
        <f t="shared" si="17"/>
        <v>0.2857142857142857</v>
      </c>
    </row>
    <row r="116" spans="1:68" ht="27" hidden="1" customHeight="1" x14ac:dyDescent="0.25">
      <c r="A116" s="54" t="s">
        <v>194</v>
      </c>
      <c r="B116" s="54" t="s">
        <v>195</v>
      </c>
      <c r="C116" s="31">
        <v>4301071038</v>
      </c>
      <c r="D116" s="278">
        <v>4607111039248</v>
      </c>
      <c r="E116" s="279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43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96"/>
      <c r="R116" s="296"/>
      <c r="S116" s="296"/>
      <c r="T116" s="297"/>
      <c r="U116" s="34"/>
      <c r="V116" s="34"/>
      <c r="W116" s="35" t="s">
        <v>69</v>
      </c>
      <c r="X116" s="268">
        <v>0</v>
      </c>
      <c r="Y116" s="269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78">
        <v>4607111037145</v>
      </c>
      <c r="E117" s="279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40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96"/>
      <c r="R117" s="296"/>
      <c r="S117" s="296"/>
      <c r="T117" s="297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8">
        <v>4607111039293</v>
      </c>
      <c r="E118" s="279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40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96"/>
      <c r="R118" s="296"/>
      <c r="S118" s="296"/>
      <c r="T118" s="297"/>
      <c r="U118" s="34"/>
      <c r="V118" s="34"/>
      <c r="W118" s="35" t="s">
        <v>69</v>
      </c>
      <c r="X118" s="268">
        <v>48</v>
      </c>
      <c r="Y118" s="269">
        <f t="shared" si="12"/>
        <v>48</v>
      </c>
      <c r="Z118" s="36">
        <f t="shared" si="13"/>
        <v>0.74399999999999999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322.54079999999999</v>
      </c>
      <c r="BN118" s="67">
        <f t="shared" si="15"/>
        <v>322.54079999999999</v>
      </c>
      <c r="BO118" s="67">
        <f t="shared" si="16"/>
        <v>0.5714285714285714</v>
      </c>
      <c r="BP118" s="67">
        <f t="shared" si="17"/>
        <v>0.5714285714285714</v>
      </c>
    </row>
    <row r="119" spans="1:68" ht="27" hidden="1" customHeight="1" x14ac:dyDescent="0.25">
      <c r="A119" s="54" t="s">
        <v>201</v>
      </c>
      <c r="B119" s="54" t="s">
        <v>202</v>
      </c>
      <c r="C119" s="31">
        <v>4301071039</v>
      </c>
      <c r="D119" s="278">
        <v>4607111039279</v>
      </c>
      <c r="E119" s="279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41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96"/>
      <c r="R119" s="296"/>
      <c r="S119" s="296"/>
      <c r="T119" s="297"/>
      <c r="U119" s="34"/>
      <c r="V119" s="34"/>
      <c r="W119" s="35" t="s">
        <v>69</v>
      </c>
      <c r="X119" s="268">
        <v>0</v>
      </c>
      <c r="Y119" s="269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hidden="1" customHeight="1" x14ac:dyDescent="0.25">
      <c r="A120" s="54" t="s">
        <v>203</v>
      </c>
      <c r="B120" s="54" t="s">
        <v>204</v>
      </c>
      <c r="C120" s="31">
        <v>4301070978</v>
      </c>
      <c r="D120" s="278">
        <v>4607111037435</v>
      </c>
      <c r="E120" s="279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423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96"/>
      <c r="R120" s="296"/>
      <c r="S120" s="296"/>
      <c r="T120" s="297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302"/>
      <c r="B121" s="277"/>
      <c r="C121" s="277"/>
      <c r="D121" s="277"/>
      <c r="E121" s="277"/>
      <c r="F121" s="277"/>
      <c r="G121" s="277"/>
      <c r="H121" s="277"/>
      <c r="I121" s="277"/>
      <c r="J121" s="277"/>
      <c r="K121" s="277"/>
      <c r="L121" s="277"/>
      <c r="M121" s="277"/>
      <c r="N121" s="277"/>
      <c r="O121" s="303"/>
      <c r="P121" s="286" t="s">
        <v>82</v>
      </c>
      <c r="Q121" s="287"/>
      <c r="R121" s="287"/>
      <c r="S121" s="287"/>
      <c r="T121" s="287"/>
      <c r="U121" s="287"/>
      <c r="V121" s="288"/>
      <c r="W121" s="37" t="s">
        <v>69</v>
      </c>
      <c r="X121" s="270">
        <f>IFERROR(SUM(X113:X120),"0")</f>
        <v>84</v>
      </c>
      <c r="Y121" s="270">
        <f>IFERROR(SUM(Y113:Y120),"0")</f>
        <v>84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1.302</v>
      </c>
      <c r="AA121" s="271"/>
      <c r="AB121" s="271"/>
      <c r="AC121" s="271"/>
    </row>
    <row r="122" spans="1:68" x14ac:dyDescent="0.2">
      <c r="A122" s="277"/>
      <c r="B122" s="277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303"/>
      <c r="P122" s="286" t="s">
        <v>82</v>
      </c>
      <c r="Q122" s="287"/>
      <c r="R122" s="287"/>
      <c r="S122" s="287"/>
      <c r="T122" s="287"/>
      <c r="U122" s="287"/>
      <c r="V122" s="288"/>
      <c r="W122" s="37" t="s">
        <v>83</v>
      </c>
      <c r="X122" s="270">
        <f>IFERROR(SUMPRODUCT(X113:X120*H113:H120),"0")</f>
        <v>544.80000000000007</v>
      </c>
      <c r="Y122" s="270">
        <f>IFERROR(SUMPRODUCT(Y113:Y120*H113:H120),"0")</f>
        <v>544.80000000000007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7"/>
      <c r="C123" s="277"/>
      <c r="D123" s="277"/>
      <c r="E123" s="277"/>
      <c r="F123" s="277"/>
      <c r="G123" s="277"/>
      <c r="H123" s="277"/>
      <c r="I123" s="277"/>
      <c r="J123" s="277"/>
      <c r="K123" s="277"/>
      <c r="L123" s="277"/>
      <c r="M123" s="277"/>
      <c r="N123" s="277"/>
      <c r="O123" s="277"/>
      <c r="P123" s="277"/>
      <c r="Q123" s="277"/>
      <c r="R123" s="277"/>
      <c r="S123" s="277"/>
      <c r="T123" s="277"/>
      <c r="U123" s="277"/>
      <c r="V123" s="277"/>
      <c r="W123" s="277"/>
      <c r="X123" s="277"/>
      <c r="Y123" s="277"/>
      <c r="Z123" s="277"/>
      <c r="AA123" s="264"/>
      <c r="AB123" s="264"/>
      <c r="AC123" s="264"/>
    </row>
    <row r="124" spans="1:68" ht="27" hidden="1" customHeight="1" x14ac:dyDescent="0.25">
      <c r="A124" s="54" t="s">
        <v>206</v>
      </c>
      <c r="B124" s="54" t="s">
        <v>207</v>
      </c>
      <c r="C124" s="31">
        <v>4301135826</v>
      </c>
      <c r="D124" s="278">
        <v>4620207490983</v>
      </c>
      <c r="E124" s="279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30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96"/>
      <c r="R124" s="296"/>
      <c r="S124" s="296"/>
      <c r="T124" s="297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302"/>
      <c r="B125" s="277"/>
      <c r="C125" s="277"/>
      <c r="D125" s="277"/>
      <c r="E125" s="277"/>
      <c r="F125" s="277"/>
      <c r="G125" s="277"/>
      <c r="H125" s="277"/>
      <c r="I125" s="277"/>
      <c r="J125" s="277"/>
      <c r="K125" s="277"/>
      <c r="L125" s="277"/>
      <c r="M125" s="277"/>
      <c r="N125" s="277"/>
      <c r="O125" s="303"/>
      <c r="P125" s="286" t="s">
        <v>82</v>
      </c>
      <c r="Q125" s="287"/>
      <c r="R125" s="287"/>
      <c r="S125" s="287"/>
      <c r="T125" s="287"/>
      <c r="U125" s="287"/>
      <c r="V125" s="288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hidden="1" x14ac:dyDescent="0.2">
      <c r="A126" s="277"/>
      <c r="B126" s="277"/>
      <c r="C126" s="277"/>
      <c r="D126" s="277"/>
      <c r="E126" s="277"/>
      <c r="F126" s="277"/>
      <c r="G126" s="277"/>
      <c r="H126" s="277"/>
      <c r="I126" s="277"/>
      <c r="J126" s="277"/>
      <c r="K126" s="277"/>
      <c r="L126" s="277"/>
      <c r="M126" s="277"/>
      <c r="N126" s="277"/>
      <c r="O126" s="303"/>
      <c r="P126" s="286" t="s">
        <v>82</v>
      </c>
      <c r="Q126" s="287"/>
      <c r="R126" s="287"/>
      <c r="S126" s="287"/>
      <c r="T126" s="287"/>
      <c r="U126" s="287"/>
      <c r="V126" s="288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hidden="1" customHeight="1" x14ac:dyDescent="0.25">
      <c r="A127" s="276" t="s">
        <v>209</v>
      </c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77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  <c r="Z127" s="277"/>
      <c r="AA127" s="264"/>
      <c r="AB127" s="264"/>
      <c r="AC127" s="264"/>
    </row>
    <row r="128" spans="1:68" ht="27" hidden="1" customHeight="1" x14ac:dyDescent="0.25">
      <c r="A128" s="54" t="s">
        <v>210</v>
      </c>
      <c r="B128" s="54" t="s">
        <v>211</v>
      </c>
      <c r="C128" s="31">
        <v>4301071094</v>
      </c>
      <c r="D128" s="278">
        <v>4620207491140</v>
      </c>
      <c r="E128" s="279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34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96"/>
      <c r="R128" s="296"/>
      <c r="S128" s="296"/>
      <c r="T128" s="297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302"/>
      <c r="B129" s="277"/>
      <c r="C129" s="277"/>
      <c r="D129" s="277"/>
      <c r="E129" s="277"/>
      <c r="F129" s="277"/>
      <c r="G129" s="277"/>
      <c r="H129" s="277"/>
      <c r="I129" s="277"/>
      <c r="J129" s="277"/>
      <c r="K129" s="277"/>
      <c r="L129" s="277"/>
      <c r="M129" s="277"/>
      <c r="N129" s="277"/>
      <c r="O129" s="303"/>
      <c r="P129" s="286" t="s">
        <v>82</v>
      </c>
      <c r="Q129" s="287"/>
      <c r="R129" s="287"/>
      <c r="S129" s="287"/>
      <c r="T129" s="287"/>
      <c r="U129" s="287"/>
      <c r="V129" s="288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7"/>
      <c r="B130" s="277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303"/>
      <c r="P130" s="286" t="s">
        <v>82</v>
      </c>
      <c r="Q130" s="287"/>
      <c r="R130" s="287"/>
      <c r="S130" s="287"/>
      <c r="T130" s="287"/>
      <c r="U130" s="287"/>
      <c r="V130" s="288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4" t="s">
        <v>213</v>
      </c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77"/>
      <c r="P131" s="277"/>
      <c r="Q131" s="277"/>
      <c r="R131" s="277"/>
      <c r="S131" s="277"/>
      <c r="T131" s="277"/>
      <c r="U131" s="277"/>
      <c r="V131" s="277"/>
      <c r="W131" s="277"/>
      <c r="X131" s="277"/>
      <c r="Y131" s="277"/>
      <c r="Z131" s="277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  <c r="W132" s="277"/>
      <c r="X132" s="277"/>
      <c r="Y132" s="277"/>
      <c r="Z132" s="277"/>
      <c r="AA132" s="264"/>
      <c r="AB132" s="264"/>
      <c r="AC132" s="264"/>
    </row>
    <row r="133" spans="1:68" ht="27" hidden="1" customHeight="1" x14ac:dyDescent="0.25">
      <c r="A133" s="54" t="s">
        <v>214</v>
      </c>
      <c r="B133" s="54" t="s">
        <v>215</v>
      </c>
      <c r="C133" s="31">
        <v>4301135555</v>
      </c>
      <c r="D133" s="278">
        <v>4607111034014</v>
      </c>
      <c r="E133" s="279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33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96"/>
      <c r="R133" s="296"/>
      <c r="S133" s="296"/>
      <c r="T133" s="297"/>
      <c r="U133" s="34"/>
      <c r="V133" s="34"/>
      <c r="W133" s="35" t="s">
        <v>69</v>
      </c>
      <c r="X133" s="268">
        <v>0</v>
      </c>
      <c r="Y133" s="269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8">
        <v>4607111033994</v>
      </c>
      <c r="E134" s="279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30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96"/>
      <c r="R134" s="296"/>
      <c r="S134" s="296"/>
      <c r="T134" s="297"/>
      <c r="U134" s="34"/>
      <c r="V134" s="34"/>
      <c r="W134" s="35" t="s">
        <v>69</v>
      </c>
      <c r="X134" s="268">
        <v>14</v>
      </c>
      <c r="Y134" s="269">
        <f>IFERROR(IF(X134="","",X134),"")</f>
        <v>14</v>
      </c>
      <c r="Z134" s="36">
        <f>IFERROR(IF(X134="","",X134*0.01788),"")</f>
        <v>0.25031999999999999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51.850399999999993</v>
      </c>
      <c r="BN134" s="67">
        <f>IFERROR(Y134*I134,"0")</f>
        <v>51.850399999999993</v>
      </c>
      <c r="BO134" s="67">
        <f>IFERROR(X134/J134,"0")</f>
        <v>0.2</v>
      </c>
      <c r="BP134" s="67">
        <f>IFERROR(Y134/J134,"0")</f>
        <v>0.2</v>
      </c>
    </row>
    <row r="135" spans="1:68" x14ac:dyDescent="0.2">
      <c r="A135" s="302"/>
      <c r="B135" s="277"/>
      <c r="C135" s="277"/>
      <c r="D135" s="277"/>
      <c r="E135" s="277"/>
      <c r="F135" s="277"/>
      <c r="G135" s="277"/>
      <c r="H135" s="277"/>
      <c r="I135" s="277"/>
      <c r="J135" s="277"/>
      <c r="K135" s="277"/>
      <c r="L135" s="277"/>
      <c r="M135" s="277"/>
      <c r="N135" s="277"/>
      <c r="O135" s="303"/>
      <c r="P135" s="286" t="s">
        <v>82</v>
      </c>
      <c r="Q135" s="287"/>
      <c r="R135" s="287"/>
      <c r="S135" s="287"/>
      <c r="T135" s="287"/>
      <c r="U135" s="287"/>
      <c r="V135" s="288"/>
      <c r="W135" s="37" t="s">
        <v>69</v>
      </c>
      <c r="X135" s="270">
        <f>IFERROR(SUM(X133:X134),"0")</f>
        <v>14</v>
      </c>
      <c r="Y135" s="270">
        <f>IFERROR(SUM(Y133:Y134),"0")</f>
        <v>14</v>
      </c>
      <c r="Z135" s="270">
        <f>IFERROR(IF(Z133="",0,Z133),"0")+IFERROR(IF(Z134="",0,Z134),"0")</f>
        <v>0.25031999999999999</v>
      </c>
      <c r="AA135" s="271"/>
      <c r="AB135" s="271"/>
      <c r="AC135" s="271"/>
    </row>
    <row r="136" spans="1:68" x14ac:dyDescent="0.2">
      <c r="A136" s="277"/>
      <c r="B136" s="277"/>
      <c r="C136" s="277"/>
      <c r="D136" s="277"/>
      <c r="E136" s="277"/>
      <c r="F136" s="277"/>
      <c r="G136" s="277"/>
      <c r="H136" s="277"/>
      <c r="I136" s="277"/>
      <c r="J136" s="277"/>
      <c r="K136" s="277"/>
      <c r="L136" s="277"/>
      <c r="M136" s="277"/>
      <c r="N136" s="277"/>
      <c r="O136" s="303"/>
      <c r="P136" s="286" t="s">
        <v>82</v>
      </c>
      <c r="Q136" s="287"/>
      <c r="R136" s="287"/>
      <c r="S136" s="287"/>
      <c r="T136" s="287"/>
      <c r="U136" s="287"/>
      <c r="V136" s="288"/>
      <c r="W136" s="37" t="s">
        <v>83</v>
      </c>
      <c r="X136" s="270">
        <f>IFERROR(SUMPRODUCT(X133:X134*H133:H134),"0")</f>
        <v>42</v>
      </c>
      <c r="Y136" s="270">
        <f>IFERROR(SUMPRODUCT(Y133:Y134*H133:H134),"0")</f>
        <v>42</v>
      </c>
      <c r="Z136" s="37"/>
      <c r="AA136" s="271"/>
      <c r="AB136" s="271"/>
      <c r="AC136" s="271"/>
    </row>
    <row r="137" spans="1:68" ht="16.5" hidden="1" customHeight="1" x14ac:dyDescent="0.25">
      <c r="A137" s="284" t="s">
        <v>221</v>
      </c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77"/>
      <c r="P137" s="277"/>
      <c r="Q137" s="277"/>
      <c r="R137" s="277"/>
      <c r="S137" s="277"/>
      <c r="T137" s="277"/>
      <c r="U137" s="277"/>
      <c r="V137" s="277"/>
      <c r="W137" s="277"/>
      <c r="X137" s="277"/>
      <c r="Y137" s="277"/>
      <c r="Z137" s="277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7"/>
      <c r="P138" s="277"/>
      <c r="Q138" s="277"/>
      <c r="R138" s="277"/>
      <c r="S138" s="277"/>
      <c r="T138" s="277"/>
      <c r="U138" s="277"/>
      <c r="V138" s="277"/>
      <c r="W138" s="277"/>
      <c r="X138" s="277"/>
      <c r="Y138" s="277"/>
      <c r="Z138" s="277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8">
        <v>4607111039095</v>
      </c>
      <c r="E139" s="279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34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96"/>
      <c r="R139" s="296"/>
      <c r="S139" s="296"/>
      <c r="T139" s="297"/>
      <c r="U139" s="34"/>
      <c r="V139" s="34"/>
      <c r="W139" s="35" t="s">
        <v>69</v>
      </c>
      <c r="X139" s="268">
        <v>14</v>
      </c>
      <c r="Y139" s="269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52.472000000000001</v>
      </c>
      <c r="BN139" s="67">
        <f>IFERROR(Y139*I139,"0")</f>
        <v>52.472000000000001</v>
      </c>
      <c r="BO139" s="67">
        <f>IFERROR(X139/J139,"0")</f>
        <v>0.2</v>
      </c>
      <c r="BP139" s="67">
        <f>IFERROR(Y139/J139,"0")</f>
        <v>0.2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8">
        <v>4607111034199</v>
      </c>
      <c r="E140" s="279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9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96"/>
      <c r="R140" s="296"/>
      <c r="S140" s="296"/>
      <c r="T140" s="297"/>
      <c r="U140" s="34"/>
      <c r="V140" s="34"/>
      <c r="W140" s="35" t="s">
        <v>69</v>
      </c>
      <c r="X140" s="268">
        <v>56</v>
      </c>
      <c r="Y140" s="269">
        <f>IFERROR(IF(X140="","",X140),"")</f>
        <v>56</v>
      </c>
      <c r="Z140" s="36">
        <f>IFERROR(IF(X140="","",X140*0.01788),"")</f>
        <v>1.0012799999999999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207.40159999999997</v>
      </c>
      <c r="BN140" s="67">
        <f>IFERROR(Y140*I140,"0")</f>
        <v>207.40159999999997</v>
      </c>
      <c r="BO140" s="67">
        <f>IFERROR(X140/J140,"0")</f>
        <v>0.8</v>
      </c>
      <c r="BP140" s="67">
        <f>IFERROR(Y140/J140,"0")</f>
        <v>0.8</v>
      </c>
    </row>
    <row r="141" spans="1:68" x14ac:dyDescent="0.2">
      <c r="A141" s="302"/>
      <c r="B141" s="277"/>
      <c r="C141" s="277"/>
      <c r="D141" s="277"/>
      <c r="E141" s="277"/>
      <c r="F141" s="277"/>
      <c r="G141" s="277"/>
      <c r="H141" s="277"/>
      <c r="I141" s="277"/>
      <c r="J141" s="277"/>
      <c r="K141" s="277"/>
      <c r="L141" s="277"/>
      <c r="M141" s="277"/>
      <c r="N141" s="277"/>
      <c r="O141" s="303"/>
      <c r="P141" s="286" t="s">
        <v>82</v>
      </c>
      <c r="Q141" s="287"/>
      <c r="R141" s="287"/>
      <c r="S141" s="287"/>
      <c r="T141" s="287"/>
      <c r="U141" s="287"/>
      <c r="V141" s="288"/>
      <c r="W141" s="37" t="s">
        <v>69</v>
      </c>
      <c r="X141" s="270">
        <f>IFERROR(SUM(X139:X140),"0")</f>
        <v>70</v>
      </c>
      <c r="Y141" s="270">
        <f>IFERROR(SUM(Y139:Y140),"0")</f>
        <v>70</v>
      </c>
      <c r="Z141" s="270">
        <f>IFERROR(IF(Z139="",0,Z139),"0")+IFERROR(IF(Z140="",0,Z140),"0")</f>
        <v>1.2515999999999998</v>
      </c>
      <c r="AA141" s="271"/>
      <c r="AB141" s="271"/>
      <c r="AC141" s="271"/>
    </row>
    <row r="142" spans="1:68" x14ac:dyDescent="0.2">
      <c r="A142" s="277"/>
      <c r="B142" s="277"/>
      <c r="C142" s="277"/>
      <c r="D142" s="277"/>
      <c r="E142" s="277"/>
      <c r="F142" s="277"/>
      <c r="G142" s="277"/>
      <c r="H142" s="277"/>
      <c r="I142" s="277"/>
      <c r="J142" s="277"/>
      <c r="K142" s="277"/>
      <c r="L142" s="277"/>
      <c r="M142" s="277"/>
      <c r="N142" s="277"/>
      <c r="O142" s="303"/>
      <c r="P142" s="286" t="s">
        <v>82</v>
      </c>
      <c r="Q142" s="287"/>
      <c r="R142" s="287"/>
      <c r="S142" s="287"/>
      <c r="T142" s="287"/>
      <c r="U142" s="287"/>
      <c r="V142" s="288"/>
      <c r="W142" s="37" t="s">
        <v>83</v>
      </c>
      <c r="X142" s="270">
        <f>IFERROR(SUMPRODUCT(X139:X140*H139:H140),"0")</f>
        <v>210</v>
      </c>
      <c r="Y142" s="270">
        <f>IFERROR(SUMPRODUCT(Y139:Y140*H139:H140),"0")</f>
        <v>210</v>
      </c>
      <c r="Z142" s="37"/>
      <c r="AA142" s="271"/>
      <c r="AB142" s="271"/>
      <c r="AC142" s="271"/>
    </row>
    <row r="143" spans="1:68" ht="16.5" hidden="1" customHeight="1" x14ac:dyDescent="0.25">
      <c r="A143" s="284" t="s">
        <v>228</v>
      </c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7"/>
      <c r="P143" s="277"/>
      <c r="Q143" s="277"/>
      <c r="R143" s="277"/>
      <c r="S143" s="277"/>
      <c r="T143" s="277"/>
      <c r="U143" s="277"/>
      <c r="V143" s="277"/>
      <c r="W143" s="277"/>
      <c r="X143" s="277"/>
      <c r="Y143" s="277"/>
      <c r="Z143" s="277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7"/>
      <c r="P144" s="277"/>
      <c r="Q144" s="277"/>
      <c r="R144" s="277"/>
      <c r="S144" s="277"/>
      <c r="T144" s="277"/>
      <c r="U144" s="277"/>
      <c r="V144" s="277"/>
      <c r="W144" s="277"/>
      <c r="X144" s="277"/>
      <c r="Y144" s="277"/>
      <c r="Z144" s="277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8">
        <v>4620207490914</v>
      </c>
      <c r="E145" s="279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44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96"/>
      <c r="R145" s="296"/>
      <c r="S145" s="296"/>
      <c r="T145" s="297"/>
      <c r="U145" s="34"/>
      <c r="V145" s="34"/>
      <c r="W145" s="35" t="s">
        <v>69</v>
      </c>
      <c r="X145" s="268">
        <v>42</v>
      </c>
      <c r="Y145" s="269">
        <f>IFERROR(IF(X145="","",X145),"")</f>
        <v>42</v>
      </c>
      <c r="Z145" s="36">
        <f>IFERROR(IF(X145="","",X145*0.01788),"")</f>
        <v>0.75095999999999996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112.56</v>
      </c>
      <c r="BN145" s="67">
        <f>IFERROR(Y145*I145,"0")</f>
        <v>112.56</v>
      </c>
      <c r="BO145" s="67">
        <f>IFERROR(X145/J145,"0")</f>
        <v>0.6</v>
      </c>
      <c r="BP145" s="67">
        <f>IFERROR(Y145/J145,"0")</f>
        <v>0.6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8">
        <v>4620207490853</v>
      </c>
      <c r="E146" s="279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33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96"/>
      <c r="R146" s="296"/>
      <c r="S146" s="296"/>
      <c r="T146" s="297"/>
      <c r="U146" s="34"/>
      <c r="V146" s="34"/>
      <c r="W146" s="35" t="s">
        <v>69</v>
      </c>
      <c r="X146" s="268">
        <v>42</v>
      </c>
      <c r="Y146" s="269">
        <f>IFERROR(IF(X146="","",X146),"")</f>
        <v>42</v>
      </c>
      <c r="Z146" s="36">
        <f>IFERROR(IF(X146="","",X146*0.01788),"")</f>
        <v>0.75095999999999996</v>
      </c>
      <c r="AA146" s="56"/>
      <c r="AB146" s="57"/>
      <c r="AC146" s="176" t="s">
        <v>216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112.56</v>
      </c>
      <c r="BN146" s="67">
        <f>IFERROR(Y146*I146,"0")</f>
        <v>112.56</v>
      </c>
      <c r="BO146" s="67">
        <f>IFERROR(X146/J146,"0")</f>
        <v>0.6</v>
      </c>
      <c r="BP146" s="67">
        <f>IFERROR(Y146/J146,"0")</f>
        <v>0.6</v>
      </c>
    </row>
    <row r="147" spans="1:68" x14ac:dyDescent="0.2">
      <c r="A147" s="302"/>
      <c r="B147" s="277"/>
      <c r="C147" s="277"/>
      <c r="D147" s="277"/>
      <c r="E147" s="277"/>
      <c r="F147" s="277"/>
      <c r="G147" s="277"/>
      <c r="H147" s="277"/>
      <c r="I147" s="277"/>
      <c r="J147" s="277"/>
      <c r="K147" s="277"/>
      <c r="L147" s="277"/>
      <c r="M147" s="277"/>
      <c r="N147" s="277"/>
      <c r="O147" s="303"/>
      <c r="P147" s="286" t="s">
        <v>82</v>
      </c>
      <c r="Q147" s="287"/>
      <c r="R147" s="287"/>
      <c r="S147" s="287"/>
      <c r="T147" s="287"/>
      <c r="U147" s="287"/>
      <c r="V147" s="288"/>
      <c r="W147" s="37" t="s">
        <v>69</v>
      </c>
      <c r="X147" s="270">
        <f>IFERROR(SUM(X145:X146),"0")</f>
        <v>84</v>
      </c>
      <c r="Y147" s="270">
        <f>IFERROR(SUM(Y145:Y146),"0")</f>
        <v>84</v>
      </c>
      <c r="Z147" s="270">
        <f>IFERROR(IF(Z145="",0,Z145),"0")+IFERROR(IF(Z146="",0,Z146),"0")</f>
        <v>1.5019199999999999</v>
      </c>
      <c r="AA147" s="271"/>
      <c r="AB147" s="271"/>
      <c r="AC147" s="271"/>
    </row>
    <row r="148" spans="1:68" x14ac:dyDescent="0.2">
      <c r="A148" s="277"/>
      <c r="B148" s="277"/>
      <c r="C148" s="277"/>
      <c r="D148" s="277"/>
      <c r="E148" s="277"/>
      <c r="F148" s="277"/>
      <c r="G148" s="277"/>
      <c r="H148" s="277"/>
      <c r="I148" s="277"/>
      <c r="J148" s="277"/>
      <c r="K148" s="277"/>
      <c r="L148" s="277"/>
      <c r="M148" s="277"/>
      <c r="N148" s="277"/>
      <c r="O148" s="303"/>
      <c r="P148" s="286" t="s">
        <v>82</v>
      </c>
      <c r="Q148" s="287"/>
      <c r="R148" s="287"/>
      <c r="S148" s="287"/>
      <c r="T148" s="287"/>
      <c r="U148" s="287"/>
      <c r="V148" s="288"/>
      <c r="W148" s="37" t="s">
        <v>83</v>
      </c>
      <c r="X148" s="270">
        <f>IFERROR(SUMPRODUCT(X145:X146*H145:H146),"0")</f>
        <v>201.6</v>
      </c>
      <c r="Y148" s="270">
        <f>IFERROR(SUMPRODUCT(Y145:Y146*H145:H146),"0")</f>
        <v>201.6</v>
      </c>
      <c r="Z148" s="37"/>
      <c r="AA148" s="271"/>
      <c r="AB148" s="271"/>
      <c r="AC148" s="271"/>
    </row>
    <row r="149" spans="1:68" ht="16.5" hidden="1" customHeight="1" x14ac:dyDescent="0.25">
      <c r="A149" s="284" t="s">
        <v>233</v>
      </c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77"/>
      <c r="P149" s="277"/>
      <c r="Q149" s="277"/>
      <c r="R149" s="277"/>
      <c r="S149" s="277"/>
      <c r="T149" s="277"/>
      <c r="U149" s="277"/>
      <c r="V149" s="277"/>
      <c r="W149" s="277"/>
      <c r="X149" s="277"/>
      <c r="Y149" s="277"/>
      <c r="Z149" s="277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7"/>
      <c r="C150" s="277"/>
      <c r="D150" s="277"/>
      <c r="E150" s="277"/>
      <c r="F150" s="277"/>
      <c r="G150" s="277"/>
      <c r="H150" s="277"/>
      <c r="I150" s="277"/>
      <c r="J150" s="277"/>
      <c r="K150" s="277"/>
      <c r="L150" s="277"/>
      <c r="M150" s="277"/>
      <c r="N150" s="277"/>
      <c r="O150" s="277"/>
      <c r="P150" s="277"/>
      <c r="Q150" s="277"/>
      <c r="R150" s="277"/>
      <c r="S150" s="277"/>
      <c r="T150" s="277"/>
      <c r="U150" s="277"/>
      <c r="V150" s="277"/>
      <c r="W150" s="277"/>
      <c r="X150" s="277"/>
      <c r="Y150" s="277"/>
      <c r="Z150" s="277"/>
      <c r="AA150" s="264"/>
      <c r="AB150" s="264"/>
      <c r="AC150" s="264"/>
    </row>
    <row r="151" spans="1:68" ht="27" hidden="1" customHeight="1" x14ac:dyDescent="0.25">
      <c r="A151" s="54" t="s">
        <v>234</v>
      </c>
      <c r="B151" s="54" t="s">
        <v>235</v>
      </c>
      <c r="C151" s="31">
        <v>4301135570</v>
      </c>
      <c r="D151" s="278">
        <v>4607111035806</v>
      </c>
      <c r="E151" s="279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30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96"/>
      <c r="R151" s="296"/>
      <c r="S151" s="296"/>
      <c r="T151" s="297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302"/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  <c r="M152" s="277"/>
      <c r="N152" s="277"/>
      <c r="O152" s="303"/>
      <c r="P152" s="286" t="s">
        <v>82</v>
      </c>
      <c r="Q152" s="287"/>
      <c r="R152" s="287"/>
      <c r="S152" s="287"/>
      <c r="T152" s="287"/>
      <c r="U152" s="287"/>
      <c r="V152" s="288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hidden="1" x14ac:dyDescent="0.2">
      <c r="A153" s="277"/>
      <c r="B153" s="277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77"/>
      <c r="O153" s="303"/>
      <c r="P153" s="286" t="s">
        <v>82</v>
      </c>
      <c r="Q153" s="287"/>
      <c r="R153" s="287"/>
      <c r="S153" s="287"/>
      <c r="T153" s="287"/>
      <c r="U153" s="287"/>
      <c r="V153" s="288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hidden="1" customHeight="1" x14ac:dyDescent="0.25">
      <c r="A154" s="284" t="s">
        <v>237</v>
      </c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7"/>
      <c r="P154" s="277"/>
      <c r="Q154" s="277"/>
      <c r="R154" s="277"/>
      <c r="S154" s="277"/>
      <c r="T154" s="277"/>
      <c r="U154" s="277"/>
      <c r="V154" s="277"/>
      <c r="W154" s="277"/>
      <c r="X154" s="277"/>
      <c r="Y154" s="277"/>
      <c r="Z154" s="277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7"/>
      <c r="C155" s="277"/>
      <c r="D155" s="277"/>
      <c r="E155" s="277"/>
      <c r="F155" s="277"/>
      <c r="G155" s="277"/>
      <c r="H155" s="277"/>
      <c r="I155" s="277"/>
      <c r="J155" s="277"/>
      <c r="K155" s="277"/>
      <c r="L155" s="277"/>
      <c r="M155" s="277"/>
      <c r="N155" s="277"/>
      <c r="O155" s="277"/>
      <c r="P155" s="277"/>
      <c r="Q155" s="277"/>
      <c r="R155" s="277"/>
      <c r="S155" s="277"/>
      <c r="T155" s="277"/>
      <c r="U155" s="277"/>
      <c r="V155" s="277"/>
      <c r="W155" s="277"/>
      <c r="X155" s="277"/>
      <c r="Y155" s="277"/>
      <c r="Z155" s="277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78">
        <v>4607111039613</v>
      </c>
      <c r="E156" s="279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67</v>
      </c>
      <c r="M156" s="33" t="s">
        <v>68</v>
      </c>
      <c r="N156" s="33"/>
      <c r="O156" s="32">
        <v>180</v>
      </c>
      <c r="P156" s="35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96"/>
      <c r="R156" s="296"/>
      <c r="S156" s="296"/>
      <c r="T156" s="297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71</v>
      </c>
      <c r="AK156" s="71">
        <v>1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302"/>
      <c r="B157" s="277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277"/>
      <c r="O157" s="303"/>
      <c r="P157" s="286" t="s">
        <v>82</v>
      </c>
      <c r="Q157" s="287"/>
      <c r="R157" s="287"/>
      <c r="S157" s="287"/>
      <c r="T157" s="287"/>
      <c r="U157" s="287"/>
      <c r="V157" s="288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7"/>
      <c r="B158" s="277"/>
      <c r="C158" s="277"/>
      <c r="D158" s="277"/>
      <c r="E158" s="277"/>
      <c r="F158" s="277"/>
      <c r="G158" s="277"/>
      <c r="H158" s="277"/>
      <c r="I158" s="277"/>
      <c r="J158" s="277"/>
      <c r="K158" s="277"/>
      <c r="L158" s="277"/>
      <c r="M158" s="277"/>
      <c r="N158" s="277"/>
      <c r="O158" s="303"/>
      <c r="P158" s="286" t="s">
        <v>82</v>
      </c>
      <c r="Q158" s="287"/>
      <c r="R158" s="287"/>
      <c r="S158" s="287"/>
      <c r="T158" s="287"/>
      <c r="U158" s="287"/>
      <c r="V158" s="288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4" t="s">
        <v>240</v>
      </c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7"/>
      <c r="P159" s="277"/>
      <c r="Q159" s="277"/>
      <c r="R159" s="277"/>
      <c r="S159" s="277"/>
      <c r="T159" s="277"/>
      <c r="U159" s="277"/>
      <c r="V159" s="277"/>
      <c r="W159" s="277"/>
      <c r="X159" s="277"/>
      <c r="Y159" s="277"/>
      <c r="Z159" s="277"/>
      <c r="AA159" s="263"/>
      <c r="AB159" s="263"/>
      <c r="AC159" s="263"/>
    </row>
    <row r="160" spans="1:68" ht="14.25" hidden="1" customHeight="1" x14ac:dyDescent="0.25">
      <c r="A160" s="276" t="s">
        <v>209</v>
      </c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  <c r="W160" s="277"/>
      <c r="X160" s="277"/>
      <c r="Y160" s="277"/>
      <c r="Z160" s="277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78">
        <v>4607111035646</v>
      </c>
      <c r="E161" s="279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7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96"/>
      <c r="R161" s="296"/>
      <c r="S161" s="296"/>
      <c r="T161" s="297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302"/>
      <c r="B162" s="277"/>
      <c r="C162" s="277"/>
      <c r="D162" s="277"/>
      <c r="E162" s="277"/>
      <c r="F162" s="277"/>
      <c r="G162" s="277"/>
      <c r="H162" s="277"/>
      <c r="I162" s="277"/>
      <c r="J162" s="277"/>
      <c r="K162" s="277"/>
      <c r="L162" s="277"/>
      <c r="M162" s="277"/>
      <c r="N162" s="277"/>
      <c r="O162" s="303"/>
      <c r="P162" s="286" t="s">
        <v>82</v>
      </c>
      <c r="Q162" s="287"/>
      <c r="R162" s="287"/>
      <c r="S162" s="287"/>
      <c r="T162" s="287"/>
      <c r="U162" s="287"/>
      <c r="V162" s="288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7"/>
      <c r="B163" s="277"/>
      <c r="C163" s="277"/>
      <c r="D163" s="277"/>
      <c r="E163" s="277"/>
      <c r="F163" s="277"/>
      <c r="G163" s="277"/>
      <c r="H163" s="277"/>
      <c r="I163" s="277"/>
      <c r="J163" s="277"/>
      <c r="K163" s="277"/>
      <c r="L163" s="277"/>
      <c r="M163" s="277"/>
      <c r="N163" s="277"/>
      <c r="O163" s="303"/>
      <c r="P163" s="286" t="s">
        <v>82</v>
      </c>
      <c r="Q163" s="287"/>
      <c r="R163" s="287"/>
      <c r="S163" s="287"/>
      <c r="T163" s="287"/>
      <c r="U163" s="287"/>
      <c r="V163" s="288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4" t="s">
        <v>245</v>
      </c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77"/>
      <c r="P164" s="277"/>
      <c r="Q164" s="277"/>
      <c r="R164" s="277"/>
      <c r="S164" s="277"/>
      <c r="T164" s="277"/>
      <c r="U164" s="277"/>
      <c r="V164" s="277"/>
      <c r="W164" s="277"/>
      <c r="X164" s="277"/>
      <c r="Y164" s="277"/>
      <c r="Z164" s="277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7"/>
      <c r="C165" s="277"/>
      <c r="D165" s="277"/>
      <c r="E165" s="277"/>
      <c r="F165" s="277"/>
      <c r="G165" s="277"/>
      <c r="H165" s="277"/>
      <c r="I165" s="277"/>
      <c r="J165" s="277"/>
      <c r="K165" s="277"/>
      <c r="L165" s="277"/>
      <c r="M165" s="277"/>
      <c r="N165" s="277"/>
      <c r="O165" s="277"/>
      <c r="P165" s="277"/>
      <c r="Q165" s="277"/>
      <c r="R165" s="277"/>
      <c r="S165" s="277"/>
      <c r="T165" s="277"/>
      <c r="U165" s="277"/>
      <c r="V165" s="277"/>
      <c r="W165" s="277"/>
      <c r="X165" s="277"/>
      <c r="Y165" s="277"/>
      <c r="Z165" s="277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8">
        <v>4607111036568</v>
      </c>
      <c r="E166" s="279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43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96"/>
      <c r="R166" s="296"/>
      <c r="S166" s="296"/>
      <c r="T166" s="297"/>
      <c r="U166" s="34"/>
      <c r="V166" s="34"/>
      <c r="W166" s="35" t="s">
        <v>69</v>
      </c>
      <c r="X166" s="268">
        <v>84</v>
      </c>
      <c r="Y166" s="269">
        <f>IFERROR(IF(X166="","",X166),"")</f>
        <v>84</v>
      </c>
      <c r="Z166" s="36">
        <f>IFERROR(IF(X166="","",X166*0.00941),"")</f>
        <v>0.79044000000000003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176.55119999999999</v>
      </c>
      <c r="BN166" s="67">
        <f>IFERROR(Y166*I166,"0")</f>
        <v>176.55119999999999</v>
      </c>
      <c r="BO166" s="67">
        <f>IFERROR(X166/J166,"0")</f>
        <v>0.6</v>
      </c>
      <c r="BP166" s="67">
        <f>IFERROR(Y166/J166,"0")</f>
        <v>0.6</v>
      </c>
    </row>
    <row r="167" spans="1:68" x14ac:dyDescent="0.2">
      <c r="A167" s="302"/>
      <c r="B167" s="277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77"/>
      <c r="O167" s="303"/>
      <c r="P167" s="286" t="s">
        <v>82</v>
      </c>
      <c r="Q167" s="287"/>
      <c r="R167" s="287"/>
      <c r="S167" s="287"/>
      <c r="T167" s="287"/>
      <c r="U167" s="287"/>
      <c r="V167" s="288"/>
      <c r="W167" s="37" t="s">
        <v>69</v>
      </c>
      <c r="X167" s="270">
        <f>IFERROR(SUM(X166:X166),"0")</f>
        <v>84</v>
      </c>
      <c r="Y167" s="270">
        <f>IFERROR(SUM(Y166:Y166),"0")</f>
        <v>84</v>
      </c>
      <c r="Z167" s="270">
        <f>IFERROR(IF(Z166="",0,Z166),"0")</f>
        <v>0.79044000000000003</v>
      </c>
      <c r="AA167" s="271"/>
      <c r="AB167" s="271"/>
      <c r="AC167" s="271"/>
    </row>
    <row r="168" spans="1:68" x14ac:dyDescent="0.2">
      <c r="A168" s="277"/>
      <c r="B168" s="277"/>
      <c r="C168" s="277"/>
      <c r="D168" s="277"/>
      <c r="E168" s="277"/>
      <c r="F168" s="277"/>
      <c r="G168" s="277"/>
      <c r="H168" s="277"/>
      <c r="I168" s="277"/>
      <c r="J168" s="277"/>
      <c r="K168" s="277"/>
      <c r="L168" s="277"/>
      <c r="M168" s="277"/>
      <c r="N168" s="277"/>
      <c r="O168" s="303"/>
      <c r="P168" s="286" t="s">
        <v>82</v>
      </c>
      <c r="Q168" s="287"/>
      <c r="R168" s="287"/>
      <c r="S168" s="287"/>
      <c r="T168" s="287"/>
      <c r="U168" s="287"/>
      <c r="V168" s="288"/>
      <c r="W168" s="37" t="s">
        <v>83</v>
      </c>
      <c r="X168" s="270">
        <f>IFERROR(SUMPRODUCT(X166:X166*H166:H166),"0")</f>
        <v>141.12</v>
      </c>
      <c r="Y168" s="270">
        <f>IFERROR(SUMPRODUCT(Y166:Y166*H166:H166),"0")</f>
        <v>141.12</v>
      </c>
      <c r="Z168" s="37"/>
      <c r="AA168" s="271"/>
      <c r="AB168" s="271"/>
      <c r="AC168" s="271"/>
    </row>
    <row r="169" spans="1:68" ht="27.75" hidden="1" customHeight="1" x14ac:dyDescent="0.2">
      <c r="A169" s="274" t="s">
        <v>249</v>
      </c>
      <c r="B169" s="275"/>
      <c r="C169" s="275"/>
      <c r="D169" s="275"/>
      <c r="E169" s="275"/>
      <c r="F169" s="275"/>
      <c r="G169" s="275"/>
      <c r="H169" s="275"/>
      <c r="I169" s="275"/>
      <c r="J169" s="275"/>
      <c r="K169" s="275"/>
      <c r="L169" s="275"/>
      <c r="M169" s="275"/>
      <c r="N169" s="275"/>
      <c r="O169" s="275"/>
      <c r="P169" s="275"/>
      <c r="Q169" s="275"/>
      <c r="R169" s="275"/>
      <c r="S169" s="275"/>
      <c r="T169" s="275"/>
      <c r="U169" s="275"/>
      <c r="V169" s="275"/>
      <c r="W169" s="275"/>
      <c r="X169" s="275"/>
      <c r="Y169" s="275"/>
      <c r="Z169" s="275"/>
      <c r="AA169" s="48"/>
      <c r="AB169" s="48"/>
      <c r="AC169" s="48"/>
    </row>
    <row r="170" spans="1:68" ht="16.5" hidden="1" customHeight="1" x14ac:dyDescent="0.25">
      <c r="A170" s="284" t="s">
        <v>250</v>
      </c>
      <c r="B170" s="277"/>
      <c r="C170" s="277"/>
      <c r="D170" s="277"/>
      <c r="E170" s="277"/>
      <c r="F170" s="277"/>
      <c r="G170" s="277"/>
      <c r="H170" s="277"/>
      <c r="I170" s="277"/>
      <c r="J170" s="277"/>
      <c r="K170" s="277"/>
      <c r="L170" s="277"/>
      <c r="M170" s="277"/>
      <c r="N170" s="277"/>
      <c r="O170" s="277"/>
      <c r="P170" s="277"/>
      <c r="Q170" s="277"/>
      <c r="R170" s="277"/>
      <c r="S170" s="277"/>
      <c r="T170" s="277"/>
      <c r="U170" s="277"/>
      <c r="V170" s="277"/>
      <c r="W170" s="277"/>
      <c r="X170" s="277"/>
      <c r="Y170" s="277"/>
      <c r="Z170" s="277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7"/>
      <c r="C171" s="277"/>
      <c r="D171" s="277"/>
      <c r="E171" s="277"/>
      <c r="F171" s="277"/>
      <c r="G171" s="277"/>
      <c r="H171" s="277"/>
      <c r="I171" s="277"/>
      <c r="J171" s="277"/>
      <c r="K171" s="277"/>
      <c r="L171" s="277"/>
      <c r="M171" s="277"/>
      <c r="N171" s="277"/>
      <c r="O171" s="277"/>
      <c r="P171" s="277"/>
      <c r="Q171" s="277"/>
      <c r="R171" s="277"/>
      <c r="S171" s="277"/>
      <c r="T171" s="277"/>
      <c r="U171" s="277"/>
      <c r="V171" s="277"/>
      <c r="W171" s="277"/>
      <c r="X171" s="277"/>
      <c r="Y171" s="277"/>
      <c r="Z171" s="277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78">
        <v>4607111036384</v>
      </c>
      <c r="E172" s="279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45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96"/>
      <c r="R172" s="296"/>
      <c r="S172" s="296"/>
      <c r="T172" s="297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8">
        <v>4607111036216</v>
      </c>
      <c r="E173" s="279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43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96"/>
      <c r="R173" s="296"/>
      <c r="S173" s="296"/>
      <c r="T173" s="297"/>
      <c r="U173" s="34"/>
      <c r="V173" s="34"/>
      <c r="W173" s="35" t="s">
        <v>69</v>
      </c>
      <c r="X173" s="268">
        <v>24</v>
      </c>
      <c r="Y173" s="269">
        <f>IFERROR(IF(X173="","",X173),"")</f>
        <v>24</v>
      </c>
      <c r="Z173" s="36">
        <f>IFERROR(IF(X173="","",X173*0.00866),"")</f>
        <v>0.20783999999999997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125.11679999999998</v>
      </c>
      <c r="BN173" s="67">
        <f>IFERROR(Y173*I173,"0")</f>
        <v>125.11679999999998</v>
      </c>
      <c r="BO173" s="67">
        <f>IFERROR(X173/J173,"0")</f>
        <v>0.16666666666666666</v>
      </c>
      <c r="BP173" s="67">
        <f>IFERROR(Y173/J173,"0")</f>
        <v>0.16666666666666666</v>
      </c>
    </row>
    <row r="174" spans="1:68" x14ac:dyDescent="0.2">
      <c r="A174" s="302"/>
      <c r="B174" s="277"/>
      <c r="C174" s="277"/>
      <c r="D174" s="277"/>
      <c r="E174" s="277"/>
      <c r="F174" s="277"/>
      <c r="G174" s="277"/>
      <c r="H174" s="277"/>
      <c r="I174" s="277"/>
      <c r="J174" s="277"/>
      <c r="K174" s="277"/>
      <c r="L174" s="277"/>
      <c r="M174" s="277"/>
      <c r="N174" s="277"/>
      <c r="O174" s="303"/>
      <c r="P174" s="286" t="s">
        <v>82</v>
      </c>
      <c r="Q174" s="287"/>
      <c r="R174" s="287"/>
      <c r="S174" s="287"/>
      <c r="T174" s="287"/>
      <c r="U174" s="287"/>
      <c r="V174" s="288"/>
      <c r="W174" s="37" t="s">
        <v>69</v>
      </c>
      <c r="X174" s="270">
        <f>IFERROR(SUM(X172:X173),"0")</f>
        <v>24</v>
      </c>
      <c r="Y174" s="270">
        <f>IFERROR(SUM(Y172:Y173),"0")</f>
        <v>24</v>
      </c>
      <c r="Z174" s="270">
        <f>IFERROR(IF(Z172="",0,Z172),"0")+IFERROR(IF(Z173="",0,Z173),"0")</f>
        <v>0.20783999999999997</v>
      </c>
      <c r="AA174" s="271"/>
      <c r="AB174" s="271"/>
      <c r="AC174" s="271"/>
    </row>
    <row r="175" spans="1:68" x14ac:dyDescent="0.2">
      <c r="A175" s="277"/>
      <c r="B175" s="277"/>
      <c r="C175" s="277"/>
      <c r="D175" s="277"/>
      <c r="E175" s="277"/>
      <c r="F175" s="277"/>
      <c r="G175" s="277"/>
      <c r="H175" s="277"/>
      <c r="I175" s="277"/>
      <c r="J175" s="277"/>
      <c r="K175" s="277"/>
      <c r="L175" s="277"/>
      <c r="M175" s="277"/>
      <c r="N175" s="277"/>
      <c r="O175" s="303"/>
      <c r="P175" s="286" t="s">
        <v>82</v>
      </c>
      <c r="Q175" s="287"/>
      <c r="R175" s="287"/>
      <c r="S175" s="287"/>
      <c r="T175" s="287"/>
      <c r="U175" s="287"/>
      <c r="V175" s="288"/>
      <c r="W175" s="37" t="s">
        <v>83</v>
      </c>
      <c r="X175" s="270">
        <f>IFERROR(SUMPRODUCT(X172:X173*H172:H173),"0")</f>
        <v>120</v>
      </c>
      <c r="Y175" s="270">
        <f>IFERROR(SUMPRODUCT(Y172:Y173*H172:H173),"0")</f>
        <v>120</v>
      </c>
      <c r="Z175" s="37"/>
      <c r="AA175" s="271"/>
      <c r="AB175" s="271"/>
      <c r="AC175" s="271"/>
    </row>
    <row r="176" spans="1:68" ht="27.75" hidden="1" customHeight="1" x14ac:dyDescent="0.2">
      <c r="A176" s="274" t="s">
        <v>257</v>
      </c>
      <c r="B176" s="275"/>
      <c r="C176" s="275"/>
      <c r="D176" s="275"/>
      <c r="E176" s="275"/>
      <c r="F176" s="275"/>
      <c r="G176" s="275"/>
      <c r="H176" s="275"/>
      <c r="I176" s="275"/>
      <c r="J176" s="275"/>
      <c r="K176" s="275"/>
      <c r="L176" s="275"/>
      <c r="M176" s="275"/>
      <c r="N176" s="275"/>
      <c r="O176" s="275"/>
      <c r="P176" s="275"/>
      <c r="Q176" s="275"/>
      <c r="R176" s="275"/>
      <c r="S176" s="275"/>
      <c r="T176" s="275"/>
      <c r="U176" s="275"/>
      <c r="V176" s="275"/>
      <c r="W176" s="275"/>
      <c r="X176" s="275"/>
      <c r="Y176" s="275"/>
      <c r="Z176" s="275"/>
      <c r="AA176" s="48"/>
      <c r="AB176" s="48"/>
      <c r="AC176" s="48"/>
    </row>
    <row r="177" spans="1:68" ht="16.5" hidden="1" customHeight="1" x14ac:dyDescent="0.25">
      <c r="A177" s="284" t="s">
        <v>258</v>
      </c>
      <c r="B177" s="277"/>
      <c r="C177" s="277"/>
      <c r="D177" s="277"/>
      <c r="E177" s="277"/>
      <c r="F177" s="277"/>
      <c r="G177" s="277"/>
      <c r="H177" s="277"/>
      <c r="I177" s="277"/>
      <c r="J177" s="277"/>
      <c r="K177" s="277"/>
      <c r="L177" s="277"/>
      <c r="M177" s="277"/>
      <c r="N177" s="277"/>
      <c r="O177" s="277"/>
      <c r="P177" s="277"/>
      <c r="Q177" s="277"/>
      <c r="R177" s="277"/>
      <c r="S177" s="277"/>
      <c r="T177" s="277"/>
      <c r="U177" s="277"/>
      <c r="V177" s="277"/>
      <c r="W177" s="277"/>
      <c r="X177" s="277"/>
      <c r="Y177" s="277"/>
      <c r="Z177" s="277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64"/>
      <c r="AB178" s="264"/>
      <c r="AC178" s="264"/>
    </row>
    <row r="179" spans="1:68" ht="16.5" hidden="1" customHeight="1" x14ac:dyDescent="0.25">
      <c r="A179" s="54" t="s">
        <v>259</v>
      </c>
      <c r="B179" s="54" t="s">
        <v>260</v>
      </c>
      <c r="C179" s="31">
        <v>4301132179</v>
      </c>
      <c r="D179" s="278">
        <v>4607111035691</v>
      </c>
      <c r="E179" s="279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7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96"/>
      <c r="R179" s="296"/>
      <c r="S179" s="296"/>
      <c r="T179" s="297"/>
      <c r="U179" s="34"/>
      <c r="V179" s="34"/>
      <c r="W179" s="35" t="s">
        <v>69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8">
        <v>4607111035721</v>
      </c>
      <c r="E180" s="279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40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96"/>
      <c r="R180" s="296"/>
      <c r="S180" s="296"/>
      <c r="T180" s="297"/>
      <c r="U180" s="34"/>
      <c r="V180" s="34"/>
      <c r="W180" s="35" t="s">
        <v>69</v>
      </c>
      <c r="X180" s="268">
        <v>14</v>
      </c>
      <c r="Y180" s="269">
        <f>IFERROR(IF(X180="","",X180),"")</f>
        <v>14</v>
      </c>
      <c r="Z180" s="36">
        <f>IFERROR(IF(X180="","",X180*0.01788),"")</f>
        <v>0.25031999999999999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47.432000000000002</v>
      </c>
      <c r="BN180" s="67">
        <f>IFERROR(Y180*I180,"0")</f>
        <v>47.432000000000002</v>
      </c>
      <c r="BO180" s="67">
        <f>IFERROR(X180/J180,"0")</f>
        <v>0.2</v>
      </c>
      <c r="BP180" s="67">
        <f>IFERROR(Y180/J180,"0")</f>
        <v>0.2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8">
        <v>4607111038487</v>
      </c>
      <c r="E181" s="279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33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96"/>
      <c r="R181" s="296"/>
      <c r="S181" s="296"/>
      <c r="T181" s="297"/>
      <c r="U181" s="34"/>
      <c r="V181" s="34"/>
      <c r="W181" s="35" t="s">
        <v>69</v>
      </c>
      <c r="X181" s="268">
        <v>14</v>
      </c>
      <c r="Y181" s="269">
        <f>IFERROR(IF(X181="","",X181),"")</f>
        <v>14</v>
      </c>
      <c r="Z181" s="36">
        <f>IFERROR(IF(X181="","",X181*0.01788),"")</f>
        <v>0.25031999999999999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52.304000000000002</v>
      </c>
      <c r="BN181" s="67">
        <f>IFERROR(Y181*I181,"0")</f>
        <v>52.304000000000002</v>
      </c>
      <c r="BO181" s="67">
        <f>IFERROR(X181/J181,"0")</f>
        <v>0.2</v>
      </c>
      <c r="BP181" s="67">
        <f>IFERROR(Y181/J181,"0")</f>
        <v>0.2</v>
      </c>
    </row>
    <row r="182" spans="1:68" x14ac:dyDescent="0.2">
      <c r="A182" s="302"/>
      <c r="B182" s="277"/>
      <c r="C182" s="277"/>
      <c r="D182" s="277"/>
      <c r="E182" s="277"/>
      <c r="F182" s="277"/>
      <c r="G182" s="277"/>
      <c r="H182" s="277"/>
      <c r="I182" s="277"/>
      <c r="J182" s="277"/>
      <c r="K182" s="277"/>
      <c r="L182" s="277"/>
      <c r="M182" s="277"/>
      <c r="N182" s="277"/>
      <c r="O182" s="303"/>
      <c r="P182" s="286" t="s">
        <v>82</v>
      </c>
      <c r="Q182" s="287"/>
      <c r="R182" s="287"/>
      <c r="S182" s="287"/>
      <c r="T182" s="287"/>
      <c r="U182" s="287"/>
      <c r="V182" s="288"/>
      <c r="W182" s="37" t="s">
        <v>69</v>
      </c>
      <c r="X182" s="270">
        <f>IFERROR(SUM(X179:X181),"0")</f>
        <v>28</v>
      </c>
      <c r="Y182" s="270">
        <f>IFERROR(SUM(Y179:Y181),"0")</f>
        <v>28</v>
      </c>
      <c r="Z182" s="270">
        <f>IFERROR(IF(Z179="",0,Z179),"0")+IFERROR(IF(Z180="",0,Z180),"0")+IFERROR(IF(Z181="",0,Z181),"0")</f>
        <v>0.50063999999999997</v>
      </c>
      <c r="AA182" s="271"/>
      <c r="AB182" s="271"/>
      <c r="AC182" s="271"/>
    </row>
    <row r="183" spans="1:68" x14ac:dyDescent="0.2">
      <c r="A183" s="277"/>
      <c r="B183" s="277"/>
      <c r="C183" s="277"/>
      <c r="D183" s="277"/>
      <c r="E183" s="277"/>
      <c r="F183" s="277"/>
      <c r="G183" s="277"/>
      <c r="H183" s="277"/>
      <c r="I183" s="277"/>
      <c r="J183" s="277"/>
      <c r="K183" s="277"/>
      <c r="L183" s="277"/>
      <c r="M183" s="277"/>
      <c r="N183" s="277"/>
      <c r="O183" s="303"/>
      <c r="P183" s="286" t="s">
        <v>82</v>
      </c>
      <c r="Q183" s="287"/>
      <c r="R183" s="287"/>
      <c r="S183" s="287"/>
      <c r="T183" s="287"/>
      <c r="U183" s="287"/>
      <c r="V183" s="288"/>
      <c r="W183" s="37" t="s">
        <v>83</v>
      </c>
      <c r="X183" s="270">
        <f>IFERROR(SUMPRODUCT(X179:X181*H179:H181),"0")</f>
        <v>84</v>
      </c>
      <c r="Y183" s="270">
        <f>IFERROR(SUMPRODUCT(Y179:Y181*H179:H181),"0")</f>
        <v>84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7"/>
      <c r="C184" s="277"/>
      <c r="D184" s="277"/>
      <c r="E184" s="277"/>
      <c r="F184" s="277"/>
      <c r="G184" s="277"/>
      <c r="H184" s="277"/>
      <c r="I184" s="277"/>
      <c r="J184" s="277"/>
      <c r="K184" s="277"/>
      <c r="L184" s="277"/>
      <c r="M184" s="277"/>
      <c r="N184" s="277"/>
      <c r="O184" s="277"/>
      <c r="P184" s="277"/>
      <c r="Q184" s="277"/>
      <c r="R184" s="277"/>
      <c r="S184" s="277"/>
      <c r="T184" s="277"/>
      <c r="U184" s="277"/>
      <c r="V184" s="277"/>
      <c r="W184" s="277"/>
      <c r="X184" s="277"/>
      <c r="Y184" s="277"/>
      <c r="Z184" s="277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78">
        <v>4680115885875</v>
      </c>
      <c r="E185" s="279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400" t="s">
        <v>273</v>
      </c>
      <c r="Q185" s="296"/>
      <c r="R185" s="296"/>
      <c r="S185" s="296"/>
      <c r="T185" s="297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302"/>
      <c r="B186" s="277"/>
      <c r="C186" s="277"/>
      <c r="D186" s="277"/>
      <c r="E186" s="277"/>
      <c r="F186" s="277"/>
      <c r="G186" s="277"/>
      <c r="H186" s="277"/>
      <c r="I186" s="277"/>
      <c r="J186" s="277"/>
      <c r="K186" s="277"/>
      <c r="L186" s="277"/>
      <c r="M186" s="277"/>
      <c r="N186" s="277"/>
      <c r="O186" s="303"/>
      <c r="P186" s="286" t="s">
        <v>82</v>
      </c>
      <c r="Q186" s="287"/>
      <c r="R186" s="287"/>
      <c r="S186" s="287"/>
      <c r="T186" s="287"/>
      <c r="U186" s="287"/>
      <c r="V186" s="288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7"/>
      <c r="B187" s="277"/>
      <c r="C187" s="277"/>
      <c r="D187" s="277"/>
      <c r="E187" s="277"/>
      <c r="F187" s="277"/>
      <c r="G187" s="277"/>
      <c r="H187" s="277"/>
      <c r="I187" s="277"/>
      <c r="J187" s="277"/>
      <c r="K187" s="277"/>
      <c r="L187" s="277"/>
      <c r="M187" s="277"/>
      <c r="N187" s="277"/>
      <c r="O187" s="303"/>
      <c r="P187" s="286" t="s">
        <v>82</v>
      </c>
      <c r="Q187" s="287"/>
      <c r="R187" s="287"/>
      <c r="S187" s="287"/>
      <c r="T187" s="287"/>
      <c r="U187" s="287"/>
      <c r="V187" s="288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74" t="s">
        <v>276</v>
      </c>
      <c r="B188" s="275"/>
      <c r="C188" s="275"/>
      <c r="D188" s="275"/>
      <c r="E188" s="275"/>
      <c r="F188" s="275"/>
      <c r="G188" s="275"/>
      <c r="H188" s="275"/>
      <c r="I188" s="275"/>
      <c r="J188" s="275"/>
      <c r="K188" s="275"/>
      <c r="L188" s="275"/>
      <c r="M188" s="275"/>
      <c r="N188" s="275"/>
      <c r="O188" s="275"/>
      <c r="P188" s="275"/>
      <c r="Q188" s="275"/>
      <c r="R188" s="275"/>
      <c r="S188" s="275"/>
      <c r="T188" s="275"/>
      <c r="U188" s="275"/>
      <c r="V188" s="275"/>
      <c r="W188" s="275"/>
      <c r="X188" s="275"/>
      <c r="Y188" s="275"/>
      <c r="Z188" s="275"/>
      <c r="AA188" s="48"/>
      <c r="AB188" s="48"/>
      <c r="AC188" s="48"/>
    </row>
    <row r="189" spans="1:68" ht="16.5" hidden="1" customHeight="1" x14ac:dyDescent="0.25">
      <c r="A189" s="284" t="s">
        <v>277</v>
      </c>
      <c r="B189" s="277"/>
      <c r="C189" s="277"/>
      <c r="D189" s="277"/>
      <c r="E189" s="277"/>
      <c r="F189" s="277"/>
      <c r="G189" s="277"/>
      <c r="H189" s="277"/>
      <c r="I189" s="277"/>
      <c r="J189" s="277"/>
      <c r="K189" s="277"/>
      <c r="L189" s="277"/>
      <c r="M189" s="277"/>
      <c r="N189" s="277"/>
      <c r="O189" s="277"/>
      <c r="P189" s="277"/>
      <c r="Q189" s="277"/>
      <c r="R189" s="277"/>
      <c r="S189" s="277"/>
      <c r="T189" s="277"/>
      <c r="U189" s="277"/>
      <c r="V189" s="277"/>
      <c r="W189" s="277"/>
      <c r="X189" s="277"/>
      <c r="Y189" s="277"/>
      <c r="Z189" s="277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7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  <c r="M190" s="277"/>
      <c r="N190" s="277"/>
      <c r="O190" s="277"/>
      <c r="P190" s="277"/>
      <c r="Q190" s="277"/>
      <c r="R190" s="277"/>
      <c r="S190" s="277"/>
      <c r="T190" s="277"/>
      <c r="U190" s="277"/>
      <c r="V190" s="277"/>
      <c r="W190" s="277"/>
      <c r="X190" s="277"/>
      <c r="Y190" s="277"/>
      <c r="Z190" s="277"/>
      <c r="AA190" s="264"/>
      <c r="AB190" s="264"/>
      <c r="AC190" s="264"/>
    </row>
    <row r="191" spans="1:68" ht="27" hidden="1" customHeight="1" x14ac:dyDescent="0.25">
      <c r="A191" s="54" t="s">
        <v>278</v>
      </c>
      <c r="B191" s="54" t="s">
        <v>279</v>
      </c>
      <c r="C191" s="31">
        <v>4301132227</v>
      </c>
      <c r="D191" s="278">
        <v>4620207491133</v>
      </c>
      <c r="E191" s="279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34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96"/>
      <c r="R191" s="296"/>
      <c r="S191" s="296"/>
      <c r="T191" s="297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302"/>
      <c r="B192" s="277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303"/>
      <c r="P192" s="286" t="s">
        <v>82</v>
      </c>
      <c r="Q192" s="287"/>
      <c r="R192" s="287"/>
      <c r="S192" s="287"/>
      <c r="T192" s="287"/>
      <c r="U192" s="287"/>
      <c r="V192" s="288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hidden="1" x14ac:dyDescent="0.2">
      <c r="A193" s="277"/>
      <c r="B193" s="277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303"/>
      <c r="P193" s="286" t="s">
        <v>82</v>
      </c>
      <c r="Q193" s="287"/>
      <c r="R193" s="287"/>
      <c r="S193" s="287"/>
      <c r="T193" s="287"/>
      <c r="U193" s="287"/>
      <c r="V193" s="288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7"/>
      <c r="C194" s="277"/>
      <c r="D194" s="277"/>
      <c r="E194" s="277"/>
      <c r="F194" s="277"/>
      <c r="G194" s="277"/>
      <c r="H194" s="277"/>
      <c r="I194" s="277"/>
      <c r="J194" s="277"/>
      <c r="K194" s="277"/>
      <c r="L194" s="277"/>
      <c r="M194" s="277"/>
      <c r="N194" s="277"/>
      <c r="O194" s="277"/>
      <c r="P194" s="277"/>
      <c r="Q194" s="277"/>
      <c r="R194" s="277"/>
      <c r="S194" s="277"/>
      <c r="T194" s="277"/>
      <c r="U194" s="277"/>
      <c r="V194" s="277"/>
      <c r="W194" s="277"/>
      <c r="X194" s="277"/>
      <c r="Y194" s="277"/>
      <c r="Z194" s="277"/>
      <c r="AA194" s="264"/>
      <c r="AB194" s="264"/>
      <c r="AC194" s="264"/>
    </row>
    <row r="195" spans="1:68" ht="27" hidden="1" customHeight="1" x14ac:dyDescent="0.25">
      <c r="A195" s="54" t="s">
        <v>281</v>
      </c>
      <c r="B195" s="54" t="s">
        <v>282</v>
      </c>
      <c r="C195" s="31">
        <v>4301135834</v>
      </c>
      <c r="D195" s="278">
        <v>4620207491188</v>
      </c>
      <c r="E195" s="279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4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96"/>
      <c r="R195" s="296"/>
      <c r="S195" s="296"/>
      <c r="T195" s="297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78">
        <v>4620207490198</v>
      </c>
      <c r="E196" s="279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38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96"/>
      <c r="R196" s="296"/>
      <c r="S196" s="296"/>
      <c r="T196" s="297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78">
        <v>4620207490235</v>
      </c>
      <c r="E197" s="279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402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96"/>
      <c r="R197" s="296"/>
      <c r="S197" s="296"/>
      <c r="T197" s="297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78">
        <v>4620207490259</v>
      </c>
      <c r="E198" s="279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33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96"/>
      <c r="R198" s="296"/>
      <c r="S198" s="296"/>
      <c r="T198" s="297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78">
        <v>4620207490143</v>
      </c>
      <c r="E199" s="279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31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96"/>
      <c r="R199" s="296"/>
      <c r="S199" s="296"/>
      <c r="T199" s="297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302"/>
      <c r="B200" s="277"/>
      <c r="C200" s="277"/>
      <c r="D200" s="277"/>
      <c r="E200" s="277"/>
      <c r="F200" s="277"/>
      <c r="G200" s="277"/>
      <c r="H200" s="277"/>
      <c r="I200" s="277"/>
      <c r="J200" s="277"/>
      <c r="K200" s="277"/>
      <c r="L200" s="277"/>
      <c r="M200" s="277"/>
      <c r="N200" s="277"/>
      <c r="O200" s="303"/>
      <c r="P200" s="286" t="s">
        <v>82</v>
      </c>
      <c r="Q200" s="287"/>
      <c r="R200" s="287"/>
      <c r="S200" s="287"/>
      <c r="T200" s="287"/>
      <c r="U200" s="287"/>
      <c r="V200" s="288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hidden="1" x14ac:dyDescent="0.2">
      <c r="A201" s="277"/>
      <c r="B201" s="277"/>
      <c r="C201" s="277"/>
      <c r="D201" s="277"/>
      <c r="E201" s="277"/>
      <c r="F201" s="277"/>
      <c r="G201" s="277"/>
      <c r="H201" s="277"/>
      <c r="I201" s="277"/>
      <c r="J201" s="277"/>
      <c r="K201" s="277"/>
      <c r="L201" s="277"/>
      <c r="M201" s="277"/>
      <c r="N201" s="277"/>
      <c r="O201" s="303"/>
      <c r="P201" s="286" t="s">
        <v>82</v>
      </c>
      <c r="Q201" s="287"/>
      <c r="R201" s="287"/>
      <c r="S201" s="287"/>
      <c r="T201" s="287"/>
      <c r="U201" s="287"/>
      <c r="V201" s="288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hidden="1" customHeight="1" x14ac:dyDescent="0.25">
      <c r="A202" s="284" t="s">
        <v>295</v>
      </c>
      <c r="B202" s="277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7"/>
      <c r="P202" s="277"/>
      <c r="Q202" s="277"/>
      <c r="R202" s="277"/>
      <c r="S202" s="277"/>
      <c r="T202" s="277"/>
      <c r="U202" s="277"/>
      <c r="V202" s="277"/>
      <c r="W202" s="277"/>
      <c r="X202" s="277"/>
      <c r="Y202" s="277"/>
      <c r="Z202" s="277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7"/>
      <c r="P203" s="277"/>
      <c r="Q203" s="277"/>
      <c r="R203" s="277"/>
      <c r="S203" s="277"/>
      <c r="T203" s="277"/>
      <c r="U203" s="277"/>
      <c r="V203" s="277"/>
      <c r="W203" s="277"/>
      <c r="X203" s="277"/>
      <c r="Y203" s="277"/>
      <c r="Z203" s="277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8">
        <v>4620207491096</v>
      </c>
      <c r="E204" s="279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7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96"/>
      <c r="R204" s="296"/>
      <c r="S204" s="296"/>
      <c r="T204" s="297"/>
      <c r="U204" s="34"/>
      <c r="V204" s="34"/>
      <c r="W204" s="35" t="s">
        <v>69</v>
      </c>
      <c r="X204" s="268">
        <v>48</v>
      </c>
      <c r="Y204" s="269">
        <f>IFERROR(IF(X204="","",X204),"")</f>
        <v>48</v>
      </c>
      <c r="Z204" s="36">
        <f>IFERROR(IF(X204="","",X204*0.0155),"")</f>
        <v>0.74399999999999999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251.04000000000002</v>
      </c>
      <c r="BN204" s="67">
        <f>IFERROR(Y204*I204,"0")</f>
        <v>251.04000000000002</v>
      </c>
      <c r="BO204" s="67">
        <f>IFERROR(X204/J204,"0")</f>
        <v>0.5714285714285714</v>
      </c>
      <c r="BP204" s="67">
        <f>IFERROR(Y204/J204,"0")</f>
        <v>0.5714285714285714</v>
      </c>
    </row>
    <row r="205" spans="1:68" x14ac:dyDescent="0.2">
      <c r="A205" s="302"/>
      <c r="B205" s="277"/>
      <c r="C205" s="277"/>
      <c r="D205" s="277"/>
      <c r="E205" s="277"/>
      <c r="F205" s="277"/>
      <c r="G205" s="277"/>
      <c r="H205" s="277"/>
      <c r="I205" s="277"/>
      <c r="J205" s="277"/>
      <c r="K205" s="277"/>
      <c r="L205" s="277"/>
      <c r="M205" s="277"/>
      <c r="N205" s="277"/>
      <c r="O205" s="303"/>
      <c r="P205" s="286" t="s">
        <v>82</v>
      </c>
      <c r="Q205" s="287"/>
      <c r="R205" s="287"/>
      <c r="S205" s="287"/>
      <c r="T205" s="287"/>
      <c r="U205" s="287"/>
      <c r="V205" s="288"/>
      <c r="W205" s="37" t="s">
        <v>69</v>
      </c>
      <c r="X205" s="270">
        <f>IFERROR(SUM(X204:X204),"0")</f>
        <v>48</v>
      </c>
      <c r="Y205" s="270">
        <f>IFERROR(SUM(Y204:Y204),"0")</f>
        <v>48</v>
      </c>
      <c r="Z205" s="270">
        <f>IFERROR(IF(Z204="",0,Z204),"0")</f>
        <v>0.74399999999999999</v>
      </c>
      <c r="AA205" s="271"/>
      <c r="AB205" s="271"/>
      <c r="AC205" s="271"/>
    </row>
    <row r="206" spans="1:68" x14ac:dyDescent="0.2">
      <c r="A206" s="277"/>
      <c r="B206" s="277"/>
      <c r="C206" s="277"/>
      <c r="D206" s="277"/>
      <c r="E206" s="277"/>
      <c r="F206" s="277"/>
      <c r="G206" s="277"/>
      <c r="H206" s="277"/>
      <c r="I206" s="277"/>
      <c r="J206" s="277"/>
      <c r="K206" s="277"/>
      <c r="L206" s="277"/>
      <c r="M206" s="277"/>
      <c r="N206" s="277"/>
      <c r="O206" s="303"/>
      <c r="P206" s="286" t="s">
        <v>82</v>
      </c>
      <c r="Q206" s="287"/>
      <c r="R206" s="287"/>
      <c r="S206" s="287"/>
      <c r="T206" s="287"/>
      <c r="U206" s="287"/>
      <c r="V206" s="288"/>
      <c r="W206" s="37" t="s">
        <v>83</v>
      </c>
      <c r="X206" s="270">
        <f>IFERROR(SUMPRODUCT(X204:X204*H204:H204),"0")</f>
        <v>240</v>
      </c>
      <c r="Y206" s="270">
        <f>IFERROR(SUMPRODUCT(Y204:Y204*H204:H204),"0")</f>
        <v>240</v>
      </c>
      <c r="Z206" s="37"/>
      <c r="AA206" s="271"/>
      <c r="AB206" s="271"/>
      <c r="AC206" s="271"/>
    </row>
    <row r="207" spans="1:68" ht="16.5" hidden="1" customHeight="1" x14ac:dyDescent="0.25">
      <c r="A207" s="284" t="s">
        <v>299</v>
      </c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7"/>
      <c r="P207" s="277"/>
      <c r="Q207" s="277"/>
      <c r="R207" s="277"/>
      <c r="S207" s="277"/>
      <c r="T207" s="277"/>
      <c r="U207" s="277"/>
      <c r="V207" s="277"/>
      <c r="W207" s="277"/>
      <c r="X207" s="277"/>
      <c r="Y207" s="277"/>
      <c r="Z207" s="277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77"/>
      <c r="P208" s="277"/>
      <c r="Q208" s="277"/>
      <c r="R208" s="277"/>
      <c r="S208" s="277"/>
      <c r="T208" s="277"/>
      <c r="U208" s="277"/>
      <c r="V208" s="277"/>
      <c r="W208" s="277"/>
      <c r="X208" s="277"/>
      <c r="Y208" s="277"/>
      <c r="Z208" s="277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78">
        <v>4620207490709</v>
      </c>
      <c r="E209" s="279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451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96"/>
      <c r="R209" s="296"/>
      <c r="S209" s="296"/>
      <c r="T209" s="297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302"/>
      <c r="B210" s="277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303"/>
      <c r="P210" s="286" t="s">
        <v>82</v>
      </c>
      <c r="Q210" s="287"/>
      <c r="R210" s="287"/>
      <c r="S210" s="287"/>
      <c r="T210" s="287"/>
      <c r="U210" s="287"/>
      <c r="V210" s="288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7"/>
      <c r="B211" s="277"/>
      <c r="C211" s="277"/>
      <c r="D211" s="277"/>
      <c r="E211" s="277"/>
      <c r="F211" s="277"/>
      <c r="G211" s="277"/>
      <c r="H211" s="277"/>
      <c r="I211" s="277"/>
      <c r="J211" s="277"/>
      <c r="K211" s="277"/>
      <c r="L211" s="277"/>
      <c r="M211" s="277"/>
      <c r="N211" s="277"/>
      <c r="O211" s="303"/>
      <c r="P211" s="286" t="s">
        <v>82</v>
      </c>
      <c r="Q211" s="287"/>
      <c r="R211" s="287"/>
      <c r="S211" s="287"/>
      <c r="T211" s="287"/>
      <c r="U211" s="287"/>
      <c r="V211" s="288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7"/>
      <c r="C212" s="277"/>
      <c r="D212" s="277"/>
      <c r="E212" s="277"/>
      <c r="F212" s="277"/>
      <c r="G212" s="277"/>
      <c r="H212" s="277"/>
      <c r="I212" s="277"/>
      <c r="J212" s="277"/>
      <c r="K212" s="277"/>
      <c r="L212" s="277"/>
      <c r="M212" s="277"/>
      <c r="N212" s="277"/>
      <c r="O212" s="277"/>
      <c r="P212" s="277"/>
      <c r="Q212" s="277"/>
      <c r="R212" s="277"/>
      <c r="S212" s="277"/>
      <c r="T212" s="277"/>
      <c r="U212" s="277"/>
      <c r="V212" s="277"/>
      <c r="W212" s="277"/>
      <c r="X212" s="277"/>
      <c r="Y212" s="277"/>
      <c r="Z212" s="277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78">
        <v>4620207490549</v>
      </c>
      <c r="E213" s="279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44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96"/>
      <c r="R213" s="296"/>
      <c r="S213" s="296"/>
      <c r="T213" s="297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78">
        <v>4620207490501</v>
      </c>
      <c r="E214" s="279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29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96"/>
      <c r="R214" s="296"/>
      <c r="S214" s="296"/>
      <c r="T214" s="297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302"/>
      <c r="B215" s="277"/>
      <c r="C215" s="277"/>
      <c r="D215" s="277"/>
      <c r="E215" s="277"/>
      <c r="F215" s="277"/>
      <c r="G215" s="277"/>
      <c r="H215" s="277"/>
      <c r="I215" s="277"/>
      <c r="J215" s="277"/>
      <c r="K215" s="277"/>
      <c r="L215" s="277"/>
      <c r="M215" s="277"/>
      <c r="N215" s="277"/>
      <c r="O215" s="303"/>
      <c r="P215" s="286" t="s">
        <v>82</v>
      </c>
      <c r="Q215" s="287"/>
      <c r="R215" s="287"/>
      <c r="S215" s="287"/>
      <c r="T215" s="287"/>
      <c r="U215" s="287"/>
      <c r="V215" s="288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7"/>
      <c r="B216" s="277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303"/>
      <c r="P216" s="286" t="s">
        <v>82</v>
      </c>
      <c r="Q216" s="287"/>
      <c r="R216" s="287"/>
      <c r="S216" s="287"/>
      <c r="T216" s="287"/>
      <c r="U216" s="287"/>
      <c r="V216" s="288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74" t="s">
        <v>308</v>
      </c>
      <c r="B217" s="275"/>
      <c r="C217" s="275"/>
      <c r="D217" s="275"/>
      <c r="E217" s="275"/>
      <c r="F217" s="275"/>
      <c r="G217" s="275"/>
      <c r="H217" s="275"/>
      <c r="I217" s="275"/>
      <c r="J217" s="275"/>
      <c r="K217" s="275"/>
      <c r="L217" s="275"/>
      <c r="M217" s="275"/>
      <c r="N217" s="275"/>
      <c r="O217" s="275"/>
      <c r="P217" s="275"/>
      <c r="Q217" s="275"/>
      <c r="R217" s="275"/>
      <c r="S217" s="275"/>
      <c r="T217" s="275"/>
      <c r="U217" s="275"/>
      <c r="V217" s="275"/>
      <c r="W217" s="275"/>
      <c r="X217" s="275"/>
      <c r="Y217" s="275"/>
      <c r="Z217" s="275"/>
      <c r="AA217" s="48"/>
      <c r="AB217" s="48"/>
      <c r="AC217" s="48"/>
    </row>
    <row r="218" spans="1:68" ht="16.5" hidden="1" customHeight="1" x14ac:dyDescent="0.25">
      <c r="A218" s="284" t="s">
        <v>309</v>
      </c>
      <c r="B218" s="277"/>
      <c r="C218" s="277"/>
      <c r="D218" s="277"/>
      <c r="E218" s="277"/>
      <c r="F218" s="277"/>
      <c r="G218" s="277"/>
      <c r="H218" s="277"/>
      <c r="I218" s="277"/>
      <c r="J218" s="277"/>
      <c r="K218" s="277"/>
      <c r="L218" s="277"/>
      <c r="M218" s="277"/>
      <c r="N218" s="277"/>
      <c r="O218" s="277"/>
      <c r="P218" s="277"/>
      <c r="Q218" s="277"/>
      <c r="R218" s="277"/>
      <c r="S218" s="277"/>
      <c r="T218" s="277"/>
      <c r="U218" s="277"/>
      <c r="V218" s="277"/>
      <c r="W218" s="277"/>
      <c r="X218" s="277"/>
      <c r="Y218" s="277"/>
      <c r="Z218" s="277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7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7"/>
      <c r="P219" s="277"/>
      <c r="Q219" s="277"/>
      <c r="R219" s="277"/>
      <c r="S219" s="277"/>
      <c r="T219" s="277"/>
      <c r="U219" s="277"/>
      <c r="V219" s="277"/>
      <c r="W219" s="277"/>
      <c r="X219" s="277"/>
      <c r="Y219" s="277"/>
      <c r="Z219" s="277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78">
        <v>4607111036162</v>
      </c>
      <c r="E220" s="279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44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96"/>
      <c r="R220" s="296"/>
      <c r="S220" s="296"/>
      <c r="T220" s="297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302"/>
      <c r="B221" s="277"/>
      <c r="C221" s="277"/>
      <c r="D221" s="277"/>
      <c r="E221" s="277"/>
      <c r="F221" s="277"/>
      <c r="G221" s="277"/>
      <c r="H221" s="277"/>
      <c r="I221" s="277"/>
      <c r="J221" s="277"/>
      <c r="K221" s="277"/>
      <c r="L221" s="277"/>
      <c r="M221" s="277"/>
      <c r="N221" s="277"/>
      <c r="O221" s="303"/>
      <c r="P221" s="286" t="s">
        <v>82</v>
      </c>
      <c r="Q221" s="287"/>
      <c r="R221" s="287"/>
      <c r="S221" s="287"/>
      <c r="T221" s="287"/>
      <c r="U221" s="287"/>
      <c r="V221" s="288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7"/>
      <c r="B222" s="277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303"/>
      <c r="P222" s="286" t="s">
        <v>82</v>
      </c>
      <c r="Q222" s="287"/>
      <c r="R222" s="287"/>
      <c r="S222" s="287"/>
      <c r="T222" s="287"/>
      <c r="U222" s="287"/>
      <c r="V222" s="288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74" t="s">
        <v>313</v>
      </c>
      <c r="B223" s="275"/>
      <c r="C223" s="275"/>
      <c r="D223" s="275"/>
      <c r="E223" s="275"/>
      <c r="F223" s="275"/>
      <c r="G223" s="275"/>
      <c r="H223" s="275"/>
      <c r="I223" s="275"/>
      <c r="J223" s="275"/>
      <c r="K223" s="275"/>
      <c r="L223" s="275"/>
      <c r="M223" s="275"/>
      <c r="N223" s="275"/>
      <c r="O223" s="275"/>
      <c r="P223" s="275"/>
      <c r="Q223" s="275"/>
      <c r="R223" s="275"/>
      <c r="S223" s="275"/>
      <c r="T223" s="275"/>
      <c r="U223" s="275"/>
      <c r="V223" s="275"/>
      <c r="W223" s="275"/>
      <c r="X223" s="275"/>
      <c r="Y223" s="275"/>
      <c r="Z223" s="275"/>
      <c r="AA223" s="48"/>
      <c r="AB223" s="48"/>
      <c r="AC223" s="48"/>
    </row>
    <row r="224" spans="1:68" ht="16.5" hidden="1" customHeight="1" x14ac:dyDescent="0.25">
      <c r="A224" s="284" t="s">
        <v>314</v>
      </c>
      <c r="B224" s="277"/>
      <c r="C224" s="277"/>
      <c r="D224" s="277"/>
      <c r="E224" s="277"/>
      <c r="F224" s="277"/>
      <c r="G224" s="277"/>
      <c r="H224" s="277"/>
      <c r="I224" s="277"/>
      <c r="J224" s="277"/>
      <c r="K224" s="277"/>
      <c r="L224" s="277"/>
      <c r="M224" s="277"/>
      <c r="N224" s="277"/>
      <c r="O224" s="277"/>
      <c r="P224" s="277"/>
      <c r="Q224" s="277"/>
      <c r="R224" s="277"/>
      <c r="S224" s="277"/>
      <c r="T224" s="277"/>
      <c r="U224" s="277"/>
      <c r="V224" s="277"/>
      <c r="W224" s="277"/>
      <c r="X224" s="277"/>
      <c r="Y224" s="277"/>
      <c r="Z224" s="277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7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277"/>
      <c r="Q225" s="277"/>
      <c r="R225" s="277"/>
      <c r="S225" s="277"/>
      <c r="T225" s="277"/>
      <c r="U225" s="277"/>
      <c r="V225" s="277"/>
      <c r="W225" s="277"/>
      <c r="X225" s="277"/>
      <c r="Y225" s="277"/>
      <c r="Z225" s="277"/>
      <c r="AA225" s="264"/>
      <c r="AB225" s="264"/>
      <c r="AC225" s="264"/>
    </row>
    <row r="226" spans="1:68" ht="27" hidden="1" customHeight="1" x14ac:dyDescent="0.25">
      <c r="A226" s="54" t="s">
        <v>315</v>
      </c>
      <c r="B226" s="54" t="s">
        <v>316</v>
      </c>
      <c r="C226" s="31">
        <v>4301071029</v>
      </c>
      <c r="D226" s="278">
        <v>4607111035899</v>
      </c>
      <c r="E226" s="279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96</v>
      </c>
      <c r="M226" s="33" t="s">
        <v>68</v>
      </c>
      <c r="N226" s="33"/>
      <c r="O226" s="32">
        <v>180</v>
      </c>
      <c r="P226" s="35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96"/>
      <c r="R226" s="296"/>
      <c r="S226" s="296"/>
      <c r="T226" s="297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98</v>
      </c>
      <c r="AK226" s="71">
        <v>12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302"/>
      <c r="B227" s="277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303"/>
      <c r="P227" s="286" t="s">
        <v>82</v>
      </c>
      <c r="Q227" s="287"/>
      <c r="R227" s="287"/>
      <c r="S227" s="287"/>
      <c r="T227" s="287"/>
      <c r="U227" s="287"/>
      <c r="V227" s="288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hidden="1" x14ac:dyDescent="0.2">
      <c r="A228" s="277"/>
      <c r="B228" s="277"/>
      <c r="C228" s="277"/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303"/>
      <c r="P228" s="286" t="s">
        <v>82</v>
      </c>
      <c r="Q228" s="287"/>
      <c r="R228" s="287"/>
      <c r="S228" s="287"/>
      <c r="T228" s="287"/>
      <c r="U228" s="287"/>
      <c r="V228" s="288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hidden="1" customHeight="1" x14ac:dyDescent="0.2">
      <c r="A229" s="274" t="s">
        <v>317</v>
      </c>
      <c r="B229" s="275"/>
      <c r="C229" s="275"/>
      <c r="D229" s="275"/>
      <c r="E229" s="275"/>
      <c r="F229" s="275"/>
      <c r="G229" s="275"/>
      <c r="H229" s="275"/>
      <c r="I229" s="275"/>
      <c r="J229" s="275"/>
      <c r="K229" s="275"/>
      <c r="L229" s="275"/>
      <c r="M229" s="275"/>
      <c r="N229" s="275"/>
      <c r="O229" s="275"/>
      <c r="P229" s="275"/>
      <c r="Q229" s="275"/>
      <c r="R229" s="275"/>
      <c r="S229" s="275"/>
      <c r="T229" s="275"/>
      <c r="U229" s="275"/>
      <c r="V229" s="275"/>
      <c r="W229" s="275"/>
      <c r="X229" s="275"/>
      <c r="Y229" s="275"/>
      <c r="Z229" s="275"/>
      <c r="AA229" s="48"/>
      <c r="AB229" s="48"/>
      <c r="AC229" s="48"/>
    </row>
    <row r="230" spans="1:68" ht="16.5" hidden="1" customHeight="1" x14ac:dyDescent="0.25">
      <c r="A230" s="284" t="s">
        <v>318</v>
      </c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7"/>
      <c r="C231" s="277"/>
      <c r="D231" s="277"/>
      <c r="E231" s="277"/>
      <c r="F231" s="277"/>
      <c r="G231" s="277"/>
      <c r="H231" s="277"/>
      <c r="I231" s="277"/>
      <c r="J231" s="277"/>
      <c r="K231" s="277"/>
      <c r="L231" s="277"/>
      <c r="M231" s="277"/>
      <c r="N231" s="277"/>
      <c r="O231" s="277"/>
      <c r="P231" s="277"/>
      <c r="Q231" s="277"/>
      <c r="R231" s="277"/>
      <c r="S231" s="277"/>
      <c r="T231" s="277"/>
      <c r="U231" s="277"/>
      <c r="V231" s="277"/>
      <c r="W231" s="277"/>
      <c r="X231" s="277"/>
      <c r="Y231" s="277"/>
      <c r="Z231" s="277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78">
        <v>4607111039774</v>
      </c>
      <c r="E232" s="279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7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96"/>
      <c r="R232" s="296"/>
      <c r="S232" s="296"/>
      <c r="T232" s="297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302"/>
      <c r="B233" s="277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303"/>
      <c r="P233" s="286" t="s">
        <v>82</v>
      </c>
      <c r="Q233" s="287"/>
      <c r="R233" s="287"/>
      <c r="S233" s="287"/>
      <c r="T233" s="287"/>
      <c r="U233" s="287"/>
      <c r="V233" s="288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7"/>
      <c r="B234" s="277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303"/>
      <c r="P234" s="286" t="s">
        <v>82</v>
      </c>
      <c r="Q234" s="287"/>
      <c r="R234" s="287"/>
      <c r="S234" s="287"/>
      <c r="T234" s="287"/>
      <c r="U234" s="287"/>
      <c r="V234" s="288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7"/>
      <c r="C235" s="277"/>
      <c r="D235" s="277"/>
      <c r="E235" s="277"/>
      <c r="F235" s="277"/>
      <c r="G235" s="277"/>
      <c r="H235" s="277"/>
      <c r="I235" s="277"/>
      <c r="J235" s="277"/>
      <c r="K235" s="277"/>
      <c r="L235" s="277"/>
      <c r="M235" s="277"/>
      <c r="N235" s="277"/>
      <c r="O235" s="277"/>
      <c r="P235" s="277"/>
      <c r="Q235" s="277"/>
      <c r="R235" s="277"/>
      <c r="S235" s="277"/>
      <c r="T235" s="277"/>
      <c r="U235" s="277"/>
      <c r="V235" s="277"/>
      <c r="W235" s="277"/>
      <c r="X235" s="277"/>
      <c r="Y235" s="277"/>
      <c r="Z235" s="277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78">
        <v>4607111039361</v>
      </c>
      <c r="E236" s="279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42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96"/>
      <c r="R236" s="296"/>
      <c r="S236" s="296"/>
      <c r="T236" s="297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302"/>
      <c r="B237" s="277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303"/>
      <c r="P237" s="286" t="s">
        <v>82</v>
      </c>
      <c r="Q237" s="287"/>
      <c r="R237" s="287"/>
      <c r="S237" s="287"/>
      <c r="T237" s="287"/>
      <c r="U237" s="287"/>
      <c r="V237" s="288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7"/>
      <c r="B238" s="277"/>
      <c r="C238" s="277"/>
      <c r="D238" s="277"/>
      <c r="E238" s="277"/>
      <c r="F238" s="277"/>
      <c r="G238" s="277"/>
      <c r="H238" s="277"/>
      <c r="I238" s="277"/>
      <c r="J238" s="277"/>
      <c r="K238" s="277"/>
      <c r="L238" s="277"/>
      <c r="M238" s="277"/>
      <c r="N238" s="277"/>
      <c r="O238" s="303"/>
      <c r="P238" s="286" t="s">
        <v>82</v>
      </c>
      <c r="Q238" s="287"/>
      <c r="R238" s="287"/>
      <c r="S238" s="287"/>
      <c r="T238" s="287"/>
      <c r="U238" s="287"/>
      <c r="V238" s="288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74" t="s">
        <v>325</v>
      </c>
      <c r="B239" s="275"/>
      <c r="C239" s="275"/>
      <c r="D239" s="275"/>
      <c r="E239" s="275"/>
      <c r="F239" s="275"/>
      <c r="G239" s="275"/>
      <c r="H239" s="275"/>
      <c r="I239" s="275"/>
      <c r="J239" s="275"/>
      <c r="K239" s="275"/>
      <c r="L239" s="275"/>
      <c r="M239" s="275"/>
      <c r="N239" s="275"/>
      <c r="O239" s="275"/>
      <c r="P239" s="275"/>
      <c r="Q239" s="275"/>
      <c r="R239" s="275"/>
      <c r="S239" s="275"/>
      <c r="T239" s="275"/>
      <c r="U239" s="275"/>
      <c r="V239" s="275"/>
      <c r="W239" s="275"/>
      <c r="X239" s="275"/>
      <c r="Y239" s="275"/>
      <c r="Z239" s="275"/>
      <c r="AA239" s="48"/>
      <c r="AB239" s="48"/>
      <c r="AC239" s="48"/>
    </row>
    <row r="240" spans="1:68" ht="16.5" hidden="1" customHeight="1" x14ac:dyDescent="0.25">
      <c r="A240" s="284" t="s">
        <v>325</v>
      </c>
      <c r="B240" s="277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7"/>
      <c r="P240" s="277"/>
      <c r="Q240" s="277"/>
      <c r="R240" s="277"/>
      <c r="S240" s="277"/>
      <c r="T240" s="277"/>
      <c r="U240" s="277"/>
      <c r="V240" s="277"/>
      <c r="W240" s="277"/>
      <c r="X240" s="277"/>
      <c r="Y240" s="277"/>
      <c r="Z240" s="277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7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77"/>
      <c r="P241" s="277"/>
      <c r="Q241" s="277"/>
      <c r="R241" s="277"/>
      <c r="S241" s="277"/>
      <c r="T241" s="277"/>
      <c r="U241" s="277"/>
      <c r="V241" s="277"/>
      <c r="W241" s="277"/>
      <c r="X241" s="277"/>
      <c r="Y241" s="277"/>
      <c r="Z241" s="277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78">
        <v>4640242181264</v>
      </c>
      <c r="E242" s="279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42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96"/>
      <c r="R242" s="296"/>
      <c r="S242" s="296"/>
      <c r="T242" s="297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hidden="1" customHeight="1" x14ac:dyDescent="0.25">
      <c r="A243" s="54" t="s">
        <v>329</v>
      </c>
      <c r="B243" s="54" t="s">
        <v>330</v>
      </c>
      <c r="C243" s="31">
        <v>4301071021</v>
      </c>
      <c r="D243" s="278">
        <v>4640242181325</v>
      </c>
      <c r="E243" s="279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96</v>
      </c>
      <c r="M243" s="33" t="s">
        <v>68</v>
      </c>
      <c r="N243" s="33"/>
      <c r="O243" s="32">
        <v>180</v>
      </c>
      <c r="P243" s="309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96"/>
      <c r="R243" s="296"/>
      <c r="S243" s="296"/>
      <c r="T243" s="297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98</v>
      </c>
      <c r="AK243" s="71">
        <v>12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302"/>
      <c r="B244" s="277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303"/>
      <c r="P244" s="286" t="s">
        <v>82</v>
      </c>
      <c r="Q244" s="287"/>
      <c r="R244" s="287"/>
      <c r="S244" s="287"/>
      <c r="T244" s="287"/>
      <c r="U244" s="287"/>
      <c r="V244" s="288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hidden="1" x14ac:dyDescent="0.2">
      <c r="A245" s="277"/>
      <c r="B245" s="277"/>
      <c r="C245" s="277"/>
      <c r="D245" s="277"/>
      <c r="E245" s="277"/>
      <c r="F245" s="277"/>
      <c r="G245" s="277"/>
      <c r="H245" s="277"/>
      <c r="I245" s="277"/>
      <c r="J245" s="277"/>
      <c r="K245" s="277"/>
      <c r="L245" s="277"/>
      <c r="M245" s="277"/>
      <c r="N245" s="277"/>
      <c r="O245" s="303"/>
      <c r="P245" s="286" t="s">
        <v>82</v>
      </c>
      <c r="Q245" s="287"/>
      <c r="R245" s="287"/>
      <c r="S245" s="287"/>
      <c r="T245" s="287"/>
      <c r="U245" s="287"/>
      <c r="V245" s="288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7"/>
      <c r="C246" s="277"/>
      <c r="D246" s="277"/>
      <c r="E246" s="277"/>
      <c r="F246" s="277"/>
      <c r="G246" s="277"/>
      <c r="H246" s="277"/>
      <c r="I246" s="277"/>
      <c r="J246" s="277"/>
      <c r="K246" s="277"/>
      <c r="L246" s="277"/>
      <c r="M246" s="277"/>
      <c r="N246" s="277"/>
      <c r="O246" s="277"/>
      <c r="P246" s="277"/>
      <c r="Q246" s="277"/>
      <c r="R246" s="277"/>
      <c r="S246" s="277"/>
      <c r="T246" s="277"/>
      <c r="U246" s="277"/>
      <c r="V246" s="277"/>
      <c r="W246" s="277"/>
      <c r="X246" s="277"/>
      <c r="Y246" s="277"/>
      <c r="Z246" s="277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8">
        <v>4640242180397</v>
      </c>
      <c r="E247" s="279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34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96"/>
      <c r="R247" s="296"/>
      <c r="S247" s="296"/>
      <c r="T247" s="297"/>
      <c r="U247" s="34"/>
      <c r="V247" s="34"/>
      <c r="W247" s="35" t="s">
        <v>69</v>
      </c>
      <c r="X247" s="268">
        <v>12</v>
      </c>
      <c r="Y247" s="269">
        <f>IFERROR(IF(X247="","",X247),"")</f>
        <v>12</v>
      </c>
      <c r="Z247" s="36">
        <f>IFERROR(IF(X247="","",X247*0.0155),"")</f>
        <v>0.186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75.12</v>
      </c>
      <c r="BN247" s="67">
        <f>IFERROR(Y247*I247,"0")</f>
        <v>75.12</v>
      </c>
      <c r="BO247" s="67">
        <f>IFERROR(X247/J247,"0")</f>
        <v>0.14285714285714285</v>
      </c>
      <c r="BP247" s="67">
        <f>IFERROR(Y247/J247,"0")</f>
        <v>0.14285714285714285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78">
        <v>4640242181219</v>
      </c>
      <c r="E248" s="279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7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96"/>
      <c r="R248" s="296"/>
      <c r="S248" s="296"/>
      <c r="T248" s="297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302"/>
      <c r="B249" s="277"/>
      <c r="C249" s="277"/>
      <c r="D249" s="277"/>
      <c r="E249" s="277"/>
      <c r="F249" s="277"/>
      <c r="G249" s="277"/>
      <c r="H249" s="277"/>
      <c r="I249" s="277"/>
      <c r="J249" s="277"/>
      <c r="K249" s="277"/>
      <c r="L249" s="277"/>
      <c r="M249" s="277"/>
      <c r="N249" s="277"/>
      <c r="O249" s="303"/>
      <c r="P249" s="286" t="s">
        <v>82</v>
      </c>
      <c r="Q249" s="287"/>
      <c r="R249" s="287"/>
      <c r="S249" s="287"/>
      <c r="T249" s="287"/>
      <c r="U249" s="287"/>
      <c r="V249" s="288"/>
      <c r="W249" s="37" t="s">
        <v>69</v>
      </c>
      <c r="X249" s="270">
        <f>IFERROR(SUM(X247:X248),"0")</f>
        <v>12</v>
      </c>
      <c r="Y249" s="270">
        <f>IFERROR(SUM(Y247:Y248),"0")</f>
        <v>12</v>
      </c>
      <c r="Z249" s="270">
        <f>IFERROR(IF(Z247="",0,Z247),"0")+IFERROR(IF(Z248="",0,Z248),"0")</f>
        <v>0.186</v>
      </c>
      <c r="AA249" s="271"/>
      <c r="AB249" s="271"/>
      <c r="AC249" s="271"/>
    </row>
    <row r="250" spans="1:68" x14ac:dyDescent="0.2">
      <c r="A250" s="277"/>
      <c r="B250" s="277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303"/>
      <c r="P250" s="286" t="s">
        <v>82</v>
      </c>
      <c r="Q250" s="287"/>
      <c r="R250" s="287"/>
      <c r="S250" s="287"/>
      <c r="T250" s="287"/>
      <c r="U250" s="287"/>
      <c r="V250" s="288"/>
      <c r="W250" s="37" t="s">
        <v>83</v>
      </c>
      <c r="X250" s="270">
        <f>IFERROR(SUMPRODUCT(X247:X248*H247:H248),"0")</f>
        <v>72</v>
      </c>
      <c r="Y250" s="270">
        <f>IFERROR(SUMPRODUCT(Y247:Y248*H247:H248),"0")</f>
        <v>72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7"/>
      <c r="C251" s="277"/>
      <c r="D251" s="277"/>
      <c r="E251" s="277"/>
      <c r="F251" s="277"/>
      <c r="G251" s="277"/>
      <c r="H251" s="277"/>
      <c r="I251" s="277"/>
      <c r="J251" s="277"/>
      <c r="K251" s="277"/>
      <c r="L251" s="277"/>
      <c r="M251" s="277"/>
      <c r="N251" s="277"/>
      <c r="O251" s="277"/>
      <c r="P251" s="277"/>
      <c r="Q251" s="277"/>
      <c r="R251" s="277"/>
      <c r="S251" s="277"/>
      <c r="T251" s="277"/>
      <c r="U251" s="277"/>
      <c r="V251" s="277"/>
      <c r="W251" s="277"/>
      <c r="X251" s="277"/>
      <c r="Y251" s="277"/>
      <c r="Z251" s="277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8">
        <v>4640242180304</v>
      </c>
      <c r="E252" s="279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44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96"/>
      <c r="R252" s="296"/>
      <c r="S252" s="296"/>
      <c r="T252" s="297"/>
      <c r="U252" s="34"/>
      <c r="V252" s="34"/>
      <c r="W252" s="35" t="s">
        <v>69</v>
      </c>
      <c r="X252" s="268">
        <v>28</v>
      </c>
      <c r="Y252" s="269">
        <f>IFERROR(IF(X252="","",X252),"")</f>
        <v>28</v>
      </c>
      <c r="Z252" s="36">
        <f>IFERROR(IF(X252="","",X252*0.00936),"")</f>
        <v>0.26207999999999998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80.936800000000005</v>
      </c>
      <c r="BN252" s="67">
        <f>IFERROR(Y252*I252,"0")</f>
        <v>80.936800000000005</v>
      </c>
      <c r="BO252" s="67">
        <f>IFERROR(X252/J252,"0")</f>
        <v>0.22222222222222221</v>
      </c>
      <c r="BP252" s="67">
        <f>IFERROR(Y252/J252,"0")</f>
        <v>0.22222222222222221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8">
        <v>4640242180236</v>
      </c>
      <c r="E253" s="279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32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96"/>
      <c r="R253" s="296"/>
      <c r="S253" s="296"/>
      <c r="T253" s="297"/>
      <c r="U253" s="34"/>
      <c r="V253" s="34"/>
      <c r="W253" s="35" t="s">
        <v>69</v>
      </c>
      <c r="X253" s="268">
        <v>144</v>
      </c>
      <c r="Y253" s="269">
        <f>IFERROR(IF(X253="","",X253),"")</f>
        <v>144</v>
      </c>
      <c r="Z253" s="36">
        <f>IFERROR(IF(X253="","",X253*0.0155),"")</f>
        <v>2.2320000000000002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753.84</v>
      </c>
      <c r="BN253" s="67">
        <f>IFERROR(Y253*I253,"0")</f>
        <v>753.84</v>
      </c>
      <c r="BO253" s="67">
        <f>IFERROR(X253/J253,"0")</f>
        <v>1.7142857142857142</v>
      </c>
      <c r="BP253" s="67">
        <f>IFERROR(Y253/J253,"0")</f>
        <v>1.7142857142857142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78">
        <v>4640242180410</v>
      </c>
      <c r="E254" s="279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5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96"/>
      <c r="R254" s="296"/>
      <c r="S254" s="296"/>
      <c r="T254" s="297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302"/>
      <c r="B255" s="277"/>
      <c r="C255" s="277"/>
      <c r="D255" s="277"/>
      <c r="E255" s="277"/>
      <c r="F255" s="277"/>
      <c r="G255" s="277"/>
      <c r="H255" s="277"/>
      <c r="I255" s="277"/>
      <c r="J255" s="277"/>
      <c r="K255" s="277"/>
      <c r="L255" s="277"/>
      <c r="M255" s="277"/>
      <c r="N255" s="277"/>
      <c r="O255" s="303"/>
      <c r="P255" s="286" t="s">
        <v>82</v>
      </c>
      <c r="Q255" s="287"/>
      <c r="R255" s="287"/>
      <c r="S255" s="287"/>
      <c r="T255" s="287"/>
      <c r="U255" s="287"/>
      <c r="V255" s="288"/>
      <c r="W255" s="37" t="s">
        <v>69</v>
      </c>
      <c r="X255" s="270">
        <f>IFERROR(SUM(X252:X254),"0")</f>
        <v>172</v>
      </c>
      <c r="Y255" s="270">
        <f>IFERROR(SUM(Y252:Y254),"0")</f>
        <v>172</v>
      </c>
      <c r="Z255" s="270">
        <f>IFERROR(IF(Z252="",0,Z252),"0")+IFERROR(IF(Z253="",0,Z253),"0")+IFERROR(IF(Z254="",0,Z254),"0")</f>
        <v>2.4940800000000003</v>
      </c>
      <c r="AA255" s="271"/>
      <c r="AB255" s="271"/>
      <c r="AC255" s="271"/>
    </row>
    <row r="256" spans="1:68" x14ac:dyDescent="0.2">
      <c r="A256" s="277"/>
      <c r="B256" s="277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303"/>
      <c r="P256" s="286" t="s">
        <v>82</v>
      </c>
      <c r="Q256" s="287"/>
      <c r="R256" s="287"/>
      <c r="S256" s="287"/>
      <c r="T256" s="287"/>
      <c r="U256" s="287"/>
      <c r="V256" s="288"/>
      <c r="W256" s="37" t="s">
        <v>83</v>
      </c>
      <c r="X256" s="270">
        <f>IFERROR(SUMPRODUCT(X252:X254*H252:H254),"0")</f>
        <v>795.6</v>
      </c>
      <c r="Y256" s="270">
        <f>IFERROR(SUMPRODUCT(Y252:Y254*H252:H254),"0")</f>
        <v>795.6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7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7"/>
      <c r="P257" s="277"/>
      <c r="Q257" s="277"/>
      <c r="R257" s="277"/>
      <c r="S257" s="277"/>
      <c r="T257" s="277"/>
      <c r="U257" s="277"/>
      <c r="V257" s="277"/>
      <c r="W257" s="277"/>
      <c r="X257" s="277"/>
      <c r="Y257" s="277"/>
      <c r="Z257" s="277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78">
        <v>4640242181554</v>
      </c>
      <c r="E258" s="279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45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96"/>
      <c r="R258" s="296"/>
      <c r="S258" s="296"/>
      <c r="T258" s="297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8">
        <v>4640242181561</v>
      </c>
      <c r="E259" s="279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42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96"/>
      <c r="R259" s="296"/>
      <c r="S259" s="296"/>
      <c r="T259" s="297"/>
      <c r="U259" s="34"/>
      <c r="V259" s="34"/>
      <c r="W259" s="35" t="s">
        <v>69</v>
      </c>
      <c r="X259" s="268">
        <v>56</v>
      </c>
      <c r="Y259" s="269">
        <f t="shared" si="18"/>
        <v>56</v>
      </c>
      <c r="Z259" s="36">
        <f>IFERROR(IF(X259="","",X259*0.00936),"")</f>
        <v>0.52415999999999996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217.952</v>
      </c>
      <c r="BN259" s="67">
        <f t="shared" si="20"/>
        <v>217.952</v>
      </c>
      <c r="BO259" s="67">
        <f t="shared" si="21"/>
        <v>0.44444444444444442</v>
      </c>
      <c r="BP259" s="67">
        <f t="shared" si="22"/>
        <v>0.44444444444444442</v>
      </c>
    </row>
    <row r="260" spans="1:68" ht="27" hidden="1" customHeight="1" x14ac:dyDescent="0.25">
      <c r="A260" s="54" t="s">
        <v>349</v>
      </c>
      <c r="B260" s="54" t="s">
        <v>350</v>
      </c>
      <c r="C260" s="31">
        <v>4301135374</v>
      </c>
      <c r="D260" s="278">
        <v>4640242181424</v>
      </c>
      <c r="E260" s="279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96"/>
      <c r="R260" s="296"/>
      <c r="S260" s="296"/>
      <c r="T260" s="297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8">
        <v>4640242181523</v>
      </c>
      <c r="E261" s="279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67</v>
      </c>
      <c r="M261" s="33" t="s">
        <v>68</v>
      </c>
      <c r="N261" s="33"/>
      <c r="O261" s="32">
        <v>180</v>
      </c>
      <c r="P261" s="37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96"/>
      <c r="R261" s="296"/>
      <c r="S261" s="296"/>
      <c r="T261" s="297"/>
      <c r="U261" s="34"/>
      <c r="V261" s="34"/>
      <c r="W261" s="35" t="s">
        <v>69</v>
      </c>
      <c r="X261" s="268">
        <v>14</v>
      </c>
      <c r="Y261" s="269">
        <f t="shared" si="18"/>
        <v>14</v>
      </c>
      <c r="Z261" s="36">
        <f t="shared" ref="Z261:Z266" si="23">IFERROR(IF(X261="","",X261*0.00936),"")</f>
        <v>0.13103999999999999</v>
      </c>
      <c r="AA261" s="56"/>
      <c r="AB261" s="57"/>
      <c r="AC261" s="246" t="s">
        <v>348</v>
      </c>
      <c r="AG261" s="67"/>
      <c r="AJ261" s="71" t="s">
        <v>71</v>
      </c>
      <c r="AK261" s="71">
        <v>1</v>
      </c>
      <c r="BB261" s="247" t="s">
        <v>99</v>
      </c>
      <c r="BM261" s="67">
        <f t="shared" si="19"/>
        <v>44.688000000000002</v>
      </c>
      <c r="BN261" s="67">
        <f t="shared" si="20"/>
        <v>44.688000000000002</v>
      </c>
      <c r="BO261" s="67">
        <f t="shared" si="21"/>
        <v>0.1111111111111111</v>
      </c>
      <c r="BP261" s="67">
        <f t="shared" si="22"/>
        <v>0.1111111111111111</v>
      </c>
    </row>
    <row r="262" spans="1:68" ht="27" hidden="1" customHeight="1" x14ac:dyDescent="0.25">
      <c r="A262" s="54" t="s">
        <v>353</v>
      </c>
      <c r="B262" s="54" t="s">
        <v>354</v>
      </c>
      <c r="C262" s="31">
        <v>4301135375</v>
      </c>
      <c r="D262" s="278">
        <v>4640242181486</v>
      </c>
      <c r="E262" s="279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67</v>
      </c>
      <c r="M262" s="33" t="s">
        <v>68</v>
      </c>
      <c r="N262" s="33"/>
      <c r="O262" s="32">
        <v>180</v>
      </c>
      <c r="P262" s="31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96"/>
      <c r="R262" s="296"/>
      <c r="S262" s="296"/>
      <c r="T262" s="297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71</v>
      </c>
      <c r="AK262" s="71">
        <v>1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hidden="1" customHeight="1" x14ac:dyDescent="0.25">
      <c r="A263" s="54" t="s">
        <v>355</v>
      </c>
      <c r="B263" s="54" t="s">
        <v>356</v>
      </c>
      <c r="C263" s="31">
        <v>4301135402</v>
      </c>
      <c r="D263" s="278">
        <v>4640242181493</v>
      </c>
      <c r="E263" s="279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67</v>
      </c>
      <c r="M263" s="33" t="s">
        <v>68</v>
      </c>
      <c r="N263" s="33"/>
      <c r="O263" s="32">
        <v>180</v>
      </c>
      <c r="P263" s="30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96"/>
      <c r="R263" s="296"/>
      <c r="S263" s="296"/>
      <c r="T263" s="297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71</v>
      </c>
      <c r="AK263" s="71">
        <v>1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78">
        <v>4640242181509</v>
      </c>
      <c r="E264" s="279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40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96"/>
      <c r="R264" s="296"/>
      <c r="S264" s="296"/>
      <c r="T264" s="297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78">
        <v>4640242181240</v>
      </c>
      <c r="E265" s="279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43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96"/>
      <c r="R265" s="296"/>
      <c r="S265" s="296"/>
      <c r="T265" s="297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78">
        <v>4640242181318</v>
      </c>
      <c r="E266" s="279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45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96"/>
      <c r="R266" s="296"/>
      <c r="S266" s="296"/>
      <c r="T266" s="297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78">
        <v>4640242181387</v>
      </c>
      <c r="E267" s="279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9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96"/>
      <c r="R267" s="296"/>
      <c r="S267" s="296"/>
      <c r="T267" s="297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302"/>
      <c r="B268" s="277"/>
      <c r="C268" s="277"/>
      <c r="D268" s="277"/>
      <c r="E268" s="277"/>
      <c r="F268" s="277"/>
      <c r="G268" s="277"/>
      <c r="H268" s="277"/>
      <c r="I268" s="277"/>
      <c r="J268" s="277"/>
      <c r="K268" s="277"/>
      <c r="L268" s="277"/>
      <c r="M268" s="277"/>
      <c r="N268" s="277"/>
      <c r="O268" s="303"/>
      <c r="P268" s="286" t="s">
        <v>82</v>
      </c>
      <c r="Q268" s="287"/>
      <c r="R268" s="287"/>
      <c r="S268" s="287"/>
      <c r="T268" s="287"/>
      <c r="U268" s="287"/>
      <c r="V268" s="288"/>
      <c r="W268" s="37" t="s">
        <v>69</v>
      </c>
      <c r="X268" s="270">
        <f>IFERROR(SUM(X258:X267),"0")</f>
        <v>70</v>
      </c>
      <c r="Y268" s="270">
        <f>IFERROR(SUM(Y258:Y267),"0")</f>
        <v>70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0.6552</v>
      </c>
      <c r="AA268" s="271"/>
      <c r="AB268" s="271"/>
      <c r="AC268" s="271"/>
    </row>
    <row r="269" spans="1:68" x14ac:dyDescent="0.2">
      <c r="A269" s="277"/>
      <c r="B269" s="277"/>
      <c r="C269" s="277"/>
      <c r="D269" s="277"/>
      <c r="E269" s="277"/>
      <c r="F269" s="277"/>
      <c r="G269" s="277"/>
      <c r="H269" s="277"/>
      <c r="I269" s="277"/>
      <c r="J269" s="277"/>
      <c r="K269" s="277"/>
      <c r="L269" s="277"/>
      <c r="M269" s="277"/>
      <c r="N269" s="277"/>
      <c r="O269" s="303"/>
      <c r="P269" s="286" t="s">
        <v>82</v>
      </c>
      <c r="Q269" s="287"/>
      <c r="R269" s="287"/>
      <c r="S269" s="287"/>
      <c r="T269" s="287"/>
      <c r="U269" s="287"/>
      <c r="V269" s="288"/>
      <c r="W269" s="37" t="s">
        <v>83</v>
      </c>
      <c r="X269" s="270">
        <f>IFERROR(SUMPRODUCT(X258:X267*H258:H267),"0")</f>
        <v>249.20000000000002</v>
      </c>
      <c r="Y269" s="270">
        <f>IFERROR(SUMPRODUCT(Y258:Y267*H258:H267),"0")</f>
        <v>249.20000000000002</v>
      </c>
      <c r="Z269" s="37"/>
      <c r="AA269" s="271"/>
      <c r="AB269" s="271"/>
      <c r="AC269" s="271"/>
    </row>
    <row r="270" spans="1:68" ht="15" customHeight="1" x14ac:dyDescent="0.2">
      <c r="A270" s="293"/>
      <c r="B270" s="277"/>
      <c r="C270" s="277"/>
      <c r="D270" s="277"/>
      <c r="E270" s="277"/>
      <c r="F270" s="277"/>
      <c r="G270" s="277"/>
      <c r="H270" s="277"/>
      <c r="I270" s="277"/>
      <c r="J270" s="277"/>
      <c r="K270" s="277"/>
      <c r="L270" s="277"/>
      <c r="M270" s="277"/>
      <c r="N270" s="277"/>
      <c r="O270" s="294"/>
      <c r="P270" s="310" t="s">
        <v>365</v>
      </c>
      <c r="Q270" s="311"/>
      <c r="R270" s="311"/>
      <c r="S270" s="311"/>
      <c r="T270" s="311"/>
      <c r="U270" s="311"/>
      <c r="V270" s="290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3487.16</v>
      </c>
      <c r="Y270" s="270">
        <f>IFERROR(Y29+Y35+Y42+Y49+Y57+Y62+Y66+Y71+Y77+Y83+Y88+Y94+Y104+Y110+Y122+Y126+Y130+Y136+Y142+Y148+Y153+Y158+Y163+Y168+Y175+Y183+Y187+Y193+Y201+Y206+Y211+Y216+Y222+Y228+Y234+Y238+Y245+Y250+Y256+Y269,"0")</f>
        <v>3487.16</v>
      </c>
      <c r="Z270" s="37"/>
      <c r="AA270" s="271"/>
      <c r="AB270" s="271"/>
      <c r="AC270" s="271"/>
    </row>
    <row r="271" spans="1:68" x14ac:dyDescent="0.2">
      <c r="A271" s="277"/>
      <c r="B271" s="277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94"/>
      <c r="P271" s="310" t="s">
        <v>366</v>
      </c>
      <c r="Q271" s="311"/>
      <c r="R271" s="311"/>
      <c r="S271" s="311"/>
      <c r="T271" s="311"/>
      <c r="U271" s="311"/>
      <c r="V271" s="290"/>
      <c r="W271" s="37" t="s">
        <v>83</v>
      </c>
      <c r="X271" s="270">
        <f>IFERROR(SUM(BM22:BM267),"0")</f>
        <v>3821.5611999999992</v>
      </c>
      <c r="Y271" s="270">
        <f>IFERROR(SUM(BN22:BN267),"0")</f>
        <v>3821.5611999999992</v>
      </c>
      <c r="Z271" s="37"/>
      <c r="AA271" s="271"/>
      <c r="AB271" s="271"/>
      <c r="AC271" s="271"/>
    </row>
    <row r="272" spans="1:68" x14ac:dyDescent="0.2">
      <c r="A272" s="277"/>
      <c r="B272" s="277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94"/>
      <c r="P272" s="310" t="s">
        <v>367</v>
      </c>
      <c r="Q272" s="311"/>
      <c r="R272" s="311"/>
      <c r="S272" s="311"/>
      <c r="T272" s="311"/>
      <c r="U272" s="311"/>
      <c r="V272" s="290"/>
      <c r="W272" s="37" t="s">
        <v>368</v>
      </c>
      <c r="X272" s="38">
        <f>ROUNDUP(SUM(BO22:BO267),0)</f>
        <v>11</v>
      </c>
      <c r="Y272" s="38">
        <f>ROUNDUP(SUM(BP22:BP267),0)</f>
        <v>11</v>
      </c>
      <c r="Z272" s="37"/>
      <c r="AA272" s="271"/>
      <c r="AB272" s="271"/>
      <c r="AC272" s="271"/>
    </row>
    <row r="273" spans="1:32" x14ac:dyDescent="0.2">
      <c r="A273" s="277"/>
      <c r="B273" s="277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294"/>
      <c r="P273" s="310" t="s">
        <v>369</v>
      </c>
      <c r="Q273" s="311"/>
      <c r="R273" s="311"/>
      <c r="S273" s="311"/>
      <c r="T273" s="311"/>
      <c r="U273" s="311"/>
      <c r="V273" s="290"/>
      <c r="W273" s="37" t="s">
        <v>83</v>
      </c>
      <c r="X273" s="270">
        <f>GrossWeightTotal+PalletQtyTotal*25</f>
        <v>4096.5611999999992</v>
      </c>
      <c r="Y273" s="270">
        <f>GrossWeightTotalR+PalletQtyTotalR*25</f>
        <v>4096.5611999999992</v>
      </c>
      <c r="Z273" s="37"/>
      <c r="AA273" s="271"/>
      <c r="AB273" s="271"/>
      <c r="AC273" s="271"/>
    </row>
    <row r="274" spans="1:32" x14ac:dyDescent="0.2">
      <c r="A274" s="277"/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294"/>
      <c r="P274" s="310" t="s">
        <v>370</v>
      </c>
      <c r="Q274" s="311"/>
      <c r="R274" s="311"/>
      <c r="S274" s="311"/>
      <c r="T274" s="311"/>
      <c r="U274" s="311"/>
      <c r="V274" s="290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918</v>
      </c>
      <c r="Y274" s="270">
        <f>IFERROR(Y28+Y34+Y41+Y48+Y56+Y61+Y65+Y70+Y76+Y82+Y87+Y93+Y103+Y109+Y121+Y125+Y129+Y135+Y141+Y147+Y152+Y157+Y162+Y167+Y174+Y182+Y186+Y192+Y200+Y205+Y210+Y215+Y221+Y227+Y233+Y237+Y244+Y249+Y255+Y268,"0")</f>
        <v>918</v>
      </c>
      <c r="Z274" s="37"/>
      <c r="AA274" s="271"/>
      <c r="AB274" s="271"/>
      <c r="AC274" s="271"/>
    </row>
    <row r="275" spans="1:32" ht="14.25" hidden="1" customHeight="1" x14ac:dyDescent="0.2">
      <c r="A275" s="277"/>
      <c r="B275" s="277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94"/>
      <c r="P275" s="310" t="s">
        <v>371</v>
      </c>
      <c r="Q275" s="311"/>
      <c r="R275" s="311"/>
      <c r="S275" s="311"/>
      <c r="T275" s="311"/>
      <c r="U275" s="311"/>
      <c r="V275" s="290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12.94154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72" t="s">
        <v>62</v>
      </c>
      <c r="C277" s="315"/>
      <c r="D277" s="272" t="s">
        <v>90</v>
      </c>
      <c r="E277" s="314"/>
      <c r="F277" s="314"/>
      <c r="G277" s="314"/>
      <c r="H277" s="314"/>
      <c r="I277" s="314"/>
      <c r="J277" s="314"/>
      <c r="K277" s="314"/>
      <c r="L277" s="314"/>
      <c r="M277" s="314"/>
      <c r="N277" s="314"/>
      <c r="O277" s="314"/>
      <c r="P277" s="314"/>
      <c r="Q277" s="314"/>
      <c r="R277" s="314"/>
      <c r="S277" s="314"/>
      <c r="T277" s="314"/>
      <c r="U277" s="315"/>
      <c r="V277" s="265" t="s">
        <v>249</v>
      </c>
      <c r="W277" s="265" t="s">
        <v>257</v>
      </c>
      <c r="X277" s="272" t="s">
        <v>276</v>
      </c>
      <c r="Y277" s="314"/>
      <c r="Z277" s="31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453" t="s">
        <v>374</v>
      </c>
      <c r="B278" s="272" t="s">
        <v>62</v>
      </c>
      <c r="C278" s="272" t="s">
        <v>84</v>
      </c>
      <c r="D278" s="272" t="s">
        <v>91</v>
      </c>
      <c r="E278" s="272" t="s">
        <v>102</v>
      </c>
      <c r="F278" s="272" t="s">
        <v>112</v>
      </c>
      <c r="G278" s="272" t="s">
        <v>123</v>
      </c>
      <c r="H278" s="272" t="s">
        <v>144</v>
      </c>
      <c r="I278" s="272" t="s">
        <v>151</v>
      </c>
      <c r="J278" s="272" t="s">
        <v>155</v>
      </c>
      <c r="K278" s="272" t="s">
        <v>163</v>
      </c>
      <c r="L278" s="272" t="s">
        <v>178</v>
      </c>
      <c r="M278" s="272" t="s">
        <v>184</v>
      </c>
      <c r="N278" s="266"/>
      <c r="O278" s="272" t="s">
        <v>213</v>
      </c>
      <c r="P278" s="272" t="s">
        <v>221</v>
      </c>
      <c r="Q278" s="272" t="s">
        <v>228</v>
      </c>
      <c r="R278" s="272" t="s">
        <v>233</v>
      </c>
      <c r="S278" s="272" t="s">
        <v>237</v>
      </c>
      <c r="T278" s="272" t="s">
        <v>240</v>
      </c>
      <c r="U278" s="272" t="s">
        <v>245</v>
      </c>
      <c r="V278" s="272" t="s">
        <v>250</v>
      </c>
      <c r="W278" s="272" t="s">
        <v>258</v>
      </c>
      <c r="X278" s="272" t="s">
        <v>277</v>
      </c>
      <c r="Y278" s="272" t="s">
        <v>295</v>
      </c>
      <c r="Z278" s="272" t="s">
        <v>299</v>
      </c>
      <c r="AA278" s="272" t="s">
        <v>309</v>
      </c>
      <c r="AB278" s="272" t="s">
        <v>314</v>
      </c>
      <c r="AC278" s="272" t="s">
        <v>318</v>
      </c>
      <c r="AD278" s="272" t="s">
        <v>325</v>
      </c>
      <c r="AF278" s="266"/>
    </row>
    <row r="279" spans="1:32" ht="13.5" customHeight="1" thickBot="1" x14ac:dyDescent="0.25">
      <c r="A279" s="454"/>
      <c r="B279" s="273"/>
      <c r="C279" s="273"/>
      <c r="D279" s="273"/>
      <c r="E279" s="273"/>
      <c r="F279" s="273"/>
      <c r="G279" s="273"/>
      <c r="H279" s="273"/>
      <c r="I279" s="273"/>
      <c r="J279" s="273"/>
      <c r="K279" s="273"/>
      <c r="L279" s="273"/>
      <c r="M279" s="273"/>
      <c r="N279" s="266"/>
      <c r="O279" s="273"/>
      <c r="P279" s="273"/>
      <c r="Q279" s="273"/>
      <c r="R279" s="273"/>
      <c r="S279" s="273"/>
      <c r="T279" s="273"/>
      <c r="U279" s="273"/>
      <c r="V279" s="273"/>
      <c r="W279" s="273"/>
      <c r="X279" s="273"/>
      <c r="Y279" s="273"/>
      <c r="Z279" s="273"/>
      <c r="AA279" s="273"/>
      <c r="AB279" s="273"/>
      <c r="AC279" s="273"/>
      <c r="AD279" s="273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86.4</v>
      </c>
      <c r="C280" s="46">
        <f>IFERROR(X32*H32,"0")+IFERROR(X33*H33,"0")</f>
        <v>0</v>
      </c>
      <c r="D280" s="46">
        <f>IFERROR(X39*H39,"0")+IFERROR(X40*H40,"0")</f>
        <v>105</v>
      </c>
      <c r="E280" s="46">
        <f>IFERROR(X45*H45,"0")+IFERROR(X46*H46,"0")+IFERROR(X47*H47,"0")</f>
        <v>67.199999999999989</v>
      </c>
      <c r="F280" s="46">
        <f>IFERROR(X52*H52,"0")+IFERROR(X53*H53,"0")+IFERROR(X54*H54,"0")+IFERROR(X55*H55,"0")</f>
        <v>84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120</v>
      </c>
      <c r="I280" s="46">
        <f>IFERROR(X86*H86,"0")</f>
        <v>0</v>
      </c>
      <c r="J280" s="46">
        <f>IFERROR(X91*H91,"0")+IFERROR(X92*H92,"0")</f>
        <v>100.8</v>
      </c>
      <c r="K280" s="46">
        <f>IFERROR(X97*H97,"0")+IFERROR(X98*H98,"0")+IFERROR(X99*H99,"0")+IFERROR(X100*H100,"0")+IFERROR(X101*H101,"0")+IFERROR(X102*H102,"0")</f>
        <v>193.20000000000002</v>
      </c>
      <c r="L280" s="46">
        <f>IFERROR(X107*H107,"0")+IFERROR(X108*H108,"0")</f>
        <v>30.240000000000002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544.80000000000007</v>
      </c>
      <c r="N280" s="266"/>
      <c r="O280" s="46">
        <f>IFERROR(X133*H133,"0")+IFERROR(X134*H134,"0")</f>
        <v>42</v>
      </c>
      <c r="P280" s="46">
        <f>IFERROR(X139*H139,"0")+IFERROR(X140*H140,"0")</f>
        <v>210</v>
      </c>
      <c r="Q280" s="46">
        <f>IFERROR(X145*H145,"0")+IFERROR(X146*H146,"0")</f>
        <v>201.6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141.12</v>
      </c>
      <c r="V280" s="46">
        <f>IFERROR(X172*H172,"0")+IFERROR(X173*H173,"0")</f>
        <v>120</v>
      </c>
      <c r="W280" s="46">
        <f>IFERROR(X179*H179,"0")+IFERROR(X180*H180,"0")+IFERROR(X181*H181,"0")+IFERROR(X185*H185,"0")</f>
        <v>84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240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1116.8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1262.4000000000001</v>
      </c>
      <c r="B283" s="60">
        <f>SUMPRODUCT(--(BB:BB="ПГП"),--(W:W="кор"),H:H,Y:Y)+SUMPRODUCT(--(BB:BB="ПГП"),--(W:W="кг"),Y:Y)</f>
        <v>2224.7599999999998</v>
      </c>
      <c r="C283" s="60">
        <f>SUMPRODUCT(--(BB:BB="КИЗ"),--(W:W="кор"),H:H,Y:Y)+SUMPRODUCT(--(BB:BB="КИЗ"),--(W:W="кг"),Y:Y)</f>
        <v>0</v>
      </c>
    </row>
  </sheetData>
  <sheetProtection algorithmName="SHA-512" hashValue="PAJPxXpmTwwSwStAQ3lq8HpYqXizjcQThJ0szzBaZkNuXjhZAFcuB2UcxkMkeU63ZFpndH013h2YHWvF3uzcDw==" saltValue="E+9aWAtbyxwcNIATLB/qM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80"/>
        <filter val="105,00"/>
        <filter val="11"/>
        <filter val="12,00"/>
        <filter val="120,00"/>
        <filter val="14,00"/>
        <filter val="141,12"/>
        <filter val="144,00"/>
        <filter val="172,00"/>
        <filter val="193,20"/>
        <filter val="201,60"/>
        <filter val="210,00"/>
        <filter val="24,00"/>
        <filter val="240,00"/>
        <filter val="249,20"/>
        <filter val="28,00"/>
        <filter val="3 487,16"/>
        <filter val="3 821,56"/>
        <filter val="30,24"/>
        <filter val="4 096,56"/>
        <filter val="42,00"/>
        <filter val="48,00"/>
        <filter val="544,80"/>
        <filter val="56,00"/>
        <filter val="67,20"/>
        <filter val="70,00"/>
        <filter val="72,00"/>
        <filter val="795,60"/>
        <filter val="84,00"/>
        <filter val="86,40"/>
        <filter val="918,00"/>
      </filters>
    </filterColumn>
    <filterColumn colId="29" showButton="0"/>
    <filterColumn colId="30" showButton="0"/>
  </autoFilter>
  <mergeCells count="490"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P119:T119"/>
    <mergeCell ref="P183:V183"/>
    <mergeCell ref="D60:E60"/>
    <mergeCell ref="P73:T73"/>
    <mergeCell ref="P87:V87"/>
    <mergeCell ref="P245:V245"/>
    <mergeCell ref="D45:E45"/>
    <mergeCell ref="P244:V244"/>
    <mergeCell ref="P115:T115"/>
    <mergeCell ref="D254:E254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A219:Z219"/>
    <mergeCell ref="Q11:R11"/>
    <mergeCell ref="Q12:R12"/>
    <mergeCell ref="A13:M13"/>
    <mergeCell ref="A15:M15"/>
    <mergeCell ref="W17:W1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P249:V249"/>
    <mergeCell ref="P28:V28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2 X113 X117 X120 X124 X128 X139 X145:X146 X156 X161 X172 X185 X195:X199 X209 X213:X214 X220 X232 X236 X242 X248 X254 X258 X261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1 X107:X108 X114:X116 X118:X119 X133 X140 X151 X166 X173 X179:X181 X191 X204 X226 X243 X247 X252:X253 X259:X260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MnhdSWAHXEyZLVYhVICG7DEFs+4LYxNAPBZqpQA66bZVqmTmSsGN4qlsV4NFLU61IZWgRFBS2g9yEIBMMZ8zcg==" saltValue="vviGMYnQPAjWqdu0qr9J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2025-12-29T13:05:01Z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