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24D9818-F6B0-4F42-93B5-BD246E3B43C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Y475" i="1" s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O464" i="1"/>
  <c r="BM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BO426" i="1"/>
  <c r="BM426" i="1"/>
  <c r="Y426" i="1"/>
  <c r="P426" i="1"/>
  <c r="BO425" i="1"/>
  <c r="BM425" i="1"/>
  <c r="Y425" i="1"/>
  <c r="P425" i="1"/>
  <c r="X421" i="1"/>
  <c r="X420" i="1"/>
  <c r="BO419" i="1"/>
  <c r="BM419" i="1"/>
  <c r="Y419" i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Y408" i="1"/>
  <c r="X408" i="1"/>
  <c r="BP407" i="1"/>
  <c r="BO407" i="1"/>
  <c r="BN407" i="1"/>
  <c r="BM407" i="1"/>
  <c r="Z407" i="1"/>
  <c r="Z408" i="1" s="1"/>
  <c r="Y407" i="1"/>
  <c r="P407" i="1"/>
  <c r="X404" i="1"/>
  <c r="Y403" i="1"/>
  <c r="X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X385" i="1"/>
  <c r="X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Y373" i="1" s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X342" i="1"/>
  <c r="X341" i="1"/>
  <c r="BO340" i="1"/>
  <c r="BM340" i="1"/>
  <c r="Y340" i="1"/>
  <c r="P340" i="1"/>
  <c r="BP339" i="1"/>
  <c r="BO339" i="1"/>
  <c r="BN339" i="1"/>
  <c r="BM339" i="1"/>
  <c r="Z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O277" i="1"/>
  <c r="BM277" i="1"/>
  <c r="Y277" i="1"/>
  <c r="P277" i="1"/>
  <c r="BO276" i="1"/>
  <c r="BM276" i="1"/>
  <c r="Y276" i="1"/>
  <c r="Y279" i="1" s="1"/>
  <c r="P276" i="1"/>
  <c r="X273" i="1"/>
  <c r="X272" i="1"/>
  <c r="BP271" i="1"/>
  <c r="BO271" i="1"/>
  <c r="BN271" i="1"/>
  <c r="BM271" i="1"/>
  <c r="Z271" i="1"/>
  <c r="Y271" i="1"/>
  <c r="P271" i="1"/>
  <c r="BO270" i="1"/>
  <c r="BM270" i="1"/>
  <c r="Y270" i="1"/>
  <c r="BP270" i="1" s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BP263" i="1" s="1"/>
  <c r="P263" i="1"/>
  <c r="BO262" i="1"/>
  <c r="BM262" i="1"/>
  <c r="Y262" i="1"/>
  <c r="P262" i="1"/>
  <c r="BO261" i="1"/>
  <c r="BM261" i="1"/>
  <c r="Y261" i="1"/>
  <c r="BP261" i="1" s="1"/>
  <c r="P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BP254" i="1" s="1"/>
  <c r="P254" i="1"/>
  <c r="BO253" i="1"/>
  <c r="BM253" i="1"/>
  <c r="Y253" i="1"/>
  <c r="P253" i="1"/>
  <c r="BO252" i="1"/>
  <c r="BM252" i="1"/>
  <c r="Y252" i="1"/>
  <c r="BP252" i="1" s="1"/>
  <c r="P252" i="1"/>
  <c r="BP251" i="1"/>
  <c r="BO251" i="1"/>
  <c r="BN251" i="1"/>
  <c r="BM251" i="1"/>
  <c r="Z251" i="1"/>
  <c r="Y251" i="1"/>
  <c r="P251" i="1"/>
  <c r="BO250" i="1"/>
  <c r="BM250" i="1"/>
  <c r="Y250" i="1"/>
  <c r="P250" i="1"/>
  <c r="X248" i="1"/>
  <c r="X247" i="1"/>
  <c r="BO246" i="1"/>
  <c r="BM246" i="1"/>
  <c r="Y246" i="1"/>
  <c r="Y247" i="1" s="1"/>
  <c r="P246" i="1"/>
  <c r="X244" i="1"/>
  <c r="X243" i="1"/>
  <c r="BO242" i="1"/>
  <c r="BM242" i="1"/>
  <c r="Y242" i="1"/>
  <c r="Y243" i="1" s="1"/>
  <c r="P242" i="1"/>
  <c r="X240" i="1"/>
  <c r="X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BP225" i="1" s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X147" i="1"/>
  <c r="X146" i="1"/>
  <c r="BO145" i="1"/>
  <c r="BM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O138" i="1"/>
  <c r="BM138" i="1"/>
  <c r="Y138" i="1"/>
  <c r="P138" i="1"/>
  <c r="X136" i="1"/>
  <c r="X135" i="1"/>
  <c r="BO134" i="1"/>
  <c r="BM134" i="1"/>
  <c r="Y134" i="1"/>
  <c r="P134" i="1"/>
  <c r="BO133" i="1"/>
  <c r="BM133" i="1"/>
  <c r="Y133" i="1"/>
  <c r="Y135" i="1" s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O104" i="1"/>
  <c r="BM104" i="1"/>
  <c r="Y104" i="1"/>
  <c r="P104" i="1"/>
  <c r="BO103" i="1"/>
  <c r="BM103" i="1"/>
  <c r="Y103" i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P96" i="1"/>
  <c r="BO95" i="1"/>
  <c r="BM95" i="1"/>
  <c r="Y95" i="1"/>
  <c r="P95" i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Y91" i="1" s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Z76" i="1" s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P57" i="1"/>
  <c r="BO56" i="1"/>
  <c r="BN56" i="1"/>
  <c r="BM56" i="1"/>
  <c r="Z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H9" i="1" s="1"/>
  <c r="D7" i="1"/>
  <c r="Q6" i="1"/>
  <c r="P2" i="1"/>
  <c r="BP104" i="1" l="1"/>
  <c r="BN104" i="1"/>
  <c r="Z104" i="1"/>
  <c r="BP134" i="1"/>
  <c r="BN134" i="1"/>
  <c r="Z134" i="1"/>
  <c r="BP138" i="1"/>
  <c r="BN138" i="1"/>
  <c r="Z138" i="1"/>
  <c r="BP175" i="1"/>
  <c r="BN175" i="1"/>
  <c r="Z175" i="1"/>
  <c r="BP212" i="1"/>
  <c r="BN212" i="1"/>
  <c r="Z212" i="1"/>
  <c r="BP235" i="1"/>
  <c r="BN235" i="1"/>
  <c r="Z235" i="1"/>
  <c r="BP278" i="1"/>
  <c r="BN278" i="1"/>
  <c r="Z278" i="1"/>
  <c r="BP283" i="1"/>
  <c r="BN283" i="1"/>
  <c r="Z283" i="1"/>
  <c r="BP312" i="1"/>
  <c r="BN312" i="1"/>
  <c r="Z312" i="1"/>
  <c r="BP349" i="1"/>
  <c r="BN349" i="1"/>
  <c r="Z349" i="1"/>
  <c r="BP394" i="1"/>
  <c r="BN394" i="1"/>
  <c r="Z394" i="1"/>
  <c r="BP428" i="1"/>
  <c r="BN428" i="1"/>
  <c r="Z428" i="1"/>
  <c r="BP448" i="1"/>
  <c r="BN448" i="1"/>
  <c r="Z448" i="1"/>
  <c r="X493" i="1"/>
  <c r="Z31" i="1"/>
  <c r="BN31" i="1"/>
  <c r="Z47" i="1"/>
  <c r="Z48" i="1" s="1"/>
  <c r="BN47" i="1"/>
  <c r="BP47" i="1"/>
  <c r="Y48" i="1"/>
  <c r="Z52" i="1"/>
  <c r="BN52" i="1"/>
  <c r="BP96" i="1"/>
  <c r="BN96" i="1"/>
  <c r="Z96" i="1"/>
  <c r="BP111" i="1"/>
  <c r="BN111" i="1"/>
  <c r="Z111" i="1"/>
  <c r="BP170" i="1"/>
  <c r="BN170" i="1"/>
  <c r="Z170" i="1"/>
  <c r="BP202" i="1"/>
  <c r="BN202" i="1"/>
  <c r="Z202" i="1"/>
  <c r="BP220" i="1"/>
  <c r="BN220" i="1"/>
  <c r="Z220" i="1"/>
  <c r="BP260" i="1"/>
  <c r="BN260" i="1"/>
  <c r="Z260" i="1"/>
  <c r="BP262" i="1"/>
  <c r="BN262" i="1"/>
  <c r="Z262" i="1"/>
  <c r="BP298" i="1"/>
  <c r="BN298" i="1"/>
  <c r="Z298" i="1"/>
  <c r="BP326" i="1"/>
  <c r="BN326" i="1"/>
  <c r="Z326" i="1"/>
  <c r="BP372" i="1"/>
  <c r="BN372" i="1"/>
  <c r="Z372" i="1"/>
  <c r="BP376" i="1"/>
  <c r="BN376" i="1"/>
  <c r="Z376" i="1"/>
  <c r="BP425" i="1"/>
  <c r="BN425" i="1"/>
  <c r="Z425" i="1"/>
  <c r="BP436" i="1"/>
  <c r="BN436" i="1"/>
  <c r="Z436" i="1"/>
  <c r="BP468" i="1"/>
  <c r="BN468" i="1"/>
  <c r="Z468" i="1"/>
  <c r="Y44" i="1"/>
  <c r="Z23" i="1"/>
  <c r="BN23" i="1"/>
  <c r="X491" i="1"/>
  <c r="Y33" i="1"/>
  <c r="Z29" i="1"/>
  <c r="BN29" i="1"/>
  <c r="Z35" i="1"/>
  <c r="Z36" i="1" s="1"/>
  <c r="BN35" i="1"/>
  <c r="BP35" i="1"/>
  <c r="Y36" i="1"/>
  <c r="Z41" i="1"/>
  <c r="BN41" i="1"/>
  <c r="Z54" i="1"/>
  <c r="BN54" i="1"/>
  <c r="Z62" i="1"/>
  <c r="BN62" i="1"/>
  <c r="Z74" i="1"/>
  <c r="BN74" i="1"/>
  <c r="BP76" i="1"/>
  <c r="BN76" i="1"/>
  <c r="BP94" i="1"/>
  <c r="BN94" i="1"/>
  <c r="Z94" i="1"/>
  <c r="BP102" i="1"/>
  <c r="BN102" i="1"/>
  <c r="Z102" i="1"/>
  <c r="Y125" i="1"/>
  <c r="Y124" i="1"/>
  <c r="BP123" i="1"/>
  <c r="BN123" i="1"/>
  <c r="Z123" i="1"/>
  <c r="Z124" i="1" s="1"/>
  <c r="BP128" i="1"/>
  <c r="BN128" i="1"/>
  <c r="Z128" i="1"/>
  <c r="BP151" i="1"/>
  <c r="BN151" i="1"/>
  <c r="Z151" i="1"/>
  <c r="Y157" i="1"/>
  <c r="Y156" i="1"/>
  <c r="BP155" i="1"/>
  <c r="BN155" i="1"/>
  <c r="Z155" i="1"/>
  <c r="Z156" i="1" s="1"/>
  <c r="Y162" i="1"/>
  <c r="BP161" i="1"/>
  <c r="BN161" i="1"/>
  <c r="Z161" i="1"/>
  <c r="Z162" i="1" s="1"/>
  <c r="BP168" i="1"/>
  <c r="BN168" i="1"/>
  <c r="Z168" i="1"/>
  <c r="BP173" i="1"/>
  <c r="BN173" i="1"/>
  <c r="Z173" i="1"/>
  <c r="Y198" i="1"/>
  <c r="BP196" i="1"/>
  <c r="BN196" i="1"/>
  <c r="Z196" i="1"/>
  <c r="BP208" i="1"/>
  <c r="BN208" i="1"/>
  <c r="Z208" i="1"/>
  <c r="BP218" i="1"/>
  <c r="BN218" i="1"/>
  <c r="Z218" i="1"/>
  <c r="BP233" i="1"/>
  <c r="BN233" i="1"/>
  <c r="Z233" i="1"/>
  <c r="BP253" i="1"/>
  <c r="BN253" i="1"/>
  <c r="Z253" i="1"/>
  <c r="BP101" i="1"/>
  <c r="BN101" i="1"/>
  <c r="Z101" i="1"/>
  <c r="BP117" i="1"/>
  <c r="BN117" i="1"/>
  <c r="Z117" i="1"/>
  <c r="BP145" i="1"/>
  <c r="BN145" i="1"/>
  <c r="Z145" i="1"/>
  <c r="BP172" i="1"/>
  <c r="BN172" i="1"/>
  <c r="Z172" i="1"/>
  <c r="BP181" i="1"/>
  <c r="BN181" i="1"/>
  <c r="Z181" i="1"/>
  <c r="BP204" i="1"/>
  <c r="BN204" i="1"/>
  <c r="Z204" i="1"/>
  <c r="BP214" i="1"/>
  <c r="BN214" i="1"/>
  <c r="Z214" i="1"/>
  <c r="Y226" i="1"/>
  <c r="BP224" i="1"/>
  <c r="BN224" i="1"/>
  <c r="Z224" i="1"/>
  <c r="BP237" i="1"/>
  <c r="BN237" i="1"/>
  <c r="Z237" i="1"/>
  <c r="BP269" i="1"/>
  <c r="BN269" i="1"/>
  <c r="Z269" i="1"/>
  <c r="BP289" i="1"/>
  <c r="BN289" i="1"/>
  <c r="Z289" i="1"/>
  <c r="Y308" i="1"/>
  <c r="BP302" i="1"/>
  <c r="BN302" i="1"/>
  <c r="Z302" i="1"/>
  <c r="BP314" i="1"/>
  <c r="BN314" i="1"/>
  <c r="Z314" i="1"/>
  <c r="BP332" i="1"/>
  <c r="BN332" i="1"/>
  <c r="Z332" i="1"/>
  <c r="BP351" i="1"/>
  <c r="BN351" i="1"/>
  <c r="Z351" i="1"/>
  <c r="BP382" i="1"/>
  <c r="BN382" i="1"/>
  <c r="Z382" i="1"/>
  <c r="BP396" i="1"/>
  <c r="BN396" i="1"/>
  <c r="Z396" i="1"/>
  <c r="BP430" i="1"/>
  <c r="BN430" i="1"/>
  <c r="Z430" i="1"/>
  <c r="BP440" i="1"/>
  <c r="BN440" i="1"/>
  <c r="Z440" i="1"/>
  <c r="BP450" i="1"/>
  <c r="BN450" i="1"/>
  <c r="Z450" i="1"/>
  <c r="BP474" i="1"/>
  <c r="BN474" i="1"/>
  <c r="Z474" i="1"/>
  <c r="Y480" i="1"/>
  <c r="Y479" i="1"/>
  <c r="BP478" i="1"/>
  <c r="BN478" i="1"/>
  <c r="Z478" i="1"/>
  <c r="Z479" i="1" s="1"/>
  <c r="BP482" i="1"/>
  <c r="BN482" i="1"/>
  <c r="Z482" i="1"/>
  <c r="Y153" i="1"/>
  <c r="Y152" i="1"/>
  <c r="Y210" i="1"/>
  <c r="Y222" i="1"/>
  <c r="K501" i="1"/>
  <c r="Y255" i="1"/>
  <c r="L501" i="1"/>
  <c r="Y280" i="1"/>
  <c r="BP276" i="1"/>
  <c r="BN276" i="1"/>
  <c r="Z276" i="1"/>
  <c r="BP296" i="1"/>
  <c r="BN296" i="1"/>
  <c r="Z296" i="1"/>
  <c r="BP306" i="1"/>
  <c r="BN306" i="1"/>
  <c r="Z306" i="1"/>
  <c r="BP320" i="1"/>
  <c r="BN320" i="1"/>
  <c r="Z320" i="1"/>
  <c r="BP324" i="1"/>
  <c r="BN324" i="1"/>
  <c r="Z324" i="1"/>
  <c r="BP347" i="1"/>
  <c r="BN347" i="1"/>
  <c r="Z347" i="1"/>
  <c r="Y363" i="1"/>
  <c r="BP361" i="1"/>
  <c r="BN361" i="1"/>
  <c r="Z361" i="1"/>
  <c r="BP392" i="1"/>
  <c r="BN392" i="1"/>
  <c r="Z392" i="1"/>
  <c r="BP413" i="1"/>
  <c r="BN413" i="1"/>
  <c r="Z413" i="1"/>
  <c r="BP434" i="1"/>
  <c r="BN434" i="1"/>
  <c r="Z434" i="1"/>
  <c r="Y452" i="1"/>
  <c r="BP446" i="1"/>
  <c r="BN446" i="1"/>
  <c r="Z446" i="1"/>
  <c r="BP464" i="1"/>
  <c r="BN464" i="1"/>
  <c r="Z464" i="1"/>
  <c r="Q501" i="1"/>
  <c r="Y322" i="1"/>
  <c r="Y321" i="1"/>
  <c r="Y470" i="1"/>
  <c r="Y25" i="1"/>
  <c r="BP22" i="1"/>
  <c r="BN22" i="1"/>
  <c r="Z22" i="1"/>
  <c r="Z24" i="1" s="1"/>
  <c r="B501" i="1"/>
  <c r="BP30" i="1"/>
  <c r="BN30" i="1"/>
  <c r="Z30" i="1"/>
  <c r="BP53" i="1"/>
  <c r="BN53" i="1"/>
  <c r="Z53" i="1"/>
  <c r="BP57" i="1"/>
  <c r="BN57" i="1"/>
  <c r="Z57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BP81" i="1"/>
  <c r="BN81" i="1"/>
  <c r="Z81" i="1"/>
  <c r="Z82" i="1" s="1"/>
  <c r="Y83" i="1"/>
  <c r="BP89" i="1"/>
  <c r="BN89" i="1"/>
  <c r="Z89" i="1"/>
  <c r="BP118" i="1"/>
  <c r="BN118" i="1"/>
  <c r="Z118" i="1"/>
  <c r="BP139" i="1"/>
  <c r="BN139" i="1"/>
  <c r="Z139" i="1"/>
  <c r="Z140" i="1" s="1"/>
  <c r="H501" i="1"/>
  <c r="Y147" i="1"/>
  <c r="BP144" i="1"/>
  <c r="BN144" i="1"/>
  <c r="Z144" i="1"/>
  <c r="Y77" i="1"/>
  <c r="E501" i="1"/>
  <c r="Y90" i="1"/>
  <c r="BP86" i="1"/>
  <c r="BN86" i="1"/>
  <c r="Z86" i="1"/>
  <c r="Y98" i="1"/>
  <c r="BP93" i="1"/>
  <c r="BN93" i="1"/>
  <c r="Z93" i="1"/>
  <c r="Y97" i="1"/>
  <c r="BP103" i="1"/>
  <c r="BN103" i="1"/>
  <c r="Z103" i="1"/>
  <c r="BP110" i="1"/>
  <c r="BN110" i="1"/>
  <c r="Z110" i="1"/>
  <c r="Y141" i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Y194" i="1"/>
  <c r="BP191" i="1"/>
  <c r="BN191" i="1"/>
  <c r="Z191" i="1"/>
  <c r="Z193" i="1" s="1"/>
  <c r="J501" i="1"/>
  <c r="F10" i="1"/>
  <c r="J9" i="1"/>
  <c r="F9" i="1"/>
  <c r="A10" i="1"/>
  <c r="X492" i="1"/>
  <c r="X494" i="1" s="1"/>
  <c r="Y24" i="1"/>
  <c r="BP28" i="1"/>
  <c r="BN28" i="1"/>
  <c r="Z28" i="1"/>
  <c r="Z32" i="1" s="1"/>
  <c r="Y32" i="1"/>
  <c r="BP42" i="1"/>
  <c r="BN42" i="1"/>
  <c r="Z42" i="1"/>
  <c r="Z44" i="1" s="1"/>
  <c r="BP55" i="1"/>
  <c r="BN55" i="1"/>
  <c r="Z55" i="1"/>
  <c r="BP63" i="1"/>
  <c r="BN63" i="1"/>
  <c r="Z63" i="1"/>
  <c r="Y65" i="1"/>
  <c r="Y70" i="1"/>
  <c r="BP67" i="1"/>
  <c r="BN67" i="1"/>
  <c r="Z67" i="1"/>
  <c r="BP75" i="1"/>
  <c r="BN75" i="1"/>
  <c r="Z75" i="1"/>
  <c r="Y82" i="1"/>
  <c r="BP87" i="1"/>
  <c r="BN87" i="1"/>
  <c r="Z87" i="1"/>
  <c r="BP95" i="1"/>
  <c r="BN95" i="1"/>
  <c r="Z95" i="1"/>
  <c r="F501" i="1"/>
  <c r="BP105" i="1"/>
  <c r="BN105" i="1"/>
  <c r="Z105" i="1"/>
  <c r="Y107" i="1"/>
  <c r="Y113" i="1"/>
  <c r="BP109" i="1"/>
  <c r="BN109" i="1"/>
  <c r="Z109" i="1"/>
  <c r="Z113" i="1" s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Z130" i="1" s="1"/>
  <c r="Y131" i="1"/>
  <c r="Y136" i="1"/>
  <c r="BP133" i="1"/>
  <c r="BN133" i="1"/>
  <c r="Z133" i="1"/>
  <c r="Y140" i="1"/>
  <c r="Y146" i="1"/>
  <c r="Z152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Y193" i="1"/>
  <c r="BP197" i="1"/>
  <c r="BN197" i="1"/>
  <c r="Z197" i="1"/>
  <c r="Z198" i="1" s="1"/>
  <c r="Y199" i="1"/>
  <c r="Y209" i="1"/>
  <c r="Y221" i="1"/>
  <c r="Y227" i="1"/>
  <c r="Y240" i="1"/>
  <c r="Y244" i="1"/>
  <c r="Y248" i="1"/>
  <c r="Y256" i="1"/>
  <c r="Y265" i="1"/>
  <c r="M501" i="1"/>
  <c r="Y273" i="1"/>
  <c r="BP284" i="1"/>
  <c r="BN284" i="1"/>
  <c r="Z284" i="1"/>
  <c r="Y286" i="1"/>
  <c r="Y291" i="1"/>
  <c r="BP288" i="1"/>
  <c r="BN288" i="1"/>
  <c r="Z288" i="1"/>
  <c r="Z290" i="1" s="1"/>
  <c r="BP297" i="1"/>
  <c r="BN297" i="1"/>
  <c r="Z297" i="1"/>
  <c r="BP305" i="1"/>
  <c r="BN305" i="1"/>
  <c r="Z305" i="1"/>
  <c r="BP313" i="1"/>
  <c r="BN313" i="1"/>
  <c r="Z313" i="1"/>
  <c r="BP325" i="1"/>
  <c r="BN325" i="1"/>
  <c r="Z325" i="1"/>
  <c r="BP333" i="1"/>
  <c r="BN333" i="1"/>
  <c r="Z333" i="1"/>
  <c r="Y335" i="1"/>
  <c r="R501" i="1"/>
  <c r="Y341" i="1"/>
  <c r="BP338" i="1"/>
  <c r="BN338" i="1"/>
  <c r="Z338" i="1"/>
  <c r="BP348" i="1"/>
  <c r="BN348" i="1"/>
  <c r="Z348" i="1"/>
  <c r="BP352" i="1"/>
  <c r="BN352" i="1"/>
  <c r="Z352" i="1"/>
  <c r="Y354" i="1"/>
  <c r="Y359" i="1"/>
  <c r="BP356" i="1"/>
  <c r="BN356" i="1"/>
  <c r="Z356" i="1"/>
  <c r="Z358" i="1" s="1"/>
  <c r="BP377" i="1"/>
  <c r="BN377" i="1"/>
  <c r="Z377" i="1"/>
  <c r="Z378" i="1" s="1"/>
  <c r="Y379" i="1"/>
  <c r="Y384" i="1"/>
  <c r="BP381" i="1"/>
  <c r="BN381" i="1"/>
  <c r="Z381" i="1"/>
  <c r="BP391" i="1"/>
  <c r="BN391" i="1"/>
  <c r="Z391" i="1"/>
  <c r="BP395" i="1"/>
  <c r="BN395" i="1"/>
  <c r="Z395" i="1"/>
  <c r="BP412" i="1"/>
  <c r="BN412" i="1"/>
  <c r="Z412" i="1"/>
  <c r="BP449" i="1"/>
  <c r="BN449" i="1"/>
  <c r="Z449" i="1"/>
  <c r="BP463" i="1"/>
  <c r="BN463" i="1"/>
  <c r="Z463" i="1"/>
  <c r="S501" i="1"/>
  <c r="X495" i="1"/>
  <c r="C501" i="1"/>
  <c r="Y45" i="1"/>
  <c r="D501" i="1"/>
  <c r="Y58" i="1"/>
  <c r="Y106" i="1"/>
  <c r="G501" i="1"/>
  <c r="Y130" i="1"/>
  <c r="I501" i="1"/>
  <c r="Y163" i="1"/>
  <c r="Z201" i="1"/>
  <c r="BN201" i="1"/>
  <c r="BP201" i="1"/>
  <c r="Z203" i="1"/>
  <c r="BN203" i="1"/>
  <c r="Z205" i="1"/>
  <c r="BN205" i="1"/>
  <c r="Z207" i="1"/>
  <c r="BN207" i="1"/>
  <c r="Z213" i="1"/>
  <c r="BN213" i="1"/>
  <c r="Z215" i="1"/>
  <c r="BN215" i="1"/>
  <c r="Z217" i="1"/>
  <c r="BN217" i="1"/>
  <c r="Z219" i="1"/>
  <c r="BN219" i="1"/>
  <c r="Z225" i="1"/>
  <c r="Z226" i="1" s="1"/>
  <c r="BN225" i="1"/>
  <c r="Z230" i="1"/>
  <c r="BN230" i="1"/>
  <c r="BP230" i="1"/>
  <c r="Z232" i="1"/>
  <c r="BN232" i="1"/>
  <c r="Z234" i="1"/>
  <c r="BN234" i="1"/>
  <c r="Z236" i="1"/>
  <c r="BN236" i="1"/>
  <c r="Z238" i="1"/>
  <c r="BN238" i="1"/>
  <c r="Y239" i="1"/>
  <c r="Z242" i="1"/>
  <c r="Z243" i="1" s="1"/>
  <c r="BN242" i="1"/>
  <c r="BP242" i="1"/>
  <c r="Z246" i="1"/>
  <c r="Z247" i="1" s="1"/>
  <c r="BN246" i="1"/>
  <c r="BP246" i="1"/>
  <c r="Z250" i="1"/>
  <c r="BN250" i="1"/>
  <c r="BP250" i="1"/>
  <c r="Z252" i="1"/>
  <c r="BN252" i="1"/>
  <c r="Z254" i="1"/>
  <c r="BN254" i="1"/>
  <c r="Z259" i="1"/>
  <c r="BN259" i="1"/>
  <c r="BP259" i="1"/>
  <c r="Z261" i="1"/>
  <c r="BN261" i="1"/>
  <c r="Z263" i="1"/>
  <c r="BN263" i="1"/>
  <c r="Y264" i="1"/>
  <c r="Z268" i="1"/>
  <c r="BN268" i="1"/>
  <c r="BP268" i="1"/>
  <c r="Z270" i="1"/>
  <c r="BN270" i="1"/>
  <c r="Y272" i="1"/>
  <c r="BP277" i="1"/>
  <c r="BN277" i="1"/>
  <c r="Z277" i="1"/>
  <c r="Z279" i="1" s="1"/>
  <c r="Y290" i="1"/>
  <c r="BP295" i="1"/>
  <c r="BN295" i="1"/>
  <c r="Z295" i="1"/>
  <c r="Y299" i="1"/>
  <c r="BP303" i="1"/>
  <c r="BN303" i="1"/>
  <c r="Z303" i="1"/>
  <c r="BP307" i="1"/>
  <c r="BN307" i="1"/>
  <c r="Z307" i="1"/>
  <c r="Y309" i="1"/>
  <c r="Y316" i="1"/>
  <c r="BP311" i="1"/>
  <c r="BN311" i="1"/>
  <c r="Z311" i="1"/>
  <c r="Y315" i="1"/>
  <c r="BP319" i="1"/>
  <c r="BN319" i="1"/>
  <c r="Z319" i="1"/>
  <c r="Z321" i="1" s="1"/>
  <c r="Y328" i="1"/>
  <c r="BP327" i="1"/>
  <c r="BN327" i="1"/>
  <c r="Z327" i="1"/>
  <c r="Y329" i="1"/>
  <c r="Y334" i="1"/>
  <c r="BP331" i="1"/>
  <c r="BN331" i="1"/>
  <c r="Z331" i="1"/>
  <c r="Z334" i="1" s="1"/>
  <c r="BP340" i="1"/>
  <c r="BN340" i="1"/>
  <c r="Z340" i="1"/>
  <c r="Y342" i="1"/>
  <c r="Y353" i="1"/>
  <c r="BP346" i="1"/>
  <c r="BN346" i="1"/>
  <c r="Z346" i="1"/>
  <c r="BP350" i="1"/>
  <c r="BN350" i="1"/>
  <c r="Z350" i="1"/>
  <c r="Y358" i="1"/>
  <c r="BP362" i="1"/>
  <c r="BN362" i="1"/>
  <c r="Z362" i="1"/>
  <c r="Z363" i="1" s="1"/>
  <c r="Y364" i="1"/>
  <c r="Y367" i="1"/>
  <c r="BP366" i="1"/>
  <c r="BN366" i="1"/>
  <c r="Z366" i="1"/>
  <c r="Z367" i="1" s="1"/>
  <c r="Y368" i="1"/>
  <c r="T501" i="1"/>
  <c r="Y374" i="1"/>
  <c r="BP371" i="1"/>
  <c r="BN371" i="1"/>
  <c r="Z371" i="1"/>
  <c r="Y378" i="1"/>
  <c r="BP383" i="1"/>
  <c r="BN383" i="1"/>
  <c r="Z383" i="1"/>
  <c r="Y385" i="1"/>
  <c r="U501" i="1"/>
  <c r="Y398" i="1"/>
  <c r="BP389" i="1"/>
  <c r="BN389" i="1"/>
  <c r="Z389" i="1"/>
  <c r="BP393" i="1"/>
  <c r="BN393" i="1"/>
  <c r="Z393" i="1"/>
  <c r="BP397" i="1"/>
  <c r="BN397" i="1"/>
  <c r="Z397" i="1"/>
  <c r="Y399" i="1"/>
  <c r="Y404" i="1"/>
  <c r="BP401" i="1"/>
  <c r="BN401" i="1"/>
  <c r="Z401" i="1"/>
  <c r="Z403" i="1" s="1"/>
  <c r="Y415" i="1"/>
  <c r="BP414" i="1"/>
  <c r="BN414" i="1"/>
  <c r="Z414" i="1"/>
  <c r="Y416" i="1"/>
  <c r="Y421" i="1"/>
  <c r="Y420" i="1"/>
  <c r="BP419" i="1"/>
  <c r="BN419" i="1"/>
  <c r="Z419" i="1"/>
  <c r="Z420" i="1" s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Y443" i="1"/>
  <c r="BP483" i="1"/>
  <c r="BN483" i="1"/>
  <c r="Z483" i="1"/>
  <c r="Y485" i="1"/>
  <c r="Z501" i="1"/>
  <c r="Y489" i="1"/>
  <c r="BP488" i="1"/>
  <c r="BN488" i="1"/>
  <c r="Z488" i="1"/>
  <c r="Z489" i="1" s="1"/>
  <c r="Y490" i="1"/>
  <c r="O501" i="1"/>
  <c r="W501" i="1"/>
  <c r="P501" i="1"/>
  <c r="Y285" i="1"/>
  <c r="Y300" i="1"/>
  <c r="V501" i="1"/>
  <c r="Y409" i="1"/>
  <c r="X501" i="1"/>
  <c r="BP427" i="1"/>
  <c r="BN427" i="1"/>
  <c r="Z427" i="1"/>
  <c r="BP431" i="1"/>
  <c r="BN431" i="1"/>
  <c r="Z431" i="1"/>
  <c r="BP435" i="1"/>
  <c r="BN435" i="1"/>
  <c r="Z435" i="1"/>
  <c r="Y444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Z465" i="1" s="1"/>
  <c r="Y465" i="1"/>
  <c r="BP469" i="1"/>
  <c r="BN469" i="1"/>
  <c r="Z469" i="1"/>
  <c r="Z470" i="1" s="1"/>
  <c r="Y471" i="1"/>
  <c r="Y476" i="1"/>
  <c r="BP473" i="1"/>
  <c r="BN473" i="1"/>
  <c r="Z473" i="1"/>
  <c r="Y484" i="1"/>
  <c r="Y501" i="1"/>
  <c r="Y438" i="1"/>
  <c r="Z475" i="1" l="1"/>
  <c r="Z484" i="1"/>
  <c r="Z443" i="1"/>
  <c r="Z373" i="1"/>
  <c r="Z353" i="1"/>
  <c r="Z315" i="1"/>
  <c r="Z308" i="1"/>
  <c r="Z299" i="1"/>
  <c r="Z285" i="1"/>
  <c r="Z183" i="1"/>
  <c r="Z135" i="1"/>
  <c r="Z70" i="1"/>
  <c r="Z146" i="1"/>
  <c r="Z221" i="1"/>
  <c r="Z328" i="1"/>
  <c r="Z452" i="1"/>
  <c r="Z437" i="1"/>
  <c r="Z272" i="1"/>
  <c r="Z264" i="1"/>
  <c r="Z209" i="1"/>
  <c r="Z415" i="1"/>
  <c r="Z106" i="1"/>
  <c r="Z58" i="1"/>
  <c r="Z255" i="1"/>
  <c r="Z239" i="1"/>
  <c r="Z341" i="1"/>
  <c r="Y493" i="1"/>
  <c r="Z398" i="1"/>
  <c r="Z384" i="1"/>
  <c r="Y495" i="1"/>
  <c r="Z177" i="1"/>
  <c r="Z97" i="1"/>
  <c r="Z90" i="1"/>
  <c r="Z77" i="1"/>
  <c r="Z64" i="1"/>
  <c r="Y492" i="1"/>
  <c r="Y494" i="1" s="1"/>
  <c r="Y491" i="1"/>
  <c r="Z496" i="1" l="1"/>
</calcChain>
</file>

<file path=xl/sharedStrings.xml><?xml version="1.0" encoding="utf-8"?>
<sst xmlns="http://schemas.openxmlformats.org/spreadsheetml/2006/main" count="2293" uniqueCount="775">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</sst>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/>
      <c r="I5" s="787"/>
      <c r="J5" s="787"/>
      <c r="K5" s="787"/>
      <c r="L5" s="787"/>
      <c r="M5" s="616"/>
      <c r="N5" s="58"/>
      <c r="P5" s="24" t="s">
        <v>10</v>
      </c>
      <c r="Q5" s="854">
        <v>46007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Вторник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0.375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200</v>
      </c>
      <c r="Y41" s="546">
        <f>IFERROR(IF(X41="",0,CEILING((X41/$H41),1)*$H41),"")</f>
        <v>205.20000000000002</v>
      </c>
      <c r="Z41" s="36">
        <f>IFERROR(IF(Y41=0,"",ROUNDUP(Y41/H41,0)*0.01898),"")</f>
        <v>0.36062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207.59259259259258</v>
      </c>
      <c r="BN41" s="64">
        <f>IFERROR(Y41*I41/H41,"0")</f>
        <v>212.99</v>
      </c>
      <c r="BO41" s="64">
        <f>IFERROR(1/J41*(X41/H41),"0")</f>
        <v>0.28935185185185186</v>
      </c>
      <c r="BP41" s="64">
        <f>IFERROR(1/J41*(Y41/H41),"0")</f>
        <v>0.296875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54">
        <v>4607091385687</v>
      </c>
      <c r="E42" s="555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440</v>
      </c>
      <c r="Y42" s="546">
        <f>IFERROR(IF(X42="",0,CEILING((X42/$H42),1)*$H42),"")</f>
        <v>440</v>
      </c>
      <c r="Z42" s="36">
        <f>IFERROR(IF(Y42=0,"",ROUNDUP(Y42/H42,0)*0.00902),"")</f>
        <v>0.99219999999999997</v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460.90000000000003</v>
      </c>
      <c r="BN42" s="64">
        <f>IFERROR(Y42*I42/H42,"0")</f>
        <v>460.90000000000003</v>
      </c>
      <c r="BO42" s="64">
        <f>IFERROR(1/J42*(X42/H42),"0")</f>
        <v>0.83333333333333337</v>
      </c>
      <c r="BP42" s="64">
        <f>IFERROR(1/J42*(Y42/H42),"0")</f>
        <v>0.83333333333333337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4301011565</v>
      </c>
      <c r="D43" s="554">
        <v>4680115882539</v>
      </c>
      <c r="E43" s="555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128.51851851851853</v>
      </c>
      <c r="Y44" s="547">
        <f>IFERROR(Y41/H41,"0")+IFERROR(Y42/H42,"0")+IFERROR(Y43/H43,"0")</f>
        <v>129</v>
      </c>
      <c r="Z44" s="547">
        <f>IFERROR(IF(Z41="",0,Z41),"0")+IFERROR(IF(Z42="",0,Z42),"0")+IFERROR(IF(Z43="",0,Z43),"0")</f>
        <v>1.3528199999999999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640</v>
      </c>
      <c r="Y45" s="547">
        <f>IFERROR(SUM(Y41:Y43),"0")</f>
        <v>645.20000000000005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250</v>
      </c>
      <c r="Y53" s="546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259.4907407407407</v>
      </c>
      <c r="BN53" s="64">
        <f t="shared" si="2"/>
        <v>269.04000000000002</v>
      </c>
      <c r="BO53" s="64">
        <f t="shared" si="3"/>
        <v>0.36168981481481477</v>
      </c>
      <c r="BP53" s="64">
        <f t="shared" si="4"/>
        <v>0.37500000000000006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360</v>
      </c>
      <c r="Y57" s="546">
        <f t="shared" si="0"/>
        <v>360</v>
      </c>
      <c r="Z57" s="36">
        <f>IFERROR(IF(Y57=0,"",ROUNDUP(Y57/H57,0)*0.00902),"")</f>
        <v>0.72160000000000002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375.20000000000005</v>
      </c>
      <c r="BN57" s="64">
        <f t="shared" si="2"/>
        <v>375.20000000000005</v>
      </c>
      <c r="BO57" s="64">
        <f t="shared" si="3"/>
        <v>0.60606060606060608</v>
      </c>
      <c r="BP57" s="64">
        <f t="shared" si="4"/>
        <v>0.60606060606060608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103.14814814814815</v>
      </c>
      <c r="Y58" s="547">
        <f>IFERROR(Y52/H52,"0")+IFERROR(Y53/H53,"0")+IFERROR(Y54/H54,"0")+IFERROR(Y55/H55,"0")+IFERROR(Y56/H56,"0")+IFERROR(Y57/H57,"0")</f>
        <v>104</v>
      </c>
      <c r="Z58" s="547">
        <f>IFERROR(IF(Z52="",0,Z52),"0")+IFERROR(IF(Z53="",0,Z53),"0")+IFERROR(IF(Z54="",0,Z54),"0")+IFERROR(IF(Z55="",0,Z55),"0")+IFERROR(IF(Z56="",0,Z56),"0")+IFERROR(IF(Z57="",0,Z57),"0")</f>
        <v>1.1771199999999999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610</v>
      </c>
      <c r="Y59" s="547">
        <f>IFERROR(SUM(Y52:Y57),"0")</f>
        <v>619.20000000000005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200</v>
      </c>
      <c r="Y61" s="546">
        <f>IFERROR(IF(X61="",0,CEILING((X61/$H61),1)*$H61),"")</f>
        <v>205.20000000000002</v>
      </c>
      <c r="Z61" s="36">
        <f>IFERROR(IF(Y61=0,"",ROUNDUP(Y61/H61,0)*0.01898),"")</f>
        <v>0.36062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207.59259259259258</v>
      </c>
      <c r="BN61" s="64">
        <f>IFERROR(Y61*I61/H61,"0")</f>
        <v>212.99</v>
      </c>
      <c r="BO61" s="64">
        <f>IFERROR(1/J61*(X61/H61),"0")</f>
        <v>0.28935185185185186</v>
      </c>
      <c r="BP61" s="64">
        <f>IFERROR(1/J61*(Y61/H61),"0")</f>
        <v>0.296875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180</v>
      </c>
      <c r="Y63" s="546">
        <f>IFERROR(IF(X63="",0,CEILING((X63/$H63),1)*$H63),"")</f>
        <v>180.9</v>
      </c>
      <c r="Z63" s="36">
        <f>IFERROR(IF(Y63=0,"",ROUNDUP(Y63/H63,0)*0.00651),"")</f>
        <v>0.43617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191.99999999999997</v>
      </c>
      <c r="BN63" s="64">
        <f>IFERROR(Y63*I63/H63,"0")</f>
        <v>192.95999999999998</v>
      </c>
      <c r="BO63" s="64">
        <f>IFERROR(1/J63*(X63/H63),"0")</f>
        <v>0.36630036630036628</v>
      </c>
      <c r="BP63" s="64">
        <f>IFERROR(1/J63*(Y63/H63),"0")</f>
        <v>0.36813186813186816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85.185185185185176</v>
      </c>
      <c r="Y64" s="547">
        <f>IFERROR(Y61/H61,"0")+IFERROR(Y62/H62,"0")+IFERROR(Y63/H63,"0")</f>
        <v>86</v>
      </c>
      <c r="Z64" s="547">
        <f>IFERROR(IF(Z61="",0,Z61),"0")+IFERROR(IF(Z62="",0,Z62),"0")+IFERROR(IF(Z63="",0,Z63),"0")</f>
        <v>0.79679</v>
      </c>
      <c r="AA64" s="548"/>
      <c r="AB64" s="548"/>
      <c r="AC64" s="548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380</v>
      </c>
      <c r="Y65" s="547">
        <f>IFERROR(SUM(Y61:Y63),"0")</f>
        <v>386.1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40</v>
      </c>
      <c r="Y80" s="546">
        <f>IFERROR(IF(X80="",0,CEILING((X80/$H80),1)*$H80),"")</f>
        <v>46.8</v>
      </c>
      <c r="Z80" s="36">
        <f>IFERROR(IF(Y80=0,"",ROUNDUP(Y80/H80,0)*0.01898),"")</f>
        <v>0.11388000000000001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42.102564102564109</v>
      </c>
      <c r="BN80" s="64">
        <f>IFERROR(Y80*I80/H80,"0")</f>
        <v>49.260000000000005</v>
      </c>
      <c r="BO80" s="64">
        <f>IFERROR(1/J80*(X80/H80),"0")</f>
        <v>8.0128205128205135E-2</v>
      </c>
      <c r="BP80" s="64">
        <f>IFERROR(1/J80*(Y80/H80),"0")</f>
        <v>9.375E-2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5.1282051282051286</v>
      </c>
      <c r="Y82" s="547">
        <f>IFERROR(Y80/H80,"0")+IFERROR(Y81/H81,"0")</f>
        <v>6</v>
      </c>
      <c r="Z82" s="547">
        <f>IFERROR(IF(Z80="",0,Z80),"0")+IFERROR(IF(Z81="",0,Z81),"0")</f>
        <v>0.11388000000000001</v>
      </c>
      <c r="AA82" s="548"/>
      <c r="AB82" s="548"/>
      <c r="AC82" s="548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40</v>
      </c>
      <c r="Y83" s="547">
        <f>IFERROR(SUM(Y80:Y81),"0")</f>
        <v>46.8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150</v>
      </c>
      <c r="Y86" s="546">
        <f>IFERROR(IF(X86="",0,CEILING((X86/$H86),1)*$H86),"")</f>
        <v>151.20000000000002</v>
      </c>
      <c r="Z86" s="36">
        <f>IFERROR(IF(Y86=0,"",ROUNDUP(Y86/H86,0)*0.01898),"")</f>
        <v>0.26572000000000001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155.69444444444446</v>
      </c>
      <c r="BN86" s="64">
        <f>IFERROR(Y86*I86/H86,"0")</f>
        <v>156.94</v>
      </c>
      <c r="BO86" s="64">
        <f>IFERROR(1/J86*(X86/H86),"0")</f>
        <v>0.21701388888888887</v>
      </c>
      <c r="BP86" s="64">
        <f>IFERROR(1/J86*(Y86/H86),"0")</f>
        <v>0.21875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405</v>
      </c>
      <c r="Y89" s="546">
        <f>IFERROR(IF(X89="",0,CEILING((X89/$H89),1)*$H89),"")</f>
        <v>405</v>
      </c>
      <c r="Z89" s="36">
        <f>IFERROR(IF(Y89=0,"",ROUNDUP(Y89/H89,0)*0.00902),"")</f>
        <v>0.81180000000000008</v>
      </c>
      <c r="AA89" s="56"/>
      <c r="AB89" s="57"/>
      <c r="AC89" s="135" t="s">
        <v>176</v>
      </c>
      <c r="AG89" s="64"/>
      <c r="AJ89" s="68"/>
      <c r="AK89" s="68">
        <v>0</v>
      </c>
      <c r="BB89" s="136" t="s">
        <v>1</v>
      </c>
      <c r="BM89" s="64">
        <f>IFERROR(X89*I89/H89,"0")</f>
        <v>422.1</v>
      </c>
      <c r="BN89" s="64">
        <f>IFERROR(Y89*I89/H89,"0")</f>
        <v>422.1</v>
      </c>
      <c r="BO89" s="64">
        <f>IFERROR(1/J89*(X89/H89),"0")</f>
        <v>0.68181818181818188</v>
      </c>
      <c r="BP89" s="64">
        <f>IFERROR(1/J89*(Y89/H89),"0")</f>
        <v>0.68181818181818188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103.88888888888889</v>
      </c>
      <c r="Y90" s="547">
        <f>IFERROR(Y86/H86,"0")+IFERROR(Y87/H87,"0")+IFERROR(Y88/H88,"0")+IFERROR(Y89/H89,"0")</f>
        <v>104</v>
      </c>
      <c r="Z90" s="547">
        <f>IFERROR(IF(Z86="",0,Z86),"0")+IFERROR(IF(Z87="",0,Z87),"0")+IFERROR(IF(Z88="",0,Z88),"0")+IFERROR(IF(Z89="",0,Z89),"0")</f>
        <v>1.07752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555</v>
      </c>
      <c r="Y91" s="547">
        <f>IFERROR(SUM(Y86:Y89),"0")</f>
        <v>556.20000000000005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300</v>
      </c>
      <c r="Y93" s="546">
        <f>IFERROR(IF(X93="",0,CEILING((X93/$H93),1)*$H93),"")</f>
        <v>307.8</v>
      </c>
      <c r="Z93" s="36">
        <f>IFERROR(IF(Y93=0,"",ROUNDUP(Y93/H93,0)*0.01898),"")</f>
        <v>0.72123999999999999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318.2962962962963</v>
      </c>
      <c r="BN93" s="64">
        <f>IFERROR(Y93*I93/H93,"0")</f>
        <v>326.572</v>
      </c>
      <c r="BO93" s="64">
        <f>IFERROR(1/J93*(X93/H93),"0")</f>
        <v>0.57870370370370372</v>
      </c>
      <c r="BP93" s="64">
        <f>IFERROR(1/J93*(Y93/H93),"0")</f>
        <v>0.59375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405</v>
      </c>
      <c r="Y95" s="546">
        <f>IFERROR(IF(X95="",0,CEILING((X95/$H95),1)*$H95),"")</f>
        <v>405</v>
      </c>
      <c r="Z95" s="36">
        <f>IFERROR(IF(Y95=0,"",ROUNDUP(Y95/H95,0)*0.00651),"")</f>
        <v>0.97650000000000003</v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442.79999999999995</v>
      </c>
      <c r="BN95" s="64">
        <f>IFERROR(Y95*I95/H95,"0")</f>
        <v>442.79999999999995</v>
      </c>
      <c r="BO95" s="64">
        <f>IFERROR(1/J95*(X95/H95),"0")</f>
        <v>0.82417582417582425</v>
      </c>
      <c r="BP95" s="64">
        <f>IFERROR(1/J95*(Y95/H95),"0")</f>
        <v>0.82417582417582425</v>
      </c>
    </row>
    <row r="96" spans="1:68" ht="16.5" hidden="1" customHeight="1" x14ac:dyDescent="0.25">
      <c r="A96" s="54" t="s">
        <v>194</v>
      </c>
      <c r="B96" s="54" t="s">
        <v>195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187.03703703703704</v>
      </c>
      <c r="Y97" s="547">
        <f>IFERROR(Y93/H93,"0")+IFERROR(Y94/H94,"0")+IFERROR(Y95/H95,"0")+IFERROR(Y96/H96,"0")</f>
        <v>188</v>
      </c>
      <c r="Z97" s="547">
        <f>IFERROR(IF(Z93="",0,Z93),"0")+IFERROR(IF(Z94="",0,Z94),"0")+IFERROR(IF(Z95="",0,Z95),"0")+IFERROR(IF(Z96="",0,Z96),"0")</f>
        <v>1.69774</v>
      </c>
      <c r="AA97" s="548"/>
      <c r="AB97" s="548"/>
      <c r="AC97" s="548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705</v>
      </c>
      <c r="Y98" s="547">
        <f>IFERROR(SUM(Y93:Y96),"0")</f>
        <v>712.8</v>
      </c>
      <c r="Z98" s="37"/>
      <c r="AA98" s="548"/>
      <c r="AB98" s="548"/>
      <c r="AC98" s="548"/>
    </row>
    <row r="99" spans="1:68" ht="16.5" hidden="1" customHeight="1" x14ac:dyDescent="0.25">
      <c r="A99" s="574" t="s">
        <v>197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70</v>
      </c>
      <c r="Y101" s="546">
        <f>IFERROR(IF(X101="",0,CEILING((X101/$H101),1)*$H101),"")</f>
        <v>75.600000000000009</v>
      </c>
      <c r="Z101" s="36">
        <f>IFERROR(IF(Y101=0,"",ROUNDUP(Y101/H101,0)*0.01898),"")</f>
        <v>0.13286000000000001</v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72.657407407407405</v>
      </c>
      <c r="BN101" s="64">
        <f>IFERROR(Y101*I101/H101,"0")</f>
        <v>78.47</v>
      </c>
      <c r="BO101" s="64">
        <f>IFERROR(1/J101*(X101/H101),"0")</f>
        <v>0.10127314814814814</v>
      </c>
      <c r="BP101" s="64">
        <f>IFERROR(1/J101*(Y101/H101),"0")</f>
        <v>0.109375</v>
      </c>
    </row>
    <row r="102" spans="1:68" ht="27" hidden="1" customHeight="1" x14ac:dyDescent="0.25">
      <c r="A102" s="54" t="s">
        <v>201</v>
      </c>
      <c r="B102" s="54" t="s">
        <v>202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203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205</v>
      </c>
      <c r="B103" s="54" t="s">
        <v>206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315</v>
      </c>
      <c r="Y104" s="546">
        <f>IFERROR(IF(X104="",0,CEILING((X104/$H104),1)*$H104),"")</f>
        <v>315</v>
      </c>
      <c r="Z104" s="36">
        <f>IFERROR(IF(Y104=0,"",ROUNDUP(Y104/H104,0)*0.00902),"")</f>
        <v>0.63139999999999996</v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328.3</v>
      </c>
      <c r="BN104" s="64">
        <f>IFERROR(Y104*I104/H104,"0")</f>
        <v>328.3</v>
      </c>
      <c r="BO104" s="64">
        <f>IFERROR(1/J104*(X104/H104),"0")</f>
        <v>0.53030303030303028</v>
      </c>
      <c r="BP104" s="64">
        <f>IFERROR(1/J104*(Y104/H104),"0")</f>
        <v>0.53030303030303028</v>
      </c>
    </row>
    <row r="105" spans="1:68" ht="37.5" hidden="1" customHeight="1" x14ac:dyDescent="0.25">
      <c r="A105" s="54" t="s">
        <v>209</v>
      </c>
      <c r="B105" s="54" t="s">
        <v>210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76.481481481481481</v>
      </c>
      <c r="Y106" s="547">
        <f>IFERROR(Y101/H101,"0")+IFERROR(Y102/H102,"0")+IFERROR(Y103/H103,"0")+IFERROR(Y104/H104,"0")+IFERROR(Y105/H105,"0")</f>
        <v>77</v>
      </c>
      <c r="Z106" s="547">
        <f>IFERROR(IF(Z101="",0,Z101),"0")+IFERROR(IF(Z102="",0,Z102),"0")+IFERROR(IF(Z103="",0,Z103),"0")+IFERROR(IF(Z104="",0,Z104),"0")+IFERROR(IF(Z105="",0,Z105),"0")</f>
        <v>0.76425999999999994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385</v>
      </c>
      <c r="Y107" s="547">
        <f>IFERROR(SUM(Y101:Y105),"0")</f>
        <v>390.6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hidden="1" customHeight="1" x14ac:dyDescent="0.25">
      <c r="A109" s="54" t="s">
        <v>211</v>
      </c>
      <c r="B109" s="54" t="s">
        <v>212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214</v>
      </c>
      <c r="B110" s="54" t="s">
        <v>215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22" t="s">
        <v>217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219</v>
      </c>
      <c r="B111" s="54" t="s">
        <v>220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221</v>
      </c>
      <c r="B112" s="54" t="s">
        <v>222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customHeight="1" x14ac:dyDescent="0.25">
      <c r="A116" s="54" t="s">
        <v>223</v>
      </c>
      <c r="B116" s="54" t="s">
        <v>224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400</v>
      </c>
      <c r="Y116" s="546">
        <f>IFERROR(IF(X116="",0,CEILING((X116/$H116),1)*$H116),"")</f>
        <v>405</v>
      </c>
      <c r="Z116" s="36">
        <f>IFERROR(IF(Y116=0,"",ROUNDUP(Y116/H116,0)*0.01898),"")</f>
        <v>0.94900000000000007</v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424.09876543209879</v>
      </c>
      <c r="BN116" s="64">
        <f>IFERROR(Y116*I116/H116,"0")</f>
        <v>429.4</v>
      </c>
      <c r="BO116" s="64">
        <f>IFERROR(1/J116*(X116/H116),"0")</f>
        <v>0.77160493827160492</v>
      </c>
      <c r="BP116" s="64">
        <f>IFERROR(1/J116*(Y116/H116),"0")</f>
        <v>0.78125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228</v>
      </c>
      <c r="B118" s="54" t="s">
        <v>229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315</v>
      </c>
      <c r="Y118" s="546">
        <f>IFERROR(IF(X118="",0,CEILING((X118/$H118),1)*$H118),"")</f>
        <v>315.90000000000003</v>
      </c>
      <c r="Z118" s="36">
        <f>IFERROR(IF(Y118=0,"",ROUNDUP(Y118/H118,0)*0.00651),"")</f>
        <v>0.76167000000000007</v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344.4</v>
      </c>
      <c r="BN118" s="64">
        <f>IFERROR(Y118*I118/H118,"0")</f>
        <v>345.38400000000001</v>
      </c>
      <c r="BO118" s="64">
        <f>IFERROR(1/J118*(X118/H118),"0")</f>
        <v>0.64102564102564097</v>
      </c>
      <c r="BP118" s="64">
        <f>IFERROR(1/J118*(Y118/H118),"0")</f>
        <v>0.6428571428571429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 t="s">
        <v>230</v>
      </c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21</v>
      </c>
      <c r="Y119" s="546">
        <f>IFERROR(IF(X119="",0,CEILING((X119/$H119),1)*$H119),"")</f>
        <v>21.6</v>
      </c>
      <c r="Z119" s="36">
        <f>IFERROR(IF(Y119=0,"",ROUNDUP(Y119/H119,0)*0.00651),"")</f>
        <v>7.8119999999999995E-2</v>
      </c>
      <c r="AA119" s="56"/>
      <c r="AB119" s="57"/>
      <c r="AC119" s="169" t="s">
        <v>233</v>
      </c>
      <c r="AG119" s="64"/>
      <c r="AJ119" s="68" t="s">
        <v>109</v>
      </c>
      <c r="AK119" s="68">
        <v>25.2</v>
      </c>
      <c r="BB119" s="170" t="s">
        <v>1</v>
      </c>
      <c r="BM119" s="64">
        <f>IFERROR(X119*I119/H119,"0")</f>
        <v>23.099999999999998</v>
      </c>
      <c r="BN119" s="64">
        <f>IFERROR(Y119*I119/H119,"0")</f>
        <v>23.76</v>
      </c>
      <c r="BO119" s="64">
        <f>IFERROR(1/J119*(X119/H119),"0")</f>
        <v>6.4102564102564111E-2</v>
      </c>
      <c r="BP119" s="64">
        <f>IFERROR(1/J119*(Y119/H119),"0")</f>
        <v>6.5934065934065936E-2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177.71604938271602</v>
      </c>
      <c r="Y120" s="547">
        <f>IFERROR(Y116/H116,"0")+IFERROR(Y117/H117,"0")+IFERROR(Y118/H118,"0")+IFERROR(Y119/H119,"0")</f>
        <v>179</v>
      </c>
      <c r="Z120" s="547">
        <f>IFERROR(IF(Z116="",0,Z116),"0")+IFERROR(IF(Z117="",0,Z117),"0")+IFERROR(IF(Z118="",0,Z118),"0")+IFERROR(IF(Z119="",0,Z119),"0")</f>
        <v>1.7887900000000001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736</v>
      </c>
      <c r="Y121" s="547">
        <f>IFERROR(SUM(Y116:Y119),"0")</f>
        <v>742.50000000000011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 t="s">
        <v>230</v>
      </c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33</v>
      </c>
      <c r="Y123" s="546">
        <f>IFERROR(IF(X123="",0,CEILING((X123/$H123),1)*$H123),"")</f>
        <v>33.659999999999997</v>
      </c>
      <c r="Z123" s="36">
        <f>IFERROR(IF(Y123=0,"",ROUNDUP(Y123/H123,0)*0.00651),"")</f>
        <v>0.11067</v>
      </c>
      <c r="AA123" s="56"/>
      <c r="AB123" s="57"/>
      <c r="AC123" s="171" t="s">
        <v>236</v>
      </c>
      <c r="AG123" s="64"/>
      <c r="AJ123" s="68" t="s">
        <v>109</v>
      </c>
      <c r="AK123" s="68">
        <v>27.72</v>
      </c>
      <c r="BB123" s="172" t="s">
        <v>1</v>
      </c>
      <c r="BM123" s="64">
        <f>IFERROR(X123*I123/H123,"0")</f>
        <v>37.299999999999997</v>
      </c>
      <c r="BN123" s="64">
        <f>IFERROR(Y123*I123/H123,"0")</f>
        <v>38.045999999999992</v>
      </c>
      <c r="BO123" s="64">
        <f>IFERROR(1/J123*(X123/H123),"0")</f>
        <v>9.1575091575091583E-2</v>
      </c>
      <c r="BP123" s="64">
        <f>IFERROR(1/J123*(Y123/H123),"0")</f>
        <v>9.3406593406593408E-2</v>
      </c>
    </row>
    <row r="124" spans="1:68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16.666666666666668</v>
      </c>
      <c r="Y124" s="547">
        <f>IFERROR(Y123/H123,"0")</f>
        <v>17</v>
      </c>
      <c r="Z124" s="547">
        <f>IFERROR(IF(Z123="",0,Z123),"0")</f>
        <v>0.11067</v>
      </c>
      <c r="AA124" s="548"/>
      <c r="AB124" s="548"/>
      <c r="AC124" s="548"/>
    </row>
    <row r="125" spans="1:68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33</v>
      </c>
      <c r="Y125" s="547">
        <f>IFERROR(SUM(Y123:Y123),"0")</f>
        <v>33.659999999999997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230</v>
      </c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56</v>
      </c>
      <c r="Y128" s="546">
        <f>IFERROR(IF(X128="",0,CEILING((X128/$H128),1)*$H128),"")</f>
        <v>57.6</v>
      </c>
      <c r="Z128" s="36">
        <f>IFERROR(IF(Y128=0,"",ROUNDUP(Y128/H128,0)*0.00651),"")</f>
        <v>0.11718000000000001</v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59.15</v>
      </c>
      <c r="BN128" s="64">
        <f>IFERROR(Y128*I128/H128,"0")</f>
        <v>60.839999999999996</v>
      </c>
      <c r="BO128" s="64">
        <f>IFERROR(1/J128*(X128/H128),"0")</f>
        <v>9.6153846153846159E-2</v>
      </c>
      <c r="BP128" s="64">
        <f>IFERROR(1/J128*(Y128/H128),"0")</f>
        <v>9.8901098901098911E-2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17.5</v>
      </c>
      <c r="Y130" s="547">
        <f>IFERROR(Y128/H128,"0")+IFERROR(Y129/H129,"0")</f>
        <v>18</v>
      </c>
      <c r="Z130" s="547">
        <f>IFERROR(IF(Z128="",0,Z128),"0")+IFERROR(IF(Z129="",0,Z129),"0")</f>
        <v>0.11718000000000001</v>
      </c>
      <c r="AA130" s="548"/>
      <c r="AB130" s="548"/>
      <c r="AC130" s="548"/>
    </row>
    <row r="131" spans="1:68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56</v>
      </c>
      <c r="Y131" s="547">
        <f>IFERROR(SUM(Y128:Y129),"0")</f>
        <v>57.6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230</v>
      </c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52.5</v>
      </c>
      <c r="Y134" s="546">
        <f>IFERROR(IF(X134="",0,CEILING((X134/$H134),1)*$H134),"")</f>
        <v>53.199999999999996</v>
      </c>
      <c r="Z134" s="36">
        <f>IFERROR(IF(Y134=0,"",ROUNDUP(Y134/H134,0)*0.00651),"")</f>
        <v>0.12369000000000001</v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57.524999999999999</v>
      </c>
      <c r="BN134" s="64">
        <f>IFERROR(Y134*I134/H134,"0")</f>
        <v>58.291999999999994</v>
      </c>
      <c r="BO134" s="64">
        <f>IFERROR(1/J134*(X134/H134),"0")</f>
        <v>0.10302197802197803</v>
      </c>
      <c r="BP134" s="64">
        <f>IFERROR(1/J134*(Y134/H134),"0")</f>
        <v>0.1043956043956044</v>
      </c>
    </row>
    <row r="135" spans="1:68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18.75</v>
      </c>
      <c r="Y135" s="547">
        <f>IFERROR(Y133/H133,"0")+IFERROR(Y134/H134,"0")</f>
        <v>19</v>
      </c>
      <c r="Z135" s="547">
        <f>IFERROR(IF(Z133="",0,Z133),"0")+IFERROR(IF(Z134="",0,Z134),"0")</f>
        <v>0.12369000000000001</v>
      </c>
      <c r="AA135" s="548"/>
      <c r="AB135" s="548"/>
      <c r="AC135" s="548"/>
    </row>
    <row r="136" spans="1:68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52.5</v>
      </c>
      <c r="Y136" s="547">
        <f>IFERROR(SUM(Y133:Y134),"0")</f>
        <v>53.199999999999996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 t="s">
        <v>230</v>
      </c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52.8</v>
      </c>
      <c r="Y139" s="546">
        <f>IFERROR(IF(X139="",0,CEILING((X139/$H139),1)*$H139),"")</f>
        <v>52.800000000000004</v>
      </c>
      <c r="Z139" s="36">
        <f>IFERROR(IF(Y139=0,"",ROUNDUP(Y139/H139,0)*0.00651),"")</f>
        <v>0.13020000000000001</v>
      </c>
      <c r="AA139" s="56"/>
      <c r="AB139" s="57"/>
      <c r="AC139" s="183" t="s">
        <v>240</v>
      </c>
      <c r="AG139" s="64"/>
      <c r="AJ139" s="68" t="s">
        <v>109</v>
      </c>
      <c r="AK139" s="68">
        <v>36.96</v>
      </c>
      <c r="BB139" s="184" t="s">
        <v>1</v>
      </c>
      <c r="BM139" s="64">
        <f>IFERROR(X139*I139/H139,"0")</f>
        <v>58.159999999999989</v>
      </c>
      <c r="BN139" s="64">
        <f>IFERROR(Y139*I139/H139,"0")</f>
        <v>58.160000000000004</v>
      </c>
      <c r="BO139" s="64">
        <f>IFERROR(1/J139*(X139/H139),"0")</f>
        <v>0.10989010989010987</v>
      </c>
      <c r="BP139" s="64">
        <f>IFERROR(1/J139*(Y139/H139),"0")</f>
        <v>0.1098901098901099</v>
      </c>
    </row>
    <row r="140" spans="1:68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19.999999999999996</v>
      </c>
      <c r="Y140" s="547">
        <f>IFERROR(Y138/H138,"0")+IFERROR(Y139/H139,"0")</f>
        <v>20</v>
      </c>
      <c r="Z140" s="547">
        <f>IFERROR(IF(Z138="",0,Z138),"0")+IFERROR(IF(Z139="",0,Z139),"0")</f>
        <v>0.13020000000000001</v>
      </c>
      <c r="AA140" s="548"/>
      <c r="AB140" s="548"/>
      <c r="AC140" s="548"/>
    </row>
    <row r="141" spans="1:68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52.8</v>
      </c>
      <c r="Y141" s="547">
        <f>IFERROR(SUM(Y138:Y139),"0")</f>
        <v>52.800000000000004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50</v>
      </c>
      <c r="Y166" s="546">
        <f t="shared" si="5"/>
        <v>50.400000000000006</v>
      </c>
      <c r="Z166" s="36">
        <f>IFERROR(IF(Y166=0,"",ROUNDUP(Y166/H166,0)*0.00902),"")</f>
        <v>0.10824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52.976190476190474</v>
      </c>
      <c r="BN166" s="64">
        <f t="shared" si="7"/>
        <v>53.400000000000006</v>
      </c>
      <c r="BO166" s="64">
        <f t="shared" si="8"/>
        <v>9.0187590187590191E-2</v>
      </c>
      <c r="BP166" s="64">
        <f t="shared" si="9"/>
        <v>9.0909090909090912E-2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 t="s">
        <v>113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30</v>
      </c>
      <c r="Y167" s="546">
        <f t="shared" si="5"/>
        <v>33.6</v>
      </c>
      <c r="Z167" s="36">
        <f>IFERROR(IF(Y167=0,"",ROUNDUP(Y167/H167,0)*0.00902),"")</f>
        <v>7.2160000000000002E-2</v>
      </c>
      <c r="AA167" s="56"/>
      <c r="AB167" s="57"/>
      <c r="AC167" s="203" t="s">
        <v>282</v>
      </c>
      <c r="AG167" s="64"/>
      <c r="AJ167" s="68" t="s">
        <v>109</v>
      </c>
      <c r="AK167" s="68">
        <v>50.4</v>
      </c>
      <c r="BB167" s="204" t="s">
        <v>1</v>
      </c>
      <c r="BM167" s="64">
        <f t="shared" si="6"/>
        <v>31.785714285714285</v>
      </c>
      <c r="BN167" s="64">
        <f t="shared" si="7"/>
        <v>35.6</v>
      </c>
      <c r="BO167" s="64">
        <f t="shared" si="8"/>
        <v>5.4112554112554112E-2</v>
      </c>
      <c r="BP167" s="64">
        <f t="shared" si="9"/>
        <v>6.0606060606060608E-2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90</v>
      </c>
      <c r="Y168" s="546">
        <f t="shared" si="5"/>
        <v>92.4</v>
      </c>
      <c r="Z168" s="36">
        <f>IFERROR(IF(Y168=0,"",ROUNDUP(Y168/H168,0)*0.00902),"")</f>
        <v>0.19844000000000001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94.071428571428555</v>
      </c>
      <c r="BN168" s="64">
        <f t="shared" si="7"/>
        <v>96.579999999999984</v>
      </c>
      <c r="BO168" s="64">
        <f t="shared" si="8"/>
        <v>0.16233766233766234</v>
      </c>
      <c r="BP168" s="64">
        <f t="shared" si="9"/>
        <v>0.16666666666666669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87.5</v>
      </c>
      <c r="Y169" s="546">
        <f t="shared" si="5"/>
        <v>88.2</v>
      </c>
      <c r="Z169" s="36">
        <f>IFERROR(IF(Y169=0,"",ROUNDUP(Y169/H169,0)*0.00502),"")</f>
        <v>0.21084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92.916666666666657</v>
      </c>
      <c r="BN169" s="64">
        <f t="shared" si="7"/>
        <v>93.66</v>
      </c>
      <c r="BO169" s="64">
        <f t="shared" si="8"/>
        <v>0.17806267806267806</v>
      </c>
      <c r="BP169" s="64">
        <f t="shared" si="9"/>
        <v>0.17948717948717952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98</v>
      </c>
      <c r="Y171" s="546">
        <f t="shared" si="5"/>
        <v>98.7</v>
      </c>
      <c r="Z171" s="36">
        <f>IFERROR(IF(Y171=0,"",ROUNDUP(Y171/H171,0)*0.00502),"")</f>
        <v>0.23594000000000001</v>
      </c>
      <c r="AA171" s="56"/>
      <c r="AB171" s="57"/>
      <c r="AC171" s="211" t="s">
        <v>282</v>
      </c>
      <c r="AG171" s="64"/>
      <c r="AJ171" s="68" t="s">
        <v>109</v>
      </c>
      <c r="AK171" s="68">
        <v>37.799999999999997</v>
      </c>
      <c r="BB171" s="212" t="s">
        <v>1</v>
      </c>
      <c r="BM171" s="64">
        <f t="shared" si="6"/>
        <v>104.06666666666666</v>
      </c>
      <c r="BN171" s="64">
        <f t="shared" si="7"/>
        <v>104.80999999999999</v>
      </c>
      <c r="BO171" s="64">
        <f t="shared" si="8"/>
        <v>0.19943019943019943</v>
      </c>
      <c r="BP171" s="64">
        <f t="shared" si="9"/>
        <v>0.20085470085470086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175</v>
      </c>
      <c r="Y174" s="546">
        <f t="shared" si="5"/>
        <v>176.4</v>
      </c>
      <c r="Z174" s="36">
        <f>IFERROR(IF(Y174=0,"",ROUNDUP(Y174/H174,0)*0.00502),"")</f>
        <v>0.42168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183.33333333333334</v>
      </c>
      <c r="BN174" s="64">
        <f t="shared" si="7"/>
        <v>184.8</v>
      </c>
      <c r="BO174" s="64">
        <f t="shared" si="8"/>
        <v>0.35612535612535612</v>
      </c>
      <c r="BP174" s="64">
        <f t="shared" si="9"/>
        <v>0.35897435897435903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212.14285714285711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215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1.2473000000000001</v>
      </c>
      <c r="AA177" s="548"/>
      <c r="AB177" s="548"/>
      <c r="AC177" s="548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530.5</v>
      </c>
      <c r="Y178" s="547">
        <f>IFERROR(SUM(Y165:Y176),"0")</f>
        <v>539.70000000000005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7.0000000000000009</v>
      </c>
      <c r="Y180" s="546">
        <f>IFERROR(IF(X180="",0,CEILING((X180/$H180),1)*$H180),"")</f>
        <v>7.5600000000000005</v>
      </c>
      <c r="Z180" s="36">
        <f>IFERROR(IF(Y180=0,"",ROUNDUP(Y180/H180,0)*0.0059),"")</f>
        <v>3.5400000000000001E-2</v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8.0555555555555554</v>
      </c>
      <c r="BN180" s="64">
        <f>IFERROR(Y180*I180/H180,"0")</f>
        <v>8.6999999999999993</v>
      </c>
      <c r="BO180" s="64">
        <f>IFERROR(1/J180*(X180/H180),"0")</f>
        <v>2.5720164609053499E-2</v>
      </c>
      <c r="BP180" s="64">
        <f>IFERROR(1/J180*(Y180/H180),"0")</f>
        <v>2.7777777777777776E-2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7.0000000000000009</v>
      </c>
      <c r="Y181" s="546">
        <f>IFERROR(IF(X181="",0,CEILING((X181/$H181),1)*$H181),"")</f>
        <v>7.5600000000000005</v>
      </c>
      <c r="Z181" s="36">
        <f>IFERROR(IF(Y181=0,"",ROUNDUP(Y181/H181,0)*0.0059),"")</f>
        <v>3.5400000000000001E-2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8.0555555555555554</v>
      </c>
      <c r="BN181" s="64">
        <f>IFERROR(Y181*I181/H181,"0")</f>
        <v>8.6999999999999993</v>
      </c>
      <c r="BO181" s="64">
        <f>IFERROR(1/J181*(X181/H181),"0")</f>
        <v>2.5720164609053499E-2</v>
      </c>
      <c r="BP181" s="64">
        <f>IFERROR(1/J181*(Y181/H181),"0")</f>
        <v>2.7777777777777776E-2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7.0000000000000009</v>
      </c>
      <c r="Y182" s="546">
        <f>IFERROR(IF(X182="",0,CEILING((X182/$H182),1)*$H182),"")</f>
        <v>7.5600000000000005</v>
      </c>
      <c r="Z182" s="36">
        <f>IFERROR(IF(Y182=0,"",ROUNDUP(Y182/H182,0)*0.0059),"")</f>
        <v>3.5400000000000001E-2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8.0555555555555554</v>
      </c>
      <c r="BN182" s="64">
        <f>IFERROR(Y182*I182/H182,"0")</f>
        <v>8.6999999999999993</v>
      </c>
      <c r="BO182" s="64">
        <f>IFERROR(1/J182*(X182/H182),"0")</f>
        <v>2.5720164609053499E-2</v>
      </c>
      <c r="BP182" s="64">
        <f>IFERROR(1/J182*(Y182/H182),"0")</f>
        <v>2.7777777777777776E-2</v>
      </c>
    </row>
    <row r="183" spans="1:68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16.666666666666668</v>
      </c>
      <c r="Y183" s="547">
        <f>IFERROR(Y180/H180,"0")+IFERROR(Y181/H181,"0")+IFERROR(Y182/H182,"0")</f>
        <v>18</v>
      </c>
      <c r="Z183" s="547">
        <f>IFERROR(IF(Z180="",0,Z180),"0")+IFERROR(IF(Z181="",0,Z181),"0")+IFERROR(IF(Z182="",0,Z182),"0")</f>
        <v>0.1062</v>
      </c>
      <c r="AA183" s="548"/>
      <c r="AB183" s="548"/>
      <c r="AC183" s="548"/>
    </row>
    <row r="184" spans="1:68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21.000000000000004</v>
      </c>
      <c r="Y184" s="547">
        <f>IFERROR(SUM(Y180:Y182),"0")</f>
        <v>22.68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100</v>
      </c>
      <c r="Y201" s="546">
        <f t="shared" ref="Y201:Y208" si="10">IFERROR(IF(X201="",0,CEILING((X201/$H201),1)*$H201),"")</f>
        <v>102.60000000000001</v>
      </c>
      <c r="Z201" s="36">
        <f>IFERROR(IF(Y201=0,"",ROUNDUP(Y201/H201,0)*0.00902),"")</f>
        <v>0.17138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103.5185185185185</v>
      </c>
      <c r="BN201" s="64">
        <f t="shared" ref="BN201:BN208" si="12">IFERROR(Y201*I201/H201,"0")</f>
        <v>106.21</v>
      </c>
      <c r="BO201" s="64">
        <f t="shared" ref="BO201:BO208" si="13">IFERROR(1/J201*(X201/H201),"0")</f>
        <v>0.14029180695847362</v>
      </c>
      <c r="BP201" s="64">
        <f t="shared" ref="BP201:BP208" si="14">IFERROR(1/J201*(Y201/H201),"0")</f>
        <v>0.14393939393939395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30</v>
      </c>
      <c r="Y202" s="546">
        <f t="shared" si="10"/>
        <v>32.400000000000006</v>
      </c>
      <c r="Z202" s="36">
        <f>IFERROR(IF(Y202=0,"",ROUNDUP(Y202/H202,0)*0.00902),"")</f>
        <v>5.4120000000000001E-2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31.05555555555555</v>
      </c>
      <c r="BN202" s="64">
        <f t="shared" si="12"/>
        <v>33.54</v>
      </c>
      <c r="BO202" s="64">
        <f t="shared" si="13"/>
        <v>4.208754208754209E-2</v>
      </c>
      <c r="BP202" s="64">
        <f t="shared" si="14"/>
        <v>4.5454545454545463E-2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430</v>
      </c>
      <c r="Y203" s="546">
        <f t="shared" si="10"/>
        <v>432</v>
      </c>
      <c r="Z203" s="36">
        <f>IFERROR(IF(Y203=0,"",ROUNDUP(Y203/H203,0)*0.00902),"")</f>
        <v>0.72160000000000002</v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445.12962962962956</v>
      </c>
      <c r="BN203" s="64">
        <f t="shared" si="12"/>
        <v>447.2</v>
      </c>
      <c r="BO203" s="64">
        <f t="shared" si="13"/>
        <v>0.60325476992143656</v>
      </c>
      <c r="BP203" s="64">
        <f t="shared" si="14"/>
        <v>0.60606060606060608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70</v>
      </c>
      <c r="Y204" s="546">
        <f t="shared" si="10"/>
        <v>70.2</v>
      </c>
      <c r="Z204" s="36">
        <f>IFERROR(IF(Y204=0,"",ROUNDUP(Y204/H204,0)*0.00902),"")</f>
        <v>0.11726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72.462962962962962</v>
      </c>
      <c r="BN204" s="64">
        <f t="shared" si="12"/>
        <v>72.67</v>
      </c>
      <c r="BO204" s="64">
        <f t="shared" si="13"/>
        <v>9.8204264870931535E-2</v>
      </c>
      <c r="BP204" s="64">
        <f t="shared" si="14"/>
        <v>9.8484848484848481E-2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96</v>
      </c>
      <c r="Y205" s="546">
        <f t="shared" si="10"/>
        <v>97.2</v>
      </c>
      <c r="Z205" s="36">
        <f>IFERROR(IF(Y205=0,"",ROUNDUP(Y205/H205,0)*0.00502),"")</f>
        <v>0.27107999999999999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102.93333333333334</v>
      </c>
      <c r="BN205" s="64">
        <f t="shared" si="12"/>
        <v>104.22</v>
      </c>
      <c r="BO205" s="64">
        <f t="shared" si="13"/>
        <v>0.22792022792022792</v>
      </c>
      <c r="BP205" s="64">
        <f t="shared" si="14"/>
        <v>0.23076923076923078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45</v>
      </c>
      <c r="Y206" s="546">
        <f t="shared" si="10"/>
        <v>45</v>
      </c>
      <c r="Z206" s="36">
        <f>IFERROR(IF(Y206=0,"",ROUNDUP(Y206/H206,0)*0.00502),"")</f>
        <v>0.1255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47.5</v>
      </c>
      <c r="BN206" s="64">
        <f t="shared" si="12"/>
        <v>47.5</v>
      </c>
      <c r="BO206" s="64">
        <f t="shared" si="13"/>
        <v>0.10683760683760685</v>
      </c>
      <c r="BP206" s="64">
        <f t="shared" si="14"/>
        <v>0.10683760683760685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 t="s">
        <v>288</v>
      </c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75</v>
      </c>
      <c r="Y207" s="546">
        <f t="shared" si="10"/>
        <v>75.600000000000009</v>
      </c>
      <c r="Z207" s="36">
        <f>IFERROR(IF(Y207=0,"",ROUNDUP(Y207/H207,0)*0.00502),"")</f>
        <v>0.21084</v>
      </c>
      <c r="AA207" s="56"/>
      <c r="AB207" s="57"/>
      <c r="AC207" s="251" t="s">
        <v>340</v>
      </c>
      <c r="AG207" s="64"/>
      <c r="AJ207" s="68" t="s">
        <v>109</v>
      </c>
      <c r="AK207" s="68">
        <v>32.4</v>
      </c>
      <c r="BB207" s="252" t="s">
        <v>1</v>
      </c>
      <c r="BM207" s="64">
        <f t="shared" si="11"/>
        <v>79.166666666666671</v>
      </c>
      <c r="BN207" s="64">
        <f t="shared" si="12"/>
        <v>79.800000000000011</v>
      </c>
      <c r="BO207" s="64">
        <f t="shared" si="13"/>
        <v>0.17806267806267806</v>
      </c>
      <c r="BP207" s="64">
        <f t="shared" si="14"/>
        <v>0.17948717948717954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54</v>
      </c>
      <c r="Y208" s="546">
        <f t="shared" si="10"/>
        <v>54</v>
      </c>
      <c r="Z208" s="36">
        <f>IFERROR(IF(Y208=0,"",ROUNDUP(Y208/H208,0)*0.00502),"")</f>
        <v>0.15060000000000001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56.999999999999993</v>
      </c>
      <c r="BN208" s="64">
        <f t="shared" si="12"/>
        <v>56.999999999999993</v>
      </c>
      <c r="BO208" s="64">
        <f t="shared" si="13"/>
        <v>0.12820512820512822</v>
      </c>
      <c r="BP208" s="64">
        <f t="shared" si="14"/>
        <v>0.12820512820512822</v>
      </c>
    </row>
    <row r="209" spans="1:68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266.66666666666663</v>
      </c>
      <c r="Y209" s="547">
        <f>IFERROR(Y201/H201,"0")+IFERROR(Y202/H202,"0")+IFERROR(Y203/H203,"0")+IFERROR(Y204/H204,"0")+IFERROR(Y205/H205,"0")+IFERROR(Y206/H206,"0")+IFERROR(Y207/H207,"0")+IFERROR(Y208/H208,"0")</f>
        <v>269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1.8223799999999999</v>
      </c>
      <c r="AA209" s="548"/>
      <c r="AB209" s="548"/>
      <c r="AC209" s="548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900</v>
      </c>
      <c r="Y210" s="547">
        <f>IFERROR(SUM(Y201:Y208),"0")</f>
        <v>909.00000000000011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120</v>
      </c>
      <c r="Y214" s="546">
        <f t="shared" si="15"/>
        <v>121.79999999999998</v>
      </c>
      <c r="Z214" s="36">
        <f>IFERROR(IF(Y214=0,"",ROUNDUP(Y214/H214,0)*0.01898),"")</f>
        <v>0.26572000000000001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126.8137931034483</v>
      </c>
      <c r="BN214" s="64">
        <f t="shared" si="17"/>
        <v>128.71600000000001</v>
      </c>
      <c r="BO214" s="64">
        <f t="shared" si="18"/>
        <v>0.21551724137931036</v>
      </c>
      <c r="BP214" s="64">
        <f t="shared" si="19"/>
        <v>0.21875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240</v>
      </c>
      <c r="Y215" s="546">
        <f t="shared" si="15"/>
        <v>240</v>
      </c>
      <c r="Z215" s="36">
        <f t="shared" ref="Z215:Z220" si="20">IFERROR(IF(Y215=0,"",ROUNDUP(Y215/H215,0)*0.00651),"")</f>
        <v>0.65100000000000002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267</v>
      </c>
      <c r="BN215" s="64">
        <f t="shared" si="17"/>
        <v>267</v>
      </c>
      <c r="BO215" s="64">
        <f t="shared" si="18"/>
        <v>0.5494505494505495</v>
      </c>
      <c r="BP215" s="64">
        <f t="shared" si="19"/>
        <v>0.5494505494505495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280</v>
      </c>
      <c r="Y217" s="546">
        <f t="shared" si="15"/>
        <v>280.8</v>
      </c>
      <c r="Z217" s="36">
        <f t="shared" si="20"/>
        <v>0.76167000000000007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309.40000000000003</v>
      </c>
      <c r="BN217" s="64">
        <f t="shared" si="17"/>
        <v>310.28400000000005</v>
      </c>
      <c r="BO217" s="64">
        <f t="shared" si="18"/>
        <v>0.64102564102564108</v>
      </c>
      <c r="BP217" s="64">
        <f t="shared" si="19"/>
        <v>0.64285714285714302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/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100</v>
      </c>
      <c r="Y219" s="546">
        <f t="shared" si="15"/>
        <v>100.8</v>
      </c>
      <c r="Z219" s="36">
        <f t="shared" si="20"/>
        <v>0.27342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110.5</v>
      </c>
      <c r="BN219" s="64">
        <f t="shared" si="17"/>
        <v>111.384</v>
      </c>
      <c r="BO219" s="64">
        <f t="shared" si="18"/>
        <v>0.22893772893772898</v>
      </c>
      <c r="BP219" s="64">
        <f t="shared" si="19"/>
        <v>0.23076923076923078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200</v>
      </c>
      <c r="Y220" s="546">
        <f t="shared" si="15"/>
        <v>201.6</v>
      </c>
      <c r="Z220" s="36">
        <f t="shared" si="20"/>
        <v>0.54683999999999999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221.50000000000003</v>
      </c>
      <c r="BN220" s="64">
        <f t="shared" si="17"/>
        <v>223.27200000000002</v>
      </c>
      <c r="BO220" s="64">
        <f t="shared" si="18"/>
        <v>0.45787545787545797</v>
      </c>
      <c r="BP220" s="64">
        <f t="shared" si="19"/>
        <v>0.46153846153846156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355.45977011494256</v>
      </c>
      <c r="Y221" s="547">
        <f>IFERROR(Y212/H212,"0")+IFERROR(Y213/H213,"0")+IFERROR(Y214/H214,"0")+IFERROR(Y215/H215,"0")+IFERROR(Y216/H216,"0")+IFERROR(Y217/H217,"0")+IFERROR(Y218/H218,"0")+IFERROR(Y219/H219,"0")+IFERROR(Y220/H220,"0")</f>
        <v>357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2.49865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940</v>
      </c>
      <c r="Y222" s="547">
        <f>IFERROR(SUM(Y212:Y220),"0")</f>
        <v>944.99999999999989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230</v>
      </c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24</v>
      </c>
      <c r="Y224" s="546">
        <f>IFERROR(IF(X224="",0,CEILING((X224/$H224),1)*$H224),"")</f>
        <v>24</v>
      </c>
      <c r="Z224" s="36">
        <f>IFERROR(IF(Y224=0,"",ROUNDUP(Y224/H224,0)*0.00651),"")</f>
        <v>6.5100000000000005E-2</v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26.520000000000003</v>
      </c>
      <c r="BN224" s="64">
        <f>IFERROR(Y224*I224/H224,"0")</f>
        <v>26.520000000000003</v>
      </c>
      <c r="BO224" s="64">
        <f>IFERROR(1/J224*(X224/H224),"0")</f>
        <v>5.4945054945054951E-2</v>
      </c>
      <c r="BP224" s="64">
        <f>IFERROR(1/J224*(Y224/H224),"0")</f>
        <v>5.4945054945054951E-2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230</v>
      </c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28</v>
      </c>
      <c r="Y225" s="546">
        <f>IFERROR(IF(X225="",0,CEILING((X225/$H225),1)*$H225),"")</f>
        <v>28.799999999999997</v>
      </c>
      <c r="Z225" s="36">
        <f>IFERROR(IF(Y225=0,"",ROUNDUP(Y225/H225,0)*0.00651),"")</f>
        <v>7.8119999999999995E-2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30.94</v>
      </c>
      <c r="BN225" s="64">
        <f>IFERROR(Y225*I225/H225,"0")</f>
        <v>31.824000000000002</v>
      </c>
      <c r="BO225" s="64">
        <f>IFERROR(1/J225*(X225/H225),"0")</f>
        <v>6.4102564102564111E-2</v>
      </c>
      <c r="BP225" s="64">
        <f>IFERROR(1/J225*(Y225/H225),"0")</f>
        <v>6.5934065934065936E-2</v>
      </c>
    </row>
    <row r="226" spans="1:68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21.666666666666668</v>
      </c>
      <c r="Y226" s="547">
        <f>IFERROR(Y224/H224,"0")+IFERROR(Y225/H225,"0")</f>
        <v>22</v>
      </c>
      <c r="Z226" s="547">
        <f>IFERROR(IF(Z224="",0,Z224),"0")+IFERROR(IF(Z225="",0,Z225),"0")</f>
        <v>0.14322000000000001</v>
      </c>
      <c r="AA226" s="548"/>
      <c r="AB226" s="548"/>
      <c r="AC226" s="548"/>
    </row>
    <row r="227" spans="1:68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52</v>
      </c>
      <c r="Y227" s="547">
        <f>IFERROR(SUM(Y224:Y225),"0")</f>
        <v>52.8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 t="s">
        <v>106</v>
      </c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50</v>
      </c>
      <c r="Y232" s="546">
        <f t="shared" si="21"/>
        <v>58</v>
      </c>
      <c r="Z232" s="36">
        <f>IFERROR(IF(Y232=0,"",ROUNDUP(Y232/H232,0)*0.01898),"")</f>
        <v>9.4899999999999998E-2</v>
      </c>
      <c r="AA232" s="56"/>
      <c r="AB232" s="57"/>
      <c r="AC232" s="281" t="s">
        <v>389</v>
      </c>
      <c r="AG232" s="64"/>
      <c r="AJ232" s="68" t="s">
        <v>109</v>
      </c>
      <c r="AK232" s="68">
        <v>92.8</v>
      </c>
      <c r="BB232" s="282" t="s">
        <v>1</v>
      </c>
      <c r="BM232" s="64">
        <f t="shared" si="22"/>
        <v>51.767241379310349</v>
      </c>
      <c r="BN232" s="64">
        <f t="shared" si="23"/>
        <v>60.050000000000004</v>
      </c>
      <c r="BO232" s="64">
        <f t="shared" si="24"/>
        <v>6.7349137931034489E-2</v>
      </c>
      <c r="BP232" s="64">
        <f t="shared" si="25"/>
        <v>7.8125E-2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 t="s">
        <v>113</v>
      </c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36</v>
      </c>
      <c r="Y233" s="546">
        <f t="shared" si="21"/>
        <v>36</v>
      </c>
      <c r="Z233" s="36">
        <f>IFERROR(IF(Y233=0,"",ROUNDUP(Y233/H233,0)*0.00902),"")</f>
        <v>8.1180000000000002E-2</v>
      </c>
      <c r="AA233" s="56"/>
      <c r="AB233" s="57"/>
      <c r="AC233" s="283" t="s">
        <v>383</v>
      </c>
      <c r="AG233" s="64"/>
      <c r="AJ233" s="68" t="s">
        <v>109</v>
      </c>
      <c r="AK233" s="68">
        <v>48</v>
      </c>
      <c r="BB233" s="284" t="s">
        <v>1</v>
      </c>
      <c r="BM233" s="64">
        <f t="shared" si="22"/>
        <v>37.71</v>
      </c>
      <c r="BN233" s="64">
        <f t="shared" si="23"/>
        <v>37.71</v>
      </c>
      <c r="BO233" s="64">
        <f t="shared" si="24"/>
        <v>6.8181818181818177E-2</v>
      </c>
      <c r="BP233" s="64">
        <f t="shared" si="25"/>
        <v>6.8181818181818177E-2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113</v>
      </c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40</v>
      </c>
      <c r="Y237" s="546">
        <f t="shared" si="21"/>
        <v>40</v>
      </c>
      <c r="Z237" s="36">
        <f>IFERROR(IF(Y237=0,"",ROUNDUP(Y237/H237,0)*0.00902),"")</f>
        <v>9.0200000000000002E-2</v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41.900000000000006</v>
      </c>
      <c r="BN237" s="64">
        <f t="shared" si="23"/>
        <v>41.900000000000006</v>
      </c>
      <c r="BO237" s="64">
        <f t="shared" si="24"/>
        <v>7.575757575757576E-2</v>
      </c>
      <c r="BP237" s="64">
        <f t="shared" si="25"/>
        <v>7.575757575757576E-2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23.310344827586206</v>
      </c>
      <c r="Y239" s="547">
        <f>IFERROR(Y230/H230,"0")+IFERROR(Y231/H231,"0")+IFERROR(Y232/H232,"0")+IFERROR(Y233/H233,"0")+IFERROR(Y234/H234,"0")+IFERROR(Y235/H235,"0")+IFERROR(Y236/H236,"0")+IFERROR(Y237/H237,"0")+IFERROR(Y238/H238,"0")</f>
        <v>24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0.26628000000000002</v>
      </c>
      <c r="AA239" s="548"/>
      <c r="AB239" s="548"/>
      <c r="AC239" s="548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126</v>
      </c>
      <c r="Y240" s="547">
        <f>IFERROR(SUM(Y230:Y238),"0")</f>
        <v>134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6</v>
      </c>
      <c r="Y251" s="546">
        <f>IFERROR(IF(X251="",0,CEILING((X251/$H251),1)*$H251),"")</f>
        <v>7.2</v>
      </c>
      <c r="Z251" s="36">
        <f>IFERROR(IF(Y251=0,"",ROUNDUP(Y251/H251,0)*0.0059),"")</f>
        <v>2.3599999999999999E-2</v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6.5833333333333339</v>
      </c>
      <c r="BN251" s="64">
        <f>IFERROR(Y251*I251/H251,"0")</f>
        <v>7.9</v>
      </c>
      <c r="BO251" s="64">
        <f>IFERROR(1/J251*(X251/H251),"0")</f>
        <v>1.5432098765432096E-2</v>
      </c>
      <c r="BP251" s="64">
        <f>IFERROR(1/J251*(Y251/H251),"0")</f>
        <v>1.8518518518518517E-2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2.5</v>
      </c>
      <c r="Y252" s="546">
        <f>IFERROR(IF(X252="",0,CEILING((X252/$H252),1)*$H252),"")</f>
        <v>2.7</v>
      </c>
      <c r="Z252" s="36">
        <f>IFERROR(IF(Y252=0,"",ROUNDUP(Y252/H252,0)*0.0059),"")</f>
        <v>1.77E-2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3.0277777777777777</v>
      </c>
      <c r="BN252" s="64">
        <f>IFERROR(Y252*I252/H252,"0")</f>
        <v>3.2700000000000005</v>
      </c>
      <c r="BO252" s="64">
        <f>IFERROR(1/J252*(X252/H252),"0")</f>
        <v>1.2860082304526748E-2</v>
      </c>
      <c r="BP252" s="64">
        <f>IFERROR(1/J252*(Y252/H252),"0")</f>
        <v>1.3888888888888888E-2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6.1111111111111107</v>
      </c>
      <c r="Y255" s="547">
        <f>IFERROR(Y250/H250,"0")+IFERROR(Y251/H251,"0")+IFERROR(Y252/H252,"0")+IFERROR(Y253/H253,"0")+IFERROR(Y254/H254,"0")</f>
        <v>7</v>
      </c>
      <c r="Z255" s="547">
        <f>IFERROR(IF(Z250="",0,Z250),"0")+IFERROR(IF(Z251="",0,Z251),"0")+IFERROR(IF(Z252="",0,Z252),"0")+IFERROR(IF(Z253="",0,Z253),"0")+IFERROR(IF(Z254="",0,Z254),"0")</f>
        <v>4.1300000000000003E-2</v>
      </c>
      <c r="AA255" s="548"/>
      <c r="AB255" s="548"/>
      <c r="AC255" s="548"/>
    </row>
    <row r="256" spans="1:68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8.5</v>
      </c>
      <c r="Y256" s="547">
        <f>IFERROR(SUM(Y250:Y254),"0")</f>
        <v>9.9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100</v>
      </c>
      <c r="Y277" s="546">
        <f>IFERROR(IF(X277="",0,CEILING((X277/$H277),1)*$H277),"")</f>
        <v>100.8</v>
      </c>
      <c r="Z277" s="36">
        <f>IFERROR(IF(Y277=0,"",ROUNDUP(Y277/H277,0)*0.00651),"")</f>
        <v>0.27342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110.5</v>
      </c>
      <c r="BN277" s="64">
        <f>IFERROR(Y277*I277/H277,"0")</f>
        <v>111.384</v>
      </c>
      <c r="BO277" s="64">
        <f>IFERROR(1/J277*(X277/H277),"0")</f>
        <v>0.22893772893772898</v>
      </c>
      <c r="BP277" s="64">
        <f>IFERROR(1/J277*(Y277/H277),"0")</f>
        <v>0.23076923076923078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160</v>
      </c>
      <c r="Y278" s="546">
        <f>IFERROR(IF(X278="",0,CEILING((X278/$H278),1)*$H278),"")</f>
        <v>160.79999999999998</v>
      </c>
      <c r="Z278" s="36">
        <f>IFERROR(IF(Y278=0,"",ROUNDUP(Y278/H278,0)*0.00651),"")</f>
        <v>0.43617</v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172</v>
      </c>
      <c r="BN278" s="64">
        <f>IFERROR(Y278*I278/H278,"0")</f>
        <v>172.85999999999999</v>
      </c>
      <c r="BO278" s="64">
        <f>IFERROR(1/J278*(X278/H278),"0")</f>
        <v>0.36630036630036633</v>
      </c>
      <c r="BP278" s="64">
        <f>IFERROR(1/J278*(Y278/H278),"0")</f>
        <v>0.36813186813186816</v>
      </c>
    </row>
    <row r="279" spans="1:68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108.33333333333334</v>
      </c>
      <c r="Y279" s="547">
        <f>IFERROR(Y276/H276,"0")+IFERROR(Y277/H277,"0")+IFERROR(Y278/H278,"0")</f>
        <v>109</v>
      </c>
      <c r="Z279" s="547">
        <f>IFERROR(IF(Z276="",0,Z276),"0")+IFERROR(IF(Z277="",0,Z277),"0")+IFERROR(IF(Z278="",0,Z278),"0")</f>
        <v>0.70958999999999994</v>
      </c>
      <c r="AA279" s="548"/>
      <c r="AB279" s="548"/>
      <c r="AC279" s="548"/>
    </row>
    <row r="280" spans="1:68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260</v>
      </c>
      <c r="Y280" s="547">
        <f>IFERROR(SUM(Y276:Y278),"0")</f>
        <v>261.59999999999997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8</v>
      </c>
      <c r="Y284" s="546">
        <f>IFERROR(IF(X284="",0,CEILING((X284/$H284),1)*$H284),"")</f>
        <v>9.6</v>
      </c>
      <c r="Z284" s="36">
        <f>IFERROR(IF(Y284=0,"",ROUNDUP(Y284/H284,0)*0.00651),"")</f>
        <v>2.6040000000000001E-2</v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8.6000000000000014</v>
      </c>
      <c r="BN284" s="64">
        <f>IFERROR(Y284*I284/H284,"0")</f>
        <v>10.32</v>
      </c>
      <c r="BO284" s="64">
        <f>IFERROR(1/J284*(X284/H284),"0")</f>
        <v>1.8315018315018316E-2</v>
      </c>
      <c r="BP284" s="64">
        <f>IFERROR(1/J284*(Y284/H284),"0")</f>
        <v>2.197802197802198E-2</v>
      </c>
    </row>
    <row r="285" spans="1:68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3.3333333333333335</v>
      </c>
      <c r="Y285" s="547">
        <f>IFERROR(Y283/H283,"0")+IFERROR(Y284/H284,"0")</f>
        <v>4</v>
      </c>
      <c r="Z285" s="547">
        <f>IFERROR(IF(Z283="",0,Z283),"0")+IFERROR(IF(Z284="",0,Z284),"0")</f>
        <v>2.6040000000000001E-2</v>
      </c>
      <c r="AA285" s="548"/>
      <c r="AB285" s="548"/>
      <c r="AC285" s="548"/>
    </row>
    <row r="286" spans="1:68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8</v>
      </c>
      <c r="Y286" s="547">
        <f>IFERROR(SUM(Y283:Y284),"0")</f>
        <v>9.6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 t="s">
        <v>288</v>
      </c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 t="s">
        <v>109</v>
      </c>
      <c r="AK305" s="68">
        <v>37.799999999999997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140</v>
      </c>
      <c r="Y306" s="546">
        <f t="shared" si="26"/>
        <v>140.70000000000002</v>
      </c>
      <c r="Z306" s="36">
        <f>IFERROR(IF(Y306=0,"",ROUNDUP(Y306/H306,0)*0.00502),"")</f>
        <v>0.33634000000000003</v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146.66666666666666</v>
      </c>
      <c r="BN306" s="64">
        <f t="shared" si="28"/>
        <v>147.40000000000003</v>
      </c>
      <c r="BO306" s="64">
        <f t="shared" si="29"/>
        <v>0.28490028490028491</v>
      </c>
      <c r="BP306" s="64">
        <f t="shared" si="30"/>
        <v>0.28632478632478636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 t="s">
        <v>230</v>
      </c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21</v>
      </c>
      <c r="Y307" s="546">
        <f t="shared" si="26"/>
        <v>21.6</v>
      </c>
      <c r="Z307" s="36">
        <f>IFERROR(IF(Y307=0,"",ROUNDUP(Y307/H307,0)*0.00651),"")</f>
        <v>7.8119999999999995E-2</v>
      </c>
      <c r="AA307" s="56"/>
      <c r="AB307" s="57"/>
      <c r="AC307" s="361" t="s">
        <v>500</v>
      </c>
      <c r="AG307" s="64"/>
      <c r="AJ307" s="68" t="s">
        <v>109</v>
      </c>
      <c r="AK307" s="68">
        <v>25.2</v>
      </c>
      <c r="BB307" s="362" t="s">
        <v>1</v>
      </c>
      <c r="BM307" s="64">
        <f t="shared" si="27"/>
        <v>23.66</v>
      </c>
      <c r="BN307" s="64">
        <f t="shared" si="28"/>
        <v>24.335999999999999</v>
      </c>
      <c r="BO307" s="64">
        <f t="shared" si="29"/>
        <v>6.4102564102564111E-2</v>
      </c>
      <c r="BP307" s="64">
        <f t="shared" si="30"/>
        <v>6.5934065934065936E-2</v>
      </c>
    </row>
    <row r="308" spans="1:68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78.333333333333329</v>
      </c>
      <c r="Y308" s="547">
        <f>IFERROR(Y302/H302,"0")+IFERROR(Y303/H303,"0")+IFERROR(Y304/H304,"0")+IFERROR(Y305/H305,"0")+IFERROR(Y306/H306,"0")+IFERROR(Y307/H307,"0")</f>
        <v>79</v>
      </c>
      <c r="Z308" s="547">
        <f>IFERROR(IF(Z302="",0,Z302),"0")+IFERROR(IF(Z303="",0,Z303),"0")+IFERROR(IF(Z304="",0,Z304),"0")+IFERROR(IF(Z305="",0,Z305),"0")+IFERROR(IF(Z306="",0,Z306),"0")+IFERROR(IF(Z307="",0,Z307),"0")</f>
        <v>0.41446000000000005</v>
      </c>
      <c r="AA308" s="548"/>
      <c r="AB308" s="548"/>
      <c r="AC308" s="548"/>
    </row>
    <row r="309" spans="1:68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161</v>
      </c>
      <c r="Y309" s="547">
        <f>IFERROR(SUM(Y302:Y307),"0")</f>
        <v>162.30000000000001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20</v>
      </c>
      <c r="Y318" s="546">
        <f>IFERROR(IF(X318="",0,CEILING((X318/$H318),1)*$H318),"")</f>
        <v>25.200000000000003</v>
      </c>
      <c r="Z318" s="36">
        <f>IFERROR(IF(Y318=0,"",ROUNDUP(Y318/H318,0)*0.01898),"")</f>
        <v>5.6940000000000004E-2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21.176190476190474</v>
      </c>
      <c r="BN318" s="64">
        <f>IFERROR(Y318*I318/H318,"0")</f>
        <v>26.682000000000002</v>
      </c>
      <c r="BO318" s="64">
        <f>IFERROR(1/J318*(X318/H318),"0")</f>
        <v>3.7202380952380952E-2</v>
      </c>
      <c r="BP318" s="64">
        <f>IFERROR(1/J318*(Y318/H318),"0")</f>
        <v>4.6875E-2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300</v>
      </c>
      <c r="Y319" s="546">
        <f>IFERROR(IF(X319="",0,CEILING((X319/$H319),1)*$H319),"")</f>
        <v>304.2</v>
      </c>
      <c r="Z319" s="36">
        <f>IFERROR(IF(Y319=0,"",ROUNDUP(Y319/H319,0)*0.01898),"")</f>
        <v>0.74021999999999999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319.00000000000006</v>
      </c>
      <c r="BN319" s="64">
        <f>IFERROR(Y319*I319/H319,"0")</f>
        <v>323.46600000000001</v>
      </c>
      <c r="BO319" s="64">
        <f>IFERROR(1/J319*(X319/H319),"0")</f>
        <v>0.60096153846153844</v>
      </c>
      <c r="BP319" s="64">
        <f>IFERROR(1/J319*(Y319/H319),"0")</f>
        <v>0.609375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220</v>
      </c>
      <c r="Y320" s="546">
        <f>IFERROR(IF(X320="",0,CEILING((X320/$H320),1)*$H320),"")</f>
        <v>226.8</v>
      </c>
      <c r="Z320" s="36">
        <f>IFERROR(IF(Y320=0,"",ROUNDUP(Y320/H320,0)*0.01898),"")</f>
        <v>0.51246000000000003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232.93809523809523</v>
      </c>
      <c r="BN320" s="64">
        <f>IFERROR(Y320*I320/H320,"0")</f>
        <v>240.13800000000001</v>
      </c>
      <c r="BO320" s="64">
        <f>IFERROR(1/J320*(X320/H320),"0")</f>
        <v>0.40922619047619047</v>
      </c>
      <c r="BP320" s="64">
        <f>IFERROR(1/J320*(Y320/H320),"0")</f>
        <v>0.421875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67.032967032967036</v>
      </c>
      <c r="Y321" s="547">
        <f>IFERROR(Y318/H318,"0")+IFERROR(Y319/H319,"0")+IFERROR(Y320/H320,"0")</f>
        <v>69</v>
      </c>
      <c r="Z321" s="547">
        <f>IFERROR(IF(Z318="",0,Z318),"0")+IFERROR(IF(Z319="",0,Z319),"0")+IFERROR(IF(Z320="",0,Z320),"0")</f>
        <v>1.30962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540</v>
      </c>
      <c r="Y322" s="547">
        <f>IFERROR(SUM(Y318:Y320),"0")</f>
        <v>556.20000000000005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230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51.000000000000007</v>
      </c>
      <c r="Y326" s="546">
        <f>IFERROR(IF(X326="",0,CEILING((X326/$H326),1)*$H326),"")</f>
        <v>51</v>
      </c>
      <c r="Z326" s="36">
        <f>IFERROR(IF(Y326=0,"",ROUNDUP(Y326/H326,0)*0.00651),"")</f>
        <v>0.13020000000000001</v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59.100000000000009</v>
      </c>
      <c r="BN326" s="64">
        <f>IFERROR(Y326*I326/H326,"0")</f>
        <v>59.100000000000009</v>
      </c>
      <c r="BO326" s="64">
        <f>IFERROR(1/J326*(X326/H326),"0")</f>
        <v>0.10989010989010992</v>
      </c>
      <c r="BP326" s="64">
        <f>IFERROR(1/J326*(Y326/H326),"0")</f>
        <v>0.1098901098901099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230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255</v>
      </c>
      <c r="Y327" s="546">
        <f>IFERROR(IF(X327="",0,CEILING((X327/$H327),1)*$H327),"")</f>
        <v>254.99999999999997</v>
      </c>
      <c r="Z327" s="36">
        <f>IFERROR(IF(Y327=0,"",ROUNDUP(Y327/H327,0)*0.00651),"")</f>
        <v>0.65100000000000002</v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288</v>
      </c>
      <c r="BN327" s="64">
        <f>IFERROR(Y327*I327/H327,"0")</f>
        <v>287.99999999999994</v>
      </c>
      <c r="BO327" s="64">
        <f>IFERROR(1/J327*(X327/H327),"0")</f>
        <v>0.5494505494505495</v>
      </c>
      <c r="BP327" s="64">
        <f>IFERROR(1/J327*(Y327/H327),"0")</f>
        <v>0.5494505494505495</v>
      </c>
    </row>
    <row r="328" spans="1:68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120</v>
      </c>
      <c r="Y328" s="547">
        <f>IFERROR(Y324/H324,"0")+IFERROR(Y325/H325,"0")+IFERROR(Y326/H326,"0")+IFERROR(Y327/H327,"0")</f>
        <v>120</v>
      </c>
      <c r="Z328" s="547">
        <f>IFERROR(IF(Z324="",0,Z324),"0")+IFERROR(IF(Z325="",0,Z325),"0")+IFERROR(IF(Z326="",0,Z326),"0")+IFERROR(IF(Z327="",0,Z327),"0")</f>
        <v>0.78120000000000001</v>
      </c>
      <c r="AA328" s="548"/>
      <c r="AB328" s="548"/>
      <c r="AC328" s="548"/>
    </row>
    <row r="329" spans="1:68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306</v>
      </c>
      <c r="Y329" s="547">
        <f>IFERROR(SUM(Y324:Y327),"0")</f>
        <v>306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hidden="1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230</v>
      </c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230</v>
      </c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hidden="1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230</v>
      </c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560</v>
      </c>
      <c r="Y339" s="546">
        <f>IFERROR(IF(X339="",0,CEILING((X339/$H339),1)*$H339),"")</f>
        <v>560.70000000000005</v>
      </c>
      <c r="Z339" s="36">
        <f>IFERROR(IF(Y339=0,"",ROUNDUP(Y339/H339,0)*0.00651),"")</f>
        <v>1.73817</v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627.19999999999993</v>
      </c>
      <c r="BN339" s="64">
        <f>IFERROR(Y339*I339/H339,"0")</f>
        <v>627.98399999999992</v>
      </c>
      <c r="BO339" s="64">
        <f>IFERROR(1/J339*(X339/H339),"0")</f>
        <v>1.4652014652014651</v>
      </c>
      <c r="BP339" s="64">
        <f>IFERROR(1/J339*(Y339/H339),"0")</f>
        <v>1.4670329670329672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230</v>
      </c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525</v>
      </c>
      <c r="Y340" s="546">
        <f>IFERROR(IF(X340="",0,CEILING((X340/$H340),1)*$H340),"")</f>
        <v>525</v>
      </c>
      <c r="Z340" s="36">
        <f>IFERROR(IF(Y340=0,"",ROUNDUP(Y340/H340,0)*0.00651),"")</f>
        <v>1.6274999999999999</v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585</v>
      </c>
      <c r="BN340" s="64">
        <f>IFERROR(Y340*I340/H340,"0")</f>
        <v>585</v>
      </c>
      <c r="BO340" s="64">
        <f>IFERROR(1/J340*(X340/H340),"0")</f>
        <v>1.3736263736263736</v>
      </c>
      <c r="BP340" s="64">
        <f>IFERROR(1/J340*(Y340/H340),"0")</f>
        <v>1.3736263736263736</v>
      </c>
    </row>
    <row r="341" spans="1:68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516.66666666666663</v>
      </c>
      <c r="Y341" s="547">
        <f>IFERROR(Y338/H338,"0")+IFERROR(Y339/H339,"0")+IFERROR(Y340/H340,"0")</f>
        <v>517</v>
      </c>
      <c r="Z341" s="547">
        <f>IFERROR(IF(Z338="",0,Z338),"0")+IFERROR(IF(Z339="",0,Z339),"0")+IFERROR(IF(Z340="",0,Z340),"0")</f>
        <v>3.3656699999999997</v>
      </c>
      <c r="AA341" s="548"/>
      <c r="AB341" s="548"/>
      <c r="AC341" s="548"/>
    </row>
    <row r="342" spans="1:68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1085</v>
      </c>
      <c r="Y342" s="547">
        <f>IFERROR(SUM(Y338:Y340),"0")</f>
        <v>1085.7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/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1300</v>
      </c>
      <c r="Y346" s="546">
        <f t="shared" ref="Y346:Y352" si="31">IFERROR(IF(X346="",0,CEILING((X346/$H346),1)*$H346),"")</f>
        <v>1305</v>
      </c>
      <c r="Z346" s="36">
        <f>IFERROR(IF(Y346=0,"",ROUNDUP(Y346/H346,0)*0.02175),"")</f>
        <v>1.8922499999999998</v>
      </c>
      <c r="AA346" s="56"/>
      <c r="AB346" s="57"/>
      <c r="AC346" s="397" t="s">
        <v>555</v>
      </c>
      <c r="AG346" s="64"/>
      <c r="AJ346" s="68"/>
      <c r="AK346" s="68">
        <v>0</v>
      </c>
      <c r="BB346" s="398" t="s">
        <v>1</v>
      </c>
      <c r="BM346" s="64">
        <f t="shared" ref="BM346:BM352" si="32">IFERROR(X346*I346/H346,"0")</f>
        <v>1340.7333333333333</v>
      </c>
      <c r="BN346" s="64">
        <f t="shared" ref="BN346:BN352" si="33">IFERROR(Y346*I346/H346,"0")</f>
        <v>1345.89</v>
      </c>
      <c r="BO346" s="64">
        <f t="shared" ref="BO346:BO352" si="34">IFERROR(1/J346*(X346/H346),"0")</f>
        <v>1.8055555555555556</v>
      </c>
      <c r="BP346" s="64">
        <f t="shared" ref="BP346:BP352" si="35">IFERROR(1/J346*(Y346/H346),"0")</f>
        <v>1.8125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/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1000</v>
      </c>
      <c r="Y347" s="546">
        <f t="shared" si="31"/>
        <v>1005</v>
      </c>
      <c r="Z347" s="36">
        <f>IFERROR(IF(Y347=0,"",ROUNDUP(Y347/H347,0)*0.02175),"")</f>
        <v>1.4572499999999999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si="32"/>
        <v>1031.3333333333333</v>
      </c>
      <c r="BN347" s="64">
        <f t="shared" si="33"/>
        <v>1036.49</v>
      </c>
      <c r="BO347" s="64">
        <f t="shared" si="34"/>
        <v>1.3888888888888888</v>
      </c>
      <c r="BP347" s="64">
        <f t="shared" si="35"/>
        <v>1.3958333333333333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54">
        <v>4680115884830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1500</v>
      </c>
      <c r="Y348" s="546">
        <f t="shared" si="31"/>
        <v>1500</v>
      </c>
      <c r="Z348" s="36">
        <f>IFERROR(IF(Y348=0,"",ROUNDUP(Y348/H348,0)*0.02175),"")</f>
        <v>2.1749999999999998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1547</v>
      </c>
      <c r="BN348" s="64">
        <f t="shared" si="33"/>
        <v>1547</v>
      </c>
      <c r="BO348" s="64">
        <f t="shared" si="34"/>
        <v>2.083333333333333</v>
      </c>
      <c r="BP348" s="64">
        <f t="shared" si="35"/>
        <v>2.083333333333333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54">
        <v>4680115887046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600</v>
      </c>
      <c r="Y349" s="546">
        <f t="shared" si="31"/>
        <v>600</v>
      </c>
      <c r="Z349" s="36">
        <f>IFERROR(IF(Y349=0,"",ROUNDUP(Y349/H349,0)*0.02175),"")</f>
        <v>0.86999999999999988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618.79999999999995</v>
      </c>
      <c r="BN349" s="64">
        <f t="shared" si="33"/>
        <v>618.79999999999995</v>
      </c>
      <c r="BO349" s="64">
        <f t="shared" si="34"/>
        <v>0.83333333333333326</v>
      </c>
      <c r="BP349" s="64">
        <f t="shared" si="35"/>
        <v>0.83333333333333326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20</v>
      </c>
      <c r="Y352" s="546">
        <f t="shared" si="31"/>
        <v>20</v>
      </c>
      <c r="Z352" s="36">
        <f>IFERROR(IF(Y352=0,"",ROUNDUP(Y352/H352,0)*0.00902),"")</f>
        <v>3.6080000000000001E-2</v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20.76</v>
      </c>
      <c r="BN352" s="64">
        <f t="shared" si="33"/>
        <v>20.76</v>
      </c>
      <c r="BO352" s="64">
        <f t="shared" si="34"/>
        <v>3.0303030303030304E-2</v>
      </c>
      <c r="BP352" s="64">
        <f t="shared" si="35"/>
        <v>3.0303030303030304E-2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297.33333333333337</v>
      </c>
      <c r="Y353" s="547">
        <f>IFERROR(Y346/H346,"0")+IFERROR(Y347/H347,"0")+IFERROR(Y348/H348,"0")+IFERROR(Y349/H349,"0")+IFERROR(Y350/H350,"0")+IFERROR(Y351/H351,"0")+IFERROR(Y352/H352,"0")</f>
        <v>298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6.43058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4420</v>
      </c>
      <c r="Y354" s="547">
        <f>IFERROR(SUM(Y346:Y352),"0")</f>
        <v>4430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/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1100</v>
      </c>
      <c r="Y356" s="546">
        <f>IFERROR(IF(X356="",0,CEILING((X356/$H356),1)*$H356),"")</f>
        <v>1110</v>
      </c>
      <c r="Z356" s="36">
        <f>IFERROR(IF(Y356=0,"",ROUNDUP(Y356/H356,0)*0.02175),"")</f>
        <v>1.6094999999999999</v>
      </c>
      <c r="AA356" s="56"/>
      <c r="AB356" s="57"/>
      <c r="AC356" s="411" t="s">
        <v>574</v>
      </c>
      <c r="AG356" s="64"/>
      <c r="AJ356" s="68"/>
      <c r="AK356" s="68">
        <v>0</v>
      </c>
      <c r="BB356" s="412" t="s">
        <v>1</v>
      </c>
      <c r="BM356" s="64">
        <f>IFERROR(X356*I356/H356,"0")</f>
        <v>1134.4666666666667</v>
      </c>
      <c r="BN356" s="64">
        <f>IFERROR(Y356*I356/H356,"0")</f>
        <v>1144.78</v>
      </c>
      <c r="BO356" s="64">
        <f>IFERROR(1/J356*(X356/H356),"0")</f>
        <v>1.5277777777777777</v>
      </c>
      <c r="BP356" s="64">
        <f>IFERROR(1/J356*(Y356/H356),"0")</f>
        <v>1.5416666666666665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73.333333333333329</v>
      </c>
      <c r="Y358" s="547">
        <f>IFERROR(Y356/H356,"0")+IFERROR(Y357/H357,"0")</f>
        <v>74</v>
      </c>
      <c r="Z358" s="547">
        <f>IFERROR(IF(Z356="",0,Z356),"0")+IFERROR(IF(Z357="",0,Z357),"0")</f>
        <v>1.6094999999999999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1100</v>
      </c>
      <c r="Y359" s="547">
        <f>IFERROR(SUM(Y356:Y357),"0")</f>
        <v>1110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20</v>
      </c>
      <c r="Y362" s="546">
        <f>IFERROR(IF(X362="",0,CEILING((X362/$H362),1)*$H362),"")</f>
        <v>27</v>
      </c>
      <c r="Z362" s="36">
        <f>IFERROR(IF(Y362=0,"",ROUNDUP(Y362/H362,0)*0.01898),"")</f>
        <v>5.6940000000000004E-2</v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21.097777777777779</v>
      </c>
      <c r="BN362" s="64">
        <f>IFERROR(Y362*I362/H362,"0")</f>
        <v>28.481999999999996</v>
      </c>
      <c r="BO362" s="64">
        <f>IFERROR(1/J362*(X362/H362),"0")</f>
        <v>3.4722222222222224E-2</v>
      </c>
      <c r="BP362" s="64">
        <f>IFERROR(1/J362*(Y362/H362),"0")</f>
        <v>4.6875E-2</v>
      </c>
    </row>
    <row r="363" spans="1:68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2.2222222222222223</v>
      </c>
      <c r="Y363" s="547">
        <f>IFERROR(Y361/H361,"0")+IFERROR(Y362/H362,"0")</f>
        <v>3</v>
      </c>
      <c r="Z363" s="547">
        <f>IFERROR(IF(Z361="",0,Z361),"0")+IFERROR(IF(Z362="",0,Z362),"0")</f>
        <v>5.6940000000000004E-2</v>
      </c>
      <c r="AA363" s="548"/>
      <c r="AB363" s="548"/>
      <c r="AC363" s="548"/>
    </row>
    <row r="364" spans="1:68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20</v>
      </c>
      <c r="Y364" s="547">
        <f>IFERROR(SUM(Y361:Y362),"0")</f>
        <v>27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30</v>
      </c>
      <c r="Y366" s="546">
        <f>IFERROR(IF(X366="",0,CEILING((X366/$H366),1)*$H366),"")</f>
        <v>36</v>
      </c>
      <c r="Z366" s="36">
        <f>IFERROR(IF(Y366=0,"",ROUNDUP(Y366/H366,0)*0.01898),"")</f>
        <v>7.5920000000000001E-2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31.646666666666665</v>
      </c>
      <c r="BN366" s="64">
        <f>IFERROR(Y366*I366/H366,"0")</f>
        <v>37.975999999999999</v>
      </c>
      <c r="BO366" s="64">
        <f>IFERROR(1/J366*(X366/H366),"0")</f>
        <v>5.2083333333333336E-2</v>
      </c>
      <c r="BP366" s="64">
        <f>IFERROR(1/J366*(Y366/H366),"0")</f>
        <v>6.25E-2</v>
      </c>
    </row>
    <row r="367" spans="1:68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3.3333333333333335</v>
      </c>
      <c r="Y367" s="547">
        <f>IFERROR(Y366/H366,"0")</f>
        <v>4</v>
      </c>
      <c r="Z367" s="547">
        <f>IFERROR(IF(Z366="",0,Z366),"0")</f>
        <v>7.5920000000000001E-2</v>
      </c>
      <c r="AA367" s="548"/>
      <c r="AB367" s="548"/>
      <c r="AC367" s="548"/>
    </row>
    <row r="368" spans="1:68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30</v>
      </c>
      <c r="Y368" s="547">
        <f>IFERROR(SUM(Y366:Y366),"0")</f>
        <v>36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40</v>
      </c>
      <c r="Y371" s="546">
        <f>IFERROR(IF(X371="",0,CEILING((X371/$H371),1)*$H371),"")</f>
        <v>48</v>
      </c>
      <c r="Z371" s="36">
        <f>IFERROR(IF(Y371=0,"",ROUNDUP(Y371/H371,0)*0.01898),"")</f>
        <v>7.5920000000000001E-2</v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41.366666666666667</v>
      </c>
      <c r="BN371" s="64">
        <f>IFERROR(Y371*I371/H371,"0")</f>
        <v>49.640000000000008</v>
      </c>
      <c r="BO371" s="64">
        <f>IFERROR(1/J371*(X371/H371),"0")</f>
        <v>5.2083333333333336E-2</v>
      </c>
      <c r="BP371" s="64">
        <f>IFERROR(1/J371*(Y371/H371),"0")</f>
        <v>6.25E-2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3.3333333333333335</v>
      </c>
      <c r="Y373" s="547">
        <f>IFERROR(Y371/H371,"0")+IFERROR(Y372/H372,"0")</f>
        <v>4</v>
      </c>
      <c r="Z373" s="547">
        <f>IFERROR(IF(Z371="",0,Z371),"0")+IFERROR(IF(Z372="",0,Z372),"0")</f>
        <v>7.5920000000000001E-2</v>
      </c>
      <c r="AA373" s="548"/>
      <c r="AB373" s="548"/>
      <c r="AC373" s="548"/>
    </row>
    <row r="374" spans="1:68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40</v>
      </c>
      <c r="Y374" s="547">
        <f>IFERROR(SUM(Y371:Y372),"0")</f>
        <v>48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4301031303</v>
      </c>
      <c r="D376" s="554">
        <v>4607091384802</v>
      </c>
      <c r="E376" s="555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4301031457</v>
      </c>
      <c r="D377" s="554">
        <v>4607091384802</v>
      </c>
      <c r="E377" s="555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20</v>
      </c>
      <c r="Y381" s="546">
        <f>IFERROR(IF(X381="",0,CEILING((X381/$H381),1)*$H381),"")</f>
        <v>27</v>
      </c>
      <c r="Z381" s="36">
        <f>IFERROR(IF(Y381=0,"",ROUNDUP(Y381/H381,0)*0.01898),"")</f>
        <v>5.6940000000000004E-2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21.097777777777779</v>
      </c>
      <c r="BN381" s="64">
        <f>IFERROR(Y381*I381/H381,"0")</f>
        <v>28.481999999999996</v>
      </c>
      <c r="BO381" s="64">
        <f>IFERROR(1/J381*(X381/H381),"0")</f>
        <v>3.4722222222222224E-2</v>
      </c>
      <c r="BP381" s="64">
        <f>IFERROR(1/J381*(Y381/H381),"0")</f>
        <v>4.6875E-2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2.2222222222222223</v>
      </c>
      <c r="Y384" s="547">
        <f>IFERROR(Y381/H381,"0")+IFERROR(Y382/H382,"0")+IFERROR(Y383/H383,"0")</f>
        <v>3</v>
      </c>
      <c r="Z384" s="547">
        <f>IFERROR(IF(Z381="",0,Z381),"0")+IFERROR(IF(Z382="",0,Z382),"0")+IFERROR(IF(Z383="",0,Z383),"0")</f>
        <v>5.6940000000000004E-2</v>
      </c>
      <c r="AA384" s="548"/>
      <c r="AB384" s="548"/>
      <c r="AC384" s="548"/>
    </row>
    <row r="385" spans="1:68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20</v>
      </c>
      <c r="Y385" s="547">
        <f>IFERROR(SUM(Y381:Y383),"0")</f>
        <v>27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 t="s">
        <v>288</v>
      </c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28</v>
      </c>
      <c r="Y393" s="546">
        <f t="shared" si="36"/>
        <v>29.400000000000002</v>
      </c>
      <c r="Z393" s="36">
        <f t="shared" si="41"/>
        <v>7.0280000000000009E-2</v>
      </c>
      <c r="AA393" s="56"/>
      <c r="AB393" s="57"/>
      <c r="AC393" s="443" t="s">
        <v>609</v>
      </c>
      <c r="AG393" s="64"/>
      <c r="AJ393" s="68" t="s">
        <v>109</v>
      </c>
      <c r="AK393" s="68">
        <v>37.799999999999997</v>
      </c>
      <c r="BB393" s="444" t="s">
        <v>1</v>
      </c>
      <c r="BM393" s="64">
        <f t="shared" si="37"/>
        <v>29.733333333333331</v>
      </c>
      <c r="BN393" s="64">
        <f t="shared" si="38"/>
        <v>31.22</v>
      </c>
      <c r="BO393" s="64">
        <f t="shared" si="39"/>
        <v>5.6980056980056981E-2</v>
      </c>
      <c r="BP393" s="64">
        <f t="shared" si="40"/>
        <v>5.9829059829059839E-2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 t="s">
        <v>288</v>
      </c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 t="s">
        <v>109</v>
      </c>
      <c r="AK394" s="68">
        <v>37.799999999999997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70</v>
      </c>
      <c r="Y396" s="546">
        <f t="shared" si="36"/>
        <v>71.400000000000006</v>
      </c>
      <c r="Z396" s="36">
        <f t="shared" si="41"/>
        <v>0.17068</v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74.333333333333329</v>
      </c>
      <c r="BN396" s="64">
        <f t="shared" si="38"/>
        <v>75.820000000000007</v>
      </c>
      <c r="BO396" s="64">
        <f t="shared" si="39"/>
        <v>0.14245014245014245</v>
      </c>
      <c r="BP396" s="64">
        <f t="shared" si="40"/>
        <v>0.14529914529914531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46.666666666666657</v>
      </c>
      <c r="Y398" s="547">
        <f>IFERROR(Y389/H389,"0")+IFERROR(Y390/H390,"0")+IFERROR(Y391/H391,"0")+IFERROR(Y392/H392,"0")+IFERROR(Y393/H393,"0")+IFERROR(Y394/H394,"0")+IFERROR(Y395/H395,"0")+IFERROR(Y396/H396,"0")+IFERROR(Y397/H397,"0")</f>
        <v>48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0.24096000000000001</v>
      </c>
      <c r="AA398" s="548"/>
      <c r="AB398" s="548"/>
      <c r="AC398" s="548"/>
    </row>
    <row r="399" spans="1:68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98</v>
      </c>
      <c r="Y399" s="547">
        <f>IFERROR(SUM(Y389:Y397),"0")</f>
        <v>100.80000000000001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7</v>
      </c>
      <c r="Y414" s="546">
        <f>IFERROR(IF(X414="",0,CEILING((X414/$H414),1)*$H414),"")</f>
        <v>8.4</v>
      </c>
      <c r="Z414" s="36">
        <f>IFERROR(IF(Y414=0,"",ROUNDUP(Y414/H414,0)*0.00502),"")</f>
        <v>2.0080000000000001E-2</v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7.4333333333333327</v>
      </c>
      <c r="BN414" s="64">
        <f>IFERROR(Y414*I414/H414,"0")</f>
        <v>8.92</v>
      </c>
      <c r="BO414" s="64">
        <f>IFERROR(1/J414*(X414/H414),"0")</f>
        <v>1.4245014245014245E-2</v>
      </c>
      <c r="BP414" s="64">
        <f>IFERROR(1/J414*(Y414/H414),"0")</f>
        <v>1.7094017094017096E-2</v>
      </c>
    </row>
    <row r="415" spans="1:68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3.333333333333333</v>
      </c>
      <c r="Y415" s="547">
        <f>IFERROR(Y411/H411,"0")+IFERROR(Y412/H412,"0")+IFERROR(Y413/H413,"0")+IFERROR(Y414/H414,"0")</f>
        <v>4</v>
      </c>
      <c r="Z415" s="547">
        <f>IFERROR(IF(Z411="",0,Z411),"0")+IFERROR(IF(Z412="",0,Z412),"0")+IFERROR(IF(Z413="",0,Z413),"0")+IFERROR(IF(Z414="",0,Z414),"0")</f>
        <v>2.0080000000000001E-2</v>
      </c>
      <c r="AA415" s="548"/>
      <c r="AB415" s="548"/>
      <c r="AC415" s="548"/>
    </row>
    <row r="416" spans="1:68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7</v>
      </c>
      <c r="Y416" s="547">
        <f>IFERROR(SUM(Y411:Y414),"0")</f>
        <v>8.4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 t="s">
        <v>230</v>
      </c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24</v>
      </c>
      <c r="Y419" s="546">
        <f>IFERROR(IF(X419="",0,CEILING((X419/$H419),1)*$H419),"")</f>
        <v>24</v>
      </c>
      <c r="Z419" s="36">
        <f>IFERROR(IF(Y419=0,"",ROUNDUP(Y419/H419,0)*0.00651),"")</f>
        <v>0.13020000000000001</v>
      </c>
      <c r="AA419" s="56"/>
      <c r="AB419" s="57"/>
      <c r="AC419" s="467" t="s">
        <v>655</v>
      </c>
      <c r="AG419" s="64"/>
      <c r="AJ419" s="68" t="s">
        <v>109</v>
      </c>
      <c r="AK419" s="68">
        <v>16.8</v>
      </c>
      <c r="BB419" s="468" t="s">
        <v>1</v>
      </c>
      <c r="BM419" s="64">
        <f>IFERROR(X419*I419/H419,"0")</f>
        <v>42.000000000000007</v>
      </c>
      <c r="BN419" s="64">
        <f>IFERROR(Y419*I419/H419,"0")</f>
        <v>42.000000000000007</v>
      </c>
      <c r="BO419" s="64">
        <f>IFERROR(1/J419*(X419/H419),"0")</f>
        <v>0.1098901098901099</v>
      </c>
      <c r="BP419" s="64">
        <f>IFERROR(1/J419*(Y419/H419),"0")</f>
        <v>0.1098901098901099</v>
      </c>
    </row>
    <row r="420" spans="1:68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20</v>
      </c>
      <c r="Y420" s="547">
        <f>IFERROR(Y419/H419,"0")</f>
        <v>20</v>
      </c>
      <c r="Z420" s="547">
        <f>IFERROR(IF(Z419="",0,Z419),"0")</f>
        <v>0.13020000000000001</v>
      </c>
      <c r="AA420" s="548"/>
      <c r="AB420" s="548"/>
      <c r="AC420" s="548"/>
    </row>
    <row r="421" spans="1:68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24</v>
      </c>
      <c r="Y421" s="547">
        <f>IFERROR(SUM(Y419:Y419),"0")</f>
        <v>24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150</v>
      </c>
      <c r="Y425" s="546">
        <f t="shared" ref="Y425:Y436" si="42">IFERROR(IF(X425="",0,CEILING((X425/$H425),1)*$H425),"")</f>
        <v>153.12</v>
      </c>
      <c r="Z425" s="36">
        <f t="shared" ref="Z425:Z431" si="43">IFERROR(IF(Y425=0,"",ROUNDUP(Y425/H425,0)*0.01196),"")</f>
        <v>0.34683999999999998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159.94318181818181</v>
      </c>
      <c r="BN425" s="64">
        <f t="shared" ref="BN425:BN436" si="45">IFERROR(Y425*I425/H425,"0")</f>
        <v>163.26999999999998</v>
      </c>
      <c r="BO425" s="64">
        <f t="shared" ref="BO425:BO436" si="46">IFERROR(1/J425*(X425/H425),"0")</f>
        <v>0.27316433566433568</v>
      </c>
      <c r="BP425" s="64">
        <f t="shared" ref="BP425:BP436" si="47">IFERROR(1/J425*(Y425/H425),"0")</f>
        <v>0.27884615384615385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150</v>
      </c>
      <c r="Y429" s="546">
        <f t="shared" si="42"/>
        <v>153.12</v>
      </c>
      <c r="Z429" s="36">
        <f t="shared" si="43"/>
        <v>0.34683999999999998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159.94318181818181</v>
      </c>
      <c r="BN429" s="64">
        <f t="shared" si="45"/>
        <v>163.26999999999998</v>
      </c>
      <c r="BO429" s="64">
        <f t="shared" si="46"/>
        <v>0.27316433566433568</v>
      </c>
      <c r="BP429" s="64">
        <f t="shared" si="47"/>
        <v>0.27884615384615385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200</v>
      </c>
      <c r="Y431" s="546">
        <f t="shared" si="42"/>
        <v>200.64000000000001</v>
      </c>
      <c r="Z431" s="36">
        <f t="shared" si="43"/>
        <v>0.45448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213.25757575757575</v>
      </c>
      <c r="BN431" s="64">
        <f t="shared" si="45"/>
        <v>213.94</v>
      </c>
      <c r="BO431" s="64">
        <f t="shared" si="46"/>
        <v>0.36421911421911418</v>
      </c>
      <c r="BP431" s="64">
        <f t="shared" si="47"/>
        <v>0.36538461538461542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120</v>
      </c>
      <c r="Y433" s="546">
        <f t="shared" si="42"/>
        <v>120</v>
      </c>
      <c r="Z433" s="36">
        <f>IFERROR(IF(Y433=0,"",ROUNDUP(Y433/H433,0)*0.00902),"")</f>
        <v>0.22550000000000001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172.75000000000003</v>
      </c>
      <c r="BN433" s="64">
        <f t="shared" si="45"/>
        <v>172.75000000000003</v>
      </c>
      <c r="BO433" s="64">
        <f t="shared" si="46"/>
        <v>0.18939393939393939</v>
      </c>
      <c r="BP433" s="64">
        <f t="shared" si="47"/>
        <v>0.18939393939393939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132</v>
      </c>
      <c r="Y436" s="546">
        <f t="shared" si="42"/>
        <v>134.4</v>
      </c>
      <c r="Z436" s="36">
        <f>IFERROR(IF(Y436=0,"",ROUNDUP(Y436/H436,0)*0.00902),"")</f>
        <v>0.25256000000000001</v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190.02500000000001</v>
      </c>
      <c r="BN436" s="64">
        <f t="shared" si="45"/>
        <v>193.48000000000002</v>
      </c>
      <c r="BO436" s="64">
        <f t="shared" si="46"/>
        <v>0.20833333333333334</v>
      </c>
      <c r="BP436" s="64">
        <f t="shared" si="47"/>
        <v>0.21212121212121215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147.19696969696969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149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1.62622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752</v>
      </c>
      <c r="Y438" s="547">
        <f>IFERROR(SUM(Y425:Y436),"0")</f>
        <v>761.28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200</v>
      </c>
      <c r="Y440" s="546">
        <f>IFERROR(IF(X440="",0,CEILING((X440/$H440),1)*$H440),"")</f>
        <v>200.64000000000001</v>
      </c>
      <c r="Z440" s="36">
        <f>IFERROR(IF(Y440=0,"",ROUNDUP(Y440/H440,0)*0.01196),"")</f>
        <v>0.45448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213.25757575757575</v>
      </c>
      <c r="BN440" s="64">
        <f>IFERROR(Y440*I440/H440,"0")</f>
        <v>213.94</v>
      </c>
      <c r="BO440" s="64">
        <f>IFERROR(1/J440*(X440/H440),"0")</f>
        <v>0.36421911421911418</v>
      </c>
      <c r="BP440" s="64">
        <f>IFERROR(1/J440*(Y440/H440),"0")</f>
        <v>0.36538461538461542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37.878787878787875</v>
      </c>
      <c r="Y443" s="547">
        <f>IFERROR(Y440/H440,"0")+IFERROR(Y441/H441,"0")+IFERROR(Y442/H442,"0")</f>
        <v>38</v>
      </c>
      <c r="Z443" s="547">
        <f>IFERROR(IF(Z440="",0,Z440),"0")+IFERROR(IF(Z441="",0,Z441),"0")+IFERROR(IF(Z442="",0,Z442),"0")</f>
        <v>0.45448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200</v>
      </c>
      <c r="Y444" s="547">
        <f>IFERROR(SUM(Y440:Y442),"0")</f>
        <v>200.64000000000001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60</v>
      </c>
      <c r="Y446" s="546">
        <f t="shared" ref="Y446:Y451" si="48">IFERROR(IF(X446="",0,CEILING((X446/$H446),1)*$H446),"")</f>
        <v>63.36</v>
      </c>
      <c r="Z446" s="36">
        <f>IFERROR(IF(Y446=0,"",ROUNDUP(Y446/H446,0)*0.01196),"")</f>
        <v>0.14352000000000001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63.977272727272727</v>
      </c>
      <c r="BN446" s="64">
        <f t="shared" ref="BN446:BN451" si="50">IFERROR(Y446*I446/H446,"0")</f>
        <v>67.559999999999988</v>
      </c>
      <c r="BO446" s="64">
        <f t="shared" ref="BO446:BO451" si="51">IFERROR(1/J446*(X446/H446),"0")</f>
        <v>0.10926573426573427</v>
      </c>
      <c r="BP446" s="64">
        <f t="shared" ref="BP446:BP451" si="52">IFERROR(1/J446*(Y446/H446),"0")</f>
        <v>0.11538461538461539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100</v>
      </c>
      <c r="Y447" s="546">
        <f t="shared" si="48"/>
        <v>100.32000000000001</v>
      </c>
      <c r="Z447" s="36">
        <f>IFERROR(IF(Y447=0,"",ROUNDUP(Y447/H447,0)*0.01196),"")</f>
        <v>0.22724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106.62878787878788</v>
      </c>
      <c r="BN447" s="64">
        <f t="shared" si="50"/>
        <v>106.97</v>
      </c>
      <c r="BO447" s="64">
        <f t="shared" si="51"/>
        <v>0.18210955710955709</v>
      </c>
      <c r="BP447" s="64">
        <f t="shared" si="52"/>
        <v>0.18269230769230771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100</v>
      </c>
      <c r="Y448" s="546">
        <f t="shared" si="48"/>
        <v>100.32000000000001</v>
      </c>
      <c r="Z448" s="36">
        <f>IFERROR(IF(Y448=0,"",ROUNDUP(Y448/H448,0)*0.01196),"")</f>
        <v>0.22724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106.62878787878788</v>
      </c>
      <c r="BN448" s="64">
        <f t="shared" si="50"/>
        <v>106.97</v>
      </c>
      <c r="BO448" s="64">
        <f t="shared" si="51"/>
        <v>0.18210955710955709</v>
      </c>
      <c r="BP448" s="64">
        <f t="shared" si="52"/>
        <v>0.18269230769230771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 t="s">
        <v>113</v>
      </c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42</v>
      </c>
      <c r="Y449" s="546">
        <f t="shared" si="48"/>
        <v>43.199999999999996</v>
      </c>
      <c r="Z449" s="36">
        <f>IFERROR(IF(Y449=0,"",ROUNDUP(Y449/H449,0)*0.00902),"")</f>
        <v>8.1180000000000002E-2</v>
      </c>
      <c r="AA449" s="56"/>
      <c r="AB449" s="57"/>
      <c r="AC449" s="505" t="s">
        <v>696</v>
      </c>
      <c r="AG449" s="64"/>
      <c r="AJ449" s="68" t="s">
        <v>109</v>
      </c>
      <c r="AK449" s="68">
        <v>57.6</v>
      </c>
      <c r="BB449" s="506" t="s">
        <v>1</v>
      </c>
      <c r="BM449" s="64">
        <f t="shared" si="49"/>
        <v>60.462500000000006</v>
      </c>
      <c r="BN449" s="64">
        <f t="shared" si="50"/>
        <v>62.190000000000005</v>
      </c>
      <c r="BO449" s="64">
        <f t="shared" si="51"/>
        <v>6.6287878787878785E-2</v>
      </c>
      <c r="BP449" s="64">
        <f t="shared" si="52"/>
        <v>6.8181818181818177E-2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 t="s">
        <v>113</v>
      </c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12</v>
      </c>
      <c r="Y450" s="546">
        <f t="shared" si="48"/>
        <v>14.399999999999999</v>
      </c>
      <c r="Z450" s="36">
        <f>IFERROR(IF(Y450=0,"",ROUNDUP(Y450/H450,0)*0.00902),"")</f>
        <v>2.7060000000000001E-2</v>
      </c>
      <c r="AA450" s="56"/>
      <c r="AB450" s="57"/>
      <c r="AC450" s="507" t="s">
        <v>699</v>
      </c>
      <c r="AG450" s="64"/>
      <c r="AJ450" s="68" t="s">
        <v>109</v>
      </c>
      <c r="AK450" s="68">
        <v>57.6</v>
      </c>
      <c r="BB450" s="508" t="s">
        <v>1</v>
      </c>
      <c r="BM450" s="64">
        <f t="shared" si="49"/>
        <v>16.675000000000001</v>
      </c>
      <c r="BN450" s="64">
        <f t="shared" si="50"/>
        <v>20.009999999999998</v>
      </c>
      <c r="BO450" s="64">
        <f t="shared" si="51"/>
        <v>1.893939393939394E-2</v>
      </c>
      <c r="BP450" s="64">
        <f t="shared" si="52"/>
        <v>2.2727272727272728E-2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 t="s">
        <v>113</v>
      </c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84</v>
      </c>
      <c r="Y451" s="546">
        <f t="shared" si="48"/>
        <v>86.399999999999991</v>
      </c>
      <c r="Z451" s="36">
        <f>IFERROR(IF(Y451=0,"",ROUNDUP(Y451/H451,0)*0.00902),"")</f>
        <v>0.16236</v>
      </c>
      <c r="AA451" s="56"/>
      <c r="AB451" s="57"/>
      <c r="AC451" s="509" t="s">
        <v>702</v>
      </c>
      <c r="AG451" s="64"/>
      <c r="AJ451" s="68" t="s">
        <v>109</v>
      </c>
      <c r="AK451" s="68">
        <v>57.6</v>
      </c>
      <c r="BB451" s="510" t="s">
        <v>1</v>
      </c>
      <c r="BM451" s="64">
        <f t="shared" si="49"/>
        <v>116.72499999999999</v>
      </c>
      <c r="BN451" s="64">
        <f t="shared" si="50"/>
        <v>120.05999999999999</v>
      </c>
      <c r="BO451" s="64">
        <f t="shared" si="51"/>
        <v>0.13257575757575757</v>
      </c>
      <c r="BP451" s="64">
        <f t="shared" si="52"/>
        <v>0.13636363636363635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77.992424242424235</v>
      </c>
      <c r="Y452" s="547">
        <f>IFERROR(Y446/H446,"0")+IFERROR(Y447/H447,"0")+IFERROR(Y448/H448,"0")+IFERROR(Y449/H449,"0")+IFERROR(Y450/H450,"0")+IFERROR(Y451/H451,"0")</f>
        <v>80</v>
      </c>
      <c r="Z452" s="547">
        <f>IFERROR(IF(Z446="",0,Z446),"0")+IFERROR(IF(Z447="",0,Z447),"0")+IFERROR(IF(Z448="",0,Z448),"0")+IFERROR(IF(Z449="",0,Z449),"0")+IFERROR(IF(Z450="",0,Z450),"0")+IFERROR(IF(Z451="",0,Z451),"0")</f>
        <v>0.86860000000000004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398</v>
      </c>
      <c r="Y453" s="547">
        <f>IFERROR(SUM(Y446:Y451),"0")</f>
        <v>407.99999999999994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1200</v>
      </c>
      <c r="Y478" s="546">
        <f>IFERROR(IF(X478="",0,CEILING((X478/$H478),1)*$H478),"")</f>
        <v>1206</v>
      </c>
      <c r="Z478" s="36">
        <f>IFERROR(IF(Y478=0,"",ROUNDUP(Y478/H478,0)*0.01898),"")</f>
        <v>2.54332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1265.8666666666666</v>
      </c>
      <c r="BN478" s="64">
        <f>IFERROR(Y478*I478/H478,"0")</f>
        <v>1272.1959999999999</v>
      </c>
      <c r="BO478" s="64">
        <f>IFERROR(1/J478*(X478/H478),"0")</f>
        <v>2.0833333333333335</v>
      </c>
      <c r="BP478" s="64">
        <f>IFERROR(1/J478*(Y478/H478),"0")</f>
        <v>2.09375</v>
      </c>
    </row>
    <row r="479" spans="1:68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133.33333333333334</v>
      </c>
      <c r="Y479" s="547">
        <f>IFERROR(Y478/H478,"0")</f>
        <v>134</v>
      </c>
      <c r="Z479" s="547">
        <f>IFERROR(IF(Z478="",0,Z478),"0")</f>
        <v>2.54332</v>
      </c>
      <c r="AA479" s="548"/>
      <c r="AB479" s="548"/>
      <c r="AC479" s="548"/>
    </row>
    <row r="480" spans="1:68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1200</v>
      </c>
      <c r="Y480" s="547">
        <f>IFERROR(SUM(Y478:Y478),"0")</f>
        <v>1206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17492.3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17678.260000000002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18645.989587442145</v>
      </c>
      <c r="Y492" s="547">
        <f>IFERROR(SUM(BN22:BN488),"0")</f>
        <v>18844.86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31</v>
      </c>
      <c r="Y493" s="38">
        <f>ROUNDUP(SUM(BP22:BP488),0)</f>
        <v>32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19420.989587442145</v>
      </c>
      <c r="Y494" s="547">
        <f>GrossWeightTotalR+PalletQtyTotalR*25</f>
        <v>19644.86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3583.923190262271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3616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36.172229999999999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197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645.20000000000005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1052.1000000000001</v>
      </c>
      <c r="E501" s="46">
        <f>IFERROR(Y86*1,"0")+IFERROR(Y87*1,"0")+IFERROR(Y88*1,"0")+IFERROR(Y89*1,"0")+IFERROR(Y93*1,"0")+IFERROR(Y94*1,"0")+IFERROR(Y95*1,"0")+IFERROR(Y96*1,"0")</f>
        <v>1269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1166.76</v>
      </c>
      <c r="G501" s="46">
        <f>IFERROR(Y128*1,"0")+IFERROR(Y129*1,"0")+IFERROR(Y133*1,"0")+IFERROR(Y134*1,"0")+IFERROR(Y138*1,"0")+IFERROR(Y139*1,"0")</f>
        <v>163.6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562.37999999999988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1906.8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143.89999999999998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261.59999999999997</v>
      </c>
      <c r="P501" s="46">
        <f>IFERROR(Y283*1,"0")+IFERROR(Y284*1,"0")+IFERROR(Y288*1,"0")+IFERROR(Y289*1,"0")</f>
        <v>9.6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1024.5</v>
      </c>
      <c r="R501" s="46">
        <f>IFERROR(Y338*1,"0")+IFERROR(Y339*1,"0")+IFERROR(Y340*1,"0")</f>
        <v>1085.7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5603</v>
      </c>
      <c r="T501" s="46">
        <f>IFERROR(Y371*1,"0")+IFERROR(Y372*1,"0")+IFERROR(Y376*1,"0")+IFERROR(Y377*1,"0")+IFERROR(Y381*1,"0")+IFERROR(Y382*1,"0")+IFERROR(Y383*1,"0")</f>
        <v>75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100.80000000000001</v>
      </c>
      <c r="V501" s="46">
        <f>IFERROR(Y407*1,"0")+IFERROR(Y411*1,"0")+IFERROR(Y412*1,"0")+IFERROR(Y413*1,"0")+IFERROR(Y414*1,"0")</f>
        <v>8.4</v>
      </c>
      <c r="W501" s="46">
        <f>IFERROR(Y419*1,"0")</f>
        <v>24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1369.92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1206</v>
      </c>
      <c r="Z501" s="46">
        <f>IFERROR(Y488*1,"0")</f>
        <v>0</v>
      </c>
      <c r="AB501" s="52"/>
      <c r="AC501" s="52"/>
      <c r="AF501" s="543"/>
    </row>
  </sheetData>
  <sheetProtection algorithmName="SHA-512" hashValue="HV8aZzellHAep5X7QvSososHBwGWpNYe+ZpxVuo1OCWNlU/MXqxyVnTemVppGf1qSL57mtocJCtq9FAjiRcfaQ==" saltValue="V82hLtDFG8wTSbWIpXMEJA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85,00"/>
        <filter val="1 100,00"/>
        <filter val="1 200,00"/>
        <filter val="1 300,00"/>
        <filter val="1 500,00"/>
        <filter val="100,00"/>
        <filter val="103,15"/>
        <filter val="103,89"/>
        <filter val="108,33"/>
        <filter val="12,00"/>
        <filter val="120,00"/>
        <filter val="126,00"/>
        <filter val="128,52"/>
        <filter val="132,00"/>
        <filter val="133,33"/>
        <filter val="140,00"/>
        <filter val="147,20"/>
        <filter val="150,00"/>
        <filter val="16,67"/>
        <filter val="160,00"/>
        <filter val="161,00"/>
        <filter val="17 492,30"/>
        <filter val="17,50"/>
        <filter val="175,00"/>
        <filter val="177,72"/>
        <filter val="18 645,99"/>
        <filter val="18,75"/>
        <filter val="180,00"/>
        <filter val="187,04"/>
        <filter val="19 420,99"/>
        <filter val="2,22"/>
        <filter val="2,50"/>
        <filter val="20,00"/>
        <filter val="200,00"/>
        <filter val="21,00"/>
        <filter val="21,67"/>
        <filter val="212,14"/>
        <filter val="220,00"/>
        <filter val="23,31"/>
        <filter val="24,00"/>
        <filter val="240,00"/>
        <filter val="250,00"/>
        <filter val="255,00"/>
        <filter val="260,00"/>
        <filter val="266,67"/>
        <filter val="28,00"/>
        <filter val="280,00"/>
        <filter val="297,33"/>
        <filter val="3 583,92"/>
        <filter val="3,33"/>
        <filter val="30,00"/>
        <filter val="300,00"/>
        <filter val="306,00"/>
        <filter val="31"/>
        <filter val="315,00"/>
        <filter val="33,00"/>
        <filter val="355,46"/>
        <filter val="36,00"/>
        <filter val="360,00"/>
        <filter val="37,88"/>
        <filter val="380,00"/>
        <filter val="385,00"/>
        <filter val="398,00"/>
        <filter val="4 420,00"/>
        <filter val="40,00"/>
        <filter val="400,00"/>
        <filter val="405,00"/>
        <filter val="42,00"/>
        <filter val="430,00"/>
        <filter val="440,00"/>
        <filter val="45,00"/>
        <filter val="46,67"/>
        <filter val="5,13"/>
        <filter val="50,00"/>
        <filter val="51,00"/>
        <filter val="516,67"/>
        <filter val="52,00"/>
        <filter val="52,50"/>
        <filter val="52,80"/>
        <filter val="525,00"/>
        <filter val="530,50"/>
        <filter val="54,00"/>
        <filter val="540,00"/>
        <filter val="555,00"/>
        <filter val="56,00"/>
        <filter val="560,00"/>
        <filter val="6,00"/>
        <filter val="6,11"/>
        <filter val="60,00"/>
        <filter val="600,00"/>
        <filter val="610,00"/>
        <filter val="640,00"/>
        <filter val="67,03"/>
        <filter val="7,00"/>
        <filter val="70,00"/>
        <filter val="705,00"/>
        <filter val="73,33"/>
        <filter val="736,00"/>
        <filter val="75,00"/>
        <filter val="752,00"/>
        <filter val="76,48"/>
        <filter val="77,99"/>
        <filter val="78,33"/>
        <filter val="8,00"/>
        <filter val="8,50"/>
        <filter val="84,00"/>
        <filter val="85,19"/>
        <filter val="87,50"/>
        <filter val="90,00"/>
        <filter val="900,00"/>
        <filter val="940,00"/>
        <filter val="96,00"/>
        <filter val="98,0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80 X86 X93 X101 X104 X109 X116 X118:X119 X123 X128 X134 X139 X166:X169 X171 X174 X201:X208 X214:X215 X217 X219:X220 X224:X225 X230 X232:X233 X237 X277 X305:X307 X318:X320 X326:X327 X331 X333 X339:X340 X362 X371 X381 X393:X394 X396 X419 X425 X429 X431 X440 X446:X451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PVcIzHLnw3xxfHiElQTn/jbdIXSyxh5j5SrfLgp9wfPdZabLTmhY9YjAKTbm0MfZzqZ+RKDx2G7OoXqTSt8G1w==" saltValue="faGGbrUtG9Ze44rXWc17L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2025-12-12T11:00:53Z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