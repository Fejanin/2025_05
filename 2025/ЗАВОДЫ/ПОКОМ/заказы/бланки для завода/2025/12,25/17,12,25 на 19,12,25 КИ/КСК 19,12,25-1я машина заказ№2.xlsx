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9740B3-8454-496B-AB55-6B2E52CE0D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Y316" i="1" s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N270" i="1"/>
  <c r="BM270" i="1"/>
  <c r="Z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L501" i="1" s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Y146" i="1" s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Y71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30" i="1" l="1"/>
  <c r="BN30" i="1"/>
  <c r="Z57" i="1"/>
  <c r="BN57" i="1"/>
  <c r="Z62" i="1"/>
  <c r="BN62" i="1"/>
  <c r="Z80" i="1"/>
  <c r="BN80" i="1"/>
  <c r="Z88" i="1"/>
  <c r="BN88" i="1"/>
  <c r="Z117" i="1"/>
  <c r="BN117" i="1"/>
  <c r="Z138" i="1"/>
  <c r="BN138" i="1"/>
  <c r="Z170" i="1"/>
  <c r="BN170" i="1"/>
  <c r="Z175" i="1"/>
  <c r="BN175" i="1"/>
  <c r="Z205" i="1"/>
  <c r="BN205" i="1"/>
  <c r="Z217" i="1"/>
  <c r="BN217" i="1"/>
  <c r="Z234" i="1"/>
  <c r="BN234" i="1"/>
  <c r="Z252" i="1"/>
  <c r="BN252" i="1"/>
  <c r="Z263" i="1"/>
  <c r="BN263" i="1"/>
  <c r="Z288" i="1"/>
  <c r="BN288" i="1"/>
  <c r="Z305" i="1"/>
  <c r="BN305" i="1"/>
  <c r="Z319" i="1"/>
  <c r="BN319" i="1"/>
  <c r="Z333" i="1"/>
  <c r="BN333" i="1"/>
  <c r="Z350" i="1"/>
  <c r="BN350" i="1"/>
  <c r="Z377" i="1"/>
  <c r="BN377" i="1"/>
  <c r="Z393" i="1"/>
  <c r="BN393" i="1"/>
  <c r="Z412" i="1"/>
  <c r="BN412" i="1"/>
  <c r="Z432" i="1"/>
  <c r="BN432" i="1"/>
  <c r="Z442" i="1"/>
  <c r="BN442" i="1"/>
  <c r="Z450" i="1"/>
  <c r="BN450" i="1"/>
  <c r="Z474" i="1"/>
  <c r="BN474" i="1"/>
  <c r="BP111" i="1"/>
  <c r="BN111" i="1"/>
  <c r="Z111" i="1"/>
  <c r="BP134" i="1"/>
  <c r="BN134" i="1"/>
  <c r="Z134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BP203" i="1"/>
  <c r="BN203" i="1"/>
  <c r="Z203" i="1"/>
  <c r="BP215" i="1"/>
  <c r="BN215" i="1"/>
  <c r="Z215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61" i="1"/>
  <c r="BN261" i="1"/>
  <c r="Z261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X495" i="1"/>
  <c r="Z28" i="1"/>
  <c r="BN28" i="1"/>
  <c r="Z42" i="1"/>
  <c r="BN42" i="1"/>
  <c r="Y59" i="1"/>
  <c r="Z55" i="1"/>
  <c r="BN55" i="1"/>
  <c r="Z68" i="1"/>
  <c r="BN68" i="1"/>
  <c r="Z76" i="1"/>
  <c r="BN76" i="1"/>
  <c r="Y82" i="1"/>
  <c r="Z94" i="1"/>
  <c r="BN94" i="1"/>
  <c r="Z101" i="1"/>
  <c r="BN101" i="1"/>
  <c r="Z102" i="1"/>
  <c r="BN102" i="1"/>
  <c r="BP104" i="1"/>
  <c r="BN104" i="1"/>
  <c r="Z104" i="1"/>
  <c r="BP119" i="1"/>
  <c r="BN119" i="1"/>
  <c r="Z119" i="1"/>
  <c r="BP145" i="1"/>
  <c r="BN145" i="1"/>
  <c r="Z145" i="1"/>
  <c r="BP149" i="1"/>
  <c r="BN149" i="1"/>
  <c r="Z149" i="1"/>
  <c r="BP172" i="1"/>
  <c r="BN172" i="1"/>
  <c r="Z172" i="1"/>
  <c r="BP181" i="1"/>
  <c r="BN181" i="1"/>
  <c r="Z181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8" i="1"/>
  <c r="BN268" i="1"/>
  <c r="Z268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40" i="1"/>
  <c r="Y152" i="1"/>
  <c r="Y273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34" i="1"/>
  <c r="Y358" i="1"/>
  <c r="H9" i="1"/>
  <c r="A10" i="1"/>
  <c r="B501" i="1"/>
  <c r="X492" i="1"/>
  <c r="X494" i="1" s="1"/>
  <c r="X493" i="1"/>
  <c r="Z23" i="1"/>
  <c r="Z24" i="1" s="1"/>
  <c r="BN23" i="1"/>
  <c r="BP23" i="1"/>
  <c r="Y24" i="1"/>
  <c r="Z27" i="1"/>
  <c r="Z32" i="1" s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F9" i="1"/>
  <c r="J9" i="1"/>
  <c r="Y45" i="1"/>
  <c r="D501" i="1"/>
  <c r="Y58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BP202" i="1"/>
  <c r="BN202" i="1"/>
  <c r="Z202" i="1"/>
  <c r="Y210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BP206" i="1"/>
  <c r="BN206" i="1"/>
  <c r="Z206" i="1"/>
  <c r="Z209" i="1" s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52" i="1" l="1"/>
  <c r="Z384" i="1"/>
  <c r="Z403" i="1"/>
  <c r="Z353" i="1"/>
  <c r="Z334" i="1"/>
  <c r="Z328" i="1"/>
  <c r="Z315" i="1"/>
  <c r="Z239" i="1"/>
  <c r="Z373" i="1"/>
  <c r="Z135" i="1"/>
  <c r="Z465" i="1"/>
  <c r="Y491" i="1"/>
  <c r="Z398" i="1"/>
  <c r="Z299" i="1"/>
  <c r="Z113" i="1"/>
  <c r="Y493" i="1"/>
  <c r="Y492" i="1"/>
  <c r="Y494" i="1"/>
  <c r="Z308" i="1"/>
  <c r="Z221" i="1"/>
  <c r="Z64" i="1"/>
  <c r="Z415" i="1"/>
  <c r="Z321" i="1"/>
  <c r="Z279" i="1"/>
  <c r="Z183" i="1"/>
  <c r="Z177" i="1"/>
  <c r="Z106" i="1"/>
  <c r="Z97" i="1"/>
  <c r="Z90" i="1"/>
  <c r="Z77" i="1"/>
  <c r="Y495" i="1"/>
  <c r="Z496" i="1" l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<sst xmlns="http://schemas.openxmlformats.org/spreadsheetml/2006/main" count="2294" uniqueCount="776">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</sst>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46010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Пятница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50</v>
      </c>
      <c r="Y44" s="547">
        <f>IFERROR(Y41/H41,"0")+IFERROR(Y42/H42,"0")+IFERROR(Y43/H43,"0")</f>
        <v>50</v>
      </c>
      <c r="Z44" s="547">
        <f>IFERROR(IF(Z41="",0,Z41),"0")+IFERROR(IF(Z42="",0,Z42),"0")+IFERROR(IF(Z43="",0,Z43),"0")</f>
        <v>0.45100000000000001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200</v>
      </c>
      <c r="Y45" s="547">
        <f>IFERROR(SUM(Y41:Y43),"0")</f>
        <v>200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127.77777777777777</v>
      </c>
      <c r="Y58" s="547">
        <f>IFERROR(Y52/H52,"0")+IFERROR(Y53/H53,"0")+IFERROR(Y54/H54,"0")+IFERROR(Y55/H55,"0")+IFERROR(Y56/H56,"0")+IFERROR(Y57/H57,"0")</f>
        <v>128</v>
      </c>
      <c r="Z58" s="547">
        <f>IFERROR(IF(Z52="",0,Z52),"0")+IFERROR(IF(Z53="",0,Z53),"0")+IFERROR(IF(Z54="",0,Z54),"0")+IFERROR(IF(Z55="",0,Z55),"0")+IFERROR(IF(Z56="",0,Z56),"0")+IFERROR(IF(Z57="",0,Z57),"0")</f>
        <v>1.43344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750</v>
      </c>
      <c r="Y59" s="547">
        <f>IFERROR(SUM(Y52:Y57),"0")</f>
        <v>752.40000000000009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45</v>
      </c>
      <c r="Y63" s="546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25.925925925925924</v>
      </c>
      <c r="Y64" s="547">
        <f>IFERROR(Y61/H61,"0")+IFERROR(Y62/H62,"0")+IFERROR(Y63/H63,"0")</f>
        <v>27</v>
      </c>
      <c r="Z64" s="547">
        <f>IFERROR(IF(Z61="",0,Z61),"0")+IFERROR(IF(Z62="",0,Z62),"0")+IFERROR(IF(Z63="",0,Z63),"0")</f>
        <v>0.30047000000000001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145</v>
      </c>
      <c r="Y65" s="547">
        <f>IFERROR(SUM(Y61:Y63),"0")</f>
        <v>153.9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200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207.59259259259258</v>
      </c>
      <c r="BN86" s="64">
        <f>IFERROR(Y86*I86/H86,"0")</f>
        <v>212.99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540</v>
      </c>
      <c r="Y89" s="546">
        <f>IFERROR(IF(X89="",0,CEILING((X89/$H89),1)*$H89),"")</f>
        <v>540</v>
      </c>
      <c r="Z89" s="36">
        <f>IFERROR(IF(Y89=0,"",ROUNDUP(Y89/H89,0)*0.00902),"")</f>
        <v>1.0824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562.80000000000007</v>
      </c>
      <c r="BN89" s="64">
        <f>IFERROR(Y89*I89/H89,"0")</f>
        <v>562.80000000000007</v>
      </c>
      <c r="BO89" s="64">
        <f>IFERROR(1/J89*(X89/H89),"0")</f>
        <v>0.90909090909090917</v>
      </c>
      <c r="BP89" s="64">
        <f>IFERROR(1/J89*(Y89/H89),"0")</f>
        <v>0.90909090909090917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138.51851851851853</v>
      </c>
      <c r="Y90" s="547">
        <f>IFERROR(Y86/H86,"0")+IFERROR(Y87/H87,"0")+IFERROR(Y88/H88,"0")+IFERROR(Y89/H89,"0")</f>
        <v>139</v>
      </c>
      <c r="Z90" s="547">
        <f>IFERROR(IF(Z86="",0,Z86),"0")+IFERROR(IF(Z87="",0,Z87),"0")+IFERROR(IF(Z88="",0,Z88),"0")+IFERROR(IF(Z89="",0,Z89),"0")</f>
        <v>1.44302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740</v>
      </c>
      <c r="Y91" s="547">
        <f>IFERROR(SUM(Y86:Y89),"0")</f>
        <v>745.2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116.66666666666666</v>
      </c>
      <c r="Y97" s="547">
        <f>IFERROR(Y93/H93,"0")+IFERROR(Y94/H94,"0")+IFERROR(Y95/H95,"0")+IFERROR(Y96/H96,"0")</f>
        <v>117</v>
      </c>
      <c r="Z97" s="547">
        <f>IFERROR(IF(Z93="",0,Z93),"0")+IFERROR(IF(Z94="",0,Z94),"0")+IFERROR(IF(Z95="",0,Z95),"0")+IFERROR(IF(Z96="",0,Z96),"0")</f>
        <v>0.76167000000000007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315</v>
      </c>
      <c r="Y98" s="547">
        <f>IFERROR(SUM(Y93:Y96),"0")</f>
        <v>315.90000000000003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70</v>
      </c>
      <c r="Y106" s="547">
        <f>IFERROR(Y101/H101,"0")+IFERROR(Y102/H102,"0")+IFERROR(Y103/H103,"0")+IFERROR(Y104/H104,"0")+IFERROR(Y105/H105,"0")</f>
        <v>70</v>
      </c>
      <c r="Z106" s="547">
        <f>IFERROR(IF(Z101="",0,Z101),"0")+IFERROR(IF(Z102="",0,Z102),"0")+IFERROR(IF(Z103="",0,Z103),"0")+IFERROR(IF(Z104="",0,Z104),"0")+IFERROR(IF(Z105="",0,Z105),"0")</f>
        <v>0.63139999999999996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315</v>
      </c>
      <c r="Y107" s="547">
        <f>IFERROR(SUM(Y101:Y105),"0")</f>
        <v>315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225</v>
      </c>
      <c r="Y118" s="546">
        <f>IFERROR(IF(X118="",0,CEILING((X118/$H118),1)*$H118),"")</f>
        <v>226.8</v>
      </c>
      <c r="Z118" s="36">
        <f>IFERROR(IF(Y118=0,"",ROUNDUP(Y118/H118,0)*0.00651),"")</f>
        <v>0.54683999999999999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246</v>
      </c>
      <c r="BN118" s="64">
        <f>IFERROR(Y118*I118/H118,"0")</f>
        <v>247.96799999999999</v>
      </c>
      <c r="BO118" s="64">
        <f>IFERROR(1/J118*(X118/H118),"0")</f>
        <v>0.45787545787545786</v>
      </c>
      <c r="BP118" s="64">
        <f>IFERROR(1/J118*(Y118/H118),"0")</f>
        <v>0.46153846153846156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24</v>
      </c>
      <c r="Y119" s="546">
        <f>IFERROR(IF(X119="",0,CEILING((X119/$H119),1)*$H119),"")</f>
        <v>25.2</v>
      </c>
      <c r="Z119" s="36">
        <f>IFERROR(IF(Y119=0,"",ROUNDUP(Y119/H119,0)*0.00651),"")</f>
        <v>9.1139999999999999E-2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26.4</v>
      </c>
      <c r="BN119" s="64">
        <f>IFERROR(Y119*I119/H119,"0")</f>
        <v>27.72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133.7037037037037</v>
      </c>
      <c r="Y120" s="547">
        <f>IFERROR(Y116/H116,"0")+IFERROR(Y117/H117,"0")+IFERROR(Y118/H118,"0")+IFERROR(Y119/H119,"0")</f>
        <v>136</v>
      </c>
      <c r="Z120" s="547">
        <f>IFERROR(IF(Z116="",0,Z116),"0")+IFERROR(IF(Z117="",0,Z117),"0")+IFERROR(IF(Z118="",0,Z118),"0")+IFERROR(IF(Z119="",0,Z119),"0")</f>
        <v>1.3592199999999999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549</v>
      </c>
      <c r="Y121" s="547">
        <f>IFERROR(SUM(Y116:Y119),"0")</f>
        <v>559.80000000000007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40</v>
      </c>
      <c r="Y128" s="546">
        <f>IFERROR(IF(X128="",0,CEILING((X128/$H128),1)*$H128),"")</f>
        <v>41.6</v>
      </c>
      <c r="Z128" s="36">
        <f>IFERROR(IF(Y128=0,"",ROUNDUP(Y128/H128,0)*0.00651),"")</f>
        <v>8.4629999999999997E-2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42.249999999999993</v>
      </c>
      <c r="BN128" s="64">
        <f>IFERROR(Y128*I128/H128,"0")</f>
        <v>43.94</v>
      </c>
      <c r="BO128" s="64">
        <f>IFERROR(1/J128*(X128/H128),"0")</f>
        <v>6.8681318681318687E-2</v>
      </c>
      <c r="BP128" s="64">
        <f>IFERROR(1/J128*(Y128/H128),"0")</f>
        <v>7.1428571428571438E-2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12.5</v>
      </c>
      <c r="Y130" s="547">
        <f>IFERROR(Y128/H128,"0")+IFERROR(Y129/H129,"0")</f>
        <v>13</v>
      </c>
      <c r="Z130" s="547">
        <f>IFERROR(IF(Z128="",0,Z128),"0")+IFERROR(IF(Z129="",0,Z129),"0")</f>
        <v>8.4629999999999997E-2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40</v>
      </c>
      <c r="Y131" s="547">
        <f>IFERROR(SUM(Y128:Y129),"0")</f>
        <v>41.6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100</v>
      </c>
      <c r="Y168" s="546">
        <f t="shared" si="5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104.5238095238095</v>
      </c>
      <c r="BN168" s="64">
        <f t="shared" si="7"/>
        <v>105.36</v>
      </c>
      <c r="BO168" s="64">
        <f t="shared" si="8"/>
        <v>0.18037518037518038</v>
      </c>
      <c r="BP168" s="64">
        <f t="shared" si="9"/>
        <v>0.18181818181818182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35</v>
      </c>
      <c r="Y169" s="546">
        <f t="shared" si="5"/>
        <v>35.700000000000003</v>
      </c>
      <c r="Z169" s="36">
        <f>IFERROR(IF(Y169=0,"",ROUNDUP(Y169/H169,0)*0.00502),"")</f>
        <v>8.5339999999999999E-2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37.166666666666664</v>
      </c>
      <c r="BN169" s="64">
        <f t="shared" si="7"/>
        <v>37.910000000000004</v>
      </c>
      <c r="BO169" s="64">
        <f t="shared" si="8"/>
        <v>7.1225071225071226E-2</v>
      </c>
      <c r="BP169" s="64">
        <f t="shared" si="9"/>
        <v>7.2649572649572655E-2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70</v>
      </c>
      <c r="Y171" s="546">
        <f t="shared" si="5"/>
        <v>71.400000000000006</v>
      </c>
      <c r="Z171" s="36">
        <f>IFERROR(IF(Y171=0,"",ROUNDUP(Y171/H171,0)*0.00502),"")</f>
        <v>0.17068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74.333333333333329</v>
      </c>
      <c r="BN171" s="64">
        <f t="shared" si="7"/>
        <v>75.820000000000007</v>
      </c>
      <c r="BO171" s="64">
        <f t="shared" si="8"/>
        <v>0.14245014245014245</v>
      </c>
      <c r="BP171" s="64">
        <f t="shared" si="9"/>
        <v>0.14529914529914531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70</v>
      </c>
      <c r="Y174" s="546">
        <f t="shared" si="5"/>
        <v>71.400000000000006</v>
      </c>
      <c r="Z174" s="36">
        <f>IFERROR(IF(Y174=0,"",ROUNDUP(Y174/H174,0)*0.00502),"")</f>
        <v>0.17068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73.333333333333329</v>
      </c>
      <c r="BN174" s="64">
        <f t="shared" si="7"/>
        <v>74.8</v>
      </c>
      <c r="BO174" s="64">
        <f t="shared" si="8"/>
        <v>0.14245014245014245</v>
      </c>
      <c r="BP174" s="64">
        <f t="shared" si="9"/>
        <v>0.14529914529914531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130.95238095238093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133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0.85965999999999987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375</v>
      </c>
      <c r="Y178" s="547">
        <f>IFERROR(SUM(Y165:Y176),"0")</f>
        <v>380.1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3.5</v>
      </c>
      <c r="Y180" s="546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8.3333333333333339</v>
      </c>
      <c r="Y183" s="547">
        <f>IFERROR(Y180/H180,"0")+IFERROR(Y181/H181,"0")+IFERROR(Y182/H182,"0")</f>
        <v>9</v>
      </c>
      <c r="Z183" s="547">
        <f>IFERROR(IF(Z180="",0,Z180),"0")+IFERROR(IF(Z181="",0,Z181),"0")+IFERROR(IF(Z182="",0,Z182),"0")</f>
        <v>5.3100000000000001E-2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10.5</v>
      </c>
      <c r="Y184" s="547">
        <f>IFERROR(SUM(Y180:Y182),"0")</f>
        <v>11.34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600</v>
      </c>
      <c r="Y203" s="546">
        <f t="shared" si="10"/>
        <v>604.80000000000007</v>
      </c>
      <c r="Z203" s="36">
        <f>IFERROR(IF(Y203=0,"",ROUNDUP(Y203/H203,0)*0.00902),"")</f>
        <v>1.01024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621.11111111111109</v>
      </c>
      <c r="BN203" s="64">
        <f t="shared" si="12"/>
        <v>626.08000000000004</v>
      </c>
      <c r="BO203" s="64">
        <f t="shared" si="13"/>
        <v>0.84175084175084169</v>
      </c>
      <c r="BP203" s="64">
        <f t="shared" si="14"/>
        <v>0.84848484848484851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265.74074074074076</v>
      </c>
      <c r="Y209" s="547">
        <f>IFERROR(Y201/H201,"0")+IFERROR(Y202/H202,"0")+IFERROR(Y203/H203,"0")+IFERROR(Y204/H204,"0")+IFERROR(Y205/H205,"0")+IFERROR(Y206/H206,"0")+IFERROR(Y207/H207,"0")+IFERROR(Y208/H208,"0")</f>
        <v>270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1.9953999999999998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1045</v>
      </c>
      <c r="Y210" s="547">
        <f>IFERROR(SUM(Y201:Y208),"0")</f>
        <v>1062.0000000000002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40</v>
      </c>
      <c r="Y219" s="546">
        <f t="shared" si="15"/>
        <v>40.799999999999997</v>
      </c>
      <c r="Z219" s="36">
        <f t="shared" si="20"/>
        <v>0.11067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44.20000000000001</v>
      </c>
      <c r="BN219" s="64">
        <f t="shared" si="17"/>
        <v>45.084000000000003</v>
      </c>
      <c r="BO219" s="64">
        <f t="shared" si="18"/>
        <v>9.1575091575091583E-2</v>
      </c>
      <c r="BP219" s="64">
        <f t="shared" si="19"/>
        <v>9.3406593406593408E-2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216.66666666666669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217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1.4126700000000001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520</v>
      </c>
      <c r="Y222" s="547">
        <f>IFERROR(SUM(Y212:Y220),"0")</f>
        <v>520.79999999999995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32</v>
      </c>
      <c r="Y224" s="546">
        <f>IFERROR(IF(X224="",0,CEILING((X224/$H224),1)*$H224),"")</f>
        <v>33.6</v>
      </c>
      <c r="Z224" s="36">
        <f>IFERROR(IF(Y224=0,"",ROUNDUP(Y224/H224,0)*0.00651),"")</f>
        <v>9.1139999999999999E-2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35.360000000000007</v>
      </c>
      <c r="BN224" s="64">
        <f>IFERROR(Y224*I224/H224,"0")</f>
        <v>37.128000000000007</v>
      </c>
      <c r="BO224" s="64">
        <f>IFERROR(1/J224*(X224/H224),"0")</f>
        <v>7.3260073260073263E-2</v>
      </c>
      <c r="BP224" s="64">
        <f>IFERROR(1/J224*(Y224/H224),"0")</f>
        <v>7.6923076923076941E-2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32</v>
      </c>
      <c r="Y225" s="546">
        <f>IFERROR(IF(X225="",0,CEILING((X225/$H225),1)*$H225),"")</f>
        <v>33.6</v>
      </c>
      <c r="Z225" s="36">
        <f>IFERROR(IF(Y225=0,"",ROUNDUP(Y225/H225,0)*0.00651),"")</f>
        <v>9.1139999999999999E-2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35.360000000000007</v>
      </c>
      <c r="BN225" s="64">
        <f>IFERROR(Y225*I225/H225,"0")</f>
        <v>37.128000000000007</v>
      </c>
      <c r="BO225" s="64">
        <f>IFERROR(1/J225*(X225/H225),"0")</f>
        <v>7.3260073260073263E-2</v>
      </c>
      <c r="BP225" s="64">
        <f>IFERROR(1/J225*(Y225/H225),"0")</f>
        <v>7.6923076923076941E-2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26.666666666666668</v>
      </c>
      <c r="Y226" s="547">
        <f>IFERROR(Y224/H224,"0")+IFERROR(Y225/H225,"0")</f>
        <v>28.000000000000004</v>
      </c>
      <c r="Z226" s="547">
        <f>IFERROR(IF(Z224="",0,Z224),"0")+IFERROR(IF(Z225="",0,Z225),"0")</f>
        <v>0.18228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64</v>
      </c>
      <c r="Y227" s="547">
        <f>IFERROR(SUM(Y224:Y225),"0")</f>
        <v>67.2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100</v>
      </c>
      <c r="Y232" s="546">
        <f t="shared" si="21"/>
        <v>104.39999999999999</v>
      </c>
      <c r="Z232" s="36">
        <f>IFERROR(IF(Y232=0,"",ROUNDUP(Y232/H232,0)*0.01898),"")</f>
        <v>0.17082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103.5344827586207</v>
      </c>
      <c r="BN232" s="64">
        <f t="shared" si="23"/>
        <v>108.08999999999999</v>
      </c>
      <c r="BO232" s="64">
        <f t="shared" si="24"/>
        <v>0.13469827586206898</v>
      </c>
      <c r="BP232" s="64">
        <f t="shared" si="25"/>
        <v>0.140625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8.6206896551724146</v>
      </c>
      <c r="Y239" s="547">
        <f>IFERROR(Y230/H230,"0")+IFERROR(Y231/H231,"0")+IFERROR(Y232/H232,"0")+IFERROR(Y233/H233,"0")+IFERROR(Y234/H234,"0")+IFERROR(Y235/H235,"0")+IFERROR(Y236/H236,"0")+IFERROR(Y237/H237,"0")+IFERROR(Y238/H238,"0")</f>
        <v>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0.17082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100</v>
      </c>
      <c r="Y240" s="547">
        <f>IFERROR(SUM(Y230:Y238),"0")</f>
        <v>104.39999999999999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40</v>
      </c>
      <c r="Y277" s="546">
        <f>IFERROR(IF(X277="",0,CEILING((X277/$H277),1)*$H277),"")</f>
        <v>40.799999999999997</v>
      </c>
      <c r="Z277" s="36">
        <f>IFERROR(IF(Y277=0,"",ROUNDUP(Y277/H277,0)*0.00651),"")</f>
        <v>0.11067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44.20000000000001</v>
      </c>
      <c r="BN277" s="64">
        <f>IFERROR(Y277*I277/H277,"0")</f>
        <v>45.084000000000003</v>
      </c>
      <c r="BO277" s="64">
        <f>IFERROR(1/J277*(X277/H277),"0")</f>
        <v>9.1575091575091583E-2</v>
      </c>
      <c r="BP277" s="64">
        <f>IFERROR(1/J277*(Y277/H277),"0")</f>
        <v>9.3406593406593408E-2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16.666666666666668</v>
      </c>
      <c r="Y279" s="547">
        <f>IFERROR(Y276/H276,"0")+IFERROR(Y277/H277,"0")+IFERROR(Y278/H278,"0")</f>
        <v>17</v>
      </c>
      <c r="Z279" s="547">
        <f>IFERROR(IF(Z276="",0,Z276),"0")+IFERROR(IF(Z277="",0,Z277),"0")+IFERROR(IF(Z278="",0,Z278),"0")</f>
        <v>0.11067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40</v>
      </c>
      <c r="Y280" s="547">
        <f>IFERROR(SUM(Y276:Y278),"0")</f>
        <v>40.799999999999997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50</v>
      </c>
      <c r="Y308" s="547">
        <f>IFERROR(Y302/H302,"0")+IFERROR(Y303/H303,"0")+IFERROR(Y304/H304,"0")+IFERROR(Y305/H305,"0")+IFERROR(Y306/H306,"0")+IFERROR(Y307/H307,"0")</f>
        <v>50</v>
      </c>
      <c r="Z308" s="547">
        <f>IFERROR(IF(Z302="",0,Z302),"0")+IFERROR(IF(Z303="",0,Z303),"0")+IFERROR(IF(Z304="",0,Z304),"0")+IFERROR(IF(Z305="",0,Z305),"0")+IFERROR(IF(Z306="",0,Z306),"0")+IFERROR(IF(Z307="",0,Z307),"0")</f>
        <v>0.251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105</v>
      </c>
      <c r="Y309" s="547">
        <f>IFERROR(SUM(Y302:Y307),"0")</f>
        <v>105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100</v>
      </c>
      <c r="Y319" s="546">
        <f>IFERROR(IF(X319="",0,CEILING((X319/$H319),1)*$H319),"")</f>
        <v>101.39999999999999</v>
      </c>
      <c r="Z319" s="36">
        <f>IFERROR(IF(Y319=0,"",ROUNDUP(Y319/H319,0)*0.01898),"")</f>
        <v>0.24674000000000001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106.33333333333334</v>
      </c>
      <c r="BN319" s="64">
        <f>IFERROR(Y319*I319/H319,"0")</f>
        <v>107.82199999999999</v>
      </c>
      <c r="BO319" s="64">
        <f>IFERROR(1/J319*(X319/H319),"0")</f>
        <v>0.20032051282051283</v>
      </c>
      <c r="BP319" s="64">
        <f>IFERROR(1/J319*(Y319/H319),"0")</f>
        <v>0.203125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28.296703296703299</v>
      </c>
      <c r="Y321" s="547">
        <f>IFERROR(Y318/H318,"0")+IFERROR(Y319/H319,"0")+IFERROR(Y320/H320,"0")</f>
        <v>29</v>
      </c>
      <c r="Z321" s="547">
        <f>IFERROR(IF(Z318="",0,Z318),"0")+IFERROR(IF(Z319="",0,Z319),"0")+IFERROR(IF(Z320="",0,Z320),"0")</f>
        <v>0.55042000000000002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230</v>
      </c>
      <c r="Y322" s="547">
        <f>IFERROR(SUM(Y318:Y320),"0")</f>
        <v>235.8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700</v>
      </c>
      <c r="Y340" s="546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780</v>
      </c>
      <c r="BN340" s="64">
        <f>IFERROR(Y340*I340/H340,"0")</f>
        <v>781.56</v>
      </c>
      <c r="BO340" s="64">
        <f>IFERROR(1/J340*(X340/H340),"0")</f>
        <v>1.8315018315018314</v>
      </c>
      <c r="BP340" s="64">
        <f>IFERROR(1/J340*(Y340/H340),"0")</f>
        <v>1.8351648351648353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416.66666666666663</v>
      </c>
      <c r="Y341" s="547">
        <f>IFERROR(Y338/H338,"0")+IFERROR(Y339/H339,"0")+IFERROR(Y340/H340,"0")</f>
        <v>418</v>
      </c>
      <c r="Z341" s="547">
        <f>IFERROR(IF(Z338="",0,Z338),"0")+IFERROR(IF(Z339="",0,Z339),"0")+IFERROR(IF(Z340="",0,Z340),"0")</f>
        <v>2.7211799999999999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875</v>
      </c>
      <c r="Y342" s="547">
        <f>IFERROR(SUM(Y338:Y340),"0")</f>
        <v>877.8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1500</v>
      </c>
      <c r="Y346" s="546">
        <f t="shared" ref="Y346:Y352" si="31">IFERROR(IF(X346="",0,CEILING((X346/$H346),1)*$H346),"")</f>
        <v>1500</v>
      </c>
      <c r="Z346" s="36">
        <f>IFERROR(IF(Y346=0,"",ROUNDUP(Y346/H346,0)*0.02175),"")</f>
        <v>2.1749999999999998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1547</v>
      </c>
      <c r="BN346" s="64">
        <f t="shared" ref="BN346:BN352" si="33">IFERROR(Y346*I346/H346,"0")</f>
        <v>1547</v>
      </c>
      <c r="BO346" s="64">
        <f t="shared" ref="BO346:BO352" si="34">IFERROR(1/J346*(X346/H346),"0")</f>
        <v>2.083333333333333</v>
      </c>
      <c r="BP346" s="64">
        <f t="shared" ref="BP346:BP352" si="35">IFERROR(1/J346*(Y346/H346),"0")</f>
        <v>2.083333333333333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1700</v>
      </c>
      <c r="Y348" s="546">
        <f t="shared" si="31"/>
        <v>1710</v>
      </c>
      <c r="Z348" s="36">
        <f>IFERROR(IF(Y348=0,"",ROUNDUP(Y348/H348,0)*0.02175),"")</f>
        <v>2.4794999999999998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1753.2666666666667</v>
      </c>
      <c r="BN348" s="64">
        <f t="shared" si="33"/>
        <v>1763.5800000000002</v>
      </c>
      <c r="BO348" s="64">
        <f t="shared" si="34"/>
        <v>2.3611111111111107</v>
      </c>
      <c r="BP348" s="64">
        <f t="shared" si="35"/>
        <v>2.375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300</v>
      </c>
      <c r="Y349" s="546">
        <f t="shared" si="31"/>
        <v>300</v>
      </c>
      <c r="Z349" s="36">
        <f>IFERROR(IF(Y349=0,"",ROUNDUP(Y349/H349,0)*0.02175),"")</f>
        <v>0.43499999999999994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309.39999999999998</v>
      </c>
      <c r="BN349" s="64">
        <f t="shared" si="33"/>
        <v>309.39999999999998</v>
      </c>
      <c r="BO349" s="64">
        <f t="shared" si="34"/>
        <v>0.41666666666666663</v>
      </c>
      <c r="BP349" s="64">
        <f t="shared" si="35"/>
        <v>0.41666666666666663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266.66666666666669</v>
      </c>
      <c r="Y353" s="547">
        <f>IFERROR(Y346/H346,"0")+IFERROR(Y347/H347,"0")+IFERROR(Y348/H348,"0")+IFERROR(Y349/H349,"0")+IFERROR(Y350/H350,"0")+IFERROR(Y351/H351,"0")+IFERROR(Y352/H352,"0")</f>
        <v>268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5.8289999999999997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4000</v>
      </c>
      <c r="Y354" s="547">
        <f>IFERROR(SUM(Y346:Y352),"0")</f>
        <v>4020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66.666666666666671</v>
      </c>
      <c r="Y358" s="547">
        <f>IFERROR(Y356/H356,"0")+IFERROR(Y357/H357,"0")</f>
        <v>67</v>
      </c>
      <c r="Z358" s="547">
        <f>IFERROR(IF(Z356="",0,Z356),"0")+IFERROR(IF(Z357="",0,Z357),"0")</f>
        <v>1.4572499999999999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1000</v>
      </c>
      <c r="Y359" s="547">
        <f>IFERROR(SUM(Y356:Y357),"0")</f>
        <v>1005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30</v>
      </c>
      <c r="Y362" s="546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3.3333333333333335</v>
      </c>
      <c r="Y363" s="547">
        <f>IFERROR(Y361/H361,"0")+IFERROR(Y362/H362,"0")</f>
        <v>4</v>
      </c>
      <c r="Z363" s="547">
        <f>IFERROR(IF(Z361="",0,Z361),"0")+IFERROR(IF(Z362="",0,Z362),"0")</f>
        <v>7.5920000000000001E-2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30</v>
      </c>
      <c r="Y364" s="547">
        <f>IFERROR(SUM(Y361:Y362),"0")</f>
        <v>36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35</v>
      </c>
      <c r="Y393" s="546">
        <f t="shared" si="36"/>
        <v>35.700000000000003</v>
      </c>
      <c r="Z393" s="36">
        <f t="shared" si="41"/>
        <v>8.5339999999999999E-2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37.166666666666664</v>
      </c>
      <c r="BN393" s="64">
        <f t="shared" si="38"/>
        <v>37.910000000000004</v>
      </c>
      <c r="BO393" s="64">
        <f t="shared" si="39"/>
        <v>7.1225071225071226E-2</v>
      </c>
      <c r="BP393" s="64">
        <f t="shared" si="40"/>
        <v>7.2649572649572655E-2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41.666666666666664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42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0.21084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87.5</v>
      </c>
      <c r="Y399" s="547">
        <f>IFERROR(SUM(Y389:Y397),"0")</f>
        <v>88.2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60</v>
      </c>
      <c r="Y433" s="546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68.939393939393938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70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0.68725999999999998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340</v>
      </c>
      <c r="Y438" s="547">
        <f>IFERROR(SUM(Y425:Y436),"0")</f>
        <v>345.12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72</v>
      </c>
      <c r="Y449" s="546">
        <f t="shared" si="48"/>
        <v>72</v>
      </c>
      <c r="Z449" s="36">
        <f>IFERROR(IF(Y449=0,"",ROUNDUP(Y449/H449,0)*0.00902),"")</f>
        <v>0.1353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103.65</v>
      </c>
      <c r="BN449" s="64">
        <f t="shared" si="50"/>
        <v>103.65</v>
      </c>
      <c r="BO449" s="64">
        <f t="shared" si="51"/>
        <v>0.11363636363636365</v>
      </c>
      <c r="BP449" s="64">
        <f t="shared" si="52"/>
        <v>0.11363636363636365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25</v>
      </c>
      <c r="Y452" s="547">
        <f>IFERROR(Y446/H446,"0")+IFERROR(Y447/H447,"0")+IFERROR(Y448/H448,"0")+IFERROR(Y449/H449,"0")+IFERROR(Y450/H450,"0")+IFERROR(Y451/H451,"0")</f>
        <v>26</v>
      </c>
      <c r="Z452" s="547">
        <f>IFERROR(IF(Z446="",0,Z446),"0")+IFERROR(IF(Z447="",0,Z447),"0")+IFERROR(IF(Z448="",0,Z448),"0")+IFERROR(IF(Z449="",0,Z449),"0")+IFERROR(IF(Z450="",0,Z450),"0")+IFERROR(IF(Z451="",0,Z451),"0")</f>
        <v>0.23452000000000001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120</v>
      </c>
      <c r="Y453" s="547">
        <f>IFERROR(SUM(Y446:Y451),"0")</f>
        <v>124.80000000000001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1000</v>
      </c>
      <c r="Y478" s="546">
        <f>IFERROR(IF(X478="",0,CEILING((X478/$H478),1)*$H478),"")</f>
        <v>1008</v>
      </c>
      <c r="Z478" s="36">
        <f>IFERROR(IF(Y478=0,"",ROUNDUP(Y478/H478,0)*0.01898),"")</f>
        <v>2.1257600000000001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1054.8888888888889</v>
      </c>
      <c r="BN478" s="64">
        <f>IFERROR(Y478*I478/H478,"0")</f>
        <v>1063.328</v>
      </c>
      <c r="BO478" s="64">
        <f>IFERROR(1/J478*(X478/H478),"0")</f>
        <v>1.7361111111111112</v>
      </c>
      <c r="BP478" s="64">
        <f>IFERROR(1/J478*(Y478/H478),"0")</f>
        <v>1.75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111.11111111111111</v>
      </c>
      <c r="Y479" s="547">
        <f>IFERROR(Y478/H478,"0")</f>
        <v>112</v>
      </c>
      <c r="Z479" s="547">
        <f>IFERROR(IF(Z478="",0,Z478),"0")</f>
        <v>2.1257600000000001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1000</v>
      </c>
      <c r="Y480" s="547">
        <f>IFERROR(SUM(Y478:Y478),"0")</f>
        <v>1008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13065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13193.560000000001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13882.912847356984</v>
      </c>
      <c r="Y492" s="547">
        <f>IFERROR(SUM(BN22:BN488),"0")</f>
        <v>14021.849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23</v>
      </c>
      <c r="Y493" s="38">
        <f>ROUNDUP(SUM(BP22:BP488),0)</f>
        <v>23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14457.912847356984</v>
      </c>
      <c r="Y494" s="547">
        <f>GrossWeightTotalR+PalletQtyTotalR*25</f>
        <v>14596.849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2457.0869456214286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2481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25.640569999999997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200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906.30000000000007</v>
      </c>
      <c r="E501" s="46">
        <f>IFERROR(Y86*1,"0")+IFERROR(Y87*1,"0")+IFERROR(Y88*1,"0")+IFERROR(Y89*1,"0")+IFERROR(Y93*1,"0")+IFERROR(Y94*1,"0")+IFERROR(Y95*1,"0")+IFERROR(Y96*1,"0")</f>
        <v>1061.1000000000001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874.8</v>
      </c>
      <c r="G501" s="46">
        <f>IFERROR(Y128*1,"0")+IFERROR(Y129*1,"0")+IFERROR(Y133*1,"0")+IFERROR(Y134*1,"0")+IFERROR(Y138*1,"0")+IFERROR(Y139*1,"0")</f>
        <v>41.6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391.44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1650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116.99999999999999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40.799999999999997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340.8</v>
      </c>
      <c r="R501" s="46">
        <f>IFERROR(Y338*1,"0")+IFERROR(Y339*1,"0")+IFERROR(Y340*1,"0")</f>
        <v>877.8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5097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88.2</v>
      </c>
      <c r="V501" s="46">
        <f>IFERROR(Y407*1,"0")+IFERROR(Y411*1,"0")+IFERROR(Y412*1,"0")+IFERROR(Y413*1,"0")+IFERROR(Y414*1,"0")</f>
        <v>8.4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469.92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1008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45,00"/>
        <filter val="1 500,00"/>
        <filter val="1 700,00"/>
        <filter val="10,50"/>
        <filter val="100,00"/>
        <filter val="105,00"/>
        <filter val="111,11"/>
        <filter val="116,67"/>
        <filter val="12,00"/>
        <filter val="12,50"/>
        <filter val="120,00"/>
        <filter val="127,78"/>
        <filter val="13 065,00"/>
        <filter val="13 882,91"/>
        <filter val="130,95"/>
        <filter val="133,70"/>
        <filter val="138,52"/>
        <filter val="14 457,91"/>
        <filter val="145,00"/>
        <filter val="16,67"/>
        <filter val="175,00"/>
        <filter val="18,00"/>
        <filter val="180,00"/>
        <filter val="2 457,09"/>
        <filter val="20,00"/>
        <filter val="200,00"/>
        <filter val="216,67"/>
        <filter val="225,00"/>
        <filter val="23"/>
        <filter val="230,00"/>
        <filter val="24,00"/>
        <filter val="240,00"/>
        <filter val="25,00"/>
        <filter val="25,93"/>
        <filter val="26,67"/>
        <filter val="265,74"/>
        <filter val="266,67"/>
        <filter val="28,30"/>
        <filter val="3,33"/>
        <filter val="3,50"/>
        <filter val="30,00"/>
        <filter val="300,00"/>
        <filter val="315,00"/>
        <filter val="32,00"/>
        <filter val="340,00"/>
        <filter val="35,00"/>
        <filter val="375,00"/>
        <filter val="4 000,00"/>
        <filter val="40,00"/>
        <filter val="41,67"/>
        <filter val="416,67"/>
        <filter val="45,00"/>
        <filter val="450,00"/>
        <filter val="50,00"/>
        <filter val="500,00"/>
        <filter val="52,50"/>
        <filter val="520,00"/>
        <filter val="540,00"/>
        <filter val="549,00"/>
        <filter val="6,67"/>
        <filter val="60,00"/>
        <filter val="600,00"/>
        <filter val="64,00"/>
        <filter val="66,67"/>
        <filter val="68,94"/>
        <filter val="7,00"/>
        <filter val="70,00"/>
        <filter val="700,00"/>
        <filter val="72,00"/>
        <filter val="740,00"/>
        <filter val="750,00"/>
        <filter val="8,33"/>
        <filter val="8,62"/>
        <filter val="87,50"/>
        <filter val="875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