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C12824A-4C14-4CB8-B738-17BC9CAB2A9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Y443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O319" i="1"/>
  <c r="BM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Y270" i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O172" i="1"/>
  <c r="BM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O102" i="1"/>
  <c r="BN102" i="1"/>
  <c r="BM102" i="1"/>
  <c r="Z102" i="1"/>
  <c r="Y102" i="1"/>
  <c r="BP102" i="1" s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P22" i="1"/>
  <c r="H10" i="1"/>
  <c r="A9" i="1"/>
  <c r="F10" i="1" s="1"/>
  <c r="D7" i="1"/>
  <c r="Q6" i="1"/>
  <c r="P2" i="1"/>
  <c r="BP23" i="1" l="1"/>
  <c r="BN23" i="1"/>
  <c r="Z23" i="1"/>
  <c r="BP56" i="1"/>
  <c r="BN56" i="1"/>
  <c r="Z56" i="1"/>
  <c r="BP94" i="1"/>
  <c r="BN94" i="1"/>
  <c r="Z94" i="1"/>
  <c r="BP149" i="1"/>
  <c r="BN149" i="1"/>
  <c r="Z149" i="1"/>
  <c r="BP192" i="1"/>
  <c r="BN192" i="1"/>
  <c r="Z192" i="1"/>
  <c r="BP219" i="1"/>
  <c r="BN219" i="1"/>
  <c r="Z219" i="1"/>
  <c r="BP254" i="1"/>
  <c r="BN254" i="1"/>
  <c r="Z254" i="1"/>
  <c r="BP288" i="1"/>
  <c r="BN288" i="1"/>
  <c r="Z288" i="1"/>
  <c r="BP319" i="1"/>
  <c r="BN319" i="1"/>
  <c r="Z319" i="1"/>
  <c r="BP350" i="1"/>
  <c r="BN350" i="1"/>
  <c r="Z350" i="1"/>
  <c r="BP393" i="1"/>
  <c r="BN393" i="1"/>
  <c r="Z393" i="1"/>
  <c r="BP432" i="1"/>
  <c r="BN432" i="1"/>
  <c r="Z432" i="1"/>
  <c r="BP450" i="1"/>
  <c r="BN450" i="1"/>
  <c r="Z450" i="1"/>
  <c r="Y37" i="1"/>
  <c r="Y36" i="1"/>
  <c r="BP35" i="1"/>
  <c r="BN35" i="1"/>
  <c r="Z35" i="1"/>
  <c r="Z36" i="1" s="1"/>
  <c r="BP41" i="1"/>
  <c r="BN41" i="1"/>
  <c r="Z41" i="1"/>
  <c r="BP76" i="1"/>
  <c r="BN76" i="1"/>
  <c r="Z76" i="1"/>
  <c r="BP119" i="1"/>
  <c r="BN119" i="1"/>
  <c r="Z119" i="1"/>
  <c r="BP166" i="1"/>
  <c r="BN166" i="1"/>
  <c r="Z166" i="1"/>
  <c r="BP207" i="1"/>
  <c r="BN207" i="1"/>
  <c r="Z207" i="1"/>
  <c r="BP236" i="1"/>
  <c r="BN236" i="1"/>
  <c r="Z236" i="1"/>
  <c r="BP268" i="1"/>
  <c r="BN268" i="1"/>
  <c r="Z268" i="1"/>
  <c r="BP305" i="1"/>
  <c r="BN305" i="1"/>
  <c r="Z305" i="1"/>
  <c r="BP333" i="1"/>
  <c r="BN333" i="1"/>
  <c r="Z333" i="1"/>
  <c r="BP377" i="1"/>
  <c r="BN377" i="1"/>
  <c r="Z377" i="1"/>
  <c r="BP412" i="1"/>
  <c r="BN412" i="1"/>
  <c r="Z412" i="1"/>
  <c r="BP442" i="1"/>
  <c r="BN442" i="1"/>
  <c r="Z442" i="1"/>
  <c r="BP474" i="1"/>
  <c r="BN474" i="1"/>
  <c r="Z474" i="1"/>
  <c r="X492" i="1"/>
  <c r="X491" i="1"/>
  <c r="Y33" i="1"/>
  <c r="BP117" i="1"/>
  <c r="BN117" i="1"/>
  <c r="Z117" i="1"/>
  <c r="BP145" i="1"/>
  <c r="BN145" i="1"/>
  <c r="Z145" i="1"/>
  <c r="BP172" i="1"/>
  <c r="BN172" i="1"/>
  <c r="Z172" i="1"/>
  <c r="BP181" i="1"/>
  <c r="BN181" i="1"/>
  <c r="Z181" i="1"/>
  <c r="BP205" i="1"/>
  <c r="BN205" i="1"/>
  <c r="Z205" i="1"/>
  <c r="BP217" i="1"/>
  <c r="BN217" i="1"/>
  <c r="Z217" i="1"/>
  <c r="BP234" i="1"/>
  <c r="BN234" i="1"/>
  <c r="Z234" i="1"/>
  <c r="BP252" i="1"/>
  <c r="BN252" i="1"/>
  <c r="Z252" i="1"/>
  <c r="BP263" i="1"/>
  <c r="BN263" i="1"/>
  <c r="Z263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BP348" i="1"/>
  <c r="BN348" i="1"/>
  <c r="Z348" i="1"/>
  <c r="B501" i="1"/>
  <c r="X493" i="1"/>
  <c r="X494" i="1" s="1"/>
  <c r="Z27" i="1"/>
  <c r="BN27" i="1"/>
  <c r="BP27" i="1"/>
  <c r="Z31" i="1"/>
  <c r="BN31" i="1"/>
  <c r="Z43" i="1"/>
  <c r="BN43" i="1"/>
  <c r="D501" i="1"/>
  <c r="Z54" i="1"/>
  <c r="BN54" i="1"/>
  <c r="Z62" i="1"/>
  <c r="BN62" i="1"/>
  <c r="Z74" i="1"/>
  <c r="BN74" i="1"/>
  <c r="Z80" i="1"/>
  <c r="BN80" i="1"/>
  <c r="Z88" i="1"/>
  <c r="BN88" i="1"/>
  <c r="Z96" i="1"/>
  <c r="BN96" i="1"/>
  <c r="Y125" i="1"/>
  <c r="Y124" i="1"/>
  <c r="BP123" i="1"/>
  <c r="BN123" i="1"/>
  <c r="Z123" i="1"/>
  <c r="Z124" i="1" s="1"/>
  <c r="BP128" i="1"/>
  <c r="BN128" i="1"/>
  <c r="Z128" i="1"/>
  <c r="BP151" i="1"/>
  <c r="BN151" i="1"/>
  <c r="Z151" i="1"/>
  <c r="Y157" i="1"/>
  <c r="Y156" i="1"/>
  <c r="BP155" i="1"/>
  <c r="BN155" i="1"/>
  <c r="Z155" i="1"/>
  <c r="Z156" i="1" s="1"/>
  <c r="Y162" i="1"/>
  <c r="BP161" i="1"/>
  <c r="BN161" i="1"/>
  <c r="Z161" i="1"/>
  <c r="Z162" i="1" s="1"/>
  <c r="BP168" i="1"/>
  <c r="BN168" i="1"/>
  <c r="Z168" i="1"/>
  <c r="BP173" i="1"/>
  <c r="BN173" i="1"/>
  <c r="Z173" i="1"/>
  <c r="Y198" i="1"/>
  <c r="BN196" i="1"/>
  <c r="Z196" i="1"/>
  <c r="BP197" i="1"/>
  <c r="BN197" i="1"/>
  <c r="Z197" i="1"/>
  <c r="BP201" i="1"/>
  <c r="BN201" i="1"/>
  <c r="Z201" i="1"/>
  <c r="BP213" i="1"/>
  <c r="BN213" i="1"/>
  <c r="Z213" i="1"/>
  <c r="BP225" i="1"/>
  <c r="BN225" i="1"/>
  <c r="Z225" i="1"/>
  <c r="BP230" i="1"/>
  <c r="BN230" i="1"/>
  <c r="Z230" i="1"/>
  <c r="BP238" i="1"/>
  <c r="BN238" i="1"/>
  <c r="Z238" i="1"/>
  <c r="BP259" i="1"/>
  <c r="BN259" i="1"/>
  <c r="Z259" i="1"/>
  <c r="BP270" i="1"/>
  <c r="BN270" i="1"/>
  <c r="Z270" i="1"/>
  <c r="Y153" i="1"/>
  <c r="Y152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290" i="1"/>
  <c r="Y358" i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Z334" i="1" s="1"/>
  <c r="Y334" i="1"/>
  <c r="F9" i="1"/>
  <c r="J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Z44" i="1" s="1"/>
  <c r="BN42" i="1"/>
  <c r="Y45" i="1"/>
  <c r="Y58" i="1"/>
  <c r="Z53" i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Z272" i="1" s="1"/>
  <c r="O501" i="1"/>
  <c r="Y279" i="1"/>
  <c r="BP276" i="1"/>
  <c r="BN276" i="1"/>
  <c r="Z276" i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Z315" i="1" s="1"/>
  <c r="Y321" i="1"/>
  <c r="BP318" i="1"/>
  <c r="BN318" i="1"/>
  <c r="Z318" i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Z384" i="1" s="1"/>
  <c r="Y399" i="1"/>
  <c r="BP392" i="1"/>
  <c r="BN392" i="1"/>
  <c r="Z392" i="1"/>
  <c r="Z398" i="1" s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Y485" i="1"/>
  <c r="Z501" i="1"/>
  <c r="Y489" i="1"/>
  <c r="BP488" i="1"/>
  <c r="BN488" i="1"/>
  <c r="Z488" i="1"/>
  <c r="Z489" i="1" s="1"/>
  <c r="Y490" i="1"/>
  <c r="W501" i="1"/>
  <c r="Y438" i="1"/>
  <c r="Z484" i="1" l="1"/>
  <c r="Z353" i="1"/>
  <c r="Z321" i="1"/>
  <c r="Z279" i="1"/>
  <c r="Z264" i="1"/>
  <c r="Z226" i="1"/>
  <c r="Z475" i="1"/>
  <c r="Z183" i="1"/>
  <c r="Z152" i="1"/>
  <c r="Z120" i="1"/>
  <c r="Z193" i="1"/>
  <c r="Z437" i="1"/>
  <c r="Z308" i="1"/>
  <c r="Z299" i="1"/>
  <c r="Z452" i="1"/>
  <c r="Z239" i="1"/>
  <c r="Z32" i="1"/>
  <c r="Z106" i="1"/>
  <c r="Z198" i="1"/>
  <c r="Z255" i="1"/>
  <c r="Z209" i="1"/>
  <c r="Z58" i="1"/>
  <c r="Z221" i="1"/>
  <c r="Z465" i="1"/>
  <c r="Z113" i="1"/>
  <c r="Y492" i="1"/>
  <c r="Z97" i="1"/>
  <c r="Z90" i="1"/>
  <c r="Z77" i="1"/>
  <c r="Z64" i="1"/>
  <c r="Z415" i="1"/>
  <c r="Y491" i="1"/>
  <c r="Y493" i="1"/>
  <c r="Z328" i="1"/>
  <c r="Z177" i="1"/>
  <c r="Y495" i="1"/>
  <c r="Z496" i="1" l="1"/>
  <c r="Y494" i="1"/>
</calcChain>
</file>

<file path=xl/sharedStrings.xml><?xml version="1.0" encoding="utf-8"?>
<sst xmlns="http://schemas.openxmlformats.org/spreadsheetml/2006/main" count="2166" uniqueCount="775">
  <si>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</si>
  <si>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</si>
  <si>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</si>
  <si>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</si>
  <si>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</si>
  <si>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</si>
  <si>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</si>
  <si>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</si>
  <si>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</si>
  <si>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</si>
  <si>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</si>
  <si>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</si>
  <si>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</si>
  <si>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</si>
  <si>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</si>
  <si>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</si>
  <si>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</si>
  <si>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</si>
  <si>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</si>
  <si>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</si>
  <si>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</si>
  <si>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</si>
  <si>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</si>
  <si>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</si>
  <si>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</si>
  <si>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</si>
  <si>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</si>
  <si>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</si>
  <si>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</si>
  <si>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</si>
  <si>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</si>
  <si>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</si>
  <si>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</si>
  <si>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</si>
  <si>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</si>
  <si>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</si>
  <si>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</si>
  <si>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</si>
  <si>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</si>
  <si>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</si>
  <si>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</si>
  <si>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</si>
  <si>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</si>
  <si>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</si>
  <si>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</si>
  <si>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</si>
  <si>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</si>
  <si>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</si>
  <si>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</si>
  <si>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</si>
  <si>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</si>
  <si>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</si>
  <si>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</si>
  <si>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</si>
  <si>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</si>
  <si>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</si>
  <si>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</si>
  <si>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</si>
  <si>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</si>
  <si>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</si>
  <si>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</si>
  <si>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</si>
  <si>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</si>
  <si>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</si>
  <si>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</si>
  <si>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</si>
  <si>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</si>
  <si>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</si>
  <si>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</si>
  <si>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</si>
  <si>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</si>
  <si>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</si>
  <si>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</si>
  <si>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</si>
  <si>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</si>
  <si>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</si>
  <si>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</si>
  <si>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</si>
  <si>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</si>
  <si>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</si>
  <si>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</si>
  <si>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</si>
  <si>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</si>
  <si>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</si>
  <si>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</si>
  <si>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</si>
  <si>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</si>
  <si>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</si>
  <si>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</si>
  <si>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</si>
  <si>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</si>
  <si>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</si>
  <si>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</si>
  <si>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</si>
  <si>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</si>
  <si>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</si>
  <si>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</si>
  <si>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</si>
  <si>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</si>
  <si>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</si>
  <si>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</si>
  <si>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</si>
  <si>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</si>
  <si>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</si>
  <si>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</si>
  <si>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</si>
  <si>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</si>
  <si>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</si>
  <si>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</si>
  <si>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</si>
  <si>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</si>
  <si>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</si>
  <si>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</si>
  <si>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</si>
  <si>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</si>
  <si>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</si>
  <si>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</si>
  <si>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</si>
  <si>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</si>
  <si>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</si>
  <si>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</si>
  <si>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</si>
  <si>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</si>
  <si>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</si>
  <si>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</si>
  <si>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</si>
  <si>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</si>
  <si>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</si>
  <si>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</si>
  <si>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</si>
  <si>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</si>
  <si>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</si>
  <si>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</si>
  <si>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</si>
  <si>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</si>
  <si>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</si>
  <si>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</si>
  <si>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</si>
  <si>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</si>
  <si>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</si>
  <si>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</si>
  <si>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</si>
  <si>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</si>
  <si>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</si>
  <si>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</si>
  <si>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</si>
  <si>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</si>
  <si>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</si>
  <si>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</si>
  <si>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</si>
  <si>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</si>
  <si>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</si>
  <si>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</si>
  <si>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</si>
  <si>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</si>
  <si>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</si>
  <si>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</si>
  <si>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</si>
  <si>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</si>
  <si>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</si>
  <si>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</si>
  <si>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</si>
  <si>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</si>
  <si>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</si>
  <si>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</si>
  <si>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</si>
  <si>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</si>
  <si>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</si>
  <si>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</si>
  <si>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</si>
  <si>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</si>
  <si>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</si>
  <si>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</si>
  <si>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</si>
  <si>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</si>
  <si>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</si>
  <si>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</si>
  <si>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</si>
  <si>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</si>
  <si>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</si>
  <si>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</si>
  <si>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</si>
  <si>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</si>
  <si>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</si>
  <si>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</si>
  <si>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</si>
  <si>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</si>
  <si>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</si>
  <si>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</si>
  <si>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</si>
  <si>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</si>
  <si>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</si>
  <si>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</si>
  <si>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</si>
  <si>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</si>
  <si>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</si>
  <si>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</si>
  <si>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</si>
  <si>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</si>
  <si>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</si>
  <si>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</si>
  <si>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</si>
  <si>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</si>
  <si>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</si>
  <si>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</si>
  <si>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</si>
  <si>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</si>
  <si>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</si>
  <si>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</si>
  <si>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</si>
  <si>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</si>
  <si>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</si>
  <si>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</si>
  <si>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</si>
  <si>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</si>
  <si>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</si>
  <si>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</si>
  <si>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</si>
  <si>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</si>
  <si>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</si>
  <si>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</si>
  <si>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</si>
  <si>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</si>
  <si>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</si>
  <si>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</si>
  <si>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</si>
  <si>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</si>
  <si>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</si>
  <si>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</si>
  <si>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</si>
  <si>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</si>
  <si>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</si>
  <si>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</si>
  <si>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</si>
  <si>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</si>
  <si>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</si>
  <si>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</si>
  <si>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</si>
  <si>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</si>
  <si>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</si>
  <si>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</si>
  <si>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</si>
  <si>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</si>
  <si>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</si>
  <si>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</si>
  <si>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</si>
  <si>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</si>
  <si>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</si>
  <si>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</si>
  <si>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</si>
  <si>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</si>
  <si>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</si>
  <si>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</si>
  <si>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</si>
  <si>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</si>
  <si>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</si>
  <si>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</si>
  <si>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</si>
  <si>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</si>
  <si>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</si>
  <si>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</si>
  <si>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</si>
  <si>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</si>
  <si>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</si>
  <si>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</si>
  <si>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</si>
  <si>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</si>
  <si>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</si>
  <si>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</si>
  <si>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</si>
  <si>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</si>
  <si>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</si>
  <si>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</si>
  <si>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</si>
  <si>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</si>
  <si>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</si>
  <si>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</si>
  <si>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</si>
  <si>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</si>
  <si>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</si>
  <si>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</si>
  <si>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</si>
  <si>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</si>
  <si>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</si>
  <si>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</si>
  <si>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</si>
  <si>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</si>
  <si>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</si>
  <si>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</si>
  <si>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</si>
  <si>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</si>
  <si>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</si>
  <si>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</si>
  <si>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</si>
  <si>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</si>
  <si>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</si>
  <si>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</si>
  <si>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</si>
  <si>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</si>
  <si>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</si>
  <si>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</si>
  <si>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</si>
  <si>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</si>
  <si>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</si>
  <si>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</si>
  <si>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</si>
  <si>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</si>
  <si>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</si>
  <si>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</si>
  <si>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</si>
  <si>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</si>
  <si>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</si>
  <si>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</si>
  <si>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</si>
  <si>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</si>
  <si>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</si>
  <si>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</si>
  <si>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</si>
  <si>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</si>
  <si>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</si>
  <si>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</si>
  <si>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</si>
  <si>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</si>
  <si>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</si>
  <si>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</si>
  <si>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</si>
  <si>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</si>
  <si>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</si>
  <si>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</si>
  <si>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</si>
  <si>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</si>
  <si>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</si>
  <si>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</si>
  <si>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</si>
  <si>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</si>
  <si>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</si>
  <si>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</si>
  <si>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</si>
  <si>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</si>
  <si>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</si>
  <si>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</si>
  <si>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</si>
  <si>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</si>
  <si>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</si>
  <si>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</si>
  <si>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</si>
  <si>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</si>
  <si>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</si>
  <si>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</si>
  <si>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</si>
  <si>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</si>
  <si>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</si>
  <si>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</si>
  <si>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</si>
  <si>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</si>
  <si>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</si>
  <si>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</si>
  <si>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</si>
  <si>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</si>
  <si>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</si>
  <si>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</si>
  <si>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</si>
  <si>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</si>
  <si>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</si>
  <si>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</si>
  <si>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</si>
  <si>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</si>
  <si>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</si>
  <si>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</si>
  <si>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</si>
  <si>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</si>
  <si>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</si>
  <si>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</si>
  <si>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</si>
  <si>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</si>
  <si>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</si>
  <si>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</si>
  <si>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</si>
  <si>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</si>
  <si>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</si>
  <si>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</si>
  <si>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</si>
  <si>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</si>
  <si>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</si>
  <si>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</si>
  <si>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</si>
  <si>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</si>
  <si>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</si>
  <si>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</si>
  <si>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</si>
  <si>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</si>
  <si>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</si>
  <si>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</si>
  <si>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</si>
  <si>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</si>
  <si>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</si>
  <si>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</si>
  <si>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</si>
  <si>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</si>
  <si>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</si>
  <si>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</si>
  <si>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</si>
  <si>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</si>
  <si>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</si>
  <si>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</si>
  <si>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</si>
  <si>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</si>
  <si>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</si>
  <si>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</si>
  <si>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</si>
  <si>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</si>
  <si>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</si>
  <si>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</si>
  <si>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</si>
  <si>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</si>
  <si>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</si>
  <si>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</si>
  <si>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</si>
  <si>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</si>
  <si>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</si>
  <si>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</si>
  <si>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</si>
  <si>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</si>
  <si>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</si>
  <si>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</si>
  <si>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</si>
  <si>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</si>
  <si>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</si>
  <si>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</si>
  <si>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</si>
  <si>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</si>
  <si>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</si>
  <si>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</si>
  <si>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</si>
  <si>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</si>
  <si>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</si>
  <si>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</si>
  <si>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</si>
  <si>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</si>
  <si>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</si>
  <si>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</si>
  <si>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</si>
  <si>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</si>
  <si>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</si>
  <si>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</si>
  <si>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</si>
  <si>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</si>
  <si>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</si>
  <si>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</si>
  <si>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</si>
  <si>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</si>
  <si>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</si>
  <si>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</si>
  <si>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</si>
  <si>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</si>
  <si>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</si>
  <si>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</si>
  <si>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</si>
  <si>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</si>
  <si>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</si>
  <si>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</si>
  <si>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</si>
  <si>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</si>
  <si>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</si>
  <si>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</si>
  <si>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</si>
  <si>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</si>
  <si>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</si>
  <si>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</si>
  <si>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</si>
  <si>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</si>
  <si>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</si>
  <si>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</si>
  <si>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</si>
  <si>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</si>
  <si>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</si>
  <si>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</si>
  <si>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</si>
  <si>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</si>
  <si>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</si>
  <si>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</si>
  <si>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</si>
  <si>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</si>
  <si>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</si>
  <si>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</si>
  <si>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</si>
  <si>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</si>
  <si>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</si>
  <si>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</si>
  <si>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</si>
  <si>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</si>
  <si>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</si>
  <si>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</si>
  <si>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</si>
  <si>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</si>
  <si>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</si>
  <si>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</si>
  <si>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</si>
  <si>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</si>
  <si>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</si>
  <si>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</si>
  <si>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</si>
  <si>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</si>
  <si>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</si>
  <si>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</si>
  <si>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</si>
  <si>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</si>
  <si>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</si>
  <si>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</si>
  <si>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</si>
  <si>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</si>
  <si>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</si>
  <si>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</si>
  <si>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</si>
  <si>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</si>
  <si>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</si>
  <si>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</si>
  <si>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</si>
  <si>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</si>
  <si>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</si>
  <si>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</si>
  <si>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</si>
  <si>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</si>
  <si>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</si>
  <si>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</si>
  <si>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</si>
  <si>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</si>
  <si>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</si>
  <si>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</si>
  <si>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</si>
  <si>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</si>
  <si>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</si>
  <si>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</si>
  <si>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</si>
  <si>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</si>
  <si>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</si>
  <si>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</si>
  <si>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</si>
  <si>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</si>
  <si>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</si>
  <si>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</si>
  <si>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</si>
  <si>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</si>
  <si>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</si>
  <si>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</si>
  <si>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</si>
  <si>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</si>
  <si>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</si>
  <si>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</si>
  <si>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</si>
  <si>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</si>
  <si>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</si>
  <si>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</si>
  <si>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</si>
  <si>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</si>
  <si>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</si>
  <si>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</si>
  <si>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</si>
  <si>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</si>
  <si>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</si>
  <si>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</si>
  <si>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</si>
  <si>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</si>
  <si>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</si>
  <si>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</si>
  <si>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</si>
  <si>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</si>
  <si>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</si>
  <si>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</si>
  <si>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</si>
  <si>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</si>
  <si>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</si>
  <si>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</si>
  <si>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</si>
  <si>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</si>
  <si>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</si>
  <si>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</si>
  <si>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</si>
  <si>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</si>
  <si>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</si>
  <si>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</si>
  <si>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</si>
  <si>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</si>
  <si>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</si>
  <si>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</si>
  <si>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</si>
  <si>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</si>
  <si>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</si>
  <si>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</si>
  <si>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</si>
  <si>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</si>
  <si>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</si>
  <si>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</si>
  <si>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</si>
  <si>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</si>
  <si>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</si>
  <si>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</si>
  <si>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</si>
  <si>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</si>
  <si>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</si>
  <si>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</si>
  <si>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</si>
  <si>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</si>
  <si>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</si>
  <si>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</si>
  <si>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</si>
  <si>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</si>
  <si>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</si>
  <si>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</si>
  <si>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</si>
  <si>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</si>
  <si>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</si>
  <si>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</si>
  <si>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</si>
  <si>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</si>
  <si>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</si>
  <si>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</si>
  <si>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</si>
  <si>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</si>
  <si>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</si>
  <si>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</si>
  <si>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</si>
  <si>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</si>
  <si>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</si>
  <si>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</si>
  <si>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</si>
  <si>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</si>
  <si>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</si>
  <si>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</si>
  <si>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</si>
  <si>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</si>
  <si>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</si>
  <si>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</si>
  <si>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</si>
  <si>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</si>
  <si>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</si>
  <si>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</si>
  <si>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</si>
  <si>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</si>
  <si>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</si>
  <si>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</si>
  <si>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</si>
  <si>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</si>
  <si>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</si>
  <si>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</si>
  <si>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</si>
  <si>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</si>
  <si>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</si>
  <si>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</si>
  <si>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</si>
  <si>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</si>
  <si>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</si>
  <si>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</si>
  <si>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</si>
  <si>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</si>
  <si>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</si>
  <si>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</si>
  <si>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</si>
  <si>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</si>
  <si>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</si>
  <si>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</si>
  <si>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</si>
  <si>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</si>
  <si>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</si>
  <si>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</si>
  <si>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</si>
  <si>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</si>
  <si>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</si>
  <si>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</si>
  <si>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</si>
  <si>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</si>
  <si>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</si>
  <si>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</si>
  <si>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</si>
  <si>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</si>
  <si>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</si>
  <si>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</si>
  <si>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</si>
  <si>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</si>
  <si>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</si>
  <si>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</si>
  <si>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</si>
  <si>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</si>
  <si>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</si>
  <si>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</si>
  <si>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</si>
  <si>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</si>
  <si>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</si>
  <si>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</si>
  <si>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</si>
  <si>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</si>
  <si>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</si>
  <si>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</si>
  <si>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</si>
  <si>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</si>
  <si>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</si>
  <si>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</si>
  <si>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</si>
  <si>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</si>
  <si>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</si>
  <si>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</si>
  <si>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</si>
  <si>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</si>
  <si>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</si>
  <si>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</si>
  <si>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</si>
  <si>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</si>
  <si>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</si>
  <si>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</si>
  <si>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</si>
  <si>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</si>
  <si>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</si>
  <si>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</si>
  <si>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</si>
  <si>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</si>
  <si>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</si>
  <si>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</si>
  <si>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</si>
  <si>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</si>
  <si>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</si>
  <si>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</si>
  <si>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</si>
  <si>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</si>
  <si>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</si>
  <si>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</si>
  <si>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</si>
  <si>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</si>
  <si>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</si>
  <si>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</si>
  <si>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</si>
  <si>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</si>
  <si>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</si>
  <si>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</si>
  <si>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</si>
  <si>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</si>
  <si>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</si>
  <si>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</si>
  <si>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</si>
  <si>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</si>
  <si>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</si>
  <si>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</si>
  <si>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</si>
  <si>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</si>
  <si>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</si>
  <si>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</si>
  <si>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</si>
  <si>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</si>
  <si>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</si>
  <si>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</si>
  <si>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</si>
  <si>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</si>
  <si>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</si>
  <si>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</si>
  <si>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</si>
  <si>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</si>
  <si>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</si>
  <si>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</si>
  <si>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</si>
  <si>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</si>
  <si>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</si>
  <si>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</si>
  <si>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</si>
  <si>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</si>
  <si>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</si>
  <si>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</si>
  <si>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</si>
  <si>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</si>
  <si>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</si>
  <si>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</si>
  <si>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</si>
  <si>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</si>
  <si>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</si>
  <si>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</si>
  <si>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</si>
  <si>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Пуд,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</si>
</sst>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3" sqref="AA43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774</v>
      </c>
      <c r="I5" s="787"/>
      <c r="J5" s="787"/>
      <c r="K5" s="787"/>
      <c r="L5" s="787"/>
      <c r="M5" s="616"/>
      <c r="N5" s="58"/>
      <c r="P5" s="24" t="s">
        <v>10</v>
      </c>
      <c r="Q5" s="854">
        <v>46010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Пятница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0.375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hidden="1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/>
      <c r="M41" s="33" t="s">
        <v>106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108</v>
      </c>
      <c r="B42" s="54" t="s">
        <v>109</v>
      </c>
      <c r="C42" s="31">
        <v>4301011565</v>
      </c>
      <c r="D42" s="554">
        <v>4680115882539</v>
      </c>
      <c r="E42" s="555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110</v>
      </c>
      <c r="L42" s="32"/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111</v>
      </c>
      <c r="B43" s="54" t="s">
        <v>112</v>
      </c>
      <c r="C43" s="31">
        <v>4301011382</v>
      </c>
      <c r="D43" s="554">
        <v>4607091385687</v>
      </c>
      <c r="E43" s="555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110</v>
      </c>
      <c r="L43" s="32"/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0"/>
      <c r="R43" s="550"/>
      <c r="S43" s="550"/>
      <c r="T43" s="551"/>
      <c r="U43" s="34"/>
      <c r="V43" s="34"/>
      <c r="W43" s="35" t="s">
        <v>69</v>
      </c>
      <c r="X43" s="545">
        <v>880</v>
      </c>
      <c r="Y43" s="546">
        <f>IFERROR(IF(X43="",0,CEILING((X43/$H43),1)*$H43),"")</f>
        <v>880</v>
      </c>
      <c r="Z43" s="36">
        <f>IFERROR(IF(Y43=0,"",ROUNDUP(Y43/H43,0)*0.00902),"")</f>
        <v>1.9843999999999999</v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921.80000000000007</v>
      </c>
      <c r="BN43" s="64">
        <f>IFERROR(Y43*I43/H43,"0")</f>
        <v>921.80000000000007</v>
      </c>
      <c r="BO43" s="64">
        <f>IFERROR(1/J43*(X43/H43),"0")</f>
        <v>1.6666666666666667</v>
      </c>
      <c r="BP43" s="64">
        <f>IFERROR(1/J43*(Y43/H43),"0")</f>
        <v>1.6666666666666667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220</v>
      </c>
      <c r="Y44" s="547">
        <f>IFERROR(Y41/H41,"0")+IFERROR(Y42/H42,"0")+IFERROR(Y43/H43,"0")</f>
        <v>220</v>
      </c>
      <c r="Z44" s="547">
        <f>IFERROR(IF(Z41="",0,Z41),"0")+IFERROR(IF(Z42="",0,Z42),"0")+IFERROR(IF(Z43="",0,Z43),"0")</f>
        <v>1.9843999999999999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880</v>
      </c>
      <c r="Y45" s="547">
        <f>IFERROR(SUM(Y41:Y43),"0")</f>
        <v>880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113</v>
      </c>
      <c r="B47" s="54" t="s">
        <v>114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115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116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117</v>
      </c>
      <c r="B52" s="54" t="s">
        <v>118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119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120</v>
      </c>
      <c r="B53" s="54" t="s">
        <v>121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106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122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123</v>
      </c>
      <c r="B54" s="54" t="s">
        <v>124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125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126</v>
      </c>
      <c r="B55" s="54" t="s">
        <v>127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110</v>
      </c>
      <c r="L55" s="32"/>
      <c r="M55" s="33" t="s">
        <v>106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128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129</v>
      </c>
      <c r="B56" s="54" t="s">
        <v>130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131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110</v>
      </c>
      <c r="L57" s="32"/>
      <c r="M57" s="33" t="s">
        <v>106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540</v>
      </c>
      <c r="Y57" s="546">
        <f t="shared" si="0"/>
        <v>540</v>
      </c>
      <c r="Z57" s="36">
        <f>IFERROR(IF(Y57=0,"",ROUNDUP(Y57/H57,0)*0.00902),"")</f>
        <v>1.0824</v>
      </c>
      <c r="AA57" s="56"/>
      <c r="AB57" s="57"/>
      <c r="AC57" s="103" t="s">
        <v>134</v>
      </c>
      <c r="AG57" s="64"/>
      <c r="AJ57" s="68"/>
      <c r="AK57" s="68">
        <v>0</v>
      </c>
      <c r="BB57" s="104" t="s">
        <v>1</v>
      </c>
      <c r="BM57" s="64">
        <f t="shared" si="1"/>
        <v>562.80000000000007</v>
      </c>
      <c r="BN57" s="64">
        <f t="shared" si="2"/>
        <v>562.80000000000007</v>
      </c>
      <c r="BO57" s="64">
        <f t="shared" si="3"/>
        <v>0.90909090909090917</v>
      </c>
      <c r="BP57" s="64">
        <f t="shared" si="4"/>
        <v>0.90909090909090917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120</v>
      </c>
      <c r="Y58" s="547">
        <f>IFERROR(Y52/H52,"0")+IFERROR(Y53/H53,"0")+IFERROR(Y54/H54,"0")+IFERROR(Y55/H55,"0")+IFERROR(Y56/H56,"0")+IFERROR(Y57/H57,"0")</f>
        <v>120</v>
      </c>
      <c r="Z58" s="547">
        <f>IFERROR(IF(Z52="",0,Z52),"0")+IFERROR(IF(Z53="",0,Z53),"0")+IFERROR(IF(Z54="",0,Z54),"0")+IFERROR(IF(Z55="",0,Z55),"0")+IFERROR(IF(Z56="",0,Z56),"0")+IFERROR(IF(Z57="",0,Z57),"0")</f>
        <v>1.0824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540</v>
      </c>
      <c r="Y59" s="547">
        <f>IFERROR(SUM(Y52:Y57),"0")</f>
        <v>540</v>
      </c>
      <c r="Z59" s="37"/>
      <c r="AA59" s="548"/>
      <c r="AB59" s="548"/>
      <c r="AC59" s="548"/>
    </row>
    <row r="60" spans="1:68" ht="14.25" hidden="1" customHeight="1" x14ac:dyDescent="0.25">
      <c r="A60" s="556" t="s">
        <v>135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hidden="1" customHeight="1" x14ac:dyDescent="0.25">
      <c r="A61" s="54" t="s">
        <v>136</v>
      </c>
      <c r="B61" s="54" t="s">
        <v>137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/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139</v>
      </c>
      <c r="B62" s="54" t="s">
        <v>140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141</v>
      </c>
      <c r="B63" s="54" t="s">
        <v>142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138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hidden="1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143</v>
      </c>
      <c r="B67" s="54" t="s">
        <v>144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145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146</v>
      </c>
      <c r="B68" s="54" t="s">
        <v>147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148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149</v>
      </c>
      <c r="B69" s="54" t="s">
        <v>150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151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152</v>
      </c>
      <c r="B73" s="54" t="s">
        <v>153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154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155</v>
      </c>
      <c r="B74" s="54" t="s">
        <v>156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157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158</v>
      </c>
      <c r="B75" s="54" t="s">
        <v>159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154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160</v>
      </c>
      <c r="B76" s="54" t="s">
        <v>161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162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163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hidden="1" customHeight="1" x14ac:dyDescent="0.25">
      <c r="A80" s="54" t="s">
        <v>164</v>
      </c>
      <c r="B80" s="54" t="s">
        <v>165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/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166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167</v>
      </c>
      <c r="B81" s="54" t="s">
        <v>168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110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169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74" t="s">
        <v>170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hidden="1" customHeight="1" x14ac:dyDescent="0.25">
      <c r="A86" s="54" t="s">
        <v>171</v>
      </c>
      <c r="B86" s="54" t="s">
        <v>172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/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174</v>
      </c>
      <c r="B87" s="54" t="s">
        <v>175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176</v>
      </c>
      <c r="L87" s="32"/>
      <c r="M87" s="33" t="s">
        <v>68</v>
      </c>
      <c r="N87" s="33"/>
      <c r="O87" s="32">
        <v>30</v>
      </c>
      <c r="P87" s="723" t="s">
        <v>177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110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110</v>
      </c>
      <c r="L89" s="32"/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173</v>
      </c>
      <c r="AG89" s="64"/>
      <c r="AJ89" s="68"/>
      <c r="AK89" s="68">
        <v>0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0</v>
      </c>
      <c r="Y90" s="547">
        <f>IFERROR(Y86/H86,"0")+IFERROR(Y87/H87,"0")+IFERROR(Y88/H88,"0")+IFERROR(Y89/H89,"0")</f>
        <v>0</v>
      </c>
      <c r="Z90" s="547">
        <f>IFERROR(IF(Z86="",0,Z86),"0")+IFERROR(IF(Z87="",0,Z87),"0")+IFERROR(IF(Z88="",0,Z88),"0")+IFERROR(IF(Z89="",0,Z89),"0")</f>
        <v>0</v>
      </c>
      <c r="AA90" s="548"/>
      <c r="AB90" s="548"/>
      <c r="AC90" s="548"/>
    </row>
    <row r="91" spans="1:68" hidden="1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0</v>
      </c>
      <c r="Y91" s="547">
        <f>IFERROR(SUM(Y86:Y89),"0")</f>
        <v>0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hidden="1" customHeight="1" x14ac:dyDescent="0.25">
      <c r="A93" s="54" t="s">
        <v>183</v>
      </c>
      <c r="B93" s="54" t="s">
        <v>184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/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108</v>
      </c>
      <c r="Y95" s="546">
        <f>IFERROR(IF(X95="",0,CEILING((X95/$H95),1)*$H95),"")</f>
        <v>108</v>
      </c>
      <c r="Z95" s="36">
        <f>IFERROR(IF(Y95=0,"",ROUNDUP(Y95/H95,0)*0.00651),"")</f>
        <v>0.26040000000000002</v>
      </c>
      <c r="AA95" s="56"/>
      <c r="AB95" s="57"/>
      <c r="AC95" s="141" t="s">
        <v>185</v>
      </c>
      <c r="AG95" s="64"/>
      <c r="AJ95" s="68"/>
      <c r="AK95" s="68">
        <v>0</v>
      </c>
      <c r="BB95" s="142" t="s">
        <v>1</v>
      </c>
      <c r="BM95" s="64">
        <f>IFERROR(X95*I95/H95,"0")</f>
        <v>118.07999999999998</v>
      </c>
      <c r="BN95" s="64">
        <f>IFERROR(Y95*I95/H95,"0")</f>
        <v>118.07999999999998</v>
      </c>
      <c r="BO95" s="64">
        <f>IFERROR(1/J95*(X95/H95),"0")</f>
        <v>0.2197802197802198</v>
      </c>
      <c r="BP95" s="64">
        <f>IFERROR(1/J95*(Y95/H95),"0")</f>
        <v>0.2197802197802198</v>
      </c>
    </row>
    <row r="96" spans="1:68" ht="16.5" hidden="1" customHeight="1" x14ac:dyDescent="0.25">
      <c r="A96" s="54" t="s">
        <v>191</v>
      </c>
      <c r="B96" s="54" t="s">
        <v>192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193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40</v>
      </c>
      <c r="Y97" s="547">
        <f>IFERROR(Y93/H93,"0")+IFERROR(Y94/H94,"0")+IFERROR(Y95/H95,"0")+IFERROR(Y96/H96,"0")</f>
        <v>40</v>
      </c>
      <c r="Z97" s="547">
        <f>IFERROR(IF(Z93="",0,Z93),"0")+IFERROR(IF(Z94="",0,Z94),"0")+IFERROR(IF(Z95="",0,Z95),"0")+IFERROR(IF(Z96="",0,Z96),"0")</f>
        <v>0.26040000000000002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108</v>
      </c>
      <c r="Y98" s="547">
        <f>IFERROR(SUM(Y93:Y96),"0")</f>
        <v>108</v>
      </c>
      <c r="Z98" s="37"/>
      <c r="AA98" s="548"/>
      <c r="AB98" s="548"/>
      <c r="AC98" s="548"/>
    </row>
    <row r="99" spans="1:68" ht="16.5" hidden="1" customHeight="1" x14ac:dyDescent="0.25">
      <c r="A99" s="574" t="s">
        <v>194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hidden="1" customHeight="1" x14ac:dyDescent="0.25">
      <c r="A101" s="54" t="s">
        <v>195</v>
      </c>
      <c r="B101" s="54" t="s">
        <v>196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/>
      <c r="M101" s="33" t="s">
        <v>106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hidden="1" customHeight="1" x14ac:dyDescent="0.25">
      <c r="A102" s="54" t="s">
        <v>198</v>
      </c>
      <c r="B102" s="54" t="s">
        <v>199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176</v>
      </c>
      <c r="L102" s="32"/>
      <c r="M102" s="33" t="s">
        <v>68</v>
      </c>
      <c r="N102" s="33"/>
      <c r="O102" s="32">
        <v>30</v>
      </c>
      <c r="P102" s="818" t="s">
        <v>200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110</v>
      </c>
      <c r="L104" s="32" t="s">
        <v>206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197</v>
      </c>
      <c r="AG104" s="64"/>
      <c r="AJ104" s="68" t="s">
        <v>207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208</v>
      </c>
      <c r="B105" s="54" t="s">
        <v>209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110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197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idden="1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0</v>
      </c>
      <c r="Y106" s="547">
        <f>IFERROR(Y101/H101,"0")+IFERROR(Y102/H102,"0")+IFERROR(Y103/H103,"0")+IFERROR(Y104/H104,"0")+IFERROR(Y105/H105,"0")</f>
        <v>0</v>
      </c>
      <c r="Z106" s="547">
        <f>IFERROR(IF(Z101="",0,Z101),"0")+IFERROR(IF(Z102="",0,Z102),"0")+IFERROR(IF(Z103="",0,Z103),"0")+IFERROR(IF(Z104="",0,Z104),"0")+IFERROR(IF(Z105="",0,Z105),"0")</f>
        <v>0</v>
      </c>
      <c r="AA106" s="548"/>
      <c r="AB106" s="548"/>
      <c r="AC106" s="548"/>
    </row>
    <row r="107" spans="1:68" hidden="1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0</v>
      </c>
      <c r="Y107" s="547">
        <f>IFERROR(SUM(Y101:Y105),"0")</f>
        <v>0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135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hidden="1" customHeight="1" x14ac:dyDescent="0.25">
      <c r="A109" s="54" t="s">
        <v>210</v>
      </c>
      <c r="B109" s="54" t="s">
        <v>211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/>
      <c r="M109" s="33" t="s">
        <v>106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213</v>
      </c>
      <c r="B110" s="54" t="s">
        <v>214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215</v>
      </c>
      <c r="L110" s="32"/>
      <c r="M110" s="33" t="s">
        <v>68</v>
      </c>
      <c r="N110" s="33"/>
      <c r="O110" s="32">
        <v>30</v>
      </c>
      <c r="P110" s="822" t="s">
        <v>216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218</v>
      </c>
      <c r="B111" s="54" t="s">
        <v>219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106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212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220</v>
      </c>
      <c r="B112" s="54" t="s">
        <v>221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106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212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hidden="1" customHeight="1" x14ac:dyDescent="0.25">
      <c r="A116" s="54" t="s">
        <v>222</v>
      </c>
      <c r="B116" s="54" t="s">
        <v>223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/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224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224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227</v>
      </c>
      <c r="B118" s="54" t="s">
        <v>228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229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450.9</v>
      </c>
      <c r="Y118" s="546">
        <f>IFERROR(IF(X118="",0,CEILING((X118/$H118),1)*$H118),"")</f>
        <v>450.90000000000003</v>
      </c>
      <c r="Z118" s="36">
        <f>IFERROR(IF(Y118=0,"",ROUNDUP(Y118/H118,0)*0.00651),"")</f>
        <v>1.08717</v>
      </c>
      <c r="AA118" s="56"/>
      <c r="AB118" s="57"/>
      <c r="AC118" s="167" t="s">
        <v>224</v>
      </c>
      <c r="AG118" s="64"/>
      <c r="AJ118" s="68" t="s">
        <v>207</v>
      </c>
      <c r="AK118" s="68">
        <v>37.799999999999997</v>
      </c>
      <c r="BB118" s="168" t="s">
        <v>1</v>
      </c>
      <c r="BM118" s="64">
        <f>IFERROR(X118*I118/H118,"0")</f>
        <v>492.98399999999992</v>
      </c>
      <c r="BN118" s="64">
        <f>IFERROR(Y118*I118/H118,"0")</f>
        <v>492.98399999999998</v>
      </c>
      <c r="BO118" s="64">
        <f>IFERROR(1/J118*(X118/H118),"0")</f>
        <v>0.91758241758241754</v>
      </c>
      <c r="BP118" s="64">
        <f>IFERROR(1/J118*(Y118/H118),"0")</f>
        <v>0.91758241758241765</v>
      </c>
    </row>
    <row r="119" spans="1:68" ht="16.5" hidden="1" customHeight="1" x14ac:dyDescent="0.25">
      <c r="A119" s="54" t="s">
        <v>230</v>
      </c>
      <c r="B119" s="54" t="s">
        <v>231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232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166.99999999999997</v>
      </c>
      <c r="Y120" s="547">
        <f>IFERROR(Y116/H116,"0")+IFERROR(Y117/H117,"0")+IFERROR(Y118/H118,"0")+IFERROR(Y119/H119,"0")</f>
        <v>167</v>
      </c>
      <c r="Z120" s="547">
        <f>IFERROR(IF(Z116="",0,Z116),"0")+IFERROR(IF(Z117="",0,Z117),"0")+IFERROR(IF(Z118="",0,Z118),"0")+IFERROR(IF(Z119="",0,Z119),"0")</f>
        <v>1.08717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450.9</v>
      </c>
      <c r="Y121" s="547">
        <f>IFERROR(SUM(Y116:Y119),"0")</f>
        <v>450.90000000000003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163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233</v>
      </c>
      <c r="B123" s="54" t="s">
        <v>234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235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236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237</v>
      </c>
      <c r="B128" s="54" t="s">
        <v>238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239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237</v>
      </c>
      <c r="B129" s="54" t="s">
        <v>240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239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241</v>
      </c>
      <c r="B133" s="54" t="s">
        <v>242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243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241</v>
      </c>
      <c r="B134" s="54" t="s">
        <v>244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243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245</v>
      </c>
      <c r="B138" s="54" t="s">
        <v>246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239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245</v>
      </c>
      <c r="B139" s="54" t="s">
        <v>247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239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248</v>
      </c>
      <c r="B144" s="54" t="s">
        <v>249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106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250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251</v>
      </c>
      <c r="B145" s="54" t="s">
        <v>252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110</v>
      </c>
      <c r="L145" s="32"/>
      <c r="M145" s="33" t="s">
        <v>106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253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254</v>
      </c>
      <c r="B149" s="54" t="s">
        <v>255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106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256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257</v>
      </c>
      <c r="B150" s="54" t="s">
        <v>258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259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262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263</v>
      </c>
      <c r="B155" s="54" t="s">
        <v>264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265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266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267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135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268</v>
      </c>
      <c r="B161" s="54" t="s">
        <v>269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270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271</v>
      </c>
      <c r="B165" s="54" t="s">
        <v>272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273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274</v>
      </c>
      <c r="AC165" s="199" t="s">
        <v>275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276</v>
      </c>
      <c r="B166" s="54" t="s">
        <v>277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278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279</v>
      </c>
      <c r="B167" s="54" t="s">
        <v>280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281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282</v>
      </c>
      <c r="B168" s="54" t="s">
        <v>283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110</v>
      </c>
      <c r="L168" s="32"/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284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285</v>
      </c>
      <c r="B169" s="54" t="s">
        <v>286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/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287</v>
      </c>
      <c r="B170" s="54" t="s">
        <v>288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290</v>
      </c>
      <c r="B171" s="54" t="s">
        <v>291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281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292</v>
      </c>
      <c r="B172" s="54" t="s">
        <v>293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294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295</v>
      </c>
      <c r="B173" s="54" t="s">
        <v>296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176</v>
      </c>
      <c r="L173" s="32"/>
      <c r="M173" s="33" t="s">
        <v>68</v>
      </c>
      <c r="N173" s="33"/>
      <c r="O173" s="32">
        <v>45</v>
      </c>
      <c r="P173" s="602" t="s">
        <v>297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298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299</v>
      </c>
      <c r="B174" s="54" t="s">
        <v>300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284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284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303</v>
      </c>
      <c r="B176" s="54" t="s">
        <v>304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305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idden="1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8"/>
      <c r="AB177" s="548"/>
      <c r="AC177" s="548"/>
    </row>
    <row r="178" spans="1:68" hidden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0</v>
      </c>
      <c r="Y178" s="547">
        <f>IFERROR(SUM(Y165:Y176),"0")</f>
        <v>0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306</v>
      </c>
      <c r="B180" s="54" t="s">
        <v>307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308</v>
      </c>
      <c r="L180" s="32"/>
      <c r="M180" s="33" t="s">
        <v>309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310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311</v>
      </c>
      <c r="B181" s="54" t="s">
        <v>312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308</v>
      </c>
      <c r="L181" s="32"/>
      <c r="M181" s="33" t="s">
        <v>309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313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308</v>
      </c>
      <c r="L182" s="32"/>
      <c r="M182" s="33" t="s">
        <v>309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313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316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hidden="1" customHeight="1" x14ac:dyDescent="0.25">
      <c r="A186" s="54" t="s">
        <v>317</v>
      </c>
      <c r="B186" s="54" t="s">
        <v>318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308</v>
      </c>
      <c r="L186" s="32"/>
      <c r="M186" s="33" t="s">
        <v>309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313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hidden="1" customHeight="1" x14ac:dyDescent="0.25">
      <c r="A189" s="574" t="s">
        <v>319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320</v>
      </c>
      <c r="B191" s="54" t="s">
        <v>321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106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322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106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322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135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325</v>
      </c>
      <c r="B196" s="54" t="s">
        <v>326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106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327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106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327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hidden="1" customHeight="1" x14ac:dyDescent="0.25">
      <c r="A201" s="54" t="s">
        <v>330</v>
      </c>
      <c r="B201" s="54" t="s">
        <v>331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110</v>
      </c>
      <c r="L201" s="32"/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332</v>
      </c>
      <c r="AG201" s="64"/>
      <c r="AJ201" s="68"/>
      <c r="AK201" s="68">
        <v>0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hidden="1" customHeight="1" x14ac:dyDescent="0.25">
      <c r="A202" s="54" t="s">
        <v>333</v>
      </c>
      <c r="B202" s="54" t="s">
        <v>334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110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335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110</v>
      </c>
      <c r="L203" s="32"/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338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hidden="1" customHeight="1" x14ac:dyDescent="0.25">
      <c r="A204" s="54" t="s">
        <v>339</v>
      </c>
      <c r="B204" s="54" t="s">
        <v>340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110</v>
      </c>
      <c r="L204" s="32"/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341</v>
      </c>
      <c r="AG204" s="64"/>
      <c r="AJ204" s="68"/>
      <c r="AK204" s="68">
        <v>0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344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180</v>
      </c>
      <c r="Y205" s="546">
        <f t="shared" si="10"/>
        <v>180</v>
      </c>
      <c r="Z205" s="36">
        <f>IFERROR(IF(Y205=0,"",ROUNDUP(Y205/H205,0)*0.00502),"")</f>
        <v>0.502</v>
      </c>
      <c r="AA205" s="56"/>
      <c r="AB205" s="57"/>
      <c r="AC205" s="247" t="s">
        <v>332</v>
      </c>
      <c r="AG205" s="64"/>
      <c r="AJ205" s="68" t="s">
        <v>207</v>
      </c>
      <c r="AK205" s="68">
        <v>32.4</v>
      </c>
      <c r="BB205" s="248" t="s">
        <v>1</v>
      </c>
      <c r="BM205" s="64">
        <f t="shared" si="11"/>
        <v>192.99999999999997</v>
      </c>
      <c r="BN205" s="64">
        <f t="shared" si="12"/>
        <v>192.99999999999997</v>
      </c>
      <c r="BO205" s="64">
        <f t="shared" si="13"/>
        <v>0.42735042735042739</v>
      </c>
      <c r="BP205" s="64">
        <f t="shared" si="14"/>
        <v>0.42735042735042739</v>
      </c>
    </row>
    <row r="206" spans="1:68" ht="27" hidden="1" customHeight="1" x14ac:dyDescent="0.25">
      <c r="A206" s="54" t="s">
        <v>345</v>
      </c>
      <c r="B206" s="54" t="s">
        <v>346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/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335</v>
      </c>
      <c r="AG206" s="64"/>
      <c r="AJ206" s="68"/>
      <c r="AK206" s="68">
        <v>0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151.19999999999999</v>
      </c>
      <c r="Y207" s="546">
        <f t="shared" si="10"/>
        <v>151.20000000000002</v>
      </c>
      <c r="Z207" s="36">
        <f>IFERROR(IF(Y207=0,"",ROUNDUP(Y207/H207,0)*0.00502),"")</f>
        <v>0.42168</v>
      </c>
      <c r="AA207" s="56"/>
      <c r="AB207" s="57"/>
      <c r="AC207" s="251" t="s">
        <v>338</v>
      </c>
      <c r="AG207" s="64"/>
      <c r="AJ207" s="68"/>
      <c r="AK207" s="68">
        <v>0</v>
      </c>
      <c r="BB207" s="252" t="s">
        <v>1</v>
      </c>
      <c r="BM207" s="64">
        <f t="shared" si="11"/>
        <v>159.6</v>
      </c>
      <c r="BN207" s="64">
        <f t="shared" si="12"/>
        <v>159.60000000000002</v>
      </c>
      <c r="BO207" s="64">
        <f t="shared" si="13"/>
        <v>0.35897435897435898</v>
      </c>
      <c r="BP207" s="64">
        <f t="shared" si="14"/>
        <v>0.35897435897435909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341</v>
      </c>
      <c r="AG208" s="64"/>
      <c r="AJ208" s="68"/>
      <c r="AK208" s="68">
        <v>0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184</v>
      </c>
      <c r="Y209" s="547">
        <f>IFERROR(Y201/H201,"0")+IFERROR(Y202/H202,"0")+IFERROR(Y203/H203,"0")+IFERROR(Y204/H204,"0")+IFERROR(Y205/H205,"0")+IFERROR(Y206/H206,"0")+IFERROR(Y207/H207,"0")+IFERROR(Y208/H208,"0")</f>
        <v>184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0.92368000000000006</v>
      </c>
      <c r="AA209" s="548"/>
      <c r="AB209" s="548"/>
      <c r="AC209" s="548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331.2</v>
      </c>
      <c r="Y210" s="547">
        <f>IFERROR(SUM(Y201:Y208),"0")</f>
        <v>331.20000000000005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hidden="1" customHeight="1" x14ac:dyDescent="0.25">
      <c r="A212" s="54" t="s">
        <v>351</v>
      </c>
      <c r="B212" s="54" t="s">
        <v>352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353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354</v>
      </c>
      <c r="B213" s="54" t="s">
        <v>355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356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357</v>
      </c>
      <c r="B214" s="54" t="s">
        <v>358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/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359</v>
      </c>
      <c r="AG214" s="64"/>
      <c r="AJ214" s="68"/>
      <c r="AK214" s="68">
        <v>0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360</v>
      </c>
      <c r="B215" s="54" t="s">
        <v>361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229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360</v>
      </c>
      <c r="Y215" s="546">
        <f t="shared" si="15"/>
        <v>360</v>
      </c>
      <c r="Z215" s="36">
        <f t="shared" ref="Z215:Z220" si="20">IFERROR(IF(Y215=0,"",ROUNDUP(Y215/H215,0)*0.00651),"")</f>
        <v>0.97650000000000003</v>
      </c>
      <c r="AA215" s="56"/>
      <c r="AB215" s="57"/>
      <c r="AC215" s="261" t="s">
        <v>353</v>
      </c>
      <c r="AG215" s="64"/>
      <c r="AJ215" s="68" t="s">
        <v>207</v>
      </c>
      <c r="AK215" s="68">
        <v>33.6</v>
      </c>
      <c r="BB215" s="262" t="s">
        <v>1</v>
      </c>
      <c r="BM215" s="64">
        <f t="shared" si="16"/>
        <v>400.5</v>
      </c>
      <c r="BN215" s="64">
        <f t="shared" si="17"/>
        <v>400.5</v>
      </c>
      <c r="BO215" s="64">
        <f t="shared" si="18"/>
        <v>0.82417582417582425</v>
      </c>
      <c r="BP215" s="64">
        <f t="shared" si="19"/>
        <v>0.82417582417582425</v>
      </c>
    </row>
    <row r="216" spans="1:68" ht="27" hidden="1" customHeight="1" x14ac:dyDescent="0.25">
      <c r="A216" s="54" t="s">
        <v>362</v>
      </c>
      <c r="B216" s="54" t="s">
        <v>363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359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229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120</v>
      </c>
      <c r="Y217" s="546">
        <f t="shared" si="15"/>
        <v>120</v>
      </c>
      <c r="Z217" s="36">
        <f t="shared" si="20"/>
        <v>0.32550000000000001</v>
      </c>
      <c r="AA217" s="56"/>
      <c r="AB217" s="57"/>
      <c r="AC217" s="265" t="s">
        <v>359</v>
      </c>
      <c r="AG217" s="64"/>
      <c r="AJ217" s="68" t="s">
        <v>207</v>
      </c>
      <c r="AK217" s="68">
        <v>33.6</v>
      </c>
      <c r="BB217" s="266" t="s">
        <v>1</v>
      </c>
      <c r="BM217" s="64">
        <f t="shared" si="16"/>
        <v>132.60000000000002</v>
      </c>
      <c r="BN217" s="64">
        <f t="shared" si="17"/>
        <v>132.60000000000002</v>
      </c>
      <c r="BO217" s="64">
        <f t="shared" si="18"/>
        <v>0.27472527472527475</v>
      </c>
      <c r="BP217" s="64">
        <f t="shared" si="19"/>
        <v>0.27472527472527475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/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359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/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370</v>
      </c>
      <c r="AG219" s="64"/>
      <c r="AJ219" s="68"/>
      <c r="AK219" s="68">
        <v>0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356</v>
      </c>
      <c r="AG220" s="64"/>
      <c r="AJ220" s="68"/>
      <c r="AK220" s="68">
        <v>0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200</v>
      </c>
      <c r="Y221" s="547">
        <f>IFERROR(Y212/H212,"0")+IFERROR(Y213/H213,"0")+IFERROR(Y214/H214,"0")+IFERROR(Y215/H215,"0")+IFERROR(Y216/H216,"0")+IFERROR(Y217/H217,"0")+IFERROR(Y218/H218,"0")+IFERROR(Y219/H219,"0")+IFERROR(Y220/H220,"0")</f>
        <v>200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1.302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480</v>
      </c>
      <c r="Y222" s="547">
        <f>IFERROR(SUM(Y212:Y220),"0")</f>
        <v>480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163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hidden="1" customHeight="1" x14ac:dyDescent="0.25">
      <c r="A224" s="54" t="s">
        <v>373</v>
      </c>
      <c r="B224" s="54" t="s">
        <v>374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375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376</v>
      </c>
      <c r="B225" s="54" t="s">
        <v>377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378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hidden="1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hidden="1" customHeight="1" x14ac:dyDescent="0.25">
      <c r="A228" s="574" t="s">
        <v>379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380</v>
      </c>
      <c r="B230" s="54" t="s">
        <v>381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106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382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383</v>
      </c>
      <c r="B231" s="54" t="s">
        <v>384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106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386</v>
      </c>
      <c r="B232" s="54" t="s">
        <v>387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106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388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389</v>
      </c>
      <c r="B233" s="54" t="s">
        <v>390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382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389</v>
      </c>
      <c r="B234" s="54" t="s">
        <v>391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382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392</v>
      </c>
      <c r="B235" s="54" t="s">
        <v>393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110</v>
      </c>
      <c r="L235" s="32"/>
      <c r="M235" s="33" t="s">
        <v>106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394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395</v>
      </c>
      <c r="B236" s="54" t="s">
        <v>396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106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388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388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135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customHeight="1" x14ac:dyDescent="0.25">
      <c r="A242" s="54" t="s">
        <v>400</v>
      </c>
      <c r="B242" s="54" t="s">
        <v>401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9.9</v>
      </c>
      <c r="Y242" s="546">
        <f>IFERROR(IF(X242="",0,CEILING((X242/$H242),1)*$H242),"")</f>
        <v>9.9</v>
      </c>
      <c r="Z242" s="36">
        <f>IFERROR(IF(Y242=0,"",ROUNDUP(Y242/H242,0)*0.00502),"")</f>
        <v>2.5100000000000001E-2</v>
      </c>
      <c r="AA242" s="56"/>
      <c r="AB242" s="57"/>
      <c r="AC242" s="295" t="s">
        <v>402</v>
      </c>
      <c r="AG242" s="64"/>
      <c r="AJ242" s="68"/>
      <c r="AK242" s="68">
        <v>0</v>
      </c>
      <c r="BB242" s="296" t="s">
        <v>1</v>
      </c>
      <c r="BM242" s="64">
        <f>IFERROR(X242*I242/H242,"0")</f>
        <v>10.400000000000002</v>
      </c>
      <c r="BN242" s="64">
        <f>IFERROR(Y242*I242/H242,"0")</f>
        <v>10.400000000000002</v>
      </c>
      <c r="BO242" s="64">
        <f>IFERROR(1/J242*(X242/H242),"0")</f>
        <v>2.1367521367521368E-2</v>
      </c>
      <c r="BP242" s="64">
        <f>IFERROR(1/J242*(Y242/H242),"0")</f>
        <v>2.1367521367521368E-2</v>
      </c>
    </row>
    <row r="243" spans="1:68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5</v>
      </c>
      <c r="Y243" s="547">
        <f>IFERROR(Y242/H242,"0")</f>
        <v>5</v>
      </c>
      <c r="Z243" s="547">
        <f>IFERROR(IF(Z242="",0,Z242),"0")</f>
        <v>2.5100000000000001E-2</v>
      </c>
      <c r="AA243" s="548"/>
      <c r="AB243" s="548"/>
      <c r="AC243" s="548"/>
    </row>
    <row r="244" spans="1:68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9.9</v>
      </c>
      <c r="Y244" s="547">
        <f>IFERROR(SUM(Y242:Y242),"0")</f>
        <v>9.9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403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hidden="1" customHeight="1" x14ac:dyDescent="0.25">
      <c r="A246" s="54" t="s">
        <v>404</v>
      </c>
      <c r="B246" s="54" t="s">
        <v>405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308</v>
      </c>
      <c r="L246" s="32"/>
      <c r="M246" s="33" t="s">
        <v>309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406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407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408</v>
      </c>
      <c r="B250" s="54" t="s">
        <v>409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308</v>
      </c>
      <c r="L250" s="32"/>
      <c r="M250" s="33" t="s">
        <v>309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410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411</v>
      </c>
      <c r="B251" s="54" t="s">
        <v>412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308</v>
      </c>
      <c r="L251" s="32"/>
      <c r="M251" s="33" t="s">
        <v>309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410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413</v>
      </c>
      <c r="B252" s="54" t="s">
        <v>414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308</v>
      </c>
      <c r="L252" s="32"/>
      <c r="M252" s="33" t="s">
        <v>309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410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308</v>
      </c>
      <c r="L253" s="32"/>
      <c r="M253" s="33" t="s">
        <v>309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410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417</v>
      </c>
      <c r="B254" s="54" t="s">
        <v>418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308</v>
      </c>
      <c r="L254" s="32"/>
      <c r="M254" s="33" t="s">
        <v>309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410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hidden="1" customHeight="1" x14ac:dyDescent="0.25">
      <c r="A257" s="574" t="s">
        <v>419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420</v>
      </c>
      <c r="B259" s="54" t="s">
        <v>421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106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422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423</v>
      </c>
      <c r="B260" s="54" t="s">
        <v>424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106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425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426</v>
      </c>
      <c r="B261" s="54" t="s">
        <v>427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106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428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429</v>
      </c>
      <c r="B262" s="54" t="s">
        <v>430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110</v>
      </c>
      <c r="L262" s="32"/>
      <c r="M262" s="33" t="s">
        <v>106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431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432</v>
      </c>
      <c r="B263" s="54" t="s">
        <v>433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110</v>
      </c>
      <c r="L263" s="32"/>
      <c r="M263" s="33" t="s">
        <v>106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434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435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436</v>
      </c>
      <c r="B268" s="54" t="s">
        <v>437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107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438</v>
      </c>
      <c r="B269" s="54" t="s">
        <v>439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440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441</v>
      </c>
      <c r="B270" s="54" t="s">
        <v>442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388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443</v>
      </c>
      <c r="B271" s="54" t="s">
        <v>444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106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446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447</v>
      </c>
      <c r="B276" s="54" t="s">
        <v>448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449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450</v>
      </c>
      <c r="B277" s="54" t="s">
        <v>451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452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453</v>
      </c>
      <c r="B278" s="54" t="s">
        <v>454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449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hidden="1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hidden="1" customHeight="1" x14ac:dyDescent="0.25">
      <c r="A281" s="574" t="s">
        <v>455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456</v>
      </c>
      <c r="B283" s="54" t="s">
        <v>457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458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459</v>
      </c>
      <c r="B284" s="54" t="s">
        <v>460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461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462</v>
      </c>
      <c r="B288" s="54" t="s">
        <v>463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110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464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465</v>
      </c>
      <c r="B289" s="54" t="s">
        <v>466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110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467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468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469</v>
      </c>
      <c r="B294" s="54" t="s">
        <v>470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471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472</v>
      </c>
      <c r="B295" s="54" t="s">
        <v>473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106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474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475</v>
      </c>
      <c r="B296" s="54" t="s">
        <v>476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477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478</v>
      </c>
      <c r="B297" s="54" t="s">
        <v>479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110</v>
      </c>
      <c r="L297" s="32"/>
      <c r="M297" s="33" t="s">
        <v>106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471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480</v>
      </c>
      <c r="B298" s="54" t="s">
        <v>481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110</v>
      </c>
      <c r="L298" s="32"/>
      <c r="M298" s="33" t="s">
        <v>106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482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483</v>
      </c>
      <c r="B302" s="54" t="s">
        <v>484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110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485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486</v>
      </c>
      <c r="B303" s="54" t="s">
        <v>487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110</v>
      </c>
      <c r="L303" s="32"/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488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489</v>
      </c>
      <c r="B304" s="54" t="s">
        <v>490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110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491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492</v>
      </c>
      <c r="B305" s="54" t="s">
        <v>493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488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494</v>
      </c>
      <c r="B306" s="54" t="s">
        <v>495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210</v>
      </c>
      <c r="Y306" s="546">
        <f t="shared" si="26"/>
        <v>210</v>
      </c>
      <c r="Z306" s="36">
        <f>IFERROR(IF(Y306=0,"",ROUNDUP(Y306/H306,0)*0.00502),"")</f>
        <v>0.502</v>
      </c>
      <c r="AA306" s="56"/>
      <c r="AB306" s="57"/>
      <c r="AC306" s="359" t="s">
        <v>496</v>
      </c>
      <c r="AG306" s="64"/>
      <c r="AJ306" s="68"/>
      <c r="AK306" s="68">
        <v>0</v>
      </c>
      <c r="BB306" s="360" t="s">
        <v>1</v>
      </c>
      <c r="BM306" s="64">
        <f t="shared" si="27"/>
        <v>220.00000000000003</v>
      </c>
      <c r="BN306" s="64">
        <f t="shared" si="28"/>
        <v>220.00000000000003</v>
      </c>
      <c r="BO306" s="64">
        <f t="shared" si="29"/>
        <v>0.42735042735042739</v>
      </c>
      <c r="BP306" s="64">
        <f t="shared" si="30"/>
        <v>0.42735042735042739</v>
      </c>
    </row>
    <row r="307" spans="1:68" ht="27" hidden="1" customHeight="1" x14ac:dyDescent="0.25">
      <c r="A307" s="54" t="s">
        <v>497</v>
      </c>
      <c r="B307" s="54" t="s">
        <v>498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499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100</v>
      </c>
      <c r="Y308" s="547">
        <f>IFERROR(Y302/H302,"0")+IFERROR(Y303/H303,"0")+IFERROR(Y304/H304,"0")+IFERROR(Y305/H305,"0")+IFERROR(Y306/H306,"0")+IFERROR(Y307/H307,"0")</f>
        <v>100</v>
      </c>
      <c r="Z308" s="547">
        <f>IFERROR(IF(Z302="",0,Z302),"0")+IFERROR(IF(Z303="",0,Z303),"0")+IFERROR(IF(Z304="",0,Z304),"0")+IFERROR(IF(Z305="",0,Z305),"0")+IFERROR(IF(Z306="",0,Z306),"0")+IFERROR(IF(Z307="",0,Z307),"0")</f>
        <v>0.502</v>
      </c>
      <c r="AA308" s="548"/>
      <c r="AB308" s="548"/>
      <c r="AC308" s="548"/>
    </row>
    <row r="309" spans="1:68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210</v>
      </c>
      <c r="Y309" s="547">
        <f>IFERROR(SUM(Y302:Y307),"0")</f>
        <v>210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500</v>
      </c>
      <c r="B311" s="54" t="s">
        <v>501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502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503</v>
      </c>
      <c r="B312" s="54" t="s">
        <v>504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505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506</v>
      </c>
      <c r="B313" s="54" t="s">
        <v>507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508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509</v>
      </c>
      <c r="B314" s="54" t="s">
        <v>510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511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163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hidden="1" customHeight="1" x14ac:dyDescent="0.25">
      <c r="A318" s="54" t="s">
        <v>512</v>
      </c>
      <c r="B318" s="54" t="s">
        <v>513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514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515</v>
      </c>
      <c r="B319" s="54" t="s">
        <v>516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/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0</v>
      </c>
      <c r="Y319" s="546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517</v>
      </c>
      <c r="AG319" s="64"/>
      <c r="AJ319" s="68"/>
      <c r="AK319" s="68">
        <v>0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16.5" hidden="1" customHeight="1" x14ac:dyDescent="0.25">
      <c r="A320" s="54" t="s">
        <v>518</v>
      </c>
      <c r="B320" s="54" t="s">
        <v>519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520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0</v>
      </c>
      <c r="Y321" s="547">
        <f>IFERROR(Y318/H318,"0")+IFERROR(Y319/H319,"0")+IFERROR(Y320/H320,"0")</f>
        <v>0</v>
      </c>
      <c r="Z321" s="547">
        <f>IFERROR(IF(Z318="",0,Z318),"0")+IFERROR(IF(Z319="",0,Z319),"0")+IFERROR(IF(Z320="",0,Z320),"0")</f>
        <v>0</v>
      </c>
      <c r="AA321" s="548"/>
      <c r="AB321" s="548"/>
      <c r="AC321" s="548"/>
    </row>
    <row r="322" spans="1:68" hidden="1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0</v>
      </c>
      <c r="Y322" s="547">
        <f>IFERROR(SUM(Y318:Y320),"0")</f>
        <v>0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521</v>
      </c>
      <c r="B324" s="54" t="s">
        <v>522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110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523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524</v>
      </c>
      <c r="B325" s="54" t="s">
        <v>525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110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523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526</v>
      </c>
      <c r="B326" s="54" t="s">
        <v>527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528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529</v>
      </c>
      <c r="B327" s="54" t="s">
        <v>530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/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2.5499999999999998</v>
      </c>
      <c r="Y327" s="546">
        <f>IFERROR(IF(X327="",0,CEILING((X327/$H327),1)*$H327),"")</f>
        <v>2.5499999999999998</v>
      </c>
      <c r="Z327" s="36">
        <f>IFERROR(IF(Y327=0,"",ROUNDUP(Y327/H327,0)*0.00651),"")</f>
        <v>6.5100000000000002E-3</v>
      </c>
      <c r="AA327" s="56"/>
      <c r="AB327" s="57"/>
      <c r="AC327" s="383" t="s">
        <v>523</v>
      </c>
      <c r="AG327" s="64"/>
      <c r="AJ327" s="68"/>
      <c r="AK327" s="68">
        <v>0</v>
      </c>
      <c r="BB327" s="384" t="s">
        <v>1</v>
      </c>
      <c r="BM327" s="64">
        <f>IFERROR(X327*I327/H327,"0")</f>
        <v>2.88</v>
      </c>
      <c r="BN327" s="64">
        <f>IFERROR(Y327*I327/H327,"0")</f>
        <v>2.88</v>
      </c>
      <c r="BO327" s="64">
        <f>IFERROR(1/J327*(X327/H327),"0")</f>
        <v>5.4945054945054949E-3</v>
      </c>
      <c r="BP327" s="64">
        <f>IFERROR(1/J327*(Y327/H327),"0")</f>
        <v>5.4945054945054949E-3</v>
      </c>
    </row>
    <row r="328" spans="1:68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1</v>
      </c>
      <c r="Y328" s="547">
        <f>IFERROR(Y324/H324,"0")+IFERROR(Y325/H325,"0")+IFERROR(Y326/H326,"0")+IFERROR(Y327/H327,"0")</f>
        <v>1</v>
      </c>
      <c r="Z328" s="547">
        <f>IFERROR(IF(Z324="",0,Z324),"0")+IFERROR(IF(Z325="",0,Z325),"0")+IFERROR(IF(Z326="",0,Z326),"0")+IFERROR(IF(Z327="",0,Z327),"0")</f>
        <v>6.5100000000000002E-3</v>
      </c>
      <c r="AA328" s="548"/>
      <c r="AB328" s="548"/>
      <c r="AC328" s="548"/>
    </row>
    <row r="329" spans="1:68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2.5499999999999998</v>
      </c>
      <c r="Y329" s="547">
        <f>IFERROR(SUM(Y324:Y327),"0")</f>
        <v>2.5499999999999998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531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532</v>
      </c>
      <c r="B331" s="54" t="s">
        <v>533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534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535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536</v>
      </c>
      <c r="B332" s="54" t="s">
        <v>537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534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535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538</v>
      </c>
      <c r="B333" s="54" t="s">
        <v>539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hidden="1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hidden="1" customHeight="1" x14ac:dyDescent="0.25">
      <c r="A336" s="574" t="s">
        <v>540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541</v>
      </c>
      <c r="B338" s="54" t="s">
        <v>542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543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544</v>
      </c>
      <c r="B339" s="54" t="s">
        <v>545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229</v>
      </c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546</v>
      </c>
      <c r="AG339" s="64"/>
      <c r="AJ339" s="68" t="s">
        <v>207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547</v>
      </c>
      <c r="B340" s="54" t="s">
        <v>548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229</v>
      </c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701.4</v>
      </c>
      <c r="Y340" s="546">
        <f>IFERROR(IF(X340="",0,CEILING((X340/$H340),1)*$H340),"")</f>
        <v>701.4</v>
      </c>
      <c r="Z340" s="36">
        <f>IFERROR(IF(Y340=0,"",ROUNDUP(Y340/H340,0)*0.00651),"")</f>
        <v>2.1743399999999999</v>
      </c>
      <c r="AA340" s="56"/>
      <c r="AB340" s="57"/>
      <c r="AC340" s="395" t="s">
        <v>549</v>
      </c>
      <c r="AG340" s="64"/>
      <c r="AJ340" s="68" t="s">
        <v>207</v>
      </c>
      <c r="AK340" s="68">
        <v>29.4</v>
      </c>
      <c r="BB340" s="396" t="s">
        <v>1</v>
      </c>
      <c r="BM340" s="64">
        <f>IFERROR(X340*I340/H340,"0")</f>
        <v>781.56</v>
      </c>
      <c r="BN340" s="64">
        <f>IFERROR(Y340*I340/H340,"0")</f>
        <v>781.56</v>
      </c>
      <c r="BO340" s="64">
        <f>IFERROR(1/J340*(X340/H340),"0")</f>
        <v>1.8351648351648353</v>
      </c>
      <c r="BP340" s="64">
        <f>IFERROR(1/J340*(Y340/H340),"0")</f>
        <v>1.8351648351648353</v>
      </c>
    </row>
    <row r="341" spans="1:68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334</v>
      </c>
      <c r="Y341" s="547">
        <f>IFERROR(Y338/H338,"0")+IFERROR(Y339/H339,"0")+IFERROR(Y340/H340,"0")</f>
        <v>334</v>
      </c>
      <c r="Z341" s="547">
        <f>IFERROR(IF(Z338="",0,Z338),"0")+IFERROR(IF(Z339="",0,Z339),"0")+IFERROR(IF(Z340="",0,Z340),"0")</f>
        <v>2.1743399999999999</v>
      </c>
      <c r="AA341" s="548"/>
      <c r="AB341" s="548"/>
      <c r="AC341" s="548"/>
    </row>
    <row r="342" spans="1:68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701.4</v>
      </c>
      <c r="Y342" s="547">
        <f>IFERROR(SUM(Y338:Y340),"0")</f>
        <v>701.4</v>
      </c>
      <c r="Z342" s="37"/>
      <c r="AA342" s="548"/>
      <c r="AB342" s="548"/>
      <c r="AC342" s="548"/>
    </row>
    <row r="343" spans="1:68" ht="27.75" hidden="1" customHeight="1" x14ac:dyDescent="0.2">
      <c r="A343" s="575" t="s">
        <v>550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551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hidden="1" customHeight="1" x14ac:dyDescent="0.25">
      <c r="A346" s="54" t="s">
        <v>552</v>
      </c>
      <c r="B346" s="54" t="s">
        <v>553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/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0</v>
      </c>
      <c r="Y346" s="546">
        <f t="shared" ref="Y346:Y352" si="31">IFERROR(IF(X346="",0,CEILING((X346/$H346),1)*$H346),"")</f>
        <v>0</v>
      </c>
      <c r="Z346" s="36" t="str">
        <f>IFERROR(IF(Y346=0,"",ROUNDUP(Y346/H346,0)*0.02175),"")</f>
        <v/>
      </c>
      <c r="AA346" s="56"/>
      <c r="AB346" s="57"/>
      <c r="AC346" s="397" t="s">
        <v>554</v>
      </c>
      <c r="AG346" s="64"/>
      <c r="AJ346" s="68"/>
      <c r="AK346" s="68">
        <v>0</v>
      </c>
      <c r="BB346" s="398" t="s">
        <v>1</v>
      </c>
      <c r="BM346" s="64">
        <f t="shared" ref="BM346:BM352" si="32">IFERROR(X346*I346/H346,"0")</f>
        <v>0</v>
      </c>
      <c r="BN346" s="64">
        <f t="shared" ref="BN346:BN352" si="33">IFERROR(Y346*I346/H346,"0")</f>
        <v>0</v>
      </c>
      <c r="BO346" s="64">
        <f t="shared" ref="BO346:BO352" si="34">IFERROR(1/J346*(X346/H346),"0")</f>
        <v>0</v>
      </c>
      <c r="BP346" s="64">
        <f t="shared" ref="BP346:BP352" si="35">IFERROR(1/J346*(Y346/H346),"0")</f>
        <v>0</v>
      </c>
    </row>
    <row r="347" spans="1:68" ht="27" hidden="1" customHeight="1" x14ac:dyDescent="0.25">
      <c r="A347" s="54" t="s">
        <v>555</v>
      </c>
      <c r="B347" s="54" t="s">
        <v>556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/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558</v>
      </c>
      <c r="B348" s="54" t="s">
        <v>559</v>
      </c>
      <c r="C348" s="31">
        <v>4301011867</v>
      </c>
      <c r="D348" s="554">
        <v>4680115884830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0</v>
      </c>
      <c r="Y348" s="546">
        <f t="shared" si="31"/>
        <v>0</v>
      </c>
      <c r="Z348" s="36" t="str">
        <f>IFERROR(IF(Y348=0,"",ROUNDUP(Y348/H348,0)*0.02175),"")</f>
        <v/>
      </c>
      <c r="AA348" s="56"/>
      <c r="AB348" s="57"/>
      <c r="AC348" s="401" t="s">
        <v>560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27" hidden="1" customHeight="1" x14ac:dyDescent="0.25">
      <c r="A349" s="54" t="s">
        <v>561</v>
      </c>
      <c r="B349" s="54" t="s">
        <v>562</v>
      </c>
      <c r="C349" s="31">
        <v>4301012215</v>
      </c>
      <c r="D349" s="554">
        <v>4680115887046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563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hidden="1" customHeight="1" x14ac:dyDescent="0.25">
      <c r="A350" s="54" t="s">
        <v>564</v>
      </c>
      <c r="B350" s="54" t="s">
        <v>565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110</v>
      </c>
      <c r="L350" s="32"/>
      <c r="M350" s="33" t="s">
        <v>106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566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567</v>
      </c>
      <c r="B351" s="54" t="s">
        <v>568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110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557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569</v>
      </c>
      <c r="B352" s="54" t="s">
        <v>570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110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560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idden="1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0</v>
      </c>
      <c r="Y353" s="547">
        <f>IFERROR(Y346/H346,"0")+IFERROR(Y347/H347,"0")+IFERROR(Y348/H348,"0")+IFERROR(Y349/H349,"0")+IFERROR(Y350/H350,"0")+IFERROR(Y351/H351,"0")+IFERROR(Y352/H352,"0")</f>
        <v>0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0</v>
      </c>
      <c r="AA353" s="548"/>
      <c r="AB353" s="548"/>
      <c r="AC353" s="548"/>
    </row>
    <row r="354" spans="1:68" hidden="1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0</v>
      </c>
      <c r="Y354" s="547">
        <f>IFERROR(SUM(Y346:Y352),"0")</f>
        <v>0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135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571</v>
      </c>
      <c r="B356" s="54" t="s">
        <v>572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/>
      <c r="M356" s="33" t="s">
        <v>106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120</v>
      </c>
      <c r="Y356" s="546">
        <f>IFERROR(IF(X356="",0,CEILING((X356/$H356),1)*$H356),"")</f>
        <v>120</v>
      </c>
      <c r="Z356" s="36">
        <f>IFERROR(IF(Y356=0,"",ROUNDUP(Y356/H356,0)*0.02175),"")</f>
        <v>0.17399999999999999</v>
      </c>
      <c r="AA356" s="56"/>
      <c r="AB356" s="57"/>
      <c r="AC356" s="411" t="s">
        <v>573</v>
      </c>
      <c r="AG356" s="64"/>
      <c r="AJ356" s="68"/>
      <c r="AK356" s="68">
        <v>0</v>
      </c>
      <c r="BB356" s="412" t="s">
        <v>1</v>
      </c>
      <c r="BM356" s="64">
        <f>IFERROR(X356*I356/H356,"0")</f>
        <v>123.76</v>
      </c>
      <c r="BN356" s="64">
        <f>IFERROR(Y356*I356/H356,"0")</f>
        <v>123.76</v>
      </c>
      <c r="BO356" s="64">
        <f>IFERROR(1/J356*(X356/H356),"0")</f>
        <v>0.16666666666666666</v>
      </c>
      <c r="BP356" s="64">
        <f>IFERROR(1/J356*(Y356/H356),"0")</f>
        <v>0.16666666666666666</v>
      </c>
    </row>
    <row r="357" spans="1:68" ht="27" hidden="1" customHeight="1" x14ac:dyDescent="0.25">
      <c r="A357" s="54" t="s">
        <v>574</v>
      </c>
      <c r="B357" s="54" t="s">
        <v>575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110</v>
      </c>
      <c r="L357" s="32"/>
      <c r="M357" s="33" t="s">
        <v>106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576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8</v>
      </c>
      <c r="Y358" s="547">
        <f>IFERROR(Y356/H356,"0")+IFERROR(Y357/H357,"0")</f>
        <v>8</v>
      </c>
      <c r="Z358" s="547">
        <f>IFERROR(IF(Z356="",0,Z356),"0")+IFERROR(IF(Z357="",0,Z357),"0")</f>
        <v>0.17399999999999999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120</v>
      </c>
      <c r="Y359" s="547">
        <f>IFERROR(SUM(Y356:Y357),"0")</f>
        <v>120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577</v>
      </c>
      <c r="B361" s="54" t="s">
        <v>578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579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580</v>
      </c>
      <c r="B362" s="54" t="s">
        <v>581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582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163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hidden="1" customHeight="1" x14ac:dyDescent="0.25">
      <c r="A366" s="54" t="s">
        <v>583</v>
      </c>
      <c r="B366" s="54" t="s">
        <v>584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585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hidden="1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hidden="1" customHeight="1" x14ac:dyDescent="0.25">
      <c r="A369" s="574" t="s">
        <v>586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587</v>
      </c>
      <c r="B371" s="54" t="s">
        <v>588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589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590</v>
      </c>
      <c r="B372" s="54" t="s">
        <v>591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110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589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592</v>
      </c>
      <c r="B376" s="54" t="s">
        <v>593</v>
      </c>
      <c r="C376" s="31">
        <v>4301031303</v>
      </c>
      <c r="D376" s="554">
        <v>4607091384802</v>
      </c>
      <c r="E376" s="555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110</v>
      </c>
      <c r="L376" s="32"/>
      <c r="M376" s="33" t="s">
        <v>68</v>
      </c>
      <c r="N376" s="33"/>
      <c r="O376" s="32">
        <v>35</v>
      </c>
      <c r="P376" s="6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594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592</v>
      </c>
      <c r="B377" s="54" t="s">
        <v>595</v>
      </c>
      <c r="C377" s="31">
        <v>4301031457</v>
      </c>
      <c r="D377" s="554">
        <v>4607091384802</v>
      </c>
      <c r="E377" s="555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110</v>
      </c>
      <c r="L377" s="32"/>
      <c r="M377" s="33" t="s">
        <v>68</v>
      </c>
      <c r="N377" s="33"/>
      <c r="O377" s="32">
        <v>50</v>
      </c>
      <c r="P377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596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hidden="1" customHeight="1" x14ac:dyDescent="0.25">
      <c r="A381" s="54" t="s">
        <v>597</v>
      </c>
      <c r="B381" s="54" t="s">
        <v>598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/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599</v>
      </c>
      <c r="AG381" s="64"/>
      <c r="AJ381" s="68"/>
      <c r="AK381" s="68">
        <v>0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600</v>
      </c>
      <c r="B382" s="54" t="s">
        <v>601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600</v>
      </c>
      <c r="B383" s="54" t="s">
        <v>602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idden="1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hidden="1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hidden="1" customHeight="1" x14ac:dyDescent="0.2">
      <c r="A386" s="575" t="s">
        <v>604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605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606</v>
      </c>
      <c r="B389" s="54" t="s">
        <v>607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110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608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609</v>
      </c>
      <c r="B390" s="54" t="s">
        <v>610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110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611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612</v>
      </c>
      <c r="B391" s="54" t="s">
        <v>613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110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614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615</v>
      </c>
      <c r="B392" s="54" t="s">
        <v>616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617</v>
      </c>
      <c r="B393" s="54" t="s">
        <v>618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619</v>
      </c>
      <c r="B394" s="54" t="s">
        <v>620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621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622</v>
      </c>
      <c r="B395" s="54" t="s">
        <v>623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624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625</v>
      </c>
      <c r="B396" s="54" t="s">
        <v>626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627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628</v>
      </c>
      <c r="B397" s="54" t="s">
        <v>629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idden="1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hidden="1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630</v>
      </c>
      <c r="B401" s="54" t="s">
        <v>631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110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632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633</v>
      </c>
      <c r="B402" s="54" t="s">
        <v>634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635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636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135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637</v>
      </c>
      <c r="B407" s="54" t="s">
        <v>638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639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640</v>
      </c>
      <c r="B411" s="54" t="s">
        <v>641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110</v>
      </c>
      <c r="L411" s="32"/>
      <c r="M411" s="33" t="s">
        <v>106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643</v>
      </c>
      <c r="B412" s="54" t="s">
        <v>644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645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646</v>
      </c>
      <c r="B413" s="54" t="s">
        <v>647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648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649</v>
      </c>
      <c r="B414" s="54" t="s">
        <v>650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 t="s">
        <v>344</v>
      </c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648</v>
      </c>
      <c r="AG414" s="64"/>
      <c r="AJ414" s="68" t="s">
        <v>207</v>
      </c>
      <c r="AK414" s="68">
        <v>37.799999999999997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hidden="1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hidden="1" customHeight="1" x14ac:dyDescent="0.25">
      <c r="A417" s="574" t="s">
        <v>651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652</v>
      </c>
      <c r="B419" s="54" t="s">
        <v>653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655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655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hidden="1" customHeight="1" x14ac:dyDescent="0.25">
      <c r="A425" s="54" t="s">
        <v>656</v>
      </c>
      <c r="B425" s="54" t="s">
        <v>657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/>
      <c r="M425" s="33" t="s">
        <v>106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107</v>
      </c>
      <c r="AG425" s="64"/>
      <c r="AJ425" s="68"/>
      <c r="AK425" s="68">
        <v>0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hidden="1" customHeight="1" x14ac:dyDescent="0.25">
      <c r="A426" s="54" t="s">
        <v>658</v>
      </c>
      <c r="B426" s="54" t="s">
        <v>659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106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660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658</v>
      </c>
      <c r="B427" s="54" t="s">
        <v>661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106</v>
      </c>
      <c r="N427" s="33"/>
      <c r="O427" s="32">
        <v>60</v>
      </c>
      <c r="P427" s="693" t="s">
        <v>662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660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663</v>
      </c>
      <c r="B428" s="54" t="s">
        <v>664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106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666</v>
      </c>
      <c r="B429" s="54" t="s">
        <v>667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/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668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16.5" hidden="1" customHeight="1" x14ac:dyDescent="0.25">
      <c r="A430" s="54" t="s">
        <v>669</v>
      </c>
      <c r="B430" s="54" t="s">
        <v>670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106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671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672</v>
      </c>
      <c r="B431" s="54" t="s">
        <v>673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/>
      <c r="M431" s="33" t="s">
        <v>106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674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hidden="1" customHeight="1" x14ac:dyDescent="0.25">
      <c r="A432" s="54" t="s">
        <v>675</v>
      </c>
      <c r="B432" s="54" t="s">
        <v>676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107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677</v>
      </c>
      <c r="B433" s="54" t="s">
        <v>678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110</v>
      </c>
      <c r="L433" s="32"/>
      <c r="M433" s="33" t="s">
        <v>106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107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679</v>
      </c>
      <c r="B434" s="54" t="s">
        <v>680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110</v>
      </c>
      <c r="L434" s="32"/>
      <c r="M434" s="33" t="s">
        <v>106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681</v>
      </c>
      <c r="B435" s="54" t="s">
        <v>682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106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683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684</v>
      </c>
      <c r="B436" s="54" t="s">
        <v>685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idden="1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0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0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548"/>
      <c r="AB437" s="548"/>
      <c r="AC437" s="548"/>
    </row>
    <row r="438" spans="1:68" hidden="1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0</v>
      </c>
      <c r="Y438" s="547">
        <f>IFERROR(SUM(Y425:Y436),"0")</f>
        <v>0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135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hidden="1" customHeight="1" x14ac:dyDescent="0.25">
      <c r="A440" s="54" t="s">
        <v>686</v>
      </c>
      <c r="B440" s="54" t="s">
        <v>687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/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0</v>
      </c>
      <c r="Y440" s="546">
        <f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689</v>
      </c>
      <c r="B441" s="54" t="s">
        <v>690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688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691</v>
      </c>
      <c r="B442" s="54" t="s">
        <v>692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110</v>
      </c>
      <c r="L442" s="32"/>
      <c r="M442" s="33" t="s">
        <v>106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688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0</v>
      </c>
      <c r="Y443" s="547">
        <f>IFERROR(Y440/H440,"0")+IFERROR(Y441/H441,"0")+IFERROR(Y442/H442,"0")</f>
        <v>0</v>
      </c>
      <c r="Z443" s="547">
        <f>IFERROR(IF(Z440="",0,Z440),"0")+IFERROR(IF(Z441="",0,Z441),"0")+IFERROR(IF(Z442="",0,Z442),"0")</f>
        <v>0</v>
      </c>
      <c r="AA443" s="548"/>
      <c r="AB443" s="548"/>
      <c r="AC443" s="548"/>
    </row>
    <row r="444" spans="1:68" hidden="1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0</v>
      </c>
      <c r="Y444" s="547">
        <f>IFERROR(SUM(Y440:Y442),"0")</f>
        <v>0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hidden="1" customHeight="1" x14ac:dyDescent="0.25">
      <c r="A446" s="54" t="s">
        <v>693</v>
      </c>
      <c r="B446" s="54" t="s">
        <v>694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/>
      <c r="M446" s="33" t="s">
        <v>106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hidden="1" customHeight="1" x14ac:dyDescent="0.25">
      <c r="A447" s="54" t="s">
        <v>696</v>
      </c>
      <c r="B447" s="54" t="s">
        <v>697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/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0</v>
      </c>
      <c r="Y447" s="546">
        <f t="shared" si="48"/>
        <v>0</v>
      </c>
      <c r="Z447" s="36" t="str">
        <f>IFERROR(IF(Y447=0,"",ROUNDUP(Y447/H447,0)*0.01196),"")</f>
        <v/>
      </c>
      <c r="AA447" s="56"/>
      <c r="AB447" s="57"/>
      <c r="AC447" s="501" t="s">
        <v>698</v>
      </c>
      <c r="AG447" s="64"/>
      <c r="AJ447" s="68"/>
      <c r="AK447" s="68">
        <v>0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ht="27" hidden="1" customHeight="1" x14ac:dyDescent="0.25">
      <c r="A448" s="54" t="s">
        <v>699</v>
      </c>
      <c r="B448" s="54" t="s">
        <v>700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/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si="48"/>
        <v>0</v>
      </c>
      <c r="Z448" s="36" t="str">
        <f>IFERROR(IF(Y448=0,"",ROUNDUP(Y448/H448,0)*0.01196),"")</f>
        <v/>
      </c>
      <c r="AA448" s="56"/>
      <c r="AB448" s="57"/>
      <c r="AC448" s="503" t="s">
        <v>701</v>
      </c>
      <c r="AG448" s="64"/>
      <c r="AJ448" s="68"/>
      <c r="AK448" s="68">
        <v>0</v>
      </c>
      <c r="BB448" s="504" t="s">
        <v>1</v>
      </c>
      <c r="BM448" s="64">
        <f t="shared" si="49"/>
        <v>0</v>
      </c>
      <c r="BN448" s="64">
        <f t="shared" si="50"/>
        <v>0</v>
      </c>
      <c r="BO448" s="64">
        <f t="shared" si="51"/>
        <v>0</v>
      </c>
      <c r="BP448" s="64">
        <f t="shared" si="52"/>
        <v>0</v>
      </c>
    </row>
    <row r="449" spans="1:68" ht="27" hidden="1" customHeight="1" x14ac:dyDescent="0.25">
      <c r="A449" s="54" t="s">
        <v>702</v>
      </c>
      <c r="B449" s="54" t="s">
        <v>703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110</v>
      </c>
      <c r="L449" s="32"/>
      <c r="M449" s="33" t="s">
        <v>106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695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704</v>
      </c>
      <c r="B450" s="54" t="s">
        <v>705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110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698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706</v>
      </c>
      <c r="B451" s="54" t="s">
        <v>707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110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701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idden="1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0</v>
      </c>
      <c r="Y452" s="547">
        <f>IFERROR(Y446/H446,"0")+IFERROR(Y447/H447,"0")+IFERROR(Y448/H448,"0")+IFERROR(Y449/H449,"0")+IFERROR(Y450/H450,"0")+IFERROR(Y451/H451,"0")</f>
        <v>0</v>
      </c>
      <c r="Z452" s="547">
        <f>IFERROR(IF(Z446="",0,Z446),"0")+IFERROR(IF(Z447="",0,Z447),"0")+IFERROR(IF(Z448="",0,Z448),"0")+IFERROR(IF(Z449="",0,Z449),"0")+IFERROR(IF(Z450="",0,Z450),"0")+IFERROR(IF(Z451="",0,Z451),"0")</f>
        <v>0</v>
      </c>
      <c r="AA452" s="548"/>
      <c r="AB452" s="548"/>
      <c r="AC452" s="548"/>
    </row>
    <row r="453" spans="1:68" hidden="1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0</v>
      </c>
      <c r="Y453" s="547">
        <f>IFERROR(SUM(Y446:Y451),"0")</f>
        <v>0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708</v>
      </c>
      <c r="B455" s="54" t="s">
        <v>709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710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711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711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712</v>
      </c>
      <c r="B461" s="54" t="s">
        <v>713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715</v>
      </c>
      <c r="B462" s="54" t="s">
        <v>716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106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718</v>
      </c>
      <c r="B463" s="54" t="s">
        <v>719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106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720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721</v>
      </c>
      <c r="B464" s="54" t="s">
        <v>722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110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480</v>
      </c>
      <c r="Y464" s="546">
        <f>IFERROR(IF(X464="",0,CEILING((X464/$H464),1)*$H464),"")</f>
        <v>480</v>
      </c>
      <c r="Z464" s="36">
        <f>IFERROR(IF(Y464=0,"",ROUNDUP(Y464/H464,0)*0.00902),"")</f>
        <v>1.0824</v>
      </c>
      <c r="AA464" s="56"/>
      <c r="AB464" s="57"/>
      <c r="AC464" s="519" t="s">
        <v>714</v>
      </c>
      <c r="AG464" s="64"/>
      <c r="AJ464" s="68"/>
      <c r="AK464" s="68">
        <v>0</v>
      </c>
      <c r="BB464" s="520" t="s">
        <v>1</v>
      </c>
      <c r="BM464" s="64">
        <f>IFERROR(X464*I464/H464,"0")</f>
        <v>502.80000000000007</v>
      </c>
      <c r="BN464" s="64">
        <f>IFERROR(Y464*I464/H464,"0")</f>
        <v>502.80000000000007</v>
      </c>
      <c r="BO464" s="64">
        <f>IFERROR(1/J464*(X464/H464),"0")</f>
        <v>0.90909090909090917</v>
      </c>
      <c r="BP464" s="64">
        <f>IFERROR(1/J464*(Y464/H464),"0")</f>
        <v>0.90909090909090917</v>
      </c>
    </row>
    <row r="465" spans="1:68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120</v>
      </c>
      <c r="Y465" s="547">
        <f>IFERROR(Y461/H461,"0")+IFERROR(Y462/H462,"0")+IFERROR(Y463/H463,"0")+IFERROR(Y464/H464,"0")</f>
        <v>120</v>
      </c>
      <c r="Z465" s="547">
        <f>IFERROR(IF(Z461="",0,Z461),"0")+IFERROR(IF(Z462="",0,Z462),"0")+IFERROR(IF(Z463="",0,Z463),"0")+IFERROR(IF(Z464="",0,Z464),"0")</f>
        <v>1.0824</v>
      </c>
      <c r="AA465" s="548"/>
      <c r="AB465" s="548"/>
      <c r="AC465" s="548"/>
    </row>
    <row r="466" spans="1:68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480</v>
      </c>
      <c r="Y466" s="547">
        <f>IFERROR(SUM(Y461:Y464),"0")</f>
        <v>480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135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723</v>
      </c>
      <c r="B468" s="54" t="s">
        <v>724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106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725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726</v>
      </c>
      <c r="B469" s="54" t="s">
        <v>727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106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728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729</v>
      </c>
      <c r="B473" s="54" t="s">
        <v>730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110</v>
      </c>
      <c r="L473" s="32"/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731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732</v>
      </c>
      <c r="B474" s="54" t="s">
        <v>733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110</v>
      </c>
      <c r="L474" s="32"/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734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hidden="1" customHeight="1" x14ac:dyDescent="0.25">
      <c r="A478" s="54" t="s">
        <v>735</v>
      </c>
      <c r="B478" s="54" t="s">
        <v>736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/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737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163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738</v>
      </c>
      <c r="B482" s="54" t="s">
        <v>739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740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741</v>
      </c>
      <c r="B483" s="54" t="s">
        <v>742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743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744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135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745</v>
      </c>
      <c r="B488" s="54" t="s">
        <v>746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106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747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748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4313.9500000000007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4313.9500000000007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749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4622.7640000000001</v>
      </c>
      <c r="Y492" s="547">
        <f>IFERROR(SUM(BN22:BN488),"0")</f>
        <v>4622.7640000000001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750</v>
      </c>
      <c r="Q493" s="655"/>
      <c r="R493" s="655"/>
      <c r="S493" s="655"/>
      <c r="T493" s="655"/>
      <c r="U493" s="655"/>
      <c r="V493" s="656"/>
      <c r="W493" s="37" t="s">
        <v>751</v>
      </c>
      <c r="X493" s="38">
        <f>ROUNDUP(SUM(BO22:BO488),0)</f>
        <v>9</v>
      </c>
      <c r="Y493" s="38">
        <f>ROUNDUP(SUM(BP22:BP488),0)</f>
        <v>9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752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4847.7640000000001</v>
      </c>
      <c r="Y494" s="547">
        <f>GrossWeightTotalR+PalletQtyTotalR*25</f>
        <v>4847.7640000000001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753</v>
      </c>
      <c r="Q495" s="655"/>
      <c r="R495" s="655"/>
      <c r="S495" s="655"/>
      <c r="T495" s="655"/>
      <c r="U495" s="655"/>
      <c r="V495" s="656"/>
      <c r="W495" s="37" t="s">
        <v>751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1499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1499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754</v>
      </c>
      <c r="Q496" s="655"/>
      <c r="R496" s="655"/>
      <c r="S496" s="655"/>
      <c r="T496" s="655"/>
      <c r="U496" s="655"/>
      <c r="V496" s="656"/>
      <c r="W496" s="39" t="s">
        <v>755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10.604399999999998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756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266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550</v>
      </c>
      <c r="T498" s="572"/>
      <c r="U498" s="570" t="s">
        <v>604</v>
      </c>
      <c r="V498" s="571"/>
      <c r="W498" s="572"/>
      <c r="X498" s="542" t="s">
        <v>655</v>
      </c>
      <c r="Y498" s="570" t="s">
        <v>711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757</v>
      </c>
      <c r="B499" s="570" t="s">
        <v>63</v>
      </c>
      <c r="C499" s="570" t="s">
        <v>101</v>
      </c>
      <c r="D499" s="570" t="s">
        <v>116</v>
      </c>
      <c r="E499" s="570" t="s">
        <v>170</v>
      </c>
      <c r="F499" s="570" t="s">
        <v>194</v>
      </c>
      <c r="G499" s="570" t="s">
        <v>236</v>
      </c>
      <c r="H499" s="570" t="s">
        <v>100</v>
      </c>
      <c r="I499" s="570" t="s">
        <v>267</v>
      </c>
      <c r="J499" s="570" t="s">
        <v>319</v>
      </c>
      <c r="K499" s="570" t="s">
        <v>379</v>
      </c>
      <c r="L499" s="570" t="s">
        <v>419</v>
      </c>
      <c r="M499" s="570" t="s">
        <v>435</v>
      </c>
      <c r="N499" s="543"/>
      <c r="O499" s="570" t="s">
        <v>446</v>
      </c>
      <c r="P499" s="570" t="s">
        <v>455</v>
      </c>
      <c r="Q499" s="570" t="s">
        <v>468</v>
      </c>
      <c r="R499" s="570" t="s">
        <v>540</v>
      </c>
      <c r="S499" s="570" t="s">
        <v>551</v>
      </c>
      <c r="T499" s="570" t="s">
        <v>586</v>
      </c>
      <c r="U499" s="570" t="s">
        <v>605</v>
      </c>
      <c r="V499" s="570" t="s">
        <v>636</v>
      </c>
      <c r="W499" s="570" t="s">
        <v>651</v>
      </c>
      <c r="X499" s="570" t="s">
        <v>655</v>
      </c>
      <c r="Y499" s="570" t="s">
        <v>711</v>
      </c>
      <c r="Z499" s="570" t="s">
        <v>744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758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880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540</v>
      </c>
      <c r="E501" s="46">
        <f>IFERROR(Y86*1,"0")+IFERROR(Y87*1,"0")+IFERROR(Y88*1,"0")+IFERROR(Y89*1,"0")+IFERROR(Y93*1,"0")+IFERROR(Y94*1,"0")+IFERROR(Y95*1,"0")+IFERROR(Y96*1,"0")</f>
        <v>108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450.90000000000003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811.2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9.9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212.55</v>
      </c>
      <c r="R501" s="46">
        <f>IFERROR(Y338*1,"0")+IFERROR(Y339*1,"0")+IFERROR(Y340*1,"0")</f>
        <v>701.4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120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0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480</v>
      </c>
      <c r="Z501" s="46">
        <f>IFERROR(Y488*1,"0")</f>
        <v>0</v>
      </c>
      <c r="AB501" s="52"/>
      <c r="AC501" s="52"/>
      <c r="AF501" s="543"/>
    </row>
  </sheetData>
  <sheetProtection algorithmName="SHA-512" hashValue="Bzdlyqo77gq3e/bRXAI5llsYwxfRyi2FmrGK8vOErUOLfF/duJQFPsjnu5KEnsJPcjrzxbq54SxlN9hh8seYyw==" saltValue="duAWD8xPAfTUbY17aJ6X3g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99,00"/>
        <filter val="1,00"/>
        <filter val="100,00"/>
        <filter val="108,00"/>
        <filter val="120,00"/>
        <filter val="151,20"/>
        <filter val="167,00"/>
        <filter val="180,00"/>
        <filter val="184,00"/>
        <filter val="2,55"/>
        <filter val="200,00"/>
        <filter val="210,00"/>
        <filter val="220,00"/>
        <filter val="331,20"/>
        <filter val="334,00"/>
        <filter val="360,00"/>
        <filter val="4 313,95"/>
        <filter val="4 622,76"/>
        <filter val="4 847,76"/>
        <filter val="40,00"/>
        <filter val="450,90"/>
        <filter val="480,00"/>
        <filter val="5,00"/>
        <filter val="540,00"/>
        <filter val="701,40"/>
        <filter val="8,00"/>
        <filter val="880,00"/>
        <filter val="9"/>
        <filter val="9,9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4 X118 X205 X215 X217 X339:X340 X414" xr:uid="{00000000-0002-0000-0000-000011000000}">
      <formula1>IF(AK104&gt;0,OR(X104=0,AND(IF(X104-AK104&gt;=0,TRUE,FALSE),X104&gt;0,IF(X104/H104=ROUND(X104/H104,0),TRUE,FALSE))),FALSE)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tGkfJJNzJjJ1sIS3JJ+nLYnB7uKkrB91hzwEBdyeLHMIVDPrdbLXnAZFiG9BRPLnZXhgK+XOL+f6R+99n6o/Ww==" saltValue="12zgAAUwUM7sSA6oew9Jg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2025-12-17T09:13:37Z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