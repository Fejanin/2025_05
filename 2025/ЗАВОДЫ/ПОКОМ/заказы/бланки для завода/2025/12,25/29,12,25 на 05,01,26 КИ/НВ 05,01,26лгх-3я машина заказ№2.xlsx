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5344EE-9D1F-4D82-B767-6B4865FFB0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495" i="1" s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78" i="1" l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BP88" i="1"/>
  <c r="BN88" i="1"/>
  <c r="Z88" i="1"/>
  <c r="F10" i="1"/>
  <c r="J9" i="1"/>
  <c r="F9" i="1"/>
  <c r="A10" i="1"/>
  <c r="H9" i="1"/>
  <c r="Y25" i="1"/>
  <c r="BP22" i="1"/>
  <c r="BN22" i="1"/>
  <c r="Z22" i="1"/>
  <c r="Z24" i="1" s="1"/>
  <c r="B505" i="1"/>
  <c r="X497" i="1"/>
  <c r="Y33" i="1"/>
  <c r="BP30" i="1"/>
  <c r="BN30" i="1"/>
  <c r="Z30" i="1"/>
  <c r="Y44" i="1"/>
  <c r="BP53" i="1"/>
  <c r="BN53" i="1"/>
  <c r="Z53" i="1"/>
  <c r="BP57" i="1"/>
  <c r="BN57" i="1"/>
  <c r="Z57" i="1"/>
  <c r="Y59" i="1"/>
  <c r="Y64" i="1"/>
  <c r="BP61" i="1"/>
  <c r="BN61" i="1"/>
  <c r="Z61" i="1"/>
  <c r="Y69" i="1"/>
  <c r="BP73" i="1"/>
  <c r="BN73" i="1"/>
  <c r="Z73" i="1"/>
  <c r="Y81" i="1"/>
  <c r="BP86" i="1"/>
  <c r="BN86" i="1"/>
  <c r="Z86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Z345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BN196" i="1"/>
  <c r="Z200" i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Y488" i="1"/>
  <c r="Y505" i="1"/>
  <c r="Z479" i="1" l="1"/>
  <c r="Z456" i="1"/>
  <c r="Z488" i="1"/>
  <c r="Z447" i="1"/>
  <c r="Z419" i="1"/>
  <c r="Z338" i="1"/>
  <c r="Z332" i="1"/>
  <c r="Z319" i="1"/>
  <c r="Z202" i="1"/>
  <c r="Z197" i="1"/>
  <c r="Z134" i="1"/>
  <c r="Z294" i="1"/>
  <c r="Z89" i="1"/>
  <c r="Z76" i="1"/>
  <c r="Z64" i="1"/>
  <c r="Z58" i="1"/>
  <c r="X498" i="1"/>
  <c r="Z81" i="1"/>
  <c r="Z243" i="1"/>
  <c r="Z181" i="1"/>
  <c r="Z105" i="1"/>
  <c r="Z32" i="1"/>
  <c r="Z357" i="1"/>
  <c r="Z268" i="1"/>
  <c r="Z259" i="1"/>
  <c r="Z213" i="1"/>
  <c r="Z154" i="1"/>
  <c r="Z112" i="1"/>
  <c r="Y499" i="1"/>
  <c r="Z441" i="1"/>
  <c r="Z225" i="1"/>
  <c r="Z119" i="1"/>
  <c r="Z96" i="1"/>
  <c r="Z312" i="1"/>
  <c r="Z303" i="1"/>
  <c r="Y496" i="1"/>
  <c r="Y495" i="1"/>
  <c r="Z325" i="1"/>
  <c r="Z283" i="1"/>
  <c r="Z500" i="1"/>
  <c r="Y497" i="1"/>
  <c r="Y498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<sst xmlns="http://schemas.openxmlformats.org/spreadsheetml/2006/main" count="2295" uniqueCount="782">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</sst>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398</v>
      </c>
      <c r="Y41" s="554">
        <f>IFERROR(IF(X41="",0,CEILING((X41/$H41),1)*$H41),"")</f>
        <v>399.6</v>
      </c>
      <c r="Z41" s="36">
        <f>IFERROR(IF(Y41=0,"",ROUNDUP(Y41/H41,0)*0.01898),"")</f>
        <v>0.70226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413.1092592592592</v>
      </c>
      <c r="BN41" s="64">
        <f>IFERROR(Y41*I41/H41,"0")</f>
        <v>414.77000000000004</v>
      </c>
      <c r="BO41" s="64">
        <f>IFERROR(1/J41*(X41/H41),"0")</f>
        <v>0.57581018518518512</v>
      </c>
      <c r="BP41" s="64">
        <f>IFERROR(1/J41*(Y41/H41),"0")</f>
        <v>0.578125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169</v>
      </c>
      <c r="Y42" s="554">
        <f>IFERROR(IF(X42="",0,CEILING((X42/$H42),1)*$H42),"")</f>
        <v>170.20000000000002</v>
      </c>
      <c r="Z42" s="36">
        <f>IFERROR(IF(Y42=0,"",ROUNDUP(Y42/H42,0)*0.00902),"")</f>
        <v>0.41492000000000001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177.67837837837837</v>
      </c>
      <c r="BN42" s="64">
        <f>IFERROR(Y42*I42/H42,"0")</f>
        <v>178.94000000000003</v>
      </c>
      <c r="BO42" s="64">
        <f>IFERROR(1/J42*(X42/H42),"0")</f>
        <v>0.34602784602784598</v>
      </c>
      <c r="BP42" s="64">
        <f>IFERROR(1/J42*(Y42/H42),"0")</f>
        <v>0.34848484848484851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82.527527527527525</v>
      </c>
      <c r="Y44" s="555">
        <f>IFERROR(Y41/H41,"0")+IFERROR(Y42/H42,"0")+IFERROR(Y43/H43,"0")</f>
        <v>83</v>
      </c>
      <c r="Z44" s="555">
        <f>IFERROR(IF(Z41="",0,Z41),"0")+IFERROR(IF(Z42="",0,Z42),"0")+IFERROR(IF(Z43="",0,Z43),"0")</f>
        <v>1.1171800000000001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567</v>
      </c>
      <c r="Y45" s="555">
        <f>IFERROR(SUM(Y41:Y43),"0")</f>
        <v>569.80000000000007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82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85.001785714285717</v>
      </c>
      <c r="BN52" s="64">
        <f t="shared" ref="BN52:BN57" si="2">IFERROR(Y52*I52/H52,"0")</f>
        <v>92.88</v>
      </c>
      <c r="BO52" s="64">
        <f t="shared" ref="BO52:BO57" si="3">IFERROR(1/J52*(X52/H52),"0")</f>
        <v>0.11439732142857144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198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205.51666666666668</v>
      </c>
      <c r="BN53" s="64">
        <f t="shared" si="2"/>
        <v>212.99</v>
      </c>
      <c r="BO53" s="64">
        <f t="shared" si="3"/>
        <v>0.28645833333333331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87</v>
      </c>
      <c r="Y55" s="554">
        <f t="shared" si="0"/>
        <v>88</v>
      </c>
      <c r="Z55" s="36">
        <f>IFERROR(IF(Y55=0,"",ROUNDUP(Y55/H55,0)*0.00902),"")</f>
        <v>0.19844000000000001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91.132500000000007</v>
      </c>
      <c r="BN55" s="64">
        <f t="shared" si="2"/>
        <v>92.18</v>
      </c>
      <c r="BO55" s="64">
        <f t="shared" si="3"/>
        <v>0.16477272727272727</v>
      </c>
      <c r="BP55" s="64">
        <f t="shared" si="4"/>
        <v>0.16666666666666669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47.404761904761905</v>
      </c>
      <c r="Y58" s="555">
        <f>IFERROR(Y52/H52,"0")+IFERROR(Y53/H53,"0")+IFERROR(Y54/H54,"0")+IFERROR(Y55/H55,"0")+IFERROR(Y56/H56,"0")+IFERROR(Y57/H57,"0")</f>
        <v>49</v>
      </c>
      <c r="Z58" s="555">
        <f>IFERROR(IF(Z52="",0,Z52),"0")+IFERROR(IF(Z53="",0,Z53),"0")+IFERROR(IF(Z54="",0,Z54),"0")+IFERROR(IF(Z55="",0,Z55),"0")+IFERROR(IF(Z56="",0,Z56),"0")+IFERROR(IF(Z57="",0,Z57),"0")</f>
        <v>0.71090000000000009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367</v>
      </c>
      <c r="Y59" s="555">
        <f>IFERROR(SUM(Y52:Y57),"0")</f>
        <v>382.8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467</v>
      </c>
      <c r="Y61" s="554">
        <f>IFERROR(IF(X61="",0,CEILING((X61/$H61),1)*$H61),"")</f>
        <v>475.20000000000005</v>
      </c>
      <c r="Z61" s="36">
        <f>IFERROR(IF(Y61=0,"",ROUNDUP(Y61/H61,0)*0.01898),"")</f>
        <v>0.83511999999999997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484.72870370370373</v>
      </c>
      <c r="BN61" s="64">
        <f>IFERROR(Y61*I61/H61,"0")</f>
        <v>493.24000000000007</v>
      </c>
      <c r="BO61" s="64">
        <f>IFERROR(1/J61*(X61/H61),"0")</f>
        <v>0.67563657407407407</v>
      </c>
      <c r="BP61" s="64">
        <f>IFERROR(1/J61*(Y61/H61),"0")</f>
        <v>0.6875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43.24074074074074</v>
      </c>
      <c r="Y64" s="555">
        <f>IFERROR(Y61/H61,"0")+IFERROR(Y62/H62,"0")+IFERROR(Y63/H63,"0")</f>
        <v>44</v>
      </c>
      <c r="Z64" s="555">
        <f>IFERROR(IF(Z61="",0,Z61),"0")+IFERROR(IF(Z62="",0,Z62),"0")+IFERROR(IF(Z63="",0,Z63),"0")</f>
        <v>0.83511999999999997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467</v>
      </c>
      <c r="Y65" s="555">
        <f>IFERROR(SUM(Y61:Y63),"0")</f>
        <v>475.20000000000005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42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44.207692307692312</v>
      </c>
      <c r="BN79" s="64">
        <f>IFERROR(Y79*I79/H79,"0")</f>
        <v>49.260000000000005</v>
      </c>
      <c r="BO79" s="64">
        <f>IFERROR(1/J79*(X79/H79),"0")</f>
        <v>8.4134615384615391E-2</v>
      </c>
      <c r="BP79" s="64">
        <f>IFERROR(1/J79*(Y79/H79),"0")</f>
        <v>9.375E-2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9.967948717948719</v>
      </c>
      <c r="Y81" s="555">
        <f>IFERROR(Y79/H79,"0")+IFERROR(Y80/H80,"0")</f>
        <v>11</v>
      </c>
      <c r="Z81" s="555">
        <f>IFERROR(IF(Z79="",0,Z79),"0")+IFERROR(IF(Z80="",0,Z80),"0")</f>
        <v>0.15898000000000001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53</v>
      </c>
      <c r="Y82" s="555">
        <f>IFERROR(SUM(Y79:Y80),"0")</f>
        <v>58.8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304</v>
      </c>
      <c r="Y85" s="554">
        <f>IFERROR(IF(X85="",0,CEILING((X85/$H85),1)*$H85),"")</f>
        <v>313.20000000000005</v>
      </c>
      <c r="Z85" s="36">
        <f>IFERROR(IF(Y85=0,"",ROUNDUP(Y85/H85,0)*0.01898),"")</f>
        <v>0.55042000000000002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315.54074074074072</v>
      </c>
      <c r="BN85" s="64">
        <f>IFERROR(Y85*I85/H85,"0")</f>
        <v>325.09000000000003</v>
      </c>
      <c r="BO85" s="64">
        <f>IFERROR(1/J85*(X85/H85),"0")</f>
        <v>0.43981481481481477</v>
      </c>
      <c r="BP85" s="64">
        <f>IFERROR(1/J85*(Y85/H85),"0")</f>
        <v>0.45312500000000006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160</v>
      </c>
      <c r="Y88" s="554">
        <f>IFERROR(IF(X88="",0,CEILING((X88/$H88),1)*$H88),"")</f>
        <v>162</v>
      </c>
      <c r="Z88" s="36">
        <f>IFERROR(IF(Y88=0,"",ROUNDUP(Y88/H88,0)*0.00902),"")</f>
        <v>0.32472000000000001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166.75555555555559</v>
      </c>
      <c r="BN88" s="64">
        <f>IFERROR(Y88*I88/H88,"0")</f>
        <v>168.84000000000003</v>
      </c>
      <c r="BO88" s="64">
        <f>IFERROR(1/J88*(X88/H88),"0")</f>
        <v>0.26936026936026936</v>
      </c>
      <c r="BP88" s="64">
        <f>IFERROR(1/J88*(Y88/H88),"0")</f>
        <v>0.27272727272727271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63.703703703703702</v>
      </c>
      <c r="Y89" s="555">
        <f>IFERROR(Y85/H85,"0")+IFERROR(Y86/H86,"0")+IFERROR(Y87/H87,"0")+IFERROR(Y88/H88,"0")</f>
        <v>65</v>
      </c>
      <c r="Z89" s="555">
        <f>IFERROR(IF(Z85="",0,Z85),"0")+IFERROR(IF(Z86="",0,Z86),"0")+IFERROR(IF(Z87="",0,Z87),"0")+IFERROR(IF(Z88="",0,Z88),"0")</f>
        <v>0.87514000000000003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464</v>
      </c>
      <c r="Y90" s="555">
        <f>IFERROR(SUM(Y85:Y88),"0")</f>
        <v>475.20000000000005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64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67.903209876543215</v>
      </c>
      <c r="BN92" s="64">
        <f>IFERROR(Y92*I92/H92,"0")</f>
        <v>68.751999999999995</v>
      </c>
      <c r="BO92" s="64">
        <f>IFERROR(1/J92*(X92/H92),"0")</f>
        <v>0.1234567901234568</v>
      </c>
      <c r="BP92" s="64">
        <f>IFERROR(1/J92*(Y92/H92),"0")</f>
        <v>0.125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129.01333333333332</v>
      </c>
      <c r="BN94" s="64">
        <f>IFERROR(Y94*I94/H94,"0")</f>
        <v>129.88800000000001</v>
      </c>
      <c r="BO94" s="64">
        <f>IFERROR(1/J94*(X94/H94),"0")</f>
        <v>0.24013024013024015</v>
      </c>
      <c r="BP94" s="64">
        <f>IFERROR(1/J94*(Y94/H94),"0")</f>
        <v>0.24175824175824179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51.604938271604937</v>
      </c>
      <c r="Y96" s="555">
        <f>IFERROR(Y92/H92,"0")+IFERROR(Y93/H93,"0")+IFERROR(Y94/H94,"0")+IFERROR(Y95/H95,"0")</f>
        <v>52</v>
      </c>
      <c r="Z96" s="555">
        <f>IFERROR(IF(Z92="",0,Z92),"0")+IFERROR(IF(Z93="",0,Z93),"0")+IFERROR(IF(Z94="",0,Z94),"0")+IFERROR(IF(Z95="",0,Z95),"0")</f>
        <v>0.43828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182</v>
      </c>
      <c r="Y97" s="555">
        <f>IFERROR(SUM(Y92:Y95),"0")</f>
        <v>183.60000000000002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329</v>
      </c>
      <c r="Y100" s="554">
        <f>IFERROR(IF(X100="",0,CEILING((X100/$H100),1)*$H100),"")</f>
        <v>334.8</v>
      </c>
      <c r="Z100" s="36">
        <f>IFERROR(IF(Y100=0,"",ROUNDUP(Y100/H100,0)*0.01898),"")</f>
        <v>0.58838000000000001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341.48981481481479</v>
      </c>
      <c r="BN100" s="64">
        <f>IFERROR(Y100*I100/H100,"0")</f>
        <v>347.51000000000005</v>
      </c>
      <c r="BO100" s="64">
        <f>IFERROR(1/J100*(X100/H100),"0")</f>
        <v>0.47598379629629628</v>
      </c>
      <c r="BP100" s="64">
        <f>IFERROR(1/J100*(Y100/H100),"0")</f>
        <v>0.484375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187</v>
      </c>
      <c r="Y103" s="554">
        <f>IFERROR(IF(X103="",0,CEILING((X103/$H103),1)*$H103),"")</f>
        <v>189</v>
      </c>
      <c r="Z103" s="36">
        <f>IFERROR(IF(Y103=0,"",ROUNDUP(Y103/H103,0)*0.00902),"")</f>
        <v>0.37884000000000001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194.89555555555557</v>
      </c>
      <c r="BN103" s="64">
        <f>IFERROR(Y103*I103/H103,"0")</f>
        <v>196.98000000000002</v>
      </c>
      <c r="BO103" s="64">
        <f>IFERROR(1/J103*(X103/H103),"0")</f>
        <v>0.31481481481481483</v>
      </c>
      <c r="BP103" s="64">
        <f>IFERROR(1/J103*(Y103/H103),"0")</f>
        <v>0.31818181818181818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72.018518518518519</v>
      </c>
      <c r="Y105" s="555">
        <f>IFERROR(Y100/H100,"0")+IFERROR(Y101/H101,"0")+IFERROR(Y102/H102,"0")+IFERROR(Y103/H103,"0")+IFERROR(Y104/H104,"0")</f>
        <v>73</v>
      </c>
      <c r="Z105" s="555">
        <f>IFERROR(IF(Z100="",0,Z100),"0")+IFERROR(IF(Z101="",0,Z101),"0")+IFERROR(IF(Z102="",0,Z102),"0")+IFERROR(IF(Z103="",0,Z103),"0")+IFERROR(IF(Z104="",0,Z104),"0")</f>
        <v>0.96721999999999997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516</v>
      </c>
      <c r="Y106" s="555">
        <f>IFERROR(SUM(Y100:Y104),"0")</f>
        <v>523.79999999999995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67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69.543518518518525</v>
      </c>
      <c r="BN108" s="64">
        <f>IFERROR(Y108*I108/H108,"0")</f>
        <v>78.47</v>
      </c>
      <c r="BO108" s="64">
        <f>IFERROR(1/J108*(X108/H108),"0")</f>
        <v>9.6932870370370364E-2</v>
      </c>
      <c r="BP108" s="64">
        <f>IFERROR(1/J108*(Y108/H108),"0")</f>
        <v>0.109375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153</v>
      </c>
      <c r="Y111" s="554">
        <f>IFERROR(IF(X111="",0,CEILING((X111/$H111),1)*$H111),"")</f>
        <v>153.6</v>
      </c>
      <c r="Z111" s="36">
        <f>IFERROR(IF(Y111=0,"",ROUNDUP(Y111/H111,0)*0.00651),"")</f>
        <v>0.41664000000000001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164.47500000000002</v>
      </c>
      <c r="BN111" s="64">
        <f>IFERROR(Y111*I111/H111,"0")</f>
        <v>165.12</v>
      </c>
      <c r="BO111" s="64">
        <f>IFERROR(1/J111*(X111/H111),"0")</f>
        <v>0.35027472527472531</v>
      </c>
      <c r="BP111" s="64">
        <f>IFERROR(1/J111*(Y111/H111),"0")</f>
        <v>0.35164835164835168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69.953703703703709</v>
      </c>
      <c r="Y112" s="555">
        <f>IFERROR(Y108/H108,"0")+IFERROR(Y109/H109,"0")+IFERROR(Y110/H110,"0")+IFERROR(Y111/H111,"0")</f>
        <v>71</v>
      </c>
      <c r="Z112" s="555">
        <f>IFERROR(IF(Z108="",0,Z108),"0")+IFERROR(IF(Z109="",0,Z109),"0")+IFERROR(IF(Z110="",0,Z110),"0")+IFERROR(IF(Z111="",0,Z111),"0")</f>
        <v>0.54949999999999999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220</v>
      </c>
      <c r="Y113" s="555">
        <f>IFERROR(SUM(Y108:Y111),"0")</f>
        <v>229.2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80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317</v>
      </c>
      <c r="Y117" s="554">
        <f>IFERROR(IF(X117="",0,CEILING((X117/$H117),1)*$H117),"")</f>
        <v>318.60000000000002</v>
      </c>
      <c r="Z117" s="36">
        <f>IFERROR(IF(Y117=0,"",ROUNDUP(Y117/H117,0)*0.00651),"")</f>
        <v>0.76817999999999997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346.58666666666664</v>
      </c>
      <c r="BN117" s="64">
        <f>IFERROR(Y117*I117/H117,"0")</f>
        <v>348.33599999999996</v>
      </c>
      <c r="BO117" s="64">
        <f>IFERROR(1/J117*(X117/H117),"0")</f>
        <v>0.6450956450956451</v>
      </c>
      <c r="BP117" s="64">
        <f>IFERROR(1/J117*(Y117/H117),"0")</f>
        <v>0.64835164835164838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127.28395061728395</v>
      </c>
      <c r="Y119" s="555">
        <f>IFERROR(Y115/H115,"0")+IFERROR(Y116/H116,"0")+IFERROR(Y117/H117,"0")+IFERROR(Y118/H118,"0")</f>
        <v>128</v>
      </c>
      <c r="Z119" s="555">
        <f>IFERROR(IF(Z115="",0,Z115),"0")+IFERROR(IF(Z116="",0,Z116),"0")+IFERROR(IF(Z117="",0,Z117),"0")+IFERROR(IF(Z118="",0,Z118),"0")</f>
        <v>0.95797999999999994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397</v>
      </c>
      <c r="Y120" s="555">
        <f>IFERROR(SUM(Y115:Y118),"0")</f>
        <v>399.6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81</v>
      </c>
      <c r="Y169" s="554">
        <f t="shared" si="10"/>
        <v>84</v>
      </c>
      <c r="Z169" s="36">
        <f>IFERROR(IF(Y169=0,"",ROUNDUP(Y169/H169,0)*0.00902),"")</f>
        <v>0.1804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85.821428571428569</v>
      </c>
      <c r="BN169" s="64">
        <f t="shared" si="12"/>
        <v>89</v>
      </c>
      <c r="BO169" s="64">
        <f t="shared" si="13"/>
        <v>0.1461038961038961</v>
      </c>
      <c r="BP169" s="64">
        <f t="shared" si="14"/>
        <v>0.15151515151515152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293</v>
      </c>
      <c r="Y171" s="554">
        <f t="shared" si="10"/>
        <v>294</v>
      </c>
      <c r="Z171" s="36">
        <f>IFERROR(IF(Y171=0,"",ROUNDUP(Y171/H171,0)*0.00902),"")</f>
        <v>0.63139999999999996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306.25476190476189</v>
      </c>
      <c r="BN171" s="64">
        <f t="shared" si="12"/>
        <v>307.29999999999995</v>
      </c>
      <c r="BO171" s="64">
        <f t="shared" si="13"/>
        <v>0.52849927849927847</v>
      </c>
      <c r="BP171" s="64">
        <f t="shared" si="14"/>
        <v>0.53030303030303028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134</v>
      </c>
      <c r="Y173" s="554">
        <f t="shared" si="10"/>
        <v>134.4</v>
      </c>
      <c r="Z173" s="36">
        <f>IFERROR(IF(Y173=0,"",ROUNDUP(Y173/H173,0)*0.00502),"")</f>
        <v>0.32128000000000001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142.29523809523809</v>
      </c>
      <c r="BN173" s="64">
        <f t="shared" si="12"/>
        <v>142.72</v>
      </c>
      <c r="BO173" s="64">
        <f t="shared" si="13"/>
        <v>0.27269027269027274</v>
      </c>
      <c r="BP173" s="64">
        <f t="shared" si="14"/>
        <v>0.27350427350427353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70</v>
      </c>
      <c r="Y176" s="554">
        <f t="shared" si="10"/>
        <v>70.2</v>
      </c>
      <c r="Z176" s="36">
        <f>IFERROR(IF(Y176=0,"",ROUNDUP(Y176/H176,0)*0.00502),"")</f>
        <v>0.19578000000000001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75.055555555555557</v>
      </c>
      <c r="BN176" s="64">
        <f t="shared" si="12"/>
        <v>75.27</v>
      </c>
      <c r="BO176" s="64">
        <f t="shared" si="13"/>
        <v>0.16619183285849953</v>
      </c>
      <c r="BP176" s="64">
        <f t="shared" si="14"/>
        <v>0.16666666666666669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315</v>
      </c>
      <c r="Y178" s="554">
        <f t="shared" si="10"/>
        <v>315</v>
      </c>
      <c r="Z178" s="36">
        <f>IFERROR(IF(Y178=0,"",ROUNDUP(Y178/H178,0)*0.00502),"")</f>
        <v>0.753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330</v>
      </c>
      <c r="BN178" s="64">
        <f t="shared" si="12"/>
        <v>330</v>
      </c>
      <c r="BO178" s="64">
        <f t="shared" si="13"/>
        <v>0.64102564102564108</v>
      </c>
      <c r="BP178" s="64">
        <f t="shared" si="14"/>
        <v>0.64102564102564108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341.74603174603169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343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2.0818600000000003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893</v>
      </c>
      <c r="Y182" s="555">
        <f>IFERROR(SUM(Y167:Y180),"0")</f>
        <v>897.6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7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13</v>
      </c>
      <c r="Y186" s="554">
        <f>IFERROR(IF(X186="",0,CEILING((X186/$H186),1)*$H186),"")</f>
        <v>13.86</v>
      </c>
      <c r="Z186" s="36">
        <f>IFERROR(IF(Y186=0,"",ROUNDUP(Y186/H186,0)*0.0059),"")</f>
        <v>6.4899999999999999E-2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14.960317460317459</v>
      </c>
      <c r="BN186" s="64">
        <f>IFERROR(Y186*I186/H186,"0")</f>
        <v>15.949999999999998</v>
      </c>
      <c r="BO186" s="64">
        <f>IFERROR(1/J186*(X186/H186),"0")</f>
        <v>4.776601998824221E-2</v>
      </c>
      <c r="BP186" s="64">
        <f>IFERROR(1/J186*(Y186/H186),"0")</f>
        <v>5.0925925925925923E-2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15.873015873015873</v>
      </c>
      <c r="Y187" s="555">
        <f>IFERROR(Y184/H184,"0")+IFERROR(Y185/H185,"0")+IFERROR(Y186/H186,"0")</f>
        <v>17</v>
      </c>
      <c r="Z187" s="555">
        <f>IFERROR(IF(Z184="",0,Z184),"0")+IFERROR(IF(Z185="",0,Z185),"0")+IFERROR(IF(Z186="",0,Z186),"0")</f>
        <v>0.1003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20</v>
      </c>
      <c r="Y188" s="555">
        <f>IFERROR(SUM(Y184:Y186),"0")</f>
        <v>21.42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233</v>
      </c>
      <c r="Y205" s="554">
        <f t="shared" ref="Y205:Y212" si="15">IFERROR(IF(X205="",0,CEILING((X205/$H205),1)*$H205),"")</f>
        <v>237.60000000000002</v>
      </c>
      <c r="Z205" s="36">
        <f>IFERROR(IF(Y205=0,"",ROUNDUP(Y205/H205,0)*0.00902),"")</f>
        <v>0.39688000000000001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241.19814814814814</v>
      </c>
      <c r="BN205" s="64">
        <f t="shared" ref="BN205:BN212" si="17">IFERROR(Y205*I205/H205,"0")</f>
        <v>245.96</v>
      </c>
      <c r="BO205" s="64">
        <f t="shared" ref="BO205:BO212" si="18">IFERROR(1/J205*(X205/H205),"0")</f>
        <v>0.32687991021324353</v>
      </c>
      <c r="BP205" s="64">
        <f t="shared" ref="BP205:BP212" si="19">IFERROR(1/J205*(Y205/H205),"0")</f>
        <v>0.33333333333333337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138</v>
      </c>
      <c r="Y206" s="554">
        <f t="shared" si="15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142.85555555555553</v>
      </c>
      <c r="BN206" s="64">
        <f t="shared" si="17"/>
        <v>145.34</v>
      </c>
      <c r="BO206" s="64">
        <f t="shared" si="18"/>
        <v>0.19360269360269358</v>
      </c>
      <c r="BP206" s="64">
        <f t="shared" si="19"/>
        <v>0.19696969696969696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168</v>
      </c>
      <c r="Y208" s="554">
        <f t="shared" si="15"/>
        <v>172.8</v>
      </c>
      <c r="Z208" s="36">
        <f>IFERROR(IF(Y208=0,"",ROUNDUP(Y208/H208,0)*0.00902),"")</f>
        <v>0.28864000000000001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173.9111111111111</v>
      </c>
      <c r="BN208" s="64">
        <f t="shared" si="17"/>
        <v>178.88</v>
      </c>
      <c r="BO208" s="64">
        <f t="shared" si="18"/>
        <v>0.2356902356902357</v>
      </c>
      <c r="BP208" s="64">
        <f t="shared" si="19"/>
        <v>0.24242424242424243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57</v>
      </c>
      <c r="Y209" s="554">
        <f t="shared" si="15"/>
        <v>57.6</v>
      </c>
      <c r="Z209" s="36">
        <f>IFERROR(IF(Y209=0,"",ROUNDUP(Y209/H209,0)*0.00502),"")</f>
        <v>0.16064000000000001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61.11666666666666</v>
      </c>
      <c r="BN209" s="64">
        <f t="shared" si="17"/>
        <v>61.759999999999991</v>
      </c>
      <c r="BO209" s="64">
        <f t="shared" si="18"/>
        <v>0.13532763532763534</v>
      </c>
      <c r="BP209" s="64">
        <f t="shared" si="19"/>
        <v>0.13675213675213677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59</v>
      </c>
      <c r="Y210" s="554">
        <f t="shared" si="15"/>
        <v>59.4</v>
      </c>
      <c r="Z210" s="36">
        <f>IFERROR(IF(Y210=0,"",ROUNDUP(Y210/H210,0)*0.00502),"")</f>
        <v>0.16566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62.277777777777771</v>
      </c>
      <c r="BN210" s="64">
        <f t="shared" si="17"/>
        <v>62.699999999999989</v>
      </c>
      <c r="BO210" s="64">
        <f t="shared" si="18"/>
        <v>0.14007597340930675</v>
      </c>
      <c r="BP210" s="64">
        <f t="shared" si="19"/>
        <v>0.14102564102564105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73</v>
      </c>
      <c r="Y212" s="554">
        <f t="shared" si="15"/>
        <v>73.8</v>
      </c>
      <c r="Z212" s="36">
        <f>IFERROR(IF(Y212=0,"",ROUNDUP(Y212/H212,0)*0.00502),"")</f>
        <v>0.20582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77.055555555555543</v>
      </c>
      <c r="BN212" s="64">
        <f t="shared" si="17"/>
        <v>77.899999999999991</v>
      </c>
      <c r="BO212" s="64">
        <f t="shared" si="18"/>
        <v>0.17331433998100668</v>
      </c>
      <c r="BP212" s="64">
        <f t="shared" si="19"/>
        <v>0.17521367521367523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204.81481481481478</v>
      </c>
      <c r="Y213" s="555">
        <f>IFERROR(Y205/H205,"0")+IFERROR(Y206/H206,"0")+IFERROR(Y207/H207,"0")+IFERROR(Y208/H208,"0")+IFERROR(Y209/H209,"0")+IFERROR(Y210/H210,"0")+IFERROR(Y211/H211,"0")+IFERROR(Y212/H212,"0")</f>
        <v>208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1.4521600000000001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728</v>
      </c>
      <c r="Y214" s="555">
        <f>IFERROR(SUM(Y205:Y212),"0")</f>
        <v>741.59999999999991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28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29.707654320987654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5.401234567901235E-2</v>
      </c>
      <c r="BP216" s="64">
        <f t="shared" ref="BP216:BP224" si="24">IFERROR(1/J216*(Y216/H216),"0")</f>
        <v>6.25E-2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141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149.00620689655173</v>
      </c>
      <c r="BN218" s="64">
        <f t="shared" si="22"/>
        <v>156.298</v>
      </c>
      <c r="BO218" s="64">
        <f t="shared" si="23"/>
        <v>0.25323275862068967</v>
      </c>
      <c r="BP218" s="64">
        <f t="shared" si="24"/>
        <v>0.265625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150</v>
      </c>
      <c r="Y219" s="554">
        <f t="shared" si="20"/>
        <v>151.19999999999999</v>
      </c>
      <c r="Z219" s="36">
        <f t="shared" ref="Z219:Z224" si="25">IFERROR(IF(Y219=0,"",ROUNDUP(Y219/H219,0)*0.00651),"")</f>
        <v>0.41012999999999999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166.875</v>
      </c>
      <c r="BN219" s="64">
        <f t="shared" si="22"/>
        <v>168.20999999999998</v>
      </c>
      <c r="BO219" s="64">
        <f t="shared" si="23"/>
        <v>0.34340659340659341</v>
      </c>
      <c r="BP219" s="64">
        <f t="shared" si="24"/>
        <v>0.3461538461538462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271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299.45500000000004</v>
      </c>
      <c r="BN221" s="64">
        <f t="shared" si="22"/>
        <v>299.67599999999999</v>
      </c>
      <c r="BO221" s="64">
        <f t="shared" si="23"/>
        <v>0.62042124542124555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160</v>
      </c>
      <c r="Y222" s="554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176.80000000000004</v>
      </c>
      <c r="BN222" s="64">
        <f t="shared" si="22"/>
        <v>177.684</v>
      </c>
      <c r="BO222" s="64">
        <f t="shared" si="23"/>
        <v>0.36630036630036633</v>
      </c>
      <c r="BP222" s="64">
        <f t="shared" si="24"/>
        <v>0.36813186813186816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94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103.87</v>
      </c>
      <c r="BN223" s="64">
        <f t="shared" si="22"/>
        <v>106.08000000000001</v>
      </c>
      <c r="BO223" s="64">
        <f t="shared" si="23"/>
        <v>0.21520146520146524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138</v>
      </c>
      <c r="Y224" s="554">
        <f t="shared" si="20"/>
        <v>139.19999999999999</v>
      </c>
      <c r="Z224" s="36">
        <f t="shared" si="25"/>
        <v>0.37758000000000003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152.83500000000001</v>
      </c>
      <c r="BN224" s="64">
        <f t="shared" si="22"/>
        <v>154.16399999999999</v>
      </c>
      <c r="BO224" s="64">
        <f t="shared" si="23"/>
        <v>0.31593406593406598</v>
      </c>
      <c r="BP224" s="64">
        <f t="shared" si="24"/>
        <v>0.31868131868131871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358.41368667518094</v>
      </c>
      <c r="Y225" s="555">
        <f>IFERROR(Y216/H216,"0")+IFERROR(Y217/H217,"0")+IFERROR(Y218/H218,"0")+IFERROR(Y219/H219,"0")+IFERROR(Y220/H220,"0")+IFERROR(Y221/H221,"0")+IFERROR(Y222/H222,"0")+IFERROR(Y223/H223,"0")+IFERROR(Y224/H224,"0")</f>
        <v>362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2.61849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982</v>
      </c>
      <c r="Y226" s="555">
        <f>IFERROR(SUM(Y216:Y224),"0")</f>
        <v>998.7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28</v>
      </c>
      <c r="Y228" s="554">
        <f>IFERROR(IF(X228="",0,CEILING((X228/$H228),1)*$H228),"")</f>
        <v>28.799999999999997</v>
      </c>
      <c r="Z228" s="36">
        <f>IFERROR(IF(Y228=0,"",ROUNDUP(Y228/H228,0)*0.00651),"")</f>
        <v>7.8119999999999995E-2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30.94</v>
      </c>
      <c r="BN228" s="64">
        <f>IFERROR(Y228*I228/H228,"0")</f>
        <v>31.824000000000002</v>
      </c>
      <c r="BO228" s="64">
        <f>IFERROR(1/J228*(X228/H228),"0")</f>
        <v>6.4102564102564111E-2</v>
      </c>
      <c r="BP228" s="64">
        <f>IFERROR(1/J228*(Y228/H228),"0")</f>
        <v>6.5934065934065936E-2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20</v>
      </c>
      <c r="Y229" s="554">
        <f>IFERROR(IF(X229="",0,CEILING((X229/$H229),1)*$H229),"")</f>
        <v>21.599999999999998</v>
      </c>
      <c r="Z229" s="36">
        <f>IFERROR(IF(Y229=0,"",ROUNDUP(Y229/H229,0)*0.00651),"")</f>
        <v>5.8590000000000003E-2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22.100000000000005</v>
      </c>
      <c r="BN229" s="64">
        <f>IFERROR(Y229*I229/H229,"0")</f>
        <v>23.868000000000002</v>
      </c>
      <c r="BO229" s="64">
        <f>IFERROR(1/J229*(X229/H229),"0")</f>
        <v>4.5787545787545791E-2</v>
      </c>
      <c r="BP229" s="64">
        <f>IFERROR(1/J229*(Y229/H229),"0")</f>
        <v>4.9450549450549455E-2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20</v>
      </c>
      <c r="Y230" s="555">
        <f>IFERROR(Y228/H228,"0")+IFERROR(Y229/H229,"0")</f>
        <v>21</v>
      </c>
      <c r="Z230" s="555">
        <f>IFERROR(IF(Z228="",0,Z228),"0")+IFERROR(IF(Z229="",0,Z229),"0")</f>
        <v>0.13671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48</v>
      </c>
      <c r="Y231" s="555">
        <f>IFERROR(SUM(Y228:Y229),"0")</f>
        <v>50.399999999999991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259</v>
      </c>
      <c r="Y234" s="554">
        <f t="shared" ref="Y234:Y242" si="26">IFERROR(IF(X234="",0,CEILING((X234/$H234),1)*$H234),"")</f>
        <v>266.8</v>
      </c>
      <c r="Z234" s="36">
        <f>IFERROR(IF(Y234=0,"",ROUNDUP(Y234/H234,0)*0.01898),"")</f>
        <v>0.43653999999999998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268.15431034482759</v>
      </c>
      <c r="BN234" s="64">
        <f t="shared" ref="BN234:BN242" si="28">IFERROR(Y234*I234/H234,"0")</f>
        <v>276.23</v>
      </c>
      <c r="BO234" s="64">
        <f t="shared" ref="BO234:BO242" si="29">IFERROR(1/J234*(X234/H234),"0")</f>
        <v>0.34886853448275862</v>
      </c>
      <c r="BP234" s="64">
        <f t="shared" ref="BP234:BP242" si="30">IFERROR(1/J234*(Y234/H234),"0")</f>
        <v>0.359375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24.327586206896552</v>
      </c>
      <c r="Y243" s="555">
        <f>IFERROR(Y234/H234,"0")+IFERROR(Y235/H235,"0")+IFERROR(Y236/H236,"0")+IFERROR(Y237/H237,"0")+IFERROR(Y238/H238,"0")+IFERROR(Y239/H239,"0")+IFERROR(Y240/H240,"0")+IFERROR(Y241/H241,"0")+IFERROR(Y242/H242,"0")</f>
        <v>25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0.45457999999999998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267</v>
      </c>
      <c r="Y244" s="555">
        <f>IFERROR(SUM(Y234:Y242),"0")</f>
        <v>274.8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8</v>
      </c>
      <c r="Y250" s="554">
        <f>IFERROR(IF(X250="",0,CEILING((X250/$H250),1)*$H250),"")</f>
        <v>9</v>
      </c>
      <c r="Z250" s="36">
        <f>IFERROR(IF(Y250=0,"",ROUNDUP(Y250/H250,0)*0.0059),"")</f>
        <v>2.9499999999999998E-2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8.7777777777777786</v>
      </c>
      <c r="BN250" s="64">
        <f>IFERROR(Y250*I250/H250,"0")</f>
        <v>9.8750000000000018</v>
      </c>
      <c r="BO250" s="64">
        <f>IFERROR(1/J250*(X250/H250),"0")</f>
        <v>2.0576131687242798E-2</v>
      </c>
      <c r="BP250" s="64">
        <f>IFERROR(1/J250*(Y250/H250),"0")</f>
        <v>2.3148148148148147E-2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4.4444444444444446</v>
      </c>
      <c r="Y251" s="555">
        <f>IFERROR(Y250/H250,"0")</f>
        <v>5</v>
      </c>
      <c r="Z251" s="555">
        <f>IFERROR(IF(Z250="",0,Z250),"0")</f>
        <v>2.9499999999999998E-2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8</v>
      </c>
      <c r="Y252" s="555">
        <f>IFERROR(SUM(Y250:Y250),"0")</f>
        <v>9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6</v>
      </c>
      <c r="Y256" s="554">
        <f>IFERROR(IF(X256="",0,CEILING((X256/$H256),1)*$H256),"")</f>
        <v>6.3</v>
      </c>
      <c r="Z256" s="36">
        <f>IFERROR(IF(Y256=0,"",ROUNDUP(Y256/H256,0)*0.0059),"")</f>
        <v>4.1299999999999996E-2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7.2666666666666675</v>
      </c>
      <c r="BN256" s="64">
        <f>IFERROR(Y256*I256/H256,"0")</f>
        <v>7.63</v>
      </c>
      <c r="BO256" s="64">
        <f>IFERROR(1/J256*(X256/H256),"0")</f>
        <v>3.0864197530864192E-2</v>
      </c>
      <c r="BP256" s="64">
        <f>IFERROR(1/J256*(Y256/H256),"0")</f>
        <v>3.2407407407407406E-2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8</v>
      </c>
      <c r="Y257" s="554">
        <f>IFERROR(IF(X257="",0,CEILING((X257/$H257),1)*$H257),"")</f>
        <v>8.91</v>
      </c>
      <c r="Z257" s="36">
        <f>IFERROR(IF(Y257=0,"",ROUNDUP(Y257/H257,0)*0.0059),"")</f>
        <v>5.3100000000000001E-2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9.5353535353535346</v>
      </c>
      <c r="BN257" s="64">
        <f>IFERROR(Y257*I257/H257,"0")</f>
        <v>10.62</v>
      </c>
      <c r="BO257" s="64">
        <f>IFERROR(1/J257*(X257/H257),"0")</f>
        <v>3.7411148522259637E-2</v>
      </c>
      <c r="BP257" s="64">
        <f>IFERROR(1/J257*(Y257/H257),"0")</f>
        <v>4.1666666666666664E-2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6</v>
      </c>
      <c r="Y258" s="554">
        <f>IFERROR(IF(X258="",0,CEILING((X258/$H258),1)*$H258),"")</f>
        <v>6.93</v>
      </c>
      <c r="Z258" s="36">
        <f>IFERROR(IF(Y258=0,"",ROUNDUP(Y258/H258,0)*0.0059),"")</f>
        <v>4.1299999999999996E-2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7.1515151515151514</v>
      </c>
      <c r="BN258" s="64">
        <f>IFERROR(Y258*I258/H258,"0")</f>
        <v>8.259999999999998</v>
      </c>
      <c r="BO258" s="64">
        <f>IFERROR(1/J258*(X258/H258),"0")</f>
        <v>2.8058361391694722E-2</v>
      </c>
      <c r="BP258" s="64">
        <f>IFERROR(1/J258*(Y258/H258),"0")</f>
        <v>3.2407407407407406E-2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20.80808080808081</v>
      </c>
      <c r="Y259" s="555">
        <f>IFERROR(Y254/H254,"0")+IFERROR(Y255/H255,"0")+IFERROR(Y256/H256,"0")+IFERROR(Y257/H257,"0")+IFERROR(Y258/H258,"0")</f>
        <v>23</v>
      </c>
      <c r="Z259" s="555">
        <f>IFERROR(IF(Z254="",0,Z254),"0")+IFERROR(IF(Z255="",0,Z255),"0")+IFERROR(IF(Z256="",0,Z256),"0")+IFERROR(IF(Z257="",0,Z257),"0")+IFERROR(IF(Z258="",0,Z258),"0")</f>
        <v>0.13569999999999999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20</v>
      </c>
      <c r="Y260" s="555">
        <f>IFERROR(SUM(Y254:Y258),"0")</f>
        <v>22.14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38</v>
      </c>
      <c r="Y281" s="554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41.990000000000009</v>
      </c>
      <c r="BN281" s="64">
        <f>IFERROR(Y281*I281/H281,"0")</f>
        <v>42.432000000000002</v>
      </c>
      <c r="BO281" s="64">
        <f>IFERROR(1/J281*(X281/H281),"0")</f>
        <v>8.6996336996337006E-2</v>
      </c>
      <c r="BP281" s="64">
        <f>IFERROR(1/J281*(Y281/H281),"0")</f>
        <v>8.7912087912087919E-2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37.083333333333336</v>
      </c>
      <c r="Y283" s="555">
        <f>IFERROR(Y280/H280,"0")+IFERROR(Y281/H281,"0")+IFERROR(Y282/H282,"0")</f>
        <v>38</v>
      </c>
      <c r="Z283" s="555">
        <f>IFERROR(IF(Z280="",0,Z280),"0")+IFERROR(IF(Z281="",0,Z281),"0")+IFERROR(IF(Z282="",0,Z282),"0")</f>
        <v>0.24738000000000002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89</v>
      </c>
      <c r="Y284" s="555">
        <f>IFERROR(SUM(Y280:Y282),"0")</f>
        <v>91.199999999999989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33</v>
      </c>
      <c r="Y311" s="554">
        <f t="shared" si="31"/>
        <v>34.200000000000003</v>
      </c>
      <c r="Z311" s="36">
        <f>IFERROR(IF(Y311=0,"",ROUNDUP(Y311/H311,0)*0.00651),"")</f>
        <v>0.12369000000000001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37.18</v>
      </c>
      <c r="BN311" s="64">
        <f t="shared" si="33"/>
        <v>38.532000000000004</v>
      </c>
      <c r="BO311" s="64">
        <f t="shared" si="34"/>
        <v>0.10073260073260074</v>
      </c>
      <c r="BP311" s="64">
        <f t="shared" si="35"/>
        <v>0.1043956043956044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18.333333333333332</v>
      </c>
      <c r="Y312" s="555">
        <f>IFERROR(Y306/H306,"0")+IFERROR(Y307/H307,"0")+IFERROR(Y308/H308,"0")+IFERROR(Y309/H309,"0")+IFERROR(Y310/H310,"0")+IFERROR(Y311/H311,"0")</f>
        <v>19</v>
      </c>
      <c r="Z312" s="555">
        <f>IFERROR(IF(Z306="",0,Z306),"0")+IFERROR(IF(Z307="",0,Z307),"0")+IFERROR(IF(Z308="",0,Z308),"0")+IFERROR(IF(Z309="",0,Z309),"0")+IFERROR(IF(Z310="",0,Z310),"0")+IFERROR(IF(Z311="",0,Z311),"0")</f>
        <v>0.12369000000000001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33</v>
      </c>
      <c r="Y313" s="555">
        <f>IFERROR(SUM(Y306:Y311),"0")</f>
        <v>34.200000000000003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92</v>
      </c>
      <c r="Y322" s="554">
        <f>IFERROR(IF(X322="",0,CEILING((X322/$H322),1)*$H322),"")</f>
        <v>92.4</v>
      </c>
      <c r="Z322" s="36">
        <f>IFERROR(IF(Y322=0,"",ROUNDUP(Y322/H322,0)*0.01898),"")</f>
        <v>0.20877999999999999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97.410476190476189</v>
      </c>
      <c r="BN322" s="64">
        <f>IFERROR(Y322*I322/H322,"0")</f>
        <v>97.834000000000003</v>
      </c>
      <c r="BO322" s="64">
        <f>IFERROR(1/J322*(X322/H322),"0")</f>
        <v>0.17113095238095238</v>
      </c>
      <c r="BP322" s="64">
        <f>IFERROR(1/J322*(Y322/H322),"0")</f>
        <v>0.171875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145</v>
      </c>
      <c r="Y323" s="554">
        <f>IFERROR(IF(X323="",0,CEILING((X323/$H323),1)*$H323),"")</f>
        <v>148.19999999999999</v>
      </c>
      <c r="Z323" s="36">
        <f>IFERROR(IF(Y323=0,"",ROUNDUP(Y323/H323,0)*0.01898),"")</f>
        <v>0.36062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154.18333333333334</v>
      </c>
      <c r="BN323" s="64">
        <f>IFERROR(Y323*I323/H323,"0")</f>
        <v>157.58599999999998</v>
      </c>
      <c r="BO323" s="64">
        <f>IFERROR(1/J323*(X323/H323),"0")</f>
        <v>0.29046474358974361</v>
      </c>
      <c r="BP323" s="64">
        <f>IFERROR(1/J323*(Y323/H323),"0")</f>
        <v>0.296875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53</v>
      </c>
      <c r="Y324" s="554">
        <f>IFERROR(IF(X324="",0,CEILING((X324/$H324),1)*$H324),"")</f>
        <v>58.800000000000004</v>
      </c>
      <c r="Z324" s="36">
        <f>IFERROR(IF(Y324=0,"",ROUNDUP(Y324/H324,0)*0.01898),"")</f>
        <v>0.13286000000000001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56.116904761904763</v>
      </c>
      <c r="BN324" s="64">
        <f>IFERROR(Y324*I324/H324,"0")</f>
        <v>62.258000000000003</v>
      </c>
      <c r="BO324" s="64">
        <f>IFERROR(1/J324*(X324/H324),"0")</f>
        <v>9.8586309523809521E-2</v>
      </c>
      <c r="BP324" s="64">
        <f>IFERROR(1/J324*(Y324/H324),"0")</f>
        <v>0.109375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35.85164835164835</v>
      </c>
      <c r="Y325" s="555">
        <f>IFERROR(Y322/H322,"0")+IFERROR(Y323/H323,"0")+IFERROR(Y324/H324,"0")</f>
        <v>37</v>
      </c>
      <c r="Z325" s="555">
        <f>IFERROR(IF(Z322="",0,Z322),"0")+IFERROR(IF(Z323="",0,Z323),"0")+IFERROR(IF(Z324="",0,Z324),"0")</f>
        <v>0.70226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290</v>
      </c>
      <c r="Y326" s="555">
        <f>IFERROR(SUM(Y322:Y324),"0")</f>
        <v>299.39999999999998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11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11.976973684210527</v>
      </c>
      <c r="BN328" s="64">
        <f>IFERROR(Y328*I328/H328,"0")</f>
        <v>13.24</v>
      </c>
      <c r="BO328" s="64">
        <f>IFERROR(1/J328*(X328/H328),"0")</f>
        <v>2.7412280701754384E-2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23</v>
      </c>
      <c r="Y330" s="554">
        <f>IFERROR(IF(X330="",0,CEILING((X330/$H330),1)*$H330),"")</f>
        <v>25.5</v>
      </c>
      <c r="Z330" s="36">
        <f>IFERROR(IF(Y330=0,"",ROUNDUP(Y330/H330,0)*0.00651),"")</f>
        <v>6.5100000000000005E-2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26.652941176470591</v>
      </c>
      <c r="BN330" s="64">
        <f>IFERROR(Y330*I330/H330,"0")</f>
        <v>29.550000000000004</v>
      </c>
      <c r="BO330" s="64">
        <f>IFERROR(1/J330*(X330/H330),"0")</f>
        <v>4.9558284852402504E-2</v>
      </c>
      <c r="BP330" s="64">
        <f>IFERROR(1/J330*(Y330/H330),"0")</f>
        <v>5.4945054945054951E-2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54</v>
      </c>
      <c r="Y331" s="554">
        <f>IFERROR(IF(X331="",0,CEILING((X331/$H331),1)*$H331),"")</f>
        <v>56.099999999999994</v>
      </c>
      <c r="Z331" s="36">
        <f>IFERROR(IF(Y331=0,"",ROUNDUP(Y331/H331,0)*0.00651),"")</f>
        <v>0.14322000000000001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60.988235294117644</v>
      </c>
      <c r="BN331" s="64">
        <f>IFERROR(Y331*I331/H331,"0")</f>
        <v>63.36</v>
      </c>
      <c r="BO331" s="64">
        <f>IFERROR(1/J331*(X331/H331),"0")</f>
        <v>0.11635423400129286</v>
      </c>
      <c r="BP331" s="64">
        <f>IFERROR(1/J331*(Y331/H331),"0")</f>
        <v>0.12087912087912089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36.446078431372555</v>
      </c>
      <c r="Y332" s="555">
        <f>IFERROR(Y328/H328,"0")+IFERROR(Y329/H329,"0")+IFERROR(Y330/H330,"0")+IFERROR(Y331/H331,"0")</f>
        <v>39</v>
      </c>
      <c r="Z332" s="555">
        <f>IFERROR(IF(Z328="",0,Z328),"0")+IFERROR(IF(Z329="",0,Z329),"0")+IFERROR(IF(Z330="",0,Z330),"0")+IFERROR(IF(Z331="",0,Z331),"0")</f>
        <v>0.27146000000000003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96</v>
      </c>
      <c r="Y333" s="555">
        <f>IFERROR(SUM(Y328:Y331),"0")</f>
        <v>102.88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5</v>
      </c>
      <c r="Y336" s="554">
        <f>IFERROR(IF(X336="",0,CEILING((X336/$H336),1)*$H336),"")</f>
        <v>6</v>
      </c>
      <c r="Z336" s="36">
        <f>IFERROR(IF(Y336=0,"",ROUNDUP(Y336/H336,0)*0.00474),"")</f>
        <v>1.422E-2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5.6000000000000005</v>
      </c>
      <c r="BN336" s="64">
        <f>IFERROR(Y336*I336/H336,"0")</f>
        <v>6.7200000000000006</v>
      </c>
      <c r="BO336" s="64">
        <f>IFERROR(1/J336*(X336/H336),"0")</f>
        <v>1.0504201680672268E-2</v>
      </c>
      <c r="BP336" s="64">
        <f>IFERROR(1/J336*(Y336/H336),"0")</f>
        <v>1.2605042016806723E-2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9.5</v>
      </c>
      <c r="Y338" s="555">
        <f>IFERROR(Y335/H335,"0")+IFERROR(Y336/H336,"0")+IFERROR(Y337/H337,"0")</f>
        <v>11</v>
      </c>
      <c r="Z338" s="555">
        <f>IFERROR(IF(Z335="",0,Z335),"0")+IFERROR(IF(Z336="",0,Z336),"0")+IFERROR(IF(Z337="",0,Z337),"0")</f>
        <v>5.2140000000000006E-2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19</v>
      </c>
      <c r="Y339" s="555">
        <f>IFERROR(SUM(Y335:Y337),"0")</f>
        <v>22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16</v>
      </c>
      <c r="Y342" s="554">
        <f>IFERROR(IF(X342="",0,CEILING((X342/$H342),1)*$H342),"")</f>
        <v>16.2</v>
      </c>
      <c r="Z342" s="36">
        <f>IFERROR(IF(Y342=0,"",ROUNDUP(Y342/H342,0)*0.01898),"")</f>
        <v>3.7960000000000001E-2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16.975802469135804</v>
      </c>
      <c r="BN342" s="64">
        <f>IFERROR(Y342*I342/H342,"0")</f>
        <v>17.187999999999999</v>
      </c>
      <c r="BO342" s="64">
        <f>IFERROR(1/J342*(X342/H342),"0")</f>
        <v>3.0864197530864199E-2</v>
      </c>
      <c r="BP342" s="64">
        <f>IFERROR(1/J342*(Y342/H342),"0")</f>
        <v>3.125E-2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1.9753086419753088</v>
      </c>
      <c r="Y345" s="555">
        <f>IFERROR(Y342/H342,"0")+IFERROR(Y343/H343,"0")+IFERROR(Y344/H344,"0")</f>
        <v>2</v>
      </c>
      <c r="Z345" s="555">
        <f>IFERROR(IF(Z342="",0,Z342),"0")+IFERROR(IF(Z343="",0,Z343),"0")+IFERROR(IF(Z344="",0,Z344),"0")</f>
        <v>3.7960000000000001E-2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16</v>
      </c>
      <c r="Y346" s="555">
        <f>IFERROR(SUM(Y342:Y344),"0")</f>
        <v>16.2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499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514.63533333333339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0.69305555555555554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246</v>
      </c>
      <c r="Y351" s="554">
        <f t="shared" si="36"/>
        <v>255</v>
      </c>
      <c r="Z351" s="36">
        <f>IFERROR(IF(Y351=0,"",ROUNDUP(Y351/H351,0)*0.02175),"")</f>
        <v>0.36974999999999997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253.70800000000003</v>
      </c>
      <c r="BN351" s="64">
        <f t="shared" si="38"/>
        <v>262.99</v>
      </c>
      <c r="BO351" s="64">
        <f t="shared" si="39"/>
        <v>0.34166666666666662</v>
      </c>
      <c r="BP351" s="64">
        <f t="shared" si="40"/>
        <v>0.35416666666666663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411</v>
      </c>
      <c r="Y352" s="554">
        <f t="shared" si="36"/>
        <v>420</v>
      </c>
      <c r="Z352" s="36">
        <f>IFERROR(IF(Y352=0,"",ROUNDUP(Y352/H352,0)*0.02175),"")</f>
        <v>0.60899999999999999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423.87799999999999</v>
      </c>
      <c r="BN352" s="64">
        <f t="shared" si="38"/>
        <v>433.16</v>
      </c>
      <c r="BO352" s="64">
        <f t="shared" si="39"/>
        <v>0.5708333333333333</v>
      </c>
      <c r="BP352" s="64">
        <f t="shared" si="40"/>
        <v>0.58333333333333326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504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519.79200000000003</v>
      </c>
      <c r="BN353" s="64">
        <f t="shared" si="38"/>
        <v>525.98</v>
      </c>
      <c r="BO353" s="64">
        <f t="shared" si="39"/>
        <v>0.7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110.66666666666666</v>
      </c>
      <c r="Y357" s="555">
        <f>IFERROR(Y350/H350,"0")+IFERROR(Y351/H351,"0")+IFERROR(Y352/H352,"0")+IFERROR(Y353/H353,"0")+IFERROR(Y354/H354,"0")+IFERROR(Y355/H355,"0")+IFERROR(Y356/H356,"0")</f>
        <v>113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2.4577499999999999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1660</v>
      </c>
      <c r="Y358" s="555">
        <f>IFERROR(SUM(Y350:Y356),"0")</f>
        <v>1695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557</v>
      </c>
      <c r="Y360" s="554">
        <f>IFERROR(IF(X360="",0,CEILING((X360/$H360),1)*$H360),"")</f>
        <v>570</v>
      </c>
      <c r="Z360" s="36">
        <f>IFERROR(IF(Y360=0,"",ROUNDUP(Y360/H360,0)*0.02175),"")</f>
        <v>0.8264999999999999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574.45266666666669</v>
      </c>
      <c r="BN360" s="64">
        <f>IFERROR(Y360*I360/H360,"0")</f>
        <v>587.86</v>
      </c>
      <c r="BO360" s="64">
        <f>IFERROR(1/J360*(X360/H360),"0")</f>
        <v>0.77361111111111103</v>
      </c>
      <c r="BP360" s="64">
        <f>IFERROR(1/J360*(Y360/H360),"0")</f>
        <v>0.79166666666666663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37.133333333333333</v>
      </c>
      <c r="Y362" s="555">
        <f>IFERROR(Y360/H360,"0")+IFERROR(Y361/H361,"0")</f>
        <v>38</v>
      </c>
      <c r="Z362" s="555">
        <f>IFERROR(IF(Z360="",0,Z360),"0")+IFERROR(IF(Z361="",0,Z361),"0")</f>
        <v>0.8264999999999999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557</v>
      </c>
      <c r="Y363" s="555">
        <f>IFERROR(SUM(Y360:Y361),"0")</f>
        <v>570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95</v>
      </c>
      <c r="Y370" s="554">
        <f>IFERROR(IF(X370="",0,CEILING((X370/$H370),1)*$H370),"")</f>
        <v>99</v>
      </c>
      <c r="Z370" s="36">
        <f>IFERROR(IF(Y370=0,"",ROUNDUP(Y370/H370,0)*0.01898),"")</f>
        <v>0.20877999999999999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100.21444444444444</v>
      </c>
      <c r="BN370" s="64">
        <f>IFERROR(Y370*I370/H370,"0")</f>
        <v>104.434</v>
      </c>
      <c r="BO370" s="64">
        <f>IFERROR(1/J370*(X370/H370),"0")</f>
        <v>0.16493055555555555</v>
      </c>
      <c r="BP370" s="64">
        <f>IFERROR(1/J370*(Y370/H370),"0")</f>
        <v>0.171875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10.555555555555555</v>
      </c>
      <c r="Y371" s="555">
        <f>IFERROR(Y370/H370,"0")</f>
        <v>11</v>
      </c>
      <c r="Z371" s="555">
        <f>IFERROR(IF(Z370="",0,Z370),"0")</f>
        <v>0.20877999999999999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95</v>
      </c>
      <c r="Y372" s="555">
        <f>IFERROR(SUM(Y370:Y370),"0")</f>
        <v>99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363</v>
      </c>
      <c r="Y385" s="554">
        <f>IFERROR(IF(X385="",0,CEILING((X385/$H385),1)*$H385),"")</f>
        <v>369</v>
      </c>
      <c r="Z385" s="36">
        <f>IFERROR(IF(Y385=0,"",ROUNDUP(Y385/H385,0)*0.01898),"")</f>
        <v>0.77817999999999998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382.92466666666667</v>
      </c>
      <c r="BN385" s="64">
        <f>IFERROR(Y385*I385/H385,"0")</f>
        <v>389.25400000000002</v>
      </c>
      <c r="BO385" s="64">
        <f>IFERROR(1/J385*(X385/H385),"0")</f>
        <v>0.63020833333333337</v>
      </c>
      <c r="BP385" s="64">
        <f>IFERROR(1/J385*(Y385/H385),"0")</f>
        <v>0.640625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40.333333333333336</v>
      </c>
      <c r="Y388" s="555">
        <f>IFERROR(Y385/H385,"0")+IFERROR(Y386/H386,"0")+IFERROR(Y387/H387,"0")</f>
        <v>41</v>
      </c>
      <c r="Z388" s="555">
        <f>IFERROR(IF(Z385="",0,Z385),"0")+IFERROR(IF(Z386="",0,Z386),"0")+IFERROR(IF(Z387="",0,Z387),"0")</f>
        <v>0.77817999999999998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363</v>
      </c>
      <c r="Y389" s="555">
        <f>IFERROR(SUM(Y385:Y387),"0")</f>
        <v>369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137</v>
      </c>
      <c r="Y429" s="554">
        <f t="shared" ref="Y429:Y440" si="47">IFERROR(IF(X429="",0,CEILING((X429/$H429),1)*$H429),"")</f>
        <v>137.28</v>
      </c>
      <c r="Z429" s="36">
        <f t="shared" ref="Z429:Z435" si="48">IFERROR(IF(Y429=0,"",ROUNDUP(Y429/H429,0)*0.01196),"")</f>
        <v>0.31096000000000001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146.08143939393938</v>
      </c>
      <c r="BN429" s="64">
        <f t="shared" ref="BN429:BN440" si="50">IFERROR(Y429*I429/H429,"0")</f>
        <v>146.38</v>
      </c>
      <c r="BO429" s="64">
        <f t="shared" ref="BO429:BO440" si="51">IFERROR(1/J429*(X429/H429),"0")</f>
        <v>0.24949009324009325</v>
      </c>
      <c r="BP429" s="64">
        <f t="shared" ref="BP429:BP440" si="52">IFERROR(1/J429*(Y429/H429),"0")</f>
        <v>0.25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42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44.784090909090907</v>
      </c>
      <c r="BN432" s="64">
        <f t="shared" si="50"/>
        <v>45.04</v>
      </c>
      <c r="BO432" s="64">
        <f t="shared" si="51"/>
        <v>7.6486013986013984E-2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241</v>
      </c>
      <c r="Y433" s="554">
        <f t="shared" si="47"/>
        <v>242.88000000000002</v>
      </c>
      <c r="Z433" s="36">
        <f t="shared" si="48"/>
        <v>0.55015999999999998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256.97537878787875</v>
      </c>
      <c r="BN433" s="64">
        <f t="shared" si="50"/>
        <v>258.98</v>
      </c>
      <c r="BO433" s="64">
        <f t="shared" si="51"/>
        <v>0.43888403263403264</v>
      </c>
      <c r="BP433" s="64">
        <f t="shared" si="52"/>
        <v>0.44230769230769235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272</v>
      </c>
      <c r="Y435" s="554">
        <f t="shared" si="47"/>
        <v>274.56</v>
      </c>
      <c r="Z435" s="36">
        <f t="shared" si="48"/>
        <v>0.62192000000000003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290.030303030303</v>
      </c>
      <c r="BN435" s="64">
        <f t="shared" si="50"/>
        <v>292.76</v>
      </c>
      <c r="BO435" s="64">
        <f t="shared" si="51"/>
        <v>0.49533799533799538</v>
      </c>
      <c r="BP435" s="64">
        <f t="shared" si="52"/>
        <v>0.5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61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87.814583333333331</v>
      </c>
      <c r="BN437" s="64">
        <f t="shared" si="50"/>
        <v>89.830000000000013</v>
      </c>
      <c r="BO437" s="64">
        <f t="shared" si="51"/>
        <v>9.6275252525252528E-2</v>
      </c>
      <c r="BP437" s="64">
        <f t="shared" si="52"/>
        <v>9.8484848484848481E-2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7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10.077083333333334</v>
      </c>
      <c r="BN440" s="64">
        <f t="shared" si="50"/>
        <v>13.82</v>
      </c>
      <c r="BO440" s="64">
        <f t="shared" si="51"/>
        <v>1.10479797979798E-2</v>
      </c>
      <c r="BP440" s="64">
        <f t="shared" si="52"/>
        <v>1.5151515151515152E-2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145.22727272727275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1.7140200000000001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760</v>
      </c>
      <c r="Y442" s="555">
        <f>IFERROR(SUM(Y429:Y440),"0")</f>
        <v>768.96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280</v>
      </c>
      <c r="Y444" s="554">
        <f>IFERROR(IF(X444="",0,CEILING((X444/$H444),1)*$H444),"")</f>
        <v>285.12</v>
      </c>
      <c r="Z444" s="36">
        <f>IFERROR(IF(Y444=0,"",ROUNDUP(Y444/H444,0)*0.01196),"")</f>
        <v>0.64583999999999997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298.56060606060601</v>
      </c>
      <c r="BN444" s="64">
        <f>IFERROR(Y444*I444/H444,"0")</f>
        <v>304.02</v>
      </c>
      <c r="BO444" s="64">
        <f>IFERROR(1/J444*(X444/H444),"0")</f>
        <v>0.50990675990675993</v>
      </c>
      <c r="BP444" s="64">
        <f>IFERROR(1/J444*(Y444/H444),"0")</f>
        <v>0.51923076923076927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54</v>
      </c>
      <c r="Y446" s="554">
        <f>IFERROR(IF(X446="",0,CEILING((X446/$H446),1)*$H446),"")</f>
        <v>57.599999999999994</v>
      </c>
      <c r="Z446" s="36">
        <f>IFERROR(IF(Y446=0,"",ROUNDUP(Y446/H446,0)*0.00902),"")</f>
        <v>0.10824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77.737499999999997</v>
      </c>
      <c r="BN446" s="64">
        <f>IFERROR(Y446*I446/H446,"0")</f>
        <v>82.92</v>
      </c>
      <c r="BO446" s="64">
        <f>IFERROR(1/J446*(X446/H446),"0")</f>
        <v>8.5227272727272735E-2</v>
      </c>
      <c r="BP446" s="64">
        <f>IFERROR(1/J446*(Y446/H446),"0")</f>
        <v>9.0909090909090912E-2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64.280303030303031</v>
      </c>
      <c r="Y447" s="555">
        <f>IFERROR(Y444/H444,"0")+IFERROR(Y445/H445,"0")+IFERROR(Y446/H446,"0")</f>
        <v>66</v>
      </c>
      <c r="Z447" s="555">
        <f>IFERROR(IF(Z444="",0,Z444),"0")+IFERROR(IF(Z445="",0,Z445),"0")+IFERROR(IF(Z446="",0,Z446),"0")</f>
        <v>0.75407999999999997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334</v>
      </c>
      <c r="Y448" s="555">
        <f>IFERROR(SUM(Y444:Y446),"0")</f>
        <v>342.72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117</v>
      </c>
      <c r="Y450" s="554">
        <f t="shared" ref="Y450:Y455" si="53">IFERROR(IF(X450="",0,CEILING((X450/$H450),1)*$H450),"")</f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124.75568181818181</v>
      </c>
      <c r="BN450" s="64">
        <f t="shared" ref="BN450:BN455" si="55">IFERROR(Y450*I450/H450,"0")</f>
        <v>129.49</v>
      </c>
      <c r="BO450" s="64">
        <f t="shared" ref="BO450:BO455" si="56">IFERROR(1/J450*(X450/H450),"0")</f>
        <v>0.2130681818181818</v>
      </c>
      <c r="BP450" s="64">
        <f t="shared" ref="BP450:BP455" si="57">IFERROR(1/J450*(Y450/H450),"0")</f>
        <v>0.22115384615384617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44</v>
      </c>
      <c r="Y451" s="554">
        <f t="shared" si="53"/>
        <v>47.52</v>
      </c>
      <c r="Z451" s="36">
        <f>IFERROR(IF(Y451=0,"",ROUNDUP(Y451/H451,0)*0.01196),"")</f>
        <v>0.10764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46.916666666666664</v>
      </c>
      <c r="BN451" s="64">
        <f t="shared" si="55"/>
        <v>50.669999999999995</v>
      </c>
      <c r="BO451" s="64">
        <f t="shared" si="56"/>
        <v>8.0128205128205121E-2</v>
      </c>
      <c r="BP451" s="64">
        <f t="shared" si="57"/>
        <v>8.6538461538461536E-2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197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210.0587121212121</v>
      </c>
      <c r="BN452" s="64">
        <f t="shared" si="55"/>
        <v>213.94</v>
      </c>
      <c r="BO452" s="64">
        <f t="shared" si="56"/>
        <v>0.35875582750582752</v>
      </c>
      <c r="BP452" s="64">
        <f t="shared" si="57"/>
        <v>0.36538461538461542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67.803030303030297</v>
      </c>
      <c r="Y456" s="555">
        <f>IFERROR(Y450/H450,"0")+IFERROR(Y451/H451,"0")+IFERROR(Y452/H452,"0")+IFERROR(Y453/H453,"0")+IFERROR(Y454/H454,"0")+IFERROR(Y455/H455,"0")</f>
        <v>70</v>
      </c>
      <c r="Z456" s="555">
        <f>IFERROR(IF(Z450="",0,Z450),"0")+IFERROR(IF(Z451="",0,Z451),"0")+IFERROR(IF(Z452="",0,Z452),"0")+IFERROR(IF(Z453="",0,Z453),"0")+IFERROR(IF(Z454="",0,Z454),"0")+IFERROR(IF(Z455="",0,Z455),"0")</f>
        <v>0.83719999999999994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358</v>
      </c>
      <c r="Y457" s="555">
        <f>IFERROR(SUM(Y450:Y455),"0")</f>
        <v>369.6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10892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11127.899999999998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11532.398686986491</v>
      </c>
      <c r="Y496" s="555">
        <f>IFERROR(SUM(BN22:BN492),"0")</f>
        <v>11783.849000000002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19</v>
      </c>
      <c r="Y497" s="38">
        <f>ROUNDUP(SUM(BP22:BP492),0)</f>
        <v>20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12007.398686986491</v>
      </c>
      <c r="Y498" s="555">
        <f>GrossWeightTotalR+PalletQtyTotalR*25</f>
        <v>12283.849000000002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2181.6321751249411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2222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22.716160000000002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569.80000000000007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916.8</v>
      </c>
      <c r="E505" s="46">
        <f>IFERROR(Y85*1,"0")+IFERROR(Y86*1,"0")+IFERROR(Y87*1,"0")+IFERROR(Y88*1,"0")+IFERROR(Y92*1,"0")+IFERROR(Y93*1,"0")+IFERROR(Y94*1,"0")+IFERROR(Y95*1,"0")</f>
        <v>658.8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1152.5999999999999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929.1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1790.6999999999998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305.94000000000005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91.199999999999989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458.48</v>
      </c>
      <c r="R505" s="46">
        <f>IFERROR(Y342*1,"0")+IFERROR(Y343*1,"0")+IFERROR(Y344*1,"0")</f>
        <v>16.2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2364</v>
      </c>
      <c r="T505" s="46">
        <f>IFERROR(Y375*1,"0")+IFERROR(Y376*1,"0")+IFERROR(Y380*1,"0")+IFERROR(Y381*1,"0")+IFERROR(Y385*1,"0")+IFERROR(Y386*1,"0")+IFERROR(Y387*1,"0")</f>
        <v>393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1481.28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60,00"/>
        <filter val="1,00"/>
        <filter val="1,17"/>
        <filter val="1,98"/>
        <filter val="10 892,00"/>
        <filter val="10,56"/>
        <filter val="11 532,40"/>
        <filter val="11,00"/>
        <filter val="110,67"/>
        <filter val="117,00"/>
        <filter val="118,00"/>
        <filter val="12 007,40"/>
        <filter val="127,28"/>
        <filter val="13,00"/>
        <filter val="134,00"/>
        <filter val="137,00"/>
        <filter val="138,00"/>
        <filter val="14,00"/>
        <filter val="141,00"/>
        <filter val="145,00"/>
        <filter val="145,23"/>
        <filter val="15,87"/>
        <filter val="150,00"/>
        <filter val="153,00"/>
        <filter val="16,00"/>
        <filter val="160,00"/>
        <filter val="168,00"/>
        <filter val="169,00"/>
        <filter val="18,33"/>
        <filter val="182,00"/>
        <filter val="187,00"/>
        <filter val="19"/>
        <filter val="19,00"/>
        <filter val="197,00"/>
        <filter val="198,00"/>
        <filter val="2 181,63"/>
        <filter val="20,00"/>
        <filter val="20,81"/>
        <filter val="204,81"/>
        <filter val="220,00"/>
        <filter val="23,00"/>
        <filter val="233,00"/>
        <filter val="24,33"/>
        <filter val="241,00"/>
        <filter val="246,00"/>
        <filter val="259,00"/>
        <filter val="267,00"/>
        <filter val="271,00"/>
        <filter val="272,00"/>
        <filter val="28,00"/>
        <filter val="280,00"/>
        <filter val="290,00"/>
        <filter val="293,00"/>
        <filter val="304,00"/>
        <filter val="315,00"/>
        <filter val="317,00"/>
        <filter val="329,00"/>
        <filter val="33,00"/>
        <filter val="334,00"/>
        <filter val="341,75"/>
        <filter val="35,85"/>
        <filter val="358,00"/>
        <filter val="358,41"/>
        <filter val="36,45"/>
        <filter val="363,00"/>
        <filter val="367,00"/>
        <filter val="37,08"/>
        <filter val="37,13"/>
        <filter val="38,00"/>
        <filter val="397,00"/>
        <filter val="398,00"/>
        <filter val="4,44"/>
        <filter val="40,33"/>
        <filter val="411,00"/>
        <filter val="42,00"/>
        <filter val="43,24"/>
        <filter val="44,00"/>
        <filter val="464,00"/>
        <filter val="467,00"/>
        <filter val="47,40"/>
        <filter val="48,00"/>
        <filter val="499,00"/>
        <filter val="5,00"/>
        <filter val="504,00"/>
        <filter val="51,00"/>
        <filter val="51,60"/>
        <filter val="516,00"/>
        <filter val="53,00"/>
        <filter val="54,00"/>
        <filter val="557,00"/>
        <filter val="567,00"/>
        <filter val="57,00"/>
        <filter val="59,00"/>
        <filter val="6,00"/>
        <filter val="61,00"/>
        <filter val="63,70"/>
        <filter val="64,00"/>
        <filter val="64,28"/>
        <filter val="67,00"/>
        <filter val="67,80"/>
        <filter val="69,95"/>
        <filter val="7,00"/>
        <filter val="7,14"/>
        <filter val="70,00"/>
        <filter val="72,02"/>
        <filter val="728,00"/>
        <filter val="73,00"/>
        <filter val="760,00"/>
        <filter val="8,00"/>
        <filter val="80,00"/>
        <filter val="81,00"/>
        <filter val="82,00"/>
        <filter val="82,53"/>
        <filter val="87,00"/>
        <filter val="89,00"/>
        <filter val="893,00"/>
        <filter val="9,00"/>
        <filter val="9,50"/>
        <filter val="9,97"/>
        <filter val="92,00"/>
        <filter val="94,00"/>
        <filter val="95,00"/>
        <filter val="96,00"/>
        <filter val="982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