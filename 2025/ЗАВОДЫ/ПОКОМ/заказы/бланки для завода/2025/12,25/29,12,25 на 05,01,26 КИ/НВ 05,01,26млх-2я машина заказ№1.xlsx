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9A029C-6B53-40AD-9E8A-7C69AC0966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268" i="1" l="1"/>
  <c r="Z488" i="1"/>
  <c r="Z388" i="1"/>
  <c r="Z357" i="1"/>
  <c r="Z338" i="1"/>
  <c r="Z243" i="1"/>
  <c r="Z456" i="1"/>
  <c r="Z377" i="1"/>
  <c r="Z129" i="1"/>
  <c r="Z24" i="1"/>
  <c r="Z119" i="1"/>
  <c r="Z303" i="1"/>
  <c r="Z105" i="1"/>
  <c r="Z447" i="1"/>
  <c r="Z382" i="1"/>
  <c r="Z332" i="1"/>
  <c r="Z259" i="1"/>
  <c r="Z367" i="1"/>
  <c r="Z96" i="1"/>
  <c r="Z89" i="1"/>
  <c r="Z81" i="1"/>
  <c r="Z76" i="1"/>
  <c r="Z58" i="1"/>
  <c r="Y497" i="1"/>
  <c r="Y498" i="1" s="1"/>
  <c r="Y496" i="1"/>
  <c r="Z197" i="1"/>
  <c r="Z213" i="1"/>
  <c r="Z312" i="1"/>
  <c r="Z283" i="1"/>
  <c r="Z225" i="1"/>
  <c r="Z181" i="1"/>
  <c r="Z112" i="1"/>
  <c r="Z40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<sst xmlns="http://schemas.openxmlformats.org/spreadsheetml/2006/main" count="2359" uniqueCount="782">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</sst>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55</v>
      </c>
      <c r="Y41" s="554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57.087962962962969</v>
      </c>
      <c r="BN41" s="64">
        <f>IFERROR(Y41*I41/H41,"0")</f>
        <v>67.260000000000005</v>
      </c>
      <c r="BO41" s="64">
        <f>IFERROR(1/J41*(X41/H41),"0")</f>
        <v>7.9571759259259259E-2</v>
      </c>
      <c r="BP41" s="64">
        <f>IFERROR(1/J41*(Y41/H41),"0")</f>
        <v>9.3750000000000014E-2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83</v>
      </c>
      <c r="Y42" s="554">
        <f>IFERROR(IF(X42="",0,CEILING((X42/$H42),1)*$H42),"")</f>
        <v>85.100000000000009</v>
      </c>
      <c r="Z42" s="36">
        <f>IFERROR(IF(Y42=0,"",ROUNDUP(Y42/H42,0)*0.00902),"")</f>
        <v>0.20746000000000001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87.262162162162156</v>
      </c>
      <c r="BN42" s="64">
        <f>IFERROR(Y42*I42/H42,"0")</f>
        <v>89.470000000000013</v>
      </c>
      <c r="BO42" s="64">
        <f>IFERROR(1/J42*(X42/H42),"0")</f>
        <v>0.16994266994266993</v>
      </c>
      <c r="BP42" s="64">
        <f>IFERROR(1/J42*(Y42/H42),"0")</f>
        <v>0.17424242424242425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27.525025025025023</v>
      </c>
      <c r="Y44" s="555">
        <f>IFERROR(Y41/H41,"0")+IFERROR(Y42/H42,"0")+IFERROR(Y43/H43,"0")</f>
        <v>29</v>
      </c>
      <c r="Z44" s="555">
        <f>IFERROR(IF(Z41="",0,Z41),"0")+IFERROR(IF(Z42="",0,Z42),"0")+IFERROR(IF(Z43="",0,Z43),"0")</f>
        <v>0.32134000000000001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138</v>
      </c>
      <c r="Y45" s="555">
        <f>IFERROR(SUM(Y41:Y43),"0")</f>
        <v>149.90000000000003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18</v>
      </c>
      <c r="Y52" s="554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18.658928571428572</v>
      </c>
      <c r="BN52" s="64">
        <f t="shared" ref="BN52:BN57" si="2">IFERROR(Y52*I52/H52,"0")</f>
        <v>23.22</v>
      </c>
      <c r="BO52" s="64">
        <f t="shared" ref="BO52:BO57" si="3">IFERROR(1/J52*(X52/H52),"0")</f>
        <v>2.5111607142857144E-2</v>
      </c>
      <c r="BP52" s="64">
        <f t="shared" ref="BP52:BP57" si="4">IFERROR(1/J52*(Y52/H52),"0")</f>
        <v>3.125E-2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1.6071428571428572</v>
      </c>
      <c r="Y58" s="555">
        <f>IFERROR(Y52/H52,"0")+IFERROR(Y53/H53,"0")+IFERROR(Y54/H54,"0")+IFERROR(Y55/H55,"0")+IFERROR(Y56/H56,"0")+IFERROR(Y57/H57,"0")</f>
        <v>2</v>
      </c>
      <c r="Z58" s="555">
        <f>IFERROR(IF(Z52="",0,Z52),"0")+IFERROR(IF(Z53="",0,Z53),"0")+IFERROR(IF(Z54="",0,Z54),"0")+IFERROR(IF(Z55="",0,Z55),"0")+IFERROR(IF(Z56="",0,Z56),"0")+IFERROR(IF(Z57="",0,Z57),"0")</f>
        <v>3.7960000000000001E-2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18</v>
      </c>
      <c r="Y59" s="555">
        <f>IFERROR(SUM(Y52:Y57),"0")</f>
        <v>22.4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31.138888888888889</v>
      </c>
      <c r="BN61" s="64">
        <f>IFERROR(Y61*I61/H61,"0")</f>
        <v>33.630000000000003</v>
      </c>
      <c r="BO61" s="64">
        <f>IFERROR(1/J61*(X61/H61),"0")</f>
        <v>4.3402777777777776E-2</v>
      </c>
      <c r="BP61" s="64">
        <f>IFERROR(1/J61*(Y61/H61),"0")</f>
        <v>4.6875000000000007E-2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2.7777777777777777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30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34</v>
      </c>
      <c r="Y79" s="554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35.787179487179493</v>
      </c>
      <c r="BN79" s="64">
        <f>IFERROR(Y79*I79/H79,"0")</f>
        <v>41.050000000000011</v>
      </c>
      <c r="BO79" s="64">
        <f>IFERROR(1/J79*(X79/H79),"0")</f>
        <v>6.8108974358974367E-2</v>
      </c>
      <c r="BP79" s="64">
        <f>IFERROR(1/J79*(Y79/H79),"0")</f>
        <v>7.8125E-2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4.3589743589743595</v>
      </c>
      <c r="Y81" s="555">
        <f>IFERROR(Y79/H79,"0")+IFERROR(Y80/H80,"0")</f>
        <v>5</v>
      </c>
      <c r="Z81" s="555">
        <f>IFERROR(IF(Z79="",0,Z79),"0")+IFERROR(IF(Z80="",0,Z80),"0")</f>
        <v>9.4899999999999998E-2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34</v>
      </c>
      <c r="Y82" s="555">
        <f>IFERROR(SUM(Y79:Y80),"0")</f>
        <v>39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91</v>
      </c>
      <c r="Y85" s="554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94.454629629629636</v>
      </c>
      <c r="BN85" s="64">
        <f>IFERROR(Y85*I85/H85,"0")</f>
        <v>100.89</v>
      </c>
      <c r="BO85" s="64">
        <f>IFERROR(1/J85*(X85/H85),"0")</f>
        <v>0.13165509259259259</v>
      </c>
      <c r="BP85" s="64">
        <f>IFERROR(1/J85*(Y85/H85),"0")</f>
        <v>0.140625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68</v>
      </c>
      <c r="Y88" s="554">
        <f>IFERROR(IF(X88="",0,CEILING((X88/$H88),1)*$H88),"")</f>
        <v>72</v>
      </c>
      <c r="Z88" s="36">
        <f>IFERROR(IF(Y88=0,"",ROUNDUP(Y88/H88,0)*0.00902),"")</f>
        <v>0.14432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70.871111111111119</v>
      </c>
      <c r="BN88" s="64">
        <f>IFERROR(Y88*I88/H88,"0")</f>
        <v>75.040000000000006</v>
      </c>
      <c r="BO88" s="64">
        <f>IFERROR(1/J88*(X88/H88),"0")</f>
        <v>0.11447811447811448</v>
      </c>
      <c r="BP88" s="64">
        <f>IFERROR(1/J88*(Y88/H88),"0")</f>
        <v>0.12121212121212122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23.537037037037038</v>
      </c>
      <c r="Y89" s="555">
        <f>IFERROR(Y85/H85,"0")+IFERROR(Y86/H86,"0")+IFERROR(Y87/H87,"0")+IFERROR(Y88/H88,"0")</f>
        <v>25</v>
      </c>
      <c r="Z89" s="555">
        <f>IFERROR(IF(Z85="",0,Z85),"0")+IFERROR(IF(Z86="",0,Z86),"0")+IFERROR(IF(Z87="",0,Z87),"0")+IFERROR(IF(Z88="",0,Z88),"0")</f>
        <v>0.31513999999999998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159</v>
      </c>
      <c r="Y90" s="555">
        <f>IFERROR(SUM(Y85:Y88),"0")</f>
        <v>169.2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33</v>
      </c>
      <c r="Y92" s="55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35.01259259259259</v>
      </c>
      <c r="BN92" s="64">
        <f>IFERROR(Y92*I92/H92,"0")</f>
        <v>42.97</v>
      </c>
      <c r="BO92" s="64">
        <f>IFERROR(1/J92*(X92/H92),"0")</f>
        <v>6.3657407407407413E-2</v>
      </c>
      <c r="BP92" s="64">
        <f>IFERROR(1/J92*(Y92/H92),"0")</f>
        <v>7.8125E-2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33</v>
      </c>
      <c r="Y94" s="554">
        <f>IFERROR(IF(X94="",0,CEILING((X94/$H94),1)*$H94),"")</f>
        <v>35.1</v>
      </c>
      <c r="Z94" s="36">
        <f>IFERROR(IF(Y94=0,"",ROUNDUP(Y94/H94,0)*0.00651),"")</f>
        <v>8.4629999999999997E-2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36.08</v>
      </c>
      <c r="BN94" s="64">
        <f>IFERROR(Y94*I94/H94,"0")</f>
        <v>38.375999999999998</v>
      </c>
      <c r="BO94" s="64">
        <f>IFERROR(1/J94*(X94/H94),"0")</f>
        <v>6.7155067155067152E-2</v>
      </c>
      <c r="BP94" s="64">
        <f>IFERROR(1/J94*(Y94/H94),"0")</f>
        <v>7.1428571428571438E-2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16.296296296296298</v>
      </c>
      <c r="Y96" s="555">
        <f>IFERROR(Y92/H92,"0")+IFERROR(Y93/H93,"0")+IFERROR(Y94/H94,"0")+IFERROR(Y95/H95,"0")</f>
        <v>18</v>
      </c>
      <c r="Z96" s="555">
        <f>IFERROR(IF(Z92="",0,Z92),"0")+IFERROR(IF(Z93="",0,Z93),"0")+IFERROR(IF(Z94="",0,Z94),"0")+IFERROR(IF(Z95="",0,Z95),"0")</f>
        <v>0.17953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66</v>
      </c>
      <c r="Y97" s="555">
        <f>IFERROR(SUM(Y92:Y95),"0")</f>
        <v>75.599999999999994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88</v>
      </c>
      <c r="Y100" s="554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91.340740740740742</v>
      </c>
      <c r="BN100" s="64">
        <f>IFERROR(Y100*I100/H100,"0")</f>
        <v>100.89</v>
      </c>
      <c r="BO100" s="64">
        <f>IFERROR(1/J100*(X100/H100),"0")</f>
        <v>0.1273148148148148</v>
      </c>
      <c r="BP100" s="64">
        <f>IFERROR(1/J100*(Y100/H100),"0")</f>
        <v>0.140625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22</v>
      </c>
      <c r="Y103" s="554">
        <f>IFERROR(IF(X103="",0,CEILING((X103/$H103),1)*$H103),"")</f>
        <v>22.5</v>
      </c>
      <c r="Z103" s="36">
        <f>IFERROR(IF(Y103=0,"",ROUNDUP(Y103/H103,0)*0.00902),"")</f>
        <v>4.5100000000000001E-2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22.928888888888892</v>
      </c>
      <c r="BN103" s="64">
        <f>IFERROR(Y103*I103/H103,"0")</f>
        <v>23.450000000000003</v>
      </c>
      <c r="BO103" s="64">
        <f>IFERROR(1/J103*(X103/H103),"0")</f>
        <v>3.7037037037037042E-2</v>
      </c>
      <c r="BP103" s="64">
        <f>IFERROR(1/J103*(Y103/H103),"0")</f>
        <v>3.787878787878788E-2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13.037037037037036</v>
      </c>
      <c r="Y105" s="555">
        <f>IFERROR(Y100/H100,"0")+IFERROR(Y101/H101,"0")+IFERROR(Y102/H102,"0")+IFERROR(Y103/H103,"0")+IFERROR(Y104/H104,"0")</f>
        <v>14</v>
      </c>
      <c r="Z105" s="555">
        <f>IFERROR(IF(Z100="",0,Z100),"0")+IFERROR(IF(Z101="",0,Z101),"0")+IFERROR(IF(Z102="",0,Z102),"0")+IFERROR(IF(Z103="",0,Z103),"0")+IFERROR(IF(Z104="",0,Z104),"0")</f>
        <v>0.21592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110</v>
      </c>
      <c r="Y106" s="555">
        <f>IFERROR(SUM(Y100:Y104),"0")</f>
        <v>119.7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104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110.26567901234567</v>
      </c>
      <c r="BN115" s="64">
        <f>IFERROR(Y115*I115/H115,"0")</f>
        <v>111.64399999999999</v>
      </c>
      <c r="BO115" s="64">
        <f>IFERROR(1/J115*(X115/H115),"0")</f>
        <v>0.20061728395061729</v>
      </c>
      <c r="BP115" s="64">
        <f>IFERROR(1/J115*(Y115/H115),"0")</f>
        <v>0.203125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14</v>
      </c>
      <c r="Y117" s="554">
        <f>IFERROR(IF(X117="",0,CEILING((X117/$H117),1)*$H117),"")</f>
        <v>16.200000000000003</v>
      </c>
      <c r="Z117" s="36">
        <f>IFERROR(IF(Y117=0,"",ROUNDUP(Y117/H117,0)*0.00651),"")</f>
        <v>3.9059999999999997E-2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15.306666666666667</v>
      </c>
      <c r="BN117" s="64">
        <f>IFERROR(Y117*I117/H117,"0")</f>
        <v>17.712000000000003</v>
      </c>
      <c r="BO117" s="64">
        <f>IFERROR(1/J117*(X117/H117),"0")</f>
        <v>2.8490028490028491E-2</v>
      </c>
      <c r="BP117" s="64">
        <f>IFERROR(1/J117*(Y117/H117),"0")</f>
        <v>3.2967032967032975E-2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18.02469135802469</v>
      </c>
      <c r="Y119" s="555">
        <f>IFERROR(Y115/H115,"0")+IFERROR(Y116/H116,"0")+IFERROR(Y117/H117,"0")+IFERROR(Y118/H118,"0")</f>
        <v>19</v>
      </c>
      <c r="Z119" s="555">
        <f>IFERROR(IF(Z115="",0,Z115),"0")+IFERROR(IF(Z116="",0,Z116),"0")+IFERROR(IF(Z117="",0,Z117),"0")+IFERROR(IF(Z118="",0,Z118),"0")</f>
        <v>0.2858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118</v>
      </c>
      <c r="Y120" s="555">
        <f>IFERROR(SUM(Y115:Y118),"0")</f>
        <v>121.5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17</v>
      </c>
      <c r="Y169" s="554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18.011904761904763</v>
      </c>
      <c r="BN169" s="64">
        <f t="shared" si="12"/>
        <v>22.25</v>
      </c>
      <c r="BO169" s="64">
        <f t="shared" si="13"/>
        <v>3.0663780663780664E-2</v>
      </c>
      <c r="BP169" s="64">
        <f t="shared" si="14"/>
        <v>3.787878787878788E-2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45</v>
      </c>
      <c r="Y171" s="554">
        <f t="shared" si="10"/>
        <v>46.2</v>
      </c>
      <c r="Z171" s="36">
        <f>IFERROR(IF(Y171=0,"",ROUNDUP(Y171/H171,0)*0.00902),"")</f>
        <v>9.9220000000000003E-2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47.035714285714278</v>
      </c>
      <c r="BN171" s="64">
        <f t="shared" si="12"/>
        <v>48.289999999999992</v>
      </c>
      <c r="BO171" s="64">
        <f t="shared" si="13"/>
        <v>8.1168831168831168E-2</v>
      </c>
      <c r="BP171" s="64">
        <f t="shared" si="14"/>
        <v>8.3333333333333343E-2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28</v>
      </c>
      <c r="Y173" s="554">
        <f t="shared" si="10"/>
        <v>29.400000000000002</v>
      </c>
      <c r="Z173" s="36">
        <f>IFERROR(IF(Y173=0,"",ROUNDUP(Y173/H173,0)*0.00502),"")</f>
        <v>7.0280000000000009E-2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29.733333333333331</v>
      </c>
      <c r="BN173" s="64">
        <f t="shared" si="12"/>
        <v>31.22</v>
      </c>
      <c r="BO173" s="64">
        <f t="shared" si="13"/>
        <v>5.6980056980056981E-2</v>
      </c>
      <c r="BP173" s="64">
        <f t="shared" si="14"/>
        <v>5.9829059829059839E-2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</v>
      </c>
      <c r="Y176" s="554">
        <f t="shared" si="10"/>
        <v>7.2</v>
      </c>
      <c r="Z176" s="36">
        <f>IFERROR(IF(Y176=0,"",ROUNDUP(Y176/H176,0)*0.00502),"")</f>
        <v>2.0080000000000001E-2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7.5055555555555555</v>
      </c>
      <c r="BN176" s="64">
        <f t="shared" si="12"/>
        <v>7.7199999999999989</v>
      </c>
      <c r="BO176" s="64">
        <f t="shared" si="13"/>
        <v>1.6619183285849954E-2</v>
      </c>
      <c r="BP176" s="64">
        <f t="shared" si="14"/>
        <v>1.7094017094017096E-2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77</v>
      </c>
      <c r="Y178" s="554">
        <f t="shared" si="10"/>
        <v>77.7</v>
      </c>
      <c r="Z178" s="36">
        <f>IFERROR(IF(Y178=0,"",ROUNDUP(Y178/H178,0)*0.00502),"")</f>
        <v>0.18574000000000002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80.666666666666671</v>
      </c>
      <c r="BN178" s="64">
        <f t="shared" si="12"/>
        <v>81.400000000000006</v>
      </c>
      <c r="BO178" s="64">
        <f t="shared" si="13"/>
        <v>0.15669515669515671</v>
      </c>
      <c r="BP178" s="64">
        <f t="shared" si="14"/>
        <v>0.15811965811965814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68.650793650793645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0.42042000000000002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174</v>
      </c>
      <c r="Y182" s="555">
        <f>IFERROR(SUM(Y167:Y180),"0")</f>
        <v>181.5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3</v>
      </c>
      <c r="Y185" s="554">
        <f>IFERROR(IF(X185="",0,CEILING((X185/$H185),1)*$H185),"")</f>
        <v>3.7800000000000002</v>
      </c>
      <c r="Z185" s="36">
        <f>IFERROR(IF(Y185=0,"",ROUNDUP(Y185/H185,0)*0.0059),"")</f>
        <v>1.77E-2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3.4523809523809521</v>
      </c>
      <c r="BN185" s="64">
        <f>IFERROR(Y185*I185/H185,"0")</f>
        <v>4.3499999999999996</v>
      </c>
      <c r="BO185" s="64">
        <f>IFERROR(1/J185*(X185/H185),"0")</f>
        <v>1.1022927689594356E-2</v>
      </c>
      <c r="BP185" s="64">
        <f>IFERROR(1/J185*(Y185/H185),"0")</f>
        <v>1.3888888888888888E-2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</v>
      </c>
      <c r="Y186" s="554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3.9682539682539684</v>
      </c>
      <c r="Y187" s="555">
        <f>IFERROR(Y184/H184,"0")+IFERROR(Y185/H185,"0")+IFERROR(Y186/H186,"0")</f>
        <v>5</v>
      </c>
      <c r="Z187" s="555">
        <f>IFERROR(IF(Z184="",0,Z184),"0")+IFERROR(IF(Z185="",0,Z185),"0")+IFERROR(IF(Z186="",0,Z186),"0")</f>
        <v>2.9499999999999998E-2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5</v>
      </c>
      <c r="Y188" s="555">
        <f>IFERROR(SUM(Y184:Y186),"0")</f>
        <v>6.3000000000000007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251</v>
      </c>
      <c r="Y205" s="554">
        <f t="shared" ref="Y205:Y212" si="15">IFERROR(IF(X205="",0,CEILING((X205/$H205),1)*$H205),"")</f>
        <v>253.8</v>
      </c>
      <c r="Z205" s="36">
        <f>IFERROR(IF(Y205=0,"",ROUNDUP(Y205/H205,0)*0.00902),"")</f>
        <v>0.42393999999999998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259.83148148148143</v>
      </c>
      <c r="BN205" s="64">
        <f t="shared" ref="BN205:BN212" si="17">IFERROR(Y205*I205/H205,"0")</f>
        <v>262.72999999999996</v>
      </c>
      <c r="BO205" s="64">
        <f t="shared" ref="BO205:BO212" si="18">IFERROR(1/J205*(X205/H205),"0")</f>
        <v>0.35213243546576878</v>
      </c>
      <c r="BP205" s="64">
        <f t="shared" ref="BP205:BP212" si="19">IFERROR(1/J205*(Y205/H205),"0")</f>
        <v>0.35606060606060608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290</v>
      </c>
      <c r="Y206" s="554">
        <f t="shared" si="15"/>
        <v>291.60000000000002</v>
      </c>
      <c r="Z206" s="36">
        <f>IFERROR(IF(Y206=0,"",ROUNDUP(Y206/H206,0)*0.00902),"")</f>
        <v>0.48708000000000001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300.2037037037037</v>
      </c>
      <c r="BN206" s="64">
        <f t="shared" si="17"/>
        <v>301.86</v>
      </c>
      <c r="BO206" s="64">
        <f t="shared" si="18"/>
        <v>0.40684624017957349</v>
      </c>
      <c r="BP206" s="64">
        <f t="shared" si="19"/>
        <v>0.40909090909090912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53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54.864814814814807</v>
      </c>
      <c r="BN208" s="64">
        <f t="shared" si="17"/>
        <v>55.9</v>
      </c>
      <c r="BO208" s="64">
        <f t="shared" si="18"/>
        <v>7.435465768799103E-2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14</v>
      </c>
      <c r="Y209" s="554">
        <f t="shared" si="15"/>
        <v>14.4</v>
      </c>
      <c r="Z209" s="36">
        <f>IFERROR(IF(Y209=0,"",ROUNDUP(Y209/H209,0)*0.00502),"")</f>
        <v>4.0160000000000001E-2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15.011111111111111</v>
      </c>
      <c r="BN209" s="64">
        <f t="shared" si="17"/>
        <v>15.439999999999998</v>
      </c>
      <c r="BO209" s="64">
        <f t="shared" si="18"/>
        <v>3.3238366571699908E-2</v>
      </c>
      <c r="BP209" s="64">
        <f t="shared" si="19"/>
        <v>3.4188034188034191E-2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21</v>
      </c>
      <c r="Y210" s="554">
        <f t="shared" si="15"/>
        <v>21.6</v>
      </c>
      <c r="Z210" s="36">
        <f>IFERROR(IF(Y210=0,"",ROUNDUP(Y210/H210,0)*0.00502),"")</f>
        <v>6.0240000000000002E-2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22.166666666666664</v>
      </c>
      <c r="BN210" s="64">
        <f t="shared" si="17"/>
        <v>22.8</v>
      </c>
      <c r="BO210" s="64">
        <f t="shared" si="18"/>
        <v>4.9857549857549859E-2</v>
      </c>
      <c r="BP210" s="64">
        <f t="shared" si="19"/>
        <v>5.1282051282051287E-2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25</v>
      </c>
      <c r="Y212" s="554">
        <f t="shared" si="15"/>
        <v>25.2</v>
      </c>
      <c r="Z212" s="36">
        <f>IFERROR(IF(Y212=0,"",ROUNDUP(Y212/H212,0)*0.00502),"")</f>
        <v>7.0280000000000009E-2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26.388888888888889</v>
      </c>
      <c r="BN212" s="64">
        <f t="shared" si="17"/>
        <v>26.599999999999998</v>
      </c>
      <c r="BO212" s="64">
        <f t="shared" si="18"/>
        <v>5.9354226020892693E-2</v>
      </c>
      <c r="BP212" s="64">
        <f t="shared" si="19"/>
        <v>5.9829059829059839E-2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143.33333333333331</v>
      </c>
      <c r="Y213" s="555">
        <f>IFERROR(Y205/H205,"0")+IFERROR(Y206/H206,"0")+IFERROR(Y207/H207,"0")+IFERROR(Y208/H208,"0")+IFERROR(Y209/H209,"0")+IFERROR(Y210/H210,"0")+IFERROR(Y211/H211,"0")+IFERROR(Y212/H212,"0")</f>
        <v>145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1.1718999999999999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654</v>
      </c>
      <c r="Y214" s="555">
        <f>IFERROR(SUM(Y205:Y212),"0")</f>
        <v>660.60000000000014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98</v>
      </c>
      <c r="Y219" s="554">
        <f t="shared" si="20"/>
        <v>98.399999999999991</v>
      </c>
      <c r="Z219" s="36">
        <f t="shared" ref="Z219:Z224" si="25">IFERROR(IF(Y219=0,"",ROUNDUP(Y219/H219,0)*0.00651),"")</f>
        <v>0.26690999999999998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109.02499999999999</v>
      </c>
      <c r="BN219" s="64">
        <f t="shared" si="22"/>
        <v>109.46999999999998</v>
      </c>
      <c r="BO219" s="64">
        <f t="shared" si="23"/>
        <v>0.22435897435897439</v>
      </c>
      <c r="BP219" s="64">
        <f t="shared" si="24"/>
        <v>0.22527472527472528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81</v>
      </c>
      <c r="Y221" s="554">
        <f t="shared" si="20"/>
        <v>81.599999999999994</v>
      </c>
      <c r="Z221" s="36">
        <f t="shared" si="25"/>
        <v>0.22134000000000001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89.50500000000001</v>
      </c>
      <c r="BN221" s="64">
        <f t="shared" si="22"/>
        <v>90.168000000000006</v>
      </c>
      <c r="BO221" s="64">
        <f t="shared" si="23"/>
        <v>0.18543956043956045</v>
      </c>
      <c r="BP221" s="64">
        <f t="shared" si="24"/>
        <v>0.18681318681318682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41</v>
      </c>
      <c r="Y222" s="554">
        <f t="shared" si="20"/>
        <v>43.199999999999996</v>
      </c>
      <c r="Z222" s="36">
        <f t="shared" si="25"/>
        <v>0.11718000000000001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45.305</v>
      </c>
      <c r="BN222" s="64">
        <f t="shared" si="22"/>
        <v>47.736000000000004</v>
      </c>
      <c r="BO222" s="64">
        <f t="shared" si="23"/>
        <v>9.3864468864468878E-2</v>
      </c>
      <c r="BP222" s="64">
        <f t="shared" si="24"/>
        <v>9.8901098901098911E-2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91.666666666666686</v>
      </c>
      <c r="Y225" s="555">
        <f>IFERROR(Y216/H216,"0")+IFERROR(Y217/H217,"0")+IFERROR(Y218/H218,"0")+IFERROR(Y219/H219,"0")+IFERROR(Y220/H220,"0")+IFERROR(Y221/H221,"0")+IFERROR(Y222/H222,"0")+IFERROR(Y223/H223,"0")+IFERROR(Y224/H224,"0")</f>
        <v>93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0.60542999999999991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220</v>
      </c>
      <c r="Y226" s="555">
        <f>IFERROR(SUM(Y216:Y224),"0")</f>
        <v>223.2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9</v>
      </c>
      <c r="Y228" s="554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9.9450000000000021</v>
      </c>
      <c r="BN228" s="64">
        <f>IFERROR(Y228*I228/H228,"0")</f>
        <v>10.608000000000001</v>
      </c>
      <c r="BO228" s="64">
        <f>IFERROR(1/J228*(X228/H228),"0")</f>
        <v>2.0604395604395608E-2</v>
      </c>
      <c r="BP228" s="64">
        <f>IFERROR(1/J228*(Y228/H228),"0")</f>
        <v>2.197802197802198E-2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3.75</v>
      </c>
      <c r="Y230" s="555">
        <f>IFERROR(Y228/H228,"0")+IFERROR(Y229/H229,"0")</f>
        <v>4</v>
      </c>
      <c r="Z230" s="555">
        <f>IFERROR(IF(Z228="",0,Z228),"0")+IFERROR(IF(Z229="",0,Z229),"0")</f>
        <v>2.6040000000000001E-2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9</v>
      </c>
      <c r="Y231" s="555">
        <f>IFERROR(SUM(Y228:Y229),"0")</f>
        <v>9.6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3</v>
      </c>
      <c r="Y258" s="554">
        <f>IFERROR(IF(X258="",0,CEILING((X258/$H258),1)*$H258),"")</f>
        <v>3.96</v>
      </c>
      <c r="Z258" s="36">
        <f>IFERROR(IF(Y258=0,"",ROUNDUP(Y258/H258,0)*0.0059),"")</f>
        <v>2.3599999999999999E-2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3.5757575757575757</v>
      </c>
      <c r="BN258" s="64">
        <f>IFERROR(Y258*I258/H258,"0")</f>
        <v>4.72</v>
      </c>
      <c r="BO258" s="64">
        <f>IFERROR(1/J258*(X258/H258),"0")</f>
        <v>1.4029180695847361E-2</v>
      </c>
      <c r="BP258" s="64">
        <f>IFERROR(1/J258*(Y258/H258),"0")</f>
        <v>1.8518518518518517E-2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3.0303030303030303</v>
      </c>
      <c r="Y259" s="555">
        <f>IFERROR(Y254/H254,"0")+IFERROR(Y255/H255,"0")+IFERROR(Y256/H256,"0")+IFERROR(Y257/H257,"0")+IFERROR(Y258/H258,"0")</f>
        <v>4</v>
      </c>
      <c r="Z259" s="555">
        <f>IFERROR(IF(Z254="",0,Z254),"0")+IFERROR(IF(Z255="",0,Z255),"0")+IFERROR(IF(Z256="",0,Z256),"0")+IFERROR(IF(Z257="",0,Z257),"0")+IFERROR(IF(Z258="",0,Z258),"0")</f>
        <v>2.3599999999999999E-2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3</v>
      </c>
      <c r="Y260" s="555">
        <f>IFERROR(SUM(Y254:Y258),"0")</f>
        <v>3.96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</v>
      </c>
      <c r="Y282" s="554">
        <f>IFERROR(IF(X282="",0,CEILING((X282/$H282),1)*$H282),"")</f>
        <v>7.1999999999999993</v>
      </c>
      <c r="Z282" s="36">
        <f>IFERROR(IF(Y282=0,"",ROUNDUP(Y282/H282,0)*0.00651),"")</f>
        <v>1.9529999999999999E-2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7.5250000000000012</v>
      </c>
      <c r="BN282" s="64">
        <f>IFERROR(Y282*I282/H282,"0")</f>
        <v>7.7399999999999993</v>
      </c>
      <c r="BO282" s="64">
        <f>IFERROR(1/J282*(X282/H282),"0")</f>
        <v>1.6025641025641028E-2</v>
      </c>
      <c r="BP282" s="64">
        <f>IFERROR(1/J282*(Y282/H282),"0")</f>
        <v>1.6483516483516484E-2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2.916666666666667</v>
      </c>
      <c r="Y283" s="555">
        <f>IFERROR(Y280/H280,"0")+IFERROR(Y281/H281,"0")+IFERROR(Y282/H282,"0")</f>
        <v>3</v>
      </c>
      <c r="Z283" s="555">
        <f>IFERROR(IF(Z280="",0,Z280),"0")+IFERROR(IF(Z281="",0,Z281),"0")+IFERROR(IF(Z282="",0,Z282),"0")</f>
        <v>1.9529999999999999E-2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7</v>
      </c>
      <c r="Y284" s="555">
        <f>IFERROR(SUM(Y280:Y282),"0")</f>
        <v>7.1999999999999993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13</v>
      </c>
      <c r="Y311" s="554">
        <f t="shared" si="31"/>
        <v>14.4</v>
      </c>
      <c r="Z311" s="36">
        <f>IFERROR(IF(Y311=0,"",ROUNDUP(Y311/H311,0)*0.00651),"")</f>
        <v>5.2080000000000001E-2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14.646666666666667</v>
      </c>
      <c r="BN311" s="64">
        <f t="shared" si="33"/>
        <v>16.224</v>
      </c>
      <c r="BO311" s="64">
        <f t="shared" si="34"/>
        <v>3.9682539682539687E-2</v>
      </c>
      <c r="BP311" s="64">
        <f t="shared" si="35"/>
        <v>4.3956043956043959E-2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7.2222222222222223</v>
      </c>
      <c r="Y312" s="555">
        <f>IFERROR(Y306/H306,"0")+IFERROR(Y307/H307,"0")+IFERROR(Y308/H308,"0")+IFERROR(Y309/H309,"0")+IFERROR(Y310/H310,"0")+IFERROR(Y311/H311,"0")</f>
        <v>8</v>
      </c>
      <c r="Z312" s="555">
        <f>IFERROR(IF(Z306="",0,Z306),"0")+IFERROR(IF(Z307="",0,Z307),"0")+IFERROR(IF(Z308="",0,Z308),"0")+IFERROR(IF(Z309="",0,Z309),"0")+IFERROR(IF(Z310="",0,Z310),"0")+IFERROR(IF(Z311="",0,Z311),"0")</f>
        <v>5.2080000000000001E-2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13</v>
      </c>
      <c r="Y313" s="555">
        <f>IFERROR(SUM(Y306:Y311),"0")</f>
        <v>14.4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18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19.05857142857143</v>
      </c>
      <c r="BN322" s="64">
        <f>IFERROR(Y322*I322/H322,"0")</f>
        <v>26.682000000000002</v>
      </c>
      <c r="BO322" s="64">
        <f>IFERROR(1/J322*(X322/H322),"0")</f>
        <v>3.3482142857142856E-2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57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60.610000000000007</v>
      </c>
      <c r="BN323" s="64">
        <f>IFERROR(Y323*I323/H323,"0")</f>
        <v>66.352000000000004</v>
      </c>
      <c r="BO323" s="64">
        <f>IFERROR(1/J323*(X323/H323),"0")</f>
        <v>0.1141826923076923</v>
      </c>
      <c r="BP323" s="64">
        <f>IFERROR(1/J323*(Y323/H323),"0")</f>
        <v>0.125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9.4505494505494507</v>
      </c>
      <c r="Y325" s="555">
        <f>IFERROR(Y322/H322,"0")+IFERROR(Y323/H323,"0")+IFERROR(Y324/H324,"0")</f>
        <v>11</v>
      </c>
      <c r="Z325" s="555">
        <f>IFERROR(IF(Z322="",0,Z322),"0")+IFERROR(IF(Z323="",0,Z323),"0")+IFERROR(IF(Z324="",0,Z324),"0")</f>
        <v>0.20878000000000002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75</v>
      </c>
      <c r="Y326" s="555">
        <f>IFERROR(SUM(Y322:Y324),"0")</f>
        <v>87.6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5.6470588235294112</v>
      </c>
      <c r="BN331" s="64">
        <f>IFERROR(Y331*I331/H331,"0")</f>
        <v>5.76</v>
      </c>
      <c r="BO331" s="64">
        <f>IFERROR(1/J331*(X331/H331),"0")</f>
        <v>1.0773540185304893E-2</v>
      </c>
      <c r="BP331" s="64">
        <f>IFERROR(1/J331*(Y331/H331),"0")</f>
        <v>1.098901098901099E-2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1.9607843137254903</v>
      </c>
      <c r="Y332" s="555">
        <f>IFERROR(Y328/H328,"0")+IFERROR(Y329/H329,"0")+IFERROR(Y330/H330,"0")+IFERROR(Y331/H331,"0")</f>
        <v>2</v>
      </c>
      <c r="Z332" s="555">
        <f>IFERROR(IF(Z328="",0,Z328),"0")+IFERROR(IF(Z329="",0,Z329),"0")+IFERROR(IF(Z330="",0,Z330),"0")+IFERROR(IF(Z331="",0,Z331),"0")</f>
        <v>1.302E-2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5</v>
      </c>
      <c r="Y333" s="555">
        <f>IFERROR(SUM(Y328:Y331),"0")</f>
        <v>5.0999999999999996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2</v>
      </c>
      <c r="Y337" s="554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1</v>
      </c>
      <c r="Y338" s="555">
        <f>IFERROR(Y335/H335,"0")+IFERROR(Y336/H336,"0")+IFERROR(Y337/H337,"0")</f>
        <v>1</v>
      </c>
      <c r="Z338" s="555">
        <f>IFERROR(IF(Z335="",0,Z335),"0")+IFERROR(IF(Z336="",0,Z336),"0")+IFERROR(IF(Z337="",0,Z337),"0")</f>
        <v>4.7400000000000003E-3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2</v>
      </c>
      <c r="Y339" s="555">
        <f>IFERROR(SUM(Y335:Y337),"0")</f>
        <v>2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1152</v>
      </c>
      <c r="Y350" s="554">
        <f t="shared" ref="Y350:Y356" si="36">IFERROR(IF(X350="",0,CEILING((X350/$H350),1)*$H350),"")</f>
        <v>1155</v>
      </c>
      <c r="Z350" s="36">
        <f>IFERROR(IF(Y350=0,"",ROUNDUP(Y350/H350,0)*0.02175),"")</f>
        <v>1.67475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1188.0960000000002</v>
      </c>
      <c r="BN350" s="64">
        <f t="shared" ref="BN350:BN356" si="38">IFERROR(Y350*I350/H350,"0")</f>
        <v>1191.19</v>
      </c>
      <c r="BO350" s="64">
        <f t="shared" ref="BO350:BO356" si="39">IFERROR(1/J350*(X350/H350),"0")</f>
        <v>1.5999999999999999</v>
      </c>
      <c r="BP350" s="64">
        <f t="shared" ref="BP350:BP356" si="40">IFERROR(1/J350*(Y350/H350),"0")</f>
        <v>1.6041666666666665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478</v>
      </c>
      <c r="Y351" s="554">
        <f t="shared" si="36"/>
        <v>480</v>
      </c>
      <c r="Z351" s="36">
        <f>IFERROR(IF(Y351=0,"",ROUNDUP(Y351/H351,0)*0.02175),"")</f>
        <v>0.69599999999999995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492.97733333333332</v>
      </c>
      <c r="BN351" s="64">
        <f t="shared" si="38"/>
        <v>495.04</v>
      </c>
      <c r="BO351" s="64">
        <f t="shared" si="39"/>
        <v>0.66388888888888886</v>
      </c>
      <c r="BP351" s="64">
        <f t="shared" si="40"/>
        <v>0.66666666666666663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398</v>
      </c>
      <c r="Y352" s="554">
        <f t="shared" si="36"/>
        <v>405</v>
      </c>
      <c r="Z352" s="36">
        <f>IFERROR(IF(Y352=0,"",ROUNDUP(Y352/H352,0)*0.02175),"")</f>
        <v>0.58724999999999994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410.47066666666672</v>
      </c>
      <c r="BN352" s="64">
        <f t="shared" si="38"/>
        <v>417.69</v>
      </c>
      <c r="BO352" s="64">
        <f t="shared" si="39"/>
        <v>0.55277777777777781</v>
      </c>
      <c r="BP352" s="64">
        <f t="shared" si="40"/>
        <v>0.5625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692</v>
      </c>
      <c r="Y353" s="554">
        <f t="shared" si="36"/>
        <v>705</v>
      </c>
      <c r="Z353" s="36">
        <f>IFERROR(IF(Y353=0,"",ROUNDUP(Y353/H353,0)*0.02175),"")</f>
        <v>1.0222499999999999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713.68266666666671</v>
      </c>
      <c r="BN353" s="64">
        <f t="shared" si="38"/>
        <v>727.09</v>
      </c>
      <c r="BO353" s="64">
        <f t="shared" si="39"/>
        <v>0.96111111111111103</v>
      </c>
      <c r="BP353" s="64">
        <f t="shared" si="40"/>
        <v>0.97916666666666663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181.33333333333331</v>
      </c>
      <c r="Y357" s="555">
        <f>IFERROR(Y350/H350,"0")+IFERROR(Y351/H351,"0")+IFERROR(Y352/H352,"0")+IFERROR(Y353/H353,"0")+IFERROR(Y354/H354,"0")+IFERROR(Y355/H355,"0")+IFERROR(Y356/H356,"0")</f>
        <v>183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3.9802499999999998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2720</v>
      </c>
      <c r="Y358" s="555">
        <f>IFERROR(SUM(Y350:Y356),"0")</f>
        <v>2745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832</v>
      </c>
      <c r="Y360" s="554">
        <f>IFERROR(IF(X360="",0,CEILING((X360/$H360),1)*$H360),"")</f>
        <v>840</v>
      </c>
      <c r="Z360" s="36">
        <f>IFERROR(IF(Y360=0,"",ROUNDUP(Y360/H360,0)*0.02175),"")</f>
        <v>1.218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858.06933333333336</v>
      </c>
      <c r="BN360" s="64">
        <f>IFERROR(Y360*I360/H360,"0")</f>
        <v>866.32</v>
      </c>
      <c r="BO360" s="64">
        <f>IFERROR(1/J360*(X360/H360),"0")</f>
        <v>1.1555555555555554</v>
      </c>
      <c r="BP360" s="64">
        <f>IFERROR(1/J360*(Y360/H360),"0")</f>
        <v>1.1666666666666665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55.466666666666669</v>
      </c>
      <c r="Y362" s="555">
        <f>IFERROR(Y360/H360,"0")+IFERROR(Y361/H361,"0")</f>
        <v>56</v>
      </c>
      <c r="Z362" s="555">
        <f>IFERROR(IF(Z360="",0,Z360),"0")+IFERROR(IF(Z361="",0,Z361),"0")</f>
        <v>1.218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832</v>
      </c>
      <c r="Y363" s="555">
        <f>IFERROR(SUM(Y360:Y361),"0")</f>
        <v>840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90</v>
      </c>
      <c r="Y366" s="554">
        <f>IFERROR(IF(X366="",0,CEILING((X366/$H366),1)*$H366),"")</f>
        <v>90</v>
      </c>
      <c r="Z366" s="36">
        <f>IFERROR(IF(Y366=0,"",ROUNDUP(Y366/H366,0)*0.01898),"")</f>
        <v>0.1898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94.94</v>
      </c>
      <c r="BN366" s="64">
        <f>IFERROR(Y366*I366/H366,"0")</f>
        <v>94.94</v>
      </c>
      <c r="BO366" s="64">
        <f>IFERROR(1/J366*(X366/H366),"0")</f>
        <v>0.15625</v>
      </c>
      <c r="BP366" s="64">
        <f>IFERROR(1/J366*(Y366/H366),"0")</f>
        <v>0.15625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10</v>
      </c>
      <c r="Y367" s="555">
        <f>IFERROR(Y365/H365,"0")+IFERROR(Y366/H366,"0")</f>
        <v>10</v>
      </c>
      <c r="Z367" s="555">
        <f>IFERROR(IF(Z365="",0,Z365),"0")+IFERROR(IF(Z366="",0,Z366),"0")</f>
        <v>0.1898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90</v>
      </c>
      <c r="Y368" s="555">
        <f>IFERROR(SUM(Y365:Y366),"0")</f>
        <v>90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43</v>
      </c>
      <c r="Y370" s="554">
        <f>IFERROR(IF(X370="",0,CEILING((X370/$H370),1)*$H370),"")</f>
        <v>45</v>
      </c>
      <c r="Z370" s="36">
        <f>IFERROR(IF(Y370=0,"",ROUNDUP(Y370/H370,0)*0.01898),"")</f>
        <v>9.4899999999999998E-2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45.36022222222222</v>
      </c>
      <c r="BN370" s="64">
        <f>IFERROR(Y370*I370/H370,"0")</f>
        <v>47.47</v>
      </c>
      <c r="BO370" s="64">
        <f>IFERROR(1/J370*(X370/H370),"0")</f>
        <v>7.4652777777777776E-2</v>
      </c>
      <c r="BP370" s="64">
        <f>IFERROR(1/J370*(Y370/H370),"0")</f>
        <v>7.8125E-2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4.7777777777777777</v>
      </c>
      <c r="Y371" s="555">
        <f>IFERROR(Y370/H370,"0")</f>
        <v>5</v>
      </c>
      <c r="Z371" s="555">
        <f>IFERROR(IF(Z370="",0,Z370),"0")</f>
        <v>9.4899999999999998E-2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43</v>
      </c>
      <c r="Y372" s="555">
        <f>IFERROR(SUM(Y370:Y370),"0")</f>
        <v>45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337</v>
      </c>
      <c r="Y385" s="554">
        <f>IFERROR(IF(X385="",0,CEILING((X385/$H385),1)*$H385),"")</f>
        <v>342</v>
      </c>
      <c r="Z385" s="36">
        <f>IFERROR(IF(Y385=0,"",ROUNDUP(Y385/H385,0)*0.01898),"")</f>
        <v>0.72123999999999999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355.49755555555555</v>
      </c>
      <c r="BN385" s="64">
        <f>IFERROR(Y385*I385/H385,"0")</f>
        <v>360.77199999999999</v>
      </c>
      <c r="BO385" s="64">
        <f>IFERROR(1/J385*(X385/H385),"0")</f>
        <v>0.58506944444444442</v>
      </c>
      <c r="BP385" s="64">
        <f>IFERROR(1/J385*(Y385/H385),"0")</f>
        <v>0.59375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37.444444444444443</v>
      </c>
      <c r="Y388" s="555">
        <f>IFERROR(Y385/H385,"0")+IFERROR(Y386/H386,"0")+IFERROR(Y387/H387,"0")</f>
        <v>38</v>
      </c>
      <c r="Z388" s="555">
        <f>IFERROR(IF(Z385="",0,Z385),"0")+IFERROR(IF(Z386="",0,Z386),"0")+IFERROR(IF(Z387="",0,Z387),"0")</f>
        <v>0.72123999999999999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337</v>
      </c>
      <c r="Y389" s="555">
        <f>IFERROR(SUM(Y385:Y387),"0")</f>
        <v>342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123</v>
      </c>
      <c r="Y429" s="554">
        <f t="shared" ref="Y429:Y440" si="47">IFERROR(IF(X429="",0,CEILING((X429/$H429),1)*$H429),"")</f>
        <v>126.72</v>
      </c>
      <c r="Z429" s="36">
        <f t="shared" ref="Z429:Z435" si="48">IFERROR(IF(Y429=0,"",ROUNDUP(Y429/H429,0)*0.01196),"")</f>
        <v>0.28704000000000002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131.15340909090909</v>
      </c>
      <c r="BN429" s="64">
        <f t="shared" ref="BN429:BN440" si="50">IFERROR(Y429*I429/H429,"0")</f>
        <v>135.11999999999998</v>
      </c>
      <c r="BO429" s="64">
        <f t="shared" ref="BO429:BO440" si="51">IFERROR(1/J429*(X429/H429),"0")</f>
        <v>0.22399475524475523</v>
      </c>
      <c r="BP429" s="64">
        <f t="shared" ref="BP429:BP440" si="52">IFERROR(1/J429*(Y429/H429),"0")</f>
        <v>0.23076923076923078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113</v>
      </c>
      <c r="Y433" s="554">
        <f t="shared" si="47"/>
        <v>116.16000000000001</v>
      </c>
      <c r="Z433" s="36">
        <f t="shared" si="48"/>
        <v>0.26312000000000002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120.49053030303028</v>
      </c>
      <c r="BN433" s="64">
        <f t="shared" si="50"/>
        <v>123.86</v>
      </c>
      <c r="BO433" s="64">
        <f t="shared" si="51"/>
        <v>0.20578379953379955</v>
      </c>
      <c r="BP433" s="64">
        <f t="shared" si="52"/>
        <v>0.21153846153846156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359</v>
      </c>
      <c r="Y435" s="554">
        <f t="shared" si="47"/>
        <v>359.04</v>
      </c>
      <c r="Z435" s="36">
        <f t="shared" si="48"/>
        <v>0.81328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382.7973484848485</v>
      </c>
      <c r="BN435" s="64">
        <f t="shared" si="50"/>
        <v>382.84000000000003</v>
      </c>
      <c r="BO435" s="64">
        <f t="shared" si="51"/>
        <v>0.65377331002330996</v>
      </c>
      <c r="BP435" s="64">
        <f t="shared" si="52"/>
        <v>0.65384615384615385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10</v>
      </c>
      <c r="Y440" s="554">
        <f t="shared" si="47"/>
        <v>14.399999999999999</v>
      </c>
      <c r="Z440" s="36">
        <f>IFERROR(IF(Y440=0,"",ROUNDUP(Y440/H440,0)*0.00902),"")</f>
        <v>2.7060000000000001E-2</v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14.395833333333332</v>
      </c>
      <c r="BN440" s="64">
        <f t="shared" si="50"/>
        <v>20.73</v>
      </c>
      <c r="BO440" s="64">
        <f t="shared" si="51"/>
        <v>1.5782828282828284E-2</v>
      </c>
      <c r="BP440" s="64">
        <f t="shared" si="52"/>
        <v>2.2727272727272728E-2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114.77272727272727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1.3905000000000001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605</v>
      </c>
      <c r="Y442" s="555">
        <f>IFERROR(SUM(Y429:Y440),"0")</f>
        <v>616.32000000000005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175</v>
      </c>
      <c r="Y444" s="554">
        <f>IFERROR(IF(X444="",0,CEILING((X444/$H444),1)*$H444),"")</f>
        <v>179.52</v>
      </c>
      <c r="Z444" s="36">
        <f>IFERROR(IF(Y444=0,"",ROUNDUP(Y444/H444,0)*0.01196),"")</f>
        <v>0.40664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186.60037878787878</v>
      </c>
      <c r="BN444" s="64">
        <f>IFERROR(Y444*I444/H444,"0")</f>
        <v>191.42000000000002</v>
      </c>
      <c r="BO444" s="64">
        <f>IFERROR(1/J444*(X444/H444),"0")</f>
        <v>0.31869172494172493</v>
      </c>
      <c r="BP444" s="64">
        <f>IFERROR(1/J444*(Y444/H444),"0")</f>
        <v>0.32692307692307693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33.143939393939391</v>
      </c>
      <c r="Y447" s="555">
        <f>IFERROR(Y444/H444,"0")+IFERROR(Y445/H445,"0")+IFERROR(Y446/H446,"0")</f>
        <v>34</v>
      </c>
      <c r="Z447" s="555">
        <f>IFERROR(IF(Z444="",0,Z444),"0")+IFERROR(IF(Z445="",0,Z445),"0")+IFERROR(IF(Z446="",0,Z446),"0")</f>
        <v>0.40664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175</v>
      </c>
      <c r="Y448" s="555">
        <f>IFERROR(SUM(Y444:Y446),"0")</f>
        <v>179.52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55</v>
      </c>
      <c r="Y450" s="554">
        <f t="shared" ref="Y450:Y455" si="53">IFERROR(IF(X450="",0,CEILING((X450/$H450),1)*$H450),"")</f>
        <v>58.080000000000005</v>
      </c>
      <c r="Z450" s="36">
        <f>IFERROR(IF(Y450=0,"",ROUNDUP(Y450/H450,0)*0.01196),"")</f>
        <v>0.13156000000000001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58.645833333333329</v>
      </c>
      <c r="BN450" s="64">
        <f t="shared" ref="BN450:BN455" si="55">IFERROR(Y450*I450/H450,"0")</f>
        <v>61.93</v>
      </c>
      <c r="BO450" s="64">
        <f t="shared" ref="BO450:BO455" si="56">IFERROR(1/J450*(X450/H450),"0")</f>
        <v>0.10016025641025642</v>
      </c>
      <c r="BP450" s="64">
        <f t="shared" ref="BP450:BP455" si="57">IFERROR(1/J450*(Y450/H450),"0")</f>
        <v>0.10576923076923078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72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76.772727272727266</v>
      </c>
      <c r="BN451" s="64">
        <f t="shared" si="55"/>
        <v>78.819999999999993</v>
      </c>
      <c r="BO451" s="64">
        <f t="shared" si="56"/>
        <v>0.13111888111888112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152</v>
      </c>
      <c r="Y452" s="554">
        <f t="shared" si="53"/>
        <v>153.12</v>
      </c>
      <c r="Z452" s="36">
        <f>IFERROR(IF(Y452=0,"",ROUNDUP(Y452/H452,0)*0.01196),"")</f>
        <v>0.34683999999999998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162.07575757575756</v>
      </c>
      <c r="BN452" s="64">
        <f t="shared" si="55"/>
        <v>163.26999999999998</v>
      </c>
      <c r="BO452" s="64">
        <f t="shared" si="56"/>
        <v>0.27680652680652679</v>
      </c>
      <c r="BP452" s="64">
        <f t="shared" si="57"/>
        <v>0.27884615384615385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52.840909090909086</v>
      </c>
      <c r="Y456" s="555">
        <f>IFERROR(Y450/H450,"0")+IFERROR(Y451/H451,"0")+IFERROR(Y452/H452,"0")+IFERROR(Y453/H453,"0")+IFERROR(Y454/H454,"0")+IFERROR(Y455/H455,"0")</f>
        <v>54</v>
      </c>
      <c r="Z456" s="555">
        <f>IFERROR(IF(Z450="",0,Z450),"0")+IFERROR(IF(Z451="",0,Z451),"0")+IFERROR(IF(Z452="",0,Z452),"0")+IFERROR(IF(Z453="",0,Z453),"0")+IFERROR(IF(Z454="",0,Z454),"0")+IFERROR(IF(Z455="",0,Z455),"0")</f>
        <v>0.64583999999999997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279</v>
      </c>
      <c r="Y457" s="555">
        <f>IFERROR(SUM(Y450:Y455),"0")</f>
        <v>285.12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76</v>
      </c>
      <c r="Y482" s="554">
        <f>IFERROR(IF(X482="",0,CEILING((X482/$H482),1)*$H482),"")</f>
        <v>81</v>
      </c>
      <c r="Z482" s="36">
        <f>IFERROR(IF(Y482=0,"",ROUNDUP(Y482/H482,0)*0.01898),"")</f>
        <v>0.17082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80.171555555555557</v>
      </c>
      <c r="BN482" s="64">
        <f>IFERROR(Y482*I482/H482,"0")</f>
        <v>85.445999999999998</v>
      </c>
      <c r="BO482" s="64">
        <f>IFERROR(1/J482*(X482/H482),"0")</f>
        <v>0.13194444444444445</v>
      </c>
      <c r="BP482" s="64">
        <f>IFERROR(1/J482*(Y482/H482),"0")</f>
        <v>0.140625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8.4444444444444446</v>
      </c>
      <c r="Y483" s="555">
        <f>IFERROR(Y482/H482,"0")</f>
        <v>9</v>
      </c>
      <c r="Z483" s="555">
        <f>IFERROR(IF(Z482="",0,Z482),"0")</f>
        <v>0.17082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76</v>
      </c>
      <c r="Y484" s="555">
        <f>IFERROR(SUM(Y482:Y482),"0")</f>
        <v>81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7158.72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7315.9411129147511</v>
      </c>
      <c r="Y496" s="555">
        <f>IFERROR(SUM(BN22:BN492),"0")</f>
        <v>7484.66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12</v>
      </c>
      <c r="Y497" s="38">
        <f>ROUNDUP(SUM(BP22:BP492),0)</f>
        <v>12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7615.9411129147511</v>
      </c>
      <c r="Y498" s="555">
        <f>GrossWeightTotalR+PalletQtyTotalR*25</f>
        <v>7784.66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944.00446414073872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970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12.91236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149.90000000000003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93.800000000000011</v>
      </c>
      <c r="E505" s="46">
        <f>IFERROR(Y85*1,"0")+IFERROR(Y86*1,"0")+IFERROR(Y87*1,"0")+IFERROR(Y88*1,"0")+IFERROR(Y92*1,"0")+IFERROR(Y93*1,"0")+IFERROR(Y94*1,"0")+IFERROR(Y95*1,"0")</f>
        <v>244.79999999999998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241.2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187.8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893.4000000000002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7.5600000000000005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7.1999999999999993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109.1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3720</v>
      </c>
      <c r="T505" s="46">
        <f>IFERROR(Y375*1,"0")+IFERROR(Y376*1,"0")+IFERROR(Y380*1,"0")+IFERROR(Y381*1,"0")+IFERROR(Y385*1,"0")+IFERROR(Y386*1,"0")+IFERROR(Y387*1,"0")</f>
        <v>342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1080.96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81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2,00"/>
        <filter val="1,00"/>
        <filter val="1,61"/>
        <filter val="1,67"/>
        <filter val="1,96"/>
        <filter val="10,00"/>
        <filter val="104,00"/>
        <filter val="110,00"/>
        <filter val="113,00"/>
        <filter val="114,77"/>
        <filter val="118,00"/>
        <filter val="12"/>
        <filter val="123,00"/>
        <filter val="13,00"/>
        <filter val="13,04"/>
        <filter val="138,00"/>
        <filter val="14,00"/>
        <filter val="143,33"/>
        <filter val="152,00"/>
        <filter val="159,00"/>
        <filter val="16,30"/>
        <filter val="17,00"/>
        <filter val="174,00"/>
        <filter val="175,00"/>
        <filter val="18,00"/>
        <filter val="18,02"/>
        <filter val="181,33"/>
        <filter val="2 720,00"/>
        <filter val="2,00"/>
        <filter val="2,78"/>
        <filter val="2,92"/>
        <filter val="21,00"/>
        <filter val="22,00"/>
        <filter val="220,00"/>
        <filter val="23,54"/>
        <filter val="25,00"/>
        <filter val="251,00"/>
        <filter val="27,53"/>
        <filter val="279,00"/>
        <filter val="28,00"/>
        <filter val="290,00"/>
        <filter val="3,00"/>
        <filter val="3,03"/>
        <filter val="3,75"/>
        <filter val="3,97"/>
        <filter val="30,00"/>
        <filter val="33,00"/>
        <filter val="33,14"/>
        <filter val="337,00"/>
        <filter val="34,00"/>
        <filter val="359,00"/>
        <filter val="37,44"/>
        <filter val="398,00"/>
        <filter val="4,36"/>
        <filter val="4,78"/>
        <filter val="41,00"/>
        <filter val="43,00"/>
        <filter val="45,00"/>
        <filter val="478,00"/>
        <filter val="5,00"/>
        <filter val="52,84"/>
        <filter val="53,00"/>
        <filter val="55,00"/>
        <filter val="55,47"/>
        <filter val="57,00"/>
        <filter val="605,00"/>
        <filter val="654,00"/>
        <filter val="66,00"/>
        <filter val="68,00"/>
        <filter val="68,65"/>
        <filter val="692,00"/>
        <filter val="7 000,00"/>
        <filter val="7 315,94"/>
        <filter val="7 615,94"/>
        <filter val="7,00"/>
        <filter val="7,22"/>
        <filter val="72,00"/>
        <filter val="75,00"/>
        <filter val="76,00"/>
        <filter val="77,00"/>
        <filter val="8,44"/>
        <filter val="81,00"/>
        <filter val="83,00"/>
        <filter val="832,00"/>
        <filter val="88,00"/>
        <filter val="9,00"/>
        <filter val="9,45"/>
        <filter val="90,00"/>
        <filter val="91,00"/>
        <filter val="91,67"/>
        <filter val="944,00"/>
        <filter val="98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