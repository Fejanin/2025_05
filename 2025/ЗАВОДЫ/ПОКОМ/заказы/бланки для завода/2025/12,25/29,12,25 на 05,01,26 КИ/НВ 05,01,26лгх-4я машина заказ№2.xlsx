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81A0BA-4080-44C1-BECD-D819861DC8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BP468" i="1" s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BP454" i="1" s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BP440" i="1" s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Y269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6" i="1" l="1"/>
  <c r="BN86" i="1"/>
  <c r="Z86" i="1"/>
  <c r="BP115" i="1"/>
  <c r="BN115" i="1"/>
  <c r="Z115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200" i="1"/>
  <c r="BN200" i="1"/>
  <c r="Z200" i="1"/>
  <c r="BP229" i="1"/>
  <c r="BN229" i="1"/>
  <c r="Z229" i="1"/>
  <c r="Y260" i="1"/>
  <c r="Z25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X499" i="1"/>
  <c r="Z30" i="1"/>
  <c r="BN30" i="1"/>
  <c r="BP53" i="1"/>
  <c r="BN53" i="1"/>
  <c r="BP67" i="1"/>
  <c r="BN67" i="1"/>
  <c r="Z67" i="1"/>
  <c r="BP101" i="1"/>
  <c r="BN101" i="1"/>
  <c r="Z101" i="1"/>
  <c r="BP143" i="1"/>
  <c r="BN143" i="1"/>
  <c r="Z143" i="1"/>
  <c r="BP177" i="1"/>
  <c r="BN177" i="1"/>
  <c r="Z177" i="1"/>
  <c r="BP217" i="1"/>
  <c r="BN217" i="1"/>
  <c r="Z217" i="1"/>
  <c r="BP240" i="1"/>
  <c r="BN240" i="1"/>
  <c r="Z240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Z28" i="1"/>
  <c r="BN28" i="1"/>
  <c r="Z42" i="1"/>
  <c r="BN42" i="1"/>
  <c r="Y59" i="1"/>
  <c r="Z55" i="1"/>
  <c r="BN55" i="1"/>
  <c r="Z61" i="1"/>
  <c r="BN61" i="1"/>
  <c r="BP61" i="1"/>
  <c r="BP63" i="1"/>
  <c r="BN63" i="1"/>
  <c r="Z63" i="1"/>
  <c r="F9" i="1"/>
  <c r="F10" i="1"/>
  <c r="BP73" i="1"/>
  <c r="BN73" i="1"/>
  <c r="Z73" i="1"/>
  <c r="Z79" i="1"/>
  <c r="BN79" i="1"/>
  <c r="BP79" i="1"/>
  <c r="Z88" i="1"/>
  <c r="BN88" i="1"/>
  <c r="Y96" i="1"/>
  <c r="Z94" i="1"/>
  <c r="BN94" i="1"/>
  <c r="Z103" i="1"/>
  <c r="BN103" i="1"/>
  <c r="Z111" i="1"/>
  <c r="BN111" i="1"/>
  <c r="Z117" i="1"/>
  <c r="BN117" i="1"/>
  <c r="Z138" i="1"/>
  <c r="BN138" i="1"/>
  <c r="Z149" i="1"/>
  <c r="BN149" i="1"/>
  <c r="Z153" i="1"/>
  <c r="BN153" i="1"/>
  <c r="Z171" i="1"/>
  <c r="BN171" i="1"/>
  <c r="Z175" i="1"/>
  <c r="BN175" i="1"/>
  <c r="Z179" i="1"/>
  <c r="BN179" i="1"/>
  <c r="Z196" i="1"/>
  <c r="BN196" i="1"/>
  <c r="Y202" i="1"/>
  <c r="Z206" i="1"/>
  <c r="BN206" i="1"/>
  <c r="Z207" i="1"/>
  <c r="BN207" i="1"/>
  <c r="Z211" i="1"/>
  <c r="BN211" i="1"/>
  <c r="Z219" i="1"/>
  <c r="BN219" i="1"/>
  <c r="Z223" i="1"/>
  <c r="BN223" i="1"/>
  <c r="Z234" i="1"/>
  <c r="BN234" i="1"/>
  <c r="Z238" i="1"/>
  <c r="BN238" i="1"/>
  <c r="Z242" i="1"/>
  <c r="BN242" i="1"/>
  <c r="Z256" i="1"/>
  <c r="BN256" i="1"/>
  <c r="Z263" i="1"/>
  <c r="BN263" i="1"/>
  <c r="BP263" i="1"/>
  <c r="Z267" i="1"/>
  <c r="BN267" i="1"/>
  <c r="Z274" i="1"/>
  <c r="BN274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N250" i="1"/>
  <c r="BP250" i="1"/>
  <c r="Y251" i="1"/>
  <c r="BN254" i="1"/>
  <c r="BP254" i="1"/>
  <c r="Z258" i="1"/>
  <c r="BN258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Y339" i="1"/>
  <c r="Y338" i="1"/>
  <c r="Y419" i="1"/>
  <c r="Z417" i="1"/>
  <c r="BN417" i="1"/>
  <c r="Z432" i="1"/>
  <c r="BN432" i="1"/>
  <c r="Z436" i="1"/>
  <c r="BN436" i="1"/>
  <c r="Z440" i="1"/>
  <c r="BN440" i="1"/>
  <c r="Y448" i="1"/>
  <c r="Z446" i="1"/>
  <c r="BN446" i="1"/>
  <c r="Y447" i="1"/>
  <c r="Z450" i="1"/>
  <c r="BN450" i="1"/>
  <c r="Z454" i="1"/>
  <c r="BN454" i="1"/>
  <c r="Z468" i="1"/>
  <c r="BN468" i="1"/>
  <c r="Z478" i="1"/>
  <c r="BN478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88" i="1" l="1"/>
  <c r="Z64" i="1"/>
  <c r="Z24" i="1"/>
  <c r="Z357" i="1"/>
  <c r="Z243" i="1"/>
  <c r="Z456" i="1"/>
  <c r="Y497" i="1"/>
  <c r="Z119" i="1"/>
  <c r="Y496" i="1"/>
  <c r="Y498" i="1" s="1"/>
  <c r="Z312" i="1"/>
  <c r="Z303" i="1"/>
  <c r="Z283" i="1"/>
  <c r="Z225" i="1"/>
  <c r="Z181" i="1"/>
  <c r="Z112" i="1"/>
  <c r="Z105" i="1"/>
  <c r="Z402" i="1"/>
  <c r="Z213" i="1"/>
  <c r="Z441" i="1"/>
  <c r="Z419" i="1"/>
  <c r="Z319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<sst xmlns="http://schemas.openxmlformats.org/spreadsheetml/2006/main" count="2295" uniqueCount="782">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</sst>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64.81481481481481</v>
      </c>
      <c r="Y44" s="555">
        <f>IFERROR(Y41/H41,"0")+IFERROR(Y42/H42,"0")+IFERROR(Y43/H43,"0")</f>
        <v>65</v>
      </c>
      <c r="Z44" s="555">
        <f>IFERROR(IF(Z41="",0,Z41),"0")+IFERROR(IF(Z42="",0,Z42),"0")+IFERROR(IF(Z43="",0,Z43),"0")</f>
        <v>1.2337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700</v>
      </c>
      <c r="Y45" s="555">
        <f>IFERROR(SUM(Y41:Y43),"0")</f>
        <v>702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200</v>
      </c>
      <c r="Y55" s="554">
        <f t="shared" si="0"/>
        <v>200</v>
      </c>
      <c r="Z55" s="36">
        <f>IFERROR(IF(Y55=0,"",ROUNDUP(Y55/H55,0)*0.00902),"")</f>
        <v>0.45100000000000001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209.50000000000003</v>
      </c>
      <c r="BN55" s="64">
        <f t="shared" si="2"/>
        <v>209.50000000000003</v>
      </c>
      <c r="BO55" s="64">
        <f t="shared" si="3"/>
        <v>0.37878787878787878</v>
      </c>
      <c r="BP55" s="64">
        <f t="shared" si="4"/>
        <v>0.37878787878787878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68.518518518518519</v>
      </c>
      <c r="Y58" s="555">
        <f>IFERROR(Y52/H52,"0")+IFERROR(Y53/H53,"0")+IFERROR(Y54/H54,"0")+IFERROR(Y55/H55,"0")+IFERROR(Y56/H56,"0")+IFERROR(Y57/H57,"0")</f>
        <v>69</v>
      </c>
      <c r="Z58" s="555">
        <f>IFERROR(IF(Z52="",0,Z52),"0")+IFERROR(IF(Z53="",0,Z53),"0")+IFERROR(IF(Z54="",0,Z54),"0")+IFERROR(IF(Z55="",0,Z55),"0")+IFERROR(IF(Z56="",0,Z56),"0")+IFERROR(IF(Z57="",0,Z57),"0")</f>
        <v>0.81162000000000001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400</v>
      </c>
      <c r="Y59" s="555">
        <f>IFERROR(SUM(Y52:Y57),"0")</f>
        <v>405.20000000000005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490</v>
      </c>
      <c r="Y85" s="554">
        <f>IFERROR(IF(X85="",0,CEILING((X85/$H85),1)*$H85),"")</f>
        <v>496.8</v>
      </c>
      <c r="Z85" s="36">
        <f>IFERROR(IF(Y85=0,"",ROUNDUP(Y85/H85,0)*0.01898),"")</f>
        <v>0.87307999999999997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508.60185185185185</v>
      </c>
      <c r="BN85" s="64">
        <f>IFERROR(Y85*I85/H85,"0")</f>
        <v>515.66</v>
      </c>
      <c r="BO85" s="64">
        <f>IFERROR(1/J85*(X85/H85),"0")</f>
        <v>0.70891203703703698</v>
      </c>
      <c r="BP85" s="64">
        <f>IFERROR(1/J85*(Y85/H85),"0")</f>
        <v>0.71875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45.370370370370367</v>
      </c>
      <c r="Y89" s="555">
        <f>IFERROR(Y85/H85,"0")+IFERROR(Y86/H86,"0")+IFERROR(Y87/H87,"0")+IFERROR(Y88/H88,"0")</f>
        <v>46</v>
      </c>
      <c r="Z89" s="555">
        <f>IFERROR(IF(Z85="",0,Z85),"0")+IFERROR(IF(Z86="",0,Z86),"0")+IFERROR(IF(Z87="",0,Z87),"0")+IFERROR(IF(Z88="",0,Z88),"0")</f>
        <v>0.87307999999999997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490</v>
      </c>
      <c r="Y90" s="555">
        <f>IFERROR(SUM(Y85:Y88),"0")</f>
        <v>496.8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500</v>
      </c>
      <c r="Y100" s="55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46.296296296296291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0.89205999999999996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500</v>
      </c>
      <c r="Y106" s="555">
        <f>IFERROR(SUM(Y100:Y104),"0")</f>
        <v>507.6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100</v>
      </c>
      <c r="Y169" s="554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105.95238095238095</v>
      </c>
      <c r="BN169" s="64">
        <f t="shared" si="12"/>
        <v>106.80000000000001</v>
      </c>
      <c r="BO169" s="64">
        <f t="shared" si="13"/>
        <v>0.18037518037518038</v>
      </c>
      <c r="BP169" s="64">
        <f t="shared" si="14"/>
        <v>0.18181818181818182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23.80952380952381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24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0.21648000000000001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100</v>
      </c>
      <c r="Y182" s="555">
        <f>IFERROR(SUM(Y167:Y180),"0")</f>
        <v>100.80000000000001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300</v>
      </c>
      <c r="Y205" s="554">
        <f t="shared" ref="Y205:Y212" si="15">IFERROR(IF(X205="",0,CEILING((X205/$H205),1)*$H205),"")</f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310.55555555555554</v>
      </c>
      <c r="BN205" s="64">
        <f t="shared" ref="BN205:BN212" si="17">IFERROR(Y205*I205/H205,"0")</f>
        <v>313.04000000000002</v>
      </c>
      <c r="BO205" s="64">
        <f t="shared" ref="BO205:BO212" si="18">IFERROR(1/J205*(X205/H205),"0")</f>
        <v>0.42087542087542085</v>
      </c>
      <c r="BP205" s="64">
        <f t="shared" ref="BP205:BP212" si="19">IFERROR(1/J205*(Y205/H205),"0")</f>
        <v>0.42424242424242425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200</v>
      </c>
      <c r="Y206" s="554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200</v>
      </c>
      <c r="Y208" s="554">
        <f t="shared" si="15"/>
        <v>205.20000000000002</v>
      </c>
      <c r="Z208" s="36">
        <f>IFERROR(IF(Y208=0,"",ROUNDUP(Y208/H208,0)*0.00902),"")</f>
        <v>0.34276000000000001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207.03703703703701</v>
      </c>
      <c r="BN208" s="64">
        <f t="shared" si="17"/>
        <v>212.42</v>
      </c>
      <c r="BO208" s="64">
        <f t="shared" si="18"/>
        <v>0.28058361391694725</v>
      </c>
      <c r="BP208" s="64">
        <f t="shared" si="19"/>
        <v>0.2878787878787879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129.62962962962962</v>
      </c>
      <c r="Y213" s="555">
        <f>IFERROR(Y205/H205,"0")+IFERROR(Y206/H206,"0")+IFERROR(Y207/H207,"0")+IFERROR(Y208/H208,"0")+IFERROR(Y209/H209,"0")+IFERROR(Y210/H210,"0")+IFERROR(Y211/H211,"0")+IFERROR(Y212/H212,"0")</f>
        <v>132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1.1906399999999999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700</v>
      </c>
      <c r="Y214" s="555">
        <f>IFERROR(SUM(Y205:Y212),"0")</f>
        <v>712.80000000000007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166.66666666666669</v>
      </c>
      <c r="Y225" s="555">
        <f>IFERROR(Y216/H216,"0")+IFERROR(Y217/H217,"0")+IFERROR(Y218/H218,"0")+IFERROR(Y219/H219,"0")+IFERROR(Y220/H220,"0")+IFERROR(Y221/H221,"0")+IFERROR(Y222/H222,"0")+IFERROR(Y223/H223,"0")+IFERROR(Y224/H224,"0")</f>
        <v>168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1.09368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400</v>
      </c>
      <c r="Y226" s="555">
        <f>IFERROR(SUM(Y216:Y224),"0")</f>
        <v>403.2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39</v>
      </c>
      <c r="Z325" s="555">
        <f>IFERROR(IF(Z322="",0,Z322),"0")+IFERROR(IF(Z323="",0,Z323),"0")+IFERROR(IF(Z324="",0,Z324),"0")</f>
        <v>0.74021999999999999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300</v>
      </c>
      <c r="Y326" s="555">
        <f>IFERROR(SUM(Y322:Y324),"0")</f>
        <v>304.2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700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160</v>
      </c>
      <c r="Y357" s="555">
        <f>IFERROR(Y350/H350,"0")+IFERROR(Y351/H351,"0")+IFERROR(Y352/H352,"0")+IFERROR(Y353/H353,"0")+IFERROR(Y354/H354,"0")+IFERROR(Y355/H355,"0")+IFERROR(Y356/H356,"0")</f>
        <v>161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3.5017499999999995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2400</v>
      </c>
      <c r="Y358" s="555">
        <f>IFERROR(SUM(Y350:Y356),"0")</f>
        <v>2415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600</v>
      </c>
      <c r="Y385" s="554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66.666666666666671</v>
      </c>
      <c r="Y388" s="555">
        <f>IFERROR(Y385/H385,"0")+IFERROR(Y386/H386,"0")+IFERROR(Y387/H387,"0")</f>
        <v>67</v>
      </c>
      <c r="Z388" s="555">
        <f>IFERROR(IF(Z385="",0,Z385),"0")+IFERROR(IF(Z386="",0,Z386),"0")+IFERROR(IF(Z387="",0,Z387),"0")</f>
        <v>1.27166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600</v>
      </c>
      <c r="Y389" s="555">
        <f>IFERROR(SUM(Y385:Y387),"0")</f>
        <v>603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300</v>
      </c>
      <c r="Y433" s="554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151.5151515151515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152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1.81792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800</v>
      </c>
      <c r="Y442" s="555">
        <f>IFERROR(SUM(Y429:Y440),"0")</f>
        <v>802.56000000000006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300</v>
      </c>
      <c r="Y444" s="554">
        <f>IFERROR(IF(X444="",0,CEILING((X444/$H444),1)*$H444),"")</f>
        <v>300.96000000000004</v>
      </c>
      <c r="Z444" s="36">
        <f>IFERROR(IF(Y444=0,"",ROUNDUP(Y444/H444,0)*0.01196),"")</f>
        <v>0.68171999999999999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319.88636363636363</v>
      </c>
      <c r="BN444" s="64">
        <f>IFERROR(Y444*I444/H444,"0")</f>
        <v>320.91000000000003</v>
      </c>
      <c r="BO444" s="64">
        <f>IFERROR(1/J444*(X444/H444),"0")</f>
        <v>0.54632867132867136</v>
      </c>
      <c r="BP444" s="64">
        <f>IFERROR(1/J444*(Y444/H444),"0")</f>
        <v>0.54807692307692313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56.818181818181813</v>
      </c>
      <c r="Y447" s="555">
        <f>IFERROR(Y444/H444,"0")+IFERROR(Y445/H445,"0")+IFERROR(Y446/H446,"0")</f>
        <v>57.000000000000007</v>
      </c>
      <c r="Z447" s="555">
        <f>IFERROR(IF(Z444="",0,Z444),"0")+IFERROR(IF(Z445="",0,Z445),"0")+IFERROR(IF(Z446="",0,Z446),"0")</f>
        <v>0.68171999999999999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300</v>
      </c>
      <c r="Y448" s="555">
        <f>IFERROR(SUM(Y444:Y446),"0")</f>
        <v>300.96000000000004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56.818181818181813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300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8790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8865.0799999999981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9188.835040885042</v>
      </c>
      <c r="Y496" s="555">
        <f>IFERROR(SUM(BN22:BN492),"0")</f>
        <v>9267.08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14</v>
      </c>
      <c r="Y497" s="38">
        <f>ROUNDUP(SUM(BP22:BP492),0)</f>
        <v>14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9538.835040885042</v>
      </c>
      <c r="Y498" s="555">
        <f>GrossWeightTotalR+PalletQtyTotalR*25</f>
        <v>9617.08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1128.7188737188737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1138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16.18075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405.20000000000005</v>
      </c>
      <c r="E505" s="46">
        <f>IFERROR(Y85*1,"0")+IFERROR(Y86*1,"0")+IFERROR(Y87*1,"0")+IFERROR(Y88*1,"0")+IFERROR(Y92*1,"0")+IFERROR(Y93*1,"0")+IFERROR(Y94*1,"0")+IFERROR(Y95*1,"0")</f>
        <v>496.8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507.6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100.80000000000001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1116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304.2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3225</v>
      </c>
      <c r="T505" s="46">
        <f>IFERROR(Y375*1,"0")+IFERROR(Y376*1,"0")+IFERROR(Y380*1,"0")+IFERROR(Y381*1,"0")+IFERROR(Y385*1,"0")+IFERROR(Y386*1,"0")+IFERROR(Y387*1,"0")</f>
        <v>603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1404.48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8,72"/>
        <filter val="100,00"/>
        <filter val="129,63"/>
        <filter val="14"/>
        <filter val="151,52"/>
        <filter val="160,00"/>
        <filter val="166,67"/>
        <filter val="2 400,00"/>
        <filter val="200,00"/>
        <filter val="23,81"/>
        <filter val="300,00"/>
        <filter val="38,46"/>
        <filter val="400,00"/>
        <filter val="45,37"/>
        <filter val="46,30"/>
        <filter val="490,00"/>
        <filter val="500,00"/>
        <filter val="53,33"/>
        <filter val="56,82"/>
        <filter val="600,00"/>
        <filter val="64,81"/>
        <filter val="66,67"/>
        <filter val="68,52"/>
        <filter val="700,00"/>
        <filter val="8 790,00"/>
        <filter val="800,00"/>
        <filter val="9 188,84"/>
        <filter val="9 538,84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