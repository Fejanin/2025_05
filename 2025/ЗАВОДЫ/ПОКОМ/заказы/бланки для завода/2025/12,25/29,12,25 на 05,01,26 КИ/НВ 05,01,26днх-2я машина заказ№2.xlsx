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ED4CB89-DC40-40DD-90DB-AADA6C63985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N73" i="1"/>
  <c r="BM73" i="1"/>
  <c r="Z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Z63" i="1"/>
  <c r="BN63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Z345" i="1"/>
  <c r="BP343" i="1"/>
  <c r="BN343" i="1"/>
  <c r="Z343" i="1"/>
  <c r="Y345" i="1"/>
  <c r="D505" i="1"/>
  <c r="H9" i="1"/>
  <c r="B505" i="1"/>
  <c r="X496" i="1"/>
  <c r="X498" i="1" s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7" i="1" l="1"/>
  <c r="Z419" i="1"/>
  <c r="Z382" i="1"/>
  <c r="Z332" i="1"/>
  <c r="Z259" i="1"/>
  <c r="Z367" i="1"/>
  <c r="Z89" i="1"/>
  <c r="Z81" i="1"/>
  <c r="Z58" i="1"/>
  <c r="Z357" i="1"/>
  <c r="Z243" i="1"/>
  <c r="Z456" i="1"/>
  <c r="Y497" i="1"/>
  <c r="Y496" i="1"/>
  <c r="Z119" i="1"/>
  <c r="Z213" i="1"/>
  <c r="Z312" i="1"/>
  <c r="Z303" i="1"/>
  <c r="Z283" i="1"/>
  <c r="Z225" i="1"/>
  <c r="Z181" i="1"/>
  <c r="Z112" i="1"/>
  <c r="Z105" i="1"/>
  <c r="Z402" i="1"/>
  <c r="Z441" i="1"/>
  <c r="Z469" i="1"/>
  <c r="Z325" i="1"/>
  <c r="Z154" i="1"/>
  <c r="Z44" i="1"/>
  <c r="Z32" i="1"/>
  <c r="Z500" i="1" s="1"/>
  <c r="Y499" i="1"/>
  <c r="Y495" i="1"/>
  <c r="Y498" i="1" l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<sst xmlns="http://schemas.openxmlformats.org/spreadsheetml/2006/main" count="2321" uniqueCount="782">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</sst>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46027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37</v>
      </c>
      <c r="Y52" s="554">
        <f t="shared" ref="Y52:Y57" si="0">IFERROR(IF(X52="",0,CEILING((X52/$H52),1)*$H52),"")</f>
        <v>44.8</v>
      </c>
      <c r="Z52" s="36">
        <f>IFERROR(IF(Y52=0,"",ROUNDUP(Y52/H52,0)*0.01898),"")</f>
        <v>7.5920000000000001E-2</v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38.354464285714286</v>
      </c>
      <c r="BN52" s="64">
        <f t="shared" ref="BN52:BN57" si="2">IFERROR(Y52*I52/H52,"0")</f>
        <v>46.44</v>
      </c>
      <c r="BO52" s="64">
        <f t="shared" ref="BO52:BO57" si="3">IFERROR(1/J52*(X52/H52),"0")</f>
        <v>5.1618303571428575E-2</v>
      </c>
      <c r="BP52" s="64">
        <f t="shared" ref="BP52:BP57" si="4">IFERROR(1/J52*(Y52/H52),"0")</f>
        <v>6.25E-2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29</v>
      </c>
      <c r="Y53" s="554">
        <f t="shared" si="0"/>
        <v>32.400000000000006</v>
      </c>
      <c r="Z53" s="36">
        <f>IFERROR(IF(Y53=0,"",ROUNDUP(Y53/H53,0)*0.01898),"")</f>
        <v>5.6940000000000004E-2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30.100925925925928</v>
      </c>
      <c r="BN53" s="64">
        <f t="shared" si="2"/>
        <v>33.630000000000003</v>
      </c>
      <c r="BO53" s="64">
        <f t="shared" si="3"/>
        <v>4.1956018518518517E-2</v>
      </c>
      <c r="BP53" s="64">
        <f t="shared" si="4"/>
        <v>4.6875000000000007E-2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69</v>
      </c>
      <c r="Y55" s="554">
        <f t="shared" si="0"/>
        <v>72</v>
      </c>
      <c r="Z55" s="36">
        <f>IFERROR(IF(Y55=0,"",ROUNDUP(Y55/H55,0)*0.00902),"")</f>
        <v>0.16236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72.277500000000003</v>
      </c>
      <c r="BN55" s="64">
        <f t="shared" si="2"/>
        <v>75.42</v>
      </c>
      <c r="BO55" s="64">
        <f t="shared" si="3"/>
        <v>0.13068181818181818</v>
      </c>
      <c r="BP55" s="64">
        <f t="shared" si="4"/>
        <v>0.13636363636363635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23.238756613756614</v>
      </c>
      <c r="Y58" s="555">
        <f>IFERROR(Y52/H52,"0")+IFERROR(Y53/H53,"0")+IFERROR(Y54/H54,"0")+IFERROR(Y55/H55,"0")+IFERROR(Y56/H56,"0")+IFERROR(Y57/H57,"0")</f>
        <v>25</v>
      </c>
      <c r="Z58" s="555">
        <f>IFERROR(IF(Z52="",0,Z52),"0")+IFERROR(IF(Z53="",0,Z53),"0")+IFERROR(IF(Z54="",0,Z54),"0")+IFERROR(IF(Z55="",0,Z55),"0")+IFERROR(IF(Z56="",0,Z56),"0")+IFERROR(IF(Z57="",0,Z57),"0")</f>
        <v>0.29522000000000004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135</v>
      </c>
      <c r="Y59" s="555">
        <f>IFERROR(SUM(Y52:Y57),"0")</f>
        <v>149.19999999999999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233</v>
      </c>
      <c r="Y85" s="554">
        <f>IFERROR(IF(X85="",0,CEILING((X85/$H85),1)*$H85),"")</f>
        <v>237.60000000000002</v>
      </c>
      <c r="Z85" s="36">
        <f>IFERROR(IF(Y85=0,"",ROUNDUP(Y85/H85,0)*0.01898),"")</f>
        <v>0.41755999999999999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241.84537037037038</v>
      </c>
      <c r="BN85" s="64">
        <f>IFERROR(Y85*I85/H85,"0")</f>
        <v>246.62000000000003</v>
      </c>
      <c r="BO85" s="64">
        <f>IFERROR(1/J85*(X85/H85),"0")</f>
        <v>0.33709490740740738</v>
      </c>
      <c r="BP85" s="64">
        <f>IFERROR(1/J85*(Y85/H85),"0")</f>
        <v>0.34375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131</v>
      </c>
      <c r="Y88" s="554">
        <f>IFERROR(IF(X88="",0,CEILING((X88/$H88),1)*$H88),"")</f>
        <v>135</v>
      </c>
      <c r="Z88" s="36">
        <f>IFERROR(IF(Y88=0,"",ROUNDUP(Y88/H88,0)*0.00902),"")</f>
        <v>0.27060000000000001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136.53111111111113</v>
      </c>
      <c r="BN88" s="64">
        <f>IFERROR(Y88*I88/H88,"0")</f>
        <v>140.70000000000002</v>
      </c>
      <c r="BO88" s="64">
        <f>IFERROR(1/J88*(X88/H88),"0")</f>
        <v>0.22053872053872053</v>
      </c>
      <c r="BP88" s="64">
        <f>IFERROR(1/J88*(Y88/H88),"0")</f>
        <v>0.22727272727272729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50.685185185185183</v>
      </c>
      <c r="Y89" s="555">
        <f>IFERROR(Y85/H85,"0")+IFERROR(Y86/H86,"0")+IFERROR(Y87/H87,"0")+IFERROR(Y88/H88,"0")</f>
        <v>52</v>
      </c>
      <c r="Z89" s="555">
        <f>IFERROR(IF(Z85="",0,Z85),"0")+IFERROR(IF(Z86="",0,Z86),"0")+IFERROR(IF(Z87="",0,Z87),"0")+IFERROR(IF(Z88="",0,Z88),"0")</f>
        <v>0.68815999999999999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364</v>
      </c>
      <c r="Y90" s="555">
        <f>IFERROR(SUM(Y85:Y88),"0")</f>
        <v>372.6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214</v>
      </c>
      <c r="Y92" s="554">
        <f>IFERROR(IF(X92="",0,CEILING((X92/$H92),1)*$H92),"")</f>
        <v>218.7</v>
      </c>
      <c r="Z92" s="36">
        <f>IFERROR(IF(Y92=0,"",ROUNDUP(Y92/H92,0)*0.01898),"")</f>
        <v>0.51246000000000003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227.05135802469135</v>
      </c>
      <c r="BN92" s="64">
        <f>IFERROR(Y92*I92/H92,"0")</f>
        <v>232.03799999999998</v>
      </c>
      <c r="BO92" s="64">
        <f>IFERROR(1/J92*(X92/H92),"0")</f>
        <v>0.41280864197530864</v>
      </c>
      <c r="BP92" s="64">
        <f>IFERROR(1/J92*(Y92/H92),"0")</f>
        <v>0.421875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192</v>
      </c>
      <c r="Y94" s="554">
        <f>IFERROR(IF(X94="",0,CEILING((X94/$H94),1)*$H94),"")</f>
        <v>194.4</v>
      </c>
      <c r="Z94" s="36">
        <f>IFERROR(IF(Y94=0,"",ROUNDUP(Y94/H94,0)*0.00651),"")</f>
        <v>0.46872000000000003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209.92</v>
      </c>
      <c r="BN94" s="64">
        <f>IFERROR(Y94*I94/H94,"0")</f>
        <v>212.54399999999998</v>
      </c>
      <c r="BO94" s="64">
        <f>IFERROR(1/J94*(X94/H94),"0")</f>
        <v>0.39072039072039066</v>
      </c>
      <c r="BP94" s="64">
        <f>IFERROR(1/J94*(Y94/H94),"0")</f>
        <v>0.39560439560439564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97.53086419753086</v>
      </c>
      <c r="Y96" s="555">
        <f>IFERROR(Y92/H92,"0")+IFERROR(Y93/H93,"0")+IFERROR(Y94/H94,"0")+IFERROR(Y95/H95,"0")</f>
        <v>99</v>
      </c>
      <c r="Z96" s="555">
        <f>IFERROR(IF(Z92="",0,Z92),"0")+IFERROR(IF(Z93="",0,Z93),"0")+IFERROR(IF(Z94="",0,Z94),"0")+IFERROR(IF(Z95="",0,Z95),"0")</f>
        <v>0.98118000000000005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406</v>
      </c>
      <c r="Y97" s="555">
        <f>IFERROR(SUM(Y92:Y95),"0")</f>
        <v>413.1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236</v>
      </c>
      <c r="Y100" s="554">
        <f>IFERROR(IF(X100="",0,CEILING((X100/$H100),1)*$H100),"")</f>
        <v>237.60000000000002</v>
      </c>
      <c r="Z100" s="36">
        <f>IFERROR(IF(Y100=0,"",ROUNDUP(Y100/H100,0)*0.01898),"")</f>
        <v>0.41755999999999999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244.95925925925928</v>
      </c>
      <c r="BN100" s="64">
        <f>IFERROR(Y100*I100/H100,"0")</f>
        <v>246.62000000000003</v>
      </c>
      <c r="BO100" s="64">
        <f>IFERROR(1/J100*(X100/H100),"0")</f>
        <v>0.34143518518518517</v>
      </c>
      <c r="BP100" s="64">
        <f>IFERROR(1/J100*(Y100/H100),"0")</f>
        <v>0.34375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51</v>
      </c>
      <c r="Y103" s="554">
        <f>IFERROR(IF(X103="",0,CEILING((X103/$H103),1)*$H103),"")</f>
        <v>54</v>
      </c>
      <c r="Z103" s="36">
        <f>IFERROR(IF(Y103=0,"",ROUNDUP(Y103/H103,0)*0.00902),"")</f>
        <v>0.10824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53.153333333333336</v>
      </c>
      <c r="BN103" s="64">
        <f>IFERROR(Y103*I103/H103,"0")</f>
        <v>56.28</v>
      </c>
      <c r="BO103" s="64">
        <f>IFERROR(1/J103*(X103/H103),"0")</f>
        <v>8.585858585858587E-2</v>
      </c>
      <c r="BP103" s="64">
        <f>IFERROR(1/J103*(Y103/H103),"0")</f>
        <v>9.0909090909090912E-2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33.185185185185183</v>
      </c>
      <c r="Y105" s="555">
        <f>IFERROR(Y100/H100,"0")+IFERROR(Y101/H101,"0")+IFERROR(Y102/H102,"0")+IFERROR(Y103/H103,"0")+IFERROR(Y104/H104,"0")</f>
        <v>34</v>
      </c>
      <c r="Z105" s="555">
        <f>IFERROR(IF(Z100="",0,Z100),"0")+IFERROR(IF(Z101="",0,Z101),"0")+IFERROR(IF(Z102="",0,Z102),"0")+IFERROR(IF(Z103="",0,Z103),"0")+IFERROR(IF(Z104="",0,Z104),"0")</f>
        <v>0.52580000000000005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287</v>
      </c>
      <c r="Y106" s="555">
        <f>IFERROR(SUM(Y100:Y104),"0")</f>
        <v>291.60000000000002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28</v>
      </c>
      <c r="Y108" s="554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29.06296296296296</v>
      </c>
      <c r="BN108" s="64">
        <f>IFERROR(Y108*I108/H108,"0")</f>
        <v>33.630000000000003</v>
      </c>
      <c r="BO108" s="64">
        <f>IFERROR(1/J108*(X108/H108),"0")</f>
        <v>4.0509259259259259E-2</v>
      </c>
      <c r="BP108" s="64">
        <f>IFERROR(1/J108*(Y108/H108),"0")</f>
        <v>4.6875000000000007E-2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18</v>
      </c>
      <c r="Y111" s="554">
        <f>IFERROR(IF(X111="",0,CEILING((X111/$H111),1)*$H111),"")</f>
        <v>19.2</v>
      </c>
      <c r="Z111" s="36">
        <f>IFERROR(IF(Y111=0,"",ROUNDUP(Y111/H111,0)*0.00651),"")</f>
        <v>5.2080000000000001E-2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19.350000000000001</v>
      </c>
      <c r="BN111" s="64">
        <f>IFERROR(Y111*I111/H111,"0")</f>
        <v>20.64</v>
      </c>
      <c r="BO111" s="64">
        <f>IFERROR(1/J111*(X111/H111),"0")</f>
        <v>4.1208791208791215E-2</v>
      </c>
      <c r="BP111" s="64">
        <f>IFERROR(1/J111*(Y111/H111),"0")</f>
        <v>4.3956043956043959E-2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10.092592592592592</v>
      </c>
      <c r="Y112" s="555">
        <f>IFERROR(Y108/H108,"0")+IFERROR(Y109/H109,"0")+IFERROR(Y110/H110,"0")+IFERROR(Y111/H111,"0")</f>
        <v>11</v>
      </c>
      <c r="Z112" s="555">
        <f>IFERROR(IF(Z108="",0,Z108),"0")+IFERROR(IF(Z109="",0,Z109),"0")+IFERROR(IF(Z110="",0,Z110),"0")+IFERROR(IF(Z111="",0,Z111),"0")</f>
        <v>0.10902000000000001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46</v>
      </c>
      <c r="Y113" s="555">
        <f>IFERROR(SUM(Y108:Y111),"0")</f>
        <v>51.600000000000009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287</v>
      </c>
      <c r="Y115" s="554">
        <f>IFERROR(IF(X115="",0,CEILING((X115/$H115),1)*$H115),"")</f>
        <v>291.59999999999997</v>
      </c>
      <c r="Z115" s="36">
        <f>IFERROR(IF(Y115=0,"",ROUNDUP(Y115/H115,0)*0.01898),"")</f>
        <v>0.68328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304.29086419753088</v>
      </c>
      <c r="BN115" s="64">
        <f>IFERROR(Y115*I115/H115,"0")</f>
        <v>309.16799999999995</v>
      </c>
      <c r="BO115" s="64">
        <f>IFERROR(1/J115*(X115/H115),"0")</f>
        <v>0.55362654320987659</v>
      </c>
      <c r="BP115" s="64">
        <f>IFERROR(1/J115*(Y115/H115),"0")</f>
        <v>0.5625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183</v>
      </c>
      <c r="Y117" s="554">
        <f>IFERROR(IF(X117="",0,CEILING((X117/$H117),1)*$H117),"")</f>
        <v>183.60000000000002</v>
      </c>
      <c r="Z117" s="36">
        <f>IFERROR(IF(Y117=0,"",ROUNDUP(Y117/H117,0)*0.00651),"")</f>
        <v>0.44268000000000002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200.07999999999998</v>
      </c>
      <c r="BN117" s="64">
        <f>IFERROR(Y117*I117/H117,"0")</f>
        <v>200.73599999999999</v>
      </c>
      <c r="BO117" s="64">
        <f>IFERROR(1/J117*(X117/H117),"0")</f>
        <v>0.37240537240537241</v>
      </c>
      <c r="BP117" s="64">
        <f>IFERROR(1/J117*(Y117/H117),"0")</f>
        <v>0.37362637362637363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103.20987654320987</v>
      </c>
      <c r="Y119" s="555">
        <f>IFERROR(Y115/H115,"0")+IFERROR(Y116/H116,"0")+IFERROR(Y117/H117,"0")+IFERROR(Y118/H118,"0")</f>
        <v>104</v>
      </c>
      <c r="Z119" s="555">
        <f>IFERROR(IF(Z115="",0,Z115),"0")+IFERROR(IF(Z116="",0,Z116),"0")+IFERROR(IF(Z117="",0,Z117),"0")+IFERROR(IF(Z118="",0,Z118),"0")</f>
        <v>1.1259600000000001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470</v>
      </c>
      <c r="Y120" s="555">
        <f>IFERROR(SUM(Y115:Y118),"0")</f>
        <v>475.2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47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49.797619047619044</v>
      </c>
      <c r="BN169" s="64">
        <f t="shared" si="12"/>
        <v>53.400000000000006</v>
      </c>
      <c r="BO169" s="64">
        <f t="shared" si="13"/>
        <v>8.4776334776334769E-2</v>
      </c>
      <c r="BP169" s="64">
        <f t="shared" si="14"/>
        <v>9.0909090909090912E-2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40</v>
      </c>
      <c r="Y171" s="554">
        <f t="shared" si="10"/>
        <v>42</v>
      </c>
      <c r="Z171" s="36">
        <f>IFERROR(IF(Y171=0,"",ROUNDUP(Y171/H171,0)*0.00902),"")</f>
        <v>9.0200000000000002E-2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41.809523809523803</v>
      </c>
      <c r="BN171" s="64">
        <f t="shared" si="12"/>
        <v>43.9</v>
      </c>
      <c r="BO171" s="64">
        <f t="shared" si="13"/>
        <v>7.2150072150072145E-2</v>
      </c>
      <c r="BP171" s="64">
        <f t="shared" si="14"/>
        <v>7.575757575757576E-2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53</v>
      </c>
      <c r="Y173" s="554">
        <f t="shared" si="10"/>
        <v>54.6</v>
      </c>
      <c r="Z173" s="36">
        <f>IFERROR(IF(Y173=0,"",ROUNDUP(Y173/H173,0)*0.00502),"")</f>
        <v>0.13052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56.280952380952378</v>
      </c>
      <c r="BN173" s="64">
        <f t="shared" si="12"/>
        <v>57.98</v>
      </c>
      <c r="BO173" s="64">
        <f t="shared" si="13"/>
        <v>0.10785510785510787</v>
      </c>
      <c r="BP173" s="64">
        <f t="shared" si="14"/>
        <v>0.11111111111111112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9</v>
      </c>
      <c r="Y176" s="554">
        <f t="shared" si="10"/>
        <v>9</v>
      </c>
      <c r="Z176" s="36">
        <f>IFERROR(IF(Y176=0,"",ROUNDUP(Y176/H176,0)*0.00502),"")</f>
        <v>2.5100000000000001E-2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9.65</v>
      </c>
      <c r="BN176" s="64">
        <f t="shared" si="12"/>
        <v>9.65</v>
      </c>
      <c r="BO176" s="64">
        <f t="shared" si="13"/>
        <v>2.1367521367521368E-2</v>
      </c>
      <c r="BP176" s="64">
        <f t="shared" si="14"/>
        <v>2.1367521367521368E-2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195</v>
      </c>
      <c r="Y178" s="554">
        <f t="shared" si="10"/>
        <v>195.3</v>
      </c>
      <c r="Z178" s="36">
        <f>IFERROR(IF(Y178=0,"",ROUNDUP(Y178/H178,0)*0.00502),"")</f>
        <v>0.46686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204.28571428571431</v>
      </c>
      <c r="BN178" s="64">
        <f t="shared" si="12"/>
        <v>204.60000000000002</v>
      </c>
      <c r="BO178" s="64">
        <f t="shared" si="13"/>
        <v>0.3968253968253968</v>
      </c>
      <c r="BP178" s="64">
        <f t="shared" si="14"/>
        <v>0.39743589743589747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143.8095238095238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146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0.82092000000000009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344</v>
      </c>
      <c r="Y182" s="555">
        <f>IFERROR(SUM(Y167:Y180),"0")</f>
        <v>351.3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5</v>
      </c>
      <c r="Y185" s="554">
        <f>IFERROR(IF(X185="",0,CEILING((X185/$H185),1)*$H185),"")</f>
        <v>5.04</v>
      </c>
      <c r="Z185" s="36">
        <f>IFERROR(IF(Y185=0,"",ROUNDUP(Y185/H185,0)*0.0059),"")</f>
        <v>2.3599999999999999E-2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5.753968253968254</v>
      </c>
      <c r="BN185" s="64">
        <f>IFERROR(Y185*I185/H185,"0")</f>
        <v>5.8</v>
      </c>
      <c r="BO185" s="64">
        <f>IFERROR(1/J185*(X185/H185),"0")</f>
        <v>1.8371546149323927E-2</v>
      </c>
      <c r="BP185" s="64">
        <f>IFERROR(1/J185*(Y185/H185),"0")</f>
        <v>1.8518518518518517E-2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5</v>
      </c>
      <c r="Y186" s="554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5.753968253968254</v>
      </c>
      <c r="BN186" s="64">
        <f>IFERROR(Y186*I186/H186,"0")</f>
        <v>5.8</v>
      </c>
      <c r="BO186" s="64">
        <f>IFERROR(1/J186*(X186/H186),"0")</f>
        <v>1.8371546149323927E-2</v>
      </c>
      <c r="BP186" s="64">
        <f>IFERROR(1/J186*(Y186/H186),"0")</f>
        <v>1.8518518518518517E-2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7.9365079365079367</v>
      </c>
      <c r="Y187" s="555">
        <f>IFERROR(Y184/H184,"0")+IFERROR(Y185/H185,"0")+IFERROR(Y186/H186,"0")</f>
        <v>8</v>
      </c>
      <c r="Z187" s="555">
        <f>IFERROR(IF(Z184="",0,Z184),"0")+IFERROR(IF(Z185="",0,Z185),"0")+IFERROR(IF(Z186="",0,Z186),"0")</f>
        <v>4.7199999999999999E-2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10</v>
      </c>
      <c r="Y188" s="555">
        <f>IFERROR(SUM(Y184:Y186),"0")</f>
        <v>10.08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374</v>
      </c>
      <c r="Y205" s="554">
        <f t="shared" ref="Y205:Y212" si="15">IFERROR(IF(X205="",0,CEILING((X205/$H205),1)*$H205),"")</f>
        <v>378</v>
      </c>
      <c r="Z205" s="36">
        <f>IFERROR(IF(Y205=0,"",ROUNDUP(Y205/H205,0)*0.00902),"")</f>
        <v>0.63139999999999996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387.15925925925922</v>
      </c>
      <c r="BN205" s="64">
        <f t="shared" ref="BN205:BN212" si="17">IFERROR(Y205*I205/H205,"0")</f>
        <v>391.29999999999995</v>
      </c>
      <c r="BO205" s="64">
        <f t="shared" ref="BO205:BO212" si="18">IFERROR(1/J205*(X205/H205),"0")</f>
        <v>0.52469135802469136</v>
      </c>
      <c r="BP205" s="64">
        <f t="shared" ref="BP205:BP212" si="19">IFERROR(1/J205*(Y205/H205),"0")</f>
        <v>0.53030303030303028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44</v>
      </c>
      <c r="Y208" s="554">
        <f t="shared" si="15"/>
        <v>48.6</v>
      </c>
      <c r="Z208" s="36">
        <f>IFERROR(IF(Y208=0,"",ROUNDUP(Y208/H208,0)*0.00902),"")</f>
        <v>8.1180000000000002E-2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45.548148148148144</v>
      </c>
      <c r="BN208" s="64">
        <f t="shared" si="17"/>
        <v>50.309999999999995</v>
      </c>
      <c r="BO208" s="64">
        <f t="shared" si="18"/>
        <v>6.1728395061728392E-2</v>
      </c>
      <c r="BP208" s="64">
        <f t="shared" si="19"/>
        <v>6.8181818181818177E-2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51</v>
      </c>
      <c r="Y209" s="554">
        <f t="shared" si="15"/>
        <v>52.2</v>
      </c>
      <c r="Z209" s="36">
        <f>IFERROR(IF(Y209=0,"",ROUNDUP(Y209/H209,0)*0.00502),"")</f>
        <v>0.14558000000000001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54.68333333333333</v>
      </c>
      <c r="BN209" s="64">
        <f t="shared" si="17"/>
        <v>55.970000000000006</v>
      </c>
      <c r="BO209" s="64">
        <f t="shared" si="18"/>
        <v>0.12108262108262109</v>
      </c>
      <c r="BP209" s="64">
        <f t="shared" si="19"/>
        <v>0.12393162393162395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28</v>
      </c>
      <c r="Y210" s="554">
        <f t="shared" si="15"/>
        <v>28.8</v>
      </c>
      <c r="Z210" s="36">
        <f>IFERROR(IF(Y210=0,"",ROUNDUP(Y210/H210,0)*0.00502),"")</f>
        <v>8.0320000000000003E-2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29.555555555555554</v>
      </c>
      <c r="BN210" s="64">
        <f t="shared" si="17"/>
        <v>30.4</v>
      </c>
      <c r="BO210" s="64">
        <f t="shared" si="18"/>
        <v>6.6476733143399816E-2</v>
      </c>
      <c r="BP210" s="64">
        <f t="shared" si="19"/>
        <v>6.8376068376068383E-2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14</v>
      </c>
      <c r="Y212" s="554">
        <f t="shared" si="15"/>
        <v>14.4</v>
      </c>
      <c r="Z212" s="36">
        <f>IFERROR(IF(Y212=0,"",ROUNDUP(Y212/H212,0)*0.00502),"")</f>
        <v>4.0160000000000001E-2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14.777777777777777</v>
      </c>
      <c r="BN212" s="64">
        <f t="shared" si="17"/>
        <v>15.2</v>
      </c>
      <c r="BO212" s="64">
        <f t="shared" si="18"/>
        <v>3.3238366571699908E-2</v>
      </c>
      <c r="BP212" s="64">
        <f t="shared" si="19"/>
        <v>3.4188034188034191E-2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129.07407407407408</v>
      </c>
      <c r="Y213" s="555">
        <f>IFERROR(Y205/H205,"0")+IFERROR(Y206/H206,"0")+IFERROR(Y207/H207,"0")+IFERROR(Y208/H208,"0")+IFERROR(Y209/H209,"0")+IFERROR(Y210/H210,"0")+IFERROR(Y211/H211,"0")+IFERROR(Y212/H212,"0")</f>
        <v>132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0.97863999999999995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511</v>
      </c>
      <c r="Y214" s="555">
        <f>IFERROR(SUM(Y205:Y212),"0")</f>
        <v>522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29</v>
      </c>
      <c r="Y217" s="554">
        <f t="shared" si="20"/>
        <v>32.4</v>
      </c>
      <c r="Z217" s="36">
        <f>IFERROR(IF(Y217=0,"",ROUNDUP(Y217/H217,0)*0.01898),"")</f>
        <v>7.5920000000000001E-2</v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30.704197530864199</v>
      </c>
      <c r="BN217" s="64">
        <f t="shared" si="22"/>
        <v>34.304000000000002</v>
      </c>
      <c r="BO217" s="64">
        <f t="shared" si="23"/>
        <v>5.5941358024691364E-2</v>
      </c>
      <c r="BP217" s="64">
        <f t="shared" si="24"/>
        <v>6.25E-2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99</v>
      </c>
      <c r="Y218" s="554">
        <f t="shared" si="20"/>
        <v>104.39999999999999</v>
      </c>
      <c r="Z218" s="36">
        <f>IFERROR(IF(Y218=0,"",ROUNDUP(Y218/H218,0)*0.01898),"")</f>
        <v>0.22776000000000002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104.62137931034485</v>
      </c>
      <c r="BN218" s="64">
        <f t="shared" si="22"/>
        <v>110.32800000000002</v>
      </c>
      <c r="BO218" s="64">
        <f t="shared" si="23"/>
        <v>0.17780172413793105</v>
      </c>
      <c r="BP218" s="64">
        <f t="shared" si="24"/>
        <v>0.1875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153</v>
      </c>
      <c r="Y219" s="554">
        <f t="shared" si="20"/>
        <v>153.6</v>
      </c>
      <c r="Z219" s="36">
        <f t="shared" ref="Z219:Z224" si="25">IFERROR(IF(Y219=0,"",ROUNDUP(Y219/H219,0)*0.00651),"")</f>
        <v>0.41664000000000001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170.21250000000001</v>
      </c>
      <c r="BN219" s="64">
        <f t="shared" si="22"/>
        <v>170.88</v>
      </c>
      <c r="BO219" s="64">
        <f t="shared" si="23"/>
        <v>0.35027472527472531</v>
      </c>
      <c r="BP219" s="64">
        <f t="shared" si="24"/>
        <v>0.35164835164835168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224</v>
      </c>
      <c r="Y221" s="554">
        <f t="shared" si="20"/>
        <v>225.6</v>
      </c>
      <c r="Z221" s="36">
        <f t="shared" si="25"/>
        <v>0.61194000000000004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247.52</v>
      </c>
      <c r="BN221" s="64">
        <f t="shared" si="22"/>
        <v>249.28800000000001</v>
      </c>
      <c r="BO221" s="64">
        <f t="shared" si="23"/>
        <v>0.51282051282051289</v>
      </c>
      <c r="BP221" s="64">
        <f t="shared" si="24"/>
        <v>0.51648351648351654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297</v>
      </c>
      <c r="Y222" s="554">
        <f t="shared" si="20"/>
        <v>297.59999999999997</v>
      </c>
      <c r="Z222" s="36">
        <f t="shared" si="25"/>
        <v>0.80724000000000007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328.185</v>
      </c>
      <c r="BN222" s="64">
        <f t="shared" si="22"/>
        <v>328.84800000000001</v>
      </c>
      <c r="BO222" s="64">
        <f t="shared" si="23"/>
        <v>0.67994505494505497</v>
      </c>
      <c r="BP222" s="64">
        <f t="shared" si="24"/>
        <v>0.68131868131868134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33</v>
      </c>
      <c r="Y223" s="554">
        <f t="shared" si="20"/>
        <v>33.6</v>
      </c>
      <c r="Z223" s="36">
        <f t="shared" si="25"/>
        <v>9.1139999999999999E-2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36.465000000000003</v>
      </c>
      <c r="BN223" s="64">
        <f t="shared" si="22"/>
        <v>37.128000000000007</v>
      </c>
      <c r="BO223" s="64">
        <f t="shared" si="23"/>
        <v>7.5549450549450559E-2</v>
      </c>
      <c r="BP223" s="64">
        <f t="shared" si="24"/>
        <v>7.6923076923076941E-2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133</v>
      </c>
      <c r="Y224" s="554">
        <f t="shared" si="20"/>
        <v>134.4</v>
      </c>
      <c r="Z224" s="36">
        <f t="shared" si="25"/>
        <v>0.36456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147.29750000000001</v>
      </c>
      <c r="BN224" s="64">
        <f t="shared" si="22"/>
        <v>148.84800000000001</v>
      </c>
      <c r="BO224" s="64">
        <f t="shared" si="23"/>
        <v>0.30448717948717952</v>
      </c>
      <c r="BP224" s="64">
        <f t="shared" si="24"/>
        <v>0.30769230769230776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364.95955725840787</v>
      </c>
      <c r="Y225" s="555">
        <f>IFERROR(Y216/H216,"0")+IFERROR(Y217/H217,"0")+IFERROR(Y218/H218,"0")+IFERROR(Y219/H219,"0")+IFERROR(Y220/H220,"0")+IFERROR(Y221/H221,"0")+IFERROR(Y222/H222,"0")+IFERROR(Y223/H223,"0")+IFERROR(Y224/H224,"0")</f>
        <v>368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2.5952000000000002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968</v>
      </c>
      <c r="Y226" s="555">
        <f>IFERROR(SUM(Y216:Y224),"0")</f>
        <v>981.59999999999991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9</v>
      </c>
      <c r="Y229" s="554">
        <f>IFERROR(IF(X229="",0,CEILING((X229/$H229),1)*$H229),"")</f>
        <v>9.6</v>
      </c>
      <c r="Z229" s="36">
        <f>IFERROR(IF(Y229=0,"",ROUNDUP(Y229/H229,0)*0.00651),"")</f>
        <v>2.6040000000000001E-2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9.9450000000000021</v>
      </c>
      <c r="BN229" s="64">
        <f>IFERROR(Y229*I229/H229,"0")</f>
        <v>10.608000000000001</v>
      </c>
      <c r="BO229" s="64">
        <f>IFERROR(1/J229*(X229/H229),"0")</f>
        <v>2.0604395604395608E-2</v>
      </c>
      <c r="BP229" s="64">
        <f>IFERROR(1/J229*(Y229/H229),"0")</f>
        <v>2.197802197802198E-2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3.75</v>
      </c>
      <c r="Y230" s="555">
        <f>IFERROR(Y228/H228,"0")+IFERROR(Y229/H229,"0")</f>
        <v>4</v>
      </c>
      <c r="Z230" s="555">
        <f>IFERROR(IF(Z228="",0,Z228),"0")+IFERROR(IF(Z229="",0,Z229),"0")</f>
        <v>2.6040000000000001E-2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9</v>
      </c>
      <c r="Y231" s="555">
        <f>IFERROR(SUM(Y228:Y229),"0")</f>
        <v>9.6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3</v>
      </c>
      <c r="Y256" s="554">
        <f>IFERROR(IF(X256="",0,CEILING((X256/$H256),1)*$H256),"")</f>
        <v>3.6</v>
      </c>
      <c r="Z256" s="36">
        <f>IFERROR(IF(Y256=0,"",ROUNDUP(Y256/H256,0)*0.0059),"")</f>
        <v>2.3599999999999999E-2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3.6333333333333337</v>
      </c>
      <c r="BN256" s="64">
        <f>IFERROR(Y256*I256/H256,"0")</f>
        <v>4.3600000000000003</v>
      </c>
      <c r="BO256" s="64">
        <f>IFERROR(1/J256*(X256/H256),"0")</f>
        <v>1.5432098765432096E-2</v>
      </c>
      <c r="BP256" s="64">
        <f>IFERROR(1/J256*(Y256/H256),"0")</f>
        <v>1.8518518518518517E-2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4</v>
      </c>
      <c r="Y257" s="554">
        <f>IFERROR(IF(X257="",0,CEILING((X257/$H257),1)*$H257),"")</f>
        <v>4.95</v>
      </c>
      <c r="Z257" s="36">
        <f>IFERROR(IF(Y257=0,"",ROUNDUP(Y257/H257,0)*0.0059),"")</f>
        <v>2.9499999999999998E-2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4.7676767676767673</v>
      </c>
      <c r="BN257" s="64">
        <f>IFERROR(Y257*I257/H257,"0")</f>
        <v>5.9</v>
      </c>
      <c r="BO257" s="64">
        <f>IFERROR(1/J257*(X257/H257),"0")</f>
        <v>1.8705574261129818E-2</v>
      </c>
      <c r="BP257" s="64">
        <f>IFERROR(1/J257*(Y257/H257),"0")</f>
        <v>2.3148148148148147E-2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7.3737373737373737</v>
      </c>
      <c r="Y259" s="555">
        <f>IFERROR(Y254/H254,"0")+IFERROR(Y255/H255,"0")+IFERROR(Y256/H256,"0")+IFERROR(Y257/H257,"0")+IFERROR(Y258/H258,"0")</f>
        <v>9</v>
      </c>
      <c r="Z259" s="555">
        <f>IFERROR(IF(Z254="",0,Z254),"0")+IFERROR(IF(Z255="",0,Z255),"0")+IFERROR(IF(Z256="",0,Z256),"0")+IFERROR(IF(Z257="",0,Z257),"0")+IFERROR(IF(Z258="",0,Z258),"0")</f>
        <v>5.3099999999999994E-2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7</v>
      </c>
      <c r="Y260" s="555">
        <f>IFERROR(SUM(Y254:Y258),"0")</f>
        <v>8.5500000000000007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39</v>
      </c>
      <c r="Y281" s="554">
        <f>IFERROR(IF(X281="",0,CEILING((X281/$H281),1)*$H281),"")</f>
        <v>40.799999999999997</v>
      </c>
      <c r="Z281" s="36">
        <f>IFERROR(IF(Y281=0,"",ROUNDUP(Y281/H281,0)*0.00651),"")</f>
        <v>0.11067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43.095000000000006</v>
      </c>
      <c r="BN281" s="64">
        <f>IFERROR(Y281*I281/H281,"0")</f>
        <v>45.084000000000003</v>
      </c>
      <c r="BO281" s="64">
        <f>IFERROR(1/J281*(X281/H281),"0")</f>
        <v>8.9285714285714288E-2</v>
      </c>
      <c r="BP281" s="64">
        <f>IFERROR(1/J281*(Y281/H281),"0")</f>
        <v>9.3406593406593408E-2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67</v>
      </c>
      <c r="Y282" s="554">
        <f>IFERROR(IF(X282="",0,CEILING((X282/$H282),1)*$H282),"")</f>
        <v>67.2</v>
      </c>
      <c r="Z282" s="36">
        <f>IFERROR(IF(Y282=0,"",ROUNDUP(Y282/H282,0)*0.00651),"")</f>
        <v>0.18228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72.025000000000006</v>
      </c>
      <c r="BN282" s="64">
        <f>IFERROR(Y282*I282/H282,"0")</f>
        <v>72.240000000000009</v>
      </c>
      <c r="BO282" s="64">
        <f>IFERROR(1/J282*(X282/H282),"0")</f>
        <v>0.1533882783882784</v>
      </c>
      <c r="BP282" s="64">
        <f>IFERROR(1/J282*(Y282/H282),"0")</f>
        <v>0.15384615384615388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44.166666666666671</v>
      </c>
      <c r="Y283" s="555">
        <f>IFERROR(Y280/H280,"0")+IFERROR(Y281/H281,"0")+IFERROR(Y282/H282,"0")</f>
        <v>45</v>
      </c>
      <c r="Z283" s="555">
        <f>IFERROR(IF(Z280="",0,Z280),"0")+IFERROR(IF(Z281="",0,Z281),"0")+IFERROR(IF(Z282="",0,Z282),"0")</f>
        <v>0.29294999999999999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106</v>
      </c>
      <c r="Y284" s="555">
        <f>IFERROR(SUM(Y280:Y282),"0")</f>
        <v>108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116</v>
      </c>
      <c r="Y323" s="554">
        <f>IFERROR(IF(X323="",0,CEILING((X323/$H323),1)*$H323),"")</f>
        <v>117</v>
      </c>
      <c r="Z323" s="36">
        <f>IFERROR(IF(Y323=0,"",ROUNDUP(Y323/H323,0)*0.01898),"")</f>
        <v>0.28470000000000001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123.34666666666668</v>
      </c>
      <c r="BN323" s="64">
        <f>IFERROR(Y323*I323/H323,"0")</f>
        <v>124.41000000000001</v>
      </c>
      <c r="BO323" s="64">
        <f>IFERROR(1/J323*(X323/H323),"0")</f>
        <v>0.23237179487179488</v>
      </c>
      <c r="BP323" s="64">
        <f>IFERROR(1/J323*(Y323/H323),"0")</f>
        <v>0.234375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14.871794871794872</v>
      </c>
      <c r="Y325" s="555">
        <f>IFERROR(Y322/H322,"0")+IFERROR(Y323/H323,"0")+IFERROR(Y324/H324,"0")</f>
        <v>15</v>
      </c>
      <c r="Z325" s="555">
        <f>IFERROR(IF(Z322="",0,Z322),"0")+IFERROR(IF(Z323="",0,Z323),"0")+IFERROR(IF(Z324="",0,Z324),"0")</f>
        <v>0.28470000000000001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116</v>
      </c>
      <c r="Y326" s="555">
        <f>IFERROR(SUM(Y322:Y324),"0")</f>
        <v>117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39</v>
      </c>
      <c r="Y331" s="554">
        <f>IFERROR(IF(X331="",0,CEILING((X331/$H331),1)*$H331),"")</f>
        <v>40.799999999999997</v>
      </c>
      <c r="Z331" s="36">
        <f>IFERROR(IF(Y331=0,"",ROUNDUP(Y331/H331,0)*0.00651),"")</f>
        <v>0.10416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44.047058823529412</v>
      </c>
      <c r="BN331" s="64">
        <f>IFERROR(Y331*I331/H331,"0")</f>
        <v>46.08</v>
      </c>
      <c r="BO331" s="64">
        <f>IFERROR(1/J331*(X331/H331),"0")</f>
        <v>8.4033613445378158E-2</v>
      </c>
      <c r="BP331" s="64">
        <f>IFERROR(1/J331*(Y331/H331),"0")</f>
        <v>8.7912087912087919E-2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15.294117647058824</v>
      </c>
      <c r="Y332" s="555">
        <f>IFERROR(Y328/H328,"0")+IFERROR(Y329/H329,"0")+IFERROR(Y330/H330,"0")+IFERROR(Y331/H331,"0")</f>
        <v>16</v>
      </c>
      <c r="Z332" s="555">
        <f>IFERROR(IF(Z328="",0,Z328),"0")+IFERROR(IF(Z329="",0,Z329),"0")+IFERROR(IF(Z330="",0,Z330),"0")+IFERROR(IF(Z331="",0,Z331),"0")</f>
        <v>0.10416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39</v>
      </c>
      <c r="Y333" s="555">
        <f>IFERROR(SUM(Y328:Y331),"0")</f>
        <v>40.799999999999997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8</v>
      </c>
      <c r="Y337" s="554">
        <f>IFERROR(IF(X337="",0,CEILING((X337/$H337),1)*$H337),"")</f>
        <v>8</v>
      </c>
      <c r="Z337" s="36">
        <f>IFERROR(IF(Y337=0,"",ROUNDUP(Y337/H337,0)*0.00474),"")</f>
        <v>1.8960000000000001E-2</v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8.9600000000000009</v>
      </c>
      <c r="BN337" s="64">
        <f>IFERROR(Y337*I337/H337,"0")</f>
        <v>8.9600000000000009</v>
      </c>
      <c r="BO337" s="64">
        <f>IFERROR(1/J337*(X337/H337),"0")</f>
        <v>1.680672268907563E-2</v>
      </c>
      <c r="BP337" s="64">
        <f>IFERROR(1/J337*(Y337/H337),"0")</f>
        <v>1.680672268907563E-2</v>
      </c>
    </row>
    <row r="338" spans="1:68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4</v>
      </c>
      <c r="Y338" s="555">
        <f>IFERROR(Y335/H335,"0")+IFERROR(Y336/H336,"0")+IFERROR(Y337/H337,"0")</f>
        <v>4</v>
      </c>
      <c r="Z338" s="555">
        <f>IFERROR(IF(Z335="",0,Z335),"0")+IFERROR(IF(Z336="",0,Z336),"0")+IFERROR(IF(Z337="",0,Z337),"0")</f>
        <v>1.8960000000000001E-2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8</v>
      </c>
      <c r="Y339" s="555">
        <f>IFERROR(SUM(Y335:Y337),"0")</f>
        <v>8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364</v>
      </c>
      <c r="Y350" s="554">
        <f t="shared" ref="Y350:Y356" si="36">IFERROR(IF(X350="",0,CEILING((X350/$H350),1)*$H350),"")</f>
        <v>375</v>
      </c>
      <c r="Z350" s="36">
        <f>IFERROR(IF(Y350=0,"",ROUNDUP(Y350/H350,0)*0.02175),"")</f>
        <v>0.54374999999999996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375.40533333333332</v>
      </c>
      <c r="BN350" s="64">
        <f t="shared" ref="BN350:BN356" si="38">IFERROR(Y350*I350/H350,"0")</f>
        <v>386.75</v>
      </c>
      <c r="BO350" s="64">
        <f t="shared" ref="BO350:BO356" si="39">IFERROR(1/J350*(X350/H350),"0")</f>
        <v>0.50555555555555554</v>
      </c>
      <c r="BP350" s="64">
        <f t="shared" ref="BP350:BP356" si="40">IFERROR(1/J350*(Y350/H350),"0")</f>
        <v>0.52083333333333326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159</v>
      </c>
      <c r="Y351" s="554">
        <f t="shared" si="36"/>
        <v>165</v>
      </c>
      <c r="Z351" s="36">
        <f>IFERROR(IF(Y351=0,"",ROUNDUP(Y351/H351,0)*0.02175),"")</f>
        <v>0.23924999999999999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163.982</v>
      </c>
      <c r="BN351" s="64">
        <f t="shared" si="38"/>
        <v>170.17000000000002</v>
      </c>
      <c r="BO351" s="64">
        <f t="shared" si="39"/>
        <v>0.22083333333333333</v>
      </c>
      <c r="BP351" s="64">
        <f t="shared" si="40"/>
        <v>0.22916666666666666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866</v>
      </c>
      <c r="Y352" s="554">
        <f t="shared" si="36"/>
        <v>870</v>
      </c>
      <c r="Z352" s="36">
        <f>IFERROR(IF(Y352=0,"",ROUNDUP(Y352/H352,0)*0.02175),"")</f>
        <v>1.2614999999999998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893.1346666666667</v>
      </c>
      <c r="BN352" s="64">
        <f t="shared" si="38"/>
        <v>897.2600000000001</v>
      </c>
      <c r="BO352" s="64">
        <f t="shared" si="39"/>
        <v>1.2027777777777777</v>
      </c>
      <c r="BP352" s="64">
        <f t="shared" si="40"/>
        <v>1.2083333333333333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125</v>
      </c>
      <c r="Y353" s="554">
        <f t="shared" si="36"/>
        <v>135</v>
      </c>
      <c r="Z353" s="36">
        <f>IFERROR(IF(Y353=0,"",ROUNDUP(Y353/H353,0)*0.02175),"")</f>
        <v>0.19574999999999998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128.91666666666666</v>
      </c>
      <c r="BN353" s="64">
        <f t="shared" si="38"/>
        <v>139.23000000000002</v>
      </c>
      <c r="BO353" s="64">
        <f t="shared" si="39"/>
        <v>0.1736111111111111</v>
      </c>
      <c r="BP353" s="64">
        <f t="shared" si="40"/>
        <v>0.1875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100.93333333333332</v>
      </c>
      <c r="Y357" s="555">
        <f>IFERROR(Y350/H350,"0")+IFERROR(Y351/H351,"0")+IFERROR(Y352/H352,"0")+IFERROR(Y353/H353,"0")+IFERROR(Y354/H354,"0")+IFERROR(Y355/H355,"0")+IFERROR(Y356/H356,"0")</f>
        <v>103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2.2402499999999996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1514</v>
      </c>
      <c r="Y358" s="555">
        <f>IFERROR(SUM(Y350:Y356),"0")</f>
        <v>1545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742</v>
      </c>
      <c r="Y360" s="554">
        <f>IFERROR(IF(X360="",0,CEILING((X360/$H360),1)*$H360),"")</f>
        <v>750</v>
      </c>
      <c r="Z360" s="36">
        <f>IFERROR(IF(Y360=0,"",ROUNDUP(Y360/H360,0)*0.02175),"")</f>
        <v>1.0874999999999999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765.24933333333331</v>
      </c>
      <c r="BN360" s="64">
        <f>IFERROR(Y360*I360/H360,"0")</f>
        <v>773.5</v>
      </c>
      <c r="BO360" s="64">
        <f>IFERROR(1/J360*(X360/H360),"0")</f>
        <v>1.0305555555555554</v>
      </c>
      <c r="BP360" s="64">
        <f>IFERROR(1/J360*(Y360/H360),"0")</f>
        <v>1.0416666666666665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49.466666666666669</v>
      </c>
      <c r="Y362" s="555">
        <f>IFERROR(Y360/H360,"0")+IFERROR(Y361/H361,"0")</f>
        <v>50</v>
      </c>
      <c r="Z362" s="555">
        <f>IFERROR(IF(Z360="",0,Z360),"0")+IFERROR(IF(Z361="",0,Z361),"0")</f>
        <v>1.0874999999999999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742</v>
      </c>
      <c r="Y363" s="555">
        <f>IFERROR(SUM(Y360:Y361),"0")</f>
        <v>750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502</v>
      </c>
      <c r="Y385" s="554">
        <f>IFERROR(IF(X385="",0,CEILING((X385/$H385),1)*$H385),"")</f>
        <v>504</v>
      </c>
      <c r="Z385" s="36">
        <f>IFERROR(IF(Y385=0,"",ROUNDUP(Y385/H385,0)*0.01898),"")</f>
        <v>1.06288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529.55422222222228</v>
      </c>
      <c r="BN385" s="64">
        <f>IFERROR(Y385*I385/H385,"0")</f>
        <v>531.66399999999999</v>
      </c>
      <c r="BO385" s="64">
        <f>IFERROR(1/J385*(X385/H385),"0")</f>
        <v>0.87152777777777779</v>
      </c>
      <c r="BP385" s="64">
        <f>IFERROR(1/J385*(Y385/H385),"0")</f>
        <v>0.875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30</v>
      </c>
      <c r="Y386" s="554">
        <f>IFERROR(IF(X386="",0,CEILING((X386/$H386),1)*$H386),"")</f>
        <v>31.2</v>
      </c>
      <c r="Z386" s="36">
        <f>IFERROR(IF(Y386=0,"",ROUNDUP(Y386/H386,0)*0.00651),"")</f>
        <v>8.4629999999999997E-2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33.300000000000004</v>
      </c>
      <c r="BN386" s="64">
        <f>IFERROR(Y386*I386/H386,"0")</f>
        <v>34.631999999999998</v>
      </c>
      <c r="BO386" s="64">
        <f>IFERROR(1/J386*(X386/H386),"0")</f>
        <v>6.8681318681318687E-2</v>
      </c>
      <c r="BP386" s="64">
        <f>IFERROR(1/J386*(Y386/H386),"0")</f>
        <v>7.1428571428571438E-2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68.277777777777771</v>
      </c>
      <c r="Y388" s="555">
        <f>IFERROR(Y385/H385,"0")+IFERROR(Y386/H386,"0")+IFERROR(Y387/H387,"0")</f>
        <v>69</v>
      </c>
      <c r="Z388" s="555">
        <f>IFERROR(IF(Z385="",0,Z385),"0")+IFERROR(IF(Z386="",0,Z386),"0")+IFERROR(IF(Z387="",0,Z387),"0")</f>
        <v>1.14751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532</v>
      </c>
      <c r="Y389" s="555">
        <f>IFERROR(SUM(Y385:Y387),"0")</f>
        <v>535.20000000000005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241</v>
      </c>
      <c r="Y429" s="554">
        <f t="shared" ref="Y429:Y440" si="47">IFERROR(IF(X429="",0,CEILING((X429/$H429),1)*$H429),"")</f>
        <v>242.88000000000002</v>
      </c>
      <c r="Z429" s="36">
        <f t="shared" ref="Z429:Z435" si="48">IFERROR(IF(Y429=0,"",ROUNDUP(Y429/H429,0)*0.01196),"")</f>
        <v>0.55015999999999998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256.97537878787875</v>
      </c>
      <c r="BN429" s="64">
        <f t="shared" ref="BN429:BN440" si="50">IFERROR(Y429*I429/H429,"0")</f>
        <v>258.98</v>
      </c>
      <c r="BO429" s="64">
        <f t="shared" ref="BO429:BO440" si="51">IFERROR(1/J429*(X429/H429),"0")</f>
        <v>0.43888403263403264</v>
      </c>
      <c r="BP429" s="64">
        <f t="shared" ref="BP429:BP440" si="52">IFERROR(1/J429*(Y429/H429),"0")</f>
        <v>0.44230769230769235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616</v>
      </c>
      <c r="Y433" s="554">
        <f t="shared" si="47"/>
        <v>617.76</v>
      </c>
      <c r="Z433" s="36">
        <f t="shared" si="48"/>
        <v>1.3993200000000001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656.83333333333326</v>
      </c>
      <c r="BN433" s="64">
        <f t="shared" si="50"/>
        <v>658.71</v>
      </c>
      <c r="BO433" s="64">
        <f t="shared" si="51"/>
        <v>1.1217948717948718</v>
      </c>
      <c r="BP433" s="64">
        <f t="shared" si="52"/>
        <v>1.125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570</v>
      </c>
      <c r="Y435" s="554">
        <f t="shared" si="47"/>
        <v>570.24</v>
      </c>
      <c r="Z435" s="36">
        <f t="shared" si="48"/>
        <v>1.2916799999999999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607.78409090909088</v>
      </c>
      <c r="BN435" s="64">
        <f t="shared" si="50"/>
        <v>608.04</v>
      </c>
      <c r="BO435" s="64">
        <f t="shared" si="51"/>
        <v>1.0380244755244756</v>
      </c>
      <c r="BP435" s="64">
        <f t="shared" si="52"/>
        <v>1.0384615384615385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91</v>
      </c>
      <c r="Y440" s="554">
        <f t="shared" si="47"/>
        <v>91.2</v>
      </c>
      <c r="Z440" s="36">
        <f>IFERROR(IF(Y440=0,"",ROUNDUP(Y440/H440,0)*0.00902),"")</f>
        <v>0.17138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131.00208333333336</v>
      </c>
      <c r="BN440" s="64">
        <f t="shared" si="50"/>
        <v>131.29000000000002</v>
      </c>
      <c r="BO440" s="64">
        <f t="shared" si="51"/>
        <v>0.1436237373737374</v>
      </c>
      <c r="BP440" s="64">
        <f t="shared" si="52"/>
        <v>0.14393939393939395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289.22348484848482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290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3.4125399999999999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1518</v>
      </c>
      <c r="Y442" s="555">
        <f>IFERROR(SUM(Y429:Y440),"0")</f>
        <v>1522.0800000000002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602</v>
      </c>
      <c r="Y444" s="554">
        <f>IFERROR(IF(X444="",0,CEILING((X444/$H444),1)*$H444),"")</f>
        <v>607.20000000000005</v>
      </c>
      <c r="Z444" s="36">
        <f>IFERROR(IF(Y444=0,"",ROUNDUP(Y444/H444,0)*0.01196),"")</f>
        <v>1.3754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641.905303030303</v>
      </c>
      <c r="BN444" s="64">
        <f>IFERROR(Y444*I444/H444,"0")</f>
        <v>647.44999999999993</v>
      </c>
      <c r="BO444" s="64">
        <f>IFERROR(1/J444*(X444/H444),"0")</f>
        <v>1.0962995337995338</v>
      </c>
      <c r="BP444" s="64">
        <f>IFERROR(1/J444*(Y444/H444),"0")</f>
        <v>1.1057692307692308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114.01515151515152</v>
      </c>
      <c r="Y447" s="555">
        <f>IFERROR(Y444/H444,"0")+IFERROR(Y445/H445,"0")+IFERROR(Y446/H446,"0")</f>
        <v>115</v>
      </c>
      <c r="Z447" s="555">
        <f>IFERROR(IF(Z444="",0,Z444),"0")+IFERROR(IF(Z445="",0,Z445),"0")+IFERROR(IF(Z446="",0,Z446),"0")</f>
        <v>1.3754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602</v>
      </c>
      <c r="Y448" s="555">
        <f>IFERROR(SUM(Y444:Y446),"0")</f>
        <v>607.20000000000005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403</v>
      </c>
      <c r="Y450" s="554">
        <f t="shared" ref="Y450:Y455" si="53">IFERROR(IF(X450="",0,CEILING((X450/$H450),1)*$H450),"")</f>
        <v>406.56</v>
      </c>
      <c r="Z450" s="36">
        <f>IFERROR(IF(Y450=0,"",ROUNDUP(Y450/H450,0)*0.01196),"")</f>
        <v>0.92091999999999996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429.71401515151513</v>
      </c>
      <c r="BN450" s="64">
        <f t="shared" ref="BN450:BN455" si="55">IFERROR(Y450*I450/H450,"0")</f>
        <v>433.51</v>
      </c>
      <c r="BO450" s="64">
        <f t="shared" ref="BO450:BO455" si="56">IFERROR(1/J450*(X450/H450),"0")</f>
        <v>0.73390151515151525</v>
      </c>
      <c r="BP450" s="64">
        <f t="shared" ref="BP450:BP455" si="57">IFERROR(1/J450*(Y450/H450),"0")</f>
        <v>0.74038461538461542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324</v>
      </c>
      <c r="Y451" s="554">
        <f t="shared" si="53"/>
        <v>327.36</v>
      </c>
      <c r="Z451" s="36">
        <f>IFERROR(IF(Y451=0,"",ROUNDUP(Y451/H451,0)*0.01196),"")</f>
        <v>0.74151999999999996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345.47727272727269</v>
      </c>
      <c r="BN451" s="64">
        <f t="shared" si="55"/>
        <v>349.06</v>
      </c>
      <c r="BO451" s="64">
        <f t="shared" si="56"/>
        <v>0.590034965034965</v>
      </c>
      <c r="BP451" s="64">
        <f t="shared" si="57"/>
        <v>0.59615384615384615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631</v>
      </c>
      <c r="Y452" s="554">
        <f t="shared" si="53"/>
        <v>633.6</v>
      </c>
      <c r="Z452" s="36">
        <f>IFERROR(IF(Y452=0,"",ROUNDUP(Y452/H452,0)*0.01196),"")</f>
        <v>1.4352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672.82765151515139</v>
      </c>
      <c r="BN452" s="64">
        <f t="shared" si="55"/>
        <v>675.6</v>
      </c>
      <c r="BO452" s="64">
        <f t="shared" si="56"/>
        <v>1.1491113053613053</v>
      </c>
      <c r="BP452" s="64">
        <f t="shared" si="57"/>
        <v>1.153846153846154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257.19696969696969</v>
      </c>
      <c r="Y456" s="555">
        <f>IFERROR(Y450/H450,"0")+IFERROR(Y451/H451,"0")+IFERROR(Y452/H452,"0")+IFERROR(Y453/H453,"0")+IFERROR(Y454/H454,"0")+IFERROR(Y455/H455,"0")</f>
        <v>259</v>
      </c>
      <c r="Z456" s="555">
        <f>IFERROR(IF(Z450="",0,Z450),"0")+IFERROR(IF(Z451="",0,Z451),"0")+IFERROR(IF(Z452="",0,Z452),"0")+IFERROR(IF(Z453="",0,Z453),"0")+IFERROR(IF(Z454="",0,Z454),"0")+IFERROR(IF(Z455="",0,Z455),"0")</f>
        <v>3.0976400000000002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1358</v>
      </c>
      <c r="Y457" s="555">
        <f>IFERROR(SUM(Y450:Y455),"0")</f>
        <v>1367.52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10092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10237.230000000001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10718.919633019235</v>
      </c>
      <c r="Y496" s="555">
        <f>IFERROR(SUM(BN22:BN492),"0")</f>
        <v>10871.888000000003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18</v>
      </c>
      <c r="Y497" s="38">
        <f>ROUNDUP(SUM(BP22:BP492),0)</f>
        <v>18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11168.919633019235</v>
      </c>
      <c r="Y498" s="555">
        <f>GrossWeightTotalR+PalletQtyTotalR*25</f>
        <v>11321.888000000003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1932.2918237936155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1958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21.308050000000001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149.19999999999999</v>
      </c>
      <c r="E505" s="46">
        <f>IFERROR(Y85*1,"0")+IFERROR(Y86*1,"0")+IFERROR(Y87*1,"0")+IFERROR(Y88*1,"0")+IFERROR(Y92*1,"0")+IFERROR(Y93*1,"0")+IFERROR(Y94*1,"0")+IFERROR(Y95*1,"0")</f>
        <v>785.69999999999993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818.4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361.38000000000005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1513.1999999999998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8.5500000000000007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108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165.8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2295</v>
      </c>
      <c r="T505" s="46">
        <f>IFERROR(Y375*1,"0")+IFERROR(Y376*1,"0")+IFERROR(Y380*1,"0")+IFERROR(Y381*1,"0")+IFERROR(Y385*1,"0")+IFERROR(Y386*1,"0")+IFERROR(Y387*1,"0")</f>
        <v>535.20000000000005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3496.8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58,00"/>
        <filter val="1 514,00"/>
        <filter val="1 518,00"/>
        <filter val="1 932,29"/>
        <filter val="10 092,00"/>
        <filter val="10 718,92"/>
        <filter val="10,00"/>
        <filter val="10,09"/>
        <filter val="100,93"/>
        <filter val="103,21"/>
        <filter val="106,00"/>
        <filter val="11 168,92"/>
        <filter val="114,02"/>
        <filter val="116,00"/>
        <filter val="125,00"/>
        <filter val="129,07"/>
        <filter val="131,00"/>
        <filter val="133,00"/>
        <filter val="135,00"/>
        <filter val="14,00"/>
        <filter val="14,87"/>
        <filter val="143,81"/>
        <filter val="15,29"/>
        <filter val="153,00"/>
        <filter val="159,00"/>
        <filter val="18"/>
        <filter val="18,00"/>
        <filter val="183,00"/>
        <filter val="192,00"/>
        <filter val="195,00"/>
        <filter val="214,00"/>
        <filter val="224,00"/>
        <filter val="23,24"/>
        <filter val="233,00"/>
        <filter val="236,00"/>
        <filter val="241,00"/>
        <filter val="257,20"/>
        <filter val="28,00"/>
        <filter val="287,00"/>
        <filter val="289,22"/>
        <filter val="29,00"/>
        <filter val="297,00"/>
        <filter val="3,00"/>
        <filter val="3,75"/>
        <filter val="30,00"/>
        <filter val="324,00"/>
        <filter val="33,00"/>
        <filter val="33,19"/>
        <filter val="344,00"/>
        <filter val="364,00"/>
        <filter val="364,96"/>
        <filter val="37,00"/>
        <filter val="374,00"/>
        <filter val="39,00"/>
        <filter val="4,00"/>
        <filter val="40,00"/>
        <filter val="403,00"/>
        <filter val="406,00"/>
        <filter val="44,00"/>
        <filter val="44,17"/>
        <filter val="46,00"/>
        <filter val="47,00"/>
        <filter val="470,00"/>
        <filter val="49,47"/>
        <filter val="5,00"/>
        <filter val="50,69"/>
        <filter val="502,00"/>
        <filter val="51,00"/>
        <filter val="511,00"/>
        <filter val="53,00"/>
        <filter val="532,00"/>
        <filter val="570,00"/>
        <filter val="602,00"/>
        <filter val="616,00"/>
        <filter val="631,00"/>
        <filter val="67,00"/>
        <filter val="68,28"/>
        <filter val="69,00"/>
        <filter val="7,00"/>
        <filter val="7,37"/>
        <filter val="7,94"/>
        <filter val="742,00"/>
        <filter val="8,00"/>
        <filter val="866,00"/>
        <filter val="9,00"/>
        <filter val="91,00"/>
        <filter val="968,00"/>
        <filter val="97,53"/>
        <filter val="99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2025-12-29T11:55:09Z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