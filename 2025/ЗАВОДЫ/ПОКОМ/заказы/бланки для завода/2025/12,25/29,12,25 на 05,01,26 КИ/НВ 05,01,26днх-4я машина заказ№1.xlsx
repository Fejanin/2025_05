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955DEA-6985-4B2E-BDEB-F3E56842AB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88" i="1"/>
  <c r="Z357" i="1"/>
  <c r="Z338" i="1"/>
  <c r="Z243" i="1"/>
  <c r="Z377" i="1"/>
  <c r="Z187" i="1"/>
  <c r="Z129" i="1"/>
  <c r="Z24" i="1"/>
  <c r="Z332" i="1"/>
  <c r="Z58" i="1"/>
  <c r="Y496" i="1"/>
  <c r="Z456" i="1"/>
  <c r="Y497" i="1"/>
  <c r="Z119" i="1"/>
  <c r="Y498" i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<sst xmlns="http://schemas.openxmlformats.org/spreadsheetml/2006/main" count="2321" uniqueCount="782">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</sst>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300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27.777777777777775</v>
      </c>
      <c r="Y89" s="555">
        <f>IFERROR(Y85/H85,"0")+IFERROR(Y86/H86,"0")+IFERROR(Y87/H87,"0")+IFERROR(Y88/H88,"0")</f>
        <v>28</v>
      </c>
      <c r="Z89" s="555">
        <f>IFERROR(IF(Z85="",0,Z85),"0")+IFERROR(IF(Z86="",0,Z86),"0")+IFERROR(IF(Z87="",0,Z87),"0")+IFERROR(IF(Z88="",0,Z88),"0")</f>
        <v>0.53144000000000002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300</v>
      </c>
      <c r="Y90" s="555">
        <f>IFERROR(SUM(Y85:Y88),"0")</f>
        <v>302.40000000000003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400</v>
      </c>
      <c r="Y100" s="554">
        <f>IFERROR(IF(X100="",0,CEILING((X100/$H100),1)*$H100),"")</f>
        <v>410.40000000000003</v>
      </c>
      <c r="Z100" s="36">
        <f>IFERROR(IF(Y100=0,"",ROUNDUP(Y100/H100,0)*0.01898),"")</f>
        <v>0.72123999999999999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415.18518518518516</v>
      </c>
      <c r="BN100" s="64">
        <f>IFERROR(Y100*I100/H100,"0")</f>
        <v>425.98</v>
      </c>
      <c r="BO100" s="64">
        <f>IFERROR(1/J100*(X100/H100),"0")</f>
        <v>0.57870370370370372</v>
      </c>
      <c r="BP100" s="64">
        <f>IFERROR(1/J100*(Y100/H100),"0")</f>
        <v>0.59375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37.037037037037038</v>
      </c>
      <c r="Y105" s="555">
        <f>IFERROR(Y100/H100,"0")+IFERROR(Y101/H101,"0")+IFERROR(Y102/H102,"0")+IFERROR(Y103/H103,"0")+IFERROR(Y104/H104,"0")</f>
        <v>38</v>
      </c>
      <c r="Z105" s="555">
        <f>IFERROR(IF(Z100="",0,Z100),"0")+IFERROR(IF(Z101="",0,Z101),"0")+IFERROR(IF(Z102="",0,Z102),"0")+IFERROR(IF(Z103="",0,Z103),"0")+IFERROR(IF(Z104="",0,Z104),"0")</f>
        <v>0.72123999999999999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400</v>
      </c>
      <c r="Y106" s="555">
        <f>IFERROR(SUM(Y100:Y104),"0")</f>
        <v>410.40000000000003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600</v>
      </c>
      <c r="Y205" s="554">
        <f t="shared" ref="Y205:Y212" si="15">IFERROR(IF(X205="",0,CEILING((X205/$H205),1)*$H205),"")</f>
        <v>604.80000000000007</v>
      </c>
      <c r="Z205" s="36">
        <f>IFERROR(IF(Y205=0,"",ROUNDUP(Y205/H205,0)*0.00902),"")</f>
        <v>1.01024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621.11111111111109</v>
      </c>
      <c r="BN205" s="64">
        <f t="shared" ref="BN205:BN212" si="17">IFERROR(Y205*I205/H205,"0")</f>
        <v>626.08000000000004</v>
      </c>
      <c r="BO205" s="64">
        <f t="shared" ref="BO205:BO212" si="18">IFERROR(1/J205*(X205/H205),"0")</f>
        <v>0.84175084175084169</v>
      </c>
      <c r="BP205" s="64">
        <f t="shared" ref="BP205:BP212" si="19">IFERROR(1/J205*(Y205/H205),"0")</f>
        <v>0.84848484848484851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111.1111111111111</v>
      </c>
      <c r="Y213" s="555">
        <f>IFERROR(Y205/H205,"0")+IFERROR(Y206/H206,"0")+IFERROR(Y207/H207,"0")+IFERROR(Y208/H208,"0")+IFERROR(Y209/H209,"0")+IFERROR(Y210/H210,"0")+IFERROR(Y211/H211,"0")+IFERROR(Y212/H212,"0")</f>
        <v>112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1.01024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600</v>
      </c>
      <c r="Y214" s="555">
        <f>IFERROR(SUM(Y205:Y212),"0")</f>
        <v>604.80000000000007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200</v>
      </c>
      <c r="Y218" s="554">
        <f t="shared" si="20"/>
        <v>200.1</v>
      </c>
      <c r="Z218" s="36">
        <f>IFERROR(IF(Y218=0,"",ROUNDUP(Y218/H218,0)*0.01898),"")</f>
        <v>0.43653999999999998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211.35632183908049</v>
      </c>
      <c r="BN218" s="64">
        <f t="shared" si="22"/>
        <v>211.46200000000005</v>
      </c>
      <c r="BO218" s="64">
        <f t="shared" si="23"/>
        <v>0.35919540229885061</v>
      </c>
      <c r="BP218" s="64">
        <f t="shared" si="24"/>
        <v>0.359375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189.65517241379314</v>
      </c>
      <c r="Y225" s="555">
        <f>IFERROR(Y216/H216,"0")+IFERROR(Y217/H217,"0")+IFERROR(Y218/H218,"0")+IFERROR(Y219/H219,"0")+IFERROR(Y220/H220,"0")+IFERROR(Y221/H221,"0")+IFERROR(Y222/H222,"0")+IFERROR(Y223/H223,"0")+IFERROR(Y224/H224,"0")</f>
        <v>191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1.5302199999999999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600</v>
      </c>
      <c r="Y226" s="555">
        <f>IFERROR(SUM(Y216:Y224),"0")</f>
        <v>603.29999999999995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39</v>
      </c>
      <c r="Z325" s="555">
        <f>IFERROR(IF(Z322="",0,Z322),"0")+IFERROR(IF(Z323="",0,Z323),"0")+IFERROR(IF(Z324="",0,Z324),"0")</f>
        <v>0.74021999999999999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300</v>
      </c>
      <c r="Y326" s="555">
        <f>IFERROR(SUM(Y322:Y324),"0")</f>
        <v>304.2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200</v>
      </c>
      <c r="Y353" s="554">
        <f t="shared" si="36"/>
        <v>210</v>
      </c>
      <c r="Z353" s="36">
        <f>IFERROR(IF(Y353=0,"",ROUNDUP(Y353/H353,0)*0.02175),"")</f>
        <v>0.30449999999999999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206.26666666666668</v>
      </c>
      <c r="BN353" s="64">
        <f t="shared" si="38"/>
        <v>216.58</v>
      </c>
      <c r="BO353" s="64">
        <f t="shared" si="39"/>
        <v>0.27777777777777779</v>
      </c>
      <c r="BP353" s="64">
        <f t="shared" si="40"/>
        <v>0.29166666666666663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53.333333333333336</v>
      </c>
      <c r="Y357" s="555">
        <f>IFERROR(Y350/H350,"0")+IFERROR(Y351/H351,"0")+IFERROR(Y352/H352,"0")+IFERROR(Y353/H353,"0")+IFERROR(Y354/H354,"0")+IFERROR(Y355/H355,"0")+IFERROR(Y356/H356,"0")</f>
        <v>55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1.19625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800</v>
      </c>
      <c r="Y358" s="555">
        <f>IFERROR(SUM(Y350:Y356),"0")</f>
        <v>825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900</v>
      </c>
      <c r="Y433" s="554">
        <f t="shared" si="47"/>
        <v>902.88</v>
      </c>
      <c r="Z433" s="36">
        <f t="shared" si="48"/>
        <v>2.0451600000000001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959.65909090909088</v>
      </c>
      <c r="BN433" s="64">
        <f t="shared" si="50"/>
        <v>962.7299999999999</v>
      </c>
      <c r="BO433" s="64">
        <f t="shared" si="51"/>
        <v>1.638986013986014</v>
      </c>
      <c r="BP433" s="64">
        <f t="shared" si="52"/>
        <v>1.6442307692307694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800</v>
      </c>
      <c r="Y435" s="554">
        <f t="shared" si="47"/>
        <v>802.56000000000006</v>
      </c>
      <c r="Z435" s="36">
        <f t="shared" si="48"/>
        <v>1.81792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853.030303030303</v>
      </c>
      <c r="BN435" s="64">
        <f t="shared" si="50"/>
        <v>855.76</v>
      </c>
      <c r="BO435" s="64">
        <f t="shared" si="51"/>
        <v>1.4568764568764567</v>
      </c>
      <c r="BP435" s="64">
        <f t="shared" si="52"/>
        <v>1.4615384615384617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321.96969696969694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323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3.8630800000000001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1700</v>
      </c>
      <c r="Y442" s="555">
        <f>IFERROR(SUM(Y429:Y440),"0")</f>
        <v>1705.44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800</v>
      </c>
      <c r="Y444" s="554">
        <f>IFERROR(IF(X444="",0,CEILING((X444/$H444),1)*$H444),"")</f>
        <v>802.56000000000006</v>
      </c>
      <c r="Z444" s="36">
        <f>IFERROR(IF(Y444=0,"",ROUNDUP(Y444/H444,0)*0.01196),"")</f>
        <v>1.81792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853.030303030303</v>
      </c>
      <c r="BN444" s="64">
        <f>IFERROR(Y444*I444/H444,"0")</f>
        <v>855.76</v>
      </c>
      <c r="BO444" s="64">
        <f>IFERROR(1/J444*(X444/H444),"0")</f>
        <v>1.4568764568764567</v>
      </c>
      <c r="BP444" s="64">
        <f>IFERROR(1/J444*(Y444/H444),"0")</f>
        <v>1.4615384615384617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151.5151515151515</v>
      </c>
      <c r="Y447" s="555">
        <f>IFERROR(Y444/H444,"0")+IFERROR(Y445/H445,"0")+IFERROR(Y446/H446,"0")</f>
        <v>152</v>
      </c>
      <c r="Z447" s="555">
        <f>IFERROR(IF(Z444="",0,Z444),"0")+IFERROR(IF(Z445="",0,Z445),"0")+IFERROR(IF(Z446="",0,Z446),"0")</f>
        <v>1.81792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800</v>
      </c>
      <c r="Y448" s="555">
        <f>IFERROR(SUM(Y444:Y446),"0")</f>
        <v>802.56000000000006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260</v>
      </c>
      <c r="Y451" s="554">
        <f t="shared" si="53"/>
        <v>264</v>
      </c>
      <c r="Z451" s="36">
        <f>IFERROR(IF(Y451=0,"",ROUNDUP(Y451/H451,0)*0.01196),"")</f>
        <v>0.59799999999999998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277.23484848484844</v>
      </c>
      <c r="BN451" s="64">
        <f t="shared" si="55"/>
        <v>281.5</v>
      </c>
      <c r="BO451" s="64">
        <f t="shared" si="56"/>
        <v>0.47348484848484851</v>
      </c>
      <c r="BP451" s="64">
        <f t="shared" si="57"/>
        <v>0.48076923076923078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700</v>
      </c>
      <c r="Y452" s="554">
        <f t="shared" si="53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746.40151515151513</v>
      </c>
      <c r="BN452" s="64">
        <f t="shared" si="55"/>
        <v>748.79</v>
      </c>
      <c r="BO452" s="64">
        <f t="shared" si="56"/>
        <v>1.2747668997668997</v>
      </c>
      <c r="BP452" s="64">
        <f t="shared" si="57"/>
        <v>1.278846153846154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181.81818181818181</v>
      </c>
      <c r="Y456" s="555">
        <f>IFERROR(Y450/H450,"0")+IFERROR(Y451/H451,"0")+IFERROR(Y452/H452,"0")+IFERROR(Y453/H453,"0")+IFERROR(Y454/H454,"0")+IFERROR(Y455/H455,"0")</f>
        <v>183</v>
      </c>
      <c r="Z456" s="555">
        <f>IFERROR(IF(Z450="",0,Z450),"0")+IFERROR(IF(Z451="",0,Z451),"0")+IFERROR(IF(Z452="",0,Z452),"0")+IFERROR(IF(Z453="",0,Z453),"0")+IFERROR(IF(Z454="",0,Z454),"0")+IFERROR(IF(Z455="",0,Z455),"0")</f>
        <v>2.1886800000000002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960</v>
      </c>
      <c r="Y457" s="555">
        <f>IFERROR(SUM(Y450:Y455),"0")</f>
        <v>966.24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8460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8537.340000000002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8920.6864565192154</v>
      </c>
      <c r="Y496" s="555">
        <f>IFERROR(SUM(BN22:BN492),"0")</f>
        <v>9001.612000000001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9295.6864565192154</v>
      </c>
      <c r="Y498" s="555">
        <f>GrossWeightTotalR+PalletQtyTotalR*25</f>
        <v>9376.612000000001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1290.4567782153988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1300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17.182300000000001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302.40000000000003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410.40000000000003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1208.1000000000001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304.2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1830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3474.24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90,46"/>
        <filter val="1 700,00"/>
        <filter val="100,00"/>
        <filter val="111,11"/>
        <filter val="15"/>
        <filter val="151,52"/>
        <filter val="181,82"/>
        <filter val="189,66"/>
        <filter val="200,00"/>
        <filter val="260,00"/>
        <filter val="27,78"/>
        <filter val="300,00"/>
        <filter val="321,97"/>
        <filter val="37,04"/>
        <filter val="38,46"/>
        <filter val="400,00"/>
        <filter val="500,00"/>
        <filter val="53,33"/>
        <filter val="600,00"/>
        <filter val="66,67"/>
        <filter val="700,00"/>
        <filter val="8 460,00"/>
        <filter val="8 920,69"/>
        <filter val="800,00"/>
        <filter val="9 295,69"/>
        <filter val="900,00"/>
        <filter val="96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