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B64A665-CDAF-41F0-B257-389CF349477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Y447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Y345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BP167" i="1"/>
  <c r="BO167" i="1"/>
  <c r="BN167" i="1"/>
  <c r="BM167" i="1"/>
  <c r="Z167" i="1"/>
  <c r="Y167" i="1"/>
  <c r="X165" i="1"/>
  <c r="X164" i="1"/>
  <c r="BO163" i="1"/>
  <c r="BM163" i="1"/>
  <c r="Y163" i="1"/>
  <c r="I505" i="1" s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N85" i="1"/>
  <c r="BM85" i="1"/>
  <c r="Z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495" i="1" s="1"/>
  <c r="X24" i="1"/>
  <c r="BP23" i="1"/>
  <c r="BO23" i="1"/>
  <c r="BN23" i="1"/>
  <c r="BM23" i="1"/>
  <c r="Z23" i="1"/>
  <c r="Y23" i="1"/>
  <c r="P23" i="1"/>
  <c r="BO22" i="1"/>
  <c r="BM22" i="1"/>
  <c r="X496" i="1" s="1"/>
  <c r="Y22" i="1"/>
  <c r="P22" i="1"/>
  <c r="H10" i="1"/>
  <c r="A9" i="1"/>
  <c r="F10" i="1" s="1"/>
  <c r="D7" i="1"/>
  <c r="Q6" i="1"/>
  <c r="P2" i="1"/>
  <c r="BP56" i="1" l="1"/>
  <c r="BN56" i="1"/>
  <c r="Z56" i="1"/>
  <c r="BP95" i="1"/>
  <c r="BN95" i="1"/>
  <c r="Z95" i="1"/>
  <c r="Y124" i="1"/>
  <c r="Y123" i="1"/>
  <c r="BP122" i="1"/>
  <c r="BN122" i="1"/>
  <c r="Z122" i="1"/>
  <c r="Z123" i="1" s="1"/>
  <c r="BP127" i="1"/>
  <c r="BN127" i="1"/>
  <c r="Z127" i="1"/>
  <c r="BP172" i="1"/>
  <c r="BN172" i="1"/>
  <c r="Z172" i="1"/>
  <c r="BP201" i="1"/>
  <c r="BN201" i="1"/>
  <c r="Z201" i="1"/>
  <c r="BP223" i="1"/>
  <c r="BN223" i="1"/>
  <c r="Z223" i="1"/>
  <c r="BP258" i="1"/>
  <c r="BN258" i="1"/>
  <c r="Z258" i="1"/>
  <c r="BP292" i="1"/>
  <c r="BN292" i="1"/>
  <c r="Z292" i="1"/>
  <c r="BP323" i="1"/>
  <c r="BN323" i="1"/>
  <c r="Z323" i="1"/>
  <c r="BP354" i="1"/>
  <c r="BN354" i="1"/>
  <c r="Z354" i="1"/>
  <c r="BP398" i="1"/>
  <c r="BN398" i="1"/>
  <c r="Z398" i="1"/>
  <c r="BP436" i="1"/>
  <c r="BN436" i="1"/>
  <c r="Z436" i="1"/>
  <c r="BP454" i="1"/>
  <c r="BN454" i="1"/>
  <c r="Z454" i="1"/>
  <c r="Z29" i="1"/>
  <c r="BN29" i="1"/>
  <c r="BP41" i="1"/>
  <c r="BN41" i="1"/>
  <c r="Z41" i="1"/>
  <c r="BP74" i="1"/>
  <c r="BN74" i="1"/>
  <c r="Z74" i="1"/>
  <c r="BP108" i="1"/>
  <c r="BN108" i="1"/>
  <c r="Z108" i="1"/>
  <c r="H505" i="1"/>
  <c r="BP148" i="1"/>
  <c r="BN148" i="1"/>
  <c r="Z148" i="1"/>
  <c r="BP180" i="1"/>
  <c r="BN180" i="1"/>
  <c r="Z180" i="1"/>
  <c r="BP211" i="1"/>
  <c r="BN211" i="1"/>
  <c r="Z211" i="1"/>
  <c r="BP240" i="1"/>
  <c r="BN240" i="1"/>
  <c r="Z240" i="1"/>
  <c r="BP272" i="1"/>
  <c r="BN272" i="1"/>
  <c r="Z272" i="1"/>
  <c r="BP309" i="1"/>
  <c r="BN309" i="1"/>
  <c r="Z309" i="1"/>
  <c r="BP337" i="1"/>
  <c r="BN337" i="1"/>
  <c r="Z337" i="1"/>
  <c r="BP380" i="1"/>
  <c r="BN380" i="1"/>
  <c r="Z380" i="1"/>
  <c r="BP417" i="1"/>
  <c r="BN417" i="1"/>
  <c r="Z417" i="1"/>
  <c r="BP446" i="1"/>
  <c r="BN446" i="1"/>
  <c r="Z446" i="1"/>
  <c r="BP478" i="1"/>
  <c r="BN478" i="1"/>
  <c r="Z478" i="1"/>
  <c r="BP93" i="1"/>
  <c r="BN93" i="1"/>
  <c r="Z93" i="1"/>
  <c r="BP104" i="1"/>
  <c r="BN104" i="1"/>
  <c r="Z104" i="1"/>
  <c r="BP118" i="1"/>
  <c r="BN118" i="1"/>
  <c r="Z118" i="1"/>
  <c r="BP144" i="1"/>
  <c r="BN144" i="1"/>
  <c r="Z144" i="1"/>
  <c r="BP170" i="1"/>
  <c r="BN170" i="1"/>
  <c r="Z170" i="1"/>
  <c r="BP178" i="1"/>
  <c r="BN178" i="1"/>
  <c r="Z178" i="1"/>
  <c r="Y192" i="1"/>
  <c r="Y191" i="1"/>
  <c r="BP190" i="1"/>
  <c r="BN190" i="1"/>
  <c r="Z190" i="1"/>
  <c r="Z191" i="1" s="1"/>
  <c r="BP195" i="1"/>
  <c r="BN195" i="1"/>
  <c r="Z195" i="1"/>
  <c r="BP209" i="1"/>
  <c r="BN209" i="1"/>
  <c r="Z209" i="1"/>
  <c r="BP221" i="1"/>
  <c r="BN221" i="1"/>
  <c r="Z221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307" i="1"/>
  <c r="BN307" i="1"/>
  <c r="Z307" i="1"/>
  <c r="BP317" i="1"/>
  <c r="BN317" i="1"/>
  <c r="Z317" i="1"/>
  <c r="BP335" i="1"/>
  <c r="BN335" i="1"/>
  <c r="Z335" i="1"/>
  <c r="BP352" i="1"/>
  <c r="BN352" i="1"/>
  <c r="Z352" i="1"/>
  <c r="B505" i="1"/>
  <c r="X497" i="1"/>
  <c r="X498" i="1" s="1"/>
  <c r="Z27" i="1"/>
  <c r="BN27" i="1"/>
  <c r="BP27" i="1"/>
  <c r="Z31" i="1"/>
  <c r="BN31" i="1"/>
  <c r="Z43" i="1"/>
  <c r="BN43" i="1"/>
  <c r="D505" i="1"/>
  <c r="Z54" i="1"/>
  <c r="BN54" i="1"/>
  <c r="Z62" i="1"/>
  <c r="BN62" i="1"/>
  <c r="Z72" i="1"/>
  <c r="BN72" i="1"/>
  <c r="BP72" i="1"/>
  <c r="Z80" i="1"/>
  <c r="BN80" i="1"/>
  <c r="BP100" i="1"/>
  <c r="BN100" i="1"/>
  <c r="Z100" i="1"/>
  <c r="BP110" i="1"/>
  <c r="BN110" i="1"/>
  <c r="Z110" i="1"/>
  <c r="BP133" i="1"/>
  <c r="BN133" i="1"/>
  <c r="Z133" i="1"/>
  <c r="BP150" i="1"/>
  <c r="BN150" i="1"/>
  <c r="Z150" i="1"/>
  <c r="BP174" i="1"/>
  <c r="BN174" i="1"/>
  <c r="Z174" i="1"/>
  <c r="Y188" i="1"/>
  <c r="BP184" i="1"/>
  <c r="BN184" i="1"/>
  <c r="Z184" i="1"/>
  <c r="BP205" i="1"/>
  <c r="BN205" i="1"/>
  <c r="Z205" i="1"/>
  <c r="BP217" i="1"/>
  <c r="BN217" i="1"/>
  <c r="Z217" i="1"/>
  <c r="BP229" i="1"/>
  <c r="BN229" i="1"/>
  <c r="Z229" i="1"/>
  <c r="BP234" i="1"/>
  <c r="BN234" i="1"/>
  <c r="Z234" i="1"/>
  <c r="BP242" i="1"/>
  <c r="BN242" i="1"/>
  <c r="Z242" i="1"/>
  <c r="BP263" i="1"/>
  <c r="BN263" i="1"/>
  <c r="Z263" i="1"/>
  <c r="Y112" i="1"/>
  <c r="Y120" i="1"/>
  <c r="Y139" i="1"/>
  <c r="Y154" i="1"/>
  <c r="Y182" i="1"/>
  <c r="BP274" i="1"/>
  <c r="BN274" i="1"/>
  <c r="Z274" i="1"/>
  <c r="BP299" i="1"/>
  <c r="BN299" i="1"/>
  <c r="Z299" i="1"/>
  <c r="BP311" i="1"/>
  <c r="BN311" i="1"/>
  <c r="Z311" i="1"/>
  <c r="BP329" i="1"/>
  <c r="BN329" i="1"/>
  <c r="Z329" i="1"/>
  <c r="BP342" i="1"/>
  <c r="BN342" i="1"/>
  <c r="Z342" i="1"/>
  <c r="BP356" i="1"/>
  <c r="BN356" i="1"/>
  <c r="Z356" i="1"/>
  <c r="BP386" i="1"/>
  <c r="BN386" i="1"/>
  <c r="Z386" i="1"/>
  <c r="BP400" i="1"/>
  <c r="BN400" i="1"/>
  <c r="Z400" i="1"/>
  <c r="BP430" i="1"/>
  <c r="BN430" i="1"/>
  <c r="Z430" i="1"/>
  <c r="BP438" i="1"/>
  <c r="BN438" i="1"/>
  <c r="Z438" i="1"/>
  <c r="BP452" i="1"/>
  <c r="BN452" i="1"/>
  <c r="Z452" i="1"/>
  <c r="BP472" i="1"/>
  <c r="BN472" i="1"/>
  <c r="Z472" i="1"/>
  <c r="BP376" i="1"/>
  <c r="BN376" i="1"/>
  <c r="Z376" i="1"/>
  <c r="BP396" i="1"/>
  <c r="BN396" i="1"/>
  <c r="Z396" i="1"/>
  <c r="Y412" i="1"/>
  <c r="BP411" i="1"/>
  <c r="BN411" i="1"/>
  <c r="Z411" i="1"/>
  <c r="Z412" i="1" s="1"/>
  <c r="Y419" i="1"/>
  <c r="BP415" i="1"/>
  <c r="BN415" i="1"/>
  <c r="Z415" i="1"/>
  <c r="BP434" i="1"/>
  <c r="BN434" i="1"/>
  <c r="Z434" i="1"/>
  <c r="Y448" i="1"/>
  <c r="BP444" i="1"/>
  <c r="BN444" i="1"/>
  <c r="Z444" i="1"/>
  <c r="BP466" i="1"/>
  <c r="BN466" i="1"/>
  <c r="Z466" i="1"/>
  <c r="Y484" i="1"/>
  <c r="Y483" i="1"/>
  <c r="BP482" i="1"/>
  <c r="BN482" i="1"/>
  <c r="Z482" i="1"/>
  <c r="Z483" i="1" s="1"/>
  <c r="Y488" i="1"/>
  <c r="BP486" i="1"/>
  <c r="BN486" i="1"/>
  <c r="Z486" i="1"/>
  <c r="Y294" i="1"/>
  <c r="Y382" i="1"/>
  <c r="Y24" i="1"/>
  <c r="Y59" i="1"/>
  <c r="Y65" i="1"/>
  <c r="Y134" i="1"/>
  <c r="Y140" i="1"/>
  <c r="Y181" i="1"/>
  <c r="Y198" i="1"/>
  <c r="BP210" i="1"/>
  <c r="BN210" i="1"/>
  <c r="Z210" i="1"/>
  <c r="BP218" i="1"/>
  <c r="BN218" i="1"/>
  <c r="Z218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Y284" i="1"/>
  <c r="P505" i="1"/>
  <c r="Y290" i="1"/>
  <c r="BP287" i="1"/>
  <c r="BN287" i="1"/>
  <c r="Z287" i="1"/>
  <c r="Z289" i="1" s="1"/>
  <c r="BP300" i="1"/>
  <c r="BN300" i="1"/>
  <c r="Z300" i="1"/>
  <c r="BP308" i="1"/>
  <c r="BN308" i="1"/>
  <c r="Z308" i="1"/>
  <c r="Y312" i="1"/>
  <c r="BP316" i="1"/>
  <c r="BN316" i="1"/>
  <c r="Z316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H9" i="1"/>
  <c r="A10" i="1"/>
  <c r="Y32" i="1"/>
  <c r="Y44" i="1"/>
  <c r="Y69" i="1"/>
  <c r="Y77" i="1"/>
  <c r="Y81" i="1"/>
  <c r="Y90" i="1"/>
  <c r="Y96" i="1"/>
  <c r="Y105" i="1"/>
  <c r="Y113" i="1"/>
  <c r="Y119" i="1"/>
  <c r="Y130" i="1"/>
  <c r="Y145" i="1"/>
  <c r="Y155" i="1"/>
  <c r="Y159" i="1"/>
  <c r="Y165" i="1"/>
  <c r="Y187" i="1"/>
  <c r="Y202" i="1"/>
  <c r="BP222" i="1"/>
  <c r="BN222" i="1"/>
  <c r="Z222" i="1"/>
  <c r="F9" i="1"/>
  <c r="J9" i="1"/>
  <c r="Z22" i="1"/>
  <c r="Z24" i="1" s="1"/>
  <c r="BN22" i="1"/>
  <c r="BP22" i="1"/>
  <c r="X499" i="1"/>
  <c r="Y25" i="1"/>
  <c r="Z28" i="1"/>
  <c r="BN28" i="1"/>
  <c r="Z30" i="1"/>
  <c r="BN30" i="1"/>
  <c r="C505" i="1"/>
  <c r="Z42" i="1"/>
  <c r="Z44" i="1" s="1"/>
  <c r="BN42" i="1"/>
  <c r="Y45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Z69" i="1" s="1"/>
  <c r="BN67" i="1"/>
  <c r="BP67" i="1"/>
  <c r="Z73" i="1"/>
  <c r="BN73" i="1"/>
  <c r="Z75" i="1"/>
  <c r="BN75" i="1"/>
  <c r="Z79" i="1"/>
  <c r="Z81" i="1" s="1"/>
  <c r="BN79" i="1"/>
  <c r="BP79" i="1"/>
  <c r="E505" i="1"/>
  <c r="Z86" i="1"/>
  <c r="BN86" i="1"/>
  <c r="Z88" i="1"/>
  <c r="BN88" i="1"/>
  <c r="Y89" i="1"/>
  <c r="Z92" i="1"/>
  <c r="BN92" i="1"/>
  <c r="BP92" i="1"/>
  <c r="Z94" i="1"/>
  <c r="BN94" i="1"/>
  <c r="F505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J505" i="1"/>
  <c r="Z196" i="1"/>
  <c r="Z197" i="1" s="1"/>
  <c r="BN196" i="1"/>
  <c r="Y197" i="1"/>
  <c r="Z200" i="1"/>
  <c r="Z202" i="1" s="1"/>
  <c r="BN200" i="1"/>
  <c r="BP200" i="1"/>
  <c r="Y213" i="1"/>
  <c r="Z206" i="1"/>
  <c r="BN206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BP237" i="1"/>
  <c r="BN237" i="1"/>
  <c r="Z237" i="1"/>
  <c r="BP241" i="1"/>
  <c r="BN241" i="1"/>
  <c r="Z241" i="1"/>
  <c r="Y260" i="1"/>
  <c r="BP257" i="1"/>
  <c r="BN257" i="1"/>
  <c r="Z257" i="1"/>
  <c r="Y269" i="1"/>
  <c r="BP266" i="1"/>
  <c r="BN266" i="1"/>
  <c r="Z266" i="1"/>
  <c r="BP275" i="1"/>
  <c r="BN275" i="1"/>
  <c r="Z275" i="1"/>
  <c r="Y277" i="1"/>
  <c r="O505" i="1"/>
  <c r="Y283" i="1"/>
  <c r="BP280" i="1"/>
  <c r="BN280" i="1"/>
  <c r="Z280" i="1"/>
  <c r="Y289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Y319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Y339" i="1"/>
  <c r="Y338" i="1"/>
  <c r="BP343" i="1"/>
  <c r="BN343" i="1"/>
  <c r="Z343" i="1"/>
  <c r="Z345" i="1" s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U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181" i="1" l="1"/>
  <c r="Z32" i="1"/>
  <c r="Z447" i="1"/>
  <c r="Z419" i="1"/>
  <c r="Z382" i="1"/>
  <c r="Z268" i="1"/>
  <c r="Z230" i="1"/>
  <c r="Z213" i="1"/>
  <c r="Z129" i="1"/>
  <c r="Z119" i="1"/>
  <c r="Z64" i="1"/>
  <c r="Z338" i="1"/>
  <c r="Z469" i="1"/>
  <c r="Z105" i="1"/>
  <c r="Z58" i="1"/>
  <c r="Z319" i="1"/>
  <c r="Z243" i="1"/>
  <c r="Z456" i="1"/>
  <c r="Z154" i="1"/>
  <c r="Z112" i="1"/>
  <c r="Z89" i="1"/>
  <c r="Z76" i="1"/>
  <c r="Z357" i="1"/>
  <c r="Z276" i="1"/>
  <c r="Z259" i="1"/>
  <c r="Y495" i="1"/>
  <c r="Y497" i="1"/>
  <c r="Z402" i="1"/>
  <c r="Z332" i="1"/>
  <c r="Y499" i="1"/>
  <c r="Z441" i="1"/>
  <c r="Z312" i="1"/>
  <c r="Z303" i="1"/>
  <c r="Z283" i="1"/>
  <c r="Z225" i="1"/>
  <c r="Z96" i="1"/>
  <c r="Y496" i="1"/>
  <c r="Y498" i="1" s="1"/>
  <c r="Z500" i="1" l="1"/>
</calcChain>
</file>

<file path=xl/sharedStrings.xml><?xml version="1.0" encoding="utf-8"?>
<sst xmlns="http://schemas.openxmlformats.org/spreadsheetml/2006/main" count="2359" uniqueCount="782">
  <si>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</si>
  <si>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</si>
  <si>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</si>
  <si>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</si>
  <si>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</si>
  <si>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</si>
  <si>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</si>
  <si>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</si>
  <si>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</si>
  <si>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</si>
  <si>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</si>
  <si>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</si>
  <si>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</si>
  <si>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</si>
  <si>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</si>
  <si>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</si>
  <si>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</si>
  <si>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</si>
  <si>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</si>
  <si>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</si>
  <si>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</si>
  <si>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</si>
  <si>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</si>
  <si>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</si>
  <si>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</si>
  <si>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</si>
  <si>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</si>
  <si>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</si>
  <si>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</si>
  <si>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</si>
  <si>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</si>
  <si>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</si>
  <si>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</si>
  <si>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</si>
  <si>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</si>
  <si>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</si>
  <si>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</si>
  <si>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</si>
  <si>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</si>
  <si>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</si>
  <si>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</si>
  <si>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</si>
  <si>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</si>
  <si>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</si>
  <si>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</si>
  <si>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</si>
  <si>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</si>
  <si>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</si>
  <si>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</si>
  <si>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</si>
  <si>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</si>
  <si>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</si>
  <si>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</si>
  <si>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</si>
  <si>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</si>
  <si>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</si>
  <si>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</si>
  <si>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</si>
  <si>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</si>
  <si>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</si>
  <si>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</si>
  <si>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</si>
  <si>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</si>
  <si>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</si>
  <si>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</si>
  <si>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</si>
  <si>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</si>
  <si>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</si>
  <si>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</si>
  <si>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</si>
  <si>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</si>
  <si>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</si>
  <si>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</si>
  <si>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</si>
  <si>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</si>
  <si>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</si>
  <si>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</si>
  <si>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</si>
  <si>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</si>
  <si>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</si>
  <si>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</si>
  <si>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</si>
  <si>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</si>
  <si>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</si>
  <si>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</si>
  <si>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</si>
  <si>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</si>
  <si>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</si>
  <si>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</si>
  <si>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</si>
  <si>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</si>
  <si>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</si>
  <si>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</si>
  <si>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</si>
  <si>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</si>
  <si>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</si>
  <si>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</si>
  <si>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</si>
  <si>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</si>
  <si>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</si>
  <si>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</si>
  <si>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</si>
  <si>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</si>
  <si>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</si>
  <si>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</si>
  <si>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</si>
  <si>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</si>
  <si>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</si>
  <si>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</si>
  <si>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</si>
  <si>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</si>
  <si>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</si>
  <si>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</si>
  <si>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</si>
  <si>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</si>
  <si>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</si>
  <si>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</si>
  <si>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</si>
  <si>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</si>
  <si>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</si>
  <si>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</si>
  <si>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</si>
  <si>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</si>
  <si>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</si>
  <si>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</si>
  <si>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</si>
  <si>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</si>
  <si>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</si>
  <si>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</si>
  <si>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</si>
  <si>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</si>
  <si>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</si>
  <si>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</si>
  <si>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</si>
  <si>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</si>
  <si>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</si>
  <si>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</si>
  <si>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</si>
  <si>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</si>
  <si>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</si>
  <si>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</si>
  <si>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</si>
  <si>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</si>
  <si>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</si>
  <si>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</si>
  <si>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</si>
  <si>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</si>
  <si>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</si>
  <si>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</si>
  <si>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</si>
  <si>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</si>
  <si>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</si>
  <si>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</si>
  <si>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</si>
  <si>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</si>
  <si>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</si>
  <si>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</si>
  <si>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</si>
  <si>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</si>
  <si>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</si>
  <si>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</si>
  <si>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</si>
  <si>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</si>
  <si>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</si>
  <si>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</si>
  <si>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</si>
  <si>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</si>
  <si>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</si>
  <si>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</si>
  <si>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</si>
  <si>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</si>
  <si>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</si>
  <si>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</si>
  <si>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</si>
  <si>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</si>
  <si>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</si>
  <si>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</si>
  <si>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</si>
  <si>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</si>
  <si>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</si>
  <si>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</si>
  <si>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</si>
  <si>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</si>
  <si>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</si>
  <si>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</si>
  <si>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</si>
  <si>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</si>
  <si>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</si>
  <si>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</si>
  <si>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</si>
  <si>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</si>
  <si>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</si>
  <si>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</si>
  <si>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</si>
  <si>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</si>
  <si>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</si>
  <si>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</si>
  <si>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</si>
  <si>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</si>
  <si>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</si>
  <si>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</si>
  <si>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</si>
  <si>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</si>
  <si>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</si>
  <si>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</si>
  <si>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</si>
  <si>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</si>
  <si>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</si>
  <si>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</si>
  <si>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</si>
  <si>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</si>
  <si>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</si>
  <si>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</si>
  <si>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</si>
  <si>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</si>
  <si>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</si>
  <si>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</si>
  <si>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</si>
  <si>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</si>
  <si>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</si>
  <si>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</si>
  <si>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</si>
  <si>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</si>
  <si>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</si>
  <si>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</si>
  <si>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</si>
  <si>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</si>
  <si>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</si>
  <si>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</si>
  <si>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</si>
  <si>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</si>
  <si>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</si>
  <si>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</si>
  <si>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</si>
  <si>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</si>
  <si>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</si>
  <si>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</si>
  <si>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</si>
  <si>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</si>
  <si>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</si>
  <si>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</si>
  <si>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</si>
  <si>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</si>
  <si>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</si>
  <si>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</si>
  <si>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</si>
  <si>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</si>
  <si>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</si>
  <si>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</si>
  <si>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</si>
  <si>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</si>
  <si>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</si>
  <si>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</si>
  <si>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</si>
  <si>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</si>
  <si>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</si>
  <si>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</si>
  <si>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</si>
  <si>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</si>
  <si>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</si>
  <si>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</si>
  <si>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</si>
  <si>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</si>
  <si>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</si>
  <si>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</si>
  <si>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</si>
  <si>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</si>
  <si>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</si>
  <si>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</si>
  <si>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</si>
  <si>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</si>
  <si>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</si>
  <si>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</si>
  <si>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</si>
  <si>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</si>
  <si>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</si>
  <si>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</si>
  <si>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</si>
  <si>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</si>
  <si>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</si>
  <si>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</si>
  <si>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</si>
  <si>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</si>
  <si>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</si>
  <si>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</si>
  <si>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</si>
  <si>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</si>
  <si>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</si>
  <si>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</si>
  <si>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</si>
  <si>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</si>
  <si>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</si>
  <si>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</si>
  <si>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</si>
  <si>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</si>
  <si>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</si>
  <si>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</si>
  <si>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</si>
  <si>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</si>
  <si>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</si>
  <si>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</si>
  <si>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</si>
  <si>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</si>
  <si>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</si>
  <si>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</si>
  <si>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</si>
  <si>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</si>
  <si>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</si>
  <si>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</si>
  <si>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</si>
  <si>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</si>
  <si>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</si>
  <si>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</si>
  <si>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</si>
  <si>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</si>
  <si>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</si>
  <si>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</si>
  <si>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</si>
  <si>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</si>
  <si>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</si>
  <si>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</si>
  <si>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</si>
  <si>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</si>
  <si>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</si>
  <si>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</si>
  <si>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</si>
  <si>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</si>
  <si>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</si>
  <si>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</si>
  <si>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</si>
  <si>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</si>
  <si>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</si>
  <si>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</si>
  <si>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</si>
  <si>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</si>
  <si>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</si>
  <si>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</si>
  <si>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</si>
  <si>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</si>
  <si>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</si>
  <si>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</si>
  <si>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</si>
  <si>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</si>
  <si>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</si>
  <si>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</si>
  <si>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</si>
  <si>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</si>
  <si>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</si>
  <si>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</si>
  <si>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</si>
  <si>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</si>
  <si>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</si>
  <si>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</si>
  <si>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</si>
  <si>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</si>
  <si>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</si>
  <si>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</si>
  <si>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</si>
  <si>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</si>
  <si>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</si>
  <si>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</si>
  <si>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</si>
  <si>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</si>
  <si>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</si>
  <si>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</si>
  <si>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</si>
  <si>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</si>
  <si>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</si>
  <si>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</si>
  <si>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</si>
  <si>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</si>
  <si>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</si>
  <si>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</si>
  <si>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</si>
  <si>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</si>
  <si>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</si>
  <si>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</si>
  <si>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</si>
  <si>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</si>
  <si>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</si>
  <si>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</si>
  <si>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</si>
  <si>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</si>
  <si>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</si>
  <si>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</si>
  <si>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</si>
  <si>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</si>
  <si>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</si>
  <si>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</si>
  <si>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</si>
  <si>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</si>
  <si>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</si>
  <si>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</si>
  <si>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</si>
  <si>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</si>
  <si>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</si>
  <si>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</si>
  <si>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</si>
  <si>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</si>
  <si>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</si>
  <si>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</si>
  <si>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</si>
  <si>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</si>
  <si>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</si>
  <si>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</si>
  <si>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</si>
  <si>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</si>
  <si>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</si>
  <si>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</si>
  <si>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</si>
  <si>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</si>
  <si>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</si>
  <si>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</si>
  <si>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</si>
  <si>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</si>
  <si>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</si>
  <si>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</si>
  <si>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</si>
  <si>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</si>
  <si>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</si>
  <si>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</si>
  <si>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</si>
  <si>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</si>
  <si>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</si>
  <si>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</si>
  <si>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</si>
  <si>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</si>
  <si>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</si>
  <si>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</si>
  <si>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</si>
  <si>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</si>
  <si>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</si>
  <si>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</si>
  <si>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</si>
  <si>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</si>
  <si>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</si>
  <si>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</si>
  <si>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</si>
  <si>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</si>
  <si>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</si>
  <si>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</si>
  <si>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</si>
  <si>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</si>
  <si>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</si>
  <si>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</si>
  <si>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</si>
  <si>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</si>
  <si>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</si>
  <si>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</si>
  <si>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</si>
  <si>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</si>
  <si>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</si>
  <si>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</si>
  <si>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</si>
  <si>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</si>
  <si>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</si>
  <si>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</si>
  <si>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</si>
  <si>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</si>
  <si>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</si>
  <si>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</si>
  <si>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</si>
  <si>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</si>
  <si>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</si>
  <si>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</si>
  <si>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</si>
  <si>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</si>
  <si>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</si>
  <si>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</si>
  <si>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</si>
  <si>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</si>
  <si>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</si>
  <si>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</si>
  <si>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</si>
  <si>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</si>
  <si>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</si>
  <si>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</si>
  <si>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</si>
  <si>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</si>
  <si>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</si>
  <si>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</si>
  <si>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</si>
  <si>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</si>
  <si>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</si>
  <si>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</si>
  <si>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</si>
  <si>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</si>
  <si>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</si>
  <si>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</si>
  <si>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</si>
  <si>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</si>
  <si>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</si>
  <si>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</si>
  <si>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</si>
  <si>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</si>
  <si>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</si>
  <si>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</si>
  <si>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</si>
  <si>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</si>
  <si>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</si>
  <si>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</si>
  <si>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</si>
  <si>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</si>
  <si>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</si>
  <si>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</si>
  <si>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</si>
  <si>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</si>
  <si>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</si>
  <si>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</si>
  <si>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</si>
  <si>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</si>
  <si>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</si>
  <si>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</si>
  <si>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</si>
  <si>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</si>
  <si>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</si>
  <si>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</si>
  <si>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</si>
  <si>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</si>
  <si>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</si>
  <si>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</si>
  <si>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</si>
  <si>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</si>
  <si>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</si>
  <si>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</si>
  <si>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</si>
  <si>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</si>
  <si>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</si>
  <si>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</si>
  <si>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</si>
  <si>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</si>
  <si>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</si>
  <si>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</si>
  <si>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</si>
  <si>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</si>
  <si>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</si>
  <si>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</si>
  <si>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</si>
  <si>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</si>
  <si>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</si>
  <si>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</si>
  <si>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</si>
  <si>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</si>
  <si>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</si>
  <si>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</si>
  <si>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</si>
  <si>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</si>
  <si>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</si>
  <si>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</si>
  <si>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</si>
  <si>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</si>
  <si>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</si>
  <si>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</si>
  <si>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</si>
  <si>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</si>
  <si>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</si>
  <si>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</si>
  <si>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</si>
  <si>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</si>
  <si>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</si>
  <si>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</si>
  <si>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</si>
  <si>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</si>
  <si>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</si>
  <si>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</si>
  <si>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</si>
  <si>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</si>
  <si>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</si>
  <si>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</si>
  <si>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</si>
  <si>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</si>
  <si>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</si>
  <si>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</si>
  <si>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</si>
  <si>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</si>
  <si>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</si>
  <si>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</si>
  <si>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</si>
  <si>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</si>
  <si>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</si>
  <si>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</si>
  <si>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</si>
  <si>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</si>
  <si>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</si>
  <si>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</si>
  <si>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</si>
  <si>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</si>
  <si>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</si>
  <si>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</si>
  <si>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</si>
  <si>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</si>
  <si>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</si>
  <si>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</si>
  <si>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</si>
  <si>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</si>
  <si>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</si>
  <si>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</si>
  <si>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</si>
  <si>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</si>
  <si>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</si>
  <si>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</si>
  <si>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</si>
  <si>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</si>
  <si>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</si>
  <si>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</si>
  <si>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</si>
  <si>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</si>
  <si>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</si>
  <si>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</si>
  <si>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</si>
  <si>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</si>
  <si>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</si>
  <si>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</si>
  <si>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</si>
  <si>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</si>
  <si>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</si>
  <si>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</si>
  <si>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</si>
  <si>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</si>
  <si>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</si>
  <si>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</si>
  <si>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</si>
  <si>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</si>
  <si>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</si>
  <si>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</si>
  <si>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</si>
  <si>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</si>
  <si>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</si>
  <si>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</si>
  <si>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</si>
  <si>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</si>
  <si>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</si>
  <si>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</si>
  <si>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</si>
  <si>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</si>
  <si>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</si>
  <si>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</si>
  <si>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</si>
  <si>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</si>
  <si>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</si>
  <si>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</si>
  <si>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</si>
  <si>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</si>
  <si>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</si>
  <si>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</si>
  <si>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</si>
  <si>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</si>
  <si>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</si>
  <si>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</si>
  <si>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</si>
  <si>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</si>
  <si>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</si>
  <si>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</si>
  <si>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</si>
  <si>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</si>
  <si>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</si>
  <si>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</si>
  <si>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</si>
  <si>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</si>
  <si>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</si>
  <si>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</si>
  <si>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</si>
  <si>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</si>
  <si>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</si>
  <si>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</si>
  <si>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</si>
  <si>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</si>
  <si>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</si>
  <si>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</si>
  <si>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</si>
  <si>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</si>
  <si>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</si>
  <si>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</si>
  <si>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</si>
  <si>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</si>
  <si>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</si>
  <si>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</si>
  <si>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</si>
  <si>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</si>
  <si>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</si>
  <si>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</si>
  <si>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</si>
  <si>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</si>
  <si>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</si>
  <si>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</si>
  <si>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</si>
  <si>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</si>
  <si>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</si>
  <si>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</si>
  <si>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</si>
  <si>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</si>
  <si>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</si>
  <si>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</si>
  <si>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</si>
  <si>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</si>
  <si>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</si>
  <si>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</si>
  <si>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</si>
  <si>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</si>
  <si>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</si>
  <si>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</si>
  <si>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</si>
  <si>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</si>
  <si>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</si>
  <si>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</si>
  <si>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</si>
  <si>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</si>
  <si>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</si>
  <si>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</si>
  <si>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</si>
  <si>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</si>
  <si>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</si>
  <si>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</si>
  <si>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</si>
  <si>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</si>
  <si>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</si>
  <si>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</si>
  <si>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</si>
  <si>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</si>
  <si>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</si>
  <si>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</si>
  <si>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</si>
  <si>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</si>
  <si>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</si>
  <si>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</si>
  <si>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</si>
  <si>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</si>
  <si>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</si>
  <si>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</si>
  <si>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</si>
  <si>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</si>
  <si>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</si>
  <si>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</si>
  <si>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</si>
  <si>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</si>
  <si>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</si>
  <si>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</si>
  <si>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</si>
  <si>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</si>
  <si>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</si>
  <si>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</si>
  <si>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</si>
  <si>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</si>
  <si>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</si>
  <si>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</si>
  <si>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</si>
  <si>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</si>
  <si>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</si>
  <si>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</si>
  <si>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</si>
  <si>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</si>
  <si>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</si>
  <si>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</si>
  <si>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</si>
  <si>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</si>
  <si>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</si>
  <si>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</si>
  <si>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</si>
  <si>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</si>
  <si>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</si>
  <si>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</si>
  <si>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</si>
  <si>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</si>
  <si>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</si>
  <si>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</si>
  <si>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</si>
  <si>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</si>
  <si>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</si>
  <si>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</si>
  <si>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</si>
  <si>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</si>
  <si>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</si>
  <si>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</si>
  <si>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</si>
  <si>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</si>
  <si>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</si>
  <si>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</si>
  <si>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</si>
  <si>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</si>
  <si>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</si>
  <si>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</si>
  <si>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машимна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</si>
</sst>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46027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0.58333333333333337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150</v>
      </c>
      <c r="Y41" s="554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13.888888888888888</v>
      </c>
      <c r="Y44" s="555">
        <f>IFERROR(Y41/H41,"0")+IFERROR(Y42/H42,"0")+IFERROR(Y43/H43,"0")</f>
        <v>14</v>
      </c>
      <c r="Z44" s="555">
        <f>IFERROR(IF(Z41="",0,Z41),"0")+IFERROR(IF(Z42="",0,Z42),"0")+IFERROR(IF(Z43="",0,Z43),"0")</f>
        <v>0.26572000000000001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150</v>
      </c>
      <c r="Y45" s="555">
        <f>IFERROR(SUM(Y41:Y43),"0")</f>
        <v>151.20000000000002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30</v>
      </c>
      <c r="Y53" s="554">
        <f t="shared" si="0"/>
        <v>32.400000000000006</v>
      </c>
      <c r="Z53" s="36">
        <f>IFERROR(IF(Y53=0,"",ROUNDUP(Y53/H53,0)*0.01898),"")</f>
        <v>5.6940000000000004E-2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31.138888888888889</v>
      </c>
      <c r="BN53" s="64">
        <f t="shared" si="2"/>
        <v>33.630000000000003</v>
      </c>
      <c r="BO53" s="64">
        <f t="shared" si="3"/>
        <v>4.3402777777777776E-2</v>
      </c>
      <c r="BP53" s="64">
        <f t="shared" si="4"/>
        <v>4.6875000000000007E-2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2.7777777777777777</v>
      </c>
      <c r="Y58" s="555">
        <f>IFERROR(Y52/H52,"0")+IFERROR(Y53/H53,"0")+IFERROR(Y54/H54,"0")+IFERROR(Y55/H55,"0")+IFERROR(Y56/H56,"0")+IFERROR(Y57/H57,"0")</f>
        <v>3.0000000000000004</v>
      </c>
      <c r="Z58" s="555">
        <f>IFERROR(IF(Z52="",0,Z52),"0")+IFERROR(IF(Z53="",0,Z53),"0")+IFERROR(IF(Z54="",0,Z54),"0")+IFERROR(IF(Z55="",0,Z55),"0")+IFERROR(IF(Z56="",0,Z56),"0")+IFERROR(IF(Z57="",0,Z57),"0")</f>
        <v>5.6940000000000004E-2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30</v>
      </c>
      <c r="Y59" s="555">
        <f>IFERROR(SUM(Y52:Y57),"0")</f>
        <v>32.400000000000006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30</v>
      </c>
      <c r="Y61" s="554">
        <f>IFERROR(IF(X61="",0,CEILING((X61/$H61),1)*$H61),"")</f>
        <v>32.400000000000006</v>
      </c>
      <c r="Z61" s="36">
        <f>IFERROR(IF(Y61=0,"",ROUNDUP(Y61/H61,0)*0.01898),"")</f>
        <v>5.6940000000000004E-2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31.138888888888889</v>
      </c>
      <c r="BN61" s="64">
        <f>IFERROR(Y61*I61/H61,"0")</f>
        <v>33.630000000000003</v>
      </c>
      <c r="BO61" s="64">
        <f>IFERROR(1/J61*(X61/H61),"0")</f>
        <v>4.3402777777777776E-2</v>
      </c>
      <c r="BP61" s="64">
        <f>IFERROR(1/J61*(Y61/H61),"0")</f>
        <v>4.6875000000000007E-2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2.7777777777777777</v>
      </c>
      <c r="Y64" s="555">
        <f>IFERROR(Y61/H61,"0")+IFERROR(Y62/H62,"0")+IFERROR(Y63/H63,"0")</f>
        <v>3.0000000000000004</v>
      </c>
      <c r="Z64" s="555">
        <f>IFERROR(IF(Z61="",0,Z61),"0")+IFERROR(IF(Z62="",0,Z62),"0")+IFERROR(IF(Z63="",0,Z63),"0")</f>
        <v>5.6940000000000004E-2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30</v>
      </c>
      <c r="Y65" s="555">
        <f>IFERROR(SUM(Y61:Y63),"0")</f>
        <v>32.400000000000006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150</v>
      </c>
      <c r="Y85" s="554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13.888888888888888</v>
      </c>
      <c r="Y89" s="555">
        <f>IFERROR(Y85/H85,"0")+IFERROR(Y86/H86,"0")+IFERROR(Y87/H87,"0")+IFERROR(Y88/H88,"0")</f>
        <v>14</v>
      </c>
      <c r="Z89" s="555">
        <f>IFERROR(IF(Z85="",0,Z85),"0")+IFERROR(IF(Z86="",0,Z86),"0")+IFERROR(IF(Z87="",0,Z87),"0")+IFERROR(IF(Z88="",0,Z88),"0")</f>
        <v>0.26572000000000001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150</v>
      </c>
      <c r="Y90" s="555">
        <f>IFERROR(SUM(Y85:Y88),"0")</f>
        <v>151.20000000000002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100</v>
      </c>
      <c r="Y92" s="554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81</v>
      </c>
      <c r="Y94" s="554">
        <f>IFERROR(IF(X94="",0,CEILING((X94/$H94),1)*$H94),"")</f>
        <v>81</v>
      </c>
      <c r="Z94" s="36">
        <f>IFERROR(IF(Y94=0,"",ROUNDUP(Y94/H94,0)*0.00651),"")</f>
        <v>0.1953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88.559999999999988</v>
      </c>
      <c r="BN94" s="64">
        <f>IFERROR(Y94*I94/H94,"0")</f>
        <v>88.559999999999988</v>
      </c>
      <c r="BO94" s="64">
        <f>IFERROR(1/J94*(X94/H94),"0")</f>
        <v>0.16483516483516483</v>
      </c>
      <c r="BP94" s="64">
        <f>IFERROR(1/J94*(Y94/H94),"0")</f>
        <v>0.16483516483516483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42.345679012345677</v>
      </c>
      <c r="Y96" s="555">
        <f>IFERROR(Y92/H92,"0")+IFERROR(Y93/H93,"0")+IFERROR(Y94/H94,"0")+IFERROR(Y95/H95,"0")</f>
        <v>43</v>
      </c>
      <c r="Z96" s="555">
        <f>IFERROR(IF(Z92="",0,Z92),"0")+IFERROR(IF(Z93="",0,Z93),"0")+IFERROR(IF(Z94="",0,Z94),"0")+IFERROR(IF(Z95="",0,Z95),"0")</f>
        <v>0.44203999999999999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181</v>
      </c>
      <c r="Y97" s="555">
        <f>IFERROR(SUM(Y92:Y95),"0")</f>
        <v>186.3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120</v>
      </c>
      <c r="Y100" s="554">
        <f>IFERROR(IF(X100="",0,CEILING((X100/$H100),1)*$H100),"")</f>
        <v>129.60000000000002</v>
      </c>
      <c r="Z100" s="36">
        <f>IFERROR(IF(Y100=0,"",ROUNDUP(Y100/H100,0)*0.01898),"")</f>
        <v>0.22776000000000002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124.55555555555556</v>
      </c>
      <c r="BN100" s="64">
        <f>IFERROR(Y100*I100/H100,"0")</f>
        <v>134.52000000000001</v>
      </c>
      <c r="BO100" s="64">
        <f>IFERROR(1/J100*(X100/H100),"0")</f>
        <v>0.1736111111111111</v>
      </c>
      <c r="BP100" s="64">
        <f>IFERROR(1/J100*(Y100/H100),"0")</f>
        <v>0.18750000000000003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11.111111111111111</v>
      </c>
      <c r="Y105" s="555">
        <f>IFERROR(Y100/H100,"0")+IFERROR(Y101/H101,"0")+IFERROR(Y102/H102,"0")+IFERROR(Y103/H103,"0")+IFERROR(Y104/H104,"0")</f>
        <v>12.000000000000002</v>
      </c>
      <c r="Z105" s="555">
        <f>IFERROR(IF(Z100="",0,Z100),"0")+IFERROR(IF(Z101="",0,Z101),"0")+IFERROR(IF(Z102="",0,Z102),"0")+IFERROR(IF(Z103="",0,Z103),"0")+IFERROR(IF(Z104="",0,Z104),"0")</f>
        <v>0.22776000000000002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120</v>
      </c>
      <c r="Y106" s="555">
        <f>IFERROR(SUM(Y100:Y104),"0")</f>
        <v>129.60000000000002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100</v>
      </c>
      <c r="Y115" s="554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106.0246913580247</v>
      </c>
      <c r="BN115" s="64">
        <f>IFERROR(Y115*I115/H115,"0")</f>
        <v>111.64399999999999</v>
      </c>
      <c r="BO115" s="64">
        <f>IFERROR(1/J115*(X115/H115),"0")</f>
        <v>0.19290123456790123</v>
      </c>
      <c r="BP115" s="64">
        <f>IFERROR(1/J115*(Y115/H115),"0")</f>
        <v>0.203125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12.345679012345679</v>
      </c>
      <c r="Y119" s="555">
        <f>IFERROR(Y115/H115,"0")+IFERROR(Y116/H116,"0")+IFERROR(Y117/H117,"0")+IFERROR(Y118/H118,"0")</f>
        <v>13</v>
      </c>
      <c r="Z119" s="555">
        <f>IFERROR(IF(Z115="",0,Z115),"0")+IFERROR(IF(Z116="",0,Z116),"0")+IFERROR(IF(Z117="",0,Z117),"0")+IFERROR(IF(Z118="",0,Z118),"0")</f>
        <v>0.24674000000000001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100</v>
      </c>
      <c r="Y120" s="555">
        <f>IFERROR(SUM(Y115:Y118),"0")</f>
        <v>105.3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250</v>
      </c>
      <c r="Y169" s="554">
        <f t="shared" si="10"/>
        <v>252</v>
      </c>
      <c r="Z169" s="36">
        <f>IFERROR(IF(Y169=0,"",ROUNDUP(Y169/H169,0)*0.00902),"")</f>
        <v>0.54120000000000001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264.88095238095235</v>
      </c>
      <c r="BN169" s="64">
        <f t="shared" si="12"/>
        <v>267</v>
      </c>
      <c r="BO169" s="64">
        <f t="shared" si="13"/>
        <v>0.45093795093795092</v>
      </c>
      <c r="BP169" s="64">
        <f t="shared" si="14"/>
        <v>0.45454545454545459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70</v>
      </c>
      <c r="Y170" s="554">
        <f t="shared" si="10"/>
        <v>71.400000000000006</v>
      </c>
      <c r="Z170" s="36">
        <f>IFERROR(IF(Y170=0,"",ROUNDUP(Y170/H170,0)*0.00902),"")</f>
        <v>0.15334</v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74.166666666666657</v>
      </c>
      <c r="BN170" s="64">
        <f t="shared" si="12"/>
        <v>75.650000000000006</v>
      </c>
      <c r="BO170" s="64">
        <f t="shared" si="13"/>
        <v>0.12626262626262624</v>
      </c>
      <c r="BP170" s="64">
        <f t="shared" si="14"/>
        <v>0.12878787878787878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70</v>
      </c>
      <c r="Y171" s="554">
        <f t="shared" si="10"/>
        <v>71.400000000000006</v>
      </c>
      <c r="Z171" s="36">
        <f>IFERROR(IF(Y171=0,"",ROUNDUP(Y171/H171,0)*0.00902),"")</f>
        <v>0.15334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73.166666666666657</v>
      </c>
      <c r="BN171" s="64">
        <f t="shared" si="12"/>
        <v>74.63000000000001</v>
      </c>
      <c r="BO171" s="64">
        <f t="shared" si="13"/>
        <v>0.12626262626262624</v>
      </c>
      <c r="BP171" s="64">
        <f t="shared" si="14"/>
        <v>0.12878787878787878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16.8</v>
      </c>
      <c r="Y178" s="554">
        <f t="shared" si="10"/>
        <v>16.8</v>
      </c>
      <c r="Z178" s="36">
        <f>IFERROR(IF(Y178=0,"",ROUNDUP(Y178/H178,0)*0.00502),"")</f>
        <v>4.0160000000000001E-2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17.600000000000001</v>
      </c>
      <c r="BN178" s="64">
        <f t="shared" si="12"/>
        <v>17.600000000000001</v>
      </c>
      <c r="BO178" s="64">
        <f t="shared" si="13"/>
        <v>3.4188034188034191E-2</v>
      </c>
      <c r="BP178" s="64">
        <f t="shared" si="14"/>
        <v>3.4188034188034191E-2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100.85714285714283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102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0.88804000000000005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406.8</v>
      </c>
      <c r="Y182" s="555">
        <f>IFERROR(SUM(Y167:Y180),"0")</f>
        <v>411.59999999999997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370</v>
      </c>
      <c r="Y205" s="554">
        <f t="shared" ref="Y205:Y212" si="15">IFERROR(IF(X205="",0,CEILING((X205/$H205),1)*$H205),"")</f>
        <v>372.6</v>
      </c>
      <c r="Z205" s="36">
        <f>IFERROR(IF(Y205=0,"",ROUNDUP(Y205/H205,0)*0.00902),"")</f>
        <v>0.62238000000000004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383.01851851851842</v>
      </c>
      <c r="BN205" s="64">
        <f t="shared" ref="BN205:BN212" si="17">IFERROR(Y205*I205/H205,"0")</f>
        <v>385.71000000000004</v>
      </c>
      <c r="BO205" s="64">
        <f t="shared" ref="BO205:BO212" si="18">IFERROR(1/J205*(X205/H205),"0")</f>
        <v>0.51907968574635244</v>
      </c>
      <c r="BP205" s="64">
        <f t="shared" ref="BP205:BP212" si="19">IFERROR(1/J205*(Y205/H205),"0")</f>
        <v>0.52272727272727271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250</v>
      </c>
      <c r="Y206" s="554">
        <f t="shared" si="15"/>
        <v>253.8</v>
      </c>
      <c r="Z206" s="36">
        <f>IFERROR(IF(Y206=0,"",ROUNDUP(Y206/H206,0)*0.00902),"")</f>
        <v>0.42393999999999998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258.7962962962963</v>
      </c>
      <c r="BN206" s="64">
        <f t="shared" si="17"/>
        <v>262.72999999999996</v>
      </c>
      <c r="BO206" s="64">
        <f t="shared" si="18"/>
        <v>0.35072951739618402</v>
      </c>
      <c r="BP206" s="64">
        <f t="shared" si="19"/>
        <v>0.35606060606060608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300</v>
      </c>
      <c r="Y207" s="554">
        <f t="shared" si="15"/>
        <v>302.40000000000003</v>
      </c>
      <c r="Z207" s="36">
        <f>IFERROR(IF(Y207=0,"",ROUNDUP(Y207/H207,0)*0.00902),"")</f>
        <v>0.50512000000000001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310.55555555555554</v>
      </c>
      <c r="BN207" s="64">
        <f t="shared" si="17"/>
        <v>313.04000000000002</v>
      </c>
      <c r="BO207" s="64">
        <f t="shared" si="18"/>
        <v>0.42087542087542085</v>
      </c>
      <c r="BP207" s="64">
        <f t="shared" si="19"/>
        <v>0.42424242424242425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300</v>
      </c>
      <c r="Y208" s="554">
        <f t="shared" si="15"/>
        <v>302.40000000000003</v>
      </c>
      <c r="Z208" s="36">
        <f>IFERROR(IF(Y208=0,"",ROUNDUP(Y208/H208,0)*0.00902),"")</f>
        <v>0.50512000000000001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310.55555555555554</v>
      </c>
      <c r="BN208" s="64">
        <f t="shared" si="17"/>
        <v>313.04000000000002</v>
      </c>
      <c r="BO208" s="64">
        <f t="shared" si="18"/>
        <v>0.42087542087542085</v>
      </c>
      <c r="BP208" s="64">
        <f t="shared" si="19"/>
        <v>0.42424242424242425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225.9259259259259</v>
      </c>
      <c r="Y213" s="555">
        <f>IFERROR(Y205/H205,"0")+IFERROR(Y206/H206,"0")+IFERROR(Y207/H207,"0")+IFERROR(Y208/H208,"0")+IFERROR(Y209/H209,"0")+IFERROR(Y210/H210,"0")+IFERROR(Y211/H211,"0")+IFERROR(Y212/H212,"0")</f>
        <v>228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2.0565600000000002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1220</v>
      </c>
      <c r="Y214" s="555">
        <f>IFERROR(SUM(Y205:Y212),"0")</f>
        <v>1231.2000000000003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60</v>
      </c>
      <c r="Y216" s="554">
        <f t="shared" ref="Y216:Y224" si="20">IFERROR(IF(X216="",0,CEILING((X216/$H216),1)*$H216),"")</f>
        <v>64.8</v>
      </c>
      <c r="Z216" s="36">
        <f>IFERROR(IF(Y216=0,"",ROUNDUP(Y216/H216,0)*0.01898),"")</f>
        <v>0.15184</v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63.659259259259258</v>
      </c>
      <c r="BN216" s="64">
        <f t="shared" ref="BN216:BN224" si="22">IFERROR(Y216*I216/H216,"0")</f>
        <v>68.751999999999995</v>
      </c>
      <c r="BO216" s="64">
        <f t="shared" ref="BO216:BO224" si="23">IFERROR(1/J216*(X216/H216),"0")</f>
        <v>0.11574074074074074</v>
      </c>
      <c r="BP216" s="64">
        <f t="shared" ref="BP216:BP224" si="24">IFERROR(1/J216*(Y216/H216),"0")</f>
        <v>0.125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168</v>
      </c>
      <c r="Y219" s="554">
        <f t="shared" si="20"/>
        <v>168</v>
      </c>
      <c r="Z219" s="36">
        <f t="shared" ref="Z219:Z224" si="25">IFERROR(IF(Y219=0,"",ROUNDUP(Y219/H219,0)*0.00651),"")</f>
        <v>0.45569999999999999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186.9</v>
      </c>
      <c r="BN219" s="64">
        <f t="shared" si="22"/>
        <v>186.9</v>
      </c>
      <c r="BO219" s="64">
        <f t="shared" si="23"/>
        <v>0.38461538461538464</v>
      </c>
      <c r="BP219" s="64">
        <f t="shared" si="24"/>
        <v>0.38461538461538464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48</v>
      </c>
      <c r="Y222" s="554">
        <f t="shared" si="20"/>
        <v>48</v>
      </c>
      <c r="Z222" s="36">
        <f t="shared" si="25"/>
        <v>0.13020000000000001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53.040000000000006</v>
      </c>
      <c r="BN222" s="64">
        <f t="shared" si="22"/>
        <v>53.040000000000006</v>
      </c>
      <c r="BO222" s="64">
        <f t="shared" si="23"/>
        <v>0.1098901098901099</v>
      </c>
      <c r="BP222" s="64">
        <f t="shared" si="24"/>
        <v>0.1098901098901099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48</v>
      </c>
      <c r="Y223" s="554">
        <f t="shared" si="20"/>
        <v>48</v>
      </c>
      <c r="Z223" s="36">
        <f t="shared" si="25"/>
        <v>0.13020000000000001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53.040000000000006</v>
      </c>
      <c r="BN223" s="64">
        <f t="shared" si="22"/>
        <v>53.040000000000006</v>
      </c>
      <c r="BO223" s="64">
        <f t="shared" si="23"/>
        <v>0.1098901098901099</v>
      </c>
      <c r="BP223" s="64">
        <f t="shared" si="24"/>
        <v>0.1098901098901099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48</v>
      </c>
      <c r="Y224" s="554">
        <f t="shared" si="20"/>
        <v>48</v>
      </c>
      <c r="Z224" s="36">
        <f t="shared" si="25"/>
        <v>0.13020000000000001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53.160000000000004</v>
      </c>
      <c r="BN224" s="64">
        <f t="shared" si="22"/>
        <v>53.160000000000004</v>
      </c>
      <c r="BO224" s="64">
        <f t="shared" si="23"/>
        <v>0.1098901098901099</v>
      </c>
      <c r="BP224" s="64">
        <f t="shared" si="24"/>
        <v>0.1098901098901099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143.15453384418902</v>
      </c>
      <c r="Y225" s="555">
        <f>IFERROR(Y216/H216,"0")+IFERROR(Y217/H217,"0")+IFERROR(Y218/H218,"0")+IFERROR(Y219/H219,"0")+IFERROR(Y220/H220,"0")+IFERROR(Y221/H221,"0")+IFERROR(Y222/H222,"0")+IFERROR(Y223/H223,"0")+IFERROR(Y224/H224,"0")</f>
        <v>144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1.11202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422</v>
      </c>
      <c r="Y226" s="555">
        <f>IFERROR(SUM(Y216:Y224),"0")</f>
        <v>429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9.6000000000000014</v>
      </c>
      <c r="Y228" s="554">
        <f>IFERROR(IF(X228="",0,CEILING((X228/$H228),1)*$H228),"")</f>
        <v>9.6</v>
      </c>
      <c r="Z228" s="36">
        <f>IFERROR(IF(Y228=0,"",ROUNDUP(Y228/H228,0)*0.00651),"")</f>
        <v>2.6040000000000001E-2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10.608000000000002</v>
      </c>
      <c r="BN228" s="64">
        <f>IFERROR(Y228*I228/H228,"0")</f>
        <v>10.608000000000001</v>
      </c>
      <c r="BO228" s="64">
        <f>IFERROR(1/J228*(X228/H228),"0")</f>
        <v>2.1978021978021983E-2</v>
      </c>
      <c r="BP228" s="64">
        <f>IFERROR(1/J228*(Y228/H228),"0")</f>
        <v>2.197802197802198E-2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9.6000000000000014</v>
      </c>
      <c r="Y229" s="554">
        <f>IFERROR(IF(X229="",0,CEILING((X229/$H229),1)*$H229),"")</f>
        <v>9.6</v>
      </c>
      <c r="Z229" s="36">
        <f>IFERROR(IF(Y229=0,"",ROUNDUP(Y229/H229,0)*0.00651),"")</f>
        <v>2.6040000000000001E-2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10.608000000000002</v>
      </c>
      <c r="BN229" s="64">
        <f>IFERROR(Y229*I229/H229,"0")</f>
        <v>10.608000000000001</v>
      </c>
      <c r="BO229" s="64">
        <f>IFERROR(1/J229*(X229/H229),"0")</f>
        <v>2.1978021978021983E-2</v>
      </c>
      <c r="BP229" s="64">
        <f>IFERROR(1/J229*(Y229/H229),"0")</f>
        <v>2.197802197802198E-2</v>
      </c>
    </row>
    <row r="230" spans="1:68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8.0000000000000018</v>
      </c>
      <c r="Y230" s="555">
        <f>IFERROR(Y228/H228,"0")+IFERROR(Y229/H229,"0")</f>
        <v>8</v>
      </c>
      <c r="Z230" s="555">
        <f>IFERROR(IF(Z228="",0,Z228),"0")+IFERROR(IF(Z229="",0,Z229),"0")</f>
        <v>5.2080000000000001E-2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19.200000000000003</v>
      </c>
      <c r="Y231" s="555">
        <f>IFERROR(SUM(Y228:Y229),"0")</f>
        <v>19.2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50</v>
      </c>
      <c r="Y322" s="554">
        <f>IFERROR(IF(X322="",0,CEILING((X322/$H322),1)*$H322),"")</f>
        <v>50.400000000000006</v>
      </c>
      <c r="Z322" s="36">
        <f>IFERROR(IF(Y322=0,"",ROUNDUP(Y322/H322,0)*0.01898),"")</f>
        <v>0.11388000000000001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52.94047619047619</v>
      </c>
      <c r="BN322" s="64">
        <f>IFERROR(Y322*I322/H322,"0")</f>
        <v>53.364000000000004</v>
      </c>
      <c r="BO322" s="64">
        <f>IFERROR(1/J322*(X322/H322),"0")</f>
        <v>9.3005952380952384E-2</v>
      </c>
      <c r="BP322" s="64">
        <f>IFERROR(1/J322*(Y322/H322),"0")</f>
        <v>9.375E-2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100</v>
      </c>
      <c r="Y323" s="554">
        <f>IFERROR(IF(X323="",0,CEILING((X323/$H323),1)*$H323),"")</f>
        <v>101.39999999999999</v>
      </c>
      <c r="Z323" s="36">
        <f>IFERROR(IF(Y323=0,"",ROUNDUP(Y323/H323,0)*0.01898),"")</f>
        <v>0.24674000000000001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106.33333333333334</v>
      </c>
      <c r="BN323" s="64">
        <f>IFERROR(Y323*I323/H323,"0")</f>
        <v>107.82199999999999</v>
      </c>
      <c r="BO323" s="64">
        <f>IFERROR(1/J323*(X323/H323),"0")</f>
        <v>0.20032051282051283</v>
      </c>
      <c r="BP323" s="64">
        <f>IFERROR(1/J323*(Y323/H323),"0")</f>
        <v>0.203125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24</v>
      </c>
      <c r="Y324" s="554">
        <f>IFERROR(IF(X324="",0,CEILING((X324/$H324),1)*$H324),"")</f>
        <v>25.200000000000003</v>
      </c>
      <c r="Z324" s="36">
        <f>IFERROR(IF(Y324=0,"",ROUNDUP(Y324/H324,0)*0.01898),"")</f>
        <v>5.6940000000000004E-2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25.411428571428573</v>
      </c>
      <c r="BN324" s="64">
        <f>IFERROR(Y324*I324/H324,"0")</f>
        <v>26.682000000000002</v>
      </c>
      <c r="BO324" s="64">
        <f>IFERROR(1/J324*(X324/H324),"0")</f>
        <v>4.4642857142857144E-2</v>
      </c>
      <c r="BP324" s="64">
        <f>IFERROR(1/J324*(Y324/H324),"0")</f>
        <v>4.6875E-2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21.630036630036631</v>
      </c>
      <c r="Y325" s="555">
        <f>IFERROR(Y322/H322,"0")+IFERROR(Y323/H323,"0")+IFERROR(Y324/H324,"0")</f>
        <v>22</v>
      </c>
      <c r="Z325" s="555">
        <f>IFERROR(IF(Z322="",0,Z322),"0")+IFERROR(IF(Z323="",0,Z323),"0")+IFERROR(IF(Z324="",0,Z324),"0")</f>
        <v>0.41756000000000004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174</v>
      </c>
      <c r="Y326" s="555">
        <f>IFERROR(SUM(Y322:Y324),"0")</f>
        <v>177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2000</v>
      </c>
      <c r="Y350" s="554">
        <f t="shared" ref="Y350:Y356" si="36">IFERROR(IF(X350="",0,CEILING((X350/$H350),1)*$H350),"")</f>
        <v>2010</v>
      </c>
      <c r="Z350" s="36">
        <f>IFERROR(IF(Y350=0,"",ROUNDUP(Y350/H350,0)*0.02175),"")</f>
        <v>2.9144999999999999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2062.6666666666665</v>
      </c>
      <c r="BN350" s="64">
        <f t="shared" ref="BN350:BN356" si="38">IFERROR(Y350*I350/H350,"0")</f>
        <v>2072.98</v>
      </c>
      <c r="BO350" s="64">
        <f t="shared" ref="BO350:BO356" si="39">IFERROR(1/J350*(X350/H350),"0")</f>
        <v>2.7777777777777777</v>
      </c>
      <c r="BP350" s="64">
        <f t="shared" ref="BP350:BP356" si="40">IFERROR(1/J350*(Y350/H350),"0")</f>
        <v>2.7916666666666665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2000</v>
      </c>
      <c r="Y351" s="554">
        <f t="shared" si="36"/>
        <v>2010</v>
      </c>
      <c r="Z351" s="36">
        <f>IFERROR(IF(Y351=0,"",ROUNDUP(Y351/H351,0)*0.02175),"")</f>
        <v>2.9144999999999999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2062.6666666666665</v>
      </c>
      <c r="BN351" s="64">
        <f t="shared" si="38"/>
        <v>2072.98</v>
      </c>
      <c r="BO351" s="64">
        <f t="shared" si="39"/>
        <v>2.7777777777777777</v>
      </c>
      <c r="BP351" s="64">
        <f t="shared" si="40"/>
        <v>2.7916666666666665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3000</v>
      </c>
      <c r="Y352" s="554">
        <f t="shared" si="36"/>
        <v>3000</v>
      </c>
      <c r="Z352" s="36">
        <f>IFERROR(IF(Y352=0,"",ROUNDUP(Y352/H352,0)*0.02175),"")</f>
        <v>4.3499999999999996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3094</v>
      </c>
      <c r="BN352" s="64">
        <f t="shared" si="38"/>
        <v>3094</v>
      </c>
      <c r="BO352" s="64">
        <f t="shared" si="39"/>
        <v>4.1666666666666661</v>
      </c>
      <c r="BP352" s="64">
        <f t="shared" si="40"/>
        <v>4.1666666666666661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466.66666666666669</v>
      </c>
      <c r="Y357" s="555">
        <f>IFERROR(Y350/H350,"0")+IFERROR(Y351/H351,"0")+IFERROR(Y352/H352,"0")+IFERROR(Y353/H353,"0")+IFERROR(Y354/H354,"0")+IFERROR(Y355/H355,"0")+IFERROR(Y356/H356,"0")</f>
        <v>468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10.178999999999998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7000</v>
      </c>
      <c r="Y358" s="555">
        <f>IFERROR(SUM(Y350:Y356),"0")</f>
        <v>7020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3000</v>
      </c>
      <c r="Y360" s="554">
        <f>IFERROR(IF(X360="",0,CEILING((X360/$H360),1)*$H360),"")</f>
        <v>3000</v>
      </c>
      <c r="Z360" s="36">
        <f>IFERROR(IF(Y360=0,"",ROUNDUP(Y360/H360,0)*0.02175),"")</f>
        <v>4.3499999999999996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3094</v>
      </c>
      <c r="BN360" s="64">
        <f>IFERROR(Y360*I360/H360,"0")</f>
        <v>3094</v>
      </c>
      <c r="BO360" s="64">
        <f>IFERROR(1/J360*(X360/H360),"0")</f>
        <v>4.1666666666666661</v>
      </c>
      <c r="BP360" s="64">
        <f>IFERROR(1/J360*(Y360/H360),"0")</f>
        <v>4.1666666666666661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200</v>
      </c>
      <c r="Y362" s="555">
        <f>IFERROR(Y360/H360,"0")+IFERROR(Y361/H361,"0")</f>
        <v>200</v>
      </c>
      <c r="Z362" s="555">
        <f>IFERROR(IF(Z360="",0,Z360),"0")+IFERROR(IF(Z361="",0,Z361),"0")</f>
        <v>4.3499999999999996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3000</v>
      </c>
      <c r="Y363" s="555">
        <f>IFERROR(SUM(Y360:Y361),"0")</f>
        <v>3000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250</v>
      </c>
      <c r="Y370" s="554">
        <f>IFERROR(IF(X370="",0,CEILING((X370/$H370),1)*$H370),"")</f>
        <v>252</v>
      </c>
      <c r="Z370" s="36">
        <f>IFERROR(IF(Y370=0,"",ROUNDUP(Y370/H370,0)*0.01898),"")</f>
        <v>0.53144000000000002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263.72222222222223</v>
      </c>
      <c r="BN370" s="64">
        <f>IFERROR(Y370*I370/H370,"0")</f>
        <v>265.83199999999999</v>
      </c>
      <c r="BO370" s="64">
        <f>IFERROR(1/J370*(X370/H370),"0")</f>
        <v>0.43402777777777779</v>
      </c>
      <c r="BP370" s="64">
        <f>IFERROR(1/J370*(Y370/H370),"0")</f>
        <v>0.4375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27.777777777777779</v>
      </c>
      <c r="Y371" s="555">
        <f>IFERROR(Y370/H370,"0")</f>
        <v>28</v>
      </c>
      <c r="Z371" s="555">
        <f>IFERROR(IF(Z370="",0,Z370),"0")</f>
        <v>0.53144000000000002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250</v>
      </c>
      <c r="Y372" s="555">
        <f>IFERROR(SUM(Y370:Y370),"0")</f>
        <v>252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130</v>
      </c>
      <c r="Y385" s="554">
        <f>IFERROR(IF(X385="",0,CEILING((X385/$H385),1)*$H385),"")</f>
        <v>135</v>
      </c>
      <c r="Z385" s="36">
        <f>IFERROR(IF(Y385=0,"",ROUNDUP(Y385/H385,0)*0.01898),"")</f>
        <v>0.28470000000000001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137.13555555555556</v>
      </c>
      <c r="BN385" s="64">
        <f>IFERROR(Y385*I385/H385,"0")</f>
        <v>142.41</v>
      </c>
      <c r="BO385" s="64">
        <f>IFERROR(1/J385*(X385/H385),"0")</f>
        <v>0.22569444444444445</v>
      </c>
      <c r="BP385" s="64">
        <f>IFERROR(1/J385*(Y385/H385),"0")</f>
        <v>0.234375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14.444444444444445</v>
      </c>
      <c r="Y388" s="555">
        <f>IFERROR(Y385/H385,"0")+IFERROR(Y386/H386,"0")+IFERROR(Y387/H387,"0")</f>
        <v>15</v>
      </c>
      <c r="Z388" s="555">
        <f>IFERROR(IF(Z385="",0,Z385),"0")+IFERROR(IF(Z386="",0,Z386),"0")+IFERROR(IF(Z387="",0,Z387),"0")</f>
        <v>0.28470000000000001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130</v>
      </c>
      <c r="Y389" s="555">
        <f>IFERROR(SUM(Y385:Y387),"0")</f>
        <v>135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120</v>
      </c>
      <c r="Y393" s="554">
        <f t="shared" ref="Y393:Y401" si="41">IFERROR(IF(X393="",0,CEILING((X393/$H393),1)*$H393),"")</f>
        <v>124.2</v>
      </c>
      <c r="Z393" s="36">
        <f>IFERROR(IF(Y393=0,"",ROUNDUP(Y393/H393,0)*0.00902),"")</f>
        <v>0.20746000000000001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124.2222222222222</v>
      </c>
      <c r="BN393" s="64">
        <f t="shared" ref="BN393:BN401" si="43">IFERROR(Y393*I393/H393,"0")</f>
        <v>128.57</v>
      </c>
      <c r="BO393" s="64">
        <f t="shared" ref="BO393:BO401" si="44">IFERROR(1/J393*(X393/H393),"0")</f>
        <v>0.16835016835016836</v>
      </c>
      <c r="BP393" s="64">
        <f t="shared" ref="BP393:BP401" si="45">IFERROR(1/J393*(Y393/H393),"0")</f>
        <v>0.17424242424242425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70</v>
      </c>
      <c r="Y394" s="554">
        <f t="shared" si="41"/>
        <v>70.2</v>
      </c>
      <c r="Z394" s="36">
        <f>IFERROR(IF(Y394=0,"",ROUNDUP(Y394/H394,0)*0.00902),"")</f>
        <v>0.11726</v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72.462962962962962</v>
      </c>
      <c r="BN394" s="64">
        <f t="shared" si="43"/>
        <v>72.67</v>
      </c>
      <c r="BO394" s="64">
        <f t="shared" si="44"/>
        <v>9.8204264870931535E-2</v>
      </c>
      <c r="BP394" s="64">
        <f t="shared" si="45"/>
        <v>9.8484848484848481E-2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250</v>
      </c>
      <c r="Y395" s="554">
        <f t="shared" si="41"/>
        <v>253.8</v>
      </c>
      <c r="Z395" s="36">
        <f>IFERROR(IF(Y395=0,"",ROUNDUP(Y395/H395,0)*0.00902),"")</f>
        <v>0.42393999999999998</v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258.7962962962963</v>
      </c>
      <c r="BN395" s="64">
        <f t="shared" si="43"/>
        <v>262.72999999999996</v>
      </c>
      <c r="BO395" s="64">
        <f t="shared" si="44"/>
        <v>0.35072951739618402</v>
      </c>
      <c r="BP395" s="64">
        <f t="shared" si="45"/>
        <v>0.35606060606060608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16.8</v>
      </c>
      <c r="Y398" s="554">
        <f t="shared" si="41"/>
        <v>16.8</v>
      </c>
      <c r="Z398" s="36">
        <f t="shared" si="46"/>
        <v>4.0160000000000001E-2</v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17.84</v>
      </c>
      <c r="BN398" s="64">
        <f t="shared" si="43"/>
        <v>17.84</v>
      </c>
      <c r="BO398" s="64">
        <f t="shared" si="44"/>
        <v>3.4188034188034191E-2</v>
      </c>
      <c r="BP398" s="64">
        <f t="shared" si="45"/>
        <v>3.4188034188034191E-2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12.6</v>
      </c>
      <c r="Y400" s="554">
        <f t="shared" si="41"/>
        <v>12.600000000000001</v>
      </c>
      <c r="Z400" s="36">
        <f t="shared" si="46"/>
        <v>3.0120000000000001E-2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13.379999999999999</v>
      </c>
      <c r="BN400" s="64">
        <f t="shared" si="43"/>
        <v>13.38</v>
      </c>
      <c r="BO400" s="64">
        <f t="shared" si="44"/>
        <v>2.5641025641025644E-2</v>
      </c>
      <c r="BP400" s="64">
        <f t="shared" si="45"/>
        <v>2.5641025641025644E-2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12.6</v>
      </c>
      <c r="Y401" s="554">
        <f t="shared" si="41"/>
        <v>12.600000000000001</v>
      </c>
      <c r="Z401" s="36">
        <f t="shared" si="46"/>
        <v>3.0120000000000001E-2</v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13.379999999999999</v>
      </c>
      <c r="BN401" s="64">
        <f t="shared" si="43"/>
        <v>13.38</v>
      </c>
      <c r="BO401" s="64">
        <f t="shared" si="44"/>
        <v>2.5641025641025644E-2</v>
      </c>
      <c r="BP401" s="64">
        <f t="shared" si="45"/>
        <v>2.5641025641025644E-2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101.48148148148147</v>
      </c>
      <c r="Y402" s="555">
        <f>IFERROR(Y393/H393,"0")+IFERROR(Y394/H394,"0")+IFERROR(Y395/H395,"0")+IFERROR(Y396/H396,"0")+IFERROR(Y397/H397,"0")+IFERROR(Y398/H398,"0")+IFERROR(Y399/H399,"0")+IFERROR(Y400/H400,"0")+IFERROR(Y401/H401,"0")</f>
        <v>103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0.84906000000000004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482.00000000000006</v>
      </c>
      <c r="Y403" s="555">
        <f>IFERROR(SUM(Y393:Y401),"0")</f>
        <v>490.2000000000001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500</v>
      </c>
      <c r="Y415" s="554">
        <f>IFERROR(IF(X415="",0,CEILING((X415/$H415),1)*$H415),"")</f>
        <v>502.20000000000005</v>
      </c>
      <c r="Z415" s="36">
        <f>IFERROR(IF(Y415=0,"",ROUNDUP(Y415/H415,0)*0.00902),"")</f>
        <v>0.83886000000000005</v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517.59259259259261</v>
      </c>
      <c r="BN415" s="64">
        <f>IFERROR(Y415*I415/H415,"0")</f>
        <v>519.87</v>
      </c>
      <c r="BO415" s="64">
        <f>IFERROR(1/J415*(X415/H415),"0")</f>
        <v>0.70145903479236804</v>
      </c>
      <c r="BP415" s="64">
        <f>IFERROR(1/J415*(Y415/H415),"0")</f>
        <v>0.70454545454545459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33.599999999999987</v>
      </c>
      <c r="Y416" s="554">
        <f>IFERROR(IF(X416="",0,CEILING((X416/$H416),1)*$H416),"")</f>
        <v>33.6</v>
      </c>
      <c r="Z416" s="36">
        <f>IFERROR(IF(Y416=0,"",ROUNDUP(Y416/H416,0)*0.00502),"")</f>
        <v>8.0320000000000003E-2</v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35.679999999999986</v>
      </c>
      <c r="BN416" s="64">
        <f>IFERROR(Y416*I416/H416,"0")</f>
        <v>35.68</v>
      </c>
      <c r="BO416" s="64">
        <f>IFERROR(1/J416*(X416/H416),"0")</f>
        <v>6.8376068376068355E-2</v>
      </c>
      <c r="BP416" s="64">
        <f>IFERROR(1/J416*(Y416/H416),"0")</f>
        <v>6.8376068376068383E-2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108.59259259259258</v>
      </c>
      <c r="Y419" s="555">
        <f>IFERROR(Y415/H415,"0")+IFERROR(Y416/H416,"0")+IFERROR(Y417/H417,"0")+IFERROR(Y418/H418,"0")</f>
        <v>109</v>
      </c>
      <c r="Z419" s="555">
        <f>IFERROR(IF(Z415="",0,Z415),"0")+IFERROR(IF(Z416="",0,Z416),"0")+IFERROR(IF(Z417="",0,Z417),"0")+IFERROR(IF(Z418="",0,Z418),"0")</f>
        <v>0.91918000000000011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533.6</v>
      </c>
      <c r="Y420" s="555">
        <f>IFERROR(SUM(Y415:Y418),"0")</f>
        <v>535.80000000000007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50</v>
      </c>
      <c r="Y432" s="554">
        <f t="shared" si="47"/>
        <v>52.800000000000004</v>
      </c>
      <c r="Z432" s="36">
        <f t="shared" si="48"/>
        <v>0.1196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53.314393939393938</v>
      </c>
      <c r="BN432" s="64">
        <f t="shared" si="50"/>
        <v>56.3</v>
      </c>
      <c r="BO432" s="64">
        <f t="shared" si="51"/>
        <v>9.1054778554778545E-2</v>
      </c>
      <c r="BP432" s="64">
        <f t="shared" si="52"/>
        <v>9.6153846153846159E-2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50</v>
      </c>
      <c r="Y433" s="554">
        <f t="shared" si="47"/>
        <v>52.800000000000004</v>
      </c>
      <c r="Z433" s="36">
        <f t="shared" si="48"/>
        <v>0.1196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53.314393939393938</v>
      </c>
      <c r="BN433" s="64">
        <f t="shared" si="50"/>
        <v>56.3</v>
      </c>
      <c r="BO433" s="64">
        <f t="shared" si="51"/>
        <v>9.1054778554778545E-2</v>
      </c>
      <c r="BP433" s="64">
        <f t="shared" si="52"/>
        <v>9.6153846153846159E-2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100</v>
      </c>
      <c r="Y435" s="554">
        <f t="shared" si="47"/>
        <v>100.32000000000001</v>
      </c>
      <c r="Z435" s="36">
        <f t="shared" si="48"/>
        <v>0.22724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106.62878787878788</v>
      </c>
      <c r="BN435" s="64">
        <f t="shared" si="50"/>
        <v>106.97</v>
      </c>
      <c r="BO435" s="64">
        <f t="shared" si="51"/>
        <v>0.18210955710955709</v>
      </c>
      <c r="BP435" s="64">
        <f t="shared" si="52"/>
        <v>0.18269230769230771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37.878787878787875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39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0.46643999999999997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200</v>
      </c>
      <c r="Y442" s="555">
        <f>IFERROR(SUM(Y429:Y440),"0")</f>
        <v>205.92000000000002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100</v>
      </c>
      <c r="Y444" s="554">
        <f>IFERROR(IF(X444="",0,CEILING((X444/$H444),1)*$H444),"")</f>
        <v>100.32000000000001</v>
      </c>
      <c r="Z444" s="36">
        <f>IFERROR(IF(Y444=0,"",ROUNDUP(Y444/H444,0)*0.01196),"")</f>
        <v>0.22724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106.62878787878788</v>
      </c>
      <c r="BN444" s="64">
        <f>IFERROR(Y444*I444/H444,"0")</f>
        <v>106.97</v>
      </c>
      <c r="BO444" s="64">
        <f>IFERROR(1/J444*(X444/H444),"0")</f>
        <v>0.18210955710955709</v>
      </c>
      <c r="BP444" s="64">
        <f>IFERROR(1/J444*(Y444/H444),"0")</f>
        <v>0.18269230769230771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18.939393939393938</v>
      </c>
      <c r="Y447" s="555">
        <f>IFERROR(Y444/H444,"0")+IFERROR(Y445/H445,"0")+IFERROR(Y446/H446,"0")</f>
        <v>19</v>
      </c>
      <c r="Z447" s="555">
        <f>IFERROR(IF(Z444="",0,Z444),"0")+IFERROR(IF(Z445="",0,Z445),"0")+IFERROR(IF(Z446="",0,Z446),"0")</f>
        <v>0.22724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100</v>
      </c>
      <c r="Y448" s="555">
        <f>IFERROR(SUM(Y444:Y446),"0")</f>
        <v>100.32000000000001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150</v>
      </c>
      <c r="Y450" s="554">
        <f t="shared" ref="Y450:Y455" si="53">IFERROR(IF(X450="",0,CEILING((X450/$H450),1)*$H450),"")</f>
        <v>153.12</v>
      </c>
      <c r="Z450" s="36">
        <f>IFERROR(IF(Y450=0,"",ROUNDUP(Y450/H450,0)*0.01196),"")</f>
        <v>0.34683999999999998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159.94318181818181</v>
      </c>
      <c r="BN450" s="64">
        <f t="shared" ref="BN450:BN455" si="55">IFERROR(Y450*I450/H450,"0")</f>
        <v>163.26999999999998</v>
      </c>
      <c r="BO450" s="64">
        <f t="shared" ref="BO450:BO455" si="56">IFERROR(1/J450*(X450/H450),"0")</f>
        <v>0.27316433566433568</v>
      </c>
      <c r="BP450" s="64">
        <f t="shared" ref="BP450:BP455" si="57">IFERROR(1/J450*(Y450/H450),"0")</f>
        <v>0.27884615384615385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50</v>
      </c>
      <c r="Y452" s="554">
        <f t="shared" si="53"/>
        <v>52.800000000000004</v>
      </c>
      <c r="Z452" s="36">
        <f>IFERROR(IF(Y452=0,"",ROUNDUP(Y452/H452,0)*0.01196),"")</f>
        <v>0.1196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53.314393939393938</v>
      </c>
      <c r="BN452" s="64">
        <f t="shared" si="55"/>
        <v>56.3</v>
      </c>
      <c r="BO452" s="64">
        <f t="shared" si="56"/>
        <v>9.1054778554778545E-2</v>
      </c>
      <c r="BP452" s="64">
        <f t="shared" si="57"/>
        <v>9.6153846153846159E-2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37.878787878787875</v>
      </c>
      <c r="Y456" s="555">
        <f>IFERROR(Y450/H450,"0")+IFERROR(Y451/H451,"0")+IFERROR(Y452/H452,"0")+IFERROR(Y453/H453,"0")+IFERROR(Y454/H454,"0")+IFERROR(Y455/H455,"0")</f>
        <v>39</v>
      </c>
      <c r="Z456" s="555">
        <f>IFERROR(IF(Z450="",0,Z450),"0")+IFERROR(IF(Z451="",0,Z451),"0")+IFERROR(IF(Z452="",0,Z452),"0")+IFERROR(IF(Z453="",0,Z453),"0")+IFERROR(IF(Z454="",0,Z454),"0")+IFERROR(IF(Z455="",0,Z455),"0")</f>
        <v>0.46643999999999997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200</v>
      </c>
      <c r="Y457" s="555">
        <f>IFERROR(SUM(Y450:Y455),"0")</f>
        <v>205.92000000000002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150</v>
      </c>
      <c r="Y477" s="554">
        <f>IFERROR(IF(X477="",0,CEILING((X477/$H477),1)*$H477),"")</f>
        <v>151.20000000000002</v>
      </c>
      <c r="Z477" s="36">
        <f>IFERROR(IF(Y477=0,"",ROUNDUP(Y477/H477,0)*0.00902),"")</f>
        <v>0.32472000000000001</v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158.92857142857142</v>
      </c>
      <c r="BN477" s="64">
        <f>IFERROR(Y477*I477/H477,"0")</f>
        <v>160.20000000000002</v>
      </c>
      <c r="BO477" s="64">
        <f>IFERROR(1/J477*(X477/H477),"0")</f>
        <v>0.27056277056277056</v>
      </c>
      <c r="BP477" s="64">
        <f>IFERROR(1/J477*(Y477/H477),"0")</f>
        <v>0.27272727272727271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35.714285714285715</v>
      </c>
      <c r="Y479" s="555">
        <f>IFERROR(Y477/H477,"0")+IFERROR(Y478/H478,"0")</f>
        <v>36</v>
      </c>
      <c r="Z479" s="555">
        <f>IFERROR(IF(Z477="",0,Z477),"0")+IFERROR(IF(Z478="",0,Z478),"0")</f>
        <v>0.32472000000000001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150</v>
      </c>
      <c r="Y480" s="555">
        <f>IFERROR(SUM(Y477:Y478),"0")</f>
        <v>151.20000000000002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500</v>
      </c>
      <c r="Y482" s="554">
        <f>IFERROR(IF(X482="",0,CEILING((X482/$H482),1)*$H482),"")</f>
        <v>504</v>
      </c>
      <c r="Z482" s="36">
        <f>IFERROR(IF(Y482=0,"",ROUNDUP(Y482/H482,0)*0.01898),"")</f>
        <v>1.06288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527.44444444444446</v>
      </c>
      <c r="BN482" s="64">
        <f>IFERROR(Y482*I482/H482,"0")</f>
        <v>531.66399999999999</v>
      </c>
      <c r="BO482" s="64">
        <f>IFERROR(1/J482*(X482/H482),"0")</f>
        <v>0.86805555555555558</v>
      </c>
      <c r="BP482" s="64">
        <f>IFERROR(1/J482*(Y482/H482),"0")</f>
        <v>0.875</v>
      </c>
    </row>
    <row r="483" spans="1:68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55.555555555555557</v>
      </c>
      <c r="Y483" s="555">
        <f>IFERROR(Y482/H482,"0")</f>
        <v>56</v>
      </c>
      <c r="Z483" s="555">
        <f>IFERROR(IF(Z482="",0,Z482),"0")</f>
        <v>1.06288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500</v>
      </c>
      <c r="Y484" s="555">
        <f>IFERROR(SUM(Y482:Y482),"0")</f>
        <v>504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15548.6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15656.76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16147.247608918964</v>
      </c>
      <c r="Y496" s="555">
        <f>IFERROR(SUM(BN22:BN492),"0")</f>
        <v>16260.421999999997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24</v>
      </c>
      <c r="Y497" s="38">
        <f>ROUNDUP(SUM(BP22:BP492),0)</f>
        <v>24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16747.247608918966</v>
      </c>
      <c r="Y498" s="555">
        <f>GrossWeightTotalR+PalletQtyTotalR*25</f>
        <v>16860.421999999999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1703.6332156562044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1718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25.749219999999998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151.20000000000002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64.800000000000011</v>
      </c>
      <c r="E505" s="46">
        <f>IFERROR(Y85*1,"0")+IFERROR(Y86*1,"0")+IFERROR(Y87*1,"0")+IFERROR(Y88*1,"0")+IFERROR(Y92*1,"0")+IFERROR(Y93*1,"0")+IFERROR(Y94*1,"0")+IFERROR(Y95*1,"0")</f>
        <v>337.5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234.90000000000003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411.59999999999997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1679.4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177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10272</v>
      </c>
      <c r="T505" s="46">
        <f>IFERROR(Y375*1,"0")+IFERROR(Y376*1,"0")+IFERROR(Y380*1,"0")+IFERROR(Y381*1,"0")+IFERROR(Y385*1,"0")+IFERROR(Y386*1,"0")+IFERROR(Y387*1,"0")</f>
        <v>135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490.2000000000001</v>
      </c>
      <c r="V505" s="46">
        <f>IFERROR(Y411*1,"0")+IFERROR(Y415*1,"0")+IFERROR(Y416*1,"0")+IFERROR(Y417*1,"0")+IFERROR(Y418*1,"0")</f>
        <v>535.80000000000007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512.16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655.20000000000005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20,00"/>
        <filter val="1 703,63"/>
        <filter val="100,00"/>
        <filter val="100,86"/>
        <filter val="101,48"/>
        <filter val="108,59"/>
        <filter val="11,11"/>
        <filter val="12,35"/>
        <filter val="12,60"/>
        <filter val="120,00"/>
        <filter val="13,89"/>
        <filter val="130,00"/>
        <filter val="14,44"/>
        <filter val="143,15"/>
        <filter val="15 548,60"/>
        <filter val="150,00"/>
        <filter val="16 147,25"/>
        <filter val="16 747,25"/>
        <filter val="16,80"/>
        <filter val="168,00"/>
        <filter val="174,00"/>
        <filter val="18,94"/>
        <filter val="181,00"/>
        <filter val="19,20"/>
        <filter val="2 000,00"/>
        <filter val="2,78"/>
        <filter val="200,00"/>
        <filter val="21,63"/>
        <filter val="225,93"/>
        <filter val="24"/>
        <filter val="24,00"/>
        <filter val="250,00"/>
        <filter val="27,78"/>
        <filter val="3 000,00"/>
        <filter val="30,00"/>
        <filter val="300,00"/>
        <filter val="33,60"/>
        <filter val="35,71"/>
        <filter val="37,88"/>
        <filter val="370,00"/>
        <filter val="406,80"/>
        <filter val="42,35"/>
        <filter val="422,00"/>
        <filter val="466,67"/>
        <filter val="48,00"/>
        <filter val="482,00"/>
        <filter val="50,00"/>
        <filter val="500,00"/>
        <filter val="533,60"/>
        <filter val="55,56"/>
        <filter val="60,00"/>
        <filter val="7 000,00"/>
        <filter val="70,00"/>
        <filter val="8,00"/>
        <filter val="81,00"/>
        <filter val="9,6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2025-12-29T12:07:10Z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