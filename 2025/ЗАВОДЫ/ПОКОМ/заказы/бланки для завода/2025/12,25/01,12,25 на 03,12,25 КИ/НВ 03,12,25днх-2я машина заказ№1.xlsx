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7A8E19E-2D92-4BC2-A89B-DA56E07A8E5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BP472" i="1" s="1"/>
  <c r="P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BP450" i="1" s="1"/>
  <c r="P450" i="1"/>
  <c r="X448" i="1"/>
  <c r="X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BP436" i="1" s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BP424" i="1" s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O397" i="1"/>
  <c r="BM397" i="1"/>
  <c r="Y397" i="1"/>
  <c r="Y399" i="1" s="1"/>
  <c r="P397" i="1"/>
  <c r="X395" i="1"/>
  <c r="X394" i="1"/>
  <c r="BO393" i="1"/>
  <c r="BM393" i="1"/>
  <c r="Y393" i="1"/>
  <c r="P393" i="1"/>
  <c r="BO392" i="1"/>
  <c r="BM392" i="1"/>
  <c r="Y392" i="1"/>
  <c r="BP392" i="1" s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1" i="1"/>
  <c r="X380" i="1"/>
  <c r="BO379" i="1"/>
  <c r="BM379" i="1"/>
  <c r="Y379" i="1"/>
  <c r="BO378" i="1"/>
  <c r="BM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O372" i="1"/>
  <c r="BM372" i="1"/>
  <c r="Y372" i="1"/>
  <c r="Y374" i="1" s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X359" i="1"/>
  <c r="BO358" i="1"/>
  <c r="BM358" i="1"/>
  <c r="Y358" i="1"/>
  <c r="P358" i="1"/>
  <c r="BO357" i="1"/>
  <c r="BM357" i="1"/>
  <c r="Y357" i="1"/>
  <c r="Z357" i="1" s="1"/>
  <c r="P357" i="1"/>
  <c r="X355" i="1"/>
  <c r="X354" i="1"/>
  <c r="BO353" i="1"/>
  <c r="BM353" i="1"/>
  <c r="Y353" i="1"/>
  <c r="P353" i="1"/>
  <c r="BO352" i="1"/>
  <c r="BM352" i="1"/>
  <c r="Y352" i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BP343" i="1" s="1"/>
  <c r="P343" i="1"/>
  <c r="BO342" i="1"/>
  <c r="BM342" i="1"/>
  <c r="Y342" i="1"/>
  <c r="P342" i="1"/>
  <c r="X338" i="1"/>
  <c r="X337" i="1"/>
  <c r="BO336" i="1"/>
  <c r="BM336" i="1"/>
  <c r="Y336" i="1"/>
  <c r="P336" i="1"/>
  <c r="BO335" i="1"/>
  <c r="BM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O320" i="1"/>
  <c r="BM320" i="1"/>
  <c r="Y320" i="1"/>
  <c r="BP320" i="1" s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O314" i="1"/>
  <c r="BM314" i="1"/>
  <c r="Y314" i="1"/>
  <c r="P314" i="1"/>
  <c r="X312" i="1"/>
  <c r="X311" i="1"/>
  <c r="BO310" i="1"/>
  <c r="BM310" i="1"/>
  <c r="Y310" i="1"/>
  <c r="BP310" i="1" s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BP298" i="1" s="1"/>
  <c r="P298" i="1"/>
  <c r="BO297" i="1"/>
  <c r="BM297" i="1"/>
  <c r="Y297" i="1"/>
  <c r="P297" i="1"/>
  <c r="X295" i="1"/>
  <c r="X294" i="1"/>
  <c r="BO293" i="1"/>
  <c r="BM293" i="1"/>
  <c r="Y293" i="1"/>
  <c r="P293" i="1"/>
  <c r="BO292" i="1"/>
  <c r="BM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X286" i="1"/>
  <c r="X285" i="1"/>
  <c r="BO284" i="1"/>
  <c r="BM284" i="1"/>
  <c r="Y284" i="1"/>
  <c r="P284" i="1"/>
  <c r="BO283" i="1"/>
  <c r="BM283" i="1"/>
  <c r="Y283" i="1"/>
  <c r="BP283" i="1" s="1"/>
  <c r="P283" i="1"/>
  <c r="X281" i="1"/>
  <c r="X280" i="1"/>
  <c r="BO279" i="1"/>
  <c r="BM279" i="1"/>
  <c r="Y279" i="1"/>
  <c r="BP279" i="1" s="1"/>
  <c r="P279" i="1"/>
  <c r="BO278" i="1"/>
  <c r="BM278" i="1"/>
  <c r="Y278" i="1"/>
  <c r="Y280" i="1" s="1"/>
  <c r="P278" i="1"/>
  <c r="X275" i="1"/>
  <c r="X274" i="1"/>
  <c r="BO273" i="1"/>
  <c r="BM273" i="1"/>
  <c r="Y273" i="1"/>
  <c r="P273" i="1"/>
  <c r="BO272" i="1"/>
  <c r="BM272" i="1"/>
  <c r="Y272" i="1"/>
  <c r="BP272" i="1" s="1"/>
  <c r="P272" i="1"/>
  <c r="BO271" i="1"/>
  <c r="BM271" i="1"/>
  <c r="Y271" i="1"/>
  <c r="P271" i="1"/>
  <c r="X268" i="1"/>
  <c r="X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X260" i="1"/>
  <c r="X259" i="1"/>
  <c r="BO258" i="1"/>
  <c r="BM258" i="1"/>
  <c r="Y258" i="1"/>
  <c r="BP258" i="1" s="1"/>
  <c r="P258" i="1"/>
  <c r="BO257" i="1"/>
  <c r="BM257" i="1"/>
  <c r="Y257" i="1"/>
  <c r="P257" i="1"/>
  <c r="BO256" i="1"/>
  <c r="BM256" i="1"/>
  <c r="Y256" i="1"/>
  <c r="BP256" i="1" s="1"/>
  <c r="P256" i="1"/>
  <c r="BO255" i="1"/>
  <c r="BM255" i="1"/>
  <c r="Y255" i="1"/>
  <c r="P255" i="1"/>
  <c r="BO254" i="1"/>
  <c r="BM254" i="1"/>
  <c r="Y254" i="1"/>
  <c r="Y260" i="1" s="1"/>
  <c r="P254" i="1"/>
  <c r="X251" i="1"/>
  <c r="X250" i="1"/>
  <c r="BP249" i="1"/>
  <c r="BO249" i="1"/>
  <c r="BN249" i="1"/>
  <c r="BM249" i="1"/>
  <c r="Z249" i="1"/>
  <c r="Y249" i="1"/>
  <c r="P249" i="1"/>
  <c r="BO248" i="1"/>
  <c r="BM248" i="1"/>
  <c r="Y248" i="1"/>
  <c r="P248" i="1"/>
  <c r="BO247" i="1"/>
  <c r="BM247" i="1"/>
  <c r="Y247" i="1"/>
  <c r="BP247" i="1" s="1"/>
  <c r="P247" i="1"/>
  <c r="BO246" i="1"/>
  <c r="BM246" i="1"/>
  <c r="Y246" i="1"/>
  <c r="P246" i="1"/>
  <c r="BO245" i="1"/>
  <c r="BM245" i="1"/>
  <c r="Y245" i="1"/>
  <c r="BP245" i="1" s="1"/>
  <c r="P245" i="1"/>
  <c r="X243" i="1"/>
  <c r="X242" i="1"/>
  <c r="BO241" i="1"/>
  <c r="BM241" i="1"/>
  <c r="Y241" i="1"/>
  <c r="Y243" i="1" s="1"/>
  <c r="P241" i="1"/>
  <c r="X239" i="1"/>
  <c r="X238" i="1"/>
  <c r="BO237" i="1"/>
  <c r="BM237" i="1"/>
  <c r="Y237" i="1"/>
  <c r="Y239" i="1" s="1"/>
  <c r="P237" i="1"/>
  <c r="X235" i="1"/>
  <c r="X234" i="1"/>
  <c r="BO233" i="1"/>
  <c r="BM233" i="1"/>
  <c r="Y233" i="1"/>
  <c r="BP233" i="1" s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O229" i="1"/>
  <c r="BM229" i="1"/>
  <c r="Y229" i="1"/>
  <c r="BP229" i="1" s="1"/>
  <c r="P229" i="1"/>
  <c r="BO228" i="1"/>
  <c r="BM228" i="1"/>
  <c r="Y228" i="1"/>
  <c r="P228" i="1"/>
  <c r="BO227" i="1"/>
  <c r="BM227" i="1"/>
  <c r="Y227" i="1"/>
  <c r="BP227" i="1" s="1"/>
  <c r="P227" i="1"/>
  <c r="BO226" i="1"/>
  <c r="BM226" i="1"/>
  <c r="Y226" i="1"/>
  <c r="P226" i="1"/>
  <c r="BO225" i="1"/>
  <c r="BM225" i="1"/>
  <c r="Y225" i="1"/>
  <c r="BP225" i="1" s="1"/>
  <c r="P225" i="1"/>
  <c r="BO224" i="1"/>
  <c r="BM224" i="1"/>
  <c r="Y224" i="1"/>
  <c r="P224" i="1"/>
  <c r="X221" i="1"/>
  <c r="X220" i="1"/>
  <c r="BO219" i="1"/>
  <c r="BM219" i="1"/>
  <c r="Y219" i="1"/>
  <c r="P219" i="1"/>
  <c r="BP218" i="1"/>
  <c r="BO218" i="1"/>
  <c r="BN218" i="1"/>
  <c r="BM218" i="1"/>
  <c r="Z218" i="1"/>
  <c r="Y218" i="1"/>
  <c r="P218" i="1"/>
  <c r="X216" i="1"/>
  <c r="X215" i="1"/>
  <c r="BO214" i="1"/>
  <c r="BM214" i="1"/>
  <c r="Y214" i="1"/>
  <c r="BP214" i="1" s="1"/>
  <c r="P214" i="1"/>
  <c r="BO213" i="1"/>
  <c r="BM213" i="1"/>
  <c r="Y213" i="1"/>
  <c r="P213" i="1"/>
  <c r="BO212" i="1"/>
  <c r="BM212" i="1"/>
  <c r="Y212" i="1"/>
  <c r="P212" i="1"/>
  <c r="BO211" i="1"/>
  <c r="BM211" i="1"/>
  <c r="Y211" i="1"/>
  <c r="BP211" i="1" s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X204" i="1"/>
  <c r="X203" i="1"/>
  <c r="BO202" i="1"/>
  <c r="BM202" i="1"/>
  <c r="Y202" i="1"/>
  <c r="P202" i="1"/>
  <c r="BO201" i="1"/>
  <c r="BM201" i="1"/>
  <c r="Y201" i="1"/>
  <c r="BP201" i="1" s="1"/>
  <c r="P201" i="1"/>
  <c r="BO200" i="1"/>
  <c r="BM200" i="1"/>
  <c r="Y200" i="1"/>
  <c r="P200" i="1"/>
  <c r="BO199" i="1"/>
  <c r="BM199" i="1"/>
  <c r="Y199" i="1"/>
  <c r="BP199" i="1" s="1"/>
  <c r="P199" i="1"/>
  <c r="BO198" i="1"/>
  <c r="BM198" i="1"/>
  <c r="Y198" i="1"/>
  <c r="P198" i="1"/>
  <c r="BO197" i="1"/>
  <c r="BM197" i="1"/>
  <c r="Y197" i="1"/>
  <c r="BP197" i="1" s="1"/>
  <c r="P197" i="1"/>
  <c r="BO196" i="1"/>
  <c r="BM196" i="1"/>
  <c r="Y196" i="1"/>
  <c r="Y204" i="1" s="1"/>
  <c r="P196" i="1"/>
  <c r="BP195" i="1"/>
  <c r="BO195" i="1"/>
  <c r="BN195" i="1"/>
  <c r="BM195" i="1"/>
  <c r="Z195" i="1"/>
  <c r="Y195" i="1"/>
  <c r="P195" i="1"/>
  <c r="X193" i="1"/>
  <c r="Y192" i="1"/>
  <c r="X192" i="1"/>
  <c r="BP191" i="1"/>
  <c r="BO191" i="1"/>
  <c r="BN191" i="1"/>
  <c r="BM191" i="1"/>
  <c r="Z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BP185" i="1" s="1"/>
  <c r="P185" i="1"/>
  <c r="X182" i="1"/>
  <c r="X181" i="1"/>
  <c r="BO180" i="1"/>
  <c r="BM180" i="1"/>
  <c r="Y180" i="1"/>
  <c r="Y182" i="1" s="1"/>
  <c r="P180" i="1"/>
  <c r="X178" i="1"/>
  <c r="X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BP174" i="1" s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P169" i="1"/>
  <c r="BO168" i="1"/>
  <c r="BM168" i="1"/>
  <c r="Y168" i="1"/>
  <c r="BP168" i="1" s="1"/>
  <c r="P168" i="1"/>
  <c r="BO167" i="1"/>
  <c r="BM167" i="1"/>
  <c r="Y167" i="1"/>
  <c r="P167" i="1"/>
  <c r="BO166" i="1"/>
  <c r="BM166" i="1"/>
  <c r="Y166" i="1"/>
  <c r="BP166" i="1" s="1"/>
  <c r="P166" i="1"/>
  <c r="BO165" i="1"/>
  <c r="BM165" i="1"/>
  <c r="Y165" i="1"/>
  <c r="BO164" i="1"/>
  <c r="BM164" i="1"/>
  <c r="Y164" i="1"/>
  <c r="P164" i="1"/>
  <c r="BO163" i="1"/>
  <c r="BM163" i="1"/>
  <c r="Y163" i="1"/>
  <c r="BP163" i="1" s="1"/>
  <c r="P163" i="1"/>
  <c r="BO162" i="1"/>
  <c r="BM162" i="1"/>
  <c r="Y162" i="1"/>
  <c r="P162" i="1"/>
  <c r="BO161" i="1"/>
  <c r="BM161" i="1"/>
  <c r="Y161" i="1"/>
  <c r="Y172" i="1" s="1"/>
  <c r="P161" i="1"/>
  <c r="X159" i="1"/>
  <c r="X158" i="1"/>
  <c r="BO157" i="1"/>
  <c r="BM157" i="1"/>
  <c r="Y157" i="1"/>
  <c r="Y158" i="1" s="1"/>
  <c r="P157" i="1"/>
  <c r="X153" i="1"/>
  <c r="X152" i="1"/>
  <c r="BO151" i="1"/>
  <c r="BM151" i="1"/>
  <c r="Y151" i="1"/>
  <c r="Y153" i="1" s="1"/>
  <c r="P151" i="1"/>
  <c r="X149" i="1"/>
  <c r="X148" i="1"/>
  <c r="BP147" i="1"/>
  <c r="BO147" i="1"/>
  <c r="BN147" i="1"/>
  <c r="BM147" i="1"/>
  <c r="Z147" i="1"/>
  <c r="Y147" i="1"/>
  <c r="P147" i="1"/>
  <c r="BO146" i="1"/>
  <c r="BM146" i="1"/>
  <c r="Y146" i="1"/>
  <c r="P146" i="1"/>
  <c r="BO145" i="1"/>
  <c r="BM145" i="1"/>
  <c r="Y145" i="1"/>
  <c r="BP145" i="1" s="1"/>
  <c r="P145" i="1"/>
  <c r="X143" i="1"/>
  <c r="X142" i="1"/>
  <c r="BO141" i="1"/>
  <c r="BM141" i="1"/>
  <c r="Y141" i="1"/>
  <c r="BP141" i="1" s="1"/>
  <c r="P141" i="1"/>
  <c r="BO140" i="1"/>
  <c r="BM140" i="1"/>
  <c r="Y140" i="1"/>
  <c r="Y142" i="1" s="1"/>
  <c r="P140" i="1"/>
  <c r="X137" i="1"/>
  <c r="X136" i="1"/>
  <c r="BO135" i="1"/>
  <c r="BM135" i="1"/>
  <c r="Y135" i="1"/>
  <c r="P135" i="1"/>
  <c r="BO134" i="1"/>
  <c r="BM134" i="1"/>
  <c r="Y134" i="1"/>
  <c r="BP134" i="1" s="1"/>
  <c r="P134" i="1"/>
  <c r="X132" i="1"/>
  <c r="X131" i="1"/>
  <c r="BO130" i="1"/>
  <c r="BM130" i="1"/>
  <c r="Y130" i="1"/>
  <c r="BP130" i="1" s="1"/>
  <c r="P130" i="1"/>
  <c r="BO129" i="1"/>
  <c r="BM129" i="1"/>
  <c r="Y129" i="1"/>
  <c r="Y131" i="1" s="1"/>
  <c r="P129" i="1"/>
  <c r="X127" i="1"/>
  <c r="X126" i="1"/>
  <c r="BO125" i="1"/>
  <c r="BM125" i="1"/>
  <c r="Y125" i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O115" i="1"/>
  <c r="BM115" i="1"/>
  <c r="Y115" i="1"/>
  <c r="BP115" i="1" s="1"/>
  <c r="P115" i="1"/>
  <c r="BO114" i="1"/>
  <c r="BM114" i="1"/>
  <c r="Y114" i="1"/>
  <c r="P114" i="1"/>
  <c r="BO113" i="1"/>
  <c r="BM113" i="1"/>
  <c r="Y113" i="1"/>
  <c r="BP113" i="1" s="1"/>
  <c r="P113" i="1"/>
  <c r="BO112" i="1"/>
  <c r="BM112" i="1"/>
  <c r="Y112" i="1"/>
  <c r="P112" i="1"/>
  <c r="X110" i="1"/>
  <c r="X109" i="1"/>
  <c r="BO108" i="1"/>
  <c r="BM108" i="1"/>
  <c r="Y108" i="1"/>
  <c r="P108" i="1"/>
  <c r="BO107" i="1"/>
  <c r="BM107" i="1"/>
  <c r="Y107" i="1"/>
  <c r="BP107" i="1" s="1"/>
  <c r="P107" i="1"/>
  <c r="BO106" i="1"/>
  <c r="BM106" i="1"/>
  <c r="Y106" i="1"/>
  <c r="P106" i="1"/>
  <c r="X104" i="1"/>
  <c r="X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O99" i="1"/>
  <c r="BM99" i="1"/>
  <c r="Y99" i="1"/>
  <c r="BP99" i="1" s="1"/>
  <c r="P99" i="1"/>
  <c r="X96" i="1"/>
  <c r="X95" i="1"/>
  <c r="BO94" i="1"/>
  <c r="BM94" i="1"/>
  <c r="Y94" i="1"/>
  <c r="BP94" i="1" s="1"/>
  <c r="P94" i="1"/>
  <c r="BO93" i="1"/>
  <c r="BM93" i="1"/>
  <c r="Y93" i="1"/>
  <c r="P93" i="1"/>
  <c r="BO92" i="1"/>
  <c r="BM92" i="1"/>
  <c r="Y92" i="1"/>
  <c r="BP92" i="1" s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Y81" i="1" s="1"/>
  <c r="P79" i="1"/>
  <c r="X77" i="1"/>
  <c r="X76" i="1"/>
  <c r="BO75" i="1"/>
  <c r="BM75" i="1"/>
  <c r="Y75" i="1"/>
  <c r="BP75" i="1" s="1"/>
  <c r="P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P61" i="1"/>
  <c r="BO60" i="1"/>
  <c r="BM60" i="1"/>
  <c r="Y60" i="1"/>
  <c r="BP60" i="1" s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Y26" i="1"/>
  <c r="P26" i="1"/>
  <c r="X24" i="1"/>
  <c r="X23" i="1"/>
  <c r="X493" i="1" s="1"/>
  <c r="BO22" i="1"/>
  <c r="BM22" i="1"/>
  <c r="X490" i="1" s="1"/>
  <c r="Y22" i="1"/>
  <c r="P22" i="1"/>
  <c r="H10" i="1"/>
  <c r="A9" i="1"/>
  <c r="A10" i="1" s="1"/>
  <c r="D7" i="1"/>
  <c r="Q6" i="1"/>
  <c r="P2" i="1"/>
  <c r="Z41" i="1" l="1"/>
  <c r="BN41" i="1"/>
  <c r="Y57" i="1"/>
  <c r="Z60" i="1"/>
  <c r="BN60" i="1"/>
  <c r="Y63" i="1"/>
  <c r="Z75" i="1"/>
  <c r="BN75" i="1"/>
  <c r="Z94" i="1"/>
  <c r="BN94" i="1"/>
  <c r="Z113" i="1"/>
  <c r="BN113" i="1"/>
  <c r="Z134" i="1"/>
  <c r="BN134" i="1"/>
  <c r="Z163" i="1"/>
  <c r="BN163" i="1"/>
  <c r="Z166" i="1"/>
  <c r="BN166" i="1"/>
  <c r="Z176" i="1"/>
  <c r="BN176" i="1"/>
  <c r="Z199" i="1"/>
  <c r="BN199" i="1"/>
  <c r="Z211" i="1"/>
  <c r="BN211" i="1"/>
  <c r="Z227" i="1"/>
  <c r="BN227" i="1"/>
  <c r="Z237" i="1"/>
  <c r="Z238" i="1" s="1"/>
  <c r="BN237" i="1"/>
  <c r="BP237" i="1"/>
  <c r="Y238" i="1"/>
  <c r="Z241" i="1"/>
  <c r="Z242" i="1" s="1"/>
  <c r="BN241" i="1"/>
  <c r="BP241" i="1"/>
  <c r="Y242" i="1"/>
  <c r="Z245" i="1"/>
  <c r="BN245" i="1"/>
  <c r="Z256" i="1"/>
  <c r="BN256" i="1"/>
  <c r="Z272" i="1"/>
  <c r="BN272" i="1"/>
  <c r="Z298" i="1"/>
  <c r="BN298" i="1"/>
  <c r="Z310" i="1"/>
  <c r="BN310" i="1"/>
  <c r="Z320" i="1"/>
  <c r="BN320" i="1"/>
  <c r="Z343" i="1"/>
  <c r="BN343" i="1"/>
  <c r="Z392" i="1"/>
  <c r="BN392" i="1"/>
  <c r="Z424" i="1"/>
  <c r="BN424" i="1"/>
  <c r="Z436" i="1"/>
  <c r="BN436" i="1"/>
  <c r="Z450" i="1"/>
  <c r="BN450" i="1"/>
  <c r="Z472" i="1"/>
  <c r="BN472" i="1"/>
  <c r="BP300" i="1"/>
  <c r="BN300" i="1"/>
  <c r="Z300" i="1"/>
  <c r="Y318" i="1"/>
  <c r="BP314" i="1"/>
  <c r="BN314" i="1"/>
  <c r="Z314" i="1"/>
  <c r="BP335" i="1"/>
  <c r="BN335" i="1"/>
  <c r="Z335" i="1"/>
  <c r="BP353" i="1"/>
  <c r="BN353" i="1"/>
  <c r="Z353" i="1"/>
  <c r="BP373" i="1"/>
  <c r="BN373" i="1"/>
  <c r="Z373" i="1"/>
  <c r="BP377" i="1"/>
  <c r="BN377" i="1"/>
  <c r="Z377" i="1"/>
  <c r="BP390" i="1"/>
  <c r="BN390" i="1"/>
  <c r="Z390" i="1"/>
  <c r="BP422" i="1"/>
  <c r="BN422" i="1"/>
  <c r="Z422" i="1"/>
  <c r="BP430" i="1"/>
  <c r="BN430" i="1"/>
  <c r="Z430" i="1"/>
  <c r="BP446" i="1"/>
  <c r="BN446" i="1"/>
  <c r="Z446" i="1"/>
  <c r="BP466" i="1"/>
  <c r="BN466" i="1"/>
  <c r="Z466" i="1"/>
  <c r="B499" i="1"/>
  <c r="X491" i="1"/>
  <c r="X492" i="1" s="1"/>
  <c r="X489" i="1"/>
  <c r="Y32" i="1"/>
  <c r="Z29" i="1"/>
  <c r="BN29" i="1"/>
  <c r="C499" i="1"/>
  <c r="Z52" i="1"/>
  <c r="BN52" i="1"/>
  <c r="Z56" i="1"/>
  <c r="BN56" i="1"/>
  <c r="Y64" i="1"/>
  <c r="Z62" i="1"/>
  <c r="BN62" i="1"/>
  <c r="Z68" i="1"/>
  <c r="BN68" i="1"/>
  <c r="Z73" i="1"/>
  <c r="BN73" i="1"/>
  <c r="Z79" i="1"/>
  <c r="BN79" i="1"/>
  <c r="BP79" i="1"/>
  <c r="Z92" i="1"/>
  <c r="BN92" i="1"/>
  <c r="Z99" i="1"/>
  <c r="BN99" i="1"/>
  <c r="Y104" i="1"/>
  <c r="Z107" i="1"/>
  <c r="BN107" i="1"/>
  <c r="Z115" i="1"/>
  <c r="BN115" i="1"/>
  <c r="Z130" i="1"/>
  <c r="BN130" i="1"/>
  <c r="Y136" i="1"/>
  <c r="Z141" i="1"/>
  <c r="BN141" i="1"/>
  <c r="Z145" i="1"/>
  <c r="BN145" i="1"/>
  <c r="Y148" i="1"/>
  <c r="Z151" i="1"/>
  <c r="Z152" i="1" s="1"/>
  <c r="BN151" i="1"/>
  <c r="BP151" i="1"/>
  <c r="Y152" i="1"/>
  <c r="Z157" i="1"/>
  <c r="Z158" i="1" s="1"/>
  <c r="BN157" i="1"/>
  <c r="BP157" i="1"/>
  <c r="Z161" i="1"/>
  <c r="BN161" i="1"/>
  <c r="BP161" i="1"/>
  <c r="Z168" i="1"/>
  <c r="BN168" i="1"/>
  <c r="Z174" i="1"/>
  <c r="BN174" i="1"/>
  <c r="Y177" i="1"/>
  <c r="Z180" i="1"/>
  <c r="Z181" i="1" s="1"/>
  <c r="BN180" i="1"/>
  <c r="BP180" i="1"/>
  <c r="Y181" i="1"/>
  <c r="Z185" i="1"/>
  <c r="BN185" i="1"/>
  <c r="Z197" i="1"/>
  <c r="BN197" i="1"/>
  <c r="Z201" i="1"/>
  <c r="BN201" i="1"/>
  <c r="Z209" i="1"/>
  <c r="BN209" i="1"/>
  <c r="Z214" i="1"/>
  <c r="BN214" i="1"/>
  <c r="Z225" i="1"/>
  <c r="BN225" i="1"/>
  <c r="Z229" i="1"/>
  <c r="BN229" i="1"/>
  <c r="Z233" i="1"/>
  <c r="BN233" i="1"/>
  <c r="Y251" i="1"/>
  <c r="Z247" i="1"/>
  <c r="BN247" i="1"/>
  <c r="Z254" i="1"/>
  <c r="BN254" i="1"/>
  <c r="BP254" i="1"/>
  <c r="Z258" i="1"/>
  <c r="BN258" i="1"/>
  <c r="Z265" i="1"/>
  <c r="BN265" i="1"/>
  <c r="Z279" i="1"/>
  <c r="BN279" i="1"/>
  <c r="Z283" i="1"/>
  <c r="BN283" i="1"/>
  <c r="BP292" i="1"/>
  <c r="BN292" i="1"/>
  <c r="Z292" i="1"/>
  <c r="BP308" i="1"/>
  <c r="BN308" i="1"/>
  <c r="Z308" i="1"/>
  <c r="Y317" i="1"/>
  <c r="BP322" i="1"/>
  <c r="BN322" i="1"/>
  <c r="Z322" i="1"/>
  <c r="BP345" i="1"/>
  <c r="BN345" i="1"/>
  <c r="Z345" i="1"/>
  <c r="BP358" i="1"/>
  <c r="BN358" i="1"/>
  <c r="Z358" i="1"/>
  <c r="Z359" i="1" s="1"/>
  <c r="BP386" i="1"/>
  <c r="BN386" i="1"/>
  <c r="Z386" i="1"/>
  <c r="BP398" i="1"/>
  <c r="BN398" i="1"/>
  <c r="Z398" i="1"/>
  <c r="Y404" i="1"/>
  <c r="BP403" i="1"/>
  <c r="BN403" i="1"/>
  <c r="Z403" i="1"/>
  <c r="Z404" i="1" s="1"/>
  <c r="BP407" i="1"/>
  <c r="BN407" i="1"/>
  <c r="Z407" i="1"/>
  <c r="BP426" i="1"/>
  <c r="BN426" i="1"/>
  <c r="Z426" i="1"/>
  <c r="BP442" i="1"/>
  <c r="BN442" i="1"/>
  <c r="Z442" i="1"/>
  <c r="BP452" i="1"/>
  <c r="BN452" i="1"/>
  <c r="Z452" i="1"/>
  <c r="BP458" i="1"/>
  <c r="BN458" i="1"/>
  <c r="Z458" i="1"/>
  <c r="Y478" i="1"/>
  <c r="Y477" i="1"/>
  <c r="BP476" i="1"/>
  <c r="BN476" i="1"/>
  <c r="Z476" i="1"/>
  <c r="Z477" i="1" s="1"/>
  <c r="Y482" i="1"/>
  <c r="BP480" i="1"/>
  <c r="BN480" i="1"/>
  <c r="Z480" i="1"/>
  <c r="Y454" i="1"/>
  <c r="Y453" i="1"/>
  <c r="F9" i="1"/>
  <c r="J9" i="1"/>
  <c r="F10" i="1"/>
  <c r="Z22" i="1"/>
  <c r="Z23" i="1" s="1"/>
  <c r="BN22" i="1"/>
  <c r="BP22" i="1"/>
  <c r="Y23" i="1"/>
  <c r="Z26" i="1"/>
  <c r="BN26" i="1"/>
  <c r="BP26" i="1"/>
  <c r="Z28" i="1"/>
  <c r="BN28" i="1"/>
  <c r="Z30" i="1"/>
  <c r="BN30" i="1"/>
  <c r="Y31" i="1"/>
  <c r="Z34" i="1"/>
  <c r="Z35" i="1" s="1"/>
  <c r="BN34" i="1"/>
  <c r="BP34" i="1"/>
  <c r="Y35" i="1"/>
  <c r="Z40" i="1"/>
  <c r="BN40" i="1"/>
  <c r="BP40" i="1"/>
  <c r="Z42" i="1"/>
  <c r="BN42" i="1"/>
  <c r="Y43" i="1"/>
  <c r="Z46" i="1"/>
  <c r="Z47" i="1" s="1"/>
  <c r="BN46" i="1"/>
  <c r="BP46" i="1"/>
  <c r="Y47" i="1"/>
  <c r="Z51" i="1"/>
  <c r="BN51" i="1"/>
  <c r="BP51" i="1"/>
  <c r="Z53" i="1"/>
  <c r="BN53" i="1"/>
  <c r="Z55" i="1"/>
  <c r="BN55" i="1"/>
  <c r="Y58" i="1"/>
  <c r="Z61" i="1"/>
  <c r="BN61" i="1"/>
  <c r="BP61" i="1"/>
  <c r="Y69" i="1"/>
  <c r="Z67" i="1"/>
  <c r="BN67" i="1"/>
  <c r="Y70" i="1"/>
  <c r="Y77" i="1"/>
  <c r="BP72" i="1"/>
  <c r="BN72" i="1"/>
  <c r="Z72" i="1"/>
  <c r="Y76" i="1"/>
  <c r="BP80" i="1"/>
  <c r="BN80" i="1"/>
  <c r="Z80" i="1"/>
  <c r="Y82" i="1"/>
  <c r="E499" i="1"/>
  <c r="Y88" i="1"/>
  <c r="BP85" i="1"/>
  <c r="BN85" i="1"/>
  <c r="Z85" i="1"/>
  <c r="BP93" i="1"/>
  <c r="BN93" i="1"/>
  <c r="Z93" i="1"/>
  <c r="BP102" i="1"/>
  <c r="BN102" i="1"/>
  <c r="Z102" i="1"/>
  <c r="Y109" i="1"/>
  <c r="BP106" i="1"/>
  <c r="BN106" i="1"/>
  <c r="Z106" i="1"/>
  <c r="BP114" i="1"/>
  <c r="BN114" i="1"/>
  <c r="Z114" i="1"/>
  <c r="BP135" i="1"/>
  <c r="BN135" i="1"/>
  <c r="Z135" i="1"/>
  <c r="Z136" i="1" s="1"/>
  <c r="Y137" i="1"/>
  <c r="H499" i="1"/>
  <c r="Y143" i="1"/>
  <c r="BP140" i="1"/>
  <c r="BN140" i="1"/>
  <c r="Z140" i="1"/>
  <c r="Z142" i="1" s="1"/>
  <c r="Y149" i="1"/>
  <c r="BP162" i="1"/>
  <c r="BN162" i="1"/>
  <c r="Z162" i="1"/>
  <c r="BP165" i="1"/>
  <c r="BN165" i="1"/>
  <c r="Z165" i="1"/>
  <c r="BP169" i="1"/>
  <c r="BN169" i="1"/>
  <c r="Z169" i="1"/>
  <c r="Y178" i="1"/>
  <c r="BP186" i="1"/>
  <c r="BN186" i="1"/>
  <c r="Z186" i="1"/>
  <c r="Z187" i="1" s="1"/>
  <c r="Y188" i="1"/>
  <c r="Y193" i="1"/>
  <c r="BP190" i="1"/>
  <c r="BN190" i="1"/>
  <c r="Z190" i="1"/>
  <c r="Z192" i="1" s="1"/>
  <c r="Y203" i="1"/>
  <c r="BP198" i="1"/>
  <c r="BN198" i="1"/>
  <c r="Z198" i="1"/>
  <c r="BP202" i="1"/>
  <c r="BN202" i="1"/>
  <c r="Z202" i="1"/>
  <c r="Y216" i="1"/>
  <c r="BP206" i="1"/>
  <c r="BN206" i="1"/>
  <c r="Z206" i="1"/>
  <c r="BP210" i="1"/>
  <c r="BN210" i="1"/>
  <c r="Z210" i="1"/>
  <c r="Y215" i="1"/>
  <c r="BP219" i="1"/>
  <c r="BN219" i="1"/>
  <c r="Z219" i="1"/>
  <c r="Z220" i="1" s="1"/>
  <c r="Y221" i="1"/>
  <c r="K499" i="1"/>
  <c r="Y235" i="1"/>
  <c r="BP224" i="1"/>
  <c r="BN224" i="1"/>
  <c r="Z224" i="1"/>
  <c r="Y234" i="1"/>
  <c r="BP228" i="1"/>
  <c r="BN228" i="1"/>
  <c r="Z228" i="1"/>
  <c r="BP232" i="1"/>
  <c r="BN232" i="1"/>
  <c r="Z232" i="1"/>
  <c r="BP257" i="1"/>
  <c r="BN257" i="1"/>
  <c r="Z257" i="1"/>
  <c r="BP321" i="1"/>
  <c r="BN321" i="1"/>
  <c r="Z321" i="1"/>
  <c r="Y325" i="1"/>
  <c r="BP329" i="1"/>
  <c r="BN329" i="1"/>
  <c r="Z329" i="1"/>
  <c r="Y331" i="1"/>
  <c r="R499" i="1"/>
  <c r="Y337" i="1"/>
  <c r="BP334" i="1"/>
  <c r="BN334" i="1"/>
  <c r="Z334" i="1"/>
  <c r="Y338" i="1"/>
  <c r="BP344" i="1"/>
  <c r="BN344" i="1"/>
  <c r="Z344" i="1"/>
  <c r="BP348" i="1"/>
  <c r="BN348" i="1"/>
  <c r="Z348" i="1"/>
  <c r="Y350" i="1"/>
  <c r="Y355" i="1"/>
  <c r="BP352" i="1"/>
  <c r="BN352" i="1"/>
  <c r="Z352" i="1"/>
  <c r="Y354" i="1"/>
  <c r="D499" i="1"/>
  <c r="H9" i="1"/>
  <c r="Y24" i="1"/>
  <c r="Y44" i="1"/>
  <c r="BP74" i="1"/>
  <c r="BN74" i="1"/>
  <c r="Z74" i="1"/>
  <c r="BP87" i="1"/>
  <c r="BN87" i="1"/>
  <c r="Z87" i="1"/>
  <c r="Y89" i="1"/>
  <c r="Y96" i="1"/>
  <c r="BP91" i="1"/>
  <c r="BN91" i="1"/>
  <c r="Z91" i="1"/>
  <c r="Y95" i="1"/>
  <c r="BP100" i="1"/>
  <c r="BN100" i="1"/>
  <c r="Z100" i="1"/>
  <c r="Z103" i="1" s="1"/>
  <c r="BP108" i="1"/>
  <c r="BN108" i="1"/>
  <c r="Z108" i="1"/>
  <c r="Y110" i="1"/>
  <c r="Y117" i="1"/>
  <c r="BP112" i="1"/>
  <c r="BN112" i="1"/>
  <c r="Z112" i="1"/>
  <c r="Y116" i="1"/>
  <c r="BP125" i="1"/>
  <c r="BN125" i="1"/>
  <c r="Z125" i="1"/>
  <c r="Z126" i="1" s="1"/>
  <c r="Y127" i="1"/>
  <c r="Y132" i="1"/>
  <c r="BP129" i="1"/>
  <c r="BN129" i="1"/>
  <c r="Z129" i="1"/>
  <c r="Z131" i="1" s="1"/>
  <c r="BP146" i="1"/>
  <c r="BN146" i="1"/>
  <c r="Z146" i="1"/>
  <c r="Z148" i="1" s="1"/>
  <c r="BP164" i="1"/>
  <c r="BN164" i="1"/>
  <c r="Z164" i="1"/>
  <c r="BP167" i="1"/>
  <c r="BN167" i="1"/>
  <c r="Z167" i="1"/>
  <c r="Y171" i="1"/>
  <c r="BP175" i="1"/>
  <c r="BN175" i="1"/>
  <c r="Z175" i="1"/>
  <c r="Z177" i="1" s="1"/>
  <c r="BP196" i="1"/>
  <c r="BN196" i="1"/>
  <c r="Z196" i="1"/>
  <c r="BP200" i="1"/>
  <c r="BN200" i="1"/>
  <c r="Z200" i="1"/>
  <c r="BP208" i="1"/>
  <c r="BN208" i="1"/>
  <c r="Z208" i="1"/>
  <c r="BP212" i="1"/>
  <c r="BN212" i="1"/>
  <c r="Z212" i="1"/>
  <c r="BP248" i="1"/>
  <c r="BN248" i="1"/>
  <c r="Z248" i="1"/>
  <c r="BP266" i="1"/>
  <c r="BN266" i="1"/>
  <c r="Z266" i="1"/>
  <c r="Y268" i="1"/>
  <c r="O499" i="1"/>
  <c r="Y274" i="1"/>
  <c r="BP271" i="1"/>
  <c r="BN271" i="1"/>
  <c r="Z271" i="1"/>
  <c r="Y275" i="1"/>
  <c r="BP284" i="1"/>
  <c r="BN284" i="1"/>
  <c r="Z284" i="1"/>
  <c r="Z285" i="1" s="1"/>
  <c r="Y286" i="1"/>
  <c r="Q499" i="1"/>
  <c r="Y294" i="1"/>
  <c r="BP289" i="1"/>
  <c r="BN289" i="1"/>
  <c r="Z289" i="1"/>
  <c r="BP293" i="1"/>
  <c r="BN293" i="1"/>
  <c r="Z293" i="1"/>
  <c r="Y295" i="1"/>
  <c r="Y304" i="1"/>
  <c r="BP297" i="1"/>
  <c r="BN297" i="1"/>
  <c r="Z297" i="1"/>
  <c r="Y305" i="1"/>
  <c r="BP301" i="1"/>
  <c r="BN301" i="1"/>
  <c r="Z301" i="1"/>
  <c r="BP309" i="1"/>
  <c r="BN309" i="1"/>
  <c r="Z309" i="1"/>
  <c r="BP378" i="1"/>
  <c r="BN378" i="1"/>
  <c r="Z378" i="1"/>
  <c r="Y381" i="1"/>
  <c r="BP387" i="1"/>
  <c r="BN387" i="1"/>
  <c r="Z387" i="1"/>
  <c r="BP391" i="1"/>
  <c r="BN391" i="1"/>
  <c r="Z39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F499" i="1"/>
  <c r="Y103" i="1"/>
  <c r="G499" i="1"/>
  <c r="Y126" i="1"/>
  <c r="I499" i="1"/>
  <c r="Y159" i="1"/>
  <c r="J499" i="1"/>
  <c r="Y187" i="1"/>
  <c r="BP213" i="1"/>
  <c r="BN213" i="1"/>
  <c r="Z213" i="1"/>
  <c r="Y220" i="1"/>
  <c r="BP226" i="1"/>
  <c r="BN226" i="1"/>
  <c r="Z226" i="1"/>
  <c r="BP230" i="1"/>
  <c r="BN230" i="1"/>
  <c r="Z230" i="1"/>
  <c r="Z250" i="1"/>
  <c r="BP246" i="1"/>
  <c r="BN246" i="1"/>
  <c r="Z246" i="1"/>
  <c r="Y250" i="1"/>
  <c r="BP255" i="1"/>
  <c r="BN255" i="1"/>
  <c r="Z255" i="1"/>
  <c r="Y259" i="1"/>
  <c r="BP264" i="1"/>
  <c r="BN264" i="1"/>
  <c r="Z264" i="1"/>
  <c r="BP273" i="1"/>
  <c r="BN273" i="1"/>
  <c r="Z273" i="1"/>
  <c r="P499" i="1"/>
  <c r="Y281" i="1"/>
  <c r="BP278" i="1"/>
  <c r="BN278" i="1"/>
  <c r="Z278" i="1"/>
  <c r="Y285" i="1"/>
  <c r="BP291" i="1"/>
  <c r="BN291" i="1"/>
  <c r="Z291" i="1"/>
  <c r="BP299" i="1"/>
  <c r="BN299" i="1"/>
  <c r="Z299" i="1"/>
  <c r="BP303" i="1"/>
  <c r="BN303" i="1"/>
  <c r="Z303" i="1"/>
  <c r="Y312" i="1"/>
  <c r="BP307" i="1"/>
  <c r="BN307" i="1"/>
  <c r="Z307" i="1"/>
  <c r="Y311" i="1"/>
  <c r="BP315" i="1"/>
  <c r="BN315" i="1"/>
  <c r="Z315" i="1"/>
  <c r="Y324" i="1"/>
  <c r="BP323" i="1"/>
  <c r="BN323" i="1"/>
  <c r="Z323" i="1"/>
  <c r="Y330" i="1"/>
  <c r="BP327" i="1"/>
  <c r="BN327" i="1"/>
  <c r="Z327" i="1"/>
  <c r="BP336" i="1"/>
  <c r="BN336" i="1"/>
  <c r="Z336" i="1"/>
  <c r="S499" i="1"/>
  <c r="Y349" i="1"/>
  <c r="BP342" i="1"/>
  <c r="BN342" i="1"/>
  <c r="Z342" i="1"/>
  <c r="BP346" i="1"/>
  <c r="BN346" i="1"/>
  <c r="Z346" i="1"/>
  <c r="L499" i="1"/>
  <c r="M499" i="1"/>
  <c r="Y267" i="1"/>
  <c r="Y360" i="1"/>
  <c r="BP357" i="1"/>
  <c r="BN357" i="1"/>
  <c r="Y359" i="1"/>
  <c r="BP368" i="1"/>
  <c r="BN368" i="1"/>
  <c r="Z368" i="1"/>
  <c r="Z369" i="1" s="1"/>
  <c r="Y370" i="1"/>
  <c r="Y375" i="1"/>
  <c r="BP372" i="1"/>
  <c r="BN372" i="1"/>
  <c r="Z372" i="1"/>
  <c r="Y380" i="1"/>
  <c r="BP379" i="1"/>
  <c r="BN379" i="1"/>
  <c r="Z379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69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Z453" i="1" s="1"/>
  <c r="Y462" i="1"/>
  <c r="BP461" i="1"/>
  <c r="BN461" i="1"/>
  <c r="Z461" i="1"/>
  <c r="Y468" i="1"/>
  <c r="BP465" i="1"/>
  <c r="BN465" i="1"/>
  <c r="Z465" i="1"/>
  <c r="BP481" i="1"/>
  <c r="BN481" i="1"/>
  <c r="Z481" i="1"/>
  <c r="Y483" i="1"/>
  <c r="Z499" i="1"/>
  <c r="Y487" i="1"/>
  <c r="BP486" i="1"/>
  <c r="BN486" i="1"/>
  <c r="Z486" i="1"/>
  <c r="Z487" i="1" s="1"/>
  <c r="Y488" i="1"/>
  <c r="Z411" i="1" l="1"/>
  <c r="Z482" i="1"/>
  <c r="Z380" i="1"/>
  <c r="Z374" i="1"/>
  <c r="Z330" i="1"/>
  <c r="Z280" i="1"/>
  <c r="Z317" i="1"/>
  <c r="Z468" i="1"/>
  <c r="Z311" i="1"/>
  <c r="Z267" i="1"/>
  <c r="Z259" i="1"/>
  <c r="Z462" i="1"/>
  <c r="Z203" i="1"/>
  <c r="Z171" i="1"/>
  <c r="Z116" i="1"/>
  <c r="Z95" i="1"/>
  <c r="Z354" i="1"/>
  <c r="Z324" i="1"/>
  <c r="Z81" i="1"/>
  <c r="Z69" i="1"/>
  <c r="Z63" i="1"/>
  <c r="Z394" i="1"/>
  <c r="Z304" i="1"/>
  <c r="Z294" i="1"/>
  <c r="Z274" i="1"/>
  <c r="Y489" i="1"/>
  <c r="Z337" i="1"/>
  <c r="Z234" i="1"/>
  <c r="Z109" i="1"/>
  <c r="Z88" i="1"/>
  <c r="Z76" i="1"/>
  <c r="Z57" i="1"/>
  <c r="Z43" i="1"/>
  <c r="Z31" i="1"/>
  <c r="Y491" i="1"/>
  <c r="Z438" i="1"/>
  <c r="Z447" i="1"/>
  <c r="Z432" i="1"/>
  <c r="Z349" i="1"/>
  <c r="Z215" i="1"/>
  <c r="Y493" i="1"/>
  <c r="Y490" i="1"/>
  <c r="Y492" i="1" l="1"/>
  <c r="Z494" i="1"/>
</calcChain>
</file>

<file path=xl/sharedStrings.xml><?xml version="1.0" encoding="utf-8"?>
<sst xmlns="http://schemas.openxmlformats.org/spreadsheetml/2006/main" count="2277" uniqueCount="763">
  <si>
    <t xml:space="preserve">  БЛАНК ЗАКАЗА </t>
  </si>
  <si>
    <t>КИ</t>
  </si>
  <si>
    <t>на отгрузку продукции с ООО Трейд-Сервис с</t>
  </si>
  <si>
    <t>01.12.2025</t>
  </si>
  <si>
    <t>бланк создан</t>
  </si>
  <si>
    <t>26.11.2025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</si>
  <si>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</si>
  <si>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</si>
  <si>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</si>
  <si>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</si>
  <si>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</si>
  <si>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</si>
  <si>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</si>
  <si>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</si>
  <si>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</si>
  <si>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</si>
  <si>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</si>
  <si>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</si>
  <si>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</si>
  <si>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</si>
  <si>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</si>
  <si>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</si>
  <si>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</si>
  <si>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</si>
  <si>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</si>
  <si>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</si>
  <si>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</si>
  <si>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</si>
  <si>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</si>
  <si>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</si>
  <si>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</si>
  <si>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</si>
  <si>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</si>
  <si>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</si>
  <si>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</si>
  <si>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</si>
  <si>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</si>
  <si>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</si>
  <si>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</si>
  <si>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</si>
  <si>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</si>
  <si>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</si>
  <si>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</si>
  <si>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</si>
  <si>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</si>
  <si>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</si>
  <si>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</si>
  <si>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</si>
  <si>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</si>
  <si>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</si>
  <si>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</si>
  <si>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</si>
  <si>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</si>
  <si>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</si>
  <si>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</si>
  <si>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</si>
  <si>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</si>
  <si>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</si>
  <si>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</si>
  <si>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</si>
  <si>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</si>
  <si>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</si>
  <si>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</si>
  <si>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</si>
  <si>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</si>
  <si>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</si>
  <si>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</si>
  <si>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</si>
  <si>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</si>
  <si>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</si>
  <si>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</si>
  <si>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</si>
  <si>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</si>
  <si>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</si>
  <si>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</si>
  <si>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</si>
  <si>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</si>
  <si>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</si>
  <si>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</si>
  <si>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</si>
  <si>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</si>
  <si>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</si>
  <si>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</si>
  <si>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</si>
  <si>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</si>
  <si>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</si>
  <si>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</si>
  <si>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</si>
  <si>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</si>
  <si>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</si>
  <si>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</si>
  <si>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</si>
  <si>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</si>
  <si>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</si>
  <si>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</si>
  <si>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</si>
  <si>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</si>
  <si>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</si>
  <si>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</si>
  <si>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</si>
  <si>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</si>
  <si>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</si>
  <si>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</si>
  <si>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</si>
  <si>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</si>
  <si>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</si>
  <si>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</si>
  <si>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</si>
  <si>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</si>
  <si>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</si>
  <si>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</si>
  <si>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</si>
  <si>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</si>
  <si>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</si>
  <si>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</si>
  <si>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</si>
  <si>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</si>
  <si>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</si>
  <si>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</si>
  <si>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</si>
  <si>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</si>
  <si>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</si>
  <si>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</si>
  <si>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</si>
  <si>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</si>
  <si>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</si>
  <si>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</si>
  <si>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</si>
  <si>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</si>
  <si>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</si>
  <si>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</si>
  <si>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</si>
  <si>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</si>
  <si>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</si>
  <si>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</si>
  <si>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</si>
  <si>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</si>
  <si>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</si>
  <si>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</si>
  <si>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</si>
  <si>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</si>
  <si>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</si>
  <si>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</si>
  <si>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</si>
  <si>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</si>
  <si>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</si>
  <si>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</si>
  <si>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</si>
  <si>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</si>
  <si>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</si>
  <si>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</si>
  <si>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</si>
  <si>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</si>
  <si>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</si>
  <si>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</si>
  <si>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</si>
  <si>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</si>
  <si>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</si>
  <si>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</si>
  <si>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</si>
  <si>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</si>
  <si>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</si>
  <si>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</si>
  <si>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</si>
  <si>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</si>
  <si>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</si>
  <si>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</si>
  <si>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</si>
  <si>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</si>
  <si>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</si>
  <si>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</si>
  <si>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</si>
  <si>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</si>
  <si>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</si>
  <si>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</si>
  <si>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</si>
  <si>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</si>
  <si>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</si>
  <si>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</si>
  <si>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</si>
  <si>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</si>
  <si>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</si>
  <si>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</si>
  <si>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</si>
  <si>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</si>
  <si>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</si>
  <si>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</si>
  <si>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</si>
  <si>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</si>
  <si>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</si>
  <si>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</si>
  <si>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</si>
  <si>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</si>
  <si>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</si>
  <si>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</si>
  <si>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</si>
  <si>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</si>
  <si>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</si>
  <si>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</si>
  <si>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</si>
  <si>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</si>
  <si>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</si>
  <si>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</si>
  <si>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</si>
  <si>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</si>
  <si>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</si>
  <si>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</si>
  <si>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</si>
  <si>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</si>
  <si>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</si>
  <si>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</si>
  <si>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</si>
  <si>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</si>
  <si>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</si>
  <si>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</si>
  <si>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</si>
  <si>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</si>
  <si>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</si>
  <si>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</si>
  <si>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</si>
  <si>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</si>
  <si>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</si>
  <si>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</si>
  <si>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</si>
  <si>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</si>
  <si>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</si>
  <si>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</si>
  <si>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</si>
  <si>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</si>
  <si>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</si>
  <si>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</si>
  <si>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</si>
  <si>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</si>
  <si>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</si>
  <si>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</si>
  <si>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</si>
  <si>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</si>
  <si>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</si>
  <si>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</si>
  <si>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</si>
  <si>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</si>
  <si>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</si>
  <si>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</si>
  <si>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</si>
  <si>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</si>
  <si>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</si>
  <si>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</si>
  <si>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</si>
  <si>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</si>
  <si>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</si>
  <si>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</si>
  <si>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</si>
  <si>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</si>
  <si>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</si>
  <si>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</si>
  <si>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</si>
  <si>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</si>
  <si>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</si>
  <si>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</si>
  <si>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</si>
  <si>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</si>
  <si>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</si>
  <si>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</si>
  <si>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</si>
  <si>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</si>
  <si>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</si>
  <si>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</si>
  <si>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</si>
  <si>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</si>
  <si>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</si>
  <si>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</si>
  <si>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</si>
  <si>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</si>
  <si>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</si>
  <si>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</si>
  <si>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</si>
  <si>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</si>
  <si>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</si>
  <si>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</si>
  <si>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</si>
  <si>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</si>
  <si>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</si>
  <si>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</si>
  <si>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</si>
  <si>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</si>
  <si>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</si>
  <si>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</si>
  <si>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</si>
  <si>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</si>
  <si>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</si>
  <si>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</si>
  <si>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</si>
  <si>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</si>
  <si>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</si>
  <si>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</si>
  <si>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</si>
  <si>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</si>
  <si>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</si>
  <si>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</si>
  <si>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</si>
  <si>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</si>
  <si>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</si>
  <si>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</si>
  <si>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</si>
  <si>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</si>
  <si>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</si>
  <si>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</si>
  <si>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</si>
  <si>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</si>
  <si>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</si>
  <si>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</si>
  <si>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</si>
  <si>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</si>
  <si>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</si>
  <si>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</si>
  <si>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</si>
  <si>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</si>
  <si>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</si>
  <si>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</si>
  <si>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</si>
  <si>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</si>
  <si>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</si>
  <si>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</si>
  <si>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</si>
  <si>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</si>
  <si>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</si>
  <si>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</si>
  <si>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</si>
  <si>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</si>
  <si>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</si>
  <si>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</si>
  <si>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</si>
  <si>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</si>
  <si>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</si>
  <si>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</si>
  <si>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</si>
  <si>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</si>
  <si>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</si>
  <si>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</si>
  <si>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</si>
  <si>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</si>
  <si>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</si>
  <si>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</si>
  <si>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</si>
  <si>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</si>
  <si>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</si>
  <si>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</si>
  <si>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</si>
  <si>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</si>
  <si>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</si>
  <si>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</si>
  <si>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</si>
  <si>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</si>
  <si>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</si>
  <si>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</si>
  <si>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</si>
  <si>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</si>
  <si>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</si>
  <si>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</si>
  <si>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</si>
  <si>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</si>
  <si>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</si>
  <si>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</si>
  <si>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</si>
  <si>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</si>
  <si>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</si>
  <si>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</si>
  <si>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</si>
  <si>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</si>
  <si>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</si>
  <si>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</si>
  <si>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</si>
  <si>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</si>
  <si>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</si>
  <si>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</si>
  <si>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</si>
  <si>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</si>
  <si>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</si>
  <si>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</si>
  <si>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</si>
  <si>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</si>
  <si>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</si>
  <si>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</si>
  <si>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</si>
  <si>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</si>
  <si>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</si>
  <si>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</si>
  <si>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</si>
  <si>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</si>
  <si>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</si>
  <si>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</si>
  <si>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</si>
  <si>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</si>
  <si>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</si>
  <si>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</si>
  <si>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</si>
  <si>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</si>
  <si>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</si>
  <si>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</si>
  <si>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</si>
  <si>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</si>
  <si>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</si>
  <si>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</si>
  <si>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</si>
  <si>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</si>
  <si>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</si>
  <si>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</si>
  <si>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</si>
  <si>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</si>
  <si>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</si>
  <si>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</si>
  <si>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</si>
  <si>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</si>
  <si>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</si>
  <si>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</si>
  <si>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</si>
  <si>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</si>
  <si>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</si>
  <si>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</si>
  <si>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</si>
  <si>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</si>
  <si>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</si>
  <si>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</si>
  <si>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</si>
  <si>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</si>
  <si>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</si>
  <si>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</si>
  <si>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</si>
  <si>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</si>
  <si>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</si>
  <si>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</si>
  <si>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</si>
  <si>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</si>
  <si>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</si>
  <si>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</si>
  <si>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</si>
  <si>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</si>
  <si>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</si>
  <si>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</si>
  <si>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</si>
  <si>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</si>
  <si>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</si>
  <si>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</si>
  <si>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</si>
  <si>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</si>
  <si>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</si>
  <si>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</si>
  <si>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</si>
  <si>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</si>
  <si>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</si>
  <si>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</si>
  <si>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</si>
  <si>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</si>
  <si>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</si>
  <si>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</si>
  <si>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</si>
  <si>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</si>
  <si>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</si>
  <si>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</si>
  <si>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</si>
  <si>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</si>
  <si>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</si>
  <si>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</si>
  <si>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</si>
  <si>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</si>
  <si>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</si>
  <si>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</si>
  <si>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</si>
  <si>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</si>
  <si>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</si>
  <si>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</si>
  <si>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</si>
  <si>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</si>
  <si>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</si>
  <si>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</si>
  <si>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</si>
  <si>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</si>
  <si>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</si>
  <si>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</si>
  <si>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</si>
  <si>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</si>
  <si>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</si>
  <si>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</si>
  <si>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</si>
  <si>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</si>
  <si>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</si>
  <si>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</si>
  <si>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</si>
  <si>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</si>
  <si>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</si>
  <si>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</si>
  <si>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</si>
  <si>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</si>
  <si>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</si>
  <si>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</si>
  <si>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</si>
  <si>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</si>
  <si>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</si>
  <si>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</si>
  <si>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</si>
  <si>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</si>
  <si>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</si>
  <si>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</si>
  <si>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</si>
  <si>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</si>
  <si>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</si>
  <si>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</si>
  <si>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</si>
  <si>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</si>
  <si>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</si>
  <si>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</si>
  <si>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</si>
  <si>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</si>
  <si>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</si>
  <si>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</si>
  <si>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</si>
  <si>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</si>
  <si>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</si>
  <si>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</si>
  <si>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</si>
  <si>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</si>
  <si>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</si>
  <si>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</si>
  <si>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</si>
  <si>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</si>
  <si>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</si>
  <si>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</si>
  <si>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</si>
  <si>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</si>
  <si>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</si>
  <si>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</si>
  <si>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</si>
  <si>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</si>
  <si>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</si>
  <si>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</si>
  <si>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</si>
  <si>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</si>
  <si>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</si>
  <si>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</si>
  <si>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</si>
  <si>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</si>
  <si>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</si>
  <si>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</si>
  <si>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</si>
  <si>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</si>
  <si>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</si>
  <si>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</si>
  <si>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</si>
  <si>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</si>
  <si>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</si>
  <si>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</si>
  <si>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</si>
  <si>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</si>
  <si>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</si>
  <si>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</si>
  <si>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</si>
  <si>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</si>
  <si>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</si>
  <si>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</si>
  <si>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</si>
  <si>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</si>
  <si>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</si>
  <si>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</si>
  <si>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</si>
  <si>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</si>
  <si>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</si>
  <si>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</si>
  <si>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</si>
  <si>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</si>
  <si>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</si>
  <si>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</si>
  <si>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</si>
  <si>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</si>
  <si>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</si>
  <si>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</si>
  <si>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</si>
  <si>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</si>
  <si>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</si>
  <si>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</si>
  <si>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</si>
  <si>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</si>
  <si>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</si>
  <si>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</si>
  <si>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Сосиски «Молочные для завтрака» Фикс.вес 0,4 п/а ТМ «Особый рецепт»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</si>
  <si>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</si>
  <si>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</si>
  <si>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</si>
  <si>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</si>
  <si>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</si>
  <si>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</si>
  <si>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</si>
  <si>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</si>
  <si>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</si>
  <si>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</si>
  <si>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</si>
  <si>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</si>
  <si>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</si>
  <si>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</si>
  <si>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</si>
  <si>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</si>
  <si>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</si>
  <si>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</si>
  <si>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</si>
  <si>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</si>
  <si>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</si>
  <si>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</si>
  <si>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</si>
  <si>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</si>
  <si>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</si>
  <si>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</si>
  <si>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</si>
  <si>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</si>
  <si>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</si>
  <si>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</si>
  <si>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</si>
  <si>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</si>
  <si>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</si>
  <si>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</si>
  <si>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</si>
  <si>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</si>
  <si>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</si>
  <si>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</si>
  <si>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</si>
  <si>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</si>
  <si>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</si>
  <si>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</si>
  <si>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</si>
  <si>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</si>
  <si>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</si>
  <si>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</si>
  <si>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</si>
  <si>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</si>
  <si>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</si>
  <si>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</si>
  <si>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</si>
  <si>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</si>
  <si>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</si>
  <si>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</si>
  <si>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</si>
  <si>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</si>
  <si>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</si>
  <si>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</si>
  <si>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</si>
  <si>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</si>
  <si>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</si>
  <si>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</si>
  <si>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</si>
  <si>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</si>
  <si>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</si>
  <si>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</si>
  <si>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</si>
  <si>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</si>
  <si>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</si>
  <si>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</si>
  <si>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</si>
  <si>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</si>
  <si>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</si>
  <si>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</si>
  <si>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</si>
  <si>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</si>
  <si>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</si>
  <si>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</si>
  <si>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</si>
  <si>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</si>
  <si>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</si>
  <si>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</si>
  <si>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</si>
  <si>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</si>
  <si>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</si>
  <si>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</si>
  <si>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</si>
  <si>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</si>
  <si>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</si>
  <si>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</si>
  <si>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</si>
  <si>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</si>
  <si>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</si>
  <si>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</si>
  <si>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</si>
  <si>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</si>
  <si>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</si>
  <si>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</si>
  <si>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</si>
  <si>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</si>
  <si>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</si>
  <si>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</si>
  <si>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</si>
  <si>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</si>
  <si>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</si>
  <si>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</si>
  <si>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</si>
  <si>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</si>
  <si>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</si>
  <si>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</si>
  <si>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</si>
  <si>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</si>
  <si>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</si>
  <si>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</si>
  <si>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</si>
  <si>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</si>
  <si>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</si>
  <si>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</si>
  <si>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</si>
  <si>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</si>
  <si>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</si>
  <si>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</si>
  <si>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</si>
  <si>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</si>
  <si>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</si>
  <si>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</si>
  <si>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</si>
  <si>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</si>
  <si>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</si>
  <si>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</si>
  <si>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</si>
  <si>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</si>
  <si>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</si>
  <si>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</si>
  <si>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</si>
  <si>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</si>
  <si>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</si>
  <si>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</si>
  <si>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</si>
  <si>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</si>
  <si>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</si>
  <si>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</si>
  <si>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</si>
  <si>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</si>
  <si>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</si>
  <si>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</si>
  <si>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</si>
  <si>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</si>
  <si>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</si>
  <si>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</si>
  <si>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</si>
  <si>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</si>
  <si>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</si>
  <si>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</si>
  <si>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</si>
  <si>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</si>
  <si>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</si>
  <si>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</si>
  <si>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</si>
  <si>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</si>
  <si>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</si>
  <si>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</si>
  <si>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</si>
  <si>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</si>
  <si>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</si>
  <si>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</si>
  <si>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</si>
  <si>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</si>
  <si>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</si>
  <si>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</si>
  <si>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</si>
  <si>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</si>
  <si>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</si>
  <si>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</si>
  <si>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</si>
  <si>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</si>
  <si>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</si>
  <si>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</si>
  <si>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 на 11 европалет,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</si>
</sst>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34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0" fillId="0" borderId="25" xfId="0" applyBorder="1" applyProtection="1">
      <protection hidden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75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7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3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85" sqref="AA85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803" t="s">
        <v>0</v>
      </c>
      <c r="E1" s="595"/>
      <c r="F1" s="595"/>
      <c r="G1" s="12" t="s">
        <v>1</v>
      </c>
      <c r="H1" s="803" t="s">
        <v>2</v>
      </c>
      <c r="I1" s="595"/>
      <c r="J1" s="595"/>
      <c r="K1" s="595"/>
      <c r="L1" s="595"/>
      <c r="M1" s="595"/>
      <c r="N1" s="595"/>
      <c r="O1" s="595"/>
      <c r="P1" s="595"/>
      <c r="Q1" s="595"/>
      <c r="R1" s="846" t="s">
        <v>3</v>
      </c>
      <c r="S1" s="595"/>
      <c r="T1" s="59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2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46"/>
      <c r="R2" s="546"/>
      <c r="S2" s="546"/>
      <c r="T2" s="546"/>
      <c r="U2" s="546"/>
      <c r="V2" s="546"/>
      <c r="W2" s="546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46"/>
      <c r="Q3" s="546"/>
      <c r="R3" s="546"/>
      <c r="S3" s="546"/>
      <c r="T3" s="546"/>
      <c r="U3" s="546"/>
      <c r="V3" s="546"/>
      <c r="W3" s="546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769" t="s">
        <v>8</v>
      </c>
      <c r="B5" s="621"/>
      <c r="C5" s="603"/>
      <c r="D5" s="660"/>
      <c r="E5" s="662"/>
      <c r="F5" s="602" t="s">
        <v>9</v>
      </c>
      <c r="G5" s="603"/>
      <c r="H5" s="660" t="s">
        <v>762</v>
      </c>
      <c r="I5" s="661"/>
      <c r="J5" s="661"/>
      <c r="K5" s="661"/>
      <c r="L5" s="661"/>
      <c r="M5" s="662"/>
      <c r="N5" s="58"/>
      <c r="P5" s="24" t="s">
        <v>10</v>
      </c>
      <c r="Q5" s="583">
        <v>45994</v>
      </c>
      <c r="R5" s="584"/>
      <c r="T5" s="736" t="s">
        <v>11</v>
      </c>
      <c r="U5" s="575"/>
      <c r="V5" s="737" t="s">
        <v>12</v>
      </c>
      <c r="W5" s="584"/>
      <c r="AB5" s="51"/>
      <c r="AC5" s="51"/>
      <c r="AD5" s="51"/>
      <c r="AE5" s="51"/>
    </row>
    <row r="6" spans="1:32" s="535" customFormat="1" ht="24" customHeight="1" x14ac:dyDescent="0.2">
      <c r="A6" s="769" t="s">
        <v>13</v>
      </c>
      <c r="B6" s="621"/>
      <c r="C6" s="603"/>
      <c r="D6" s="664" t="s">
        <v>14</v>
      </c>
      <c r="E6" s="665"/>
      <c r="F6" s="665"/>
      <c r="G6" s="665"/>
      <c r="H6" s="665"/>
      <c r="I6" s="665"/>
      <c r="J6" s="665"/>
      <c r="K6" s="665"/>
      <c r="L6" s="665"/>
      <c r="M6" s="584"/>
      <c r="N6" s="59"/>
      <c r="P6" s="24" t="s">
        <v>15</v>
      </c>
      <c r="Q6" s="591" t="str">
        <f>IF(Q5=0," ",CHOOSE(WEEKDAY(Q5,2),"Понедельник","Вторник","Среда","Четверг","Пятница","Суббота","Воскресенье"))</f>
        <v>Среда</v>
      </c>
      <c r="R6" s="557"/>
      <c r="T6" s="741" t="s">
        <v>16</v>
      </c>
      <c r="U6" s="575"/>
      <c r="V6" s="717" t="s">
        <v>17</v>
      </c>
      <c r="W6" s="718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817" t="str">
        <f>IFERROR(VLOOKUP(DeliveryAddress,Table,3,0),1)</f>
        <v>1</v>
      </c>
      <c r="E7" s="818"/>
      <c r="F7" s="818"/>
      <c r="G7" s="818"/>
      <c r="H7" s="818"/>
      <c r="I7" s="818"/>
      <c r="J7" s="818"/>
      <c r="K7" s="818"/>
      <c r="L7" s="818"/>
      <c r="M7" s="739"/>
      <c r="N7" s="60"/>
      <c r="P7" s="24"/>
      <c r="Q7" s="42"/>
      <c r="R7" s="42"/>
      <c r="T7" s="546"/>
      <c r="U7" s="575"/>
      <c r="V7" s="719"/>
      <c r="W7" s="720"/>
      <c r="AB7" s="51"/>
      <c r="AC7" s="51"/>
      <c r="AD7" s="51"/>
      <c r="AE7" s="51"/>
    </row>
    <row r="8" spans="1:32" s="535" customFormat="1" ht="25.5" customHeight="1" x14ac:dyDescent="0.2">
      <c r="A8" s="564" t="s">
        <v>18</v>
      </c>
      <c r="B8" s="551"/>
      <c r="C8" s="552"/>
      <c r="D8" s="826" t="s">
        <v>19</v>
      </c>
      <c r="E8" s="827"/>
      <c r="F8" s="827"/>
      <c r="G8" s="827"/>
      <c r="H8" s="827"/>
      <c r="I8" s="827"/>
      <c r="J8" s="827"/>
      <c r="K8" s="827"/>
      <c r="L8" s="827"/>
      <c r="M8" s="828"/>
      <c r="N8" s="61"/>
      <c r="P8" s="24" t="s">
        <v>20</v>
      </c>
      <c r="Q8" s="738">
        <v>0.5</v>
      </c>
      <c r="R8" s="739"/>
      <c r="T8" s="546"/>
      <c r="U8" s="575"/>
      <c r="V8" s="719"/>
      <c r="W8" s="720"/>
      <c r="AB8" s="51"/>
      <c r="AC8" s="51"/>
      <c r="AD8" s="51"/>
      <c r="AE8" s="51"/>
    </row>
    <row r="9" spans="1:32" s="535" customFormat="1" ht="39.950000000000003" customHeight="1" x14ac:dyDescent="0.2">
      <c r="A9" s="56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46"/>
      <c r="C9" s="546"/>
      <c r="D9" s="612"/>
      <c r="E9" s="613"/>
      <c r="F9" s="56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46"/>
      <c r="H9" s="712" t="str">
        <f>IF(AND($A$9="Тип доверенности/получателя при получении в адресе перегруза:",$D$9="Разовая доверенность"),"Введите ФИО","")</f>
        <v/>
      </c>
      <c r="I9" s="613"/>
      <c r="J9" s="71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13"/>
      <c r="L9" s="613"/>
      <c r="M9" s="613"/>
      <c r="N9" s="533"/>
      <c r="P9" s="26" t="s">
        <v>21</v>
      </c>
      <c r="Q9" s="786"/>
      <c r="R9" s="607"/>
      <c r="T9" s="546"/>
      <c r="U9" s="575"/>
      <c r="V9" s="721"/>
      <c r="W9" s="722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56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46"/>
      <c r="C10" s="546"/>
      <c r="D10" s="612"/>
      <c r="E10" s="613"/>
      <c r="F10" s="56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46"/>
      <c r="H10" s="680" t="str">
        <f>IFERROR(VLOOKUP($D$10,Proxy,2,FALSE),"")</f>
        <v/>
      </c>
      <c r="I10" s="546"/>
      <c r="J10" s="546"/>
      <c r="K10" s="546"/>
      <c r="L10" s="546"/>
      <c r="M10" s="546"/>
      <c r="N10" s="534"/>
      <c r="P10" s="26" t="s">
        <v>22</v>
      </c>
      <c r="Q10" s="742"/>
      <c r="R10" s="743"/>
      <c r="U10" s="24" t="s">
        <v>23</v>
      </c>
      <c r="V10" s="841" t="s">
        <v>24</v>
      </c>
      <c r="W10" s="718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87"/>
      <c r="R11" s="584"/>
      <c r="U11" s="24" t="s">
        <v>27</v>
      </c>
      <c r="V11" s="606" t="s">
        <v>28</v>
      </c>
      <c r="W11" s="607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725" t="s">
        <v>29</v>
      </c>
      <c r="B12" s="621"/>
      <c r="C12" s="621"/>
      <c r="D12" s="621"/>
      <c r="E12" s="621"/>
      <c r="F12" s="621"/>
      <c r="G12" s="621"/>
      <c r="H12" s="621"/>
      <c r="I12" s="621"/>
      <c r="J12" s="621"/>
      <c r="K12" s="621"/>
      <c r="L12" s="621"/>
      <c r="M12" s="603"/>
      <c r="N12" s="62"/>
      <c r="P12" s="24" t="s">
        <v>30</v>
      </c>
      <c r="Q12" s="738"/>
      <c r="R12" s="739"/>
      <c r="S12" s="23"/>
      <c r="U12" s="24"/>
      <c r="V12" s="595"/>
      <c r="W12" s="546"/>
      <c r="AB12" s="51"/>
      <c r="AC12" s="51"/>
      <c r="AD12" s="51"/>
      <c r="AE12" s="51"/>
    </row>
    <row r="13" spans="1:32" s="535" customFormat="1" ht="23.25" customHeight="1" x14ac:dyDescent="0.2">
      <c r="A13" s="725" t="s">
        <v>31</v>
      </c>
      <c r="B13" s="621"/>
      <c r="C13" s="621"/>
      <c r="D13" s="621"/>
      <c r="E13" s="621"/>
      <c r="F13" s="621"/>
      <c r="G13" s="621"/>
      <c r="H13" s="621"/>
      <c r="I13" s="621"/>
      <c r="J13" s="621"/>
      <c r="K13" s="621"/>
      <c r="L13" s="621"/>
      <c r="M13" s="603"/>
      <c r="N13" s="62"/>
      <c r="O13" s="26"/>
      <c r="P13" s="26" t="s">
        <v>32</v>
      </c>
      <c r="Q13" s="606"/>
      <c r="R13" s="60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725" t="s">
        <v>33</v>
      </c>
      <c r="B14" s="621"/>
      <c r="C14" s="621"/>
      <c r="D14" s="621"/>
      <c r="E14" s="621"/>
      <c r="F14" s="621"/>
      <c r="G14" s="621"/>
      <c r="H14" s="621"/>
      <c r="I14" s="621"/>
      <c r="J14" s="621"/>
      <c r="K14" s="621"/>
      <c r="L14" s="621"/>
      <c r="M14" s="60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7" t="s">
        <v>34</v>
      </c>
      <c r="B15" s="621"/>
      <c r="C15" s="621"/>
      <c r="D15" s="621"/>
      <c r="E15" s="621"/>
      <c r="F15" s="621"/>
      <c r="G15" s="621"/>
      <c r="H15" s="621"/>
      <c r="I15" s="621"/>
      <c r="J15" s="621"/>
      <c r="K15" s="621"/>
      <c r="L15" s="621"/>
      <c r="M15" s="603"/>
      <c r="N15" s="63"/>
      <c r="P15" s="733" t="s">
        <v>35</v>
      </c>
      <c r="Q15" s="595"/>
      <c r="R15" s="595"/>
      <c r="S15" s="595"/>
      <c r="T15" s="59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34"/>
      <c r="Q16" s="734"/>
      <c r="R16" s="734"/>
      <c r="S16" s="734"/>
      <c r="T16" s="73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68" t="s">
        <v>36</v>
      </c>
      <c r="B17" s="568" t="s">
        <v>37</v>
      </c>
      <c r="C17" s="773" t="s">
        <v>38</v>
      </c>
      <c r="D17" s="568" t="s">
        <v>39</v>
      </c>
      <c r="E17" s="569"/>
      <c r="F17" s="568" t="s">
        <v>40</v>
      </c>
      <c r="G17" s="568" t="s">
        <v>41</v>
      </c>
      <c r="H17" s="568" t="s">
        <v>42</v>
      </c>
      <c r="I17" s="568" t="s">
        <v>43</v>
      </c>
      <c r="J17" s="568" t="s">
        <v>44</v>
      </c>
      <c r="K17" s="568" t="s">
        <v>45</v>
      </c>
      <c r="L17" s="568" t="s">
        <v>46</v>
      </c>
      <c r="M17" s="568" t="s">
        <v>47</v>
      </c>
      <c r="N17" s="568" t="s">
        <v>48</v>
      </c>
      <c r="O17" s="568" t="s">
        <v>49</v>
      </c>
      <c r="P17" s="568" t="s">
        <v>50</v>
      </c>
      <c r="Q17" s="810"/>
      <c r="R17" s="810"/>
      <c r="S17" s="810"/>
      <c r="T17" s="569"/>
      <c r="U17" s="729" t="s">
        <v>51</v>
      </c>
      <c r="V17" s="603"/>
      <c r="W17" s="568" t="s">
        <v>52</v>
      </c>
      <c r="X17" s="568" t="s">
        <v>53</v>
      </c>
      <c r="Y17" s="730" t="s">
        <v>54</v>
      </c>
      <c r="Z17" s="723" t="s">
        <v>55</v>
      </c>
      <c r="AA17" s="596" t="s">
        <v>56</v>
      </c>
      <c r="AB17" s="596" t="s">
        <v>57</v>
      </c>
      <c r="AC17" s="596" t="s">
        <v>58</v>
      </c>
      <c r="AD17" s="596" t="s">
        <v>59</v>
      </c>
      <c r="AE17" s="597"/>
      <c r="AF17" s="598"/>
      <c r="AG17" s="66"/>
      <c r="BD17" s="65" t="s">
        <v>60</v>
      </c>
    </row>
    <row r="18" spans="1:68" ht="14.25" customHeight="1" x14ac:dyDescent="0.2">
      <c r="A18" s="572"/>
      <c r="B18" s="572"/>
      <c r="C18" s="572"/>
      <c r="D18" s="570"/>
      <c r="E18" s="571"/>
      <c r="F18" s="572"/>
      <c r="G18" s="572"/>
      <c r="H18" s="572"/>
      <c r="I18" s="572"/>
      <c r="J18" s="572"/>
      <c r="K18" s="572"/>
      <c r="L18" s="572"/>
      <c r="M18" s="572"/>
      <c r="N18" s="572"/>
      <c r="O18" s="572"/>
      <c r="P18" s="570"/>
      <c r="Q18" s="811"/>
      <c r="R18" s="811"/>
      <c r="S18" s="811"/>
      <c r="T18" s="571"/>
      <c r="U18" s="67" t="s">
        <v>61</v>
      </c>
      <c r="V18" s="67" t="s">
        <v>62</v>
      </c>
      <c r="W18" s="572"/>
      <c r="X18" s="572"/>
      <c r="Y18" s="731"/>
      <c r="Z18" s="724"/>
      <c r="AA18" s="659"/>
      <c r="AB18" s="659"/>
      <c r="AC18" s="659"/>
      <c r="AD18" s="599"/>
      <c r="AE18" s="600"/>
      <c r="AF18" s="601"/>
      <c r="AG18" s="66"/>
      <c r="BD18" s="65"/>
    </row>
    <row r="19" spans="1:68" ht="27.75" hidden="1" customHeight="1" x14ac:dyDescent="0.2">
      <c r="A19" s="645" t="s">
        <v>63</v>
      </c>
      <c r="B19" s="646"/>
      <c r="C19" s="646"/>
      <c r="D19" s="646"/>
      <c r="E19" s="646"/>
      <c r="F19" s="646"/>
      <c r="G19" s="646"/>
      <c r="H19" s="646"/>
      <c r="I19" s="646"/>
      <c r="J19" s="646"/>
      <c r="K19" s="646"/>
      <c r="L19" s="646"/>
      <c r="M19" s="646"/>
      <c r="N19" s="646"/>
      <c r="O19" s="646"/>
      <c r="P19" s="646"/>
      <c r="Q19" s="646"/>
      <c r="R19" s="646"/>
      <c r="S19" s="646"/>
      <c r="T19" s="646"/>
      <c r="U19" s="646"/>
      <c r="V19" s="646"/>
      <c r="W19" s="646"/>
      <c r="X19" s="646"/>
      <c r="Y19" s="646"/>
      <c r="Z19" s="646"/>
      <c r="AA19" s="48"/>
      <c r="AB19" s="48"/>
      <c r="AC19" s="48"/>
    </row>
    <row r="20" spans="1:68" ht="16.5" hidden="1" customHeight="1" x14ac:dyDescent="0.25">
      <c r="A20" s="545" t="s">
        <v>63</v>
      </c>
      <c r="B20" s="546"/>
      <c r="C20" s="546"/>
      <c r="D20" s="546"/>
      <c r="E20" s="546"/>
      <c r="F20" s="546"/>
      <c r="G20" s="546"/>
      <c r="H20" s="546"/>
      <c r="I20" s="546"/>
      <c r="J20" s="546"/>
      <c r="K20" s="546"/>
      <c r="L20" s="546"/>
      <c r="M20" s="546"/>
      <c r="N20" s="546"/>
      <c r="O20" s="546"/>
      <c r="P20" s="546"/>
      <c r="Q20" s="546"/>
      <c r="R20" s="546"/>
      <c r="S20" s="546"/>
      <c r="T20" s="546"/>
      <c r="U20" s="546"/>
      <c r="V20" s="546"/>
      <c r="W20" s="546"/>
      <c r="X20" s="546"/>
      <c r="Y20" s="546"/>
      <c r="Z20" s="546"/>
      <c r="AA20" s="536"/>
      <c r="AB20" s="536"/>
      <c r="AC20" s="536"/>
    </row>
    <row r="21" spans="1:68" ht="14.25" hidden="1" customHeight="1" x14ac:dyDescent="0.25">
      <c r="A21" s="553" t="s">
        <v>64</v>
      </c>
      <c r="B21" s="546"/>
      <c r="C21" s="546"/>
      <c r="D21" s="546"/>
      <c r="E21" s="546"/>
      <c r="F21" s="546"/>
      <c r="G21" s="546"/>
      <c r="H21" s="546"/>
      <c r="I21" s="546"/>
      <c r="J21" s="546"/>
      <c r="K21" s="546"/>
      <c r="L21" s="546"/>
      <c r="M21" s="546"/>
      <c r="N21" s="546"/>
      <c r="O21" s="546"/>
      <c r="P21" s="546"/>
      <c r="Q21" s="546"/>
      <c r="R21" s="546"/>
      <c r="S21" s="546"/>
      <c r="T21" s="546"/>
      <c r="U21" s="546"/>
      <c r="V21" s="546"/>
      <c r="W21" s="546"/>
      <c r="X21" s="546"/>
      <c r="Y21" s="546"/>
      <c r="Z21" s="546"/>
      <c r="AA21" s="537"/>
      <c r="AB21" s="537"/>
      <c r="AC21" s="537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56">
        <v>4680115886643</v>
      </c>
      <c r="E22" s="557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68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8"/>
      <c r="R22" s="548"/>
      <c r="S22" s="548"/>
      <c r="T22" s="549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8"/>
      <c r="B23" s="546"/>
      <c r="C23" s="546"/>
      <c r="D23" s="546"/>
      <c r="E23" s="546"/>
      <c r="F23" s="546"/>
      <c r="G23" s="546"/>
      <c r="H23" s="546"/>
      <c r="I23" s="546"/>
      <c r="J23" s="546"/>
      <c r="K23" s="546"/>
      <c r="L23" s="546"/>
      <c r="M23" s="546"/>
      <c r="N23" s="546"/>
      <c r="O23" s="559"/>
      <c r="P23" s="550" t="s">
        <v>71</v>
      </c>
      <c r="Q23" s="551"/>
      <c r="R23" s="551"/>
      <c r="S23" s="551"/>
      <c r="T23" s="551"/>
      <c r="U23" s="551"/>
      <c r="V23" s="552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46"/>
      <c r="B24" s="546"/>
      <c r="C24" s="546"/>
      <c r="D24" s="546"/>
      <c r="E24" s="546"/>
      <c r="F24" s="546"/>
      <c r="G24" s="546"/>
      <c r="H24" s="546"/>
      <c r="I24" s="546"/>
      <c r="J24" s="546"/>
      <c r="K24" s="546"/>
      <c r="L24" s="546"/>
      <c r="M24" s="546"/>
      <c r="N24" s="546"/>
      <c r="O24" s="559"/>
      <c r="P24" s="550" t="s">
        <v>71</v>
      </c>
      <c r="Q24" s="551"/>
      <c r="R24" s="551"/>
      <c r="S24" s="551"/>
      <c r="T24" s="551"/>
      <c r="U24" s="551"/>
      <c r="V24" s="552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53" t="s">
        <v>73</v>
      </c>
      <c r="B25" s="546"/>
      <c r="C25" s="546"/>
      <c r="D25" s="546"/>
      <c r="E25" s="546"/>
      <c r="F25" s="546"/>
      <c r="G25" s="546"/>
      <c r="H25" s="546"/>
      <c r="I25" s="546"/>
      <c r="J25" s="546"/>
      <c r="K25" s="546"/>
      <c r="L25" s="546"/>
      <c r="M25" s="546"/>
      <c r="N25" s="546"/>
      <c r="O25" s="546"/>
      <c r="P25" s="546"/>
      <c r="Q25" s="546"/>
      <c r="R25" s="546"/>
      <c r="S25" s="546"/>
      <c r="T25" s="546"/>
      <c r="U25" s="546"/>
      <c r="V25" s="546"/>
      <c r="W25" s="546"/>
      <c r="X25" s="546"/>
      <c r="Y25" s="546"/>
      <c r="Z25" s="546"/>
      <c r="AA25" s="537"/>
      <c r="AB25" s="537"/>
      <c r="AC25" s="537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56">
        <v>4680115885912</v>
      </c>
      <c r="E26" s="557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6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8"/>
      <c r="R26" s="548"/>
      <c r="S26" s="548"/>
      <c r="T26" s="549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56">
        <v>4607091388237</v>
      </c>
      <c r="E27" s="557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69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8"/>
      <c r="R27" s="548"/>
      <c r="S27" s="548"/>
      <c r="T27" s="549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56">
        <v>4680115887350</v>
      </c>
      <c r="E28" s="557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84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8"/>
      <c r="R28" s="548"/>
      <c r="S28" s="548"/>
      <c r="T28" s="549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56">
        <v>4680115885905</v>
      </c>
      <c r="E29" s="557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82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8"/>
      <c r="R29" s="548"/>
      <c r="S29" s="548"/>
      <c r="T29" s="549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56">
        <v>4607091388244</v>
      </c>
      <c r="E30" s="557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85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8"/>
      <c r="R30" s="548"/>
      <c r="S30" s="548"/>
      <c r="T30" s="549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8"/>
      <c r="B31" s="546"/>
      <c r="C31" s="546"/>
      <c r="D31" s="546"/>
      <c r="E31" s="546"/>
      <c r="F31" s="546"/>
      <c r="G31" s="546"/>
      <c r="H31" s="546"/>
      <c r="I31" s="546"/>
      <c r="J31" s="546"/>
      <c r="K31" s="546"/>
      <c r="L31" s="546"/>
      <c r="M31" s="546"/>
      <c r="N31" s="546"/>
      <c r="O31" s="559"/>
      <c r="P31" s="550" t="s">
        <v>71</v>
      </c>
      <c r="Q31" s="551"/>
      <c r="R31" s="551"/>
      <c r="S31" s="551"/>
      <c r="T31" s="551"/>
      <c r="U31" s="551"/>
      <c r="V31" s="552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46"/>
      <c r="B32" s="546"/>
      <c r="C32" s="546"/>
      <c r="D32" s="546"/>
      <c r="E32" s="546"/>
      <c r="F32" s="546"/>
      <c r="G32" s="546"/>
      <c r="H32" s="546"/>
      <c r="I32" s="546"/>
      <c r="J32" s="546"/>
      <c r="K32" s="546"/>
      <c r="L32" s="546"/>
      <c r="M32" s="546"/>
      <c r="N32" s="546"/>
      <c r="O32" s="559"/>
      <c r="P32" s="550" t="s">
        <v>71</v>
      </c>
      <c r="Q32" s="551"/>
      <c r="R32" s="551"/>
      <c r="S32" s="551"/>
      <c r="T32" s="551"/>
      <c r="U32" s="551"/>
      <c r="V32" s="552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53" t="s">
        <v>91</v>
      </c>
      <c r="B33" s="546"/>
      <c r="C33" s="546"/>
      <c r="D33" s="546"/>
      <c r="E33" s="546"/>
      <c r="F33" s="546"/>
      <c r="G33" s="546"/>
      <c r="H33" s="546"/>
      <c r="I33" s="546"/>
      <c r="J33" s="546"/>
      <c r="K33" s="546"/>
      <c r="L33" s="546"/>
      <c r="M33" s="546"/>
      <c r="N33" s="546"/>
      <c r="O33" s="546"/>
      <c r="P33" s="546"/>
      <c r="Q33" s="546"/>
      <c r="R33" s="546"/>
      <c r="S33" s="546"/>
      <c r="T33" s="546"/>
      <c r="U33" s="546"/>
      <c r="V33" s="546"/>
      <c r="W33" s="546"/>
      <c r="X33" s="546"/>
      <c r="Y33" s="546"/>
      <c r="Z33" s="546"/>
      <c r="AA33" s="537"/>
      <c r="AB33" s="537"/>
      <c r="AC33" s="537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56">
        <v>4607091388503</v>
      </c>
      <c r="E34" s="557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0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8"/>
      <c r="R34" s="548"/>
      <c r="S34" s="548"/>
      <c r="T34" s="549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8"/>
      <c r="B35" s="546"/>
      <c r="C35" s="546"/>
      <c r="D35" s="546"/>
      <c r="E35" s="546"/>
      <c r="F35" s="546"/>
      <c r="G35" s="546"/>
      <c r="H35" s="546"/>
      <c r="I35" s="546"/>
      <c r="J35" s="546"/>
      <c r="K35" s="546"/>
      <c r="L35" s="546"/>
      <c r="M35" s="546"/>
      <c r="N35" s="546"/>
      <c r="O35" s="559"/>
      <c r="P35" s="550" t="s">
        <v>71</v>
      </c>
      <c r="Q35" s="551"/>
      <c r="R35" s="551"/>
      <c r="S35" s="551"/>
      <c r="T35" s="551"/>
      <c r="U35" s="551"/>
      <c r="V35" s="552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46"/>
      <c r="B36" s="546"/>
      <c r="C36" s="546"/>
      <c r="D36" s="546"/>
      <c r="E36" s="546"/>
      <c r="F36" s="546"/>
      <c r="G36" s="546"/>
      <c r="H36" s="546"/>
      <c r="I36" s="546"/>
      <c r="J36" s="546"/>
      <c r="K36" s="546"/>
      <c r="L36" s="546"/>
      <c r="M36" s="546"/>
      <c r="N36" s="546"/>
      <c r="O36" s="559"/>
      <c r="P36" s="550" t="s">
        <v>71</v>
      </c>
      <c r="Q36" s="551"/>
      <c r="R36" s="551"/>
      <c r="S36" s="551"/>
      <c r="T36" s="551"/>
      <c r="U36" s="551"/>
      <c r="V36" s="552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45" t="s">
        <v>97</v>
      </c>
      <c r="B37" s="646"/>
      <c r="C37" s="646"/>
      <c r="D37" s="646"/>
      <c r="E37" s="646"/>
      <c r="F37" s="646"/>
      <c r="G37" s="646"/>
      <c r="H37" s="646"/>
      <c r="I37" s="646"/>
      <c r="J37" s="646"/>
      <c r="K37" s="646"/>
      <c r="L37" s="646"/>
      <c r="M37" s="646"/>
      <c r="N37" s="646"/>
      <c r="O37" s="646"/>
      <c r="P37" s="646"/>
      <c r="Q37" s="646"/>
      <c r="R37" s="646"/>
      <c r="S37" s="646"/>
      <c r="T37" s="646"/>
      <c r="U37" s="646"/>
      <c r="V37" s="646"/>
      <c r="W37" s="646"/>
      <c r="X37" s="646"/>
      <c r="Y37" s="646"/>
      <c r="Z37" s="646"/>
      <c r="AA37" s="48"/>
      <c r="AB37" s="48"/>
      <c r="AC37" s="48"/>
    </row>
    <row r="38" spans="1:68" ht="16.5" hidden="1" customHeight="1" x14ac:dyDescent="0.25">
      <c r="A38" s="545" t="s">
        <v>98</v>
      </c>
      <c r="B38" s="546"/>
      <c r="C38" s="546"/>
      <c r="D38" s="546"/>
      <c r="E38" s="546"/>
      <c r="F38" s="546"/>
      <c r="G38" s="546"/>
      <c r="H38" s="546"/>
      <c r="I38" s="546"/>
      <c r="J38" s="546"/>
      <c r="K38" s="546"/>
      <c r="L38" s="546"/>
      <c r="M38" s="546"/>
      <c r="N38" s="546"/>
      <c r="O38" s="546"/>
      <c r="P38" s="546"/>
      <c r="Q38" s="546"/>
      <c r="R38" s="546"/>
      <c r="S38" s="546"/>
      <c r="T38" s="546"/>
      <c r="U38" s="546"/>
      <c r="V38" s="546"/>
      <c r="W38" s="546"/>
      <c r="X38" s="546"/>
      <c r="Y38" s="546"/>
      <c r="Z38" s="546"/>
      <c r="AA38" s="536"/>
      <c r="AB38" s="536"/>
      <c r="AC38" s="536"/>
    </row>
    <row r="39" spans="1:68" ht="14.25" hidden="1" customHeight="1" x14ac:dyDescent="0.25">
      <c r="A39" s="553" t="s">
        <v>99</v>
      </c>
      <c r="B39" s="546"/>
      <c r="C39" s="546"/>
      <c r="D39" s="546"/>
      <c r="E39" s="546"/>
      <c r="F39" s="546"/>
      <c r="G39" s="546"/>
      <c r="H39" s="546"/>
      <c r="I39" s="546"/>
      <c r="J39" s="546"/>
      <c r="K39" s="546"/>
      <c r="L39" s="546"/>
      <c r="M39" s="546"/>
      <c r="N39" s="546"/>
      <c r="O39" s="546"/>
      <c r="P39" s="546"/>
      <c r="Q39" s="546"/>
      <c r="R39" s="546"/>
      <c r="S39" s="546"/>
      <c r="T39" s="546"/>
      <c r="U39" s="546"/>
      <c r="V39" s="546"/>
      <c r="W39" s="546"/>
      <c r="X39" s="546"/>
      <c r="Y39" s="546"/>
      <c r="Z39" s="546"/>
      <c r="AA39" s="537"/>
      <c r="AB39" s="537"/>
      <c r="AC39" s="537"/>
    </row>
    <row r="40" spans="1:68" ht="16.5" hidden="1" customHeight="1" x14ac:dyDescent="0.25">
      <c r="A40" s="54" t="s">
        <v>100</v>
      </c>
      <c r="B40" s="54" t="s">
        <v>101</v>
      </c>
      <c r="C40" s="31">
        <v>4301011380</v>
      </c>
      <c r="D40" s="556">
        <v>4607091385670</v>
      </c>
      <c r="E40" s="557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66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8"/>
      <c r="R40" s="548"/>
      <c r="S40" s="548"/>
      <c r="T40" s="549"/>
      <c r="U40" s="34"/>
      <c r="V40" s="34"/>
      <c r="W40" s="35" t="s">
        <v>69</v>
      </c>
      <c r="X40" s="541">
        <v>0</v>
      </c>
      <c r="Y40" s="54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56">
        <v>4607091385687</v>
      </c>
      <c r="E41" s="557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64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8"/>
      <c r="R41" s="548"/>
      <c r="S41" s="548"/>
      <c r="T41" s="549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56">
        <v>4680115882539</v>
      </c>
      <c r="E42" s="557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81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8"/>
      <c r="R42" s="548"/>
      <c r="S42" s="548"/>
      <c r="T42" s="549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558"/>
      <c r="B43" s="546"/>
      <c r="C43" s="546"/>
      <c r="D43" s="546"/>
      <c r="E43" s="546"/>
      <c r="F43" s="546"/>
      <c r="G43" s="546"/>
      <c r="H43" s="546"/>
      <c r="I43" s="546"/>
      <c r="J43" s="546"/>
      <c r="K43" s="546"/>
      <c r="L43" s="546"/>
      <c r="M43" s="546"/>
      <c r="N43" s="546"/>
      <c r="O43" s="559"/>
      <c r="P43" s="550" t="s">
        <v>71</v>
      </c>
      <c r="Q43" s="551"/>
      <c r="R43" s="551"/>
      <c r="S43" s="551"/>
      <c r="T43" s="551"/>
      <c r="U43" s="551"/>
      <c r="V43" s="552"/>
      <c r="W43" s="37" t="s">
        <v>72</v>
      </c>
      <c r="X43" s="543">
        <f>IFERROR(X40/H40,"0")+IFERROR(X41/H41,"0")+IFERROR(X42/H42,"0")</f>
        <v>0</v>
      </c>
      <c r="Y43" s="543">
        <f>IFERROR(Y40/H40,"0")+IFERROR(Y41/H41,"0")+IFERROR(Y42/H42,"0")</f>
        <v>0</v>
      </c>
      <c r="Z43" s="543">
        <f>IFERROR(IF(Z40="",0,Z40),"0")+IFERROR(IF(Z41="",0,Z41),"0")+IFERROR(IF(Z42="",0,Z42),"0")</f>
        <v>0</v>
      </c>
      <c r="AA43" s="544"/>
      <c r="AB43" s="544"/>
      <c r="AC43" s="544"/>
    </row>
    <row r="44" spans="1:68" hidden="1" x14ac:dyDescent="0.2">
      <c r="A44" s="546"/>
      <c r="B44" s="546"/>
      <c r="C44" s="546"/>
      <c r="D44" s="546"/>
      <c r="E44" s="546"/>
      <c r="F44" s="546"/>
      <c r="G44" s="546"/>
      <c r="H44" s="546"/>
      <c r="I44" s="546"/>
      <c r="J44" s="546"/>
      <c r="K44" s="546"/>
      <c r="L44" s="546"/>
      <c r="M44" s="546"/>
      <c r="N44" s="546"/>
      <c r="O44" s="559"/>
      <c r="P44" s="550" t="s">
        <v>71</v>
      </c>
      <c r="Q44" s="551"/>
      <c r="R44" s="551"/>
      <c r="S44" s="551"/>
      <c r="T44" s="551"/>
      <c r="U44" s="551"/>
      <c r="V44" s="552"/>
      <c r="W44" s="37" t="s">
        <v>69</v>
      </c>
      <c r="X44" s="543">
        <f>IFERROR(SUM(X40:X42),"0")</f>
        <v>0</v>
      </c>
      <c r="Y44" s="543">
        <f>IFERROR(SUM(Y40:Y42),"0")</f>
        <v>0</v>
      </c>
      <c r="Z44" s="37"/>
      <c r="AA44" s="544"/>
      <c r="AB44" s="544"/>
      <c r="AC44" s="544"/>
    </row>
    <row r="45" spans="1:68" ht="14.25" hidden="1" customHeight="1" x14ac:dyDescent="0.25">
      <c r="A45" s="553" t="s">
        <v>73</v>
      </c>
      <c r="B45" s="546"/>
      <c r="C45" s="546"/>
      <c r="D45" s="546"/>
      <c r="E45" s="546"/>
      <c r="F45" s="546"/>
      <c r="G45" s="546"/>
      <c r="H45" s="546"/>
      <c r="I45" s="546"/>
      <c r="J45" s="546"/>
      <c r="K45" s="546"/>
      <c r="L45" s="546"/>
      <c r="M45" s="546"/>
      <c r="N45" s="546"/>
      <c r="O45" s="546"/>
      <c r="P45" s="546"/>
      <c r="Q45" s="546"/>
      <c r="R45" s="546"/>
      <c r="S45" s="546"/>
      <c r="T45" s="546"/>
      <c r="U45" s="546"/>
      <c r="V45" s="546"/>
      <c r="W45" s="546"/>
      <c r="X45" s="546"/>
      <c r="Y45" s="546"/>
      <c r="Z45" s="546"/>
      <c r="AA45" s="537"/>
      <c r="AB45" s="537"/>
      <c r="AC45" s="537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56">
        <v>4680115884915</v>
      </c>
      <c r="E46" s="557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69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8"/>
      <c r="R46" s="548"/>
      <c r="S46" s="548"/>
      <c r="T46" s="549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8"/>
      <c r="B47" s="546"/>
      <c r="C47" s="546"/>
      <c r="D47" s="546"/>
      <c r="E47" s="546"/>
      <c r="F47" s="546"/>
      <c r="G47" s="546"/>
      <c r="H47" s="546"/>
      <c r="I47" s="546"/>
      <c r="J47" s="546"/>
      <c r="K47" s="546"/>
      <c r="L47" s="546"/>
      <c r="M47" s="546"/>
      <c r="N47" s="546"/>
      <c r="O47" s="559"/>
      <c r="P47" s="550" t="s">
        <v>71</v>
      </c>
      <c r="Q47" s="551"/>
      <c r="R47" s="551"/>
      <c r="S47" s="551"/>
      <c r="T47" s="551"/>
      <c r="U47" s="551"/>
      <c r="V47" s="552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46"/>
      <c r="B48" s="546"/>
      <c r="C48" s="546"/>
      <c r="D48" s="546"/>
      <c r="E48" s="546"/>
      <c r="F48" s="546"/>
      <c r="G48" s="546"/>
      <c r="H48" s="546"/>
      <c r="I48" s="546"/>
      <c r="J48" s="546"/>
      <c r="K48" s="546"/>
      <c r="L48" s="546"/>
      <c r="M48" s="546"/>
      <c r="N48" s="546"/>
      <c r="O48" s="559"/>
      <c r="P48" s="550" t="s">
        <v>71</v>
      </c>
      <c r="Q48" s="551"/>
      <c r="R48" s="551"/>
      <c r="S48" s="551"/>
      <c r="T48" s="551"/>
      <c r="U48" s="551"/>
      <c r="V48" s="552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45" t="s">
        <v>116</v>
      </c>
      <c r="B49" s="546"/>
      <c r="C49" s="546"/>
      <c r="D49" s="546"/>
      <c r="E49" s="546"/>
      <c r="F49" s="546"/>
      <c r="G49" s="546"/>
      <c r="H49" s="546"/>
      <c r="I49" s="546"/>
      <c r="J49" s="546"/>
      <c r="K49" s="546"/>
      <c r="L49" s="546"/>
      <c r="M49" s="546"/>
      <c r="N49" s="546"/>
      <c r="O49" s="546"/>
      <c r="P49" s="546"/>
      <c r="Q49" s="546"/>
      <c r="R49" s="546"/>
      <c r="S49" s="546"/>
      <c r="T49" s="546"/>
      <c r="U49" s="546"/>
      <c r="V49" s="546"/>
      <c r="W49" s="546"/>
      <c r="X49" s="546"/>
      <c r="Y49" s="546"/>
      <c r="Z49" s="546"/>
      <c r="AA49" s="536"/>
      <c r="AB49" s="536"/>
      <c r="AC49" s="536"/>
    </row>
    <row r="50" spans="1:68" ht="14.25" hidden="1" customHeight="1" x14ac:dyDescent="0.25">
      <c r="A50" s="553" t="s">
        <v>99</v>
      </c>
      <c r="B50" s="546"/>
      <c r="C50" s="546"/>
      <c r="D50" s="546"/>
      <c r="E50" s="546"/>
      <c r="F50" s="546"/>
      <c r="G50" s="546"/>
      <c r="H50" s="546"/>
      <c r="I50" s="546"/>
      <c r="J50" s="546"/>
      <c r="K50" s="546"/>
      <c r="L50" s="546"/>
      <c r="M50" s="546"/>
      <c r="N50" s="546"/>
      <c r="O50" s="546"/>
      <c r="P50" s="546"/>
      <c r="Q50" s="546"/>
      <c r="R50" s="546"/>
      <c r="S50" s="546"/>
      <c r="T50" s="546"/>
      <c r="U50" s="546"/>
      <c r="V50" s="546"/>
      <c r="W50" s="546"/>
      <c r="X50" s="546"/>
      <c r="Y50" s="546"/>
      <c r="Z50" s="546"/>
      <c r="AA50" s="537"/>
      <c r="AB50" s="537"/>
      <c r="AC50" s="537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56">
        <v>4680115885882</v>
      </c>
      <c r="E51" s="557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5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8"/>
      <c r="R51" s="548"/>
      <c r="S51" s="548"/>
      <c r="T51" s="549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120</v>
      </c>
      <c r="B52" s="54" t="s">
        <v>121</v>
      </c>
      <c r="C52" s="31">
        <v>4301011816</v>
      </c>
      <c r="D52" s="556">
        <v>4680115881426</v>
      </c>
      <c r="E52" s="557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79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8"/>
      <c r="R52" s="548"/>
      <c r="S52" s="548"/>
      <c r="T52" s="549"/>
      <c r="U52" s="34"/>
      <c r="V52" s="34"/>
      <c r="W52" s="35" t="s">
        <v>69</v>
      </c>
      <c r="X52" s="541">
        <v>0</v>
      </c>
      <c r="Y52" s="54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56">
        <v>4680115880283</v>
      </c>
      <c r="E53" s="557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79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8"/>
      <c r="R53" s="548"/>
      <c r="S53" s="548"/>
      <c r="T53" s="549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126</v>
      </c>
      <c r="B54" s="54" t="s">
        <v>127</v>
      </c>
      <c r="C54" s="31">
        <v>4301011806</v>
      </c>
      <c r="D54" s="556">
        <v>4680115881525</v>
      </c>
      <c r="E54" s="557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62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8"/>
      <c r="R54" s="548"/>
      <c r="S54" s="548"/>
      <c r="T54" s="549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56">
        <v>4680115885899</v>
      </c>
      <c r="E55" s="557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78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8"/>
      <c r="R55" s="548"/>
      <c r="S55" s="548"/>
      <c r="T55" s="549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4301011801</v>
      </c>
      <c r="D56" s="556">
        <v>4680115881419</v>
      </c>
      <c r="E56" s="557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83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8"/>
      <c r="R56" s="548"/>
      <c r="S56" s="548"/>
      <c r="T56" s="549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idden="1" x14ac:dyDescent="0.2">
      <c r="A57" s="558"/>
      <c r="B57" s="546"/>
      <c r="C57" s="546"/>
      <c r="D57" s="546"/>
      <c r="E57" s="546"/>
      <c r="F57" s="546"/>
      <c r="G57" s="546"/>
      <c r="H57" s="546"/>
      <c r="I57" s="546"/>
      <c r="J57" s="546"/>
      <c r="K57" s="546"/>
      <c r="L57" s="546"/>
      <c r="M57" s="546"/>
      <c r="N57" s="546"/>
      <c r="O57" s="559"/>
      <c r="P57" s="550" t="s">
        <v>71</v>
      </c>
      <c r="Q57" s="551"/>
      <c r="R57" s="551"/>
      <c r="S57" s="551"/>
      <c r="T57" s="551"/>
      <c r="U57" s="551"/>
      <c r="V57" s="552"/>
      <c r="W57" s="37" t="s">
        <v>72</v>
      </c>
      <c r="X57" s="543">
        <f>IFERROR(X51/H51,"0")+IFERROR(X52/H52,"0")+IFERROR(X53/H53,"0")+IFERROR(X54/H54,"0")+IFERROR(X55/H55,"0")+IFERROR(X56/H56,"0")</f>
        <v>0</v>
      </c>
      <c r="Y57" s="543">
        <f>IFERROR(Y51/H51,"0")+IFERROR(Y52/H52,"0")+IFERROR(Y53/H53,"0")+IFERROR(Y54/H54,"0")+IFERROR(Y55/H55,"0")+IFERROR(Y56/H56,"0")</f>
        <v>0</v>
      </c>
      <c r="Z57" s="543">
        <f>IFERROR(IF(Z51="",0,Z51),"0")+IFERROR(IF(Z52="",0,Z52),"0")+IFERROR(IF(Z53="",0,Z53),"0")+IFERROR(IF(Z54="",0,Z54),"0")+IFERROR(IF(Z55="",0,Z55),"0")+IFERROR(IF(Z56="",0,Z56),"0")</f>
        <v>0</v>
      </c>
      <c r="AA57" s="544"/>
      <c r="AB57" s="544"/>
      <c r="AC57" s="544"/>
    </row>
    <row r="58" spans="1:68" hidden="1" x14ac:dyDescent="0.2">
      <c r="A58" s="546"/>
      <c r="B58" s="546"/>
      <c r="C58" s="546"/>
      <c r="D58" s="546"/>
      <c r="E58" s="546"/>
      <c r="F58" s="546"/>
      <c r="G58" s="546"/>
      <c r="H58" s="546"/>
      <c r="I58" s="546"/>
      <c r="J58" s="546"/>
      <c r="K58" s="546"/>
      <c r="L58" s="546"/>
      <c r="M58" s="546"/>
      <c r="N58" s="546"/>
      <c r="O58" s="559"/>
      <c r="P58" s="550" t="s">
        <v>71</v>
      </c>
      <c r="Q58" s="551"/>
      <c r="R58" s="551"/>
      <c r="S58" s="551"/>
      <c r="T58" s="551"/>
      <c r="U58" s="551"/>
      <c r="V58" s="552"/>
      <c r="W58" s="37" t="s">
        <v>69</v>
      </c>
      <c r="X58" s="543">
        <f>IFERROR(SUM(X51:X56),"0")</f>
        <v>0</v>
      </c>
      <c r="Y58" s="543">
        <f>IFERROR(SUM(Y51:Y56),"0")</f>
        <v>0</v>
      </c>
      <c r="Z58" s="37"/>
      <c r="AA58" s="544"/>
      <c r="AB58" s="544"/>
      <c r="AC58" s="544"/>
    </row>
    <row r="59" spans="1:68" ht="14.25" hidden="1" customHeight="1" x14ac:dyDescent="0.25">
      <c r="A59" s="553" t="s">
        <v>135</v>
      </c>
      <c r="B59" s="546"/>
      <c r="C59" s="546"/>
      <c r="D59" s="546"/>
      <c r="E59" s="546"/>
      <c r="F59" s="546"/>
      <c r="G59" s="546"/>
      <c r="H59" s="546"/>
      <c r="I59" s="546"/>
      <c r="J59" s="546"/>
      <c r="K59" s="546"/>
      <c r="L59" s="546"/>
      <c r="M59" s="546"/>
      <c r="N59" s="546"/>
      <c r="O59" s="546"/>
      <c r="P59" s="546"/>
      <c r="Q59" s="546"/>
      <c r="R59" s="546"/>
      <c r="S59" s="546"/>
      <c r="T59" s="546"/>
      <c r="U59" s="546"/>
      <c r="V59" s="546"/>
      <c r="W59" s="546"/>
      <c r="X59" s="546"/>
      <c r="Y59" s="546"/>
      <c r="Z59" s="546"/>
      <c r="AA59" s="537"/>
      <c r="AB59" s="537"/>
      <c r="AC59" s="537"/>
    </row>
    <row r="60" spans="1:68" ht="16.5" hidden="1" customHeight="1" x14ac:dyDescent="0.25">
      <c r="A60" s="54" t="s">
        <v>136</v>
      </c>
      <c r="B60" s="54" t="s">
        <v>137</v>
      </c>
      <c r="C60" s="31">
        <v>4301020298</v>
      </c>
      <c r="D60" s="556">
        <v>4680115881440</v>
      </c>
      <c r="E60" s="557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57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8"/>
      <c r="R60" s="548"/>
      <c r="S60" s="548"/>
      <c r="T60" s="549"/>
      <c r="U60" s="34"/>
      <c r="V60" s="34"/>
      <c r="W60" s="35" t="s">
        <v>69</v>
      </c>
      <c r="X60" s="541">
        <v>0</v>
      </c>
      <c r="Y60" s="54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56">
        <v>4680115885950</v>
      </c>
      <c r="E61" s="557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57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8"/>
      <c r="R61" s="548"/>
      <c r="S61" s="548"/>
      <c r="T61" s="549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56">
        <v>4680115881433</v>
      </c>
      <c r="E62" s="557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63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8"/>
      <c r="R62" s="548"/>
      <c r="S62" s="548"/>
      <c r="T62" s="549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58"/>
      <c r="B63" s="546"/>
      <c r="C63" s="546"/>
      <c r="D63" s="546"/>
      <c r="E63" s="546"/>
      <c r="F63" s="546"/>
      <c r="G63" s="546"/>
      <c r="H63" s="546"/>
      <c r="I63" s="546"/>
      <c r="J63" s="546"/>
      <c r="K63" s="546"/>
      <c r="L63" s="546"/>
      <c r="M63" s="546"/>
      <c r="N63" s="546"/>
      <c r="O63" s="559"/>
      <c r="P63" s="550" t="s">
        <v>71</v>
      </c>
      <c r="Q63" s="551"/>
      <c r="R63" s="551"/>
      <c r="S63" s="551"/>
      <c r="T63" s="551"/>
      <c r="U63" s="551"/>
      <c r="V63" s="552"/>
      <c r="W63" s="37" t="s">
        <v>72</v>
      </c>
      <c r="X63" s="543">
        <f>IFERROR(X60/H60,"0")+IFERROR(X61/H61,"0")+IFERROR(X62/H62,"0")</f>
        <v>0</v>
      </c>
      <c r="Y63" s="543">
        <f>IFERROR(Y60/H60,"0")+IFERROR(Y61/H61,"0")+IFERROR(Y62/H62,"0")</f>
        <v>0</v>
      </c>
      <c r="Z63" s="543">
        <f>IFERROR(IF(Z60="",0,Z60),"0")+IFERROR(IF(Z61="",0,Z61),"0")+IFERROR(IF(Z62="",0,Z62),"0")</f>
        <v>0</v>
      </c>
      <c r="AA63" s="544"/>
      <c r="AB63" s="544"/>
      <c r="AC63" s="544"/>
    </row>
    <row r="64" spans="1:68" hidden="1" x14ac:dyDescent="0.2">
      <c r="A64" s="546"/>
      <c r="B64" s="546"/>
      <c r="C64" s="546"/>
      <c r="D64" s="546"/>
      <c r="E64" s="546"/>
      <c r="F64" s="546"/>
      <c r="G64" s="546"/>
      <c r="H64" s="546"/>
      <c r="I64" s="546"/>
      <c r="J64" s="546"/>
      <c r="K64" s="546"/>
      <c r="L64" s="546"/>
      <c r="M64" s="546"/>
      <c r="N64" s="546"/>
      <c r="O64" s="559"/>
      <c r="P64" s="550" t="s">
        <v>71</v>
      </c>
      <c r="Q64" s="551"/>
      <c r="R64" s="551"/>
      <c r="S64" s="551"/>
      <c r="T64" s="551"/>
      <c r="U64" s="551"/>
      <c r="V64" s="552"/>
      <c r="W64" s="37" t="s">
        <v>69</v>
      </c>
      <c r="X64" s="543">
        <f>IFERROR(SUM(X60:X62),"0")</f>
        <v>0</v>
      </c>
      <c r="Y64" s="543">
        <f>IFERROR(SUM(Y60:Y62),"0")</f>
        <v>0</v>
      </c>
      <c r="Z64" s="37"/>
      <c r="AA64" s="544"/>
      <c r="AB64" s="544"/>
      <c r="AC64" s="544"/>
    </row>
    <row r="65" spans="1:68" ht="14.25" hidden="1" customHeight="1" x14ac:dyDescent="0.25">
      <c r="A65" s="553" t="s">
        <v>64</v>
      </c>
      <c r="B65" s="546"/>
      <c r="C65" s="546"/>
      <c r="D65" s="546"/>
      <c r="E65" s="546"/>
      <c r="F65" s="546"/>
      <c r="G65" s="546"/>
      <c r="H65" s="546"/>
      <c r="I65" s="546"/>
      <c r="J65" s="546"/>
      <c r="K65" s="546"/>
      <c r="L65" s="546"/>
      <c r="M65" s="546"/>
      <c r="N65" s="546"/>
      <c r="O65" s="546"/>
      <c r="P65" s="546"/>
      <c r="Q65" s="546"/>
      <c r="R65" s="546"/>
      <c r="S65" s="546"/>
      <c r="T65" s="546"/>
      <c r="U65" s="546"/>
      <c r="V65" s="546"/>
      <c r="W65" s="546"/>
      <c r="X65" s="546"/>
      <c r="Y65" s="546"/>
      <c r="Z65" s="546"/>
      <c r="AA65" s="537"/>
      <c r="AB65" s="537"/>
      <c r="AC65" s="537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56">
        <v>4680115885073</v>
      </c>
      <c r="E66" s="557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77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8"/>
      <c r="R66" s="548"/>
      <c r="S66" s="548"/>
      <c r="T66" s="549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4301031241</v>
      </c>
      <c r="D67" s="556">
        <v>4680115885059</v>
      </c>
      <c r="E67" s="557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60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8"/>
      <c r="R67" s="548"/>
      <c r="S67" s="548"/>
      <c r="T67" s="549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56">
        <v>4680115885097</v>
      </c>
      <c r="E68" s="557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79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8"/>
      <c r="R68" s="548"/>
      <c r="S68" s="548"/>
      <c r="T68" s="549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8"/>
      <c r="B69" s="546"/>
      <c r="C69" s="546"/>
      <c r="D69" s="546"/>
      <c r="E69" s="546"/>
      <c r="F69" s="546"/>
      <c r="G69" s="546"/>
      <c r="H69" s="546"/>
      <c r="I69" s="546"/>
      <c r="J69" s="546"/>
      <c r="K69" s="546"/>
      <c r="L69" s="546"/>
      <c r="M69" s="546"/>
      <c r="N69" s="546"/>
      <c r="O69" s="559"/>
      <c r="P69" s="550" t="s">
        <v>71</v>
      </c>
      <c r="Q69" s="551"/>
      <c r="R69" s="551"/>
      <c r="S69" s="551"/>
      <c r="T69" s="551"/>
      <c r="U69" s="551"/>
      <c r="V69" s="552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46"/>
      <c r="B70" s="546"/>
      <c r="C70" s="546"/>
      <c r="D70" s="546"/>
      <c r="E70" s="546"/>
      <c r="F70" s="546"/>
      <c r="G70" s="546"/>
      <c r="H70" s="546"/>
      <c r="I70" s="546"/>
      <c r="J70" s="546"/>
      <c r="K70" s="546"/>
      <c r="L70" s="546"/>
      <c r="M70" s="546"/>
      <c r="N70" s="546"/>
      <c r="O70" s="559"/>
      <c r="P70" s="550" t="s">
        <v>71</v>
      </c>
      <c r="Q70" s="551"/>
      <c r="R70" s="551"/>
      <c r="S70" s="551"/>
      <c r="T70" s="551"/>
      <c r="U70" s="551"/>
      <c r="V70" s="552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53" t="s">
        <v>73</v>
      </c>
      <c r="B71" s="546"/>
      <c r="C71" s="546"/>
      <c r="D71" s="546"/>
      <c r="E71" s="546"/>
      <c r="F71" s="546"/>
      <c r="G71" s="546"/>
      <c r="H71" s="546"/>
      <c r="I71" s="546"/>
      <c r="J71" s="546"/>
      <c r="K71" s="546"/>
      <c r="L71" s="546"/>
      <c r="M71" s="546"/>
      <c r="N71" s="546"/>
      <c r="O71" s="546"/>
      <c r="P71" s="546"/>
      <c r="Q71" s="546"/>
      <c r="R71" s="546"/>
      <c r="S71" s="546"/>
      <c r="T71" s="546"/>
      <c r="U71" s="546"/>
      <c r="V71" s="546"/>
      <c r="W71" s="546"/>
      <c r="X71" s="546"/>
      <c r="Y71" s="546"/>
      <c r="Z71" s="546"/>
      <c r="AA71" s="537"/>
      <c r="AB71" s="537"/>
      <c r="AC71" s="537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56">
        <v>4680115885769</v>
      </c>
      <c r="E72" s="557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62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8"/>
      <c r="R72" s="548"/>
      <c r="S72" s="548"/>
      <c r="T72" s="549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56">
        <v>4680115884311</v>
      </c>
      <c r="E73" s="557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86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8"/>
      <c r="R73" s="548"/>
      <c r="S73" s="548"/>
      <c r="T73" s="549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56">
        <v>4680115885929</v>
      </c>
      <c r="E74" s="557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51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8"/>
      <c r="R74" s="548"/>
      <c r="S74" s="548"/>
      <c r="T74" s="549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56">
        <v>4680115884403</v>
      </c>
      <c r="E75" s="557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60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8"/>
      <c r="R75" s="548"/>
      <c r="S75" s="548"/>
      <c r="T75" s="549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8"/>
      <c r="B76" s="546"/>
      <c r="C76" s="546"/>
      <c r="D76" s="546"/>
      <c r="E76" s="546"/>
      <c r="F76" s="546"/>
      <c r="G76" s="546"/>
      <c r="H76" s="546"/>
      <c r="I76" s="546"/>
      <c r="J76" s="546"/>
      <c r="K76" s="546"/>
      <c r="L76" s="546"/>
      <c r="M76" s="546"/>
      <c r="N76" s="546"/>
      <c r="O76" s="559"/>
      <c r="P76" s="550" t="s">
        <v>71</v>
      </c>
      <c r="Q76" s="551"/>
      <c r="R76" s="551"/>
      <c r="S76" s="551"/>
      <c r="T76" s="551"/>
      <c r="U76" s="551"/>
      <c r="V76" s="552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hidden="1" x14ac:dyDescent="0.2">
      <c r="A77" s="546"/>
      <c r="B77" s="546"/>
      <c r="C77" s="546"/>
      <c r="D77" s="546"/>
      <c r="E77" s="546"/>
      <c r="F77" s="546"/>
      <c r="G77" s="546"/>
      <c r="H77" s="546"/>
      <c r="I77" s="546"/>
      <c r="J77" s="546"/>
      <c r="K77" s="546"/>
      <c r="L77" s="546"/>
      <c r="M77" s="546"/>
      <c r="N77" s="546"/>
      <c r="O77" s="559"/>
      <c r="P77" s="550" t="s">
        <v>71</v>
      </c>
      <c r="Q77" s="551"/>
      <c r="R77" s="551"/>
      <c r="S77" s="551"/>
      <c r="T77" s="551"/>
      <c r="U77" s="551"/>
      <c r="V77" s="552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hidden="1" customHeight="1" x14ac:dyDescent="0.25">
      <c r="A78" s="553" t="s">
        <v>163</v>
      </c>
      <c r="B78" s="546"/>
      <c r="C78" s="546"/>
      <c r="D78" s="546"/>
      <c r="E78" s="546"/>
      <c r="F78" s="546"/>
      <c r="G78" s="546"/>
      <c r="H78" s="546"/>
      <c r="I78" s="546"/>
      <c r="J78" s="546"/>
      <c r="K78" s="546"/>
      <c r="L78" s="546"/>
      <c r="M78" s="546"/>
      <c r="N78" s="546"/>
      <c r="O78" s="546"/>
      <c r="P78" s="546"/>
      <c r="Q78" s="546"/>
      <c r="R78" s="546"/>
      <c r="S78" s="546"/>
      <c r="T78" s="546"/>
      <c r="U78" s="546"/>
      <c r="V78" s="546"/>
      <c r="W78" s="546"/>
      <c r="X78" s="546"/>
      <c r="Y78" s="546"/>
      <c r="Z78" s="546"/>
      <c r="AA78" s="537"/>
      <c r="AB78" s="537"/>
      <c r="AC78" s="537"/>
    </row>
    <row r="79" spans="1:68" ht="27" hidden="1" customHeight="1" x14ac:dyDescent="0.25">
      <c r="A79" s="54" t="s">
        <v>164</v>
      </c>
      <c r="B79" s="54" t="s">
        <v>165</v>
      </c>
      <c r="C79" s="31">
        <v>4301060455</v>
      </c>
      <c r="D79" s="556">
        <v>4680115881532</v>
      </c>
      <c r="E79" s="557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86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8"/>
      <c r="R79" s="548"/>
      <c r="S79" s="548"/>
      <c r="T79" s="549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56">
        <v>4680115881464</v>
      </c>
      <c r="E80" s="557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67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8"/>
      <c r="R80" s="548"/>
      <c r="S80" s="548"/>
      <c r="T80" s="549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58"/>
      <c r="B81" s="546"/>
      <c r="C81" s="546"/>
      <c r="D81" s="546"/>
      <c r="E81" s="546"/>
      <c r="F81" s="546"/>
      <c r="G81" s="546"/>
      <c r="H81" s="546"/>
      <c r="I81" s="546"/>
      <c r="J81" s="546"/>
      <c r="K81" s="546"/>
      <c r="L81" s="546"/>
      <c r="M81" s="546"/>
      <c r="N81" s="546"/>
      <c r="O81" s="559"/>
      <c r="P81" s="550" t="s">
        <v>71</v>
      </c>
      <c r="Q81" s="551"/>
      <c r="R81" s="551"/>
      <c r="S81" s="551"/>
      <c r="T81" s="551"/>
      <c r="U81" s="551"/>
      <c r="V81" s="552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hidden="1" x14ac:dyDescent="0.2">
      <c r="A82" s="546"/>
      <c r="B82" s="546"/>
      <c r="C82" s="546"/>
      <c r="D82" s="546"/>
      <c r="E82" s="546"/>
      <c r="F82" s="546"/>
      <c r="G82" s="546"/>
      <c r="H82" s="546"/>
      <c r="I82" s="546"/>
      <c r="J82" s="546"/>
      <c r="K82" s="546"/>
      <c r="L82" s="546"/>
      <c r="M82" s="546"/>
      <c r="N82" s="546"/>
      <c r="O82" s="559"/>
      <c r="P82" s="550" t="s">
        <v>71</v>
      </c>
      <c r="Q82" s="551"/>
      <c r="R82" s="551"/>
      <c r="S82" s="551"/>
      <c r="T82" s="551"/>
      <c r="U82" s="551"/>
      <c r="V82" s="552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hidden="1" customHeight="1" x14ac:dyDescent="0.25">
      <c r="A83" s="545" t="s">
        <v>170</v>
      </c>
      <c r="B83" s="546"/>
      <c r="C83" s="546"/>
      <c r="D83" s="546"/>
      <c r="E83" s="546"/>
      <c r="F83" s="546"/>
      <c r="G83" s="546"/>
      <c r="H83" s="546"/>
      <c r="I83" s="546"/>
      <c r="J83" s="546"/>
      <c r="K83" s="546"/>
      <c r="L83" s="546"/>
      <c r="M83" s="546"/>
      <c r="N83" s="546"/>
      <c r="O83" s="546"/>
      <c r="P83" s="546"/>
      <c r="Q83" s="546"/>
      <c r="R83" s="546"/>
      <c r="S83" s="546"/>
      <c r="T83" s="546"/>
      <c r="U83" s="546"/>
      <c r="V83" s="546"/>
      <c r="W83" s="546"/>
      <c r="X83" s="546"/>
      <c r="Y83" s="546"/>
      <c r="Z83" s="546"/>
      <c r="AA83" s="536"/>
      <c r="AB83" s="536"/>
      <c r="AC83" s="536"/>
    </row>
    <row r="84" spans="1:68" ht="14.25" hidden="1" customHeight="1" x14ac:dyDescent="0.25">
      <c r="A84" s="553" t="s">
        <v>99</v>
      </c>
      <c r="B84" s="546"/>
      <c r="C84" s="546"/>
      <c r="D84" s="546"/>
      <c r="E84" s="546"/>
      <c r="F84" s="546"/>
      <c r="G84" s="546"/>
      <c r="H84" s="546"/>
      <c r="I84" s="546"/>
      <c r="J84" s="546"/>
      <c r="K84" s="546"/>
      <c r="L84" s="546"/>
      <c r="M84" s="546"/>
      <c r="N84" s="546"/>
      <c r="O84" s="546"/>
      <c r="P84" s="546"/>
      <c r="Q84" s="546"/>
      <c r="R84" s="546"/>
      <c r="S84" s="546"/>
      <c r="T84" s="546"/>
      <c r="U84" s="546"/>
      <c r="V84" s="546"/>
      <c r="W84" s="546"/>
      <c r="X84" s="546"/>
      <c r="Y84" s="546"/>
      <c r="Z84" s="546"/>
      <c r="AA84" s="537"/>
      <c r="AB84" s="537"/>
      <c r="AC84" s="537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56">
        <v>4680115881327</v>
      </c>
      <c r="E85" s="557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57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8"/>
      <c r="R85" s="548"/>
      <c r="S85" s="548"/>
      <c r="T85" s="549"/>
      <c r="U85" s="34"/>
      <c r="V85" s="34"/>
      <c r="W85" s="35" t="s">
        <v>69</v>
      </c>
      <c r="X85" s="541">
        <v>183</v>
      </c>
      <c r="Y85" s="542">
        <f>IFERROR(IF(X85="",0,CEILING((X85/$H85),1)*$H85),"")</f>
        <v>183.60000000000002</v>
      </c>
      <c r="Z85" s="36">
        <f>IFERROR(IF(Y85=0,"",ROUNDUP(Y85/H85,0)*0.01898),"")</f>
        <v>0.32266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189.94722222222222</v>
      </c>
      <c r="BN85" s="64">
        <f>IFERROR(Y85*I85/H85,"0")</f>
        <v>190.57000000000002</v>
      </c>
      <c r="BO85" s="64">
        <f>IFERROR(1/J85*(X85/H85),"0")</f>
        <v>0.26475694444444442</v>
      </c>
      <c r="BP85" s="64">
        <f>IFERROR(1/J85*(Y85/H85),"0")</f>
        <v>0.265625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4301011476</v>
      </c>
      <c r="D86" s="556">
        <v>4680115881518</v>
      </c>
      <c r="E86" s="557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 t="s">
        <v>110</v>
      </c>
      <c r="M86" s="33" t="s">
        <v>77</v>
      </c>
      <c r="N86" s="33"/>
      <c r="O86" s="32">
        <v>50</v>
      </c>
      <c r="P86" s="85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8"/>
      <c r="R86" s="548"/>
      <c r="S86" s="548"/>
      <c r="T86" s="549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 t="s">
        <v>106</v>
      </c>
      <c r="AK86" s="68">
        <v>48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176</v>
      </c>
      <c r="B87" s="54" t="s">
        <v>177</v>
      </c>
      <c r="C87" s="31">
        <v>4301011443</v>
      </c>
      <c r="D87" s="556">
        <v>4680115881303</v>
      </c>
      <c r="E87" s="557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 t="s">
        <v>110</v>
      </c>
      <c r="M87" s="33" t="s">
        <v>84</v>
      </c>
      <c r="N87" s="33"/>
      <c r="O87" s="32">
        <v>50</v>
      </c>
      <c r="P87" s="74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8"/>
      <c r="R87" s="548"/>
      <c r="S87" s="548"/>
      <c r="T87" s="549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58"/>
      <c r="B88" s="546"/>
      <c r="C88" s="546"/>
      <c r="D88" s="546"/>
      <c r="E88" s="546"/>
      <c r="F88" s="546"/>
      <c r="G88" s="546"/>
      <c r="H88" s="546"/>
      <c r="I88" s="546"/>
      <c r="J88" s="546"/>
      <c r="K88" s="546"/>
      <c r="L88" s="546"/>
      <c r="M88" s="546"/>
      <c r="N88" s="546"/>
      <c r="O88" s="559"/>
      <c r="P88" s="550" t="s">
        <v>71</v>
      </c>
      <c r="Q88" s="551"/>
      <c r="R88" s="551"/>
      <c r="S88" s="551"/>
      <c r="T88" s="551"/>
      <c r="U88" s="551"/>
      <c r="V88" s="552"/>
      <c r="W88" s="37" t="s">
        <v>72</v>
      </c>
      <c r="X88" s="543">
        <f>IFERROR(X85/H85,"0")+IFERROR(X86/H86,"0")+IFERROR(X87/H87,"0")</f>
        <v>16.944444444444443</v>
      </c>
      <c r="Y88" s="543">
        <f>IFERROR(Y85/H85,"0")+IFERROR(Y86/H86,"0")+IFERROR(Y87/H87,"0")</f>
        <v>17</v>
      </c>
      <c r="Z88" s="543">
        <f>IFERROR(IF(Z85="",0,Z85),"0")+IFERROR(IF(Z86="",0,Z86),"0")+IFERROR(IF(Z87="",0,Z87),"0")</f>
        <v>0.32266</v>
      </c>
      <c r="AA88" s="544"/>
      <c r="AB88" s="544"/>
      <c r="AC88" s="544"/>
    </row>
    <row r="89" spans="1:68" x14ac:dyDescent="0.2">
      <c r="A89" s="546"/>
      <c r="B89" s="546"/>
      <c r="C89" s="546"/>
      <c r="D89" s="546"/>
      <c r="E89" s="546"/>
      <c r="F89" s="546"/>
      <c r="G89" s="546"/>
      <c r="H89" s="546"/>
      <c r="I89" s="546"/>
      <c r="J89" s="546"/>
      <c r="K89" s="546"/>
      <c r="L89" s="546"/>
      <c r="M89" s="546"/>
      <c r="N89" s="546"/>
      <c r="O89" s="559"/>
      <c r="P89" s="550" t="s">
        <v>71</v>
      </c>
      <c r="Q89" s="551"/>
      <c r="R89" s="551"/>
      <c r="S89" s="551"/>
      <c r="T89" s="551"/>
      <c r="U89" s="551"/>
      <c r="V89" s="552"/>
      <c r="W89" s="37" t="s">
        <v>69</v>
      </c>
      <c r="X89" s="543">
        <f>IFERROR(SUM(X85:X87),"0")</f>
        <v>183</v>
      </c>
      <c r="Y89" s="543">
        <f>IFERROR(SUM(Y85:Y87),"0")</f>
        <v>183.60000000000002</v>
      </c>
      <c r="Z89" s="37"/>
      <c r="AA89" s="544"/>
      <c r="AB89" s="544"/>
      <c r="AC89" s="544"/>
    </row>
    <row r="90" spans="1:68" ht="14.25" hidden="1" customHeight="1" x14ac:dyDescent="0.25">
      <c r="A90" s="553" t="s">
        <v>73</v>
      </c>
      <c r="B90" s="546"/>
      <c r="C90" s="546"/>
      <c r="D90" s="546"/>
      <c r="E90" s="546"/>
      <c r="F90" s="546"/>
      <c r="G90" s="546"/>
      <c r="H90" s="546"/>
      <c r="I90" s="546"/>
      <c r="J90" s="546"/>
      <c r="K90" s="546"/>
      <c r="L90" s="546"/>
      <c r="M90" s="546"/>
      <c r="N90" s="546"/>
      <c r="O90" s="546"/>
      <c r="P90" s="546"/>
      <c r="Q90" s="546"/>
      <c r="R90" s="546"/>
      <c r="S90" s="546"/>
      <c r="T90" s="546"/>
      <c r="U90" s="546"/>
      <c r="V90" s="546"/>
      <c r="W90" s="546"/>
      <c r="X90" s="546"/>
      <c r="Y90" s="546"/>
      <c r="Z90" s="546"/>
      <c r="AA90" s="537"/>
      <c r="AB90" s="537"/>
      <c r="AC90" s="537"/>
    </row>
    <row r="91" spans="1:68" ht="27" hidden="1" customHeight="1" x14ac:dyDescent="0.25">
      <c r="A91" s="54" t="s">
        <v>178</v>
      </c>
      <c r="B91" s="54" t="s">
        <v>179</v>
      </c>
      <c r="C91" s="31">
        <v>4301051712</v>
      </c>
      <c r="D91" s="556">
        <v>4607091386967</v>
      </c>
      <c r="E91" s="557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69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8"/>
      <c r="R91" s="548"/>
      <c r="S91" s="548"/>
      <c r="T91" s="549"/>
      <c r="U91" s="34"/>
      <c r="V91" s="34"/>
      <c r="W91" s="35" t="s">
        <v>69</v>
      </c>
      <c r="X91" s="541">
        <v>0</v>
      </c>
      <c r="Y91" s="542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181</v>
      </c>
      <c r="B92" s="54" t="s">
        <v>182</v>
      </c>
      <c r="C92" s="31">
        <v>4301051788</v>
      </c>
      <c r="D92" s="556">
        <v>4680115884953</v>
      </c>
      <c r="E92" s="557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81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8"/>
      <c r="R92" s="548"/>
      <c r="S92" s="548"/>
      <c r="T92" s="549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6">
        <v>4607091385731</v>
      </c>
      <c r="E93" s="557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 t="s">
        <v>186</v>
      </c>
      <c r="M93" s="33" t="s">
        <v>84</v>
      </c>
      <c r="N93" s="33"/>
      <c r="O93" s="32">
        <v>45</v>
      </c>
      <c r="P93" s="67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8"/>
      <c r="R93" s="548"/>
      <c r="S93" s="548"/>
      <c r="T93" s="549"/>
      <c r="U93" s="34"/>
      <c r="V93" s="34"/>
      <c r="W93" s="35" t="s">
        <v>69</v>
      </c>
      <c r="X93" s="541">
        <v>128</v>
      </c>
      <c r="Y93" s="542">
        <f>IFERROR(IF(X93="",0,CEILING((X93/$H93),1)*$H93),"")</f>
        <v>129.60000000000002</v>
      </c>
      <c r="Z93" s="36">
        <f>IFERROR(IF(Y93=0,"",ROUNDUP(Y93/H93,0)*0.00651),"")</f>
        <v>0.31247999999999998</v>
      </c>
      <c r="AA93" s="56"/>
      <c r="AB93" s="57"/>
      <c r="AC93" s="137" t="s">
        <v>180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139.94666666666666</v>
      </c>
      <c r="BN93" s="64">
        <f>IFERROR(Y93*I93/H93,"0")</f>
        <v>141.69600000000003</v>
      </c>
      <c r="BO93" s="64">
        <f>IFERROR(1/J93*(X93/H93),"0")</f>
        <v>0.26048026048026046</v>
      </c>
      <c r="BP93" s="64">
        <f>IFERROR(1/J93*(Y93/H93),"0")</f>
        <v>0.2637362637362638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56">
        <v>4680115880894</v>
      </c>
      <c r="E94" s="557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186</v>
      </c>
      <c r="M94" s="33" t="s">
        <v>77</v>
      </c>
      <c r="N94" s="33"/>
      <c r="O94" s="32">
        <v>45</v>
      </c>
      <c r="P94" s="82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8"/>
      <c r="R94" s="548"/>
      <c r="S94" s="548"/>
      <c r="T94" s="549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8"/>
      <c r="B95" s="546"/>
      <c r="C95" s="546"/>
      <c r="D95" s="546"/>
      <c r="E95" s="546"/>
      <c r="F95" s="546"/>
      <c r="G95" s="546"/>
      <c r="H95" s="546"/>
      <c r="I95" s="546"/>
      <c r="J95" s="546"/>
      <c r="K95" s="546"/>
      <c r="L95" s="546"/>
      <c r="M95" s="546"/>
      <c r="N95" s="546"/>
      <c r="O95" s="559"/>
      <c r="P95" s="550" t="s">
        <v>71</v>
      </c>
      <c r="Q95" s="551"/>
      <c r="R95" s="551"/>
      <c r="S95" s="551"/>
      <c r="T95" s="551"/>
      <c r="U95" s="551"/>
      <c r="V95" s="552"/>
      <c r="W95" s="37" t="s">
        <v>72</v>
      </c>
      <c r="X95" s="543">
        <f>IFERROR(X91/H91,"0")+IFERROR(X92/H92,"0")+IFERROR(X93/H93,"0")+IFERROR(X94/H94,"0")</f>
        <v>47.407407407407405</v>
      </c>
      <c r="Y95" s="543">
        <f>IFERROR(Y91/H91,"0")+IFERROR(Y92/H92,"0")+IFERROR(Y93/H93,"0")+IFERROR(Y94/H94,"0")</f>
        <v>48.000000000000007</v>
      </c>
      <c r="Z95" s="543">
        <f>IFERROR(IF(Z91="",0,Z91),"0")+IFERROR(IF(Z92="",0,Z92),"0")+IFERROR(IF(Z93="",0,Z93),"0")+IFERROR(IF(Z94="",0,Z94),"0")</f>
        <v>0.31247999999999998</v>
      </c>
      <c r="AA95" s="544"/>
      <c r="AB95" s="544"/>
      <c r="AC95" s="544"/>
    </row>
    <row r="96" spans="1:68" x14ac:dyDescent="0.2">
      <c r="A96" s="546"/>
      <c r="B96" s="546"/>
      <c r="C96" s="546"/>
      <c r="D96" s="546"/>
      <c r="E96" s="546"/>
      <c r="F96" s="546"/>
      <c r="G96" s="546"/>
      <c r="H96" s="546"/>
      <c r="I96" s="546"/>
      <c r="J96" s="546"/>
      <c r="K96" s="546"/>
      <c r="L96" s="546"/>
      <c r="M96" s="546"/>
      <c r="N96" s="546"/>
      <c r="O96" s="559"/>
      <c r="P96" s="550" t="s">
        <v>71</v>
      </c>
      <c r="Q96" s="551"/>
      <c r="R96" s="551"/>
      <c r="S96" s="551"/>
      <c r="T96" s="551"/>
      <c r="U96" s="551"/>
      <c r="V96" s="552"/>
      <c r="W96" s="37" t="s">
        <v>69</v>
      </c>
      <c r="X96" s="543">
        <f>IFERROR(SUM(X91:X94),"0")</f>
        <v>128</v>
      </c>
      <c r="Y96" s="543">
        <f>IFERROR(SUM(Y91:Y94),"0")</f>
        <v>129.60000000000002</v>
      </c>
      <c r="Z96" s="37"/>
      <c r="AA96" s="544"/>
      <c r="AB96" s="544"/>
      <c r="AC96" s="544"/>
    </row>
    <row r="97" spans="1:68" ht="16.5" hidden="1" customHeight="1" x14ac:dyDescent="0.25">
      <c r="A97" s="545" t="s">
        <v>190</v>
      </c>
      <c r="B97" s="546"/>
      <c r="C97" s="546"/>
      <c r="D97" s="546"/>
      <c r="E97" s="546"/>
      <c r="F97" s="546"/>
      <c r="G97" s="546"/>
      <c r="H97" s="546"/>
      <c r="I97" s="546"/>
      <c r="J97" s="546"/>
      <c r="K97" s="546"/>
      <c r="L97" s="546"/>
      <c r="M97" s="546"/>
      <c r="N97" s="546"/>
      <c r="O97" s="546"/>
      <c r="P97" s="546"/>
      <c r="Q97" s="546"/>
      <c r="R97" s="546"/>
      <c r="S97" s="546"/>
      <c r="T97" s="546"/>
      <c r="U97" s="546"/>
      <c r="V97" s="546"/>
      <c r="W97" s="546"/>
      <c r="X97" s="546"/>
      <c r="Y97" s="546"/>
      <c r="Z97" s="546"/>
      <c r="AA97" s="536"/>
      <c r="AB97" s="536"/>
      <c r="AC97" s="536"/>
    </row>
    <row r="98" spans="1:68" ht="14.25" hidden="1" customHeight="1" x14ac:dyDescent="0.25">
      <c r="A98" s="553" t="s">
        <v>99</v>
      </c>
      <c r="B98" s="546"/>
      <c r="C98" s="546"/>
      <c r="D98" s="546"/>
      <c r="E98" s="546"/>
      <c r="F98" s="546"/>
      <c r="G98" s="546"/>
      <c r="H98" s="546"/>
      <c r="I98" s="546"/>
      <c r="J98" s="546"/>
      <c r="K98" s="546"/>
      <c r="L98" s="546"/>
      <c r="M98" s="546"/>
      <c r="N98" s="546"/>
      <c r="O98" s="546"/>
      <c r="P98" s="546"/>
      <c r="Q98" s="546"/>
      <c r="R98" s="546"/>
      <c r="S98" s="546"/>
      <c r="T98" s="546"/>
      <c r="U98" s="546"/>
      <c r="V98" s="546"/>
      <c r="W98" s="546"/>
      <c r="X98" s="546"/>
      <c r="Y98" s="546"/>
      <c r="Z98" s="546"/>
      <c r="AA98" s="537"/>
      <c r="AB98" s="537"/>
      <c r="AC98" s="537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6">
        <v>4680115882133</v>
      </c>
      <c r="E99" s="557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84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8"/>
      <c r="R99" s="548"/>
      <c r="S99" s="548"/>
      <c r="T99" s="549"/>
      <c r="U99" s="34"/>
      <c r="V99" s="34"/>
      <c r="W99" s="35" t="s">
        <v>69</v>
      </c>
      <c r="X99" s="541">
        <v>151</v>
      </c>
      <c r="Y99" s="542">
        <f>IFERROR(IF(X99="",0,CEILING((X99/$H99),1)*$H99),"")</f>
        <v>151.20000000000002</v>
      </c>
      <c r="Z99" s="36">
        <f>IFERROR(IF(Y99=0,"",ROUNDUP(Y99/H99,0)*0.01898),"")</f>
        <v>0.26572000000000001</v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156.73240740740741</v>
      </c>
      <c r="BN99" s="64">
        <f>IFERROR(Y99*I99/H99,"0")</f>
        <v>156.94</v>
      </c>
      <c r="BO99" s="64">
        <f>IFERROR(1/J99*(X99/H99),"0")</f>
        <v>0.21846064814814814</v>
      </c>
      <c r="BP99" s="64">
        <f>IFERROR(1/J99*(Y99/H99),"0")</f>
        <v>0.21875</v>
      </c>
    </row>
    <row r="100" spans="1:68" ht="37.5" hidden="1" customHeight="1" x14ac:dyDescent="0.25">
      <c r="A100" s="54" t="s">
        <v>194</v>
      </c>
      <c r="B100" s="54" t="s">
        <v>195</v>
      </c>
      <c r="C100" s="31">
        <v>4301011417</v>
      </c>
      <c r="D100" s="556">
        <v>4680115880269</v>
      </c>
      <c r="E100" s="557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 t="s">
        <v>110</v>
      </c>
      <c r="M100" s="33" t="s">
        <v>77</v>
      </c>
      <c r="N100" s="33"/>
      <c r="O100" s="32">
        <v>50</v>
      </c>
      <c r="P100" s="82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8"/>
      <c r="R100" s="548"/>
      <c r="S100" s="548"/>
      <c r="T100" s="549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106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4301011415</v>
      </c>
      <c r="D101" s="556">
        <v>4680115880429</v>
      </c>
      <c r="E101" s="557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65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8"/>
      <c r="R101" s="548"/>
      <c r="S101" s="548"/>
      <c r="T101" s="549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56">
        <v>4680115881457</v>
      </c>
      <c r="E102" s="557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63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8"/>
      <c r="R102" s="548"/>
      <c r="S102" s="548"/>
      <c r="T102" s="549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8"/>
      <c r="B103" s="546"/>
      <c r="C103" s="546"/>
      <c r="D103" s="546"/>
      <c r="E103" s="546"/>
      <c r="F103" s="546"/>
      <c r="G103" s="546"/>
      <c r="H103" s="546"/>
      <c r="I103" s="546"/>
      <c r="J103" s="546"/>
      <c r="K103" s="546"/>
      <c r="L103" s="546"/>
      <c r="M103" s="546"/>
      <c r="N103" s="546"/>
      <c r="O103" s="559"/>
      <c r="P103" s="550" t="s">
        <v>71</v>
      </c>
      <c r="Q103" s="551"/>
      <c r="R103" s="551"/>
      <c r="S103" s="551"/>
      <c r="T103" s="551"/>
      <c r="U103" s="551"/>
      <c r="V103" s="552"/>
      <c r="W103" s="37" t="s">
        <v>72</v>
      </c>
      <c r="X103" s="543">
        <f>IFERROR(X99/H99,"0")+IFERROR(X100/H100,"0")+IFERROR(X101/H101,"0")+IFERROR(X102/H102,"0")</f>
        <v>13.981481481481481</v>
      </c>
      <c r="Y103" s="543">
        <f>IFERROR(Y99/H99,"0")+IFERROR(Y100/H100,"0")+IFERROR(Y101/H101,"0")+IFERROR(Y102/H102,"0")</f>
        <v>14</v>
      </c>
      <c r="Z103" s="543">
        <f>IFERROR(IF(Z99="",0,Z99),"0")+IFERROR(IF(Z100="",0,Z100),"0")+IFERROR(IF(Z101="",0,Z101),"0")+IFERROR(IF(Z102="",0,Z102),"0")</f>
        <v>0.26572000000000001</v>
      </c>
      <c r="AA103" s="544"/>
      <c r="AB103" s="544"/>
      <c r="AC103" s="544"/>
    </row>
    <row r="104" spans="1:68" x14ac:dyDescent="0.2">
      <c r="A104" s="546"/>
      <c r="B104" s="546"/>
      <c r="C104" s="546"/>
      <c r="D104" s="546"/>
      <c r="E104" s="546"/>
      <c r="F104" s="546"/>
      <c r="G104" s="546"/>
      <c r="H104" s="546"/>
      <c r="I104" s="546"/>
      <c r="J104" s="546"/>
      <c r="K104" s="546"/>
      <c r="L104" s="546"/>
      <c r="M104" s="546"/>
      <c r="N104" s="546"/>
      <c r="O104" s="559"/>
      <c r="P104" s="550" t="s">
        <v>71</v>
      </c>
      <c r="Q104" s="551"/>
      <c r="R104" s="551"/>
      <c r="S104" s="551"/>
      <c r="T104" s="551"/>
      <c r="U104" s="551"/>
      <c r="V104" s="552"/>
      <c r="W104" s="37" t="s">
        <v>69</v>
      </c>
      <c r="X104" s="543">
        <f>IFERROR(SUM(X99:X102),"0")</f>
        <v>151</v>
      </c>
      <c r="Y104" s="543">
        <f>IFERROR(SUM(Y99:Y102),"0")</f>
        <v>151.20000000000002</v>
      </c>
      <c r="Z104" s="37"/>
      <c r="AA104" s="544"/>
      <c r="AB104" s="544"/>
      <c r="AC104" s="544"/>
    </row>
    <row r="105" spans="1:68" ht="14.25" hidden="1" customHeight="1" x14ac:dyDescent="0.25">
      <c r="A105" s="553" t="s">
        <v>135</v>
      </c>
      <c r="B105" s="546"/>
      <c r="C105" s="546"/>
      <c r="D105" s="546"/>
      <c r="E105" s="546"/>
      <c r="F105" s="546"/>
      <c r="G105" s="546"/>
      <c r="H105" s="546"/>
      <c r="I105" s="546"/>
      <c r="J105" s="546"/>
      <c r="K105" s="546"/>
      <c r="L105" s="546"/>
      <c r="M105" s="546"/>
      <c r="N105" s="546"/>
      <c r="O105" s="546"/>
      <c r="P105" s="546"/>
      <c r="Q105" s="546"/>
      <c r="R105" s="546"/>
      <c r="S105" s="546"/>
      <c r="T105" s="546"/>
      <c r="U105" s="546"/>
      <c r="V105" s="546"/>
      <c r="W105" s="546"/>
      <c r="X105" s="546"/>
      <c r="Y105" s="546"/>
      <c r="Z105" s="546"/>
      <c r="AA105" s="537"/>
      <c r="AB105" s="537"/>
      <c r="AC105" s="537"/>
    </row>
    <row r="106" spans="1:68" ht="16.5" hidden="1" customHeight="1" x14ac:dyDescent="0.25">
      <c r="A106" s="54" t="s">
        <v>200</v>
      </c>
      <c r="B106" s="54" t="s">
        <v>201</v>
      </c>
      <c r="C106" s="31">
        <v>4301020345</v>
      </c>
      <c r="D106" s="556">
        <v>4680115881488</v>
      </c>
      <c r="E106" s="557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67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8"/>
      <c r="R106" s="548"/>
      <c r="S106" s="548"/>
      <c r="T106" s="549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56">
        <v>4680115882775</v>
      </c>
      <c r="E107" s="557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65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8"/>
      <c r="R107" s="548"/>
      <c r="S107" s="548"/>
      <c r="T107" s="549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4301020344</v>
      </c>
      <c r="D108" s="556">
        <v>4680115880658</v>
      </c>
      <c r="E108" s="557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68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8"/>
      <c r="R108" s="548"/>
      <c r="S108" s="548"/>
      <c r="T108" s="549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58"/>
      <c r="B109" s="546"/>
      <c r="C109" s="546"/>
      <c r="D109" s="546"/>
      <c r="E109" s="546"/>
      <c r="F109" s="546"/>
      <c r="G109" s="546"/>
      <c r="H109" s="546"/>
      <c r="I109" s="546"/>
      <c r="J109" s="546"/>
      <c r="K109" s="546"/>
      <c r="L109" s="546"/>
      <c r="M109" s="546"/>
      <c r="N109" s="546"/>
      <c r="O109" s="559"/>
      <c r="P109" s="550" t="s">
        <v>71</v>
      </c>
      <c r="Q109" s="551"/>
      <c r="R109" s="551"/>
      <c r="S109" s="551"/>
      <c r="T109" s="551"/>
      <c r="U109" s="551"/>
      <c r="V109" s="552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hidden="1" x14ac:dyDescent="0.2">
      <c r="A110" s="546"/>
      <c r="B110" s="546"/>
      <c r="C110" s="546"/>
      <c r="D110" s="546"/>
      <c r="E110" s="546"/>
      <c r="F110" s="546"/>
      <c r="G110" s="546"/>
      <c r="H110" s="546"/>
      <c r="I110" s="546"/>
      <c r="J110" s="546"/>
      <c r="K110" s="546"/>
      <c r="L110" s="546"/>
      <c r="M110" s="546"/>
      <c r="N110" s="546"/>
      <c r="O110" s="559"/>
      <c r="P110" s="550" t="s">
        <v>71</v>
      </c>
      <c r="Q110" s="551"/>
      <c r="R110" s="551"/>
      <c r="S110" s="551"/>
      <c r="T110" s="551"/>
      <c r="U110" s="551"/>
      <c r="V110" s="552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hidden="1" customHeight="1" x14ac:dyDescent="0.25">
      <c r="A111" s="553" t="s">
        <v>73</v>
      </c>
      <c r="B111" s="546"/>
      <c r="C111" s="546"/>
      <c r="D111" s="546"/>
      <c r="E111" s="546"/>
      <c r="F111" s="546"/>
      <c r="G111" s="546"/>
      <c r="H111" s="546"/>
      <c r="I111" s="546"/>
      <c r="J111" s="546"/>
      <c r="K111" s="546"/>
      <c r="L111" s="546"/>
      <c r="M111" s="546"/>
      <c r="N111" s="546"/>
      <c r="O111" s="546"/>
      <c r="P111" s="546"/>
      <c r="Q111" s="546"/>
      <c r="R111" s="546"/>
      <c r="S111" s="546"/>
      <c r="T111" s="546"/>
      <c r="U111" s="546"/>
      <c r="V111" s="546"/>
      <c r="W111" s="546"/>
      <c r="X111" s="546"/>
      <c r="Y111" s="546"/>
      <c r="Z111" s="546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56">
        <v>4607091385168</v>
      </c>
      <c r="E112" s="557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65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8"/>
      <c r="R112" s="548"/>
      <c r="S112" s="548"/>
      <c r="T112" s="549"/>
      <c r="U112" s="34"/>
      <c r="V112" s="34"/>
      <c r="W112" s="35" t="s">
        <v>69</v>
      </c>
      <c r="X112" s="541">
        <v>189</v>
      </c>
      <c r="Y112" s="542">
        <f>IFERROR(IF(X112="",0,CEILING((X112/$H112),1)*$H112),"")</f>
        <v>194.39999999999998</v>
      </c>
      <c r="Z112" s="36">
        <f>IFERROR(IF(Y112=0,"",ROUNDUP(Y112/H112,0)*0.01898),"")</f>
        <v>0.45552000000000004</v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200.38666666666666</v>
      </c>
      <c r="BN112" s="64">
        <f>IFERROR(Y112*I112/H112,"0")</f>
        <v>206.11199999999997</v>
      </c>
      <c r="BO112" s="64">
        <f>IFERROR(1/J112*(X112/H112),"0")</f>
        <v>0.36458333333333337</v>
      </c>
      <c r="BP112" s="64">
        <f>IFERROR(1/J112*(Y112/H112),"0")</f>
        <v>0.375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56">
        <v>4607091383256</v>
      </c>
      <c r="E113" s="557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80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8"/>
      <c r="R113" s="548"/>
      <c r="S113" s="548"/>
      <c r="T113" s="549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56">
        <v>4607091385748</v>
      </c>
      <c r="E114" s="557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186</v>
      </c>
      <c r="M114" s="33" t="s">
        <v>84</v>
      </c>
      <c r="N114" s="33"/>
      <c r="O114" s="32">
        <v>45</v>
      </c>
      <c r="P114" s="64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8"/>
      <c r="R114" s="548"/>
      <c r="S114" s="548"/>
      <c r="T114" s="549"/>
      <c r="U114" s="34"/>
      <c r="V114" s="34"/>
      <c r="W114" s="35" t="s">
        <v>69</v>
      </c>
      <c r="X114" s="541">
        <v>202</v>
      </c>
      <c r="Y114" s="542">
        <f>IFERROR(IF(X114="",0,CEILING((X114/$H114),1)*$H114),"")</f>
        <v>202.5</v>
      </c>
      <c r="Z114" s="36">
        <f>IFERROR(IF(Y114=0,"",ROUNDUP(Y114/H114,0)*0.00651),"")</f>
        <v>0.48825000000000002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220.8533333333333</v>
      </c>
      <c r="BN114" s="64">
        <f>IFERROR(Y114*I114/H114,"0")</f>
        <v>221.39999999999998</v>
      </c>
      <c r="BO114" s="64">
        <f>IFERROR(1/J114*(X114/H114),"0")</f>
        <v>0.41107041107041109</v>
      </c>
      <c r="BP114" s="64">
        <f>IFERROR(1/J114*(Y114/H114),"0")</f>
        <v>0.41208791208791212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56">
        <v>4680115884533</v>
      </c>
      <c r="E115" s="557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2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8"/>
      <c r="R115" s="548"/>
      <c r="S115" s="548"/>
      <c r="T115" s="549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8"/>
      <c r="B116" s="546"/>
      <c r="C116" s="546"/>
      <c r="D116" s="546"/>
      <c r="E116" s="546"/>
      <c r="F116" s="546"/>
      <c r="G116" s="546"/>
      <c r="H116" s="546"/>
      <c r="I116" s="546"/>
      <c r="J116" s="546"/>
      <c r="K116" s="546"/>
      <c r="L116" s="546"/>
      <c r="M116" s="546"/>
      <c r="N116" s="546"/>
      <c r="O116" s="559"/>
      <c r="P116" s="550" t="s">
        <v>71</v>
      </c>
      <c r="Q116" s="551"/>
      <c r="R116" s="551"/>
      <c r="S116" s="551"/>
      <c r="T116" s="551"/>
      <c r="U116" s="551"/>
      <c r="V116" s="552"/>
      <c r="W116" s="37" t="s">
        <v>72</v>
      </c>
      <c r="X116" s="543">
        <f>IFERROR(X112/H112,"0")+IFERROR(X113/H113,"0")+IFERROR(X114/H114,"0")+IFERROR(X115/H115,"0")</f>
        <v>98.148148148148152</v>
      </c>
      <c r="Y116" s="543">
        <f>IFERROR(Y112/H112,"0")+IFERROR(Y113/H113,"0")+IFERROR(Y114/H114,"0")+IFERROR(Y115/H115,"0")</f>
        <v>99</v>
      </c>
      <c r="Z116" s="543">
        <f>IFERROR(IF(Z112="",0,Z112),"0")+IFERROR(IF(Z113="",0,Z113),"0")+IFERROR(IF(Z114="",0,Z114),"0")+IFERROR(IF(Z115="",0,Z115),"0")</f>
        <v>0.94377</v>
      </c>
      <c r="AA116" s="544"/>
      <c r="AB116" s="544"/>
      <c r="AC116" s="544"/>
    </row>
    <row r="117" spans="1:68" x14ac:dyDescent="0.2">
      <c r="A117" s="546"/>
      <c r="B117" s="546"/>
      <c r="C117" s="546"/>
      <c r="D117" s="546"/>
      <c r="E117" s="546"/>
      <c r="F117" s="546"/>
      <c r="G117" s="546"/>
      <c r="H117" s="546"/>
      <c r="I117" s="546"/>
      <c r="J117" s="546"/>
      <c r="K117" s="546"/>
      <c r="L117" s="546"/>
      <c r="M117" s="546"/>
      <c r="N117" s="546"/>
      <c r="O117" s="559"/>
      <c r="P117" s="550" t="s">
        <v>71</v>
      </c>
      <c r="Q117" s="551"/>
      <c r="R117" s="551"/>
      <c r="S117" s="551"/>
      <c r="T117" s="551"/>
      <c r="U117" s="551"/>
      <c r="V117" s="552"/>
      <c r="W117" s="37" t="s">
        <v>69</v>
      </c>
      <c r="X117" s="543">
        <f>IFERROR(SUM(X112:X115),"0")</f>
        <v>391</v>
      </c>
      <c r="Y117" s="543">
        <f>IFERROR(SUM(Y112:Y115),"0")</f>
        <v>396.9</v>
      </c>
      <c r="Z117" s="37"/>
      <c r="AA117" s="544"/>
      <c r="AB117" s="544"/>
      <c r="AC117" s="544"/>
    </row>
    <row r="118" spans="1:68" ht="14.25" hidden="1" customHeight="1" x14ac:dyDescent="0.25">
      <c r="A118" s="553" t="s">
        <v>163</v>
      </c>
      <c r="B118" s="546"/>
      <c r="C118" s="546"/>
      <c r="D118" s="546"/>
      <c r="E118" s="546"/>
      <c r="F118" s="546"/>
      <c r="G118" s="546"/>
      <c r="H118" s="546"/>
      <c r="I118" s="546"/>
      <c r="J118" s="546"/>
      <c r="K118" s="546"/>
      <c r="L118" s="546"/>
      <c r="M118" s="546"/>
      <c r="N118" s="546"/>
      <c r="O118" s="546"/>
      <c r="P118" s="546"/>
      <c r="Q118" s="546"/>
      <c r="R118" s="546"/>
      <c r="S118" s="546"/>
      <c r="T118" s="546"/>
      <c r="U118" s="546"/>
      <c r="V118" s="546"/>
      <c r="W118" s="546"/>
      <c r="X118" s="546"/>
      <c r="Y118" s="546"/>
      <c r="Z118" s="546"/>
      <c r="AA118" s="537"/>
      <c r="AB118" s="537"/>
      <c r="AC118" s="537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56">
        <v>4680115880238</v>
      </c>
      <c r="E119" s="557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78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8"/>
      <c r="R119" s="548"/>
      <c r="S119" s="548"/>
      <c r="T119" s="549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8"/>
      <c r="B120" s="546"/>
      <c r="C120" s="546"/>
      <c r="D120" s="546"/>
      <c r="E120" s="546"/>
      <c r="F120" s="546"/>
      <c r="G120" s="546"/>
      <c r="H120" s="546"/>
      <c r="I120" s="546"/>
      <c r="J120" s="546"/>
      <c r="K120" s="546"/>
      <c r="L120" s="546"/>
      <c r="M120" s="546"/>
      <c r="N120" s="546"/>
      <c r="O120" s="559"/>
      <c r="P120" s="550" t="s">
        <v>71</v>
      </c>
      <c r="Q120" s="551"/>
      <c r="R120" s="551"/>
      <c r="S120" s="551"/>
      <c r="T120" s="551"/>
      <c r="U120" s="551"/>
      <c r="V120" s="552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hidden="1" x14ac:dyDescent="0.2">
      <c r="A121" s="546"/>
      <c r="B121" s="546"/>
      <c r="C121" s="546"/>
      <c r="D121" s="546"/>
      <c r="E121" s="546"/>
      <c r="F121" s="546"/>
      <c r="G121" s="546"/>
      <c r="H121" s="546"/>
      <c r="I121" s="546"/>
      <c r="J121" s="546"/>
      <c r="K121" s="546"/>
      <c r="L121" s="546"/>
      <c r="M121" s="546"/>
      <c r="N121" s="546"/>
      <c r="O121" s="559"/>
      <c r="P121" s="550" t="s">
        <v>71</v>
      </c>
      <c r="Q121" s="551"/>
      <c r="R121" s="551"/>
      <c r="S121" s="551"/>
      <c r="T121" s="551"/>
      <c r="U121" s="551"/>
      <c r="V121" s="552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hidden="1" customHeight="1" x14ac:dyDescent="0.25">
      <c r="A122" s="545" t="s">
        <v>220</v>
      </c>
      <c r="B122" s="546"/>
      <c r="C122" s="546"/>
      <c r="D122" s="546"/>
      <c r="E122" s="546"/>
      <c r="F122" s="546"/>
      <c r="G122" s="546"/>
      <c r="H122" s="546"/>
      <c r="I122" s="546"/>
      <c r="J122" s="546"/>
      <c r="K122" s="546"/>
      <c r="L122" s="546"/>
      <c r="M122" s="546"/>
      <c r="N122" s="546"/>
      <c r="O122" s="546"/>
      <c r="P122" s="546"/>
      <c r="Q122" s="546"/>
      <c r="R122" s="546"/>
      <c r="S122" s="546"/>
      <c r="T122" s="546"/>
      <c r="U122" s="546"/>
      <c r="V122" s="546"/>
      <c r="W122" s="546"/>
      <c r="X122" s="546"/>
      <c r="Y122" s="546"/>
      <c r="Z122" s="546"/>
      <c r="AA122" s="536"/>
      <c r="AB122" s="536"/>
      <c r="AC122" s="536"/>
    </row>
    <row r="123" spans="1:68" ht="14.25" hidden="1" customHeight="1" x14ac:dyDescent="0.25">
      <c r="A123" s="553" t="s">
        <v>99</v>
      </c>
      <c r="B123" s="546"/>
      <c r="C123" s="546"/>
      <c r="D123" s="546"/>
      <c r="E123" s="546"/>
      <c r="F123" s="546"/>
      <c r="G123" s="546"/>
      <c r="H123" s="546"/>
      <c r="I123" s="546"/>
      <c r="J123" s="546"/>
      <c r="K123" s="546"/>
      <c r="L123" s="546"/>
      <c r="M123" s="546"/>
      <c r="N123" s="546"/>
      <c r="O123" s="546"/>
      <c r="P123" s="546"/>
      <c r="Q123" s="546"/>
      <c r="R123" s="546"/>
      <c r="S123" s="546"/>
      <c r="T123" s="546"/>
      <c r="U123" s="546"/>
      <c r="V123" s="546"/>
      <c r="W123" s="546"/>
      <c r="X123" s="546"/>
      <c r="Y123" s="546"/>
      <c r="Z123" s="546"/>
      <c r="AA123" s="537"/>
      <c r="AB123" s="537"/>
      <c r="AC123" s="537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56">
        <v>4680115882577</v>
      </c>
      <c r="E124" s="557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186</v>
      </c>
      <c r="M124" s="33" t="s">
        <v>94</v>
      </c>
      <c r="N124" s="33"/>
      <c r="O124" s="32">
        <v>90</v>
      </c>
      <c r="P124" s="56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8"/>
      <c r="R124" s="548"/>
      <c r="S124" s="548"/>
      <c r="T124" s="549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56">
        <v>4680115882577</v>
      </c>
      <c r="E125" s="557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186</v>
      </c>
      <c r="M125" s="33" t="s">
        <v>94</v>
      </c>
      <c r="N125" s="33"/>
      <c r="O125" s="32">
        <v>90</v>
      </c>
      <c r="P125" s="5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8"/>
      <c r="R125" s="548"/>
      <c r="S125" s="548"/>
      <c r="T125" s="549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106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8"/>
      <c r="B126" s="546"/>
      <c r="C126" s="546"/>
      <c r="D126" s="546"/>
      <c r="E126" s="546"/>
      <c r="F126" s="546"/>
      <c r="G126" s="546"/>
      <c r="H126" s="546"/>
      <c r="I126" s="546"/>
      <c r="J126" s="546"/>
      <c r="K126" s="546"/>
      <c r="L126" s="546"/>
      <c r="M126" s="546"/>
      <c r="N126" s="546"/>
      <c r="O126" s="559"/>
      <c r="P126" s="550" t="s">
        <v>71</v>
      </c>
      <c r="Q126" s="551"/>
      <c r="R126" s="551"/>
      <c r="S126" s="551"/>
      <c r="T126" s="551"/>
      <c r="U126" s="551"/>
      <c r="V126" s="552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hidden="1" x14ac:dyDescent="0.2">
      <c r="A127" s="546"/>
      <c r="B127" s="546"/>
      <c r="C127" s="546"/>
      <c r="D127" s="546"/>
      <c r="E127" s="546"/>
      <c r="F127" s="546"/>
      <c r="G127" s="546"/>
      <c r="H127" s="546"/>
      <c r="I127" s="546"/>
      <c r="J127" s="546"/>
      <c r="K127" s="546"/>
      <c r="L127" s="546"/>
      <c r="M127" s="546"/>
      <c r="N127" s="546"/>
      <c r="O127" s="559"/>
      <c r="P127" s="550" t="s">
        <v>71</v>
      </c>
      <c r="Q127" s="551"/>
      <c r="R127" s="551"/>
      <c r="S127" s="551"/>
      <c r="T127" s="551"/>
      <c r="U127" s="551"/>
      <c r="V127" s="552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hidden="1" customHeight="1" x14ac:dyDescent="0.25">
      <c r="A128" s="553" t="s">
        <v>64</v>
      </c>
      <c r="B128" s="546"/>
      <c r="C128" s="546"/>
      <c r="D128" s="546"/>
      <c r="E128" s="546"/>
      <c r="F128" s="546"/>
      <c r="G128" s="546"/>
      <c r="H128" s="546"/>
      <c r="I128" s="546"/>
      <c r="J128" s="546"/>
      <c r="K128" s="546"/>
      <c r="L128" s="546"/>
      <c r="M128" s="546"/>
      <c r="N128" s="546"/>
      <c r="O128" s="546"/>
      <c r="P128" s="546"/>
      <c r="Q128" s="546"/>
      <c r="R128" s="546"/>
      <c r="S128" s="546"/>
      <c r="T128" s="546"/>
      <c r="U128" s="546"/>
      <c r="V128" s="546"/>
      <c r="W128" s="546"/>
      <c r="X128" s="546"/>
      <c r="Y128" s="546"/>
      <c r="Z128" s="546"/>
      <c r="AA128" s="537"/>
      <c r="AB128" s="537"/>
      <c r="AC128" s="537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56">
        <v>4680115883444</v>
      </c>
      <c r="E129" s="557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8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8"/>
      <c r="R129" s="548"/>
      <c r="S129" s="548"/>
      <c r="T129" s="549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56">
        <v>4680115883444</v>
      </c>
      <c r="E130" s="557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186</v>
      </c>
      <c r="M130" s="33" t="s">
        <v>94</v>
      </c>
      <c r="N130" s="33"/>
      <c r="O130" s="32">
        <v>90</v>
      </c>
      <c r="P130" s="69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8"/>
      <c r="R130" s="548"/>
      <c r="S130" s="548"/>
      <c r="T130" s="549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8"/>
      <c r="B131" s="546"/>
      <c r="C131" s="546"/>
      <c r="D131" s="546"/>
      <c r="E131" s="546"/>
      <c r="F131" s="546"/>
      <c r="G131" s="546"/>
      <c r="H131" s="546"/>
      <c r="I131" s="546"/>
      <c r="J131" s="546"/>
      <c r="K131" s="546"/>
      <c r="L131" s="546"/>
      <c r="M131" s="546"/>
      <c r="N131" s="546"/>
      <c r="O131" s="559"/>
      <c r="P131" s="550" t="s">
        <v>71</v>
      </c>
      <c r="Q131" s="551"/>
      <c r="R131" s="551"/>
      <c r="S131" s="551"/>
      <c r="T131" s="551"/>
      <c r="U131" s="551"/>
      <c r="V131" s="552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hidden="1" x14ac:dyDescent="0.2">
      <c r="A132" s="546"/>
      <c r="B132" s="546"/>
      <c r="C132" s="546"/>
      <c r="D132" s="546"/>
      <c r="E132" s="546"/>
      <c r="F132" s="546"/>
      <c r="G132" s="546"/>
      <c r="H132" s="546"/>
      <c r="I132" s="546"/>
      <c r="J132" s="546"/>
      <c r="K132" s="546"/>
      <c r="L132" s="546"/>
      <c r="M132" s="546"/>
      <c r="N132" s="546"/>
      <c r="O132" s="559"/>
      <c r="P132" s="550" t="s">
        <v>71</v>
      </c>
      <c r="Q132" s="551"/>
      <c r="R132" s="551"/>
      <c r="S132" s="551"/>
      <c r="T132" s="551"/>
      <c r="U132" s="551"/>
      <c r="V132" s="552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hidden="1" customHeight="1" x14ac:dyDescent="0.25">
      <c r="A133" s="553" t="s">
        <v>73</v>
      </c>
      <c r="B133" s="546"/>
      <c r="C133" s="546"/>
      <c r="D133" s="546"/>
      <c r="E133" s="546"/>
      <c r="F133" s="546"/>
      <c r="G133" s="546"/>
      <c r="H133" s="546"/>
      <c r="I133" s="546"/>
      <c r="J133" s="546"/>
      <c r="K133" s="546"/>
      <c r="L133" s="546"/>
      <c r="M133" s="546"/>
      <c r="N133" s="546"/>
      <c r="O133" s="546"/>
      <c r="P133" s="546"/>
      <c r="Q133" s="546"/>
      <c r="R133" s="546"/>
      <c r="S133" s="546"/>
      <c r="T133" s="546"/>
      <c r="U133" s="546"/>
      <c r="V133" s="546"/>
      <c r="W133" s="546"/>
      <c r="X133" s="546"/>
      <c r="Y133" s="546"/>
      <c r="Z133" s="546"/>
      <c r="AA133" s="537"/>
      <c r="AB133" s="537"/>
      <c r="AC133" s="537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56">
        <v>4680115882584</v>
      </c>
      <c r="E134" s="557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59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8"/>
      <c r="R134" s="548"/>
      <c r="S134" s="548"/>
      <c r="T134" s="549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56">
        <v>4680115882584</v>
      </c>
      <c r="E135" s="557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61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8"/>
      <c r="R135" s="548"/>
      <c r="S135" s="548"/>
      <c r="T135" s="549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8"/>
      <c r="B136" s="546"/>
      <c r="C136" s="546"/>
      <c r="D136" s="546"/>
      <c r="E136" s="546"/>
      <c r="F136" s="546"/>
      <c r="G136" s="546"/>
      <c r="H136" s="546"/>
      <c r="I136" s="546"/>
      <c r="J136" s="546"/>
      <c r="K136" s="546"/>
      <c r="L136" s="546"/>
      <c r="M136" s="546"/>
      <c r="N136" s="546"/>
      <c r="O136" s="559"/>
      <c r="P136" s="550" t="s">
        <v>71</v>
      </c>
      <c r="Q136" s="551"/>
      <c r="R136" s="551"/>
      <c r="S136" s="551"/>
      <c r="T136" s="551"/>
      <c r="U136" s="551"/>
      <c r="V136" s="552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hidden="1" x14ac:dyDescent="0.2">
      <c r="A137" s="546"/>
      <c r="B137" s="546"/>
      <c r="C137" s="546"/>
      <c r="D137" s="546"/>
      <c r="E137" s="546"/>
      <c r="F137" s="546"/>
      <c r="G137" s="546"/>
      <c r="H137" s="546"/>
      <c r="I137" s="546"/>
      <c r="J137" s="546"/>
      <c r="K137" s="546"/>
      <c r="L137" s="546"/>
      <c r="M137" s="546"/>
      <c r="N137" s="546"/>
      <c r="O137" s="559"/>
      <c r="P137" s="550" t="s">
        <v>71</v>
      </c>
      <c r="Q137" s="551"/>
      <c r="R137" s="551"/>
      <c r="S137" s="551"/>
      <c r="T137" s="551"/>
      <c r="U137" s="551"/>
      <c r="V137" s="552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hidden="1" customHeight="1" x14ac:dyDescent="0.25">
      <c r="A138" s="545" t="s">
        <v>97</v>
      </c>
      <c r="B138" s="546"/>
      <c r="C138" s="546"/>
      <c r="D138" s="546"/>
      <c r="E138" s="546"/>
      <c r="F138" s="546"/>
      <c r="G138" s="546"/>
      <c r="H138" s="546"/>
      <c r="I138" s="546"/>
      <c r="J138" s="546"/>
      <c r="K138" s="546"/>
      <c r="L138" s="546"/>
      <c r="M138" s="546"/>
      <c r="N138" s="546"/>
      <c r="O138" s="546"/>
      <c r="P138" s="546"/>
      <c r="Q138" s="546"/>
      <c r="R138" s="546"/>
      <c r="S138" s="546"/>
      <c r="T138" s="546"/>
      <c r="U138" s="546"/>
      <c r="V138" s="546"/>
      <c r="W138" s="546"/>
      <c r="X138" s="546"/>
      <c r="Y138" s="546"/>
      <c r="Z138" s="546"/>
      <c r="AA138" s="536"/>
      <c r="AB138" s="536"/>
      <c r="AC138" s="536"/>
    </row>
    <row r="139" spans="1:68" ht="14.25" hidden="1" customHeight="1" x14ac:dyDescent="0.25">
      <c r="A139" s="553" t="s">
        <v>99</v>
      </c>
      <c r="B139" s="546"/>
      <c r="C139" s="546"/>
      <c r="D139" s="546"/>
      <c r="E139" s="546"/>
      <c r="F139" s="546"/>
      <c r="G139" s="546"/>
      <c r="H139" s="546"/>
      <c r="I139" s="546"/>
      <c r="J139" s="546"/>
      <c r="K139" s="546"/>
      <c r="L139" s="546"/>
      <c r="M139" s="546"/>
      <c r="N139" s="546"/>
      <c r="O139" s="546"/>
      <c r="P139" s="546"/>
      <c r="Q139" s="546"/>
      <c r="R139" s="546"/>
      <c r="S139" s="546"/>
      <c r="T139" s="546"/>
      <c r="U139" s="546"/>
      <c r="V139" s="546"/>
      <c r="W139" s="546"/>
      <c r="X139" s="546"/>
      <c r="Y139" s="546"/>
      <c r="Z139" s="546"/>
      <c r="AA139" s="537"/>
      <c r="AB139" s="537"/>
      <c r="AC139" s="537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56">
        <v>4680115887374</v>
      </c>
      <c r="E140" s="557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4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8"/>
      <c r="R140" s="548"/>
      <c r="S140" s="548"/>
      <c r="T140" s="549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56">
        <v>4607091384604</v>
      </c>
      <c r="E141" s="557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1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8"/>
      <c r="R141" s="548"/>
      <c r="S141" s="548"/>
      <c r="T141" s="549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558"/>
      <c r="B142" s="546"/>
      <c r="C142" s="546"/>
      <c r="D142" s="546"/>
      <c r="E142" s="546"/>
      <c r="F142" s="546"/>
      <c r="G142" s="546"/>
      <c r="H142" s="546"/>
      <c r="I142" s="546"/>
      <c r="J142" s="546"/>
      <c r="K142" s="546"/>
      <c r="L142" s="546"/>
      <c r="M142" s="546"/>
      <c r="N142" s="546"/>
      <c r="O142" s="559"/>
      <c r="P142" s="550" t="s">
        <v>71</v>
      </c>
      <c r="Q142" s="551"/>
      <c r="R142" s="551"/>
      <c r="S142" s="551"/>
      <c r="T142" s="551"/>
      <c r="U142" s="551"/>
      <c r="V142" s="552"/>
      <c r="W142" s="37" t="s">
        <v>72</v>
      </c>
      <c r="X142" s="543">
        <f>IFERROR(X140/H140,"0")+IFERROR(X141/H141,"0")</f>
        <v>0</v>
      </c>
      <c r="Y142" s="543">
        <f>IFERROR(Y140/H140,"0")+IFERROR(Y141/H141,"0")</f>
        <v>0</v>
      </c>
      <c r="Z142" s="543">
        <f>IFERROR(IF(Z140="",0,Z140),"0")+IFERROR(IF(Z141="",0,Z141),"0")</f>
        <v>0</v>
      </c>
      <c r="AA142" s="544"/>
      <c r="AB142" s="544"/>
      <c r="AC142" s="544"/>
    </row>
    <row r="143" spans="1:68" hidden="1" x14ac:dyDescent="0.2">
      <c r="A143" s="546"/>
      <c r="B143" s="546"/>
      <c r="C143" s="546"/>
      <c r="D143" s="546"/>
      <c r="E143" s="546"/>
      <c r="F143" s="546"/>
      <c r="G143" s="546"/>
      <c r="H143" s="546"/>
      <c r="I143" s="546"/>
      <c r="J143" s="546"/>
      <c r="K143" s="546"/>
      <c r="L143" s="546"/>
      <c r="M143" s="546"/>
      <c r="N143" s="546"/>
      <c r="O143" s="559"/>
      <c r="P143" s="550" t="s">
        <v>71</v>
      </c>
      <c r="Q143" s="551"/>
      <c r="R143" s="551"/>
      <c r="S143" s="551"/>
      <c r="T143" s="551"/>
      <c r="U143" s="551"/>
      <c r="V143" s="552"/>
      <c r="W143" s="37" t="s">
        <v>69</v>
      </c>
      <c r="X143" s="543">
        <f>IFERROR(SUM(X140:X141),"0")</f>
        <v>0</v>
      </c>
      <c r="Y143" s="543">
        <f>IFERROR(SUM(Y140:Y141),"0")</f>
        <v>0</v>
      </c>
      <c r="Z143" s="37"/>
      <c r="AA143" s="544"/>
      <c r="AB143" s="544"/>
      <c r="AC143" s="544"/>
    </row>
    <row r="144" spans="1:68" ht="14.25" hidden="1" customHeight="1" x14ac:dyDescent="0.25">
      <c r="A144" s="553" t="s">
        <v>64</v>
      </c>
      <c r="B144" s="546"/>
      <c r="C144" s="546"/>
      <c r="D144" s="546"/>
      <c r="E144" s="546"/>
      <c r="F144" s="546"/>
      <c r="G144" s="546"/>
      <c r="H144" s="546"/>
      <c r="I144" s="546"/>
      <c r="J144" s="546"/>
      <c r="K144" s="546"/>
      <c r="L144" s="546"/>
      <c r="M144" s="546"/>
      <c r="N144" s="546"/>
      <c r="O144" s="546"/>
      <c r="P144" s="546"/>
      <c r="Q144" s="546"/>
      <c r="R144" s="546"/>
      <c r="S144" s="546"/>
      <c r="T144" s="546"/>
      <c r="U144" s="546"/>
      <c r="V144" s="546"/>
      <c r="W144" s="546"/>
      <c r="X144" s="546"/>
      <c r="Y144" s="546"/>
      <c r="Z144" s="546"/>
      <c r="AA144" s="537"/>
      <c r="AB144" s="537"/>
      <c r="AC144" s="537"/>
    </row>
    <row r="145" spans="1:68" ht="16.5" hidden="1" customHeight="1" x14ac:dyDescent="0.25">
      <c r="A145" s="54" t="s">
        <v>238</v>
      </c>
      <c r="B145" s="54" t="s">
        <v>239</v>
      </c>
      <c r="C145" s="31">
        <v>4301030895</v>
      </c>
      <c r="D145" s="556">
        <v>4607091387667</v>
      </c>
      <c r="E145" s="557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102</v>
      </c>
      <c r="L145" s="32"/>
      <c r="M145" s="33" t="s">
        <v>104</v>
      </c>
      <c r="N145" s="33"/>
      <c r="O145" s="32">
        <v>40</v>
      </c>
      <c r="P145" s="84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8"/>
      <c r="R145" s="548"/>
      <c r="S145" s="548"/>
      <c r="T145" s="549"/>
      <c r="U145" s="34"/>
      <c r="V145" s="34"/>
      <c r="W145" s="35" t="s">
        <v>69</v>
      </c>
      <c r="X145" s="541">
        <v>0</v>
      </c>
      <c r="Y145" s="542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241</v>
      </c>
      <c r="B146" s="54" t="s">
        <v>242</v>
      </c>
      <c r="C146" s="31">
        <v>4301030961</v>
      </c>
      <c r="D146" s="556">
        <v>4607091387636</v>
      </c>
      <c r="E146" s="557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61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8"/>
      <c r="R146" s="548"/>
      <c r="S146" s="548"/>
      <c r="T146" s="549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hidden="1" customHeight="1" x14ac:dyDescent="0.25">
      <c r="A147" s="54" t="s">
        <v>244</v>
      </c>
      <c r="B147" s="54" t="s">
        <v>245</v>
      </c>
      <c r="C147" s="31">
        <v>4301030963</v>
      </c>
      <c r="D147" s="556">
        <v>4607091382426</v>
      </c>
      <c r="E147" s="557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102</v>
      </c>
      <c r="L147" s="32"/>
      <c r="M147" s="33" t="s">
        <v>68</v>
      </c>
      <c r="N147" s="33"/>
      <c r="O147" s="32">
        <v>40</v>
      </c>
      <c r="P147" s="83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8"/>
      <c r="R147" s="548"/>
      <c r="S147" s="548"/>
      <c r="T147" s="549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558"/>
      <c r="B148" s="546"/>
      <c r="C148" s="546"/>
      <c r="D148" s="546"/>
      <c r="E148" s="546"/>
      <c r="F148" s="546"/>
      <c r="G148" s="546"/>
      <c r="H148" s="546"/>
      <c r="I148" s="546"/>
      <c r="J148" s="546"/>
      <c r="K148" s="546"/>
      <c r="L148" s="546"/>
      <c r="M148" s="546"/>
      <c r="N148" s="546"/>
      <c r="O148" s="559"/>
      <c r="P148" s="550" t="s">
        <v>71</v>
      </c>
      <c r="Q148" s="551"/>
      <c r="R148" s="551"/>
      <c r="S148" s="551"/>
      <c r="T148" s="551"/>
      <c r="U148" s="551"/>
      <c r="V148" s="552"/>
      <c r="W148" s="37" t="s">
        <v>72</v>
      </c>
      <c r="X148" s="543">
        <f>IFERROR(X145/H145,"0")+IFERROR(X146/H146,"0")+IFERROR(X147/H147,"0")</f>
        <v>0</v>
      </c>
      <c r="Y148" s="543">
        <f>IFERROR(Y145/H145,"0")+IFERROR(Y146/H146,"0")+IFERROR(Y147/H147,"0")</f>
        <v>0</v>
      </c>
      <c r="Z148" s="543">
        <f>IFERROR(IF(Z145="",0,Z145),"0")+IFERROR(IF(Z146="",0,Z146),"0")+IFERROR(IF(Z147="",0,Z147),"0")</f>
        <v>0</v>
      </c>
      <c r="AA148" s="544"/>
      <c r="AB148" s="544"/>
      <c r="AC148" s="544"/>
    </row>
    <row r="149" spans="1:68" hidden="1" x14ac:dyDescent="0.2">
      <c r="A149" s="546"/>
      <c r="B149" s="546"/>
      <c r="C149" s="546"/>
      <c r="D149" s="546"/>
      <c r="E149" s="546"/>
      <c r="F149" s="546"/>
      <c r="G149" s="546"/>
      <c r="H149" s="546"/>
      <c r="I149" s="546"/>
      <c r="J149" s="546"/>
      <c r="K149" s="546"/>
      <c r="L149" s="546"/>
      <c r="M149" s="546"/>
      <c r="N149" s="546"/>
      <c r="O149" s="559"/>
      <c r="P149" s="550" t="s">
        <v>71</v>
      </c>
      <c r="Q149" s="551"/>
      <c r="R149" s="551"/>
      <c r="S149" s="551"/>
      <c r="T149" s="551"/>
      <c r="U149" s="551"/>
      <c r="V149" s="552"/>
      <c r="W149" s="37" t="s">
        <v>69</v>
      </c>
      <c r="X149" s="543">
        <f>IFERROR(SUM(X145:X147),"0")</f>
        <v>0</v>
      </c>
      <c r="Y149" s="543">
        <f>IFERROR(SUM(Y145:Y147),"0")</f>
        <v>0</v>
      </c>
      <c r="Z149" s="37"/>
      <c r="AA149" s="544"/>
      <c r="AB149" s="544"/>
      <c r="AC149" s="544"/>
    </row>
    <row r="150" spans="1:68" ht="14.25" hidden="1" customHeight="1" x14ac:dyDescent="0.25">
      <c r="A150" s="553" t="s">
        <v>73</v>
      </c>
      <c r="B150" s="546"/>
      <c r="C150" s="546"/>
      <c r="D150" s="546"/>
      <c r="E150" s="546"/>
      <c r="F150" s="546"/>
      <c r="G150" s="546"/>
      <c r="H150" s="546"/>
      <c r="I150" s="546"/>
      <c r="J150" s="546"/>
      <c r="K150" s="546"/>
      <c r="L150" s="546"/>
      <c r="M150" s="546"/>
      <c r="N150" s="546"/>
      <c r="O150" s="546"/>
      <c r="P150" s="546"/>
      <c r="Q150" s="546"/>
      <c r="R150" s="546"/>
      <c r="S150" s="546"/>
      <c r="T150" s="546"/>
      <c r="U150" s="546"/>
      <c r="V150" s="546"/>
      <c r="W150" s="546"/>
      <c r="X150" s="546"/>
      <c r="Y150" s="546"/>
      <c r="Z150" s="546"/>
      <c r="AA150" s="537"/>
      <c r="AB150" s="537"/>
      <c r="AC150" s="537"/>
    </row>
    <row r="151" spans="1:68" ht="27" hidden="1" customHeight="1" x14ac:dyDescent="0.25">
      <c r="A151" s="54" t="s">
        <v>247</v>
      </c>
      <c r="B151" s="54" t="s">
        <v>248</v>
      </c>
      <c r="C151" s="31">
        <v>4301052064</v>
      </c>
      <c r="D151" s="556">
        <v>4680115887459</v>
      </c>
      <c r="E151" s="557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5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1" s="548"/>
      <c r="R151" s="548"/>
      <c r="S151" s="548"/>
      <c r="T151" s="549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58"/>
      <c r="B152" s="546"/>
      <c r="C152" s="546"/>
      <c r="D152" s="546"/>
      <c r="E152" s="546"/>
      <c r="F152" s="546"/>
      <c r="G152" s="546"/>
      <c r="H152" s="546"/>
      <c r="I152" s="546"/>
      <c r="J152" s="546"/>
      <c r="K152" s="546"/>
      <c r="L152" s="546"/>
      <c r="M152" s="546"/>
      <c r="N152" s="546"/>
      <c r="O152" s="559"/>
      <c r="P152" s="550" t="s">
        <v>71</v>
      </c>
      <c r="Q152" s="551"/>
      <c r="R152" s="551"/>
      <c r="S152" s="551"/>
      <c r="T152" s="551"/>
      <c r="U152" s="551"/>
      <c r="V152" s="552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hidden="1" x14ac:dyDescent="0.2">
      <c r="A153" s="546"/>
      <c r="B153" s="546"/>
      <c r="C153" s="546"/>
      <c r="D153" s="546"/>
      <c r="E153" s="546"/>
      <c r="F153" s="546"/>
      <c r="G153" s="546"/>
      <c r="H153" s="546"/>
      <c r="I153" s="546"/>
      <c r="J153" s="546"/>
      <c r="K153" s="546"/>
      <c r="L153" s="546"/>
      <c r="M153" s="546"/>
      <c r="N153" s="546"/>
      <c r="O153" s="559"/>
      <c r="P153" s="550" t="s">
        <v>71</v>
      </c>
      <c r="Q153" s="551"/>
      <c r="R153" s="551"/>
      <c r="S153" s="551"/>
      <c r="T153" s="551"/>
      <c r="U153" s="551"/>
      <c r="V153" s="552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hidden="1" customHeight="1" x14ac:dyDescent="0.2">
      <c r="A154" s="645" t="s">
        <v>250</v>
      </c>
      <c r="B154" s="646"/>
      <c r="C154" s="646"/>
      <c r="D154" s="646"/>
      <c r="E154" s="646"/>
      <c r="F154" s="646"/>
      <c r="G154" s="646"/>
      <c r="H154" s="646"/>
      <c r="I154" s="646"/>
      <c r="J154" s="646"/>
      <c r="K154" s="646"/>
      <c r="L154" s="646"/>
      <c r="M154" s="646"/>
      <c r="N154" s="646"/>
      <c r="O154" s="646"/>
      <c r="P154" s="646"/>
      <c r="Q154" s="646"/>
      <c r="R154" s="646"/>
      <c r="S154" s="646"/>
      <c r="T154" s="646"/>
      <c r="U154" s="646"/>
      <c r="V154" s="646"/>
      <c r="W154" s="646"/>
      <c r="X154" s="646"/>
      <c r="Y154" s="646"/>
      <c r="Z154" s="646"/>
      <c r="AA154" s="48"/>
      <c r="AB154" s="48"/>
      <c r="AC154" s="48"/>
    </row>
    <row r="155" spans="1:68" ht="16.5" hidden="1" customHeight="1" x14ac:dyDescent="0.25">
      <c r="A155" s="545" t="s">
        <v>251</v>
      </c>
      <c r="B155" s="546"/>
      <c r="C155" s="546"/>
      <c r="D155" s="546"/>
      <c r="E155" s="546"/>
      <c r="F155" s="546"/>
      <c r="G155" s="546"/>
      <c r="H155" s="546"/>
      <c r="I155" s="546"/>
      <c r="J155" s="546"/>
      <c r="K155" s="546"/>
      <c r="L155" s="546"/>
      <c r="M155" s="546"/>
      <c r="N155" s="546"/>
      <c r="O155" s="546"/>
      <c r="P155" s="546"/>
      <c r="Q155" s="546"/>
      <c r="R155" s="546"/>
      <c r="S155" s="546"/>
      <c r="T155" s="546"/>
      <c r="U155" s="546"/>
      <c r="V155" s="546"/>
      <c r="W155" s="546"/>
      <c r="X155" s="546"/>
      <c r="Y155" s="546"/>
      <c r="Z155" s="546"/>
      <c r="AA155" s="536"/>
      <c r="AB155" s="536"/>
      <c r="AC155" s="536"/>
    </row>
    <row r="156" spans="1:68" ht="14.25" hidden="1" customHeight="1" x14ac:dyDescent="0.25">
      <c r="A156" s="553" t="s">
        <v>135</v>
      </c>
      <c r="B156" s="546"/>
      <c r="C156" s="546"/>
      <c r="D156" s="546"/>
      <c r="E156" s="546"/>
      <c r="F156" s="546"/>
      <c r="G156" s="546"/>
      <c r="H156" s="546"/>
      <c r="I156" s="546"/>
      <c r="J156" s="546"/>
      <c r="K156" s="546"/>
      <c r="L156" s="546"/>
      <c r="M156" s="546"/>
      <c r="N156" s="546"/>
      <c r="O156" s="546"/>
      <c r="P156" s="546"/>
      <c r="Q156" s="546"/>
      <c r="R156" s="546"/>
      <c r="S156" s="546"/>
      <c r="T156" s="546"/>
      <c r="U156" s="546"/>
      <c r="V156" s="546"/>
      <c r="W156" s="546"/>
      <c r="X156" s="546"/>
      <c r="Y156" s="546"/>
      <c r="Z156" s="546"/>
      <c r="AA156" s="537"/>
      <c r="AB156" s="537"/>
      <c r="AC156" s="537"/>
    </row>
    <row r="157" spans="1:68" ht="27" hidden="1" customHeight="1" x14ac:dyDescent="0.25">
      <c r="A157" s="54" t="s">
        <v>252</v>
      </c>
      <c r="B157" s="54" t="s">
        <v>253</v>
      </c>
      <c r="C157" s="31">
        <v>4301020323</v>
      </c>
      <c r="D157" s="556">
        <v>4680115886223</v>
      </c>
      <c r="E157" s="557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85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8"/>
      <c r="R157" s="548"/>
      <c r="S157" s="548"/>
      <c r="T157" s="549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58"/>
      <c r="B158" s="546"/>
      <c r="C158" s="546"/>
      <c r="D158" s="546"/>
      <c r="E158" s="546"/>
      <c r="F158" s="546"/>
      <c r="G158" s="546"/>
      <c r="H158" s="546"/>
      <c r="I158" s="546"/>
      <c r="J158" s="546"/>
      <c r="K158" s="546"/>
      <c r="L158" s="546"/>
      <c r="M158" s="546"/>
      <c r="N158" s="546"/>
      <c r="O158" s="559"/>
      <c r="P158" s="550" t="s">
        <v>71</v>
      </c>
      <c r="Q158" s="551"/>
      <c r="R158" s="551"/>
      <c r="S158" s="551"/>
      <c r="T158" s="551"/>
      <c r="U158" s="551"/>
      <c r="V158" s="552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hidden="1" x14ac:dyDescent="0.2">
      <c r="A159" s="546"/>
      <c r="B159" s="546"/>
      <c r="C159" s="546"/>
      <c r="D159" s="546"/>
      <c r="E159" s="546"/>
      <c r="F159" s="546"/>
      <c r="G159" s="546"/>
      <c r="H159" s="546"/>
      <c r="I159" s="546"/>
      <c r="J159" s="546"/>
      <c r="K159" s="546"/>
      <c r="L159" s="546"/>
      <c r="M159" s="546"/>
      <c r="N159" s="546"/>
      <c r="O159" s="559"/>
      <c r="P159" s="550" t="s">
        <v>71</v>
      </c>
      <c r="Q159" s="551"/>
      <c r="R159" s="551"/>
      <c r="S159" s="551"/>
      <c r="T159" s="551"/>
      <c r="U159" s="551"/>
      <c r="V159" s="552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hidden="1" customHeight="1" x14ac:dyDescent="0.25">
      <c r="A160" s="553" t="s">
        <v>64</v>
      </c>
      <c r="B160" s="546"/>
      <c r="C160" s="546"/>
      <c r="D160" s="546"/>
      <c r="E160" s="546"/>
      <c r="F160" s="546"/>
      <c r="G160" s="546"/>
      <c r="H160" s="546"/>
      <c r="I160" s="546"/>
      <c r="J160" s="546"/>
      <c r="K160" s="546"/>
      <c r="L160" s="546"/>
      <c r="M160" s="546"/>
      <c r="N160" s="546"/>
      <c r="O160" s="546"/>
      <c r="P160" s="546"/>
      <c r="Q160" s="546"/>
      <c r="R160" s="546"/>
      <c r="S160" s="546"/>
      <c r="T160" s="546"/>
      <c r="U160" s="546"/>
      <c r="V160" s="546"/>
      <c r="W160" s="546"/>
      <c r="X160" s="546"/>
      <c r="Y160" s="546"/>
      <c r="Z160" s="546"/>
      <c r="AA160" s="537"/>
      <c r="AB160" s="537"/>
      <c r="AC160" s="537"/>
    </row>
    <row r="161" spans="1:68" ht="27" hidden="1" customHeight="1" x14ac:dyDescent="0.25">
      <c r="A161" s="54" t="s">
        <v>255</v>
      </c>
      <c r="B161" s="54" t="s">
        <v>256</v>
      </c>
      <c r="C161" s="31">
        <v>4301031191</v>
      </c>
      <c r="D161" s="556">
        <v>4680115880993</v>
      </c>
      <c r="E161" s="557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109</v>
      </c>
      <c r="L161" s="32"/>
      <c r="M161" s="33" t="s">
        <v>68</v>
      </c>
      <c r="N161" s="33"/>
      <c r="O161" s="32">
        <v>40</v>
      </c>
      <c r="P161" s="71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8"/>
      <c r="R161" s="548"/>
      <c r="S161" s="548"/>
      <c r="T161" s="549"/>
      <c r="U161" s="34"/>
      <c r="V161" s="34"/>
      <c r="W161" s="35" t="s">
        <v>69</v>
      </c>
      <c r="X161" s="541">
        <v>0</v>
      </c>
      <c r="Y161" s="542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257</v>
      </c>
      <c r="AG161" s="64"/>
      <c r="AJ161" s="68"/>
      <c r="AK161" s="68">
        <v>0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hidden="1" customHeight="1" x14ac:dyDescent="0.25">
      <c r="A162" s="54" t="s">
        <v>258</v>
      </c>
      <c r="B162" s="54" t="s">
        <v>259</v>
      </c>
      <c r="C162" s="31">
        <v>4301031204</v>
      </c>
      <c r="D162" s="556">
        <v>4680115881761</v>
      </c>
      <c r="E162" s="557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109</v>
      </c>
      <c r="L162" s="32"/>
      <c r="M162" s="33" t="s">
        <v>68</v>
      </c>
      <c r="N162" s="33"/>
      <c r="O162" s="32">
        <v>40</v>
      </c>
      <c r="P162" s="66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8"/>
      <c r="R162" s="548"/>
      <c r="S162" s="548"/>
      <c r="T162" s="549"/>
      <c r="U162" s="34"/>
      <c r="V162" s="34"/>
      <c r="W162" s="35" t="s">
        <v>69</v>
      </c>
      <c r="X162" s="541">
        <v>0</v>
      </c>
      <c r="Y162" s="542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hidden="1" customHeight="1" x14ac:dyDescent="0.25">
      <c r="A163" s="54" t="s">
        <v>261</v>
      </c>
      <c r="B163" s="54" t="s">
        <v>262</v>
      </c>
      <c r="C163" s="31">
        <v>4301031201</v>
      </c>
      <c r="D163" s="556">
        <v>4680115881563</v>
      </c>
      <c r="E163" s="557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109</v>
      </c>
      <c r="L163" s="32" t="s">
        <v>110</v>
      </c>
      <c r="M163" s="33" t="s">
        <v>68</v>
      </c>
      <c r="N163" s="33"/>
      <c r="O163" s="32">
        <v>40</v>
      </c>
      <c r="P163" s="74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8"/>
      <c r="R163" s="548"/>
      <c r="S163" s="548"/>
      <c r="T163" s="549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263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264</v>
      </c>
      <c r="B164" s="54" t="s">
        <v>265</v>
      </c>
      <c r="C164" s="31">
        <v>4301031199</v>
      </c>
      <c r="D164" s="556">
        <v>4680115880986</v>
      </c>
      <c r="E164" s="557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 t="s">
        <v>266</v>
      </c>
      <c r="M164" s="33" t="s">
        <v>68</v>
      </c>
      <c r="N164" s="33"/>
      <c r="O164" s="32">
        <v>40</v>
      </c>
      <c r="P164" s="67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8"/>
      <c r="R164" s="548"/>
      <c r="S164" s="548"/>
      <c r="T164" s="549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257</v>
      </c>
      <c r="AG164" s="64"/>
      <c r="AJ164" s="68" t="s">
        <v>106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267</v>
      </c>
      <c r="B165" s="54" t="s">
        <v>268</v>
      </c>
      <c r="C165" s="31">
        <v>4301031443</v>
      </c>
      <c r="D165" s="556">
        <v>4680115887213</v>
      </c>
      <c r="E165" s="557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850" t="s">
        <v>269</v>
      </c>
      <c r="Q165" s="548"/>
      <c r="R165" s="548"/>
      <c r="S165" s="548"/>
      <c r="T165" s="549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4301031205</v>
      </c>
      <c r="D166" s="556">
        <v>4680115881785</v>
      </c>
      <c r="E166" s="557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/>
      <c r="M166" s="33" t="s">
        <v>68</v>
      </c>
      <c r="N166" s="33"/>
      <c r="O166" s="32">
        <v>40</v>
      </c>
      <c r="P166" s="81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8"/>
      <c r="R166" s="548"/>
      <c r="S166" s="548"/>
      <c r="T166" s="549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273</v>
      </c>
      <c r="B167" s="54" t="s">
        <v>274</v>
      </c>
      <c r="C167" s="31">
        <v>4301031399</v>
      </c>
      <c r="D167" s="556">
        <v>4680115886537</v>
      </c>
      <c r="E167" s="557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77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8"/>
      <c r="R167" s="548"/>
      <c r="S167" s="548"/>
      <c r="T167" s="549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275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hidden="1" customHeight="1" x14ac:dyDescent="0.25">
      <c r="A168" s="54" t="s">
        <v>276</v>
      </c>
      <c r="B168" s="54" t="s">
        <v>277</v>
      </c>
      <c r="C168" s="31">
        <v>4301031202</v>
      </c>
      <c r="D168" s="556">
        <v>4680115881679</v>
      </c>
      <c r="E168" s="557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266</v>
      </c>
      <c r="M168" s="33" t="s">
        <v>68</v>
      </c>
      <c r="N168" s="33"/>
      <c r="O168" s="32">
        <v>40</v>
      </c>
      <c r="P168" s="81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8"/>
      <c r="R168" s="548"/>
      <c r="S168" s="548"/>
      <c r="T168" s="549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263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278</v>
      </c>
      <c r="B169" s="54" t="s">
        <v>279</v>
      </c>
      <c r="C169" s="31">
        <v>4301031158</v>
      </c>
      <c r="D169" s="556">
        <v>4680115880191</v>
      </c>
      <c r="E169" s="557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78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8"/>
      <c r="R169" s="548"/>
      <c r="S169" s="548"/>
      <c r="T169" s="549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280</v>
      </c>
      <c r="B170" s="54" t="s">
        <v>281</v>
      </c>
      <c r="C170" s="31">
        <v>4301031245</v>
      </c>
      <c r="D170" s="556">
        <v>4680115883963</v>
      </c>
      <c r="E170" s="557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84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8"/>
      <c r="R170" s="548"/>
      <c r="S170" s="548"/>
      <c r="T170" s="549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idden="1" x14ac:dyDescent="0.2">
      <c r="A171" s="558"/>
      <c r="B171" s="546"/>
      <c r="C171" s="546"/>
      <c r="D171" s="546"/>
      <c r="E171" s="546"/>
      <c r="F171" s="546"/>
      <c r="G171" s="546"/>
      <c r="H171" s="546"/>
      <c r="I171" s="546"/>
      <c r="J171" s="546"/>
      <c r="K171" s="546"/>
      <c r="L171" s="546"/>
      <c r="M171" s="546"/>
      <c r="N171" s="546"/>
      <c r="O171" s="559"/>
      <c r="P171" s="550" t="s">
        <v>71</v>
      </c>
      <c r="Q171" s="551"/>
      <c r="R171" s="551"/>
      <c r="S171" s="551"/>
      <c r="T171" s="551"/>
      <c r="U171" s="551"/>
      <c r="V171" s="552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544"/>
      <c r="AB171" s="544"/>
      <c r="AC171" s="544"/>
    </row>
    <row r="172" spans="1:68" hidden="1" x14ac:dyDescent="0.2">
      <c r="A172" s="546"/>
      <c r="B172" s="546"/>
      <c r="C172" s="546"/>
      <c r="D172" s="546"/>
      <c r="E172" s="546"/>
      <c r="F172" s="546"/>
      <c r="G172" s="546"/>
      <c r="H172" s="546"/>
      <c r="I172" s="546"/>
      <c r="J172" s="546"/>
      <c r="K172" s="546"/>
      <c r="L172" s="546"/>
      <c r="M172" s="546"/>
      <c r="N172" s="546"/>
      <c r="O172" s="559"/>
      <c r="P172" s="550" t="s">
        <v>71</v>
      </c>
      <c r="Q172" s="551"/>
      <c r="R172" s="551"/>
      <c r="S172" s="551"/>
      <c r="T172" s="551"/>
      <c r="U172" s="551"/>
      <c r="V172" s="552"/>
      <c r="W172" s="37" t="s">
        <v>69</v>
      </c>
      <c r="X172" s="543">
        <f>IFERROR(SUM(X161:X170),"0")</f>
        <v>0</v>
      </c>
      <c r="Y172" s="543">
        <f>IFERROR(SUM(Y161:Y170),"0")</f>
        <v>0</v>
      </c>
      <c r="Z172" s="37"/>
      <c r="AA172" s="544"/>
      <c r="AB172" s="544"/>
      <c r="AC172" s="544"/>
    </row>
    <row r="173" spans="1:68" ht="14.25" hidden="1" customHeight="1" x14ac:dyDescent="0.25">
      <c r="A173" s="553" t="s">
        <v>91</v>
      </c>
      <c r="B173" s="546"/>
      <c r="C173" s="546"/>
      <c r="D173" s="546"/>
      <c r="E173" s="546"/>
      <c r="F173" s="546"/>
      <c r="G173" s="546"/>
      <c r="H173" s="546"/>
      <c r="I173" s="546"/>
      <c r="J173" s="546"/>
      <c r="K173" s="546"/>
      <c r="L173" s="546"/>
      <c r="M173" s="546"/>
      <c r="N173" s="546"/>
      <c r="O173" s="546"/>
      <c r="P173" s="546"/>
      <c r="Q173" s="546"/>
      <c r="R173" s="546"/>
      <c r="S173" s="546"/>
      <c r="T173" s="546"/>
      <c r="U173" s="546"/>
      <c r="V173" s="546"/>
      <c r="W173" s="546"/>
      <c r="X173" s="546"/>
      <c r="Y173" s="546"/>
      <c r="Z173" s="546"/>
      <c r="AA173" s="537"/>
      <c r="AB173" s="537"/>
      <c r="AC173" s="537"/>
    </row>
    <row r="174" spans="1:68" ht="27" hidden="1" customHeight="1" x14ac:dyDescent="0.25">
      <c r="A174" s="54" t="s">
        <v>283</v>
      </c>
      <c r="B174" s="54" t="s">
        <v>284</v>
      </c>
      <c r="C174" s="31">
        <v>4301032053</v>
      </c>
      <c r="D174" s="556">
        <v>4680115886780</v>
      </c>
      <c r="E174" s="557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76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8"/>
      <c r="R174" s="548"/>
      <c r="S174" s="548"/>
      <c r="T174" s="549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hidden="1" customHeight="1" x14ac:dyDescent="0.25">
      <c r="A175" s="54" t="s">
        <v>288</v>
      </c>
      <c r="B175" s="54" t="s">
        <v>289</v>
      </c>
      <c r="C175" s="31">
        <v>4301032051</v>
      </c>
      <c r="D175" s="556">
        <v>4680115886742</v>
      </c>
      <c r="E175" s="557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66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8"/>
      <c r="R175" s="548"/>
      <c r="S175" s="548"/>
      <c r="T175" s="549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291</v>
      </c>
      <c r="B176" s="54" t="s">
        <v>292</v>
      </c>
      <c r="C176" s="31">
        <v>4301032052</v>
      </c>
      <c r="D176" s="556">
        <v>4680115886766</v>
      </c>
      <c r="E176" s="557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64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8"/>
      <c r="R176" s="548"/>
      <c r="S176" s="548"/>
      <c r="T176" s="549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idden="1" x14ac:dyDescent="0.2">
      <c r="A177" s="558"/>
      <c r="B177" s="546"/>
      <c r="C177" s="546"/>
      <c r="D177" s="546"/>
      <c r="E177" s="546"/>
      <c r="F177" s="546"/>
      <c r="G177" s="546"/>
      <c r="H177" s="546"/>
      <c r="I177" s="546"/>
      <c r="J177" s="546"/>
      <c r="K177" s="546"/>
      <c r="L177" s="546"/>
      <c r="M177" s="546"/>
      <c r="N177" s="546"/>
      <c r="O177" s="559"/>
      <c r="P177" s="550" t="s">
        <v>71</v>
      </c>
      <c r="Q177" s="551"/>
      <c r="R177" s="551"/>
      <c r="S177" s="551"/>
      <c r="T177" s="551"/>
      <c r="U177" s="551"/>
      <c r="V177" s="552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hidden="1" x14ac:dyDescent="0.2">
      <c r="A178" s="546"/>
      <c r="B178" s="546"/>
      <c r="C178" s="546"/>
      <c r="D178" s="546"/>
      <c r="E178" s="546"/>
      <c r="F178" s="546"/>
      <c r="G178" s="546"/>
      <c r="H178" s="546"/>
      <c r="I178" s="546"/>
      <c r="J178" s="546"/>
      <c r="K178" s="546"/>
      <c r="L178" s="546"/>
      <c r="M178" s="546"/>
      <c r="N178" s="546"/>
      <c r="O178" s="559"/>
      <c r="P178" s="550" t="s">
        <v>71</v>
      </c>
      <c r="Q178" s="551"/>
      <c r="R178" s="551"/>
      <c r="S178" s="551"/>
      <c r="T178" s="551"/>
      <c r="U178" s="551"/>
      <c r="V178" s="552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hidden="1" customHeight="1" x14ac:dyDescent="0.25">
      <c r="A179" s="553" t="s">
        <v>293</v>
      </c>
      <c r="B179" s="546"/>
      <c r="C179" s="546"/>
      <c r="D179" s="546"/>
      <c r="E179" s="546"/>
      <c r="F179" s="546"/>
      <c r="G179" s="546"/>
      <c r="H179" s="546"/>
      <c r="I179" s="546"/>
      <c r="J179" s="546"/>
      <c r="K179" s="546"/>
      <c r="L179" s="546"/>
      <c r="M179" s="546"/>
      <c r="N179" s="546"/>
      <c r="O179" s="546"/>
      <c r="P179" s="546"/>
      <c r="Q179" s="546"/>
      <c r="R179" s="546"/>
      <c r="S179" s="546"/>
      <c r="T179" s="546"/>
      <c r="U179" s="546"/>
      <c r="V179" s="546"/>
      <c r="W179" s="546"/>
      <c r="X179" s="546"/>
      <c r="Y179" s="546"/>
      <c r="Z179" s="546"/>
      <c r="AA179" s="537"/>
      <c r="AB179" s="537"/>
      <c r="AC179" s="537"/>
    </row>
    <row r="180" spans="1:68" ht="27" hidden="1" customHeight="1" x14ac:dyDescent="0.25">
      <c r="A180" s="54" t="s">
        <v>294</v>
      </c>
      <c r="B180" s="54" t="s">
        <v>295</v>
      </c>
      <c r="C180" s="31">
        <v>4301170013</v>
      </c>
      <c r="D180" s="556">
        <v>4680115886797</v>
      </c>
      <c r="E180" s="557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77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8"/>
      <c r="R180" s="548"/>
      <c r="S180" s="548"/>
      <c r="T180" s="549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idden="1" x14ac:dyDescent="0.2">
      <c r="A181" s="558"/>
      <c r="B181" s="546"/>
      <c r="C181" s="546"/>
      <c r="D181" s="546"/>
      <c r="E181" s="546"/>
      <c r="F181" s="546"/>
      <c r="G181" s="546"/>
      <c r="H181" s="546"/>
      <c r="I181" s="546"/>
      <c r="J181" s="546"/>
      <c r="K181" s="546"/>
      <c r="L181" s="546"/>
      <c r="M181" s="546"/>
      <c r="N181" s="546"/>
      <c r="O181" s="559"/>
      <c r="P181" s="550" t="s">
        <v>71</v>
      </c>
      <c r="Q181" s="551"/>
      <c r="R181" s="551"/>
      <c r="S181" s="551"/>
      <c r="T181" s="551"/>
      <c r="U181" s="551"/>
      <c r="V181" s="552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hidden="1" x14ac:dyDescent="0.2">
      <c r="A182" s="546"/>
      <c r="B182" s="546"/>
      <c r="C182" s="546"/>
      <c r="D182" s="546"/>
      <c r="E182" s="546"/>
      <c r="F182" s="546"/>
      <c r="G182" s="546"/>
      <c r="H182" s="546"/>
      <c r="I182" s="546"/>
      <c r="J182" s="546"/>
      <c r="K182" s="546"/>
      <c r="L182" s="546"/>
      <c r="M182" s="546"/>
      <c r="N182" s="546"/>
      <c r="O182" s="559"/>
      <c r="P182" s="550" t="s">
        <v>71</v>
      </c>
      <c r="Q182" s="551"/>
      <c r="R182" s="551"/>
      <c r="S182" s="551"/>
      <c r="T182" s="551"/>
      <c r="U182" s="551"/>
      <c r="V182" s="552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hidden="1" customHeight="1" x14ac:dyDescent="0.25">
      <c r="A183" s="545" t="s">
        <v>296</v>
      </c>
      <c r="B183" s="546"/>
      <c r="C183" s="546"/>
      <c r="D183" s="546"/>
      <c r="E183" s="546"/>
      <c r="F183" s="546"/>
      <c r="G183" s="546"/>
      <c r="H183" s="546"/>
      <c r="I183" s="546"/>
      <c r="J183" s="546"/>
      <c r="K183" s="546"/>
      <c r="L183" s="546"/>
      <c r="M183" s="546"/>
      <c r="N183" s="546"/>
      <c r="O183" s="546"/>
      <c r="P183" s="546"/>
      <c r="Q183" s="546"/>
      <c r="R183" s="546"/>
      <c r="S183" s="546"/>
      <c r="T183" s="546"/>
      <c r="U183" s="546"/>
      <c r="V183" s="546"/>
      <c r="W183" s="546"/>
      <c r="X183" s="546"/>
      <c r="Y183" s="546"/>
      <c r="Z183" s="546"/>
      <c r="AA183" s="536"/>
      <c r="AB183" s="536"/>
      <c r="AC183" s="536"/>
    </row>
    <row r="184" spans="1:68" ht="14.25" hidden="1" customHeight="1" x14ac:dyDescent="0.25">
      <c r="A184" s="553" t="s">
        <v>99</v>
      </c>
      <c r="B184" s="546"/>
      <c r="C184" s="546"/>
      <c r="D184" s="546"/>
      <c r="E184" s="546"/>
      <c r="F184" s="546"/>
      <c r="G184" s="546"/>
      <c r="H184" s="546"/>
      <c r="I184" s="546"/>
      <c r="J184" s="546"/>
      <c r="K184" s="546"/>
      <c r="L184" s="546"/>
      <c r="M184" s="546"/>
      <c r="N184" s="546"/>
      <c r="O184" s="546"/>
      <c r="P184" s="546"/>
      <c r="Q184" s="546"/>
      <c r="R184" s="546"/>
      <c r="S184" s="546"/>
      <c r="T184" s="546"/>
      <c r="U184" s="546"/>
      <c r="V184" s="546"/>
      <c r="W184" s="546"/>
      <c r="X184" s="546"/>
      <c r="Y184" s="546"/>
      <c r="Z184" s="546"/>
      <c r="AA184" s="537"/>
      <c r="AB184" s="537"/>
      <c r="AC184" s="537"/>
    </row>
    <row r="185" spans="1:68" ht="27" hidden="1" customHeight="1" x14ac:dyDescent="0.25">
      <c r="A185" s="54" t="s">
        <v>297</v>
      </c>
      <c r="B185" s="54" t="s">
        <v>298</v>
      </c>
      <c r="C185" s="31">
        <v>4301011450</v>
      </c>
      <c r="D185" s="556">
        <v>4680115881402</v>
      </c>
      <c r="E185" s="557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76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8"/>
      <c r="R185" s="548"/>
      <c r="S185" s="548"/>
      <c r="T185" s="549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300</v>
      </c>
      <c r="B186" s="54" t="s">
        <v>301</v>
      </c>
      <c r="C186" s="31">
        <v>4301011768</v>
      </c>
      <c r="D186" s="556">
        <v>4680115881396</v>
      </c>
      <c r="E186" s="557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 t="s">
        <v>186</v>
      </c>
      <c r="M186" s="33" t="s">
        <v>104</v>
      </c>
      <c r="N186" s="33"/>
      <c r="O186" s="32">
        <v>55</v>
      </c>
      <c r="P186" s="60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8"/>
      <c r="R186" s="548"/>
      <c r="S186" s="548"/>
      <c r="T186" s="549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 t="s">
        <v>106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58"/>
      <c r="B187" s="546"/>
      <c r="C187" s="546"/>
      <c r="D187" s="546"/>
      <c r="E187" s="546"/>
      <c r="F187" s="546"/>
      <c r="G187" s="546"/>
      <c r="H187" s="546"/>
      <c r="I187" s="546"/>
      <c r="J187" s="546"/>
      <c r="K187" s="546"/>
      <c r="L187" s="546"/>
      <c r="M187" s="546"/>
      <c r="N187" s="546"/>
      <c r="O187" s="559"/>
      <c r="P187" s="550" t="s">
        <v>71</v>
      </c>
      <c r="Q187" s="551"/>
      <c r="R187" s="551"/>
      <c r="S187" s="551"/>
      <c r="T187" s="551"/>
      <c r="U187" s="551"/>
      <c r="V187" s="552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hidden="1" x14ac:dyDescent="0.2">
      <c r="A188" s="546"/>
      <c r="B188" s="546"/>
      <c r="C188" s="546"/>
      <c r="D188" s="546"/>
      <c r="E188" s="546"/>
      <c r="F188" s="546"/>
      <c r="G188" s="546"/>
      <c r="H188" s="546"/>
      <c r="I188" s="546"/>
      <c r="J188" s="546"/>
      <c r="K188" s="546"/>
      <c r="L188" s="546"/>
      <c r="M188" s="546"/>
      <c r="N188" s="546"/>
      <c r="O188" s="559"/>
      <c r="P188" s="550" t="s">
        <v>71</v>
      </c>
      <c r="Q188" s="551"/>
      <c r="R188" s="551"/>
      <c r="S188" s="551"/>
      <c r="T188" s="551"/>
      <c r="U188" s="551"/>
      <c r="V188" s="552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hidden="1" customHeight="1" x14ac:dyDescent="0.25">
      <c r="A189" s="553" t="s">
        <v>135</v>
      </c>
      <c r="B189" s="546"/>
      <c r="C189" s="546"/>
      <c r="D189" s="546"/>
      <c r="E189" s="546"/>
      <c r="F189" s="546"/>
      <c r="G189" s="546"/>
      <c r="H189" s="546"/>
      <c r="I189" s="546"/>
      <c r="J189" s="546"/>
      <c r="K189" s="546"/>
      <c r="L189" s="546"/>
      <c r="M189" s="546"/>
      <c r="N189" s="546"/>
      <c r="O189" s="546"/>
      <c r="P189" s="546"/>
      <c r="Q189" s="546"/>
      <c r="R189" s="546"/>
      <c r="S189" s="546"/>
      <c r="T189" s="546"/>
      <c r="U189" s="546"/>
      <c r="V189" s="546"/>
      <c r="W189" s="546"/>
      <c r="X189" s="546"/>
      <c r="Y189" s="546"/>
      <c r="Z189" s="546"/>
      <c r="AA189" s="537"/>
      <c r="AB189" s="537"/>
      <c r="AC189" s="537"/>
    </row>
    <row r="190" spans="1:68" ht="16.5" hidden="1" customHeight="1" x14ac:dyDescent="0.25">
      <c r="A190" s="54" t="s">
        <v>302</v>
      </c>
      <c r="B190" s="54" t="s">
        <v>303</v>
      </c>
      <c r="C190" s="31">
        <v>4301020261</v>
      </c>
      <c r="D190" s="556">
        <v>4680115882935</v>
      </c>
      <c r="E190" s="557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69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8"/>
      <c r="R190" s="548"/>
      <c r="S190" s="548"/>
      <c r="T190" s="549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305</v>
      </c>
      <c r="B191" s="54" t="s">
        <v>306</v>
      </c>
      <c r="C191" s="31">
        <v>4301020220</v>
      </c>
      <c r="D191" s="556">
        <v>4680115880764</v>
      </c>
      <c r="E191" s="557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/>
      <c r="M191" s="33" t="s">
        <v>104</v>
      </c>
      <c r="N191" s="33"/>
      <c r="O191" s="32">
        <v>50</v>
      </c>
      <c r="P191" s="6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8"/>
      <c r="R191" s="548"/>
      <c r="S191" s="548"/>
      <c r="T191" s="549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58"/>
      <c r="B192" s="546"/>
      <c r="C192" s="546"/>
      <c r="D192" s="546"/>
      <c r="E192" s="546"/>
      <c r="F192" s="546"/>
      <c r="G192" s="546"/>
      <c r="H192" s="546"/>
      <c r="I192" s="546"/>
      <c r="J192" s="546"/>
      <c r="K192" s="546"/>
      <c r="L192" s="546"/>
      <c r="M192" s="546"/>
      <c r="N192" s="546"/>
      <c r="O192" s="559"/>
      <c r="P192" s="550" t="s">
        <v>71</v>
      </c>
      <c r="Q192" s="551"/>
      <c r="R192" s="551"/>
      <c r="S192" s="551"/>
      <c r="T192" s="551"/>
      <c r="U192" s="551"/>
      <c r="V192" s="552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hidden="1" x14ac:dyDescent="0.2">
      <c r="A193" s="546"/>
      <c r="B193" s="546"/>
      <c r="C193" s="546"/>
      <c r="D193" s="546"/>
      <c r="E193" s="546"/>
      <c r="F193" s="546"/>
      <c r="G193" s="546"/>
      <c r="H193" s="546"/>
      <c r="I193" s="546"/>
      <c r="J193" s="546"/>
      <c r="K193" s="546"/>
      <c r="L193" s="546"/>
      <c r="M193" s="546"/>
      <c r="N193" s="546"/>
      <c r="O193" s="559"/>
      <c r="P193" s="550" t="s">
        <v>71</v>
      </c>
      <c r="Q193" s="551"/>
      <c r="R193" s="551"/>
      <c r="S193" s="551"/>
      <c r="T193" s="551"/>
      <c r="U193" s="551"/>
      <c r="V193" s="552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hidden="1" customHeight="1" x14ac:dyDescent="0.25">
      <c r="A194" s="553" t="s">
        <v>64</v>
      </c>
      <c r="B194" s="546"/>
      <c r="C194" s="546"/>
      <c r="D194" s="546"/>
      <c r="E194" s="546"/>
      <c r="F194" s="546"/>
      <c r="G194" s="546"/>
      <c r="H194" s="546"/>
      <c r="I194" s="546"/>
      <c r="J194" s="546"/>
      <c r="K194" s="546"/>
      <c r="L194" s="546"/>
      <c r="M194" s="546"/>
      <c r="N194" s="546"/>
      <c r="O194" s="546"/>
      <c r="P194" s="546"/>
      <c r="Q194" s="546"/>
      <c r="R194" s="546"/>
      <c r="S194" s="546"/>
      <c r="T194" s="546"/>
      <c r="U194" s="546"/>
      <c r="V194" s="546"/>
      <c r="W194" s="546"/>
      <c r="X194" s="546"/>
      <c r="Y194" s="546"/>
      <c r="Z194" s="546"/>
      <c r="AA194" s="537"/>
      <c r="AB194" s="537"/>
      <c r="AC194" s="537"/>
    </row>
    <row r="195" spans="1:68" ht="27" hidden="1" customHeight="1" x14ac:dyDescent="0.25">
      <c r="A195" s="54" t="s">
        <v>307</v>
      </c>
      <c r="B195" s="54" t="s">
        <v>308</v>
      </c>
      <c r="C195" s="31">
        <v>4301031224</v>
      </c>
      <c r="D195" s="556">
        <v>4680115882683</v>
      </c>
      <c r="E195" s="557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109</v>
      </c>
      <c r="L195" s="32" t="s">
        <v>110</v>
      </c>
      <c r="M195" s="33" t="s">
        <v>68</v>
      </c>
      <c r="N195" s="33"/>
      <c r="O195" s="32">
        <v>40</v>
      </c>
      <c r="P195" s="77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8"/>
      <c r="R195" s="548"/>
      <c r="S195" s="548"/>
      <c r="T195" s="549"/>
      <c r="U195" s="34"/>
      <c r="V195" s="34"/>
      <c r="W195" s="35" t="s">
        <v>69</v>
      </c>
      <c r="X195" s="541">
        <v>0</v>
      </c>
      <c r="Y195" s="542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309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hidden="1" customHeight="1" x14ac:dyDescent="0.25">
      <c r="A196" s="54" t="s">
        <v>310</v>
      </c>
      <c r="B196" s="54" t="s">
        <v>311</v>
      </c>
      <c r="C196" s="31">
        <v>4301031230</v>
      </c>
      <c r="D196" s="556">
        <v>4680115882690</v>
      </c>
      <c r="E196" s="557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63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8"/>
      <c r="R196" s="548"/>
      <c r="S196" s="548"/>
      <c r="T196" s="549"/>
      <c r="U196" s="34"/>
      <c r="V196" s="34"/>
      <c r="W196" s="35" t="s">
        <v>69</v>
      </c>
      <c r="X196" s="541">
        <v>0</v>
      </c>
      <c r="Y196" s="542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hidden="1" customHeight="1" x14ac:dyDescent="0.25">
      <c r="A197" s="54" t="s">
        <v>313</v>
      </c>
      <c r="B197" s="54" t="s">
        <v>314</v>
      </c>
      <c r="C197" s="31">
        <v>4301031220</v>
      </c>
      <c r="D197" s="556">
        <v>4680115882669</v>
      </c>
      <c r="E197" s="557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77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8"/>
      <c r="R197" s="548"/>
      <c r="S197" s="548"/>
      <c r="T197" s="549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hidden="1" customHeight="1" x14ac:dyDescent="0.25">
      <c r="A198" s="54" t="s">
        <v>316</v>
      </c>
      <c r="B198" s="54" t="s">
        <v>317</v>
      </c>
      <c r="C198" s="31">
        <v>4301031221</v>
      </c>
      <c r="D198" s="556">
        <v>4680115882676</v>
      </c>
      <c r="E198" s="557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62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8"/>
      <c r="R198" s="548"/>
      <c r="S198" s="548"/>
      <c r="T198" s="549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hidden="1" customHeight="1" x14ac:dyDescent="0.25">
      <c r="A199" s="54" t="s">
        <v>319</v>
      </c>
      <c r="B199" s="54" t="s">
        <v>320</v>
      </c>
      <c r="C199" s="31">
        <v>4301031223</v>
      </c>
      <c r="D199" s="556">
        <v>4680115884014</v>
      </c>
      <c r="E199" s="557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266</v>
      </c>
      <c r="M199" s="33" t="s">
        <v>68</v>
      </c>
      <c r="N199" s="33"/>
      <c r="O199" s="32">
        <v>40</v>
      </c>
      <c r="P199" s="65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8"/>
      <c r="R199" s="548"/>
      <c r="S199" s="548"/>
      <c r="T199" s="549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309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321</v>
      </c>
      <c r="B200" s="54" t="s">
        <v>322</v>
      </c>
      <c r="C200" s="31">
        <v>4301031222</v>
      </c>
      <c r="D200" s="556">
        <v>4680115884007</v>
      </c>
      <c r="E200" s="557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266</v>
      </c>
      <c r="M200" s="33" t="s">
        <v>68</v>
      </c>
      <c r="N200" s="33"/>
      <c r="O200" s="32">
        <v>40</v>
      </c>
      <c r="P200" s="59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8"/>
      <c r="R200" s="548"/>
      <c r="S200" s="548"/>
      <c r="T200" s="549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323</v>
      </c>
      <c r="B201" s="54" t="s">
        <v>324</v>
      </c>
      <c r="C201" s="31">
        <v>4301031229</v>
      </c>
      <c r="D201" s="556">
        <v>4680115884038</v>
      </c>
      <c r="E201" s="557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6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8"/>
      <c r="R201" s="548"/>
      <c r="S201" s="548"/>
      <c r="T201" s="549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325</v>
      </c>
      <c r="B202" s="54" t="s">
        <v>326</v>
      </c>
      <c r="C202" s="31">
        <v>4301031225</v>
      </c>
      <c r="D202" s="556">
        <v>4680115884021</v>
      </c>
      <c r="E202" s="557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266</v>
      </c>
      <c r="M202" s="33" t="s">
        <v>68</v>
      </c>
      <c r="N202" s="33"/>
      <c r="O202" s="32">
        <v>40</v>
      </c>
      <c r="P202" s="56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8"/>
      <c r="R202" s="548"/>
      <c r="S202" s="548"/>
      <c r="T202" s="549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idden="1" x14ac:dyDescent="0.2">
      <c r="A203" s="558"/>
      <c r="B203" s="546"/>
      <c r="C203" s="546"/>
      <c r="D203" s="546"/>
      <c r="E203" s="546"/>
      <c r="F203" s="546"/>
      <c r="G203" s="546"/>
      <c r="H203" s="546"/>
      <c r="I203" s="546"/>
      <c r="J203" s="546"/>
      <c r="K203" s="546"/>
      <c r="L203" s="546"/>
      <c r="M203" s="546"/>
      <c r="N203" s="546"/>
      <c r="O203" s="559"/>
      <c r="P203" s="550" t="s">
        <v>71</v>
      </c>
      <c r="Q203" s="551"/>
      <c r="R203" s="551"/>
      <c r="S203" s="551"/>
      <c r="T203" s="551"/>
      <c r="U203" s="551"/>
      <c r="V203" s="552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0</v>
      </c>
      <c r="Y203" s="543">
        <f>IFERROR(Y195/H195,"0")+IFERROR(Y196/H196,"0")+IFERROR(Y197/H197,"0")+IFERROR(Y198/H198,"0")+IFERROR(Y199/H199,"0")+IFERROR(Y200/H200,"0")+IFERROR(Y201/H201,"0")+IFERROR(Y202/H202,"0")</f>
        <v>0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544"/>
      <c r="AB203" s="544"/>
      <c r="AC203" s="544"/>
    </row>
    <row r="204" spans="1:68" hidden="1" x14ac:dyDescent="0.2">
      <c r="A204" s="546"/>
      <c r="B204" s="546"/>
      <c r="C204" s="546"/>
      <c r="D204" s="546"/>
      <c r="E204" s="546"/>
      <c r="F204" s="546"/>
      <c r="G204" s="546"/>
      <c r="H204" s="546"/>
      <c r="I204" s="546"/>
      <c r="J204" s="546"/>
      <c r="K204" s="546"/>
      <c r="L204" s="546"/>
      <c r="M204" s="546"/>
      <c r="N204" s="546"/>
      <c r="O204" s="559"/>
      <c r="P204" s="550" t="s">
        <v>71</v>
      </c>
      <c r="Q204" s="551"/>
      <c r="R204" s="551"/>
      <c r="S204" s="551"/>
      <c r="T204" s="551"/>
      <c r="U204" s="551"/>
      <c r="V204" s="552"/>
      <c r="W204" s="37" t="s">
        <v>69</v>
      </c>
      <c r="X204" s="543">
        <f>IFERROR(SUM(X195:X202),"0")</f>
        <v>0</v>
      </c>
      <c r="Y204" s="543">
        <f>IFERROR(SUM(Y195:Y202),"0")</f>
        <v>0</v>
      </c>
      <c r="Z204" s="37"/>
      <c r="AA204" s="544"/>
      <c r="AB204" s="544"/>
      <c r="AC204" s="544"/>
    </row>
    <row r="205" spans="1:68" ht="14.25" hidden="1" customHeight="1" x14ac:dyDescent="0.25">
      <c r="A205" s="553" t="s">
        <v>73</v>
      </c>
      <c r="B205" s="546"/>
      <c r="C205" s="546"/>
      <c r="D205" s="546"/>
      <c r="E205" s="546"/>
      <c r="F205" s="546"/>
      <c r="G205" s="546"/>
      <c r="H205" s="546"/>
      <c r="I205" s="546"/>
      <c r="J205" s="546"/>
      <c r="K205" s="546"/>
      <c r="L205" s="546"/>
      <c r="M205" s="546"/>
      <c r="N205" s="546"/>
      <c r="O205" s="546"/>
      <c r="P205" s="546"/>
      <c r="Q205" s="546"/>
      <c r="R205" s="546"/>
      <c r="S205" s="546"/>
      <c r="T205" s="546"/>
      <c r="U205" s="546"/>
      <c r="V205" s="546"/>
      <c r="W205" s="546"/>
      <c r="X205" s="546"/>
      <c r="Y205" s="546"/>
      <c r="Z205" s="546"/>
      <c r="AA205" s="537"/>
      <c r="AB205" s="537"/>
      <c r="AC205" s="537"/>
    </row>
    <row r="206" spans="1:68" ht="27" hidden="1" customHeight="1" x14ac:dyDescent="0.25">
      <c r="A206" s="54" t="s">
        <v>327</v>
      </c>
      <c r="B206" s="54" t="s">
        <v>328</v>
      </c>
      <c r="C206" s="31">
        <v>4301051408</v>
      </c>
      <c r="D206" s="556">
        <v>4680115881594</v>
      </c>
      <c r="E206" s="557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102</v>
      </c>
      <c r="L206" s="32" t="s">
        <v>103</v>
      </c>
      <c r="M206" s="33" t="s">
        <v>77</v>
      </c>
      <c r="N206" s="33"/>
      <c r="O206" s="32">
        <v>40</v>
      </c>
      <c r="P206" s="71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8"/>
      <c r="R206" s="548"/>
      <c r="S206" s="548"/>
      <c r="T206" s="549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329</v>
      </c>
      <c r="AG206" s="64"/>
      <c r="AJ206" s="68" t="s">
        <v>106</v>
      </c>
      <c r="AK206" s="68">
        <v>64.8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330</v>
      </c>
      <c r="B207" s="54" t="s">
        <v>331</v>
      </c>
      <c r="C207" s="31">
        <v>4301051411</v>
      </c>
      <c r="D207" s="556">
        <v>4680115881617</v>
      </c>
      <c r="E207" s="557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102</v>
      </c>
      <c r="L207" s="32" t="s">
        <v>103</v>
      </c>
      <c r="M207" s="33" t="s">
        <v>77</v>
      </c>
      <c r="N207" s="33"/>
      <c r="O207" s="32">
        <v>40</v>
      </c>
      <c r="P207" s="70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8"/>
      <c r="R207" s="548"/>
      <c r="S207" s="548"/>
      <c r="T207" s="549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 t="s">
        <v>106</v>
      </c>
      <c r="AK207" s="68">
        <v>64.8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4301051656</v>
      </c>
      <c r="D208" s="556">
        <v>4680115880573</v>
      </c>
      <c r="E208" s="557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73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8"/>
      <c r="R208" s="548"/>
      <c r="S208" s="548"/>
      <c r="T208" s="549"/>
      <c r="U208" s="34"/>
      <c r="V208" s="34"/>
      <c r="W208" s="35" t="s">
        <v>69</v>
      </c>
      <c r="X208" s="541">
        <v>127</v>
      </c>
      <c r="Y208" s="542">
        <f t="shared" si="15"/>
        <v>130.5</v>
      </c>
      <c r="Z208" s="36">
        <f>IFERROR(IF(Y208=0,"",ROUNDUP(Y208/H208,0)*0.01898),"")</f>
        <v>0.28470000000000001</v>
      </c>
      <c r="AA208" s="56"/>
      <c r="AB208" s="57"/>
      <c r="AC208" s="247" t="s">
        <v>335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134.21126436781611</v>
      </c>
      <c r="BN208" s="64">
        <f t="shared" si="17"/>
        <v>137.91000000000003</v>
      </c>
      <c r="BO208" s="64">
        <f t="shared" si="18"/>
        <v>0.22808908045977014</v>
      </c>
      <c r="BP208" s="64">
        <f t="shared" si="19"/>
        <v>0.23437500000000003</v>
      </c>
    </row>
    <row r="209" spans="1:68" ht="27" hidden="1" customHeight="1" x14ac:dyDescent="0.25">
      <c r="A209" s="54" t="s">
        <v>336</v>
      </c>
      <c r="B209" s="54" t="s">
        <v>337</v>
      </c>
      <c r="C209" s="31">
        <v>4301051407</v>
      </c>
      <c r="D209" s="556">
        <v>4680115882195</v>
      </c>
      <c r="E209" s="557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186</v>
      </c>
      <c r="M209" s="33" t="s">
        <v>77</v>
      </c>
      <c r="N209" s="33"/>
      <c r="O209" s="32">
        <v>40</v>
      </c>
      <c r="P209" s="83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8"/>
      <c r="R209" s="548"/>
      <c r="S209" s="548"/>
      <c r="T209" s="549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329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338</v>
      </c>
      <c r="B210" s="54" t="s">
        <v>339</v>
      </c>
      <c r="C210" s="31">
        <v>4301051752</v>
      </c>
      <c r="D210" s="556">
        <v>4680115882607</v>
      </c>
      <c r="E210" s="557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76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8"/>
      <c r="R210" s="548"/>
      <c r="S210" s="548"/>
      <c r="T210" s="549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56">
        <v>4680115880092</v>
      </c>
      <c r="E211" s="557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186</v>
      </c>
      <c r="M211" s="33" t="s">
        <v>77</v>
      </c>
      <c r="N211" s="33"/>
      <c r="O211" s="32">
        <v>45</v>
      </c>
      <c r="P211" s="75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8"/>
      <c r="R211" s="548"/>
      <c r="S211" s="548"/>
      <c r="T211" s="549"/>
      <c r="U211" s="34"/>
      <c r="V211" s="34"/>
      <c r="W211" s="35" t="s">
        <v>69</v>
      </c>
      <c r="X211" s="541">
        <v>166</v>
      </c>
      <c r="Y211" s="542">
        <f t="shared" si="15"/>
        <v>168</v>
      </c>
      <c r="Z211" s="36">
        <f t="shared" si="20"/>
        <v>0.45569999999999999</v>
      </c>
      <c r="AA211" s="56"/>
      <c r="AB211" s="57"/>
      <c r="AC211" s="253" t="s">
        <v>335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183.43</v>
      </c>
      <c r="BN211" s="64">
        <f t="shared" si="17"/>
        <v>185.64000000000001</v>
      </c>
      <c r="BO211" s="64">
        <f t="shared" si="18"/>
        <v>0.38003663003663007</v>
      </c>
      <c r="BP211" s="64">
        <f t="shared" si="19"/>
        <v>0.38461538461538464</v>
      </c>
    </row>
    <row r="212" spans="1:68" ht="27" customHeight="1" x14ac:dyDescent="0.25">
      <c r="A212" s="54" t="s">
        <v>342</v>
      </c>
      <c r="B212" s="54" t="s">
        <v>343</v>
      </c>
      <c r="C212" s="31">
        <v>4301051668</v>
      </c>
      <c r="D212" s="556">
        <v>4680115880221</v>
      </c>
      <c r="E212" s="557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186</v>
      </c>
      <c r="M212" s="33" t="s">
        <v>77</v>
      </c>
      <c r="N212" s="33"/>
      <c r="O212" s="32">
        <v>45</v>
      </c>
      <c r="P212" s="69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8"/>
      <c r="R212" s="548"/>
      <c r="S212" s="548"/>
      <c r="T212" s="549"/>
      <c r="U212" s="34"/>
      <c r="V212" s="34"/>
      <c r="W212" s="35" t="s">
        <v>69</v>
      </c>
      <c r="X212" s="541">
        <v>158</v>
      </c>
      <c r="Y212" s="542">
        <f t="shared" si="15"/>
        <v>158.4</v>
      </c>
      <c r="Z212" s="36">
        <f t="shared" si="20"/>
        <v>0.42965999999999999</v>
      </c>
      <c r="AA212" s="56"/>
      <c r="AB212" s="57"/>
      <c r="AC212" s="255" t="s">
        <v>335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174.59</v>
      </c>
      <c r="BN212" s="64">
        <f t="shared" si="17"/>
        <v>175.03200000000004</v>
      </c>
      <c r="BO212" s="64">
        <f t="shared" si="18"/>
        <v>0.36172161172161182</v>
      </c>
      <c r="BP212" s="64">
        <f t="shared" si="19"/>
        <v>0.36263736263736268</v>
      </c>
    </row>
    <row r="213" spans="1:68" ht="27" hidden="1" customHeight="1" x14ac:dyDescent="0.25">
      <c r="A213" s="54" t="s">
        <v>344</v>
      </c>
      <c r="B213" s="54" t="s">
        <v>345</v>
      </c>
      <c r="C213" s="31">
        <v>4301051945</v>
      </c>
      <c r="D213" s="556">
        <v>4680115880504</v>
      </c>
      <c r="E213" s="557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186</v>
      </c>
      <c r="M213" s="33" t="s">
        <v>84</v>
      </c>
      <c r="N213" s="33"/>
      <c r="O213" s="32">
        <v>40</v>
      </c>
      <c r="P213" s="85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8"/>
      <c r="R213" s="548"/>
      <c r="S213" s="548"/>
      <c r="T213" s="549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346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347</v>
      </c>
      <c r="B214" s="54" t="s">
        <v>348</v>
      </c>
      <c r="C214" s="31">
        <v>4301051410</v>
      </c>
      <c r="D214" s="556">
        <v>4680115882164</v>
      </c>
      <c r="E214" s="557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186</v>
      </c>
      <c r="M214" s="33" t="s">
        <v>77</v>
      </c>
      <c r="N214" s="33"/>
      <c r="O214" s="32">
        <v>40</v>
      </c>
      <c r="P214" s="64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8"/>
      <c r="R214" s="548"/>
      <c r="S214" s="548"/>
      <c r="T214" s="549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332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x14ac:dyDescent="0.2">
      <c r="A215" s="558"/>
      <c r="B215" s="546"/>
      <c r="C215" s="546"/>
      <c r="D215" s="546"/>
      <c r="E215" s="546"/>
      <c r="F215" s="546"/>
      <c r="G215" s="546"/>
      <c r="H215" s="546"/>
      <c r="I215" s="546"/>
      <c r="J215" s="546"/>
      <c r="K215" s="546"/>
      <c r="L215" s="546"/>
      <c r="M215" s="546"/>
      <c r="N215" s="546"/>
      <c r="O215" s="559"/>
      <c r="P215" s="550" t="s">
        <v>71</v>
      </c>
      <c r="Q215" s="551"/>
      <c r="R215" s="551"/>
      <c r="S215" s="551"/>
      <c r="T215" s="551"/>
      <c r="U215" s="551"/>
      <c r="V215" s="552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149.59770114942529</v>
      </c>
      <c r="Y215" s="543">
        <f>IFERROR(Y206/H206,"0")+IFERROR(Y207/H207,"0")+IFERROR(Y208/H208,"0")+IFERROR(Y209/H209,"0")+IFERROR(Y210/H210,"0")+IFERROR(Y211/H211,"0")+IFERROR(Y212/H212,"0")+IFERROR(Y213/H213,"0")+IFERROR(Y214/H214,"0")</f>
        <v>151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1.1700599999999999</v>
      </c>
      <c r="AA215" s="544"/>
      <c r="AB215" s="544"/>
      <c r="AC215" s="544"/>
    </row>
    <row r="216" spans="1:68" x14ac:dyDescent="0.2">
      <c r="A216" s="546"/>
      <c r="B216" s="546"/>
      <c r="C216" s="546"/>
      <c r="D216" s="546"/>
      <c r="E216" s="546"/>
      <c r="F216" s="546"/>
      <c r="G216" s="546"/>
      <c r="H216" s="546"/>
      <c r="I216" s="546"/>
      <c r="J216" s="546"/>
      <c r="K216" s="546"/>
      <c r="L216" s="546"/>
      <c r="M216" s="546"/>
      <c r="N216" s="546"/>
      <c r="O216" s="559"/>
      <c r="P216" s="550" t="s">
        <v>71</v>
      </c>
      <c r="Q216" s="551"/>
      <c r="R216" s="551"/>
      <c r="S216" s="551"/>
      <c r="T216" s="551"/>
      <c r="U216" s="551"/>
      <c r="V216" s="552"/>
      <c r="W216" s="37" t="s">
        <v>69</v>
      </c>
      <c r="X216" s="543">
        <f>IFERROR(SUM(X206:X214),"0")</f>
        <v>451</v>
      </c>
      <c r="Y216" s="543">
        <f>IFERROR(SUM(Y206:Y214),"0")</f>
        <v>456.9</v>
      </c>
      <c r="Z216" s="37"/>
      <c r="AA216" s="544"/>
      <c r="AB216" s="544"/>
      <c r="AC216" s="544"/>
    </row>
    <row r="217" spans="1:68" ht="14.25" hidden="1" customHeight="1" x14ac:dyDescent="0.25">
      <c r="A217" s="553" t="s">
        <v>163</v>
      </c>
      <c r="B217" s="546"/>
      <c r="C217" s="546"/>
      <c r="D217" s="546"/>
      <c r="E217" s="546"/>
      <c r="F217" s="546"/>
      <c r="G217" s="546"/>
      <c r="H217" s="546"/>
      <c r="I217" s="546"/>
      <c r="J217" s="546"/>
      <c r="K217" s="546"/>
      <c r="L217" s="546"/>
      <c r="M217" s="546"/>
      <c r="N217" s="546"/>
      <c r="O217" s="546"/>
      <c r="P217" s="546"/>
      <c r="Q217" s="546"/>
      <c r="R217" s="546"/>
      <c r="S217" s="546"/>
      <c r="T217" s="546"/>
      <c r="U217" s="546"/>
      <c r="V217" s="546"/>
      <c r="W217" s="546"/>
      <c r="X217" s="546"/>
      <c r="Y217" s="546"/>
      <c r="Z217" s="546"/>
      <c r="AA217" s="537"/>
      <c r="AB217" s="537"/>
      <c r="AC217" s="537"/>
    </row>
    <row r="218" spans="1:68" ht="27" hidden="1" customHeight="1" x14ac:dyDescent="0.25">
      <c r="A218" s="54" t="s">
        <v>349</v>
      </c>
      <c r="B218" s="54" t="s">
        <v>350</v>
      </c>
      <c r="C218" s="31">
        <v>4301060463</v>
      </c>
      <c r="D218" s="556">
        <v>4680115880818</v>
      </c>
      <c r="E218" s="557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/>
      <c r="M218" s="33" t="s">
        <v>84</v>
      </c>
      <c r="N218" s="33"/>
      <c r="O218" s="32">
        <v>40</v>
      </c>
      <c r="P218" s="54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8"/>
      <c r="R218" s="548"/>
      <c r="S218" s="548"/>
      <c r="T218" s="549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351</v>
      </c>
      <c r="AG218" s="64"/>
      <c r="AJ218" s="68"/>
      <c r="AK218" s="68">
        <v>0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hidden="1" customHeight="1" x14ac:dyDescent="0.25">
      <c r="A219" s="54" t="s">
        <v>352</v>
      </c>
      <c r="B219" s="54" t="s">
        <v>353</v>
      </c>
      <c r="C219" s="31">
        <v>4301060389</v>
      </c>
      <c r="D219" s="556">
        <v>4680115880801</v>
      </c>
      <c r="E219" s="557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73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8"/>
      <c r="R219" s="548"/>
      <c r="S219" s="548"/>
      <c r="T219" s="549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558"/>
      <c r="B220" s="546"/>
      <c r="C220" s="546"/>
      <c r="D220" s="546"/>
      <c r="E220" s="546"/>
      <c r="F220" s="546"/>
      <c r="G220" s="546"/>
      <c r="H220" s="546"/>
      <c r="I220" s="546"/>
      <c r="J220" s="546"/>
      <c r="K220" s="546"/>
      <c r="L220" s="546"/>
      <c r="M220" s="546"/>
      <c r="N220" s="546"/>
      <c r="O220" s="559"/>
      <c r="P220" s="550" t="s">
        <v>71</v>
      </c>
      <c r="Q220" s="551"/>
      <c r="R220" s="551"/>
      <c r="S220" s="551"/>
      <c r="T220" s="551"/>
      <c r="U220" s="551"/>
      <c r="V220" s="552"/>
      <c r="W220" s="37" t="s">
        <v>72</v>
      </c>
      <c r="X220" s="543">
        <f>IFERROR(X218/H218,"0")+IFERROR(X219/H219,"0")</f>
        <v>0</v>
      </c>
      <c r="Y220" s="543">
        <f>IFERROR(Y218/H218,"0")+IFERROR(Y219/H219,"0")</f>
        <v>0</v>
      </c>
      <c r="Z220" s="543">
        <f>IFERROR(IF(Z218="",0,Z218),"0")+IFERROR(IF(Z219="",0,Z219),"0")</f>
        <v>0</v>
      </c>
      <c r="AA220" s="544"/>
      <c r="AB220" s="544"/>
      <c r="AC220" s="544"/>
    </row>
    <row r="221" spans="1:68" hidden="1" x14ac:dyDescent="0.2">
      <c r="A221" s="546"/>
      <c r="B221" s="546"/>
      <c r="C221" s="546"/>
      <c r="D221" s="546"/>
      <c r="E221" s="546"/>
      <c r="F221" s="546"/>
      <c r="G221" s="546"/>
      <c r="H221" s="546"/>
      <c r="I221" s="546"/>
      <c r="J221" s="546"/>
      <c r="K221" s="546"/>
      <c r="L221" s="546"/>
      <c r="M221" s="546"/>
      <c r="N221" s="546"/>
      <c r="O221" s="559"/>
      <c r="P221" s="550" t="s">
        <v>71</v>
      </c>
      <c r="Q221" s="551"/>
      <c r="R221" s="551"/>
      <c r="S221" s="551"/>
      <c r="T221" s="551"/>
      <c r="U221" s="551"/>
      <c r="V221" s="552"/>
      <c r="W221" s="37" t="s">
        <v>69</v>
      </c>
      <c r="X221" s="543">
        <f>IFERROR(SUM(X218:X219),"0")</f>
        <v>0</v>
      </c>
      <c r="Y221" s="543">
        <f>IFERROR(SUM(Y218:Y219),"0")</f>
        <v>0</v>
      </c>
      <c r="Z221" s="37"/>
      <c r="AA221" s="544"/>
      <c r="AB221" s="544"/>
      <c r="AC221" s="544"/>
    </row>
    <row r="222" spans="1:68" ht="16.5" hidden="1" customHeight="1" x14ac:dyDescent="0.25">
      <c r="A222" s="545" t="s">
        <v>355</v>
      </c>
      <c r="B222" s="546"/>
      <c r="C222" s="546"/>
      <c r="D222" s="546"/>
      <c r="E222" s="546"/>
      <c r="F222" s="546"/>
      <c r="G222" s="546"/>
      <c r="H222" s="546"/>
      <c r="I222" s="546"/>
      <c r="J222" s="546"/>
      <c r="K222" s="546"/>
      <c r="L222" s="546"/>
      <c r="M222" s="546"/>
      <c r="N222" s="546"/>
      <c r="O222" s="546"/>
      <c r="P222" s="546"/>
      <c r="Q222" s="546"/>
      <c r="R222" s="546"/>
      <c r="S222" s="546"/>
      <c r="T222" s="546"/>
      <c r="U222" s="546"/>
      <c r="V222" s="546"/>
      <c r="W222" s="546"/>
      <c r="X222" s="546"/>
      <c r="Y222" s="546"/>
      <c r="Z222" s="546"/>
      <c r="AA222" s="536"/>
      <c r="AB222" s="536"/>
      <c r="AC222" s="536"/>
    </row>
    <row r="223" spans="1:68" ht="14.25" hidden="1" customHeight="1" x14ac:dyDescent="0.25">
      <c r="A223" s="553" t="s">
        <v>99</v>
      </c>
      <c r="B223" s="546"/>
      <c r="C223" s="546"/>
      <c r="D223" s="546"/>
      <c r="E223" s="546"/>
      <c r="F223" s="546"/>
      <c r="G223" s="546"/>
      <c r="H223" s="546"/>
      <c r="I223" s="546"/>
      <c r="J223" s="546"/>
      <c r="K223" s="546"/>
      <c r="L223" s="546"/>
      <c r="M223" s="546"/>
      <c r="N223" s="546"/>
      <c r="O223" s="546"/>
      <c r="P223" s="546"/>
      <c r="Q223" s="546"/>
      <c r="R223" s="546"/>
      <c r="S223" s="546"/>
      <c r="T223" s="546"/>
      <c r="U223" s="546"/>
      <c r="V223" s="546"/>
      <c r="W223" s="546"/>
      <c r="X223" s="546"/>
      <c r="Y223" s="546"/>
      <c r="Z223" s="546"/>
      <c r="AA223" s="537"/>
      <c r="AB223" s="537"/>
      <c r="AC223" s="537"/>
    </row>
    <row r="224" spans="1:68" ht="27" hidden="1" customHeight="1" x14ac:dyDescent="0.25">
      <c r="A224" s="54" t="s">
        <v>356</v>
      </c>
      <c r="B224" s="54" t="s">
        <v>357</v>
      </c>
      <c r="C224" s="31">
        <v>4301011826</v>
      </c>
      <c r="D224" s="556">
        <v>4680115884137</v>
      </c>
      <c r="E224" s="557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102</v>
      </c>
      <c r="L224" s="32"/>
      <c r="M224" s="33" t="s">
        <v>104</v>
      </c>
      <c r="N224" s="33"/>
      <c r="O224" s="32">
        <v>55</v>
      </c>
      <c r="P224" s="75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8"/>
      <c r="R224" s="548"/>
      <c r="S224" s="548"/>
      <c r="T224" s="549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358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359</v>
      </c>
      <c r="B225" s="54" t="s">
        <v>360</v>
      </c>
      <c r="C225" s="31">
        <v>4301011724</v>
      </c>
      <c r="D225" s="556">
        <v>4680115884236</v>
      </c>
      <c r="E225" s="557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66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8"/>
      <c r="R225" s="548"/>
      <c r="S225" s="548"/>
      <c r="T225" s="549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362</v>
      </c>
      <c r="B226" s="54" t="s">
        <v>363</v>
      </c>
      <c r="C226" s="31">
        <v>4301011721</v>
      </c>
      <c r="D226" s="556">
        <v>4680115884175</v>
      </c>
      <c r="E226" s="557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67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8"/>
      <c r="R226" s="548"/>
      <c r="S226" s="548"/>
      <c r="T226" s="549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365</v>
      </c>
      <c r="B227" s="54" t="s">
        <v>366</v>
      </c>
      <c r="C227" s="31">
        <v>4301011824</v>
      </c>
      <c r="D227" s="556">
        <v>4680115884144</v>
      </c>
      <c r="E227" s="557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109</v>
      </c>
      <c r="L227" s="32"/>
      <c r="M227" s="33" t="s">
        <v>104</v>
      </c>
      <c r="N227" s="33"/>
      <c r="O227" s="32">
        <v>55</v>
      </c>
      <c r="P227" s="67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8"/>
      <c r="R227" s="548"/>
      <c r="S227" s="548"/>
      <c r="T227" s="549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365</v>
      </c>
      <c r="B228" s="54" t="s">
        <v>367</v>
      </c>
      <c r="C228" s="31">
        <v>4301012196</v>
      </c>
      <c r="D228" s="556">
        <v>4680115884144</v>
      </c>
      <c r="E228" s="557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58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8"/>
      <c r="R228" s="548"/>
      <c r="S228" s="548"/>
      <c r="T228" s="549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368</v>
      </c>
      <c r="B229" s="54" t="s">
        <v>369</v>
      </c>
      <c r="C229" s="31">
        <v>4301012149</v>
      </c>
      <c r="D229" s="556">
        <v>4680115886551</v>
      </c>
      <c r="E229" s="557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8"/>
      <c r="R229" s="548"/>
      <c r="S229" s="548"/>
      <c r="T229" s="549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371</v>
      </c>
      <c r="B230" s="54" t="s">
        <v>372</v>
      </c>
      <c r="C230" s="31">
        <v>4301011726</v>
      </c>
      <c r="D230" s="556">
        <v>4680115884182</v>
      </c>
      <c r="E230" s="557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81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8"/>
      <c r="R230" s="548"/>
      <c r="S230" s="548"/>
      <c r="T230" s="549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373</v>
      </c>
      <c r="B231" s="54" t="s">
        <v>374</v>
      </c>
      <c r="C231" s="31">
        <v>4301012228</v>
      </c>
      <c r="D231" s="556">
        <v>4680115887282</v>
      </c>
      <c r="E231" s="557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86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8"/>
      <c r="R231" s="548"/>
      <c r="S231" s="548"/>
      <c r="T231" s="549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375</v>
      </c>
      <c r="B232" s="54" t="s">
        <v>376</v>
      </c>
      <c r="C232" s="31">
        <v>4301011722</v>
      </c>
      <c r="D232" s="556">
        <v>4680115884205</v>
      </c>
      <c r="E232" s="557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109</v>
      </c>
      <c r="L232" s="32" t="s">
        <v>110</v>
      </c>
      <c r="M232" s="33" t="s">
        <v>104</v>
      </c>
      <c r="N232" s="33"/>
      <c r="O232" s="32">
        <v>55</v>
      </c>
      <c r="P232" s="70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8"/>
      <c r="R232" s="548"/>
      <c r="S232" s="548"/>
      <c r="T232" s="549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 t="s">
        <v>106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375</v>
      </c>
      <c r="B233" s="54" t="s">
        <v>377</v>
      </c>
      <c r="C233" s="31">
        <v>4301012195</v>
      </c>
      <c r="D233" s="556">
        <v>4680115884205</v>
      </c>
      <c r="E233" s="557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1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8"/>
      <c r="R233" s="548"/>
      <c r="S233" s="548"/>
      <c r="T233" s="549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idden="1" x14ac:dyDescent="0.2">
      <c r="A234" s="558"/>
      <c r="B234" s="546"/>
      <c r="C234" s="546"/>
      <c r="D234" s="546"/>
      <c r="E234" s="546"/>
      <c r="F234" s="546"/>
      <c r="G234" s="546"/>
      <c r="H234" s="546"/>
      <c r="I234" s="546"/>
      <c r="J234" s="546"/>
      <c r="K234" s="546"/>
      <c r="L234" s="546"/>
      <c r="M234" s="546"/>
      <c r="N234" s="546"/>
      <c r="O234" s="559"/>
      <c r="P234" s="550" t="s">
        <v>71</v>
      </c>
      <c r="Q234" s="551"/>
      <c r="R234" s="551"/>
      <c r="S234" s="551"/>
      <c r="T234" s="551"/>
      <c r="U234" s="551"/>
      <c r="V234" s="552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hidden="1" x14ac:dyDescent="0.2">
      <c r="A235" s="546"/>
      <c r="B235" s="546"/>
      <c r="C235" s="546"/>
      <c r="D235" s="546"/>
      <c r="E235" s="546"/>
      <c r="F235" s="546"/>
      <c r="G235" s="546"/>
      <c r="H235" s="546"/>
      <c r="I235" s="546"/>
      <c r="J235" s="546"/>
      <c r="K235" s="546"/>
      <c r="L235" s="546"/>
      <c r="M235" s="546"/>
      <c r="N235" s="546"/>
      <c r="O235" s="559"/>
      <c r="P235" s="550" t="s">
        <v>71</v>
      </c>
      <c r="Q235" s="551"/>
      <c r="R235" s="551"/>
      <c r="S235" s="551"/>
      <c r="T235" s="551"/>
      <c r="U235" s="551"/>
      <c r="V235" s="552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hidden="1" customHeight="1" x14ac:dyDescent="0.25">
      <c r="A236" s="553" t="s">
        <v>135</v>
      </c>
      <c r="B236" s="546"/>
      <c r="C236" s="546"/>
      <c r="D236" s="546"/>
      <c r="E236" s="546"/>
      <c r="F236" s="546"/>
      <c r="G236" s="546"/>
      <c r="H236" s="546"/>
      <c r="I236" s="546"/>
      <c r="J236" s="546"/>
      <c r="K236" s="546"/>
      <c r="L236" s="546"/>
      <c r="M236" s="546"/>
      <c r="N236" s="546"/>
      <c r="O236" s="546"/>
      <c r="P236" s="546"/>
      <c r="Q236" s="546"/>
      <c r="R236" s="546"/>
      <c r="S236" s="546"/>
      <c r="T236" s="546"/>
      <c r="U236" s="546"/>
      <c r="V236" s="546"/>
      <c r="W236" s="546"/>
      <c r="X236" s="546"/>
      <c r="Y236" s="546"/>
      <c r="Z236" s="546"/>
      <c r="AA236" s="537"/>
      <c r="AB236" s="537"/>
      <c r="AC236" s="537"/>
    </row>
    <row r="237" spans="1:68" ht="27" hidden="1" customHeight="1" x14ac:dyDescent="0.25">
      <c r="A237" s="54" t="s">
        <v>378</v>
      </c>
      <c r="B237" s="54" t="s">
        <v>379</v>
      </c>
      <c r="C237" s="31">
        <v>4301020377</v>
      </c>
      <c r="D237" s="556">
        <v>4680115885981</v>
      </c>
      <c r="E237" s="557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82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8"/>
      <c r="R237" s="548"/>
      <c r="S237" s="548"/>
      <c r="T237" s="549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58"/>
      <c r="B238" s="546"/>
      <c r="C238" s="546"/>
      <c r="D238" s="546"/>
      <c r="E238" s="546"/>
      <c r="F238" s="546"/>
      <c r="G238" s="546"/>
      <c r="H238" s="546"/>
      <c r="I238" s="546"/>
      <c r="J238" s="546"/>
      <c r="K238" s="546"/>
      <c r="L238" s="546"/>
      <c r="M238" s="546"/>
      <c r="N238" s="546"/>
      <c r="O238" s="559"/>
      <c r="P238" s="550" t="s">
        <v>71</v>
      </c>
      <c r="Q238" s="551"/>
      <c r="R238" s="551"/>
      <c r="S238" s="551"/>
      <c r="T238" s="551"/>
      <c r="U238" s="551"/>
      <c r="V238" s="552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hidden="1" x14ac:dyDescent="0.2">
      <c r="A239" s="546"/>
      <c r="B239" s="546"/>
      <c r="C239" s="546"/>
      <c r="D239" s="546"/>
      <c r="E239" s="546"/>
      <c r="F239" s="546"/>
      <c r="G239" s="546"/>
      <c r="H239" s="546"/>
      <c r="I239" s="546"/>
      <c r="J239" s="546"/>
      <c r="K239" s="546"/>
      <c r="L239" s="546"/>
      <c r="M239" s="546"/>
      <c r="N239" s="546"/>
      <c r="O239" s="559"/>
      <c r="P239" s="550" t="s">
        <v>71</v>
      </c>
      <c r="Q239" s="551"/>
      <c r="R239" s="551"/>
      <c r="S239" s="551"/>
      <c r="T239" s="551"/>
      <c r="U239" s="551"/>
      <c r="V239" s="552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hidden="1" customHeight="1" x14ac:dyDescent="0.25">
      <c r="A240" s="553" t="s">
        <v>381</v>
      </c>
      <c r="B240" s="546"/>
      <c r="C240" s="546"/>
      <c r="D240" s="546"/>
      <c r="E240" s="546"/>
      <c r="F240" s="546"/>
      <c r="G240" s="546"/>
      <c r="H240" s="546"/>
      <c r="I240" s="546"/>
      <c r="J240" s="546"/>
      <c r="K240" s="546"/>
      <c r="L240" s="546"/>
      <c r="M240" s="546"/>
      <c r="N240" s="546"/>
      <c r="O240" s="546"/>
      <c r="P240" s="546"/>
      <c r="Q240" s="546"/>
      <c r="R240" s="546"/>
      <c r="S240" s="546"/>
      <c r="T240" s="546"/>
      <c r="U240" s="546"/>
      <c r="V240" s="546"/>
      <c r="W240" s="546"/>
      <c r="X240" s="546"/>
      <c r="Y240" s="546"/>
      <c r="Z240" s="546"/>
      <c r="AA240" s="537"/>
      <c r="AB240" s="537"/>
      <c r="AC240" s="537"/>
    </row>
    <row r="241" spans="1:68" ht="27" hidden="1" customHeight="1" x14ac:dyDescent="0.25">
      <c r="A241" s="54" t="s">
        <v>382</v>
      </c>
      <c r="B241" s="54" t="s">
        <v>383</v>
      </c>
      <c r="C241" s="31">
        <v>4301040362</v>
      </c>
      <c r="D241" s="556">
        <v>4680115886803</v>
      </c>
      <c r="E241" s="557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64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8"/>
      <c r="R241" s="548"/>
      <c r="S241" s="548"/>
      <c r="T241" s="549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58"/>
      <c r="B242" s="546"/>
      <c r="C242" s="546"/>
      <c r="D242" s="546"/>
      <c r="E242" s="546"/>
      <c r="F242" s="546"/>
      <c r="G242" s="546"/>
      <c r="H242" s="546"/>
      <c r="I242" s="546"/>
      <c r="J242" s="546"/>
      <c r="K242" s="546"/>
      <c r="L242" s="546"/>
      <c r="M242" s="546"/>
      <c r="N242" s="546"/>
      <c r="O242" s="559"/>
      <c r="P242" s="550" t="s">
        <v>71</v>
      </c>
      <c r="Q242" s="551"/>
      <c r="R242" s="551"/>
      <c r="S242" s="551"/>
      <c r="T242" s="551"/>
      <c r="U242" s="551"/>
      <c r="V242" s="552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hidden="1" x14ac:dyDescent="0.2">
      <c r="A243" s="546"/>
      <c r="B243" s="546"/>
      <c r="C243" s="546"/>
      <c r="D243" s="546"/>
      <c r="E243" s="546"/>
      <c r="F243" s="546"/>
      <c r="G243" s="546"/>
      <c r="H243" s="546"/>
      <c r="I243" s="546"/>
      <c r="J243" s="546"/>
      <c r="K243" s="546"/>
      <c r="L243" s="546"/>
      <c r="M243" s="546"/>
      <c r="N243" s="546"/>
      <c r="O243" s="559"/>
      <c r="P243" s="550" t="s">
        <v>71</v>
      </c>
      <c r="Q243" s="551"/>
      <c r="R243" s="551"/>
      <c r="S243" s="551"/>
      <c r="T243" s="551"/>
      <c r="U243" s="551"/>
      <c r="V243" s="552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hidden="1" customHeight="1" x14ac:dyDescent="0.25">
      <c r="A244" s="553" t="s">
        <v>385</v>
      </c>
      <c r="B244" s="546"/>
      <c r="C244" s="546"/>
      <c r="D244" s="546"/>
      <c r="E244" s="546"/>
      <c r="F244" s="546"/>
      <c r="G244" s="546"/>
      <c r="H244" s="546"/>
      <c r="I244" s="546"/>
      <c r="J244" s="546"/>
      <c r="K244" s="546"/>
      <c r="L244" s="546"/>
      <c r="M244" s="546"/>
      <c r="N244" s="546"/>
      <c r="O244" s="546"/>
      <c r="P244" s="546"/>
      <c r="Q244" s="546"/>
      <c r="R244" s="546"/>
      <c r="S244" s="546"/>
      <c r="T244" s="546"/>
      <c r="U244" s="546"/>
      <c r="V244" s="546"/>
      <c r="W244" s="546"/>
      <c r="X244" s="546"/>
      <c r="Y244" s="546"/>
      <c r="Z244" s="546"/>
      <c r="AA244" s="537"/>
      <c r="AB244" s="537"/>
      <c r="AC244" s="537"/>
    </row>
    <row r="245" spans="1:68" ht="27" hidden="1" customHeight="1" x14ac:dyDescent="0.25">
      <c r="A245" s="54" t="s">
        <v>386</v>
      </c>
      <c r="B245" s="54" t="s">
        <v>387</v>
      </c>
      <c r="C245" s="31">
        <v>4301041004</v>
      </c>
      <c r="D245" s="556">
        <v>4680115886704</v>
      </c>
      <c r="E245" s="557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75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8"/>
      <c r="R245" s="548"/>
      <c r="S245" s="548"/>
      <c r="T245" s="549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389</v>
      </c>
      <c r="B246" s="54" t="s">
        <v>390</v>
      </c>
      <c r="C246" s="31">
        <v>4301041008</v>
      </c>
      <c r="D246" s="556">
        <v>4680115886681</v>
      </c>
      <c r="E246" s="557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78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8"/>
      <c r="R246" s="548"/>
      <c r="S246" s="548"/>
      <c r="T246" s="549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391</v>
      </c>
      <c r="B247" s="54" t="s">
        <v>392</v>
      </c>
      <c r="C247" s="31">
        <v>4301041007</v>
      </c>
      <c r="D247" s="556">
        <v>4680115886735</v>
      </c>
      <c r="E247" s="557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64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8"/>
      <c r="R247" s="548"/>
      <c r="S247" s="548"/>
      <c r="T247" s="549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393</v>
      </c>
      <c r="B248" s="54" t="s">
        <v>394</v>
      </c>
      <c r="C248" s="31">
        <v>4301041006</v>
      </c>
      <c r="D248" s="556">
        <v>4680115886728</v>
      </c>
      <c r="E248" s="557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0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8"/>
      <c r="R248" s="548"/>
      <c r="S248" s="548"/>
      <c r="T248" s="549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395</v>
      </c>
      <c r="B249" s="54" t="s">
        <v>396</v>
      </c>
      <c r="C249" s="31">
        <v>4301041005</v>
      </c>
      <c r="D249" s="556">
        <v>4680115886711</v>
      </c>
      <c r="E249" s="557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85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8"/>
      <c r="R249" s="548"/>
      <c r="S249" s="548"/>
      <c r="T249" s="549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58"/>
      <c r="B250" s="546"/>
      <c r="C250" s="546"/>
      <c r="D250" s="546"/>
      <c r="E250" s="546"/>
      <c r="F250" s="546"/>
      <c r="G250" s="546"/>
      <c r="H250" s="546"/>
      <c r="I250" s="546"/>
      <c r="J250" s="546"/>
      <c r="K250" s="546"/>
      <c r="L250" s="546"/>
      <c r="M250" s="546"/>
      <c r="N250" s="546"/>
      <c r="O250" s="559"/>
      <c r="P250" s="550" t="s">
        <v>71</v>
      </c>
      <c r="Q250" s="551"/>
      <c r="R250" s="551"/>
      <c r="S250" s="551"/>
      <c r="T250" s="551"/>
      <c r="U250" s="551"/>
      <c r="V250" s="552"/>
      <c r="W250" s="37" t="s">
        <v>72</v>
      </c>
      <c r="X250" s="543">
        <f>IFERROR(X245/H245,"0")+IFERROR(X246/H246,"0")+IFERROR(X247/H247,"0")+IFERROR(X248/H248,"0")+IFERROR(X249/H249,"0")</f>
        <v>0</v>
      </c>
      <c r="Y250" s="543">
        <f>IFERROR(Y245/H245,"0")+IFERROR(Y246/H246,"0")+IFERROR(Y247/H247,"0")+IFERROR(Y248/H248,"0")+IFERROR(Y249/H249,"0")</f>
        <v>0</v>
      </c>
      <c r="Z250" s="543">
        <f>IFERROR(IF(Z245="",0,Z245),"0")+IFERROR(IF(Z246="",0,Z246),"0")+IFERROR(IF(Z247="",0,Z247),"0")+IFERROR(IF(Z248="",0,Z248),"0")+IFERROR(IF(Z249="",0,Z249),"0")</f>
        <v>0</v>
      </c>
      <c r="AA250" s="544"/>
      <c r="AB250" s="544"/>
      <c r="AC250" s="544"/>
    </row>
    <row r="251" spans="1:68" hidden="1" x14ac:dyDescent="0.2">
      <c r="A251" s="546"/>
      <c r="B251" s="546"/>
      <c r="C251" s="546"/>
      <c r="D251" s="546"/>
      <c r="E251" s="546"/>
      <c r="F251" s="546"/>
      <c r="G251" s="546"/>
      <c r="H251" s="546"/>
      <c r="I251" s="546"/>
      <c r="J251" s="546"/>
      <c r="K251" s="546"/>
      <c r="L251" s="546"/>
      <c r="M251" s="546"/>
      <c r="N251" s="546"/>
      <c r="O251" s="559"/>
      <c r="P251" s="550" t="s">
        <v>71</v>
      </c>
      <c r="Q251" s="551"/>
      <c r="R251" s="551"/>
      <c r="S251" s="551"/>
      <c r="T251" s="551"/>
      <c r="U251" s="551"/>
      <c r="V251" s="552"/>
      <c r="W251" s="37" t="s">
        <v>69</v>
      </c>
      <c r="X251" s="543">
        <f>IFERROR(SUM(X245:X249),"0")</f>
        <v>0</v>
      </c>
      <c r="Y251" s="543">
        <f>IFERROR(SUM(Y245:Y249),"0")</f>
        <v>0</v>
      </c>
      <c r="Z251" s="37"/>
      <c r="AA251" s="544"/>
      <c r="AB251" s="544"/>
      <c r="AC251" s="544"/>
    </row>
    <row r="252" spans="1:68" ht="16.5" hidden="1" customHeight="1" x14ac:dyDescent="0.25">
      <c r="A252" s="545" t="s">
        <v>397</v>
      </c>
      <c r="B252" s="546"/>
      <c r="C252" s="546"/>
      <c r="D252" s="546"/>
      <c r="E252" s="546"/>
      <c r="F252" s="546"/>
      <c r="G252" s="546"/>
      <c r="H252" s="546"/>
      <c r="I252" s="546"/>
      <c r="J252" s="546"/>
      <c r="K252" s="546"/>
      <c r="L252" s="546"/>
      <c r="M252" s="546"/>
      <c r="N252" s="546"/>
      <c r="O252" s="546"/>
      <c r="P252" s="546"/>
      <c r="Q252" s="546"/>
      <c r="R252" s="546"/>
      <c r="S252" s="546"/>
      <c r="T252" s="546"/>
      <c r="U252" s="546"/>
      <c r="V252" s="546"/>
      <c r="W252" s="546"/>
      <c r="X252" s="546"/>
      <c r="Y252" s="546"/>
      <c r="Z252" s="546"/>
      <c r="AA252" s="536"/>
      <c r="AB252" s="536"/>
      <c r="AC252" s="536"/>
    </row>
    <row r="253" spans="1:68" ht="14.25" hidden="1" customHeight="1" x14ac:dyDescent="0.25">
      <c r="A253" s="553" t="s">
        <v>99</v>
      </c>
      <c r="B253" s="546"/>
      <c r="C253" s="546"/>
      <c r="D253" s="546"/>
      <c r="E253" s="546"/>
      <c r="F253" s="546"/>
      <c r="G253" s="546"/>
      <c r="H253" s="546"/>
      <c r="I253" s="546"/>
      <c r="J253" s="546"/>
      <c r="K253" s="546"/>
      <c r="L253" s="546"/>
      <c r="M253" s="546"/>
      <c r="N253" s="546"/>
      <c r="O253" s="546"/>
      <c r="P253" s="546"/>
      <c r="Q253" s="546"/>
      <c r="R253" s="546"/>
      <c r="S253" s="546"/>
      <c r="T253" s="546"/>
      <c r="U253" s="546"/>
      <c r="V253" s="546"/>
      <c r="W253" s="546"/>
      <c r="X253" s="546"/>
      <c r="Y253" s="546"/>
      <c r="Z253" s="546"/>
      <c r="AA253" s="537"/>
      <c r="AB253" s="537"/>
      <c r="AC253" s="537"/>
    </row>
    <row r="254" spans="1:68" ht="27" hidden="1" customHeight="1" x14ac:dyDescent="0.25">
      <c r="A254" s="54" t="s">
        <v>398</v>
      </c>
      <c r="B254" s="54" t="s">
        <v>399</v>
      </c>
      <c r="C254" s="31">
        <v>4301011855</v>
      </c>
      <c r="D254" s="556">
        <v>4680115885837</v>
      </c>
      <c r="E254" s="557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102</v>
      </c>
      <c r="L254" s="32" t="s">
        <v>103</v>
      </c>
      <c r="M254" s="33" t="s">
        <v>104</v>
      </c>
      <c r="N254" s="33"/>
      <c r="O254" s="32">
        <v>55</v>
      </c>
      <c r="P254" s="68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8"/>
      <c r="R254" s="548"/>
      <c r="S254" s="548"/>
      <c r="T254" s="549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 t="s">
        <v>106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401</v>
      </c>
      <c r="B255" s="54" t="s">
        <v>402</v>
      </c>
      <c r="C255" s="31">
        <v>4301011853</v>
      </c>
      <c r="D255" s="556">
        <v>4680115885851</v>
      </c>
      <c r="E255" s="557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80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8"/>
      <c r="R255" s="548"/>
      <c r="S255" s="548"/>
      <c r="T255" s="549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404</v>
      </c>
      <c r="B256" s="54" t="s">
        <v>405</v>
      </c>
      <c r="C256" s="31">
        <v>4301011850</v>
      </c>
      <c r="D256" s="556">
        <v>4680115885806</v>
      </c>
      <c r="E256" s="557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 t="s">
        <v>103</v>
      </c>
      <c r="M256" s="33" t="s">
        <v>104</v>
      </c>
      <c r="N256" s="33"/>
      <c r="O256" s="32">
        <v>55</v>
      </c>
      <c r="P256" s="68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8"/>
      <c r="R256" s="548"/>
      <c r="S256" s="548"/>
      <c r="T256" s="549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 t="s">
        <v>106</v>
      </c>
      <c r="AK256" s="68">
        <v>86.4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407</v>
      </c>
      <c r="B257" s="54" t="s">
        <v>408</v>
      </c>
      <c r="C257" s="31">
        <v>4301011852</v>
      </c>
      <c r="D257" s="556">
        <v>4680115885844</v>
      </c>
      <c r="E257" s="557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67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8"/>
      <c r="R257" s="548"/>
      <c r="S257" s="548"/>
      <c r="T257" s="549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410</v>
      </c>
      <c r="B258" s="54" t="s">
        <v>411</v>
      </c>
      <c r="C258" s="31">
        <v>4301011851</v>
      </c>
      <c r="D258" s="556">
        <v>4680115885820</v>
      </c>
      <c r="E258" s="557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80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8"/>
      <c r="R258" s="548"/>
      <c r="S258" s="548"/>
      <c r="T258" s="549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58"/>
      <c r="B259" s="546"/>
      <c r="C259" s="546"/>
      <c r="D259" s="546"/>
      <c r="E259" s="546"/>
      <c r="F259" s="546"/>
      <c r="G259" s="546"/>
      <c r="H259" s="546"/>
      <c r="I259" s="546"/>
      <c r="J259" s="546"/>
      <c r="K259" s="546"/>
      <c r="L259" s="546"/>
      <c r="M259" s="546"/>
      <c r="N259" s="546"/>
      <c r="O259" s="559"/>
      <c r="P259" s="550" t="s">
        <v>71</v>
      </c>
      <c r="Q259" s="551"/>
      <c r="R259" s="551"/>
      <c r="S259" s="551"/>
      <c r="T259" s="551"/>
      <c r="U259" s="551"/>
      <c r="V259" s="552"/>
      <c r="W259" s="37" t="s">
        <v>72</v>
      </c>
      <c r="X259" s="543">
        <f>IFERROR(X254/H254,"0")+IFERROR(X255/H255,"0")+IFERROR(X256/H256,"0")+IFERROR(X257/H257,"0")+IFERROR(X258/H258,"0")</f>
        <v>0</v>
      </c>
      <c r="Y259" s="543">
        <f>IFERROR(Y254/H254,"0")+IFERROR(Y255/H255,"0")+IFERROR(Y256/H256,"0")+IFERROR(Y257/H257,"0")+IFERROR(Y258/H258,"0")</f>
        <v>0</v>
      </c>
      <c r="Z259" s="543">
        <f>IFERROR(IF(Z254="",0,Z254),"0")+IFERROR(IF(Z255="",0,Z255),"0")+IFERROR(IF(Z256="",0,Z256),"0")+IFERROR(IF(Z257="",0,Z257),"0")+IFERROR(IF(Z258="",0,Z258),"0")</f>
        <v>0</v>
      </c>
      <c r="AA259" s="544"/>
      <c r="AB259" s="544"/>
      <c r="AC259" s="544"/>
    </row>
    <row r="260" spans="1:68" hidden="1" x14ac:dyDescent="0.2">
      <c r="A260" s="546"/>
      <c r="B260" s="546"/>
      <c r="C260" s="546"/>
      <c r="D260" s="546"/>
      <c r="E260" s="546"/>
      <c r="F260" s="546"/>
      <c r="G260" s="546"/>
      <c r="H260" s="546"/>
      <c r="I260" s="546"/>
      <c r="J260" s="546"/>
      <c r="K260" s="546"/>
      <c r="L260" s="546"/>
      <c r="M260" s="546"/>
      <c r="N260" s="546"/>
      <c r="O260" s="559"/>
      <c r="P260" s="550" t="s">
        <v>71</v>
      </c>
      <c r="Q260" s="551"/>
      <c r="R260" s="551"/>
      <c r="S260" s="551"/>
      <c r="T260" s="551"/>
      <c r="U260" s="551"/>
      <c r="V260" s="552"/>
      <c r="W260" s="37" t="s">
        <v>69</v>
      </c>
      <c r="X260" s="543">
        <f>IFERROR(SUM(X254:X258),"0")</f>
        <v>0</v>
      </c>
      <c r="Y260" s="543">
        <f>IFERROR(SUM(Y254:Y258),"0")</f>
        <v>0</v>
      </c>
      <c r="Z260" s="37"/>
      <c r="AA260" s="544"/>
      <c r="AB260" s="544"/>
      <c r="AC260" s="544"/>
    </row>
    <row r="261" spans="1:68" ht="16.5" hidden="1" customHeight="1" x14ac:dyDescent="0.25">
      <c r="A261" s="545" t="s">
        <v>413</v>
      </c>
      <c r="B261" s="546"/>
      <c r="C261" s="546"/>
      <c r="D261" s="546"/>
      <c r="E261" s="546"/>
      <c r="F261" s="546"/>
      <c r="G261" s="546"/>
      <c r="H261" s="546"/>
      <c r="I261" s="546"/>
      <c r="J261" s="546"/>
      <c r="K261" s="546"/>
      <c r="L261" s="546"/>
      <c r="M261" s="546"/>
      <c r="N261" s="546"/>
      <c r="O261" s="546"/>
      <c r="P261" s="546"/>
      <c r="Q261" s="546"/>
      <c r="R261" s="546"/>
      <c r="S261" s="546"/>
      <c r="T261" s="546"/>
      <c r="U261" s="546"/>
      <c r="V261" s="546"/>
      <c r="W261" s="546"/>
      <c r="X261" s="546"/>
      <c r="Y261" s="546"/>
      <c r="Z261" s="546"/>
      <c r="AA261" s="536"/>
      <c r="AB261" s="536"/>
      <c r="AC261" s="536"/>
    </row>
    <row r="262" spans="1:68" ht="14.25" hidden="1" customHeight="1" x14ac:dyDescent="0.25">
      <c r="A262" s="553" t="s">
        <v>99</v>
      </c>
      <c r="B262" s="546"/>
      <c r="C262" s="546"/>
      <c r="D262" s="546"/>
      <c r="E262" s="546"/>
      <c r="F262" s="546"/>
      <c r="G262" s="546"/>
      <c r="H262" s="546"/>
      <c r="I262" s="546"/>
      <c r="J262" s="546"/>
      <c r="K262" s="546"/>
      <c r="L262" s="546"/>
      <c r="M262" s="546"/>
      <c r="N262" s="546"/>
      <c r="O262" s="546"/>
      <c r="P262" s="546"/>
      <c r="Q262" s="546"/>
      <c r="R262" s="546"/>
      <c r="S262" s="546"/>
      <c r="T262" s="546"/>
      <c r="U262" s="546"/>
      <c r="V262" s="546"/>
      <c r="W262" s="546"/>
      <c r="X262" s="546"/>
      <c r="Y262" s="546"/>
      <c r="Z262" s="546"/>
      <c r="AA262" s="537"/>
      <c r="AB262" s="537"/>
      <c r="AC262" s="537"/>
    </row>
    <row r="263" spans="1:68" ht="27" hidden="1" customHeight="1" x14ac:dyDescent="0.25">
      <c r="A263" s="54" t="s">
        <v>414</v>
      </c>
      <c r="B263" s="54" t="s">
        <v>415</v>
      </c>
      <c r="C263" s="31">
        <v>4301011223</v>
      </c>
      <c r="D263" s="556">
        <v>4607091383423</v>
      </c>
      <c r="E263" s="557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588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8"/>
      <c r="R263" s="548"/>
      <c r="S263" s="548"/>
      <c r="T263" s="549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416</v>
      </c>
      <c r="B264" s="54" t="s">
        <v>417</v>
      </c>
      <c r="C264" s="31">
        <v>4301012199</v>
      </c>
      <c r="D264" s="556">
        <v>4680115886957</v>
      </c>
      <c r="E264" s="557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796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8"/>
      <c r="R264" s="548"/>
      <c r="S264" s="548"/>
      <c r="T264" s="549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419</v>
      </c>
      <c r="B265" s="54" t="s">
        <v>420</v>
      </c>
      <c r="C265" s="31">
        <v>4301012098</v>
      </c>
      <c r="D265" s="556">
        <v>4680115885660</v>
      </c>
      <c r="E265" s="557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82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8"/>
      <c r="R265" s="548"/>
      <c r="S265" s="548"/>
      <c r="T265" s="549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421</v>
      </c>
      <c r="B266" s="54" t="s">
        <v>422</v>
      </c>
      <c r="C266" s="31">
        <v>4301012176</v>
      </c>
      <c r="D266" s="556">
        <v>4680115886773</v>
      </c>
      <c r="E266" s="557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831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8"/>
      <c r="R266" s="548"/>
      <c r="S266" s="548"/>
      <c r="T266" s="549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58"/>
      <c r="B267" s="546"/>
      <c r="C267" s="546"/>
      <c r="D267" s="546"/>
      <c r="E267" s="546"/>
      <c r="F267" s="546"/>
      <c r="G267" s="546"/>
      <c r="H267" s="546"/>
      <c r="I267" s="546"/>
      <c r="J267" s="546"/>
      <c r="K267" s="546"/>
      <c r="L267" s="546"/>
      <c r="M267" s="546"/>
      <c r="N267" s="546"/>
      <c r="O267" s="559"/>
      <c r="P267" s="550" t="s">
        <v>71</v>
      </c>
      <c r="Q267" s="551"/>
      <c r="R267" s="551"/>
      <c r="S267" s="551"/>
      <c r="T267" s="551"/>
      <c r="U267" s="551"/>
      <c r="V267" s="552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hidden="1" x14ac:dyDescent="0.2">
      <c r="A268" s="546"/>
      <c r="B268" s="546"/>
      <c r="C268" s="546"/>
      <c r="D268" s="546"/>
      <c r="E268" s="546"/>
      <c r="F268" s="546"/>
      <c r="G268" s="546"/>
      <c r="H268" s="546"/>
      <c r="I268" s="546"/>
      <c r="J268" s="546"/>
      <c r="K268" s="546"/>
      <c r="L268" s="546"/>
      <c r="M268" s="546"/>
      <c r="N268" s="546"/>
      <c r="O268" s="559"/>
      <c r="P268" s="550" t="s">
        <v>71</v>
      </c>
      <c r="Q268" s="551"/>
      <c r="R268" s="551"/>
      <c r="S268" s="551"/>
      <c r="T268" s="551"/>
      <c r="U268" s="551"/>
      <c r="V268" s="552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hidden="1" customHeight="1" x14ac:dyDescent="0.25">
      <c r="A269" s="545" t="s">
        <v>424</v>
      </c>
      <c r="B269" s="546"/>
      <c r="C269" s="546"/>
      <c r="D269" s="546"/>
      <c r="E269" s="546"/>
      <c r="F269" s="546"/>
      <c r="G269" s="546"/>
      <c r="H269" s="546"/>
      <c r="I269" s="546"/>
      <c r="J269" s="546"/>
      <c r="K269" s="546"/>
      <c r="L269" s="546"/>
      <c r="M269" s="546"/>
      <c r="N269" s="546"/>
      <c r="O269" s="546"/>
      <c r="P269" s="546"/>
      <c r="Q269" s="546"/>
      <c r="R269" s="546"/>
      <c r="S269" s="546"/>
      <c r="T269" s="546"/>
      <c r="U269" s="546"/>
      <c r="V269" s="546"/>
      <c r="W269" s="546"/>
      <c r="X269" s="546"/>
      <c r="Y269" s="546"/>
      <c r="Z269" s="546"/>
      <c r="AA269" s="536"/>
      <c r="AB269" s="536"/>
      <c r="AC269" s="536"/>
    </row>
    <row r="270" spans="1:68" ht="14.25" hidden="1" customHeight="1" x14ac:dyDescent="0.25">
      <c r="A270" s="553" t="s">
        <v>73</v>
      </c>
      <c r="B270" s="546"/>
      <c r="C270" s="546"/>
      <c r="D270" s="546"/>
      <c r="E270" s="546"/>
      <c r="F270" s="546"/>
      <c r="G270" s="546"/>
      <c r="H270" s="546"/>
      <c r="I270" s="546"/>
      <c r="J270" s="546"/>
      <c r="K270" s="546"/>
      <c r="L270" s="546"/>
      <c r="M270" s="546"/>
      <c r="N270" s="546"/>
      <c r="O270" s="546"/>
      <c r="P270" s="546"/>
      <c r="Q270" s="546"/>
      <c r="R270" s="546"/>
      <c r="S270" s="546"/>
      <c r="T270" s="546"/>
      <c r="U270" s="546"/>
      <c r="V270" s="546"/>
      <c r="W270" s="546"/>
      <c r="X270" s="546"/>
      <c r="Y270" s="546"/>
      <c r="Z270" s="546"/>
      <c r="AA270" s="537"/>
      <c r="AB270" s="537"/>
      <c r="AC270" s="537"/>
    </row>
    <row r="271" spans="1:68" ht="27" hidden="1" customHeight="1" x14ac:dyDescent="0.25">
      <c r="A271" s="54" t="s">
        <v>425</v>
      </c>
      <c r="B271" s="54" t="s">
        <v>426</v>
      </c>
      <c r="C271" s="31">
        <v>4301051893</v>
      </c>
      <c r="D271" s="556">
        <v>4680115886186</v>
      </c>
      <c r="E271" s="557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82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8"/>
      <c r="R271" s="548"/>
      <c r="S271" s="548"/>
      <c r="T271" s="549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428</v>
      </c>
      <c r="B272" s="54" t="s">
        <v>429</v>
      </c>
      <c r="C272" s="31">
        <v>4301051795</v>
      </c>
      <c r="D272" s="556">
        <v>4680115881228</v>
      </c>
      <c r="E272" s="557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 t="s">
        <v>186</v>
      </c>
      <c r="M272" s="33" t="s">
        <v>84</v>
      </c>
      <c r="N272" s="33"/>
      <c r="O272" s="32">
        <v>40</v>
      </c>
      <c r="P272" s="70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8"/>
      <c r="R272" s="548"/>
      <c r="S272" s="548"/>
      <c r="T272" s="549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431</v>
      </c>
      <c r="B273" s="54" t="s">
        <v>432</v>
      </c>
      <c r="C273" s="31">
        <v>4301051388</v>
      </c>
      <c r="D273" s="556">
        <v>4680115881211</v>
      </c>
      <c r="E273" s="557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186</v>
      </c>
      <c r="M273" s="33" t="s">
        <v>77</v>
      </c>
      <c r="N273" s="33"/>
      <c r="O273" s="32">
        <v>45</v>
      </c>
      <c r="P273" s="86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8"/>
      <c r="R273" s="548"/>
      <c r="S273" s="548"/>
      <c r="T273" s="549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427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58"/>
      <c r="B274" s="546"/>
      <c r="C274" s="546"/>
      <c r="D274" s="546"/>
      <c r="E274" s="546"/>
      <c r="F274" s="546"/>
      <c r="G274" s="546"/>
      <c r="H274" s="546"/>
      <c r="I274" s="546"/>
      <c r="J274" s="546"/>
      <c r="K274" s="546"/>
      <c r="L274" s="546"/>
      <c r="M274" s="546"/>
      <c r="N274" s="546"/>
      <c r="O274" s="559"/>
      <c r="P274" s="550" t="s">
        <v>71</v>
      </c>
      <c r="Q274" s="551"/>
      <c r="R274" s="551"/>
      <c r="S274" s="551"/>
      <c r="T274" s="551"/>
      <c r="U274" s="551"/>
      <c r="V274" s="552"/>
      <c r="W274" s="37" t="s">
        <v>72</v>
      </c>
      <c r="X274" s="543">
        <f>IFERROR(X271/H271,"0")+IFERROR(X272/H272,"0")+IFERROR(X273/H273,"0")</f>
        <v>0</v>
      </c>
      <c r="Y274" s="543">
        <f>IFERROR(Y271/H271,"0")+IFERROR(Y272/H272,"0")+IFERROR(Y273/H273,"0")</f>
        <v>0</v>
      </c>
      <c r="Z274" s="543">
        <f>IFERROR(IF(Z271="",0,Z271),"0")+IFERROR(IF(Z272="",0,Z272),"0")+IFERROR(IF(Z273="",0,Z273),"0")</f>
        <v>0</v>
      </c>
      <c r="AA274" s="544"/>
      <c r="AB274" s="544"/>
      <c r="AC274" s="544"/>
    </row>
    <row r="275" spans="1:68" hidden="1" x14ac:dyDescent="0.2">
      <c r="A275" s="546"/>
      <c r="B275" s="546"/>
      <c r="C275" s="546"/>
      <c r="D275" s="546"/>
      <c r="E275" s="546"/>
      <c r="F275" s="546"/>
      <c r="G275" s="546"/>
      <c r="H275" s="546"/>
      <c r="I275" s="546"/>
      <c r="J275" s="546"/>
      <c r="K275" s="546"/>
      <c r="L275" s="546"/>
      <c r="M275" s="546"/>
      <c r="N275" s="546"/>
      <c r="O275" s="559"/>
      <c r="P275" s="550" t="s">
        <v>71</v>
      </c>
      <c r="Q275" s="551"/>
      <c r="R275" s="551"/>
      <c r="S275" s="551"/>
      <c r="T275" s="551"/>
      <c r="U275" s="551"/>
      <c r="V275" s="552"/>
      <c r="W275" s="37" t="s">
        <v>69</v>
      </c>
      <c r="X275" s="543">
        <f>IFERROR(SUM(X271:X273),"0")</f>
        <v>0</v>
      </c>
      <c r="Y275" s="543">
        <f>IFERROR(SUM(Y271:Y273),"0")</f>
        <v>0</v>
      </c>
      <c r="Z275" s="37"/>
      <c r="AA275" s="544"/>
      <c r="AB275" s="544"/>
      <c r="AC275" s="544"/>
    </row>
    <row r="276" spans="1:68" ht="16.5" hidden="1" customHeight="1" x14ac:dyDescent="0.25">
      <c r="A276" s="545" t="s">
        <v>433</v>
      </c>
      <c r="B276" s="546"/>
      <c r="C276" s="546"/>
      <c r="D276" s="546"/>
      <c r="E276" s="546"/>
      <c r="F276" s="546"/>
      <c r="G276" s="546"/>
      <c r="H276" s="546"/>
      <c r="I276" s="546"/>
      <c r="J276" s="546"/>
      <c r="K276" s="546"/>
      <c r="L276" s="546"/>
      <c r="M276" s="546"/>
      <c r="N276" s="546"/>
      <c r="O276" s="546"/>
      <c r="P276" s="546"/>
      <c r="Q276" s="546"/>
      <c r="R276" s="546"/>
      <c r="S276" s="546"/>
      <c r="T276" s="546"/>
      <c r="U276" s="546"/>
      <c r="V276" s="546"/>
      <c r="W276" s="546"/>
      <c r="X276" s="546"/>
      <c r="Y276" s="546"/>
      <c r="Z276" s="546"/>
      <c r="AA276" s="536"/>
      <c r="AB276" s="536"/>
      <c r="AC276" s="536"/>
    </row>
    <row r="277" spans="1:68" ht="14.25" hidden="1" customHeight="1" x14ac:dyDescent="0.25">
      <c r="A277" s="553" t="s">
        <v>64</v>
      </c>
      <c r="B277" s="546"/>
      <c r="C277" s="546"/>
      <c r="D277" s="546"/>
      <c r="E277" s="546"/>
      <c r="F277" s="546"/>
      <c r="G277" s="546"/>
      <c r="H277" s="546"/>
      <c r="I277" s="546"/>
      <c r="J277" s="546"/>
      <c r="K277" s="546"/>
      <c r="L277" s="546"/>
      <c r="M277" s="546"/>
      <c r="N277" s="546"/>
      <c r="O277" s="546"/>
      <c r="P277" s="546"/>
      <c r="Q277" s="546"/>
      <c r="R277" s="546"/>
      <c r="S277" s="546"/>
      <c r="T277" s="546"/>
      <c r="U277" s="546"/>
      <c r="V277" s="546"/>
      <c r="W277" s="546"/>
      <c r="X277" s="546"/>
      <c r="Y277" s="546"/>
      <c r="Z277" s="546"/>
      <c r="AA277" s="537"/>
      <c r="AB277" s="537"/>
      <c r="AC277" s="537"/>
    </row>
    <row r="278" spans="1:68" ht="27" hidden="1" customHeight="1" x14ac:dyDescent="0.25">
      <c r="A278" s="54" t="s">
        <v>434</v>
      </c>
      <c r="B278" s="54" t="s">
        <v>435</v>
      </c>
      <c r="C278" s="31">
        <v>4301031307</v>
      </c>
      <c r="D278" s="556">
        <v>4680115880344</v>
      </c>
      <c r="E278" s="557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64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8"/>
      <c r="R278" s="548"/>
      <c r="S278" s="548"/>
      <c r="T278" s="549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437</v>
      </c>
      <c r="B279" s="54" t="s">
        <v>438</v>
      </c>
      <c r="C279" s="31">
        <v>4301031429</v>
      </c>
      <c r="D279" s="556">
        <v>4680115886919</v>
      </c>
      <c r="E279" s="557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68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8"/>
      <c r="R279" s="548"/>
      <c r="S279" s="548"/>
      <c r="T279" s="549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58"/>
      <c r="B280" s="546"/>
      <c r="C280" s="546"/>
      <c r="D280" s="546"/>
      <c r="E280" s="546"/>
      <c r="F280" s="546"/>
      <c r="G280" s="546"/>
      <c r="H280" s="546"/>
      <c r="I280" s="546"/>
      <c r="J280" s="546"/>
      <c r="K280" s="546"/>
      <c r="L280" s="546"/>
      <c r="M280" s="546"/>
      <c r="N280" s="546"/>
      <c r="O280" s="559"/>
      <c r="P280" s="550" t="s">
        <v>71</v>
      </c>
      <c r="Q280" s="551"/>
      <c r="R280" s="551"/>
      <c r="S280" s="551"/>
      <c r="T280" s="551"/>
      <c r="U280" s="551"/>
      <c r="V280" s="552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hidden="1" x14ac:dyDescent="0.2">
      <c r="A281" s="546"/>
      <c r="B281" s="546"/>
      <c r="C281" s="546"/>
      <c r="D281" s="546"/>
      <c r="E281" s="546"/>
      <c r="F281" s="546"/>
      <c r="G281" s="546"/>
      <c r="H281" s="546"/>
      <c r="I281" s="546"/>
      <c r="J281" s="546"/>
      <c r="K281" s="546"/>
      <c r="L281" s="546"/>
      <c r="M281" s="546"/>
      <c r="N281" s="546"/>
      <c r="O281" s="559"/>
      <c r="P281" s="550" t="s">
        <v>71</v>
      </c>
      <c r="Q281" s="551"/>
      <c r="R281" s="551"/>
      <c r="S281" s="551"/>
      <c r="T281" s="551"/>
      <c r="U281" s="551"/>
      <c r="V281" s="552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hidden="1" customHeight="1" x14ac:dyDescent="0.25">
      <c r="A282" s="553" t="s">
        <v>73</v>
      </c>
      <c r="B282" s="546"/>
      <c r="C282" s="546"/>
      <c r="D282" s="546"/>
      <c r="E282" s="546"/>
      <c r="F282" s="546"/>
      <c r="G282" s="546"/>
      <c r="H282" s="546"/>
      <c r="I282" s="546"/>
      <c r="J282" s="546"/>
      <c r="K282" s="546"/>
      <c r="L282" s="546"/>
      <c r="M282" s="546"/>
      <c r="N282" s="546"/>
      <c r="O282" s="546"/>
      <c r="P282" s="546"/>
      <c r="Q282" s="546"/>
      <c r="R282" s="546"/>
      <c r="S282" s="546"/>
      <c r="T282" s="546"/>
      <c r="U282" s="546"/>
      <c r="V282" s="546"/>
      <c r="W282" s="546"/>
      <c r="X282" s="546"/>
      <c r="Y282" s="546"/>
      <c r="Z282" s="546"/>
      <c r="AA282" s="537"/>
      <c r="AB282" s="537"/>
      <c r="AC282" s="537"/>
    </row>
    <row r="283" spans="1:68" ht="37.5" hidden="1" customHeight="1" x14ac:dyDescent="0.25">
      <c r="A283" s="54" t="s">
        <v>440</v>
      </c>
      <c r="B283" s="54" t="s">
        <v>441</v>
      </c>
      <c r="C283" s="31">
        <v>4301051782</v>
      </c>
      <c r="D283" s="556">
        <v>4680115884618</v>
      </c>
      <c r="E283" s="557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76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8"/>
      <c r="R283" s="548"/>
      <c r="S283" s="548"/>
      <c r="T283" s="549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443</v>
      </c>
      <c r="B284" s="54" t="s">
        <v>444</v>
      </c>
      <c r="C284" s="31">
        <v>4301052057</v>
      </c>
      <c r="D284" s="556">
        <v>4680115887114</v>
      </c>
      <c r="E284" s="557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80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4" s="548"/>
      <c r="R284" s="548"/>
      <c r="S284" s="548"/>
      <c r="T284" s="549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58"/>
      <c r="B285" s="546"/>
      <c r="C285" s="546"/>
      <c r="D285" s="546"/>
      <c r="E285" s="546"/>
      <c r="F285" s="546"/>
      <c r="G285" s="546"/>
      <c r="H285" s="546"/>
      <c r="I285" s="546"/>
      <c r="J285" s="546"/>
      <c r="K285" s="546"/>
      <c r="L285" s="546"/>
      <c r="M285" s="546"/>
      <c r="N285" s="546"/>
      <c r="O285" s="559"/>
      <c r="P285" s="550" t="s">
        <v>71</v>
      </c>
      <c r="Q285" s="551"/>
      <c r="R285" s="551"/>
      <c r="S285" s="551"/>
      <c r="T285" s="551"/>
      <c r="U285" s="551"/>
      <c r="V285" s="552"/>
      <c r="W285" s="37" t="s">
        <v>72</v>
      </c>
      <c r="X285" s="543">
        <f>IFERROR(X283/H283,"0")+IFERROR(X284/H284,"0")</f>
        <v>0</v>
      </c>
      <c r="Y285" s="543">
        <f>IFERROR(Y283/H283,"0")+IFERROR(Y284/H284,"0")</f>
        <v>0</v>
      </c>
      <c r="Z285" s="543">
        <f>IFERROR(IF(Z283="",0,Z283),"0")+IFERROR(IF(Z284="",0,Z284),"0")</f>
        <v>0</v>
      </c>
      <c r="AA285" s="544"/>
      <c r="AB285" s="544"/>
      <c r="AC285" s="544"/>
    </row>
    <row r="286" spans="1:68" hidden="1" x14ac:dyDescent="0.2">
      <c r="A286" s="546"/>
      <c r="B286" s="546"/>
      <c r="C286" s="546"/>
      <c r="D286" s="546"/>
      <c r="E286" s="546"/>
      <c r="F286" s="546"/>
      <c r="G286" s="546"/>
      <c r="H286" s="546"/>
      <c r="I286" s="546"/>
      <c r="J286" s="546"/>
      <c r="K286" s="546"/>
      <c r="L286" s="546"/>
      <c r="M286" s="546"/>
      <c r="N286" s="546"/>
      <c r="O286" s="559"/>
      <c r="P286" s="550" t="s">
        <v>71</v>
      </c>
      <c r="Q286" s="551"/>
      <c r="R286" s="551"/>
      <c r="S286" s="551"/>
      <c r="T286" s="551"/>
      <c r="U286" s="551"/>
      <c r="V286" s="552"/>
      <c r="W286" s="37" t="s">
        <v>69</v>
      </c>
      <c r="X286" s="543">
        <f>IFERROR(SUM(X283:X284),"0")</f>
        <v>0</v>
      </c>
      <c r="Y286" s="543">
        <f>IFERROR(SUM(Y283:Y284),"0")</f>
        <v>0</v>
      </c>
      <c r="Z286" s="37"/>
      <c r="AA286" s="544"/>
      <c r="AB286" s="544"/>
      <c r="AC286" s="544"/>
    </row>
    <row r="287" spans="1:68" ht="16.5" hidden="1" customHeight="1" x14ac:dyDescent="0.25">
      <c r="A287" s="545" t="s">
        <v>446</v>
      </c>
      <c r="B287" s="546"/>
      <c r="C287" s="546"/>
      <c r="D287" s="546"/>
      <c r="E287" s="546"/>
      <c r="F287" s="546"/>
      <c r="G287" s="546"/>
      <c r="H287" s="546"/>
      <c r="I287" s="546"/>
      <c r="J287" s="546"/>
      <c r="K287" s="546"/>
      <c r="L287" s="546"/>
      <c r="M287" s="546"/>
      <c r="N287" s="546"/>
      <c r="O287" s="546"/>
      <c r="P287" s="546"/>
      <c r="Q287" s="546"/>
      <c r="R287" s="546"/>
      <c r="S287" s="546"/>
      <c r="T287" s="546"/>
      <c r="U287" s="546"/>
      <c r="V287" s="546"/>
      <c r="W287" s="546"/>
      <c r="X287" s="546"/>
      <c r="Y287" s="546"/>
      <c r="Z287" s="546"/>
      <c r="AA287" s="536"/>
      <c r="AB287" s="536"/>
      <c r="AC287" s="536"/>
    </row>
    <row r="288" spans="1:68" ht="14.25" hidden="1" customHeight="1" x14ac:dyDescent="0.25">
      <c r="A288" s="553" t="s">
        <v>99</v>
      </c>
      <c r="B288" s="546"/>
      <c r="C288" s="546"/>
      <c r="D288" s="546"/>
      <c r="E288" s="546"/>
      <c r="F288" s="546"/>
      <c r="G288" s="546"/>
      <c r="H288" s="546"/>
      <c r="I288" s="546"/>
      <c r="J288" s="546"/>
      <c r="K288" s="546"/>
      <c r="L288" s="546"/>
      <c r="M288" s="546"/>
      <c r="N288" s="546"/>
      <c r="O288" s="546"/>
      <c r="P288" s="546"/>
      <c r="Q288" s="546"/>
      <c r="R288" s="546"/>
      <c r="S288" s="546"/>
      <c r="T288" s="546"/>
      <c r="U288" s="546"/>
      <c r="V288" s="546"/>
      <c r="W288" s="546"/>
      <c r="X288" s="546"/>
      <c r="Y288" s="546"/>
      <c r="Z288" s="546"/>
      <c r="AA288" s="537"/>
      <c r="AB288" s="537"/>
      <c r="AC288" s="537"/>
    </row>
    <row r="289" spans="1:68" ht="27" hidden="1" customHeight="1" x14ac:dyDescent="0.25">
      <c r="A289" s="54" t="s">
        <v>447</v>
      </c>
      <c r="B289" s="54" t="s">
        <v>448</v>
      </c>
      <c r="C289" s="31">
        <v>4301012024</v>
      </c>
      <c r="D289" s="556">
        <v>4680115885615</v>
      </c>
      <c r="E289" s="557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792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8"/>
      <c r="R289" s="548"/>
      <c r="S289" s="548"/>
      <c r="T289" s="549"/>
      <c r="U289" s="34"/>
      <c r="V289" s="34"/>
      <c r="W289" s="35" t="s">
        <v>69</v>
      </c>
      <c r="X289" s="541">
        <v>0</v>
      </c>
      <c r="Y289" s="542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449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hidden="1" customHeight="1" x14ac:dyDescent="0.25">
      <c r="A290" s="54" t="s">
        <v>450</v>
      </c>
      <c r="B290" s="54" t="s">
        <v>451</v>
      </c>
      <c r="C290" s="31">
        <v>4301011858</v>
      </c>
      <c r="D290" s="556">
        <v>4680115885646</v>
      </c>
      <c r="E290" s="557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104</v>
      </c>
      <c r="N290" s="33"/>
      <c r="O290" s="32">
        <v>55</v>
      </c>
      <c r="P290" s="85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8"/>
      <c r="R290" s="548"/>
      <c r="S290" s="548"/>
      <c r="T290" s="549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453</v>
      </c>
      <c r="B291" s="54" t="s">
        <v>454</v>
      </c>
      <c r="C291" s="31">
        <v>4301012016</v>
      </c>
      <c r="D291" s="556">
        <v>4680115885554</v>
      </c>
      <c r="E291" s="557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58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8"/>
      <c r="R291" s="548"/>
      <c r="S291" s="548"/>
      <c r="T291" s="549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456</v>
      </c>
      <c r="B292" s="54" t="s">
        <v>457</v>
      </c>
      <c r="C292" s="31">
        <v>4301011857</v>
      </c>
      <c r="D292" s="556">
        <v>4680115885622</v>
      </c>
      <c r="E292" s="557"/>
      <c r="F292" s="540">
        <v>0.4</v>
      </c>
      <c r="G292" s="32">
        <v>10</v>
      </c>
      <c r="H292" s="540">
        <v>4</v>
      </c>
      <c r="I292" s="540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59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8"/>
      <c r="R292" s="548"/>
      <c r="S292" s="548"/>
      <c r="T292" s="549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449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458</v>
      </c>
      <c r="B293" s="54" t="s">
        <v>459</v>
      </c>
      <c r="C293" s="31">
        <v>4301011859</v>
      </c>
      <c r="D293" s="556">
        <v>4680115885608</v>
      </c>
      <c r="E293" s="557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59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8"/>
      <c r="R293" s="548"/>
      <c r="S293" s="548"/>
      <c r="T293" s="549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460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58"/>
      <c r="B294" s="546"/>
      <c r="C294" s="546"/>
      <c r="D294" s="546"/>
      <c r="E294" s="546"/>
      <c r="F294" s="546"/>
      <c r="G294" s="546"/>
      <c r="H294" s="546"/>
      <c r="I294" s="546"/>
      <c r="J294" s="546"/>
      <c r="K294" s="546"/>
      <c r="L294" s="546"/>
      <c r="M294" s="546"/>
      <c r="N294" s="546"/>
      <c r="O294" s="559"/>
      <c r="P294" s="550" t="s">
        <v>71</v>
      </c>
      <c r="Q294" s="551"/>
      <c r="R294" s="551"/>
      <c r="S294" s="551"/>
      <c r="T294" s="551"/>
      <c r="U294" s="551"/>
      <c r="V294" s="552"/>
      <c r="W294" s="37" t="s">
        <v>72</v>
      </c>
      <c r="X294" s="543">
        <f>IFERROR(X289/H289,"0")+IFERROR(X290/H290,"0")+IFERROR(X291/H291,"0")+IFERROR(X292/H292,"0")+IFERROR(X293/H293,"0")</f>
        <v>0</v>
      </c>
      <c r="Y294" s="543">
        <f>IFERROR(Y289/H289,"0")+IFERROR(Y290/H290,"0")+IFERROR(Y291/H291,"0")+IFERROR(Y292/H292,"0")+IFERROR(Y293/H293,"0")</f>
        <v>0</v>
      </c>
      <c r="Z294" s="543">
        <f>IFERROR(IF(Z289="",0,Z289),"0")+IFERROR(IF(Z290="",0,Z290),"0")+IFERROR(IF(Z291="",0,Z291),"0")+IFERROR(IF(Z292="",0,Z292),"0")+IFERROR(IF(Z293="",0,Z293),"0")</f>
        <v>0</v>
      </c>
      <c r="AA294" s="544"/>
      <c r="AB294" s="544"/>
      <c r="AC294" s="544"/>
    </row>
    <row r="295" spans="1:68" hidden="1" x14ac:dyDescent="0.2">
      <c r="A295" s="546"/>
      <c r="B295" s="546"/>
      <c r="C295" s="546"/>
      <c r="D295" s="546"/>
      <c r="E295" s="546"/>
      <c r="F295" s="546"/>
      <c r="G295" s="546"/>
      <c r="H295" s="546"/>
      <c r="I295" s="546"/>
      <c r="J295" s="546"/>
      <c r="K295" s="546"/>
      <c r="L295" s="546"/>
      <c r="M295" s="546"/>
      <c r="N295" s="546"/>
      <c r="O295" s="559"/>
      <c r="P295" s="550" t="s">
        <v>71</v>
      </c>
      <c r="Q295" s="551"/>
      <c r="R295" s="551"/>
      <c r="S295" s="551"/>
      <c r="T295" s="551"/>
      <c r="U295" s="551"/>
      <c r="V295" s="552"/>
      <c r="W295" s="37" t="s">
        <v>69</v>
      </c>
      <c r="X295" s="543">
        <f>IFERROR(SUM(X289:X293),"0")</f>
        <v>0</v>
      </c>
      <c r="Y295" s="543">
        <f>IFERROR(SUM(Y289:Y293),"0")</f>
        <v>0</v>
      </c>
      <c r="Z295" s="37"/>
      <c r="AA295" s="544"/>
      <c r="AB295" s="544"/>
      <c r="AC295" s="544"/>
    </row>
    <row r="296" spans="1:68" ht="14.25" hidden="1" customHeight="1" x14ac:dyDescent="0.25">
      <c r="A296" s="553" t="s">
        <v>64</v>
      </c>
      <c r="B296" s="546"/>
      <c r="C296" s="546"/>
      <c r="D296" s="546"/>
      <c r="E296" s="546"/>
      <c r="F296" s="546"/>
      <c r="G296" s="546"/>
      <c r="H296" s="546"/>
      <c r="I296" s="546"/>
      <c r="J296" s="546"/>
      <c r="K296" s="546"/>
      <c r="L296" s="546"/>
      <c r="M296" s="546"/>
      <c r="N296" s="546"/>
      <c r="O296" s="546"/>
      <c r="P296" s="546"/>
      <c r="Q296" s="546"/>
      <c r="R296" s="546"/>
      <c r="S296" s="546"/>
      <c r="T296" s="546"/>
      <c r="U296" s="546"/>
      <c r="V296" s="546"/>
      <c r="W296" s="546"/>
      <c r="X296" s="546"/>
      <c r="Y296" s="546"/>
      <c r="Z296" s="546"/>
      <c r="AA296" s="537"/>
      <c r="AB296" s="537"/>
      <c r="AC296" s="537"/>
    </row>
    <row r="297" spans="1:68" ht="27" hidden="1" customHeight="1" x14ac:dyDescent="0.25">
      <c r="A297" s="54" t="s">
        <v>461</v>
      </c>
      <c r="B297" s="54" t="s">
        <v>462</v>
      </c>
      <c r="C297" s="31">
        <v>4301030878</v>
      </c>
      <c r="D297" s="556">
        <v>4607091387193</v>
      </c>
      <c r="E297" s="557"/>
      <c r="F297" s="540">
        <v>0.7</v>
      </c>
      <c r="G297" s="32">
        <v>6</v>
      </c>
      <c r="H297" s="540">
        <v>4.2</v>
      </c>
      <c r="I297" s="540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35</v>
      </c>
      <c r="P297" s="58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8"/>
      <c r="R297" s="548"/>
      <c r="S297" s="548"/>
      <c r="T297" s="549"/>
      <c r="U297" s="34"/>
      <c r="V297" s="34"/>
      <c r="W297" s="35" t="s">
        <v>69</v>
      </c>
      <c r="X297" s="541">
        <v>0</v>
      </c>
      <c r="Y297" s="542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463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hidden="1" customHeight="1" x14ac:dyDescent="0.25">
      <c r="A298" s="54" t="s">
        <v>464</v>
      </c>
      <c r="B298" s="54" t="s">
        <v>465</v>
      </c>
      <c r="C298" s="31">
        <v>4301031153</v>
      </c>
      <c r="D298" s="556">
        <v>4607091387230</v>
      </c>
      <c r="E298" s="557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 t="s">
        <v>110</v>
      </c>
      <c r="M298" s="33" t="s">
        <v>68</v>
      </c>
      <c r="N298" s="33"/>
      <c r="O298" s="32">
        <v>40</v>
      </c>
      <c r="P298" s="62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8"/>
      <c r="R298" s="548"/>
      <c r="S298" s="548"/>
      <c r="T298" s="549"/>
      <c r="U298" s="34"/>
      <c r="V298" s="34"/>
      <c r="W298" s="35" t="s">
        <v>69</v>
      </c>
      <c r="X298" s="541">
        <v>0</v>
      </c>
      <c r="Y298" s="542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466</v>
      </c>
      <c r="AG298" s="64"/>
      <c r="AJ298" s="68" t="s">
        <v>106</v>
      </c>
      <c r="AK298" s="68">
        <v>50.4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467</v>
      </c>
      <c r="B299" s="54" t="s">
        <v>468</v>
      </c>
      <c r="C299" s="31">
        <v>4301031154</v>
      </c>
      <c r="D299" s="556">
        <v>4607091387292</v>
      </c>
      <c r="E299" s="557"/>
      <c r="F299" s="540">
        <v>0.73</v>
      </c>
      <c r="G299" s="32">
        <v>6</v>
      </c>
      <c r="H299" s="540">
        <v>4.38</v>
      </c>
      <c r="I299" s="540">
        <v>4.63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45</v>
      </c>
      <c r="P299" s="70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8"/>
      <c r="R299" s="548"/>
      <c r="S299" s="548"/>
      <c r="T299" s="549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470</v>
      </c>
      <c r="B300" s="54" t="s">
        <v>471</v>
      </c>
      <c r="C300" s="31">
        <v>4301031152</v>
      </c>
      <c r="D300" s="556">
        <v>4607091387285</v>
      </c>
      <c r="E300" s="557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/>
      <c r="M300" s="33" t="s">
        <v>68</v>
      </c>
      <c r="N300" s="33"/>
      <c r="O300" s="32">
        <v>40</v>
      </c>
      <c r="P300" s="77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8"/>
      <c r="R300" s="548"/>
      <c r="S300" s="548"/>
      <c r="T300" s="549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472</v>
      </c>
      <c r="B301" s="54" t="s">
        <v>473</v>
      </c>
      <c r="C301" s="31">
        <v>4301031305</v>
      </c>
      <c r="D301" s="556">
        <v>4607091389845</v>
      </c>
      <c r="E301" s="557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64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8"/>
      <c r="R301" s="548"/>
      <c r="S301" s="548"/>
      <c r="T301" s="549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474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475</v>
      </c>
      <c r="B302" s="54" t="s">
        <v>476</v>
      </c>
      <c r="C302" s="31">
        <v>4301031306</v>
      </c>
      <c r="D302" s="556">
        <v>4680115882881</v>
      </c>
      <c r="E302" s="557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867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8"/>
      <c r="R302" s="548"/>
      <c r="S302" s="548"/>
      <c r="T302" s="549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474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hidden="1" customHeight="1" x14ac:dyDescent="0.25">
      <c r="A303" s="54" t="s">
        <v>477</v>
      </c>
      <c r="B303" s="54" t="s">
        <v>478</v>
      </c>
      <c r="C303" s="31">
        <v>4301031066</v>
      </c>
      <c r="D303" s="556">
        <v>4607091383836</v>
      </c>
      <c r="E303" s="557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/>
      <c r="M303" s="33" t="s">
        <v>68</v>
      </c>
      <c r="N303" s="33"/>
      <c r="O303" s="32">
        <v>40</v>
      </c>
      <c r="P303" s="80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8"/>
      <c r="R303" s="548"/>
      <c r="S303" s="548"/>
      <c r="T303" s="549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479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idden="1" x14ac:dyDescent="0.2">
      <c r="A304" s="558"/>
      <c r="B304" s="546"/>
      <c r="C304" s="546"/>
      <c r="D304" s="546"/>
      <c r="E304" s="546"/>
      <c r="F304" s="546"/>
      <c r="G304" s="546"/>
      <c r="H304" s="546"/>
      <c r="I304" s="546"/>
      <c r="J304" s="546"/>
      <c r="K304" s="546"/>
      <c r="L304" s="546"/>
      <c r="M304" s="546"/>
      <c r="N304" s="546"/>
      <c r="O304" s="559"/>
      <c r="P304" s="550" t="s">
        <v>71</v>
      </c>
      <c r="Q304" s="551"/>
      <c r="R304" s="551"/>
      <c r="S304" s="551"/>
      <c r="T304" s="551"/>
      <c r="U304" s="551"/>
      <c r="V304" s="552"/>
      <c r="W304" s="37" t="s">
        <v>72</v>
      </c>
      <c r="X304" s="543">
        <f>IFERROR(X297/H297,"0")+IFERROR(X298/H298,"0")+IFERROR(X299/H299,"0")+IFERROR(X300/H300,"0")+IFERROR(X301/H301,"0")+IFERROR(X302/H302,"0")+IFERROR(X303/H303,"0")</f>
        <v>0</v>
      </c>
      <c r="Y304" s="543">
        <f>IFERROR(Y297/H297,"0")+IFERROR(Y298/H298,"0")+IFERROR(Y299/H299,"0")+IFERROR(Y300/H300,"0")+IFERROR(Y301/H301,"0")+IFERROR(Y302/H302,"0")+IFERROR(Y303/H303,"0")</f>
        <v>0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544"/>
      <c r="AB304" s="544"/>
      <c r="AC304" s="544"/>
    </row>
    <row r="305" spans="1:68" hidden="1" x14ac:dyDescent="0.2">
      <c r="A305" s="546"/>
      <c r="B305" s="546"/>
      <c r="C305" s="546"/>
      <c r="D305" s="546"/>
      <c r="E305" s="546"/>
      <c r="F305" s="546"/>
      <c r="G305" s="546"/>
      <c r="H305" s="546"/>
      <c r="I305" s="546"/>
      <c r="J305" s="546"/>
      <c r="K305" s="546"/>
      <c r="L305" s="546"/>
      <c r="M305" s="546"/>
      <c r="N305" s="546"/>
      <c r="O305" s="559"/>
      <c r="P305" s="550" t="s">
        <v>71</v>
      </c>
      <c r="Q305" s="551"/>
      <c r="R305" s="551"/>
      <c r="S305" s="551"/>
      <c r="T305" s="551"/>
      <c r="U305" s="551"/>
      <c r="V305" s="552"/>
      <c r="W305" s="37" t="s">
        <v>69</v>
      </c>
      <c r="X305" s="543">
        <f>IFERROR(SUM(X297:X303),"0")</f>
        <v>0</v>
      </c>
      <c r="Y305" s="543">
        <f>IFERROR(SUM(Y297:Y303),"0")</f>
        <v>0</v>
      </c>
      <c r="Z305" s="37"/>
      <c r="AA305" s="544"/>
      <c r="AB305" s="544"/>
      <c r="AC305" s="544"/>
    </row>
    <row r="306" spans="1:68" ht="14.25" hidden="1" customHeight="1" x14ac:dyDescent="0.25">
      <c r="A306" s="553" t="s">
        <v>73</v>
      </c>
      <c r="B306" s="546"/>
      <c r="C306" s="546"/>
      <c r="D306" s="546"/>
      <c r="E306" s="546"/>
      <c r="F306" s="546"/>
      <c r="G306" s="546"/>
      <c r="H306" s="546"/>
      <c r="I306" s="546"/>
      <c r="J306" s="546"/>
      <c r="K306" s="546"/>
      <c r="L306" s="546"/>
      <c r="M306" s="546"/>
      <c r="N306" s="546"/>
      <c r="O306" s="546"/>
      <c r="P306" s="546"/>
      <c r="Q306" s="546"/>
      <c r="R306" s="546"/>
      <c r="S306" s="546"/>
      <c r="T306" s="546"/>
      <c r="U306" s="546"/>
      <c r="V306" s="546"/>
      <c r="W306" s="546"/>
      <c r="X306" s="546"/>
      <c r="Y306" s="546"/>
      <c r="Z306" s="546"/>
      <c r="AA306" s="537"/>
      <c r="AB306" s="537"/>
      <c r="AC306" s="537"/>
    </row>
    <row r="307" spans="1:68" ht="27" hidden="1" customHeight="1" x14ac:dyDescent="0.25">
      <c r="A307" s="54" t="s">
        <v>480</v>
      </c>
      <c r="B307" s="54" t="s">
        <v>481</v>
      </c>
      <c r="C307" s="31">
        <v>4301051100</v>
      </c>
      <c r="D307" s="556">
        <v>4607091387766</v>
      </c>
      <c r="E307" s="557"/>
      <c r="F307" s="540">
        <v>1.3</v>
      </c>
      <c r="G307" s="32">
        <v>6</v>
      </c>
      <c r="H307" s="540">
        <v>7.8</v>
      </c>
      <c r="I307" s="540">
        <v>8.2880000000000003</v>
      </c>
      <c r="J307" s="32">
        <v>64</v>
      </c>
      <c r="K307" s="32" t="s">
        <v>102</v>
      </c>
      <c r="L307" s="32" t="s">
        <v>103</v>
      </c>
      <c r="M307" s="33" t="s">
        <v>77</v>
      </c>
      <c r="N307" s="33"/>
      <c r="O307" s="32">
        <v>40</v>
      </c>
      <c r="P307" s="56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8"/>
      <c r="R307" s="548"/>
      <c r="S307" s="548"/>
      <c r="T307" s="549"/>
      <c r="U307" s="34"/>
      <c r="V307" s="34"/>
      <c r="W307" s="35" t="s">
        <v>69</v>
      </c>
      <c r="X307" s="541">
        <v>0</v>
      </c>
      <c r="Y307" s="542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482</v>
      </c>
      <c r="AG307" s="64"/>
      <c r="AJ307" s="68" t="s">
        <v>106</v>
      </c>
      <c r="AK307" s="68">
        <v>62.4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483</v>
      </c>
      <c r="B308" s="54" t="s">
        <v>484</v>
      </c>
      <c r="C308" s="31">
        <v>4301051818</v>
      </c>
      <c r="D308" s="556">
        <v>4607091387957</v>
      </c>
      <c r="E308" s="557"/>
      <c r="F308" s="540">
        <v>1.3</v>
      </c>
      <c r="G308" s="32">
        <v>6</v>
      </c>
      <c r="H308" s="540">
        <v>7.8</v>
      </c>
      <c r="I308" s="540">
        <v>8.2940000000000005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76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8"/>
      <c r="R308" s="548"/>
      <c r="S308" s="548"/>
      <c r="T308" s="549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485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486</v>
      </c>
      <c r="B309" s="54" t="s">
        <v>487</v>
      </c>
      <c r="C309" s="31">
        <v>4301051819</v>
      </c>
      <c r="D309" s="556">
        <v>4607091387964</v>
      </c>
      <c r="E309" s="557"/>
      <c r="F309" s="540">
        <v>1.35</v>
      </c>
      <c r="G309" s="32">
        <v>6</v>
      </c>
      <c r="H309" s="540">
        <v>8.1</v>
      </c>
      <c r="I309" s="540">
        <v>8.5760000000000005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5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8"/>
      <c r="R309" s="548"/>
      <c r="S309" s="548"/>
      <c r="T309" s="549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488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489</v>
      </c>
      <c r="B310" s="54" t="s">
        <v>490</v>
      </c>
      <c r="C310" s="31">
        <v>4301051734</v>
      </c>
      <c r="D310" s="556">
        <v>4680115884588</v>
      </c>
      <c r="E310" s="557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75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8"/>
      <c r="R310" s="548"/>
      <c r="S310" s="548"/>
      <c r="T310" s="549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491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558"/>
      <c r="B311" s="546"/>
      <c r="C311" s="546"/>
      <c r="D311" s="546"/>
      <c r="E311" s="546"/>
      <c r="F311" s="546"/>
      <c r="G311" s="546"/>
      <c r="H311" s="546"/>
      <c r="I311" s="546"/>
      <c r="J311" s="546"/>
      <c r="K311" s="546"/>
      <c r="L311" s="546"/>
      <c r="M311" s="546"/>
      <c r="N311" s="546"/>
      <c r="O311" s="559"/>
      <c r="P311" s="550" t="s">
        <v>71</v>
      </c>
      <c r="Q311" s="551"/>
      <c r="R311" s="551"/>
      <c r="S311" s="551"/>
      <c r="T311" s="551"/>
      <c r="U311" s="551"/>
      <c r="V311" s="552"/>
      <c r="W311" s="37" t="s">
        <v>72</v>
      </c>
      <c r="X311" s="543">
        <f>IFERROR(X307/H307,"0")+IFERROR(X308/H308,"0")+IFERROR(X309/H309,"0")+IFERROR(X310/H310,"0")</f>
        <v>0</v>
      </c>
      <c r="Y311" s="543">
        <f>IFERROR(Y307/H307,"0")+IFERROR(Y308/H308,"0")+IFERROR(Y309/H309,"0")+IFERROR(Y310/H310,"0")</f>
        <v>0</v>
      </c>
      <c r="Z311" s="543">
        <f>IFERROR(IF(Z307="",0,Z307),"0")+IFERROR(IF(Z308="",0,Z308),"0")+IFERROR(IF(Z309="",0,Z309),"0")+IFERROR(IF(Z310="",0,Z310),"0")</f>
        <v>0</v>
      </c>
      <c r="AA311" s="544"/>
      <c r="AB311" s="544"/>
      <c r="AC311" s="544"/>
    </row>
    <row r="312" spans="1:68" hidden="1" x14ac:dyDescent="0.2">
      <c r="A312" s="546"/>
      <c r="B312" s="546"/>
      <c r="C312" s="546"/>
      <c r="D312" s="546"/>
      <c r="E312" s="546"/>
      <c r="F312" s="546"/>
      <c r="G312" s="546"/>
      <c r="H312" s="546"/>
      <c r="I312" s="546"/>
      <c r="J312" s="546"/>
      <c r="K312" s="546"/>
      <c r="L312" s="546"/>
      <c r="M312" s="546"/>
      <c r="N312" s="546"/>
      <c r="O312" s="559"/>
      <c r="P312" s="550" t="s">
        <v>71</v>
      </c>
      <c r="Q312" s="551"/>
      <c r="R312" s="551"/>
      <c r="S312" s="551"/>
      <c r="T312" s="551"/>
      <c r="U312" s="551"/>
      <c r="V312" s="552"/>
      <c r="W312" s="37" t="s">
        <v>69</v>
      </c>
      <c r="X312" s="543">
        <f>IFERROR(SUM(X307:X310),"0")</f>
        <v>0</v>
      </c>
      <c r="Y312" s="543">
        <f>IFERROR(SUM(Y307:Y310),"0")</f>
        <v>0</v>
      </c>
      <c r="Z312" s="37"/>
      <c r="AA312" s="544"/>
      <c r="AB312" s="544"/>
      <c r="AC312" s="544"/>
    </row>
    <row r="313" spans="1:68" ht="14.25" hidden="1" customHeight="1" x14ac:dyDescent="0.25">
      <c r="A313" s="553" t="s">
        <v>163</v>
      </c>
      <c r="B313" s="546"/>
      <c r="C313" s="546"/>
      <c r="D313" s="546"/>
      <c r="E313" s="546"/>
      <c r="F313" s="546"/>
      <c r="G313" s="546"/>
      <c r="H313" s="546"/>
      <c r="I313" s="546"/>
      <c r="J313" s="546"/>
      <c r="K313" s="546"/>
      <c r="L313" s="546"/>
      <c r="M313" s="546"/>
      <c r="N313" s="546"/>
      <c r="O313" s="546"/>
      <c r="P313" s="546"/>
      <c r="Q313" s="546"/>
      <c r="R313" s="546"/>
      <c r="S313" s="546"/>
      <c r="T313" s="546"/>
      <c r="U313" s="546"/>
      <c r="V313" s="546"/>
      <c r="W313" s="546"/>
      <c r="X313" s="546"/>
      <c r="Y313" s="546"/>
      <c r="Z313" s="546"/>
      <c r="AA313" s="537"/>
      <c r="AB313" s="537"/>
      <c r="AC313" s="537"/>
    </row>
    <row r="314" spans="1:68" ht="27" hidden="1" customHeight="1" x14ac:dyDescent="0.25">
      <c r="A314" s="54" t="s">
        <v>492</v>
      </c>
      <c r="B314" s="54" t="s">
        <v>493</v>
      </c>
      <c r="C314" s="31">
        <v>4301060387</v>
      </c>
      <c r="D314" s="556">
        <v>4607091380880</v>
      </c>
      <c r="E314" s="557"/>
      <c r="F314" s="540">
        <v>1.4</v>
      </c>
      <c r="G314" s="32">
        <v>6</v>
      </c>
      <c r="H314" s="540">
        <v>8.4</v>
      </c>
      <c r="I314" s="540">
        <v>8.8940000000000001</v>
      </c>
      <c r="J314" s="32">
        <v>64</v>
      </c>
      <c r="K314" s="32" t="s">
        <v>102</v>
      </c>
      <c r="L314" s="32"/>
      <c r="M314" s="33" t="s">
        <v>77</v>
      </c>
      <c r="N314" s="33"/>
      <c r="O314" s="32">
        <v>30</v>
      </c>
      <c r="P314" s="69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8"/>
      <c r="R314" s="548"/>
      <c r="S314" s="548"/>
      <c r="T314" s="549"/>
      <c r="U314" s="34"/>
      <c r="V314" s="34"/>
      <c r="W314" s="35" t="s">
        <v>69</v>
      </c>
      <c r="X314" s="541">
        <v>0</v>
      </c>
      <c r="Y314" s="542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494</v>
      </c>
      <c r="AG314" s="64"/>
      <c r="AJ314" s="68"/>
      <c r="AK314" s="68">
        <v>0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495</v>
      </c>
      <c r="B315" s="54" t="s">
        <v>496</v>
      </c>
      <c r="C315" s="31">
        <v>4301060406</v>
      </c>
      <c r="D315" s="556">
        <v>4607091384482</v>
      </c>
      <c r="E315" s="557"/>
      <c r="F315" s="540">
        <v>1.3</v>
      </c>
      <c r="G315" s="32">
        <v>6</v>
      </c>
      <c r="H315" s="540">
        <v>7.8</v>
      </c>
      <c r="I315" s="540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86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8"/>
      <c r="R315" s="548"/>
      <c r="S315" s="548"/>
      <c r="T315" s="549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497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16.5" hidden="1" customHeight="1" x14ac:dyDescent="0.25">
      <c r="A316" s="54" t="s">
        <v>498</v>
      </c>
      <c r="B316" s="54" t="s">
        <v>499</v>
      </c>
      <c r="C316" s="31">
        <v>4301060484</v>
      </c>
      <c r="D316" s="556">
        <v>4607091380897</v>
      </c>
      <c r="E316" s="557"/>
      <c r="F316" s="540">
        <v>1.4</v>
      </c>
      <c r="G316" s="32">
        <v>6</v>
      </c>
      <c r="H316" s="540">
        <v>8.4</v>
      </c>
      <c r="I316" s="540">
        <v>8.8940000000000001</v>
      </c>
      <c r="J316" s="32">
        <v>64</v>
      </c>
      <c r="K316" s="32" t="s">
        <v>102</v>
      </c>
      <c r="L316" s="32"/>
      <c r="M316" s="33" t="s">
        <v>84</v>
      </c>
      <c r="N316" s="33"/>
      <c r="O316" s="32">
        <v>30</v>
      </c>
      <c r="P316" s="84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8"/>
      <c r="R316" s="548"/>
      <c r="S316" s="548"/>
      <c r="T316" s="549"/>
      <c r="U316" s="34"/>
      <c r="V316" s="34"/>
      <c r="W316" s="35" t="s">
        <v>69</v>
      </c>
      <c r="X316" s="541">
        <v>0</v>
      </c>
      <c r="Y316" s="54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500</v>
      </c>
      <c r="AG316" s="64"/>
      <c r="AJ316" s="68"/>
      <c r="AK316" s="68">
        <v>0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558"/>
      <c r="B317" s="546"/>
      <c r="C317" s="546"/>
      <c r="D317" s="546"/>
      <c r="E317" s="546"/>
      <c r="F317" s="546"/>
      <c r="G317" s="546"/>
      <c r="H317" s="546"/>
      <c r="I317" s="546"/>
      <c r="J317" s="546"/>
      <c r="K317" s="546"/>
      <c r="L317" s="546"/>
      <c r="M317" s="546"/>
      <c r="N317" s="546"/>
      <c r="O317" s="559"/>
      <c r="P317" s="550" t="s">
        <v>71</v>
      </c>
      <c r="Q317" s="551"/>
      <c r="R317" s="551"/>
      <c r="S317" s="551"/>
      <c r="T317" s="551"/>
      <c r="U317" s="551"/>
      <c r="V317" s="552"/>
      <c r="W317" s="37" t="s">
        <v>72</v>
      </c>
      <c r="X317" s="543">
        <f>IFERROR(X314/H314,"0")+IFERROR(X315/H315,"0")+IFERROR(X316/H316,"0")</f>
        <v>0</v>
      </c>
      <c r="Y317" s="543">
        <f>IFERROR(Y314/H314,"0")+IFERROR(Y315/H315,"0")+IFERROR(Y316/H316,"0")</f>
        <v>0</v>
      </c>
      <c r="Z317" s="543">
        <f>IFERROR(IF(Z314="",0,Z314),"0")+IFERROR(IF(Z315="",0,Z315),"0")+IFERROR(IF(Z316="",0,Z316),"0")</f>
        <v>0</v>
      </c>
      <c r="AA317" s="544"/>
      <c r="AB317" s="544"/>
      <c r="AC317" s="544"/>
    </row>
    <row r="318" spans="1:68" hidden="1" x14ac:dyDescent="0.2">
      <c r="A318" s="546"/>
      <c r="B318" s="546"/>
      <c r="C318" s="546"/>
      <c r="D318" s="546"/>
      <c r="E318" s="546"/>
      <c r="F318" s="546"/>
      <c r="G318" s="546"/>
      <c r="H318" s="546"/>
      <c r="I318" s="546"/>
      <c r="J318" s="546"/>
      <c r="K318" s="546"/>
      <c r="L318" s="546"/>
      <c r="M318" s="546"/>
      <c r="N318" s="546"/>
      <c r="O318" s="559"/>
      <c r="P318" s="550" t="s">
        <v>71</v>
      </c>
      <c r="Q318" s="551"/>
      <c r="R318" s="551"/>
      <c r="S318" s="551"/>
      <c r="T318" s="551"/>
      <c r="U318" s="551"/>
      <c r="V318" s="552"/>
      <c r="W318" s="37" t="s">
        <v>69</v>
      </c>
      <c r="X318" s="543">
        <f>IFERROR(SUM(X314:X316),"0")</f>
        <v>0</v>
      </c>
      <c r="Y318" s="543">
        <f>IFERROR(SUM(Y314:Y316),"0")</f>
        <v>0</v>
      </c>
      <c r="Z318" s="37"/>
      <c r="AA318" s="544"/>
      <c r="AB318" s="544"/>
      <c r="AC318" s="544"/>
    </row>
    <row r="319" spans="1:68" ht="14.25" hidden="1" customHeight="1" x14ac:dyDescent="0.25">
      <c r="A319" s="553" t="s">
        <v>91</v>
      </c>
      <c r="B319" s="546"/>
      <c r="C319" s="546"/>
      <c r="D319" s="546"/>
      <c r="E319" s="546"/>
      <c r="F319" s="546"/>
      <c r="G319" s="546"/>
      <c r="H319" s="546"/>
      <c r="I319" s="546"/>
      <c r="J319" s="546"/>
      <c r="K319" s="546"/>
      <c r="L319" s="546"/>
      <c r="M319" s="546"/>
      <c r="N319" s="546"/>
      <c r="O319" s="546"/>
      <c r="P319" s="546"/>
      <c r="Q319" s="546"/>
      <c r="R319" s="546"/>
      <c r="S319" s="546"/>
      <c r="T319" s="546"/>
      <c r="U319" s="546"/>
      <c r="V319" s="546"/>
      <c r="W319" s="546"/>
      <c r="X319" s="546"/>
      <c r="Y319" s="546"/>
      <c r="Z319" s="546"/>
      <c r="AA319" s="537"/>
      <c r="AB319" s="537"/>
      <c r="AC319" s="537"/>
    </row>
    <row r="320" spans="1:68" ht="27" hidden="1" customHeight="1" x14ac:dyDescent="0.25">
      <c r="A320" s="54" t="s">
        <v>501</v>
      </c>
      <c r="B320" s="54" t="s">
        <v>502</v>
      </c>
      <c r="C320" s="31">
        <v>4301030235</v>
      </c>
      <c r="D320" s="556">
        <v>4607091388381</v>
      </c>
      <c r="E320" s="557"/>
      <c r="F320" s="540">
        <v>0.38</v>
      </c>
      <c r="G320" s="32">
        <v>8</v>
      </c>
      <c r="H320" s="540">
        <v>3.04</v>
      </c>
      <c r="I320" s="540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68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8"/>
      <c r="R320" s="548"/>
      <c r="S320" s="548"/>
      <c r="T320" s="549"/>
      <c r="U320" s="34"/>
      <c r="V320" s="34"/>
      <c r="W320" s="35" t="s">
        <v>69</v>
      </c>
      <c r="X320" s="541">
        <v>0</v>
      </c>
      <c r="Y320" s="542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503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504</v>
      </c>
      <c r="B321" s="54" t="s">
        <v>505</v>
      </c>
      <c r="C321" s="31">
        <v>4301030232</v>
      </c>
      <c r="D321" s="556">
        <v>4607091388374</v>
      </c>
      <c r="E321" s="557"/>
      <c r="F321" s="540">
        <v>0.38</v>
      </c>
      <c r="G321" s="32">
        <v>8</v>
      </c>
      <c r="H321" s="540">
        <v>3.04</v>
      </c>
      <c r="I321" s="540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58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8"/>
      <c r="R321" s="548"/>
      <c r="S321" s="548"/>
      <c r="T321" s="549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503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506</v>
      </c>
      <c r="B322" s="54" t="s">
        <v>507</v>
      </c>
      <c r="C322" s="31">
        <v>4301032015</v>
      </c>
      <c r="D322" s="556">
        <v>4607091383102</v>
      </c>
      <c r="E322" s="557"/>
      <c r="F322" s="540">
        <v>0.17</v>
      </c>
      <c r="G322" s="32">
        <v>15</v>
      </c>
      <c r="H322" s="540">
        <v>2.5499999999999998</v>
      </c>
      <c r="I322" s="540">
        <v>2.9550000000000001</v>
      </c>
      <c r="J322" s="32">
        <v>182</v>
      </c>
      <c r="K322" s="32" t="s">
        <v>76</v>
      </c>
      <c r="L322" s="32" t="s">
        <v>186</v>
      </c>
      <c r="M322" s="33" t="s">
        <v>94</v>
      </c>
      <c r="N322" s="33"/>
      <c r="O322" s="32">
        <v>180</v>
      </c>
      <c r="P322" s="75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8"/>
      <c r="R322" s="548"/>
      <c r="S322" s="548"/>
      <c r="T322" s="549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508</v>
      </c>
      <c r="AG322" s="64"/>
      <c r="AJ322" s="68" t="s">
        <v>106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509</v>
      </c>
      <c r="B323" s="54" t="s">
        <v>510</v>
      </c>
      <c r="C323" s="31">
        <v>4301030233</v>
      </c>
      <c r="D323" s="556">
        <v>4607091388404</v>
      </c>
      <c r="E323" s="557"/>
      <c r="F323" s="540">
        <v>0.17</v>
      </c>
      <c r="G323" s="32">
        <v>15</v>
      </c>
      <c r="H323" s="540">
        <v>2.5499999999999998</v>
      </c>
      <c r="I323" s="540">
        <v>2.88</v>
      </c>
      <c r="J323" s="32">
        <v>182</v>
      </c>
      <c r="K323" s="32" t="s">
        <v>76</v>
      </c>
      <c r="L323" s="32" t="s">
        <v>186</v>
      </c>
      <c r="M323" s="33" t="s">
        <v>94</v>
      </c>
      <c r="N323" s="33"/>
      <c r="O323" s="32">
        <v>180</v>
      </c>
      <c r="P323" s="65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8"/>
      <c r="R323" s="548"/>
      <c r="S323" s="548"/>
      <c r="T323" s="549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503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idden="1" x14ac:dyDescent="0.2">
      <c r="A324" s="558"/>
      <c r="B324" s="546"/>
      <c r="C324" s="546"/>
      <c r="D324" s="546"/>
      <c r="E324" s="546"/>
      <c r="F324" s="546"/>
      <c r="G324" s="546"/>
      <c r="H324" s="546"/>
      <c r="I324" s="546"/>
      <c r="J324" s="546"/>
      <c r="K324" s="546"/>
      <c r="L324" s="546"/>
      <c r="M324" s="546"/>
      <c r="N324" s="546"/>
      <c r="O324" s="559"/>
      <c r="P324" s="550" t="s">
        <v>71</v>
      </c>
      <c r="Q324" s="551"/>
      <c r="R324" s="551"/>
      <c r="S324" s="551"/>
      <c r="T324" s="551"/>
      <c r="U324" s="551"/>
      <c r="V324" s="552"/>
      <c r="W324" s="37" t="s">
        <v>72</v>
      </c>
      <c r="X324" s="543">
        <f>IFERROR(X320/H320,"0")+IFERROR(X321/H321,"0")+IFERROR(X322/H322,"0")+IFERROR(X323/H323,"0")</f>
        <v>0</v>
      </c>
      <c r="Y324" s="543">
        <f>IFERROR(Y320/H320,"0")+IFERROR(Y321/H321,"0")+IFERROR(Y322/H322,"0")+IFERROR(Y323/H323,"0")</f>
        <v>0</v>
      </c>
      <c r="Z324" s="543">
        <f>IFERROR(IF(Z320="",0,Z320),"0")+IFERROR(IF(Z321="",0,Z321),"0")+IFERROR(IF(Z322="",0,Z322),"0")+IFERROR(IF(Z323="",0,Z323),"0")</f>
        <v>0</v>
      </c>
      <c r="AA324" s="544"/>
      <c r="AB324" s="544"/>
      <c r="AC324" s="544"/>
    </row>
    <row r="325" spans="1:68" hidden="1" x14ac:dyDescent="0.2">
      <c r="A325" s="546"/>
      <c r="B325" s="546"/>
      <c r="C325" s="546"/>
      <c r="D325" s="546"/>
      <c r="E325" s="546"/>
      <c r="F325" s="546"/>
      <c r="G325" s="546"/>
      <c r="H325" s="546"/>
      <c r="I325" s="546"/>
      <c r="J325" s="546"/>
      <c r="K325" s="546"/>
      <c r="L325" s="546"/>
      <c r="M325" s="546"/>
      <c r="N325" s="546"/>
      <c r="O325" s="559"/>
      <c r="P325" s="550" t="s">
        <v>71</v>
      </c>
      <c r="Q325" s="551"/>
      <c r="R325" s="551"/>
      <c r="S325" s="551"/>
      <c r="T325" s="551"/>
      <c r="U325" s="551"/>
      <c r="V325" s="552"/>
      <c r="W325" s="37" t="s">
        <v>69</v>
      </c>
      <c r="X325" s="543">
        <f>IFERROR(SUM(X320:X323),"0")</f>
        <v>0</v>
      </c>
      <c r="Y325" s="543">
        <f>IFERROR(SUM(Y320:Y323),"0")</f>
        <v>0</v>
      </c>
      <c r="Z325" s="37"/>
      <c r="AA325" s="544"/>
      <c r="AB325" s="544"/>
      <c r="AC325" s="544"/>
    </row>
    <row r="326" spans="1:68" ht="14.25" hidden="1" customHeight="1" x14ac:dyDescent="0.25">
      <c r="A326" s="553" t="s">
        <v>511</v>
      </c>
      <c r="B326" s="546"/>
      <c r="C326" s="546"/>
      <c r="D326" s="546"/>
      <c r="E326" s="546"/>
      <c r="F326" s="546"/>
      <c r="G326" s="546"/>
      <c r="H326" s="546"/>
      <c r="I326" s="546"/>
      <c r="J326" s="546"/>
      <c r="K326" s="546"/>
      <c r="L326" s="546"/>
      <c r="M326" s="546"/>
      <c r="N326" s="546"/>
      <c r="O326" s="546"/>
      <c r="P326" s="546"/>
      <c r="Q326" s="546"/>
      <c r="R326" s="546"/>
      <c r="S326" s="546"/>
      <c r="T326" s="546"/>
      <c r="U326" s="546"/>
      <c r="V326" s="546"/>
      <c r="W326" s="546"/>
      <c r="X326" s="546"/>
      <c r="Y326" s="546"/>
      <c r="Z326" s="546"/>
      <c r="AA326" s="537"/>
      <c r="AB326" s="537"/>
      <c r="AC326" s="537"/>
    </row>
    <row r="327" spans="1:68" ht="16.5" hidden="1" customHeight="1" x14ac:dyDescent="0.25">
      <c r="A327" s="54" t="s">
        <v>512</v>
      </c>
      <c r="B327" s="54" t="s">
        <v>513</v>
      </c>
      <c r="C327" s="31">
        <v>4301180007</v>
      </c>
      <c r="D327" s="556">
        <v>4680115881808</v>
      </c>
      <c r="E327" s="557"/>
      <c r="F327" s="540">
        <v>0.1</v>
      </c>
      <c r="G327" s="32">
        <v>20</v>
      </c>
      <c r="H327" s="540">
        <v>2</v>
      </c>
      <c r="I327" s="540">
        <v>2.2400000000000002</v>
      </c>
      <c r="J327" s="32">
        <v>238</v>
      </c>
      <c r="K327" s="32" t="s">
        <v>76</v>
      </c>
      <c r="L327" s="32"/>
      <c r="M327" s="33" t="s">
        <v>514</v>
      </c>
      <c r="N327" s="33"/>
      <c r="O327" s="32">
        <v>730</v>
      </c>
      <c r="P327" s="69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8"/>
      <c r="R327" s="548"/>
      <c r="S327" s="548"/>
      <c r="T327" s="549"/>
      <c r="U327" s="34"/>
      <c r="V327" s="34"/>
      <c r="W327" s="35" t="s">
        <v>69</v>
      </c>
      <c r="X327" s="541">
        <v>0</v>
      </c>
      <c r="Y327" s="542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515</v>
      </c>
      <c r="AG327" s="64"/>
      <c r="AJ327" s="68"/>
      <c r="AK327" s="68">
        <v>0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516</v>
      </c>
      <c r="B328" s="54" t="s">
        <v>517</v>
      </c>
      <c r="C328" s="31">
        <v>4301180006</v>
      </c>
      <c r="D328" s="556">
        <v>4680115881822</v>
      </c>
      <c r="E328" s="557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514</v>
      </c>
      <c r="N328" s="33"/>
      <c r="O328" s="32">
        <v>730</v>
      </c>
      <c r="P328" s="85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8"/>
      <c r="R328" s="548"/>
      <c r="S328" s="548"/>
      <c r="T328" s="549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515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518</v>
      </c>
      <c r="B329" s="54" t="s">
        <v>519</v>
      </c>
      <c r="C329" s="31">
        <v>4301180001</v>
      </c>
      <c r="D329" s="556">
        <v>4680115880016</v>
      </c>
      <c r="E329" s="557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514</v>
      </c>
      <c r="N329" s="33"/>
      <c r="O329" s="32">
        <v>730</v>
      </c>
      <c r="P329" s="83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8"/>
      <c r="R329" s="548"/>
      <c r="S329" s="548"/>
      <c r="T329" s="549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515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558"/>
      <c r="B330" s="546"/>
      <c r="C330" s="546"/>
      <c r="D330" s="546"/>
      <c r="E330" s="546"/>
      <c r="F330" s="546"/>
      <c r="G330" s="546"/>
      <c r="H330" s="546"/>
      <c r="I330" s="546"/>
      <c r="J330" s="546"/>
      <c r="K330" s="546"/>
      <c r="L330" s="546"/>
      <c r="M330" s="546"/>
      <c r="N330" s="546"/>
      <c r="O330" s="559"/>
      <c r="P330" s="550" t="s">
        <v>71</v>
      </c>
      <c r="Q330" s="551"/>
      <c r="R330" s="551"/>
      <c r="S330" s="551"/>
      <c r="T330" s="551"/>
      <c r="U330" s="551"/>
      <c r="V330" s="552"/>
      <c r="W330" s="37" t="s">
        <v>72</v>
      </c>
      <c r="X330" s="543">
        <f>IFERROR(X327/H327,"0")+IFERROR(X328/H328,"0")+IFERROR(X329/H329,"0")</f>
        <v>0</v>
      </c>
      <c r="Y330" s="543">
        <f>IFERROR(Y327/H327,"0")+IFERROR(Y328/H328,"0")+IFERROR(Y329/H329,"0")</f>
        <v>0</v>
      </c>
      <c r="Z330" s="543">
        <f>IFERROR(IF(Z327="",0,Z327),"0")+IFERROR(IF(Z328="",0,Z328),"0")+IFERROR(IF(Z329="",0,Z329),"0")</f>
        <v>0</v>
      </c>
      <c r="AA330" s="544"/>
      <c r="AB330" s="544"/>
      <c r="AC330" s="544"/>
    </row>
    <row r="331" spans="1:68" hidden="1" x14ac:dyDescent="0.2">
      <c r="A331" s="546"/>
      <c r="B331" s="546"/>
      <c r="C331" s="546"/>
      <c r="D331" s="546"/>
      <c r="E331" s="546"/>
      <c r="F331" s="546"/>
      <c r="G331" s="546"/>
      <c r="H331" s="546"/>
      <c r="I331" s="546"/>
      <c r="J331" s="546"/>
      <c r="K331" s="546"/>
      <c r="L331" s="546"/>
      <c r="M331" s="546"/>
      <c r="N331" s="546"/>
      <c r="O331" s="559"/>
      <c r="P331" s="550" t="s">
        <v>71</v>
      </c>
      <c r="Q331" s="551"/>
      <c r="R331" s="551"/>
      <c r="S331" s="551"/>
      <c r="T331" s="551"/>
      <c r="U331" s="551"/>
      <c r="V331" s="552"/>
      <c r="W331" s="37" t="s">
        <v>69</v>
      </c>
      <c r="X331" s="543">
        <f>IFERROR(SUM(X327:X329),"0")</f>
        <v>0</v>
      </c>
      <c r="Y331" s="543">
        <f>IFERROR(SUM(Y327:Y329),"0")</f>
        <v>0</v>
      </c>
      <c r="Z331" s="37"/>
      <c r="AA331" s="544"/>
      <c r="AB331" s="544"/>
      <c r="AC331" s="544"/>
    </row>
    <row r="332" spans="1:68" ht="16.5" hidden="1" customHeight="1" x14ac:dyDescent="0.25">
      <c r="A332" s="545" t="s">
        <v>520</v>
      </c>
      <c r="B332" s="546"/>
      <c r="C332" s="546"/>
      <c r="D332" s="546"/>
      <c r="E332" s="546"/>
      <c r="F332" s="546"/>
      <c r="G332" s="546"/>
      <c r="H332" s="546"/>
      <c r="I332" s="546"/>
      <c r="J332" s="546"/>
      <c r="K332" s="546"/>
      <c r="L332" s="546"/>
      <c r="M332" s="546"/>
      <c r="N332" s="546"/>
      <c r="O332" s="546"/>
      <c r="P332" s="546"/>
      <c r="Q332" s="546"/>
      <c r="R332" s="546"/>
      <c r="S332" s="546"/>
      <c r="T332" s="546"/>
      <c r="U332" s="546"/>
      <c r="V332" s="546"/>
      <c r="W332" s="546"/>
      <c r="X332" s="546"/>
      <c r="Y332" s="546"/>
      <c r="Z332" s="546"/>
      <c r="AA332" s="536"/>
      <c r="AB332" s="536"/>
      <c r="AC332" s="536"/>
    </row>
    <row r="333" spans="1:68" ht="14.25" hidden="1" customHeight="1" x14ac:dyDescent="0.25">
      <c r="A333" s="553" t="s">
        <v>73</v>
      </c>
      <c r="B333" s="546"/>
      <c r="C333" s="546"/>
      <c r="D333" s="546"/>
      <c r="E333" s="546"/>
      <c r="F333" s="546"/>
      <c r="G333" s="546"/>
      <c r="H333" s="546"/>
      <c r="I333" s="546"/>
      <c r="J333" s="546"/>
      <c r="K333" s="546"/>
      <c r="L333" s="546"/>
      <c r="M333" s="546"/>
      <c r="N333" s="546"/>
      <c r="O333" s="546"/>
      <c r="P333" s="546"/>
      <c r="Q333" s="546"/>
      <c r="R333" s="546"/>
      <c r="S333" s="546"/>
      <c r="T333" s="546"/>
      <c r="U333" s="546"/>
      <c r="V333" s="546"/>
      <c r="W333" s="546"/>
      <c r="X333" s="546"/>
      <c r="Y333" s="546"/>
      <c r="Z333" s="546"/>
      <c r="AA333" s="537"/>
      <c r="AB333" s="537"/>
      <c r="AC333" s="537"/>
    </row>
    <row r="334" spans="1:68" ht="27" hidden="1" customHeight="1" x14ac:dyDescent="0.25">
      <c r="A334" s="54" t="s">
        <v>521</v>
      </c>
      <c r="B334" s="54" t="s">
        <v>522</v>
      </c>
      <c r="C334" s="31">
        <v>4301051489</v>
      </c>
      <c r="D334" s="556">
        <v>4607091387919</v>
      </c>
      <c r="E334" s="557"/>
      <c r="F334" s="540">
        <v>1.35</v>
      </c>
      <c r="G334" s="32">
        <v>6</v>
      </c>
      <c r="H334" s="540">
        <v>8.1</v>
      </c>
      <c r="I334" s="540">
        <v>8.5939999999999994</v>
      </c>
      <c r="J334" s="32">
        <v>64</v>
      </c>
      <c r="K334" s="32" t="s">
        <v>102</v>
      </c>
      <c r="L334" s="32"/>
      <c r="M334" s="33" t="s">
        <v>84</v>
      </c>
      <c r="N334" s="33"/>
      <c r="O334" s="32">
        <v>45</v>
      </c>
      <c r="P334" s="82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8"/>
      <c r="R334" s="548"/>
      <c r="S334" s="548"/>
      <c r="T334" s="549"/>
      <c r="U334" s="34"/>
      <c r="V334" s="34"/>
      <c r="W334" s="35" t="s">
        <v>69</v>
      </c>
      <c r="X334" s="541">
        <v>0</v>
      </c>
      <c r="Y334" s="542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523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524</v>
      </c>
      <c r="B335" s="54" t="s">
        <v>525</v>
      </c>
      <c r="C335" s="31">
        <v>4301051461</v>
      </c>
      <c r="D335" s="556">
        <v>4680115883604</v>
      </c>
      <c r="E335" s="557"/>
      <c r="F335" s="540">
        <v>0.35</v>
      </c>
      <c r="G335" s="32">
        <v>6</v>
      </c>
      <c r="H335" s="540">
        <v>2.1</v>
      </c>
      <c r="I335" s="540">
        <v>2.3519999999999999</v>
      </c>
      <c r="J335" s="32">
        <v>182</v>
      </c>
      <c r="K335" s="32" t="s">
        <v>76</v>
      </c>
      <c r="L335" s="32" t="s">
        <v>186</v>
      </c>
      <c r="M335" s="33" t="s">
        <v>77</v>
      </c>
      <c r="N335" s="33"/>
      <c r="O335" s="32">
        <v>45</v>
      </c>
      <c r="P335" s="67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8"/>
      <c r="R335" s="548"/>
      <c r="S335" s="548"/>
      <c r="T335" s="549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526</v>
      </c>
      <c r="AG335" s="64"/>
      <c r="AJ335" s="68" t="s">
        <v>106</v>
      </c>
      <c r="AK335" s="68">
        <v>29.4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527</v>
      </c>
      <c r="B336" s="54" t="s">
        <v>528</v>
      </c>
      <c r="C336" s="31">
        <v>4301051864</v>
      </c>
      <c r="D336" s="556">
        <v>4680115883567</v>
      </c>
      <c r="E336" s="557"/>
      <c r="F336" s="540">
        <v>0.35</v>
      </c>
      <c r="G336" s="32">
        <v>6</v>
      </c>
      <c r="H336" s="540">
        <v>2.1</v>
      </c>
      <c r="I336" s="540">
        <v>2.34</v>
      </c>
      <c r="J336" s="32">
        <v>182</v>
      </c>
      <c r="K336" s="32" t="s">
        <v>76</v>
      </c>
      <c r="L336" s="32" t="s">
        <v>186</v>
      </c>
      <c r="M336" s="33" t="s">
        <v>84</v>
      </c>
      <c r="N336" s="33"/>
      <c r="O336" s="32">
        <v>40</v>
      </c>
      <c r="P336" s="6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8"/>
      <c r="R336" s="548"/>
      <c r="S336" s="548"/>
      <c r="T336" s="549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529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558"/>
      <c r="B337" s="546"/>
      <c r="C337" s="546"/>
      <c r="D337" s="546"/>
      <c r="E337" s="546"/>
      <c r="F337" s="546"/>
      <c r="G337" s="546"/>
      <c r="H337" s="546"/>
      <c r="I337" s="546"/>
      <c r="J337" s="546"/>
      <c r="K337" s="546"/>
      <c r="L337" s="546"/>
      <c r="M337" s="546"/>
      <c r="N337" s="546"/>
      <c r="O337" s="559"/>
      <c r="P337" s="550" t="s">
        <v>71</v>
      </c>
      <c r="Q337" s="551"/>
      <c r="R337" s="551"/>
      <c r="S337" s="551"/>
      <c r="T337" s="551"/>
      <c r="U337" s="551"/>
      <c r="V337" s="552"/>
      <c r="W337" s="37" t="s">
        <v>72</v>
      </c>
      <c r="X337" s="543">
        <f>IFERROR(X334/H334,"0")+IFERROR(X335/H335,"0")+IFERROR(X336/H336,"0")</f>
        <v>0</v>
      </c>
      <c r="Y337" s="543">
        <f>IFERROR(Y334/H334,"0")+IFERROR(Y335/H335,"0")+IFERROR(Y336/H336,"0")</f>
        <v>0</v>
      </c>
      <c r="Z337" s="543">
        <f>IFERROR(IF(Z334="",0,Z334),"0")+IFERROR(IF(Z335="",0,Z335),"0")+IFERROR(IF(Z336="",0,Z336),"0")</f>
        <v>0</v>
      </c>
      <c r="AA337" s="544"/>
      <c r="AB337" s="544"/>
      <c r="AC337" s="544"/>
    </row>
    <row r="338" spans="1:68" hidden="1" x14ac:dyDescent="0.2">
      <c r="A338" s="546"/>
      <c r="B338" s="546"/>
      <c r="C338" s="546"/>
      <c r="D338" s="546"/>
      <c r="E338" s="546"/>
      <c r="F338" s="546"/>
      <c r="G338" s="546"/>
      <c r="H338" s="546"/>
      <c r="I338" s="546"/>
      <c r="J338" s="546"/>
      <c r="K338" s="546"/>
      <c r="L338" s="546"/>
      <c r="M338" s="546"/>
      <c r="N338" s="546"/>
      <c r="O338" s="559"/>
      <c r="P338" s="550" t="s">
        <v>71</v>
      </c>
      <c r="Q338" s="551"/>
      <c r="R338" s="551"/>
      <c r="S338" s="551"/>
      <c r="T338" s="551"/>
      <c r="U338" s="551"/>
      <c r="V338" s="552"/>
      <c r="W338" s="37" t="s">
        <v>69</v>
      </c>
      <c r="X338" s="543">
        <f>IFERROR(SUM(X334:X336),"0")</f>
        <v>0</v>
      </c>
      <c r="Y338" s="543">
        <f>IFERROR(SUM(Y334:Y336),"0")</f>
        <v>0</v>
      </c>
      <c r="Z338" s="37"/>
      <c r="AA338" s="544"/>
      <c r="AB338" s="544"/>
      <c r="AC338" s="544"/>
    </row>
    <row r="339" spans="1:68" ht="27.75" hidden="1" customHeight="1" x14ac:dyDescent="0.2">
      <c r="A339" s="645" t="s">
        <v>530</v>
      </c>
      <c r="B339" s="646"/>
      <c r="C339" s="646"/>
      <c r="D339" s="646"/>
      <c r="E339" s="646"/>
      <c r="F339" s="646"/>
      <c r="G339" s="646"/>
      <c r="H339" s="646"/>
      <c r="I339" s="646"/>
      <c r="J339" s="646"/>
      <c r="K339" s="646"/>
      <c r="L339" s="646"/>
      <c r="M339" s="646"/>
      <c r="N339" s="646"/>
      <c r="O339" s="646"/>
      <c r="P339" s="646"/>
      <c r="Q339" s="646"/>
      <c r="R339" s="646"/>
      <c r="S339" s="646"/>
      <c r="T339" s="646"/>
      <c r="U339" s="646"/>
      <c r="V339" s="646"/>
      <c r="W339" s="646"/>
      <c r="X339" s="646"/>
      <c r="Y339" s="646"/>
      <c r="Z339" s="646"/>
      <c r="AA339" s="48"/>
      <c r="AB339" s="48"/>
      <c r="AC339" s="48"/>
    </row>
    <row r="340" spans="1:68" ht="16.5" hidden="1" customHeight="1" x14ac:dyDescent="0.25">
      <c r="A340" s="545" t="s">
        <v>531</v>
      </c>
      <c r="B340" s="546"/>
      <c r="C340" s="546"/>
      <c r="D340" s="546"/>
      <c r="E340" s="546"/>
      <c r="F340" s="546"/>
      <c r="G340" s="546"/>
      <c r="H340" s="546"/>
      <c r="I340" s="546"/>
      <c r="J340" s="546"/>
      <c r="K340" s="546"/>
      <c r="L340" s="546"/>
      <c r="M340" s="546"/>
      <c r="N340" s="546"/>
      <c r="O340" s="546"/>
      <c r="P340" s="546"/>
      <c r="Q340" s="546"/>
      <c r="R340" s="546"/>
      <c r="S340" s="546"/>
      <c r="T340" s="546"/>
      <c r="U340" s="546"/>
      <c r="V340" s="546"/>
      <c r="W340" s="546"/>
      <c r="X340" s="546"/>
      <c r="Y340" s="546"/>
      <c r="Z340" s="546"/>
      <c r="AA340" s="536"/>
      <c r="AB340" s="536"/>
      <c r="AC340" s="536"/>
    </row>
    <row r="341" spans="1:68" ht="14.25" hidden="1" customHeight="1" x14ac:dyDescent="0.25">
      <c r="A341" s="553" t="s">
        <v>99</v>
      </c>
      <c r="B341" s="546"/>
      <c r="C341" s="546"/>
      <c r="D341" s="546"/>
      <c r="E341" s="546"/>
      <c r="F341" s="546"/>
      <c r="G341" s="546"/>
      <c r="H341" s="546"/>
      <c r="I341" s="546"/>
      <c r="J341" s="546"/>
      <c r="K341" s="546"/>
      <c r="L341" s="546"/>
      <c r="M341" s="546"/>
      <c r="N341" s="546"/>
      <c r="O341" s="546"/>
      <c r="P341" s="546"/>
      <c r="Q341" s="546"/>
      <c r="R341" s="546"/>
      <c r="S341" s="546"/>
      <c r="T341" s="546"/>
      <c r="U341" s="546"/>
      <c r="V341" s="546"/>
      <c r="W341" s="546"/>
      <c r="X341" s="546"/>
      <c r="Y341" s="546"/>
      <c r="Z341" s="546"/>
      <c r="AA341" s="537"/>
      <c r="AB341" s="537"/>
      <c r="AC341" s="537"/>
    </row>
    <row r="342" spans="1:68" ht="37.5" customHeight="1" x14ac:dyDescent="0.25">
      <c r="A342" s="54" t="s">
        <v>532</v>
      </c>
      <c r="B342" s="54" t="s">
        <v>533</v>
      </c>
      <c r="C342" s="31">
        <v>4301011869</v>
      </c>
      <c r="D342" s="556">
        <v>4680115884847</v>
      </c>
      <c r="E342" s="557"/>
      <c r="F342" s="540">
        <v>2.5</v>
      </c>
      <c r="G342" s="32">
        <v>6</v>
      </c>
      <c r="H342" s="540">
        <v>15</v>
      </c>
      <c r="I342" s="540">
        <v>15.47</v>
      </c>
      <c r="J342" s="32">
        <v>48</v>
      </c>
      <c r="K342" s="32" t="s">
        <v>102</v>
      </c>
      <c r="L342" s="32" t="s">
        <v>103</v>
      </c>
      <c r="M342" s="33" t="s">
        <v>68</v>
      </c>
      <c r="N342" s="33"/>
      <c r="O342" s="32">
        <v>60</v>
      </c>
      <c r="P342" s="61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8"/>
      <c r="R342" s="548"/>
      <c r="S342" s="548"/>
      <c r="T342" s="549"/>
      <c r="U342" s="34"/>
      <c r="V342" s="34"/>
      <c r="W342" s="35" t="s">
        <v>69</v>
      </c>
      <c r="X342" s="541">
        <v>691</v>
      </c>
      <c r="Y342" s="542">
        <f t="shared" ref="Y342:Y348" si="31">IFERROR(IF(X342="",0,CEILING((X342/$H342),1)*$H342),"")</f>
        <v>705</v>
      </c>
      <c r="Z342" s="36">
        <f>IFERROR(IF(Y342=0,"",ROUNDUP(Y342/H342,0)*0.02175),"")</f>
        <v>1.0222499999999999</v>
      </c>
      <c r="AA342" s="56"/>
      <c r="AB342" s="57"/>
      <c r="AC342" s="389" t="s">
        <v>534</v>
      </c>
      <c r="AG342" s="64"/>
      <c r="AJ342" s="68" t="s">
        <v>106</v>
      </c>
      <c r="AK342" s="68">
        <v>120</v>
      </c>
      <c r="BB342" s="390" t="s">
        <v>1</v>
      </c>
      <c r="BM342" s="64">
        <f t="shared" ref="BM342:BM348" si="32">IFERROR(X342*I342/H342,"0")</f>
        <v>712.65133333333335</v>
      </c>
      <c r="BN342" s="64">
        <f t="shared" ref="BN342:BN348" si="33">IFERROR(Y342*I342/H342,"0")</f>
        <v>727.09</v>
      </c>
      <c r="BO342" s="64">
        <f t="shared" ref="BO342:BO348" si="34">IFERROR(1/J342*(X342/H342),"0")</f>
        <v>0.95972222222222225</v>
      </c>
      <c r="BP342" s="64">
        <f t="shared" ref="BP342:BP348" si="35">IFERROR(1/J342*(Y342/H342),"0")</f>
        <v>0.97916666666666663</v>
      </c>
    </row>
    <row r="343" spans="1:68" ht="27" hidden="1" customHeight="1" x14ac:dyDescent="0.25">
      <c r="A343" s="54" t="s">
        <v>535</v>
      </c>
      <c r="B343" s="54" t="s">
        <v>536</v>
      </c>
      <c r="C343" s="31">
        <v>4301011870</v>
      </c>
      <c r="D343" s="556">
        <v>4680115884854</v>
      </c>
      <c r="E343" s="557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68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8"/>
      <c r="R343" s="548"/>
      <c r="S343" s="548"/>
      <c r="T343" s="549"/>
      <c r="U343" s="34"/>
      <c r="V343" s="34"/>
      <c r="W343" s="35" t="s">
        <v>69</v>
      </c>
      <c r="X343" s="541">
        <v>0</v>
      </c>
      <c r="Y343" s="542">
        <f t="shared" si="31"/>
        <v>0</v>
      </c>
      <c r="Z343" s="36" t="str">
        <f>IFERROR(IF(Y343=0,"",ROUNDUP(Y343/H343,0)*0.02175),"")</f>
        <v/>
      </c>
      <c r="AA343" s="56"/>
      <c r="AB343" s="57"/>
      <c r="AC343" s="391" t="s">
        <v>537</v>
      </c>
      <c r="AG343" s="64"/>
      <c r="AJ343" s="68" t="s">
        <v>106</v>
      </c>
      <c r="AK343" s="68">
        <v>120</v>
      </c>
      <c r="BB343" s="392" t="s">
        <v>1</v>
      </c>
      <c r="BM343" s="64">
        <f t="shared" si="32"/>
        <v>0</v>
      </c>
      <c r="BN343" s="64">
        <f t="shared" si="33"/>
        <v>0</v>
      </c>
      <c r="BO343" s="64">
        <f t="shared" si="34"/>
        <v>0</v>
      </c>
      <c r="BP343" s="64">
        <f t="shared" si="35"/>
        <v>0</v>
      </c>
    </row>
    <row r="344" spans="1:68" ht="37.5" customHeight="1" x14ac:dyDescent="0.25">
      <c r="A344" s="54" t="s">
        <v>538</v>
      </c>
      <c r="B344" s="54" t="s">
        <v>539</v>
      </c>
      <c r="C344" s="31">
        <v>4301011867</v>
      </c>
      <c r="D344" s="556">
        <v>4680115884830</v>
      </c>
      <c r="E344" s="557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61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8"/>
      <c r="R344" s="548"/>
      <c r="S344" s="548"/>
      <c r="T344" s="549"/>
      <c r="U344" s="34"/>
      <c r="V344" s="34"/>
      <c r="W344" s="35" t="s">
        <v>69</v>
      </c>
      <c r="X344" s="541">
        <v>311</v>
      </c>
      <c r="Y344" s="542">
        <f t="shared" si="31"/>
        <v>315</v>
      </c>
      <c r="Z344" s="36">
        <f>IFERROR(IF(Y344=0,"",ROUNDUP(Y344/H344,0)*0.02175),"")</f>
        <v>0.45674999999999999</v>
      </c>
      <c r="AA344" s="56"/>
      <c r="AB344" s="57"/>
      <c r="AC344" s="393" t="s">
        <v>540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320.74466666666666</v>
      </c>
      <c r="BN344" s="64">
        <f t="shared" si="33"/>
        <v>324.87</v>
      </c>
      <c r="BO344" s="64">
        <f t="shared" si="34"/>
        <v>0.43194444444444446</v>
      </c>
      <c r="BP344" s="64">
        <f t="shared" si="35"/>
        <v>0.4375</v>
      </c>
    </row>
    <row r="345" spans="1:68" ht="27" customHeight="1" x14ac:dyDescent="0.25">
      <c r="A345" s="54" t="s">
        <v>541</v>
      </c>
      <c r="B345" s="54" t="s">
        <v>542</v>
      </c>
      <c r="C345" s="31">
        <v>4301012215</v>
      </c>
      <c r="D345" s="556">
        <v>4680115887046</v>
      </c>
      <c r="E345" s="557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68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8"/>
      <c r="R345" s="548"/>
      <c r="S345" s="548"/>
      <c r="T345" s="549"/>
      <c r="U345" s="34"/>
      <c r="V345" s="34"/>
      <c r="W345" s="35" t="s">
        <v>69</v>
      </c>
      <c r="X345" s="541">
        <v>199</v>
      </c>
      <c r="Y345" s="542">
        <f t="shared" si="31"/>
        <v>210</v>
      </c>
      <c r="Z345" s="36">
        <f>IFERROR(IF(Y345=0,"",ROUNDUP(Y345/H345,0)*0.02175),"")</f>
        <v>0.30449999999999999</v>
      </c>
      <c r="AA345" s="56"/>
      <c r="AB345" s="57"/>
      <c r="AC345" s="395" t="s">
        <v>543</v>
      </c>
      <c r="AG345" s="64"/>
      <c r="AJ345" s="68"/>
      <c r="AK345" s="68">
        <v>0</v>
      </c>
      <c r="BB345" s="396" t="s">
        <v>1</v>
      </c>
      <c r="BM345" s="64">
        <f t="shared" si="32"/>
        <v>205.23533333333336</v>
      </c>
      <c r="BN345" s="64">
        <f t="shared" si="33"/>
        <v>216.58</v>
      </c>
      <c r="BO345" s="64">
        <f t="shared" si="34"/>
        <v>0.27638888888888891</v>
      </c>
      <c r="BP345" s="64">
        <f t="shared" si="35"/>
        <v>0.29166666666666663</v>
      </c>
    </row>
    <row r="346" spans="1:68" ht="27" hidden="1" customHeight="1" x14ac:dyDescent="0.25">
      <c r="A346" s="54" t="s">
        <v>544</v>
      </c>
      <c r="B346" s="54" t="s">
        <v>545</v>
      </c>
      <c r="C346" s="31">
        <v>4301011433</v>
      </c>
      <c r="D346" s="556">
        <v>4680115882638</v>
      </c>
      <c r="E346" s="557"/>
      <c r="F346" s="540">
        <v>0.4</v>
      </c>
      <c r="G346" s="32">
        <v>10</v>
      </c>
      <c r="H346" s="540">
        <v>4</v>
      </c>
      <c r="I346" s="540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58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8"/>
      <c r="R346" s="548"/>
      <c r="S346" s="548"/>
      <c r="T346" s="549"/>
      <c r="U346" s="34"/>
      <c r="V346" s="34"/>
      <c r="W346" s="35" t="s">
        <v>69</v>
      </c>
      <c r="X346" s="541">
        <v>0</v>
      </c>
      <c r="Y346" s="542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546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547</v>
      </c>
      <c r="B347" s="54" t="s">
        <v>548</v>
      </c>
      <c r="C347" s="31">
        <v>4301011952</v>
      </c>
      <c r="D347" s="556">
        <v>4680115884922</v>
      </c>
      <c r="E347" s="557"/>
      <c r="F347" s="540">
        <v>0.5</v>
      </c>
      <c r="G347" s="32">
        <v>10</v>
      </c>
      <c r="H347" s="540">
        <v>5</v>
      </c>
      <c r="I347" s="540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62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8"/>
      <c r="R347" s="548"/>
      <c r="S347" s="548"/>
      <c r="T347" s="549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537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hidden="1" customHeight="1" x14ac:dyDescent="0.25">
      <c r="A348" s="54" t="s">
        <v>549</v>
      </c>
      <c r="B348" s="54" t="s">
        <v>550</v>
      </c>
      <c r="C348" s="31">
        <v>4301011868</v>
      </c>
      <c r="D348" s="556">
        <v>4680115884861</v>
      </c>
      <c r="E348" s="557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65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8"/>
      <c r="R348" s="548"/>
      <c r="S348" s="548"/>
      <c r="T348" s="549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540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58"/>
      <c r="B349" s="546"/>
      <c r="C349" s="546"/>
      <c r="D349" s="546"/>
      <c r="E349" s="546"/>
      <c r="F349" s="546"/>
      <c r="G349" s="546"/>
      <c r="H349" s="546"/>
      <c r="I349" s="546"/>
      <c r="J349" s="546"/>
      <c r="K349" s="546"/>
      <c r="L349" s="546"/>
      <c r="M349" s="546"/>
      <c r="N349" s="546"/>
      <c r="O349" s="559"/>
      <c r="P349" s="550" t="s">
        <v>71</v>
      </c>
      <c r="Q349" s="551"/>
      <c r="R349" s="551"/>
      <c r="S349" s="551"/>
      <c r="T349" s="551"/>
      <c r="U349" s="551"/>
      <c r="V349" s="552"/>
      <c r="W349" s="37" t="s">
        <v>72</v>
      </c>
      <c r="X349" s="543">
        <f>IFERROR(X342/H342,"0")+IFERROR(X343/H343,"0")+IFERROR(X344/H344,"0")+IFERROR(X345/H345,"0")+IFERROR(X346/H346,"0")+IFERROR(X347/H347,"0")+IFERROR(X348/H348,"0")</f>
        <v>80.066666666666677</v>
      </c>
      <c r="Y349" s="543">
        <f>IFERROR(Y342/H342,"0")+IFERROR(Y343/H343,"0")+IFERROR(Y344/H344,"0")+IFERROR(Y345/H345,"0")+IFERROR(Y346/H346,"0")+IFERROR(Y347/H347,"0")+IFERROR(Y348/H348,"0")</f>
        <v>82</v>
      </c>
      <c r="Z349" s="543">
        <f>IFERROR(IF(Z342="",0,Z342),"0")+IFERROR(IF(Z343="",0,Z343),"0")+IFERROR(IF(Z344="",0,Z344),"0")+IFERROR(IF(Z345="",0,Z345),"0")+IFERROR(IF(Z346="",0,Z346),"0")+IFERROR(IF(Z347="",0,Z347),"0")+IFERROR(IF(Z348="",0,Z348),"0")</f>
        <v>1.7834999999999999</v>
      </c>
      <c r="AA349" s="544"/>
      <c r="AB349" s="544"/>
      <c r="AC349" s="544"/>
    </row>
    <row r="350" spans="1:68" x14ac:dyDescent="0.2">
      <c r="A350" s="546"/>
      <c r="B350" s="546"/>
      <c r="C350" s="546"/>
      <c r="D350" s="546"/>
      <c r="E350" s="546"/>
      <c r="F350" s="546"/>
      <c r="G350" s="546"/>
      <c r="H350" s="546"/>
      <c r="I350" s="546"/>
      <c r="J350" s="546"/>
      <c r="K350" s="546"/>
      <c r="L350" s="546"/>
      <c r="M350" s="546"/>
      <c r="N350" s="546"/>
      <c r="O350" s="559"/>
      <c r="P350" s="550" t="s">
        <v>71</v>
      </c>
      <c r="Q350" s="551"/>
      <c r="R350" s="551"/>
      <c r="S350" s="551"/>
      <c r="T350" s="551"/>
      <c r="U350" s="551"/>
      <c r="V350" s="552"/>
      <c r="W350" s="37" t="s">
        <v>69</v>
      </c>
      <c r="X350" s="543">
        <f>IFERROR(SUM(X342:X348),"0")</f>
        <v>1201</v>
      </c>
      <c r="Y350" s="543">
        <f>IFERROR(SUM(Y342:Y348),"0")</f>
        <v>1230</v>
      </c>
      <c r="Z350" s="37"/>
      <c r="AA350" s="544"/>
      <c r="AB350" s="544"/>
      <c r="AC350" s="544"/>
    </row>
    <row r="351" spans="1:68" ht="14.25" hidden="1" customHeight="1" x14ac:dyDescent="0.25">
      <c r="A351" s="553" t="s">
        <v>135</v>
      </c>
      <c r="B351" s="546"/>
      <c r="C351" s="546"/>
      <c r="D351" s="546"/>
      <c r="E351" s="546"/>
      <c r="F351" s="546"/>
      <c r="G351" s="546"/>
      <c r="H351" s="546"/>
      <c r="I351" s="546"/>
      <c r="J351" s="546"/>
      <c r="K351" s="546"/>
      <c r="L351" s="546"/>
      <c r="M351" s="546"/>
      <c r="N351" s="546"/>
      <c r="O351" s="546"/>
      <c r="P351" s="546"/>
      <c r="Q351" s="546"/>
      <c r="R351" s="546"/>
      <c r="S351" s="546"/>
      <c r="T351" s="546"/>
      <c r="U351" s="546"/>
      <c r="V351" s="546"/>
      <c r="W351" s="546"/>
      <c r="X351" s="546"/>
      <c r="Y351" s="546"/>
      <c r="Z351" s="546"/>
      <c r="AA351" s="537"/>
      <c r="AB351" s="537"/>
      <c r="AC351" s="537"/>
    </row>
    <row r="352" spans="1:68" ht="27" customHeight="1" x14ac:dyDescent="0.25">
      <c r="A352" s="54" t="s">
        <v>551</v>
      </c>
      <c r="B352" s="54" t="s">
        <v>552</v>
      </c>
      <c r="C352" s="31">
        <v>4301020178</v>
      </c>
      <c r="D352" s="556">
        <v>4607091383980</v>
      </c>
      <c r="E352" s="557"/>
      <c r="F352" s="540">
        <v>2.5</v>
      </c>
      <c r="G352" s="32">
        <v>6</v>
      </c>
      <c r="H352" s="540">
        <v>15</v>
      </c>
      <c r="I352" s="540">
        <v>15.47</v>
      </c>
      <c r="J352" s="32">
        <v>48</v>
      </c>
      <c r="K352" s="32" t="s">
        <v>102</v>
      </c>
      <c r="L352" s="32" t="s">
        <v>103</v>
      </c>
      <c r="M352" s="33" t="s">
        <v>104</v>
      </c>
      <c r="N352" s="33"/>
      <c r="O352" s="32">
        <v>50</v>
      </c>
      <c r="P352" s="79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8"/>
      <c r="R352" s="548"/>
      <c r="S352" s="548"/>
      <c r="T352" s="549"/>
      <c r="U352" s="34"/>
      <c r="V352" s="34"/>
      <c r="W352" s="35" t="s">
        <v>69</v>
      </c>
      <c r="X352" s="541">
        <v>587</v>
      </c>
      <c r="Y352" s="542">
        <f>IFERROR(IF(X352="",0,CEILING((X352/$H352),1)*$H352),"")</f>
        <v>600</v>
      </c>
      <c r="Z352" s="36">
        <f>IFERROR(IF(Y352=0,"",ROUNDUP(Y352/H352,0)*0.02175),"")</f>
        <v>0.86999999999999988</v>
      </c>
      <c r="AA352" s="56"/>
      <c r="AB352" s="57"/>
      <c r="AC352" s="403" t="s">
        <v>553</v>
      </c>
      <c r="AG352" s="64"/>
      <c r="AJ352" s="68" t="s">
        <v>106</v>
      </c>
      <c r="AK352" s="68">
        <v>120</v>
      </c>
      <c r="BB352" s="404" t="s">
        <v>1</v>
      </c>
      <c r="BM352" s="64">
        <f>IFERROR(X352*I352/H352,"0")</f>
        <v>605.39266666666674</v>
      </c>
      <c r="BN352" s="64">
        <f>IFERROR(Y352*I352/H352,"0")</f>
        <v>618.79999999999995</v>
      </c>
      <c r="BO352" s="64">
        <f>IFERROR(1/J352*(X352/H352),"0")</f>
        <v>0.81527777777777777</v>
      </c>
      <c r="BP352" s="64">
        <f>IFERROR(1/J352*(Y352/H352),"0")</f>
        <v>0.83333333333333326</v>
      </c>
    </row>
    <row r="353" spans="1:68" ht="27" hidden="1" customHeight="1" x14ac:dyDescent="0.25">
      <c r="A353" s="54" t="s">
        <v>554</v>
      </c>
      <c r="B353" s="54" t="s">
        <v>555</v>
      </c>
      <c r="C353" s="31">
        <v>4301020179</v>
      </c>
      <c r="D353" s="556">
        <v>4607091384178</v>
      </c>
      <c r="E353" s="557"/>
      <c r="F353" s="540">
        <v>0.4</v>
      </c>
      <c r="G353" s="32">
        <v>10</v>
      </c>
      <c r="H353" s="540">
        <v>4</v>
      </c>
      <c r="I353" s="540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79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8"/>
      <c r="R353" s="548"/>
      <c r="S353" s="548"/>
      <c r="T353" s="549"/>
      <c r="U353" s="34"/>
      <c r="V353" s="34"/>
      <c r="W353" s="35" t="s">
        <v>69</v>
      </c>
      <c r="X353" s="541">
        <v>0</v>
      </c>
      <c r="Y353" s="542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556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58"/>
      <c r="B354" s="546"/>
      <c r="C354" s="546"/>
      <c r="D354" s="546"/>
      <c r="E354" s="546"/>
      <c r="F354" s="546"/>
      <c r="G354" s="546"/>
      <c r="H354" s="546"/>
      <c r="I354" s="546"/>
      <c r="J354" s="546"/>
      <c r="K354" s="546"/>
      <c r="L354" s="546"/>
      <c r="M354" s="546"/>
      <c r="N354" s="546"/>
      <c r="O354" s="559"/>
      <c r="P354" s="550" t="s">
        <v>71</v>
      </c>
      <c r="Q354" s="551"/>
      <c r="R354" s="551"/>
      <c r="S354" s="551"/>
      <c r="T354" s="551"/>
      <c r="U354" s="551"/>
      <c r="V354" s="552"/>
      <c r="W354" s="37" t="s">
        <v>72</v>
      </c>
      <c r="X354" s="543">
        <f>IFERROR(X352/H352,"0")+IFERROR(X353/H353,"0")</f>
        <v>39.133333333333333</v>
      </c>
      <c r="Y354" s="543">
        <f>IFERROR(Y352/H352,"0")+IFERROR(Y353/H353,"0")</f>
        <v>40</v>
      </c>
      <c r="Z354" s="543">
        <f>IFERROR(IF(Z352="",0,Z352),"0")+IFERROR(IF(Z353="",0,Z353),"0")</f>
        <v>0.86999999999999988</v>
      </c>
      <c r="AA354" s="544"/>
      <c r="AB354" s="544"/>
      <c r="AC354" s="544"/>
    </row>
    <row r="355" spans="1:68" x14ac:dyDescent="0.2">
      <c r="A355" s="546"/>
      <c r="B355" s="546"/>
      <c r="C355" s="546"/>
      <c r="D355" s="546"/>
      <c r="E355" s="546"/>
      <c r="F355" s="546"/>
      <c r="G355" s="546"/>
      <c r="H355" s="546"/>
      <c r="I355" s="546"/>
      <c r="J355" s="546"/>
      <c r="K355" s="546"/>
      <c r="L355" s="546"/>
      <c r="M355" s="546"/>
      <c r="N355" s="546"/>
      <c r="O355" s="559"/>
      <c r="P355" s="550" t="s">
        <v>71</v>
      </c>
      <c r="Q355" s="551"/>
      <c r="R355" s="551"/>
      <c r="S355" s="551"/>
      <c r="T355" s="551"/>
      <c r="U355" s="551"/>
      <c r="V355" s="552"/>
      <c r="W355" s="37" t="s">
        <v>69</v>
      </c>
      <c r="X355" s="543">
        <f>IFERROR(SUM(X352:X353),"0")</f>
        <v>587</v>
      </c>
      <c r="Y355" s="543">
        <f>IFERROR(SUM(Y352:Y353),"0")</f>
        <v>600</v>
      </c>
      <c r="Z355" s="37"/>
      <c r="AA355" s="544"/>
      <c r="AB355" s="544"/>
      <c r="AC355" s="544"/>
    </row>
    <row r="356" spans="1:68" ht="14.25" hidden="1" customHeight="1" x14ac:dyDescent="0.25">
      <c r="A356" s="553" t="s">
        <v>73</v>
      </c>
      <c r="B356" s="546"/>
      <c r="C356" s="546"/>
      <c r="D356" s="546"/>
      <c r="E356" s="546"/>
      <c r="F356" s="546"/>
      <c r="G356" s="546"/>
      <c r="H356" s="546"/>
      <c r="I356" s="546"/>
      <c r="J356" s="546"/>
      <c r="K356" s="546"/>
      <c r="L356" s="546"/>
      <c r="M356" s="546"/>
      <c r="N356" s="546"/>
      <c r="O356" s="546"/>
      <c r="P356" s="546"/>
      <c r="Q356" s="546"/>
      <c r="R356" s="546"/>
      <c r="S356" s="546"/>
      <c r="T356" s="546"/>
      <c r="U356" s="546"/>
      <c r="V356" s="546"/>
      <c r="W356" s="546"/>
      <c r="X356" s="546"/>
      <c r="Y356" s="546"/>
      <c r="Z356" s="546"/>
      <c r="AA356" s="537"/>
      <c r="AB356" s="537"/>
      <c r="AC356" s="537"/>
    </row>
    <row r="357" spans="1:68" ht="27" hidden="1" customHeight="1" x14ac:dyDescent="0.25">
      <c r="A357" s="54" t="s">
        <v>557</v>
      </c>
      <c r="B357" s="54" t="s">
        <v>558</v>
      </c>
      <c r="C357" s="31">
        <v>4301051903</v>
      </c>
      <c r="D357" s="556">
        <v>4607091383928</v>
      </c>
      <c r="E357" s="557"/>
      <c r="F357" s="540">
        <v>1.5</v>
      </c>
      <c r="G357" s="32">
        <v>6</v>
      </c>
      <c r="H357" s="540">
        <v>9</v>
      </c>
      <c r="I357" s="540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61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8"/>
      <c r="R357" s="548"/>
      <c r="S357" s="548"/>
      <c r="T357" s="549"/>
      <c r="U357" s="34"/>
      <c r="V357" s="34"/>
      <c r="W357" s="35" t="s">
        <v>69</v>
      </c>
      <c r="X357" s="541">
        <v>0</v>
      </c>
      <c r="Y357" s="542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559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560</v>
      </c>
      <c r="B358" s="54" t="s">
        <v>561</v>
      </c>
      <c r="C358" s="31">
        <v>4301051897</v>
      </c>
      <c r="D358" s="556">
        <v>4607091384260</v>
      </c>
      <c r="E358" s="557"/>
      <c r="F358" s="540">
        <v>1.5</v>
      </c>
      <c r="G358" s="32">
        <v>6</v>
      </c>
      <c r="H358" s="540">
        <v>9</v>
      </c>
      <c r="I358" s="540">
        <v>9.4939999999999998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77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8"/>
      <c r="R358" s="548"/>
      <c r="S358" s="548"/>
      <c r="T358" s="549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562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558"/>
      <c r="B359" s="546"/>
      <c r="C359" s="546"/>
      <c r="D359" s="546"/>
      <c r="E359" s="546"/>
      <c r="F359" s="546"/>
      <c r="G359" s="546"/>
      <c r="H359" s="546"/>
      <c r="I359" s="546"/>
      <c r="J359" s="546"/>
      <c r="K359" s="546"/>
      <c r="L359" s="546"/>
      <c r="M359" s="546"/>
      <c r="N359" s="546"/>
      <c r="O359" s="559"/>
      <c r="P359" s="550" t="s">
        <v>71</v>
      </c>
      <c r="Q359" s="551"/>
      <c r="R359" s="551"/>
      <c r="S359" s="551"/>
      <c r="T359" s="551"/>
      <c r="U359" s="551"/>
      <c r="V359" s="552"/>
      <c r="W359" s="37" t="s">
        <v>72</v>
      </c>
      <c r="X359" s="543">
        <f>IFERROR(X357/H357,"0")+IFERROR(X358/H358,"0")</f>
        <v>0</v>
      </c>
      <c r="Y359" s="543">
        <f>IFERROR(Y357/H357,"0")+IFERROR(Y358/H358,"0")</f>
        <v>0</v>
      </c>
      <c r="Z359" s="543">
        <f>IFERROR(IF(Z357="",0,Z357),"0")+IFERROR(IF(Z358="",0,Z358),"0")</f>
        <v>0</v>
      </c>
      <c r="AA359" s="544"/>
      <c r="AB359" s="544"/>
      <c r="AC359" s="544"/>
    </row>
    <row r="360" spans="1:68" hidden="1" x14ac:dyDescent="0.2">
      <c r="A360" s="546"/>
      <c r="B360" s="546"/>
      <c r="C360" s="546"/>
      <c r="D360" s="546"/>
      <c r="E360" s="546"/>
      <c r="F360" s="546"/>
      <c r="G360" s="546"/>
      <c r="H360" s="546"/>
      <c r="I360" s="546"/>
      <c r="J360" s="546"/>
      <c r="K360" s="546"/>
      <c r="L360" s="546"/>
      <c r="M360" s="546"/>
      <c r="N360" s="546"/>
      <c r="O360" s="559"/>
      <c r="P360" s="550" t="s">
        <v>71</v>
      </c>
      <c r="Q360" s="551"/>
      <c r="R360" s="551"/>
      <c r="S360" s="551"/>
      <c r="T360" s="551"/>
      <c r="U360" s="551"/>
      <c r="V360" s="552"/>
      <c r="W360" s="37" t="s">
        <v>69</v>
      </c>
      <c r="X360" s="543">
        <f>IFERROR(SUM(X357:X358),"0")</f>
        <v>0</v>
      </c>
      <c r="Y360" s="543">
        <f>IFERROR(SUM(Y357:Y358),"0")</f>
        <v>0</v>
      </c>
      <c r="Z360" s="37"/>
      <c r="AA360" s="544"/>
      <c r="AB360" s="544"/>
      <c r="AC360" s="544"/>
    </row>
    <row r="361" spans="1:68" ht="14.25" hidden="1" customHeight="1" x14ac:dyDescent="0.25">
      <c r="A361" s="553" t="s">
        <v>163</v>
      </c>
      <c r="B361" s="546"/>
      <c r="C361" s="546"/>
      <c r="D361" s="546"/>
      <c r="E361" s="546"/>
      <c r="F361" s="546"/>
      <c r="G361" s="546"/>
      <c r="H361" s="546"/>
      <c r="I361" s="546"/>
      <c r="J361" s="546"/>
      <c r="K361" s="546"/>
      <c r="L361" s="546"/>
      <c r="M361" s="546"/>
      <c r="N361" s="546"/>
      <c r="O361" s="546"/>
      <c r="P361" s="546"/>
      <c r="Q361" s="546"/>
      <c r="R361" s="546"/>
      <c r="S361" s="546"/>
      <c r="T361" s="546"/>
      <c r="U361" s="546"/>
      <c r="V361" s="546"/>
      <c r="W361" s="546"/>
      <c r="X361" s="546"/>
      <c r="Y361" s="546"/>
      <c r="Z361" s="546"/>
      <c r="AA361" s="537"/>
      <c r="AB361" s="537"/>
      <c r="AC361" s="537"/>
    </row>
    <row r="362" spans="1:68" ht="16.5" hidden="1" customHeight="1" x14ac:dyDescent="0.25">
      <c r="A362" s="54" t="s">
        <v>563</v>
      </c>
      <c r="B362" s="54" t="s">
        <v>564</v>
      </c>
      <c r="C362" s="31">
        <v>4301060524</v>
      </c>
      <c r="D362" s="556">
        <v>4607091384673</v>
      </c>
      <c r="E362" s="557"/>
      <c r="F362" s="540">
        <v>1.5</v>
      </c>
      <c r="G362" s="32">
        <v>6</v>
      </c>
      <c r="H362" s="540">
        <v>9</v>
      </c>
      <c r="I362" s="540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61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8"/>
      <c r="R362" s="548"/>
      <c r="S362" s="548"/>
      <c r="T362" s="549"/>
      <c r="U362" s="34"/>
      <c r="V362" s="34"/>
      <c r="W362" s="35" t="s">
        <v>69</v>
      </c>
      <c r="X362" s="541">
        <v>0</v>
      </c>
      <c r="Y362" s="542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1" t="s">
        <v>565</v>
      </c>
      <c r="AG362" s="64"/>
      <c r="AJ362" s="68"/>
      <c r="AK362" s="68">
        <v>0</v>
      </c>
      <c r="BB362" s="412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idden="1" x14ac:dyDescent="0.2">
      <c r="A363" s="558"/>
      <c r="B363" s="546"/>
      <c r="C363" s="546"/>
      <c r="D363" s="546"/>
      <c r="E363" s="546"/>
      <c r="F363" s="546"/>
      <c r="G363" s="546"/>
      <c r="H363" s="546"/>
      <c r="I363" s="546"/>
      <c r="J363" s="546"/>
      <c r="K363" s="546"/>
      <c r="L363" s="546"/>
      <c r="M363" s="546"/>
      <c r="N363" s="546"/>
      <c r="O363" s="559"/>
      <c r="P363" s="550" t="s">
        <v>71</v>
      </c>
      <c r="Q363" s="551"/>
      <c r="R363" s="551"/>
      <c r="S363" s="551"/>
      <c r="T363" s="551"/>
      <c r="U363" s="551"/>
      <c r="V363" s="552"/>
      <c r="W363" s="37" t="s">
        <v>72</v>
      </c>
      <c r="X363" s="543">
        <f>IFERROR(X362/H362,"0")</f>
        <v>0</v>
      </c>
      <c r="Y363" s="543">
        <f>IFERROR(Y362/H362,"0")</f>
        <v>0</v>
      </c>
      <c r="Z363" s="543">
        <f>IFERROR(IF(Z362="",0,Z362),"0")</f>
        <v>0</v>
      </c>
      <c r="AA363" s="544"/>
      <c r="AB363" s="544"/>
      <c r="AC363" s="544"/>
    </row>
    <row r="364" spans="1:68" hidden="1" x14ac:dyDescent="0.2">
      <c r="A364" s="546"/>
      <c r="B364" s="546"/>
      <c r="C364" s="546"/>
      <c r="D364" s="546"/>
      <c r="E364" s="546"/>
      <c r="F364" s="546"/>
      <c r="G364" s="546"/>
      <c r="H364" s="546"/>
      <c r="I364" s="546"/>
      <c r="J364" s="546"/>
      <c r="K364" s="546"/>
      <c r="L364" s="546"/>
      <c r="M364" s="546"/>
      <c r="N364" s="546"/>
      <c r="O364" s="559"/>
      <c r="P364" s="550" t="s">
        <v>71</v>
      </c>
      <c r="Q364" s="551"/>
      <c r="R364" s="551"/>
      <c r="S364" s="551"/>
      <c r="T364" s="551"/>
      <c r="U364" s="551"/>
      <c r="V364" s="552"/>
      <c r="W364" s="37" t="s">
        <v>69</v>
      </c>
      <c r="X364" s="543">
        <f>IFERROR(SUM(X362:X362),"0")</f>
        <v>0</v>
      </c>
      <c r="Y364" s="543">
        <f>IFERROR(SUM(Y362:Y362),"0")</f>
        <v>0</v>
      </c>
      <c r="Z364" s="37"/>
      <c r="AA364" s="544"/>
      <c r="AB364" s="544"/>
      <c r="AC364" s="544"/>
    </row>
    <row r="365" spans="1:68" ht="16.5" hidden="1" customHeight="1" x14ac:dyDescent="0.25">
      <c r="A365" s="545" t="s">
        <v>566</v>
      </c>
      <c r="B365" s="546"/>
      <c r="C365" s="546"/>
      <c r="D365" s="546"/>
      <c r="E365" s="546"/>
      <c r="F365" s="546"/>
      <c r="G365" s="546"/>
      <c r="H365" s="546"/>
      <c r="I365" s="546"/>
      <c r="J365" s="546"/>
      <c r="K365" s="546"/>
      <c r="L365" s="546"/>
      <c r="M365" s="546"/>
      <c r="N365" s="546"/>
      <c r="O365" s="546"/>
      <c r="P365" s="546"/>
      <c r="Q365" s="546"/>
      <c r="R365" s="546"/>
      <c r="S365" s="546"/>
      <c r="T365" s="546"/>
      <c r="U365" s="546"/>
      <c r="V365" s="546"/>
      <c r="W365" s="546"/>
      <c r="X365" s="546"/>
      <c r="Y365" s="546"/>
      <c r="Z365" s="546"/>
      <c r="AA365" s="536"/>
      <c r="AB365" s="536"/>
      <c r="AC365" s="536"/>
    </row>
    <row r="366" spans="1:68" ht="14.25" hidden="1" customHeight="1" x14ac:dyDescent="0.25">
      <c r="A366" s="553" t="s">
        <v>99</v>
      </c>
      <c r="B366" s="546"/>
      <c r="C366" s="546"/>
      <c r="D366" s="546"/>
      <c r="E366" s="546"/>
      <c r="F366" s="546"/>
      <c r="G366" s="546"/>
      <c r="H366" s="546"/>
      <c r="I366" s="546"/>
      <c r="J366" s="546"/>
      <c r="K366" s="546"/>
      <c r="L366" s="546"/>
      <c r="M366" s="546"/>
      <c r="N366" s="546"/>
      <c r="O366" s="546"/>
      <c r="P366" s="546"/>
      <c r="Q366" s="546"/>
      <c r="R366" s="546"/>
      <c r="S366" s="546"/>
      <c r="T366" s="546"/>
      <c r="U366" s="546"/>
      <c r="V366" s="546"/>
      <c r="W366" s="546"/>
      <c r="X366" s="546"/>
      <c r="Y366" s="546"/>
      <c r="Z366" s="546"/>
      <c r="AA366" s="537"/>
      <c r="AB366" s="537"/>
      <c r="AC366" s="537"/>
    </row>
    <row r="367" spans="1:68" ht="37.5" hidden="1" customHeight="1" x14ac:dyDescent="0.25">
      <c r="A367" s="54" t="s">
        <v>567</v>
      </c>
      <c r="B367" s="54" t="s">
        <v>568</v>
      </c>
      <c r="C367" s="31">
        <v>4301011875</v>
      </c>
      <c r="D367" s="556">
        <v>4680115884885</v>
      </c>
      <c r="E367" s="557"/>
      <c r="F367" s="540">
        <v>0.8</v>
      </c>
      <c r="G367" s="32">
        <v>15</v>
      </c>
      <c r="H367" s="540">
        <v>12</v>
      </c>
      <c r="I367" s="540">
        <v>12.41</v>
      </c>
      <c r="J367" s="32">
        <v>64</v>
      </c>
      <c r="K367" s="32" t="s">
        <v>102</v>
      </c>
      <c r="L367" s="32" t="s">
        <v>103</v>
      </c>
      <c r="M367" s="33" t="s">
        <v>68</v>
      </c>
      <c r="N367" s="33"/>
      <c r="O367" s="32">
        <v>60</v>
      </c>
      <c r="P367" s="60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8"/>
      <c r="R367" s="548"/>
      <c r="S367" s="548"/>
      <c r="T367" s="549"/>
      <c r="U367" s="34"/>
      <c r="V367" s="34"/>
      <c r="W367" s="35" t="s">
        <v>69</v>
      </c>
      <c r="X367" s="541">
        <v>0</v>
      </c>
      <c r="Y367" s="542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569</v>
      </c>
      <c r="AG367" s="64"/>
      <c r="AJ367" s="68" t="s">
        <v>106</v>
      </c>
      <c r="AK367" s="68">
        <v>96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hidden="1" customHeight="1" x14ac:dyDescent="0.25">
      <c r="A368" s="54" t="s">
        <v>570</v>
      </c>
      <c r="B368" s="54" t="s">
        <v>571</v>
      </c>
      <c r="C368" s="31">
        <v>4301011871</v>
      </c>
      <c r="D368" s="556">
        <v>4680115884908</v>
      </c>
      <c r="E368" s="557"/>
      <c r="F368" s="540">
        <v>0.4</v>
      </c>
      <c r="G368" s="32">
        <v>10</v>
      </c>
      <c r="H368" s="540">
        <v>4</v>
      </c>
      <c r="I368" s="540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57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8"/>
      <c r="R368" s="548"/>
      <c r="S368" s="548"/>
      <c r="T368" s="549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569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58"/>
      <c r="B369" s="546"/>
      <c r="C369" s="546"/>
      <c r="D369" s="546"/>
      <c r="E369" s="546"/>
      <c r="F369" s="546"/>
      <c r="G369" s="546"/>
      <c r="H369" s="546"/>
      <c r="I369" s="546"/>
      <c r="J369" s="546"/>
      <c r="K369" s="546"/>
      <c r="L369" s="546"/>
      <c r="M369" s="546"/>
      <c r="N369" s="546"/>
      <c r="O369" s="559"/>
      <c r="P369" s="550" t="s">
        <v>71</v>
      </c>
      <c r="Q369" s="551"/>
      <c r="R369" s="551"/>
      <c r="S369" s="551"/>
      <c r="T369" s="551"/>
      <c r="U369" s="551"/>
      <c r="V369" s="552"/>
      <c r="W369" s="37" t="s">
        <v>72</v>
      </c>
      <c r="X369" s="543">
        <f>IFERROR(X367/H367,"0")+IFERROR(X368/H368,"0")</f>
        <v>0</v>
      </c>
      <c r="Y369" s="543">
        <f>IFERROR(Y367/H367,"0")+IFERROR(Y368/H368,"0")</f>
        <v>0</v>
      </c>
      <c r="Z369" s="543">
        <f>IFERROR(IF(Z367="",0,Z367),"0")+IFERROR(IF(Z368="",0,Z368),"0")</f>
        <v>0</v>
      </c>
      <c r="AA369" s="544"/>
      <c r="AB369" s="544"/>
      <c r="AC369" s="544"/>
    </row>
    <row r="370" spans="1:68" hidden="1" x14ac:dyDescent="0.2">
      <c r="A370" s="546"/>
      <c r="B370" s="546"/>
      <c r="C370" s="546"/>
      <c r="D370" s="546"/>
      <c r="E370" s="546"/>
      <c r="F370" s="546"/>
      <c r="G370" s="546"/>
      <c r="H370" s="546"/>
      <c r="I370" s="546"/>
      <c r="J370" s="546"/>
      <c r="K370" s="546"/>
      <c r="L370" s="546"/>
      <c r="M370" s="546"/>
      <c r="N370" s="546"/>
      <c r="O370" s="559"/>
      <c r="P370" s="550" t="s">
        <v>71</v>
      </c>
      <c r="Q370" s="551"/>
      <c r="R370" s="551"/>
      <c r="S370" s="551"/>
      <c r="T370" s="551"/>
      <c r="U370" s="551"/>
      <c r="V370" s="552"/>
      <c r="W370" s="37" t="s">
        <v>69</v>
      </c>
      <c r="X370" s="543">
        <f>IFERROR(SUM(X367:X368),"0")</f>
        <v>0</v>
      </c>
      <c r="Y370" s="543">
        <f>IFERROR(SUM(Y367:Y368),"0")</f>
        <v>0</v>
      </c>
      <c r="Z370" s="37"/>
      <c r="AA370" s="544"/>
      <c r="AB370" s="544"/>
      <c r="AC370" s="544"/>
    </row>
    <row r="371" spans="1:68" ht="14.25" hidden="1" customHeight="1" x14ac:dyDescent="0.25">
      <c r="A371" s="553" t="s">
        <v>64</v>
      </c>
      <c r="B371" s="546"/>
      <c r="C371" s="546"/>
      <c r="D371" s="546"/>
      <c r="E371" s="546"/>
      <c r="F371" s="546"/>
      <c r="G371" s="546"/>
      <c r="H371" s="546"/>
      <c r="I371" s="546"/>
      <c r="J371" s="546"/>
      <c r="K371" s="546"/>
      <c r="L371" s="546"/>
      <c r="M371" s="546"/>
      <c r="N371" s="546"/>
      <c r="O371" s="546"/>
      <c r="P371" s="546"/>
      <c r="Q371" s="546"/>
      <c r="R371" s="546"/>
      <c r="S371" s="546"/>
      <c r="T371" s="546"/>
      <c r="U371" s="546"/>
      <c r="V371" s="546"/>
      <c r="W371" s="546"/>
      <c r="X371" s="546"/>
      <c r="Y371" s="546"/>
      <c r="Z371" s="546"/>
      <c r="AA371" s="537"/>
      <c r="AB371" s="537"/>
      <c r="AC371" s="537"/>
    </row>
    <row r="372" spans="1:68" ht="27" hidden="1" customHeight="1" x14ac:dyDescent="0.25">
      <c r="A372" s="54" t="s">
        <v>572</v>
      </c>
      <c r="B372" s="54" t="s">
        <v>573</v>
      </c>
      <c r="C372" s="31">
        <v>4301031303</v>
      </c>
      <c r="D372" s="556">
        <v>4607091384802</v>
      </c>
      <c r="E372" s="557"/>
      <c r="F372" s="540">
        <v>0.73</v>
      </c>
      <c r="G372" s="32">
        <v>6</v>
      </c>
      <c r="H372" s="540">
        <v>4.38</v>
      </c>
      <c r="I372" s="540">
        <v>4.63</v>
      </c>
      <c r="J372" s="32">
        <v>132</v>
      </c>
      <c r="K372" s="32" t="s">
        <v>109</v>
      </c>
      <c r="L372" s="32" t="s">
        <v>110</v>
      </c>
      <c r="M372" s="33" t="s">
        <v>68</v>
      </c>
      <c r="N372" s="33"/>
      <c r="O372" s="32">
        <v>35</v>
      </c>
      <c r="P372" s="75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8"/>
      <c r="R372" s="548"/>
      <c r="S372" s="548"/>
      <c r="T372" s="549"/>
      <c r="U372" s="34"/>
      <c r="V372" s="34"/>
      <c r="W372" s="35" t="s">
        <v>69</v>
      </c>
      <c r="X372" s="541">
        <v>0</v>
      </c>
      <c r="Y372" s="542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574</v>
      </c>
      <c r="AG372" s="64"/>
      <c r="AJ372" s="68" t="s">
        <v>106</v>
      </c>
      <c r="AK372" s="68">
        <v>52.56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572</v>
      </c>
      <c r="B373" s="54" t="s">
        <v>575</v>
      </c>
      <c r="C373" s="31">
        <v>4301031457</v>
      </c>
      <c r="D373" s="556">
        <v>4607091384802</v>
      </c>
      <c r="E373" s="557"/>
      <c r="F373" s="540">
        <v>0.7</v>
      </c>
      <c r="G373" s="32">
        <v>6</v>
      </c>
      <c r="H373" s="540">
        <v>4.2</v>
      </c>
      <c r="I373" s="540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56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8"/>
      <c r="R373" s="548"/>
      <c r="S373" s="548"/>
      <c r="T373" s="549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576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58"/>
      <c r="B374" s="546"/>
      <c r="C374" s="546"/>
      <c r="D374" s="546"/>
      <c r="E374" s="546"/>
      <c r="F374" s="546"/>
      <c r="G374" s="546"/>
      <c r="H374" s="546"/>
      <c r="I374" s="546"/>
      <c r="J374" s="546"/>
      <c r="K374" s="546"/>
      <c r="L374" s="546"/>
      <c r="M374" s="546"/>
      <c r="N374" s="546"/>
      <c r="O374" s="559"/>
      <c r="P374" s="550" t="s">
        <v>71</v>
      </c>
      <c r="Q374" s="551"/>
      <c r="R374" s="551"/>
      <c r="S374" s="551"/>
      <c r="T374" s="551"/>
      <c r="U374" s="551"/>
      <c r="V374" s="552"/>
      <c r="W374" s="37" t="s">
        <v>72</v>
      </c>
      <c r="X374" s="543">
        <f>IFERROR(X372/H372,"0")+IFERROR(X373/H373,"0")</f>
        <v>0</v>
      </c>
      <c r="Y374" s="543">
        <f>IFERROR(Y372/H372,"0")+IFERROR(Y373/H373,"0")</f>
        <v>0</v>
      </c>
      <c r="Z374" s="543">
        <f>IFERROR(IF(Z372="",0,Z372),"0")+IFERROR(IF(Z373="",0,Z373),"0")</f>
        <v>0</v>
      </c>
      <c r="AA374" s="544"/>
      <c r="AB374" s="544"/>
      <c r="AC374" s="544"/>
    </row>
    <row r="375" spans="1:68" hidden="1" x14ac:dyDescent="0.2">
      <c r="A375" s="546"/>
      <c r="B375" s="546"/>
      <c r="C375" s="546"/>
      <c r="D375" s="546"/>
      <c r="E375" s="546"/>
      <c r="F375" s="546"/>
      <c r="G375" s="546"/>
      <c r="H375" s="546"/>
      <c r="I375" s="546"/>
      <c r="J375" s="546"/>
      <c r="K375" s="546"/>
      <c r="L375" s="546"/>
      <c r="M375" s="546"/>
      <c r="N375" s="546"/>
      <c r="O375" s="559"/>
      <c r="P375" s="550" t="s">
        <v>71</v>
      </c>
      <c r="Q375" s="551"/>
      <c r="R375" s="551"/>
      <c r="S375" s="551"/>
      <c r="T375" s="551"/>
      <c r="U375" s="551"/>
      <c r="V375" s="552"/>
      <c r="W375" s="37" t="s">
        <v>69</v>
      </c>
      <c r="X375" s="543">
        <f>IFERROR(SUM(X372:X373),"0")</f>
        <v>0</v>
      </c>
      <c r="Y375" s="543">
        <f>IFERROR(SUM(Y372:Y373),"0")</f>
        <v>0</v>
      </c>
      <c r="Z375" s="37"/>
      <c r="AA375" s="544"/>
      <c r="AB375" s="544"/>
      <c r="AC375" s="544"/>
    </row>
    <row r="376" spans="1:68" ht="14.25" hidden="1" customHeight="1" x14ac:dyDescent="0.25">
      <c r="A376" s="553" t="s">
        <v>73</v>
      </c>
      <c r="B376" s="546"/>
      <c r="C376" s="546"/>
      <c r="D376" s="546"/>
      <c r="E376" s="546"/>
      <c r="F376" s="546"/>
      <c r="G376" s="546"/>
      <c r="H376" s="546"/>
      <c r="I376" s="546"/>
      <c r="J376" s="546"/>
      <c r="K376" s="546"/>
      <c r="L376" s="546"/>
      <c r="M376" s="546"/>
      <c r="N376" s="546"/>
      <c r="O376" s="546"/>
      <c r="P376" s="546"/>
      <c r="Q376" s="546"/>
      <c r="R376" s="546"/>
      <c r="S376" s="546"/>
      <c r="T376" s="546"/>
      <c r="U376" s="546"/>
      <c r="V376" s="546"/>
      <c r="W376" s="546"/>
      <c r="X376" s="546"/>
      <c r="Y376" s="546"/>
      <c r="Z376" s="546"/>
      <c r="AA376" s="537"/>
      <c r="AB376" s="537"/>
      <c r="AC376" s="537"/>
    </row>
    <row r="377" spans="1:68" ht="27" hidden="1" customHeight="1" x14ac:dyDescent="0.25">
      <c r="A377" s="54" t="s">
        <v>577</v>
      </c>
      <c r="B377" s="54" t="s">
        <v>578</v>
      </c>
      <c r="C377" s="31">
        <v>4301051899</v>
      </c>
      <c r="D377" s="556">
        <v>4607091384246</v>
      </c>
      <c r="E377" s="557"/>
      <c r="F377" s="540">
        <v>1.5</v>
      </c>
      <c r="G377" s="32">
        <v>6</v>
      </c>
      <c r="H377" s="540">
        <v>9</v>
      </c>
      <c r="I377" s="540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1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8"/>
      <c r="R377" s="548"/>
      <c r="S377" s="548"/>
      <c r="T377" s="549"/>
      <c r="U377" s="34"/>
      <c r="V377" s="34"/>
      <c r="W377" s="35" t="s">
        <v>69</v>
      </c>
      <c r="X377" s="541">
        <v>0</v>
      </c>
      <c r="Y377" s="542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21" t="s">
        <v>579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hidden="1" customHeight="1" x14ac:dyDescent="0.25">
      <c r="A378" s="54" t="s">
        <v>580</v>
      </c>
      <c r="B378" s="54" t="s">
        <v>581</v>
      </c>
      <c r="C378" s="31">
        <v>4301051660</v>
      </c>
      <c r="D378" s="556">
        <v>4607091384253</v>
      </c>
      <c r="E378" s="557"/>
      <c r="F378" s="540">
        <v>0.4</v>
      </c>
      <c r="G378" s="32">
        <v>6</v>
      </c>
      <c r="H378" s="540">
        <v>2.4</v>
      </c>
      <c r="I378" s="540">
        <v>2.6640000000000001</v>
      </c>
      <c r="J378" s="32">
        <v>182</v>
      </c>
      <c r="K378" s="32" t="s">
        <v>76</v>
      </c>
      <c r="L378" s="32" t="s">
        <v>186</v>
      </c>
      <c r="M378" s="33" t="s">
        <v>77</v>
      </c>
      <c r="N378" s="33"/>
      <c r="O378" s="32">
        <v>40</v>
      </c>
      <c r="P378" s="78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8"/>
      <c r="R378" s="548"/>
      <c r="S378" s="548"/>
      <c r="T378" s="549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579</v>
      </c>
      <c r="AG378" s="64"/>
      <c r="AJ378" s="68" t="s">
        <v>106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580</v>
      </c>
      <c r="B379" s="54" t="s">
        <v>582</v>
      </c>
      <c r="C379" s="31">
        <v>4301052069</v>
      </c>
      <c r="D379" s="556">
        <v>4607091384253</v>
      </c>
      <c r="E379" s="557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/>
      <c r="M379" s="33" t="s">
        <v>77</v>
      </c>
      <c r="N379" s="33"/>
      <c r="O379" s="32">
        <v>40</v>
      </c>
      <c r="P379" s="840" t="s">
        <v>583</v>
      </c>
      <c r="Q379" s="548"/>
      <c r="R379" s="548"/>
      <c r="S379" s="548"/>
      <c r="T379" s="549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584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58"/>
      <c r="B380" s="546"/>
      <c r="C380" s="546"/>
      <c r="D380" s="546"/>
      <c r="E380" s="546"/>
      <c r="F380" s="546"/>
      <c r="G380" s="546"/>
      <c r="H380" s="546"/>
      <c r="I380" s="546"/>
      <c r="J380" s="546"/>
      <c r="K380" s="546"/>
      <c r="L380" s="546"/>
      <c r="M380" s="546"/>
      <c r="N380" s="546"/>
      <c r="O380" s="559"/>
      <c r="P380" s="550" t="s">
        <v>71</v>
      </c>
      <c r="Q380" s="551"/>
      <c r="R380" s="551"/>
      <c r="S380" s="551"/>
      <c r="T380" s="551"/>
      <c r="U380" s="551"/>
      <c r="V380" s="552"/>
      <c r="W380" s="37" t="s">
        <v>72</v>
      </c>
      <c r="X380" s="543">
        <f>IFERROR(X377/H377,"0")+IFERROR(X378/H378,"0")+IFERROR(X379/H379,"0")</f>
        <v>0</v>
      </c>
      <c r="Y380" s="543">
        <f>IFERROR(Y377/H377,"0")+IFERROR(Y378/H378,"0")+IFERROR(Y379/H379,"0")</f>
        <v>0</v>
      </c>
      <c r="Z380" s="543">
        <f>IFERROR(IF(Z377="",0,Z377),"0")+IFERROR(IF(Z378="",0,Z378),"0")+IFERROR(IF(Z379="",0,Z379),"0")</f>
        <v>0</v>
      </c>
      <c r="AA380" s="544"/>
      <c r="AB380" s="544"/>
      <c r="AC380" s="544"/>
    </row>
    <row r="381" spans="1:68" hidden="1" x14ac:dyDescent="0.2">
      <c r="A381" s="546"/>
      <c r="B381" s="546"/>
      <c r="C381" s="546"/>
      <c r="D381" s="546"/>
      <c r="E381" s="546"/>
      <c r="F381" s="546"/>
      <c r="G381" s="546"/>
      <c r="H381" s="546"/>
      <c r="I381" s="546"/>
      <c r="J381" s="546"/>
      <c r="K381" s="546"/>
      <c r="L381" s="546"/>
      <c r="M381" s="546"/>
      <c r="N381" s="546"/>
      <c r="O381" s="559"/>
      <c r="P381" s="550" t="s">
        <v>71</v>
      </c>
      <c r="Q381" s="551"/>
      <c r="R381" s="551"/>
      <c r="S381" s="551"/>
      <c r="T381" s="551"/>
      <c r="U381" s="551"/>
      <c r="V381" s="552"/>
      <c r="W381" s="37" t="s">
        <v>69</v>
      </c>
      <c r="X381" s="543">
        <f>IFERROR(SUM(X377:X379),"0")</f>
        <v>0</v>
      </c>
      <c r="Y381" s="543">
        <f>IFERROR(SUM(Y377:Y379),"0")</f>
        <v>0</v>
      </c>
      <c r="Z381" s="37"/>
      <c r="AA381" s="544"/>
      <c r="AB381" s="544"/>
      <c r="AC381" s="544"/>
    </row>
    <row r="382" spans="1:68" ht="27.75" hidden="1" customHeight="1" x14ac:dyDescent="0.2">
      <c r="A382" s="645" t="s">
        <v>585</v>
      </c>
      <c r="B382" s="646"/>
      <c r="C382" s="646"/>
      <c r="D382" s="646"/>
      <c r="E382" s="646"/>
      <c r="F382" s="646"/>
      <c r="G382" s="646"/>
      <c r="H382" s="646"/>
      <c r="I382" s="646"/>
      <c r="J382" s="646"/>
      <c r="K382" s="646"/>
      <c r="L382" s="646"/>
      <c r="M382" s="646"/>
      <c r="N382" s="646"/>
      <c r="O382" s="646"/>
      <c r="P382" s="646"/>
      <c r="Q382" s="646"/>
      <c r="R382" s="646"/>
      <c r="S382" s="646"/>
      <c r="T382" s="646"/>
      <c r="U382" s="646"/>
      <c r="V382" s="646"/>
      <c r="W382" s="646"/>
      <c r="X382" s="646"/>
      <c r="Y382" s="646"/>
      <c r="Z382" s="646"/>
      <c r="AA382" s="48"/>
      <c r="AB382" s="48"/>
      <c r="AC382" s="48"/>
    </row>
    <row r="383" spans="1:68" ht="16.5" hidden="1" customHeight="1" x14ac:dyDescent="0.25">
      <c r="A383" s="545" t="s">
        <v>586</v>
      </c>
      <c r="B383" s="546"/>
      <c r="C383" s="546"/>
      <c r="D383" s="546"/>
      <c r="E383" s="546"/>
      <c r="F383" s="546"/>
      <c r="G383" s="546"/>
      <c r="H383" s="546"/>
      <c r="I383" s="546"/>
      <c r="J383" s="546"/>
      <c r="K383" s="546"/>
      <c r="L383" s="546"/>
      <c r="M383" s="546"/>
      <c r="N383" s="546"/>
      <c r="O383" s="546"/>
      <c r="P383" s="546"/>
      <c r="Q383" s="546"/>
      <c r="R383" s="546"/>
      <c r="S383" s="546"/>
      <c r="T383" s="546"/>
      <c r="U383" s="546"/>
      <c r="V383" s="546"/>
      <c r="W383" s="546"/>
      <c r="X383" s="546"/>
      <c r="Y383" s="546"/>
      <c r="Z383" s="546"/>
      <c r="AA383" s="536"/>
      <c r="AB383" s="536"/>
      <c r="AC383" s="536"/>
    </row>
    <row r="384" spans="1:68" ht="14.25" hidden="1" customHeight="1" x14ac:dyDescent="0.25">
      <c r="A384" s="553" t="s">
        <v>64</v>
      </c>
      <c r="B384" s="546"/>
      <c r="C384" s="546"/>
      <c r="D384" s="546"/>
      <c r="E384" s="546"/>
      <c r="F384" s="546"/>
      <c r="G384" s="546"/>
      <c r="H384" s="546"/>
      <c r="I384" s="546"/>
      <c r="J384" s="546"/>
      <c r="K384" s="546"/>
      <c r="L384" s="546"/>
      <c r="M384" s="546"/>
      <c r="N384" s="546"/>
      <c r="O384" s="546"/>
      <c r="P384" s="546"/>
      <c r="Q384" s="546"/>
      <c r="R384" s="546"/>
      <c r="S384" s="546"/>
      <c r="T384" s="546"/>
      <c r="U384" s="546"/>
      <c r="V384" s="546"/>
      <c r="W384" s="546"/>
      <c r="X384" s="546"/>
      <c r="Y384" s="546"/>
      <c r="Z384" s="546"/>
      <c r="AA384" s="537"/>
      <c r="AB384" s="537"/>
      <c r="AC384" s="537"/>
    </row>
    <row r="385" spans="1:68" ht="27" hidden="1" customHeight="1" x14ac:dyDescent="0.25">
      <c r="A385" s="54" t="s">
        <v>587</v>
      </c>
      <c r="B385" s="54" t="s">
        <v>588</v>
      </c>
      <c r="C385" s="31">
        <v>4301031405</v>
      </c>
      <c r="D385" s="556">
        <v>4680115886100</v>
      </c>
      <c r="E385" s="557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76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8"/>
      <c r="R385" s="548"/>
      <c r="S385" s="548"/>
      <c r="T385" s="549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589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hidden="1" customHeight="1" x14ac:dyDescent="0.25">
      <c r="A386" s="54" t="s">
        <v>590</v>
      </c>
      <c r="B386" s="54" t="s">
        <v>591</v>
      </c>
      <c r="C386" s="31">
        <v>4301031406</v>
      </c>
      <c r="D386" s="556">
        <v>4680115886117</v>
      </c>
      <c r="E386" s="557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84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8"/>
      <c r="R386" s="548"/>
      <c r="S386" s="548"/>
      <c r="T386" s="549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593</v>
      </c>
      <c r="B387" s="54" t="s">
        <v>594</v>
      </c>
      <c r="C387" s="31">
        <v>4301031402</v>
      </c>
      <c r="D387" s="556">
        <v>4680115886124</v>
      </c>
      <c r="E387" s="557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 t="s">
        <v>110</v>
      </c>
      <c r="M387" s="33" t="s">
        <v>68</v>
      </c>
      <c r="N387" s="33"/>
      <c r="O387" s="32">
        <v>50</v>
      </c>
      <c r="P387" s="74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8"/>
      <c r="R387" s="548"/>
      <c r="S387" s="548"/>
      <c r="T387" s="549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 t="s">
        <v>106</v>
      </c>
      <c r="AK387" s="68">
        <v>64.8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596</v>
      </c>
      <c r="B388" s="54" t="s">
        <v>597</v>
      </c>
      <c r="C388" s="31">
        <v>4301031366</v>
      </c>
      <c r="D388" s="556">
        <v>4680115883147</v>
      </c>
      <c r="E388" s="557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1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8"/>
      <c r="R388" s="548"/>
      <c r="S388" s="548"/>
      <c r="T388" s="549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hidden="1" customHeight="1" x14ac:dyDescent="0.25">
      <c r="A389" s="54" t="s">
        <v>598</v>
      </c>
      <c r="B389" s="54" t="s">
        <v>599</v>
      </c>
      <c r="C389" s="31">
        <v>4301031362</v>
      </c>
      <c r="D389" s="556">
        <v>4607091384338</v>
      </c>
      <c r="E389" s="557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86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8"/>
      <c r="R389" s="548"/>
      <c r="S389" s="548"/>
      <c r="T389" s="549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589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hidden="1" customHeight="1" x14ac:dyDescent="0.25">
      <c r="A390" s="54" t="s">
        <v>600</v>
      </c>
      <c r="B390" s="54" t="s">
        <v>601</v>
      </c>
      <c r="C390" s="31">
        <v>4301031361</v>
      </c>
      <c r="D390" s="556">
        <v>4607091389524</v>
      </c>
      <c r="E390" s="557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69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8"/>
      <c r="R390" s="548"/>
      <c r="S390" s="548"/>
      <c r="T390" s="549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603</v>
      </c>
      <c r="B391" s="54" t="s">
        <v>604</v>
      </c>
      <c r="C391" s="31">
        <v>4301031364</v>
      </c>
      <c r="D391" s="556">
        <v>4680115883161</v>
      </c>
      <c r="E391" s="557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86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8"/>
      <c r="R391" s="548"/>
      <c r="S391" s="548"/>
      <c r="T391" s="549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606</v>
      </c>
      <c r="B392" s="54" t="s">
        <v>607</v>
      </c>
      <c r="C392" s="31">
        <v>4301031358</v>
      </c>
      <c r="D392" s="556">
        <v>4607091389531</v>
      </c>
      <c r="E392" s="557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84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8"/>
      <c r="R392" s="548"/>
      <c r="S392" s="548"/>
      <c r="T392" s="549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hidden="1" customHeight="1" x14ac:dyDescent="0.25">
      <c r="A393" s="54" t="s">
        <v>609</v>
      </c>
      <c r="B393" s="54" t="s">
        <v>610</v>
      </c>
      <c r="C393" s="31">
        <v>4301031360</v>
      </c>
      <c r="D393" s="556">
        <v>4607091384345</v>
      </c>
      <c r="E393" s="557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0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8"/>
      <c r="R393" s="548"/>
      <c r="S393" s="548"/>
      <c r="T393" s="549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605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idden="1" x14ac:dyDescent="0.2">
      <c r="A394" s="558"/>
      <c r="B394" s="546"/>
      <c r="C394" s="546"/>
      <c r="D394" s="546"/>
      <c r="E394" s="546"/>
      <c r="F394" s="546"/>
      <c r="G394" s="546"/>
      <c r="H394" s="546"/>
      <c r="I394" s="546"/>
      <c r="J394" s="546"/>
      <c r="K394" s="546"/>
      <c r="L394" s="546"/>
      <c r="M394" s="546"/>
      <c r="N394" s="546"/>
      <c r="O394" s="559"/>
      <c r="P394" s="550" t="s">
        <v>71</v>
      </c>
      <c r="Q394" s="551"/>
      <c r="R394" s="551"/>
      <c r="S394" s="551"/>
      <c r="T394" s="551"/>
      <c r="U394" s="551"/>
      <c r="V394" s="552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hidden="1" x14ac:dyDescent="0.2">
      <c r="A395" s="546"/>
      <c r="B395" s="546"/>
      <c r="C395" s="546"/>
      <c r="D395" s="546"/>
      <c r="E395" s="546"/>
      <c r="F395" s="546"/>
      <c r="G395" s="546"/>
      <c r="H395" s="546"/>
      <c r="I395" s="546"/>
      <c r="J395" s="546"/>
      <c r="K395" s="546"/>
      <c r="L395" s="546"/>
      <c r="M395" s="546"/>
      <c r="N395" s="546"/>
      <c r="O395" s="559"/>
      <c r="P395" s="550" t="s">
        <v>71</v>
      </c>
      <c r="Q395" s="551"/>
      <c r="R395" s="551"/>
      <c r="S395" s="551"/>
      <c r="T395" s="551"/>
      <c r="U395" s="551"/>
      <c r="V395" s="552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hidden="1" customHeight="1" x14ac:dyDescent="0.25">
      <c r="A396" s="553" t="s">
        <v>73</v>
      </c>
      <c r="B396" s="546"/>
      <c r="C396" s="546"/>
      <c r="D396" s="546"/>
      <c r="E396" s="546"/>
      <c r="F396" s="546"/>
      <c r="G396" s="546"/>
      <c r="H396" s="546"/>
      <c r="I396" s="546"/>
      <c r="J396" s="546"/>
      <c r="K396" s="546"/>
      <c r="L396" s="546"/>
      <c r="M396" s="546"/>
      <c r="N396" s="546"/>
      <c r="O396" s="546"/>
      <c r="P396" s="546"/>
      <c r="Q396" s="546"/>
      <c r="R396" s="546"/>
      <c r="S396" s="546"/>
      <c r="T396" s="546"/>
      <c r="U396" s="546"/>
      <c r="V396" s="546"/>
      <c r="W396" s="546"/>
      <c r="X396" s="546"/>
      <c r="Y396" s="546"/>
      <c r="Z396" s="546"/>
      <c r="AA396" s="537"/>
      <c r="AB396" s="537"/>
      <c r="AC396" s="537"/>
    </row>
    <row r="397" spans="1:68" ht="27" hidden="1" customHeight="1" x14ac:dyDescent="0.25">
      <c r="A397" s="54" t="s">
        <v>611</v>
      </c>
      <c r="B397" s="54" t="s">
        <v>612</v>
      </c>
      <c r="C397" s="31">
        <v>4301051284</v>
      </c>
      <c r="D397" s="556">
        <v>4607091384352</v>
      </c>
      <c r="E397" s="557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75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8"/>
      <c r="R397" s="548"/>
      <c r="S397" s="548"/>
      <c r="T397" s="549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614</v>
      </c>
      <c r="B398" s="54" t="s">
        <v>615</v>
      </c>
      <c r="C398" s="31">
        <v>4301051431</v>
      </c>
      <c r="D398" s="556">
        <v>4607091389654</v>
      </c>
      <c r="E398" s="557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67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8"/>
      <c r="R398" s="548"/>
      <c r="S398" s="548"/>
      <c r="T398" s="549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616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8"/>
      <c r="B399" s="546"/>
      <c r="C399" s="546"/>
      <c r="D399" s="546"/>
      <c r="E399" s="546"/>
      <c r="F399" s="546"/>
      <c r="G399" s="546"/>
      <c r="H399" s="546"/>
      <c r="I399" s="546"/>
      <c r="J399" s="546"/>
      <c r="K399" s="546"/>
      <c r="L399" s="546"/>
      <c r="M399" s="546"/>
      <c r="N399" s="546"/>
      <c r="O399" s="559"/>
      <c r="P399" s="550" t="s">
        <v>71</v>
      </c>
      <c r="Q399" s="551"/>
      <c r="R399" s="551"/>
      <c r="S399" s="551"/>
      <c r="T399" s="551"/>
      <c r="U399" s="551"/>
      <c r="V399" s="552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46"/>
      <c r="B400" s="546"/>
      <c r="C400" s="546"/>
      <c r="D400" s="546"/>
      <c r="E400" s="546"/>
      <c r="F400" s="546"/>
      <c r="G400" s="546"/>
      <c r="H400" s="546"/>
      <c r="I400" s="546"/>
      <c r="J400" s="546"/>
      <c r="K400" s="546"/>
      <c r="L400" s="546"/>
      <c r="M400" s="546"/>
      <c r="N400" s="546"/>
      <c r="O400" s="559"/>
      <c r="P400" s="550" t="s">
        <v>71</v>
      </c>
      <c r="Q400" s="551"/>
      <c r="R400" s="551"/>
      <c r="S400" s="551"/>
      <c r="T400" s="551"/>
      <c r="U400" s="551"/>
      <c r="V400" s="552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45" t="s">
        <v>617</v>
      </c>
      <c r="B401" s="546"/>
      <c r="C401" s="546"/>
      <c r="D401" s="546"/>
      <c r="E401" s="546"/>
      <c r="F401" s="546"/>
      <c r="G401" s="546"/>
      <c r="H401" s="546"/>
      <c r="I401" s="546"/>
      <c r="J401" s="546"/>
      <c r="K401" s="546"/>
      <c r="L401" s="546"/>
      <c r="M401" s="546"/>
      <c r="N401" s="546"/>
      <c r="O401" s="546"/>
      <c r="P401" s="546"/>
      <c r="Q401" s="546"/>
      <c r="R401" s="546"/>
      <c r="S401" s="546"/>
      <c r="T401" s="546"/>
      <c r="U401" s="546"/>
      <c r="V401" s="546"/>
      <c r="W401" s="546"/>
      <c r="X401" s="546"/>
      <c r="Y401" s="546"/>
      <c r="Z401" s="546"/>
      <c r="AA401" s="536"/>
      <c r="AB401" s="536"/>
      <c r="AC401" s="536"/>
    </row>
    <row r="402" spans="1:68" ht="14.25" hidden="1" customHeight="1" x14ac:dyDescent="0.25">
      <c r="A402" s="553" t="s">
        <v>135</v>
      </c>
      <c r="B402" s="546"/>
      <c r="C402" s="546"/>
      <c r="D402" s="546"/>
      <c r="E402" s="546"/>
      <c r="F402" s="546"/>
      <c r="G402" s="546"/>
      <c r="H402" s="546"/>
      <c r="I402" s="546"/>
      <c r="J402" s="546"/>
      <c r="K402" s="546"/>
      <c r="L402" s="546"/>
      <c r="M402" s="546"/>
      <c r="N402" s="546"/>
      <c r="O402" s="546"/>
      <c r="P402" s="546"/>
      <c r="Q402" s="546"/>
      <c r="R402" s="546"/>
      <c r="S402" s="546"/>
      <c r="T402" s="546"/>
      <c r="U402" s="546"/>
      <c r="V402" s="546"/>
      <c r="W402" s="546"/>
      <c r="X402" s="546"/>
      <c r="Y402" s="546"/>
      <c r="Z402" s="546"/>
      <c r="AA402" s="537"/>
      <c r="AB402" s="537"/>
      <c r="AC402" s="537"/>
    </row>
    <row r="403" spans="1:68" ht="27" hidden="1" customHeight="1" x14ac:dyDescent="0.25">
      <c r="A403" s="54" t="s">
        <v>618</v>
      </c>
      <c r="B403" s="54" t="s">
        <v>619</v>
      </c>
      <c r="C403" s="31">
        <v>4301020319</v>
      </c>
      <c r="D403" s="556">
        <v>4680115885240</v>
      </c>
      <c r="E403" s="557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77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8"/>
      <c r="R403" s="548"/>
      <c r="S403" s="548"/>
      <c r="T403" s="549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620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8"/>
      <c r="B404" s="546"/>
      <c r="C404" s="546"/>
      <c r="D404" s="546"/>
      <c r="E404" s="546"/>
      <c r="F404" s="546"/>
      <c r="G404" s="546"/>
      <c r="H404" s="546"/>
      <c r="I404" s="546"/>
      <c r="J404" s="546"/>
      <c r="K404" s="546"/>
      <c r="L404" s="546"/>
      <c r="M404" s="546"/>
      <c r="N404" s="546"/>
      <c r="O404" s="559"/>
      <c r="P404" s="550" t="s">
        <v>71</v>
      </c>
      <c r="Q404" s="551"/>
      <c r="R404" s="551"/>
      <c r="S404" s="551"/>
      <c r="T404" s="551"/>
      <c r="U404" s="551"/>
      <c r="V404" s="552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46"/>
      <c r="B405" s="546"/>
      <c r="C405" s="546"/>
      <c r="D405" s="546"/>
      <c r="E405" s="546"/>
      <c r="F405" s="546"/>
      <c r="G405" s="546"/>
      <c r="H405" s="546"/>
      <c r="I405" s="546"/>
      <c r="J405" s="546"/>
      <c r="K405" s="546"/>
      <c r="L405" s="546"/>
      <c r="M405" s="546"/>
      <c r="N405" s="546"/>
      <c r="O405" s="559"/>
      <c r="P405" s="550" t="s">
        <v>71</v>
      </c>
      <c r="Q405" s="551"/>
      <c r="R405" s="551"/>
      <c r="S405" s="551"/>
      <c r="T405" s="551"/>
      <c r="U405" s="551"/>
      <c r="V405" s="552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53" t="s">
        <v>64</v>
      </c>
      <c r="B406" s="546"/>
      <c r="C406" s="546"/>
      <c r="D406" s="546"/>
      <c r="E406" s="546"/>
      <c r="F406" s="546"/>
      <c r="G406" s="546"/>
      <c r="H406" s="546"/>
      <c r="I406" s="546"/>
      <c r="J406" s="546"/>
      <c r="K406" s="546"/>
      <c r="L406" s="546"/>
      <c r="M406" s="546"/>
      <c r="N406" s="546"/>
      <c r="O406" s="546"/>
      <c r="P406" s="546"/>
      <c r="Q406" s="546"/>
      <c r="R406" s="546"/>
      <c r="S406" s="546"/>
      <c r="T406" s="546"/>
      <c r="U406" s="546"/>
      <c r="V406" s="546"/>
      <c r="W406" s="546"/>
      <c r="X406" s="546"/>
      <c r="Y406" s="546"/>
      <c r="Z406" s="546"/>
      <c r="AA406" s="537"/>
      <c r="AB406" s="537"/>
      <c r="AC406" s="537"/>
    </row>
    <row r="407" spans="1:68" ht="27" hidden="1" customHeight="1" x14ac:dyDescent="0.25">
      <c r="A407" s="54" t="s">
        <v>621</v>
      </c>
      <c r="B407" s="54" t="s">
        <v>622</v>
      </c>
      <c r="C407" s="31">
        <v>4301031403</v>
      </c>
      <c r="D407" s="556">
        <v>4680115886094</v>
      </c>
      <c r="E407" s="557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/>
      <c r="M407" s="33" t="s">
        <v>104</v>
      </c>
      <c r="N407" s="33"/>
      <c r="O407" s="32">
        <v>50</v>
      </c>
      <c r="P407" s="83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8"/>
      <c r="R407" s="548"/>
      <c r="S407" s="548"/>
      <c r="T407" s="549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623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624</v>
      </c>
      <c r="B408" s="54" t="s">
        <v>625</v>
      </c>
      <c r="C408" s="31">
        <v>4301031363</v>
      </c>
      <c r="D408" s="556">
        <v>4607091389425</v>
      </c>
      <c r="E408" s="557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62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8"/>
      <c r="R408" s="548"/>
      <c r="S408" s="548"/>
      <c r="T408" s="549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627</v>
      </c>
      <c r="B409" s="54" t="s">
        <v>628</v>
      </c>
      <c r="C409" s="31">
        <v>4301031373</v>
      </c>
      <c r="D409" s="556">
        <v>4680115880771</v>
      </c>
      <c r="E409" s="557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57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8"/>
      <c r="R409" s="548"/>
      <c r="S409" s="548"/>
      <c r="T409" s="549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630</v>
      </c>
      <c r="B410" s="54" t="s">
        <v>631</v>
      </c>
      <c r="C410" s="31">
        <v>4301031359</v>
      </c>
      <c r="D410" s="556">
        <v>4607091389500</v>
      </c>
      <c r="E410" s="557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76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8"/>
      <c r="R410" s="548"/>
      <c r="S410" s="548"/>
      <c r="T410" s="549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629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58"/>
      <c r="B411" s="546"/>
      <c r="C411" s="546"/>
      <c r="D411" s="546"/>
      <c r="E411" s="546"/>
      <c r="F411" s="546"/>
      <c r="G411" s="546"/>
      <c r="H411" s="546"/>
      <c r="I411" s="546"/>
      <c r="J411" s="546"/>
      <c r="K411" s="546"/>
      <c r="L411" s="546"/>
      <c r="M411" s="546"/>
      <c r="N411" s="546"/>
      <c r="O411" s="559"/>
      <c r="P411" s="550" t="s">
        <v>71</v>
      </c>
      <c r="Q411" s="551"/>
      <c r="R411" s="551"/>
      <c r="S411" s="551"/>
      <c r="T411" s="551"/>
      <c r="U411" s="551"/>
      <c r="V411" s="552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hidden="1" x14ac:dyDescent="0.2">
      <c r="A412" s="546"/>
      <c r="B412" s="546"/>
      <c r="C412" s="546"/>
      <c r="D412" s="546"/>
      <c r="E412" s="546"/>
      <c r="F412" s="546"/>
      <c r="G412" s="546"/>
      <c r="H412" s="546"/>
      <c r="I412" s="546"/>
      <c r="J412" s="546"/>
      <c r="K412" s="546"/>
      <c r="L412" s="546"/>
      <c r="M412" s="546"/>
      <c r="N412" s="546"/>
      <c r="O412" s="559"/>
      <c r="P412" s="550" t="s">
        <v>71</v>
      </c>
      <c r="Q412" s="551"/>
      <c r="R412" s="551"/>
      <c r="S412" s="551"/>
      <c r="T412" s="551"/>
      <c r="U412" s="551"/>
      <c r="V412" s="552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hidden="1" customHeight="1" x14ac:dyDescent="0.25">
      <c r="A413" s="545" t="s">
        <v>632</v>
      </c>
      <c r="B413" s="546"/>
      <c r="C413" s="546"/>
      <c r="D413" s="546"/>
      <c r="E413" s="546"/>
      <c r="F413" s="546"/>
      <c r="G413" s="546"/>
      <c r="H413" s="546"/>
      <c r="I413" s="546"/>
      <c r="J413" s="546"/>
      <c r="K413" s="546"/>
      <c r="L413" s="546"/>
      <c r="M413" s="546"/>
      <c r="N413" s="546"/>
      <c r="O413" s="546"/>
      <c r="P413" s="546"/>
      <c r="Q413" s="546"/>
      <c r="R413" s="546"/>
      <c r="S413" s="546"/>
      <c r="T413" s="546"/>
      <c r="U413" s="546"/>
      <c r="V413" s="546"/>
      <c r="W413" s="546"/>
      <c r="X413" s="546"/>
      <c r="Y413" s="546"/>
      <c r="Z413" s="546"/>
      <c r="AA413" s="536"/>
      <c r="AB413" s="536"/>
      <c r="AC413" s="536"/>
    </row>
    <row r="414" spans="1:68" ht="14.25" hidden="1" customHeight="1" x14ac:dyDescent="0.25">
      <c r="A414" s="553" t="s">
        <v>64</v>
      </c>
      <c r="B414" s="546"/>
      <c r="C414" s="546"/>
      <c r="D414" s="546"/>
      <c r="E414" s="546"/>
      <c r="F414" s="546"/>
      <c r="G414" s="546"/>
      <c r="H414" s="546"/>
      <c r="I414" s="546"/>
      <c r="J414" s="546"/>
      <c r="K414" s="546"/>
      <c r="L414" s="546"/>
      <c r="M414" s="546"/>
      <c r="N414" s="546"/>
      <c r="O414" s="546"/>
      <c r="P414" s="546"/>
      <c r="Q414" s="546"/>
      <c r="R414" s="546"/>
      <c r="S414" s="546"/>
      <c r="T414" s="546"/>
      <c r="U414" s="546"/>
      <c r="V414" s="546"/>
      <c r="W414" s="546"/>
      <c r="X414" s="546"/>
      <c r="Y414" s="546"/>
      <c r="Z414" s="546"/>
      <c r="AA414" s="537"/>
      <c r="AB414" s="537"/>
      <c r="AC414" s="537"/>
    </row>
    <row r="415" spans="1:68" ht="27" hidden="1" customHeight="1" x14ac:dyDescent="0.25">
      <c r="A415" s="54" t="s">
        <v>633</v>
      </c>
      <c r="B415" s="54" t="s">
        <v>634</v>
      </c>
      <c r="C415" s="31">
        <v>4301031347</v>
      </c>
      <c r="D415" s="556">
        <v>4680115885110</v>
      </c>
      <c r="E415" s="557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63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8"/>
      <c r="R415" s="548"/>
      <c r="S415" s="548"/>
      <c r="T415" s="549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635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8"/>
      <c r="B416" s="546"/>
      <c r="C416" s="546"/>
      <c r="D416" s="546"/>
      <c r="E416" s="546"/>
      <c r="F416" s="546"/>
      <c r="G416" s="546"/>
      <c r="H416" s="546"/>
      <c r="I416" s="546"/>
      <c r="J416" s="546"/>
      <c r="K416" s="546"/>
      <c r="L416" s="546"/>
      <c r="M416" s="546"/>
      <c r="N416" s="546"/>
      <c r="O416" s="559"/>
      <c r="P416" s="550" t="s">
        <v>71</v>
      </c>
      <c r="Q416" s="551"/>
      <c r="R416" s="551"/>
      <c r="S416" s="551"/>
      <c r="T416" s="551"/>
      <c r="U416" s="551"/>
      <c r="V416" s="552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hidden="1" x14ac:dyDescent="0.2">
      <c r="A417" s="546"/>
      <c r="B417" s="546"/>
      <c r="C417" s="546"/>
      <c r="D417" s="546"/>
      <c r="E417" s="546"/>
      <c r="F417" s="546"/>
      <c r="G417" s="546"/>
      <c r="H417" s="546"/>
      <c r="I417" s="546"/>
      <c r="J417" s="546"/>
      <c r="K417" s="546"/>
      <c r="L417" s="546"/>
      <c r="M417" s="546"/>
      <c r="N417" s="546"/>
      <c r="O417" s="559"/>
      <c r="P417" s="550" t="s">
        <v>71</v>
      </c>
      <c r="Q417" s="551"/>
      <c r="R417" s="551"/>
      <c r="S417" s="551"/>
      <c r="T417" s="551"/>
      <c r="U417" s="551"/>
      <c r="V417" s="552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hidden="1" customHeight="1" x14ac:dyDescent="0.2">
      <c r="A418" s="645" t="s">
        <v>636</v>
      </c>
      <c r="B418" s="646"/>
      <c r="C418" s="646"/>
      <c r="D418" s="646"/>
      <c r="E418" s="646"/>
      <c r="F418" s="646"/>
      <c r="G418" s="646"/>
      <c r="H418" s="646"/>
      <c r="I418" s="646"/>
      <c r="J418" s="646"/>
      <c r="K418" s="646"/>
      <c r="L418" s="646"/>
      <c r="M418" s="646"/>
      <c r="N418" s="646"/>
      <c r="O418" s="646"/>
      <c r="P418" s="646"/>
      <c r="Q418" s="646"/>
      <c r="R418" s="646"/>
      <c r="S418" s="646"/>
      <c r="T418" s="646"/>
      <c r="U418" s="646"/>
      <c r="V418" s="646"/>
      <c r="W418" s="646"/>
      <c r="X418" s="646"/>
      <c r="Y418" s="646"/>
      <c r="Z418" s="646"/>
      <c r="AA418" s="48"/>
      <c r="AB418" s="48"/>
      <c r="AC418" s="48"/>
    </row>
    <row r="419" spans="1:68" ht="16.5" hidden="1" customHeight="1" x14ac:dyDescent="0.25">
      <c r="A419" s="545" t="s">
        <v>636</v>
      </c>
      <c r="B419" s="546"/>
      <c r="C419" s="546"/>
      <c r="D419" s="546"/>
      <c r="E419" s="546"/>
      <c r="F419" s="546"/>
      <c r="G419" s="546"/>
      <c r="H419" s="546"/>
      <c r="I419" s="546"/>
      <c r="J419" s="546"/>
      <c r="K419" s="546"/>
      <c r="L419" s="546"/>
      <c r="M419" s="546"/>
      <c r="N419" s="546"/>
      <c r="O419" s="546"/>
      <c r="P419" s="546"/>
      <c r="Q419" s="546"/>
      <c r="R419" s="546"/>
      <c r="S419" s="546"/>
      <c r="T419" s="546"/>
      <c r="U419" s="546"/>
      <c r="V419" s="546"/>
      <c r="W419" s="546"/>
      <c r="X419" s="546"/>
      <c r="Y419" s="546"/>
      <c r="Z419" s="546"/>
      <c r="AA419" s="536"/>
      <c r="AB419" s="536"/>
      <c r="AC419" s="536"/>
    </row>
    <row r="420" spans="1:68" ht="14.25" hidden="1" customHeight="1" x14ac:dyDescent="0.25">
      <c r="A420" s="553" t="s">
        <v>99</v>
      </c>
      <c r="B420" s="546"/>
      <c r="C420" s="546"/>
      <c r="D420" s="546"/>
      <c r="E420" s="546"/>
      <c r="F420" s="546"/>
      <c r="G420" s="546"/>
      <c r="H420" s="546"/>
      <c r="I420" s="546"/>
      <c r="J420" s="546"/>
      <c r="K420" s="546"/>
      <c r="L420" s="546"/>
      <c r="M420" s="546"/>
      <c r="N420" s="546"/>
      <c r="O420" s="546"/>
      <c r="P420" s="546"/>
      <c r="Q420" s="546"/>
      <c r="R420" s="546"/>
      <c r="S420" s="546"/>
      <c r="T420" s="546"/>
      <c r="U420" s="546"/>
      <c r="V420" s="546"/>
      <c r="W420" s="546"/>
      <c r="X420" s="546"/>
      <c r="Y420" s="546"/>
      <c r="Z420" s="546"/>
      <c r="AA420" s="537"/>
      <c r="AB420" s="537"/>
      <c r="AC420" s="537"/>
    </row>
    <row r="421" spans="1:68" ht="27" hidden="1" customHeight="1" x14ac:dyDescent="0.25">
      <c r="A421" s="54" t="s">
        <v>637</v>
      </c>
      <c r="B421" s="54" t="s">
        <v>638</v>
      </c>
      <c r="C421" s="31">
        <v>4301011795</v>
      </c>
      <c r="D421" s="556">
        <v>4607091389067</v>
      </c>
      <c r="E421" s="557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62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8"/>
      <c r="R421" s="548"/>
      <c r="S421" s="548"/>
      <c r="T421" s="549"/>
      <c r="U421" s="34"/>
      <c r="V421" s="34"/>
      <c r="W421" s="35" t="s">
        <v>69</v>
      </c>
      <c r="X421" s="541">
        <v>0</v>
      </c>
      <c r="Y421" s="542">
        <f t="shared" ref="Y421:Y431" si="42">IFERROR(IF(X421="",0,CEILING((X421/$H421),1)*$H421),"")</f>
        <v>0</v>
      </c>
      <c r="Z421" s="36" t="str">
        <f t="shared" ref="Z421:Z426" si="43">IFERROR(IF(Y421=0,"",ROUNDUP(Y421/H421,0)*0.01196),"")</f>
        <v/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0</v>
      </c>
      <c r="BN421" s="64">
        <f t="shared" ref="BN421:BN431" si="45">IFERROR(Y421*I421/H421,"0")</f>
        <v>0</v>
      </c>
      <c r="BO421" s="64">
        <f t="shared" ref="BO421:BO431" si="46">IFERROR(1/J421*(X421/H421),"0")</f>
        <v>0</v>
      </c>
      <c r="BP421" s="64">
        <f t="shared" ref="BP421:BP431" si="47">IFERROR(1/J421*(Y421/H421),"0")</f>
        <v>0</v>
      </c>
    </row>
    <row r="422" spans="1:68" ht="27" hidden="1" customHeight="1" x14ac:dyDescent="0.25">
      <c r="A422" s="54" t="s">
        <v>639</v>
      </c>
      <c r="B422" s="54" t="s">
        <v>640</v>
      </c>
      <c r="C422" s="31">
        <v>4301012145</v>
      </c>
      <c r="D422" s="556">
        <v>4607091383522</v>
      </c>
      <c r="E422" s="557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/>
      <c r="M422" s="33" t="s">
        <v>104</v>
      </c>
      <c r="N422" s="33"/>
      <c r="O422" s="32">
        <v>60</v>
      </c>
      <c r="P422" s="79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48"/>
      <c r="R422" s="548"/>
      <c r="S422" s="548"/>
      <c r="T422" s="549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hidden="1" customHeight="1" x14ac:dyDescent="0.25">
      <c r="A423" s="54" t="s">
        <v>642</v>
      </c>
      <c r="B423" s="54" t="s">
        <v>643</v>
      </c>
      <c r="C423" s="31">
        <v>4301011961</v>
      </c>
      <c r="D423" s="556">
        <v>4680115885271</v>
      </c>
      <c r="E423" s="557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104</v>
      </c>
      <c r="N423" s="33"/>
      <c r="O423" s="32">
        <v>60</v>
      </c>
      <c r="P423" s="80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48"/>
      <c r="R423" s="548"/>
      <c r="S423" s="548"/>
      <c r="T423" s="549"/>
      <c r="U423" s="34"/>
      <c r="V423" s="34"/>
      <c r="W423" s="35" t="s">
        <v>69</v>
      </c>
      <c r="X423" s="541">
        <v>0</v>
      </c>
      <c r="Y423" s="542">
        <f t="shared" si="42"/>
        <v>0</v>
      </c>
      <c r="Z423" s="36" t="str">
        <f t="shared" si="43"/>
        <v/>
      </c>
      <c r="AA423" s="56"/>
      <c r="AB423" s="57"/>
      <c r="AC423" s="465" t="s">
        <v>644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27" customHeight="1" x14ac:dyDescent="0.25">
      <c r="A424" s="54" t="s">
        <v>645</v>
      </c>
      <c r="B424" s="54" t="s">
        <v>646</v>
      </c>
      <c r="C424" s="31">
        <v>4301011376</v>
      </c>
      <c r="D424" s="556">
        <v>4680115885226</v>
      </c>
      <c r="E424" s="557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 t="s">
        <v>103</v>
      </c>
      <c r="M424" s="33" t="s">
        <v>77</v>
      </c>
      <c r="N424" s="33"/>
      <c r="O424" s="32">
        <v>60</v>
      </c>
      <c r="P424" s="74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48"/>
      <c r="R424" s="548"/>
      <c r="S424" s="548"/>
      <c r="T424" s="549"/>
      <c r="U424" s="34"/>
      <c r="V424" s="34"/>
      <c r="W424" s="35" t="s">
        <v>69</v>
      </c>
      <c r="X424" s="541">
        <v>703</v>
      </c>
      <c r="Y424" s="542">
        <f t="shared" si="42"/>
        <v>707.52</v>
      </c>
      <c r="Z424" s="36">
        <f t="shared" si="43"/>
        <v>1.6026400000000001</v>
      </c>
      <c r="AA424" s="56"/>
      <c r="AB424" s="57"/>
      <c r="AC424" s="467" t="s">
        <v>647</v>
      </c>
      <c r="AG424" s="64"/>
      <c r="AJ424" s="68" t="s">
        <v>106</v>
      </c>
      <c r="AK424" s="68">
        <v>42.24</v>
      </c>
      <c r="BB424" s="468" t="s">
        <v>1</v>
      </c>
      <c r="BM424" s="64">
        <f t="shared" si="44"/>
        <v>749.60037878787875</v>
      </c>
      <c r="BN424" s="64">
        <f t="shared" si="45"/>
        <v>754.42</v>
      </c>
      <c r="BO424" s="64">
        <f t="shared" si="46"/>
        <v>1.2802301864801864</v>
      </c>
      <c r="BP424" s="64">
        <f t="shared" si="47"/>
        <v>1.2884615384615385</v>
      </c>
    </row>
    <row r="425" spans="1:68" ht="16.5" hidden="1" customHeight="1" x14ac:dyDescent="0.25">
      <c r="A425" s="54" t="s">
        <v>648</v>
      </c>
      <c r="B425" s="54" t="s">
        <v>649</v>
      </c>
      <c r="C425" s="31">
        <v>4301011774</v>
      </c>
      <c r="D425" s="556">
        <v>4680115884502</v>
      </c>
      <c r="E425" s="557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4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8"/>
      <c r="R425" s="548"/>
      <c r="S425" s="548"/>
      <c r="T425" s="549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650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651</v>
      </c>
      <c r="B426" s="54" t="s">
        <v>652</v>
      </c>
      <c r="C426" s="31">
        <v>4301011771</v>
      </c>
      <c r="D426" s="556">
        <v>4607091389104</v>
      </c>
      <c r="E426" s="557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80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8"/>
      <c r="R426" s="548"/>
      <c r="S426" s="548"/>
      <c r="T426" s="549"/>
      <c r="U426" s="34"/>
      <c r="V426" s="34"/>
      <c r="W426" s="35" t="s">
        <v>69</v>
      </c>
      <c r="X426" s="541">
        <v>988</v>
      </c>
      <c r="Y426" s="542">
        <f t="shared" si="42"/>
        <v>992.6400000000001</v>
      </c>
      <c r="Z426" s="36">
        <f t="shared" si="43"/>
        <v>2.2484799999999998</v>
      </c>
      <c r="AA426" s="56"/>
      <c r="AB426" s="57"/>
      <c r="AC426" s="471" t="s">
        <v>653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1053.492424242424</v>
      </c>
      <c r="BN426" s="64">
        <f t="shared" si="45"/>
        <v>1058.44</v>
      </c>
      <c r="BO426" s="64">
        <f t="shared" si="46"/>
        <v>1.7992424242424243</v>
      </c>
      <c r="BP426" s="64">
        <f t="shared" si="47"/>
        <v>1.8076923076923077</v>
      </c>
    </row>
    <row r="427" spans="1:68" ht="27" hidden="1" customHeight="1" x14ac:dyDescent="0.25">
      <c r="A427" s="54" t="s">
        <v>654</v>
      </c>
      <c r="B427" s="54" t="s">
        <v>655</v>
      </c>
      <c r="C427" s="31">
        <v>4301012125</v>
      </c>
      <c r="D427" s="556">
        <v>4680115886391</v>
      </c>
      <c r="E427" s="557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76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8"/>
      <c r="R427" s="548"/>
      <c r="S427" s="548"/>
      <c r="T427" s="549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656</v>
      </c>
      <c r="B428" s="54" t="s">
        <v>657</v>
      </c>
      <c r="C428" s="31">
        <v>4301012035</v>
      </c>
      <c r="D428" s="556">
        <v>4680115880603</v>
      </c>
      <c r="E428" s="557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80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8"/>
      <c r="R428" s="548"/>
      <c r="S428" s="548"/>
      <c r="T428" s="549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658</v>
      </c>
      <c r="B429" s="54" t="s">
        <v>659</v>
      </c>
      <c r="C429" s="31">
        <v>4301012036</v>
      </c>
      <c r="D429" s="556">
        <v>4680115882782</v>
      </c>
      <c r="E429" s="557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79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8"/>
      <c r="R429" s="548"/>
      <c r="S429" s="548"/>
      <c r="T429" s="549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644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660</v>
      </c>
      <c r="B430" s="54" t="s">
        <v>661</v>
      </c>
      <c r="C430" s="31">
        <v>4301012050</v>
      </c>
      <c r="D430" s="556">
        <v>4680115885479</v>
      </c>
      <c r="E430" s="557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63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8"/>
      <c r="R430" s="548"/>
      <c r="S430" s="548"/>
      <c r="T430" s="549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hidden="1" customHeight="1" x14ac:dyDescent="0.25">
      <c r="A431" s="54" t="s">
        <v>663</v>
      </c>
      <c r="B431" s="54" t="s">
        <v>664</v>
      </c>
      <c r="C431" s="31">
        <v>4301012034</v>
      </c>
      <c r="D431" s="556">
        <v>4607091389982</v>
      </c>
      <c r="E431" s="557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77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8"/>
      <c r="R431" s="548"/>
      <c r="S431" s="548"/>
      <c r="T431" s="549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653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8"/>
      <c r="B432" s="546"/>
      <c r="C432" s="546"/>
      <c r="D432" s="546"/>
      <c r="E432" s="546"/>
      <c r="F432" s="546"/>
      <c r="G432" s="546"/>
      <c r="H432" s="546"/>
      <c r="I432" s="546"/>
      <c r="J432" s="546"/>
      <c r="K432" s="546"/>
      <c r="L432" s="546"/>
      <c r="M432" s="546"/>
      <c r="N432" s="546"/>
      <c r="O432" s="559"/>
      <c r="P432" s="550" t="s">
        <v>71</v>
      </c>
      <c r="Q432" s="551"/>
      <c r="R432" s="551"/>
      <c r="S432" s="551"/>
      <c r="T432" s="551"/>
      <c r="U432" s="551"/>
      <c r="V432" s="552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320.2651515151515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322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3.8511199999999999</v>
      </c>
      <c r="AA432" s="544"/>
      <c r="AB432" s="544"/>
      <c r="AC432" s="544"/>
    </row>
    <row r="433" spans="1:68" x14ac:dyDescent="0.2">
      <c r="A433" s="546"/>
      <c r="B433" s="546"/>
      <c r="C433" s="546"/>
      <c r="D433" s="546"/>
      <c r="E433" s="546"/>
      <c r="F433" s="546"/>
      <c r="G433" s="546"/>
      <c r="H433" s="546"/>
      <c r="I433" s="546"/>
      <c r="J433" s="546"/>
      <c r="K433" s="546"/>
      <c r="L433" s="546"/>
      <c r="M433" s="546"/>
      <c r="N433" s="546"/>
      <c r="O433" s="559"/>
      <c r="P433" s="550" t="s">
        <v>71</v>
      </c>
      <c r="Q433" s="551"/>
      <c r="R433" s="551"/>
      <c r="S433" s="551"/>
      <c r="T433" s="551"/>
      <c r="U433" s="551"/>
      <c r="V433" s="552"/>
      <c r="W433" s="37" t="s">
        <v>69</v>
      </c>
      <c r="X433" s="543">
        <f>IFERROR(SUM(X421:X431),"0")</f>
        <v>1691</v>
      </c>
      <c r="Y433" s="543">
        <f>IFERROR(SUM(Y421:Y431),"0")</f>
        <v>1700.16</v>
      </c>
      <c r="Z433" s="37"/>
      <c r="AA433" s="544"/>
      <c r="AB433" s="544"/>
      <c r="AC433" s="544"/>
    </row>
    <row r="434" spans="1:68" ht="14.25" hidden="1" customHeight="1" x14ac:dyDescent="0.25">
      <c r="A434" s="553" t="s">
        <v>135</v>
      </c>
      <c r="B434" s="546"/>
      <c r="C434" s="546"/>
      <c r="D434" s="546"/>
      <c r="E434" s="546"/>
      <c r="F434" s="546"/>
      <c r="G434" s="546"/>
      <c r="H434" s="546"/>
      <c r="I434" s="546"/>
      <c r="J434" s="546"/>
      <c r="K434" s="546"/>
      <c r="L434" s="546"/>
      <c r="M434" s="546"/>
      <c r="N434" s="546"/>
      <c r="O434" s="546"/>
      <c r="P434" s="546"/>
      <c r="Q434" s="546"/>
      <c r="R434" s="546"/>
      <c r="S434" s="546"/>
      <c r="T434" s="546"/>
      <c r="U434" s="546"/>
      <c r="V434" s="546"/>
      <c r="W434" s="546"/>
      <c r="X434" s="546"/>
      <c r="Y434" s="546"/>
      <c r="Z434" s="546"/>
      <c r="AA434" s="537"/>
      <c r="AB434" s="537"/>
      <c r="AC434" s="537"/>
    </row>
    <row r="435" spans="1:68" ht="16.5" customHeight="1" x14ac:dyDescent="0.25">
      <c r="A435" s="54" t="s">
        <v>665</v>
      </c>
      <c r="B435" s="54" t="s">
        <v>666</v>
      </c>
      <c r="C435" s="31">
        <v>4301020334</v>
      </c>
      <c r="D435" s="556">
        <v>4607091388930</v>
      </c>
      <c r="E435" s="557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58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8"/>
      <c r="R435" s="548"/>
      <c r="S435" s="548"/>
      <c r="T435" s="549"/>
      <c r="U435" s="34"/>
      <c r="V435" s="34"/>
      <c r="W435" s="35" t="s">
        <v>69</v>
      </c>
      <c r="X435" s="541">
        <v>562</v>
      </c>
      <c r="Y435" s="542">
        <f>IFERROR(IF(X435="",0,CEILING((X435/$H435),1)*$H435),"")</f>
        <v>564.96</v>
      </c>
      <c r="Z435" s="36">
        <f>IFERROR(IF(Y435=0,"",ROUNDUP(Y435/H435,0)*0.01196),"")</f>
        <v>1.27972</v>
      </c>
      <c r="AA435" s="56"/>
      <c r="AB435" s="57"/>
      <c r="AC435" s="483" t="s">
        <v>667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599.25378787878788</v>
      </c>
      <c r="BN435" s="64">
        <f>IFERROR(Y435*I435/H435,"0")</f>
        <v>602.41</v>
      </c>
      <c r="BO435" s="64">
        <f>IFERROR(1/J435*(X435/H435),"0")</f>
        <v>1.023455710955711</v>
      </c>
      <c r="BP435" s="64">
        <f>IFERROR(1/J435*(Y435/H435),"0")</f>
        <v>1.028846153846154</v>
      </c>
    </row>
    <row r="436" spans="1:68" ht="16.5" hidden="1" customHeight="1" x14ac:dyDescent="0.25">
      <c r="A436" s="54" t="s">
        <v>668</v>
      </c>
      <c r="B436" s="54" t="s">
        <v>669</v>
      </c>
      <c r="C436" s="31">
        <v>4301020384</v>
      </c>
      <c r="D436" s="556">
        <v>4680115886407</v>
      </c>
      <c r="E436" s="557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65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8"/>
      <c r="R436" s="548"/>
      <c r="S436" s="548"/>
      <c r="T436" s="549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667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670</v>
      </c>
      <c r="B437" s="54" t="s">
        <v>671</v>
      </c>
      <c r="C437" s="31">
        <v>4301020385</v>
      </c>
      <c r="D437" s="556">
        <v>4680115880054</v>
      </c>
      <c r="E437" s="557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 t="s">
        <v>110</v>
      </c>
      <c r="M437" s="33" t="s">
        <v>104</v>
      </c>
      <c r="N437" s="33"/>
      <c r="O437" s="32">
        <v>70</v>
      </c>
      <c r="P437" s="86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8"/>
      <c r="R437" s="548"/>
      <c r="S437" s="548"/>
      <c r="T437" s="549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667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8"/>
      <c r="B438" s="546"/>
      <c r="C438" s="546"/>
      <c r="D438" s="546"/>
      <c r="E438" s="546"/>
      <c r="F438" s="546"/>
      <c r="G438" s="546"/>
      <c r="H438" s="546"/>
      <c r="I438" s="546"/>
      <c r="J438" s="546"/>
      <c r="K438" s="546"/>
      <c r="L438" s="546"/>
      <c r="M438" s="546"/>
      <c r="N438" s="546"/>
      <c r="O438" s="559"/>
      <c r="P438" s="550" t="s">
        <v>71</v>
      </c>
      <c r="Q438" s="551"/>
      <c r="R438" s="551"/>
      <c r="S438" s="551"/>
      <c r="T438" s="551"/>
      <c r="U438" s="551"/>
      <c r="V438" s="552"/>
      <c r="W438" s="37" t="s">
        <v>72</v>
      </c>
      <c r="X438" s="543">
        <f>IFERROR(X435/H435,"0")+IFERROR(X436/H436,"0")+IFERROR(X437/H437,"0")</f>
        <v>106.43939393939394</v>
      </c>
      <c r="Y438" s="543">
        <f>IFERROR(Y435/H435,"0")+IFERROR(Y436/H436,"0")+IFERROR(Y437/H437,"0")</f>
        <v>107</v>
      </c>
      <c r="Z438" s="543">
        <f>IFERROR(IF(Z435="",0,Z435),"0")+IFERROR(IF(Z436="",0,Z436),"0")+IFERROR(IF(Z437="",0,Z437),"0")</f>
        <v>1.27972</v>
      </c>
      <c r="AA438" s="544"/>
      <c r="AB438" s="544"/>
      <c r="AC438" s="544"/>
    </row>
    <row r="439" spans="1:68" x14ac:dyDescent="0.2">
      <c r="A439" s="546"/>
      <c r="B439" s="546"/>
      <c r="C439" s="546"/>
      <c r="D439" s="546"/>
      <c r="E439" s="546"/>
      <c r="F439" s="546"/>
      <c r="G439" s="546"/>
      <c r="H439" s="546"/>
      <c r="I439" s="546"/>
      <c r="J439" s="546"/>
      <c r="K439" s="546"/>
      <c r="L439" s="546"/>
      <c r="M439" s="546"/>
      <c r="N439" s="546"/>
      <c r="O439" s="559"/>
      <c r="P439" s="550" t="s">
        <v>71</v>
      </c>
      <c r="Q439" s="551"/>
      <c r="R439" s="551"/>
      <c r="S439" s="551"/>
      <c r="T439" s="551"/>
      <c r="U439" s="551"/>
      <c r="V439" s="552"/>
      <c r="W439" s="37" t="s">
        <v>69</v>
      </c>
      <c r="X439" s="543">
        <f>IFERROR(SUM(X435:X437),"0")</f>
        <v>562</v>
      </c>
      <c r="Y439" s="543">
        <f>IFERROR(SUM(Y435:Y437),"0")</f>
        <v>564.96</v>
      </c>
      <c r="Z439" s="37"/>
      <c r="AA439" s="544"/>
      <c r="AB439" s="544"/>
      <c r="AC439" s="544"/>
    </row>
    <row r="440" spans="1:68" ht="14.25" hidden="1" customHeight="1" x14ac:dyDescent="0.25">
      <c r="A440" s="553" t="s">
        <v>64</v>
      </c>
      <c r="B440" s="546"/>
      <c r="C440" s="546"/>
      <c r="D440" s="546"/>
      <c r="E440" s="546"/>
      <c r="F440" s="546"/>
      <c r="G440" s="546"/>
      <c r="H440" s="546"/>
      <c r="I440" s="546"/>
      <c r="J440" s="546"/>
      <c r="K440" s="546"/>
      <c r="L440" s="546"/>
      <c r="M440" s="546"/>
      <c r="N440" s="546"/>
      <c r="O440" s="546"/>
      <c r="P440" s="546"/>
      <c r="Q440" s="546"/>
      <c r="R440" s="546"/>
      <c r="S440" s="546"/>
      <c r="T440" s="546"/>
      <c r="U440" s="546"/>
      <c r="V440" s="546"/>
      <c r="W440" s="546"/>
      <c r="X440" s="546"/>
      <c r="Y440" s="546"/>
      <c r="Z440" s="546"/>
      <c r="AA440" s="537"/>
      <c r="AB440" s="537"/>
      <c r="AC440" s="537"/>
    </row>
    <row r="441" spans="1:68" ht="27" customHeight="1" x14ac:dyDescent="0.25">
      <c r="A441" s="54" t="s">
        <v>672</v>
      </c>
      <c r="B441" s="54" t="s">
        <v>673</v>
      </c>
      <c r="C441" s="31">
        <v>4301031349</v>
      </c>
      <c r="D441" s="556">
        <v>4680115883116</v>
      </c>
      <c r="E441" s="557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0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8"/>
      <c r="R441" s="548"/>
      <c r="S441" s="548"/>
      <c r="T441" s="549"/>
      <c r="U441" s="34"/>
      <c r="V441" s="34"/>
      <c r="W441" s="35" t="s">
        <v>69</v>
      </c>
      <c r="X441" s="541">
        <v>177</v>
      </c>
      <c r="Y441" s="542">
        <f t="shared" ref="Y441:Y446" si="48">IFERROR(IF(X441="",0,CEILING((X441/$H441),1)*$H441),"")</f>
        <v>179.52</v>
      </c>
      <c r="Z441" s="36">
        <f>IFERROR(IF(Y441=0,"",ROUNDUP(Y441/H441,0)*0.01196),"")</f>
        <v>0.40664</v>
      </c>
      <c r="AA441" s="56"/>
      <c r="AB441" s="57"/>
      <c r="AC441" s="489" t="s">
        <v>674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188.73295454545453</v>
      </c>
      <c r="BN441" s="64">
        <f t="shared" ref="BN441:BN446" si="50">IFERROR(Y441*I441/H441,"0")</f>
        <v>191.42000000000002</v>
      </c>
      <c r="BO441" s="64">
        <f t="shared" ref="BO441:BO446" si="51">IFERROR(1/J441*(X441/H441),"0")</f>
        <v>0.32233391608391609</v>
      </c>
      <c r="BP441" s="64">
        <f t="shared" ref="BP441:BP446" si="52">IFERROR(1/J441*(Y441/H441),"0")</f>
        <v>0.32692307692307693</v>
      </c>
    </row>
    <row r="442" spans="1:68" ht="27" customHeight="1" x14ac:dyDescent="0.25">
      <c r="A442" s="54" t="s">
        <v>675</v>
      </c>
      <c r="B442" s="54" t="s">
        <v>676</v>
      </c>
      <c r="C442" s="31">
        <v>4301031350</v>
      </c>
      <c r="D442" s="556">
        <v>4680115883093</v>
      </c>
      <c r="E442" s="557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78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8"/>
      <c r="R442" s="548"/>
      <c r="S442" s="548"/>
      <c r="T442" s="549"/>
      <c r="U442" s="34"/>
      <c r="V442" s="34"/>
      <c r="W442" s="35" t="s">
        <v>69</v>
      </c>
      <c r="X442" s="541">
        <v>211</v>
      </c>
      <c r="Y442" s="542">
        <f t="shared" si="48"/>
        <v>211.20000000000002</v>
      </c>
      <c r="Z442" s="36">
        <f>IFERROR(IF(Y442=0,"",ROUNDUP(Y442/H442,0)*0.01196),"")</f>
        <v>0.47839999999999999</v>
      </c>
      <c r="AA442" s="56"/>
      <c r="AB442" s="57"/>
      <c r="AC442" s="491" t="s">
        <v>677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224.98674242424244</v>
      </c>
      <c r="BN442" s="64">
        <f t="shared" si="50"/>
        <v>225.2</v>
      </c>
      <c r="BO442" s="64">
        <f t="shared" si="51"/>
        <v>0.3842511655011655</v>
      </c>
      <c r="BP442" s="64">
        <f t="shared" si="52"/>
        <v>0.38461538461538464</v>
      </c>
    </row>
    <row r="443" spans="1:68" ht="27" customHeight="1" x14ac:dyDescent="0.25">
      <c r="A443" s="54" t="s">
        <v>678</v>
      </c>
      <c r="B443" s="54" t="s">
        <v>679</v>
      </c>
      <c r="C443" s="31">
        <v>4301031353</v>
      </c>
      <c r="D443" s="556">
        <v>4680115883109</v>
      </c>
      <c r="E443" s="557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85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8"/>
      <c r="R443" s="548"/>
      <c r="S443" s="548"/>
      <c r="T443" s="549"/>
      <c r="U443" s="34"/>
      <c r="V443" s="34"/>
      <c r="W443" s="35" t="s">
        <v>69</v>
      </c>
      <c r="X443" s="541">
        <v>415</v>
      </c>
      <c r="Y443" s="542">
        <f t="shared" si="48"/>
        <v>417.12</v>
      </c>
      <c r="Z443" s="36">
        <f>IFERROR(IF(Y443=0,"",ROUNDUP(Y443/H443,0)*0.01196),"")</f>
        <v>0.94484000000000001</v>
      </c>
      <c r="AA443" s="56"/>
      <c r="AB443" s="57"/>
      <c r="AC443" s="493" t="s">
        <v>680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442.50946969696963</v>
      </c>
      <c r="BN443" s="64">
        <f t="shared" si="50"/>
        <v>444.77</v>
      </c>
      <c r="BO443" s="64">
        <f t="shared" si="51"/>
        <v>0.75575466200466201</v>
      </c>
      <c r="BP443" s="64">
        <f t="shared" si="52"/>
        <v>0.75961538461538469</v>
      </c>
    </row>
    <row r="444" spans="1:68" ht="27" hidden="1" customHeight="1" x14ac:dyDescent="0.25">
      <c r="A444" s="54" t="s">
        <v>681</v>
      </c>
      <c r="B444" s="54" t="s">
        <v>682</v>
      </c>
      <c r="C444" s="31">
        <v>4301031419</v>
      </c>
      <c r="D444" s="556">
        <v>4680115882072</v>
      </c>
      <c r="E444" s="557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56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8"/>
      <c r="R444" s="548"/>
      <c r="S444" s="548"/>
      <c r="T444" s="549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674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683</v>
      </c>
      <c r="B445" s="54" t="s">
        <v>684</v>
      </c>
      <c r="C445" s="31">
        <v>4301031418</v>
      </c>
      <c r="D445" s="556">
        <v>4680115882102</v>
      </c>
      <c r="E445" s="557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83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8"/>
      <c r="R445" s="548"/>
      <c r="S445" s="548"/>
      <c r="T445" s="549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hidden="1" customHeight="1" x14ac:dyDescent="0.25">
      <c r="A446" s="54" t="s">
        <v>685</v>
      </c>
      <c r="B446" s="54" t="s">
        <v>686</v>
      </c>
      <c r="C446" s="31">
        <v>4301031417</v>
      </c>
      <c r="D446" s="556">
        <v>4680115882096</v>
      </c>
      <c r="E446" s="557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0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8"/>
      <c r="R446" s="548"/>
      <c r="S446" s="548"/>
      <c r="T446" s="549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680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8"/>
      <c r="B447" s="546"/>
      <c r="C447" s="546"/>
      <c r="D447" s="546"/>
      <c r="E447" s="546"/>
      <c r="F447" s="546"/>
      <c r="G447" s="546"/>
      <c r="H447" s="546"/>
      <c r="I447" s="546"/>
      <c r="J447" s="546"/>
      <c r="K447" s="546"/>
      <c r="L447" s="546"/>
      <c r="M447" s="546"/>
      <c r="N447" s="546"/>
      <c r="O447" s="559"/>
      <c r="P447" s="550" t="s">
        <v>71</v>
      </c>
      <c r="Q447" s="551"/>
      <c r="R447" s="551"/>
      <c r="S447" s="551"/>
      <c r="T447" s="551"/>
      <c r="U447" s="551"/>
      <c r="V447" s="552"/>
      <c r="W447" s="37" t="s">
        <v>72</v>
      </c>
      <c r="X447" s="543">
        <f>IFERROR(X441/H441,"0")+IFERROR(X442/H442,"0")+IFERROR(X443/H443,"0")+IFERROR(X444/H444,"0")+IFERROR(X445/H445,"0")+IFERROR(X446/H446,"0")</f>
        <v>152.08333333333331</v>
      </c>
      <c r="Y447" s="543">
        <f>IFERROR(Y441/H441,"0")+IFERROR(Y442/H442,"0")+IFERROR(Y443/H443,"0")+IFERROR(Y444/H444,"0")+IFERROR(Y445/H445,"0")+IFERROR(Y446/H446,"0")</f>
        <v>153</v>
      </c>
      <c r="Z447" s="543">
        <f>IFERROR(IF(Z441="",0,Z441),"0")+IFERROR(IF(Z442="",0,Z442),"0")+IFERROR(IF(Z443="",0,Z443),"0")+IFERROR(IF(Z444="",0,Z444),"0")+IFERROR(IF(Z445="",0,Z445),"0")+IFERROR(IF(Z446="",0,Z446),"0")</f>
        <v>1.8298800000000002</v>
      </c>
      <c r="AA447" s="544"/>
      <c r="AB447" s="544"/>
      <c r="AC447" s="544"/>
    </row>
    <row r="448" spans="1:68" x14ac:dyDescent="0.2">
      <c r="A448" s="546"/>
      <c r="B448" s="546"/>
      <c r="C448" s="546"/>
      <c r="D448" s="546"/>
      <c r="E448" s="546"/>
      <c r="F448" s="546"/>
      <c r="G448" s="546"/>
      <c r="H448" s="546"/>
      <c r="I448" s="546"/>
      <c r="J448" s="546"/>
      <c r="K448" s="546"/>
      <c r="L448" s="546"/>
      <c r="M448" s="546"/>
      <c r="N448" s="546"/>
      <c r="O448" s="559"/>
      <c r="P448" s="550" t="s">
        <v>71</v>
      </c>
      <c r="Q448" s="551"/>
      <c r="R448" s="551"/>
      <c r="S448" s="551"/>
      <c r="T448" s="551"/>
      <c r="U448" s="551"/>
      <c r="V448" s="552"/>
      <c r="W448" s="37" t="s">
        <v>69</v>
      </c>
      <c r="X448" s="543">
        <f>IFERROR(SUM(X441:X446),"0")</f>
        <v>803</v>
      </c>
      <c r="Y448" s="543">
        <f>IFERROR(SUM(Y441:Y446),"0")</f>
        <v>807.84</v>
      </c>
      <c r="Z448" s="37"/>
      <c r="AA448" s="544"/>
      <c r="AB448" s="544"/>
      <c r="AC448" s="544"/>
    </row>
    <row r="449" spans="1:68" ht="14.25" hidden="1" customHeight="1" x14ac:dyDescent="0.25">
      <c r="A449" s="553" t="s">
        <v>73</v>
      </c>
      <c r="B449" s="546"/>
      <c r="C449" s="546"/>
      <c r="D449" s="546"/>
      <c r="E449" s="546"/>
      <c r="F449" s="546"/>
      <c r="G449" s="546"/>
      <c r="H449" s="546"/>
      <c r="I449" s="546"/>
      <c r="J449" s="546"/>
      <c r="K449" s="546"/>
      <c r="L449" s="546"/>
      <c r="M449" s="546"/>
      <c r="N449" s="546"/>
      <c r="O449" s="546"/>
      <c r="P449" s="546"/>
      <c r="Q449" s="546"/>
      <c r="R449" s="546"/>
      <c r="S449" s="546"/>
      <c r="T449" s="546"/>
      <c r="U449" s="546"/>
      <c r="V449" s="546"/>
      <c r="W449" s="546"/>
      <c r="X449" s="546"/>
      <c r="Y449" s="546"/>
      <c r="Z449" s="546"/>
      <c r="AA449" s="537"/>
      <c r="AB449" s="537"/>
      <c r="AC449" s="537"/>
    </row>
    <row r="450" spans="1:68" ht="16.5" hidden="1" customHeight="1" x14ac:dyDescent="0.25">
      <c r="A450" s="54" t="s">
        <v>687</v>
      </c>
      <c r="B450" s="54" t="s">
        <v>688</v>
      </c>
      <c r="C450" s="31">
        <v>4301051232</v>
      </c>
      <c r="D450" s="556">
        <v>4607091383409</v>
      </c>
      <c r="E450" s="557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70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8"/>
      <c r="R450" s="548"/>
      <c r="S450" s="548"/>
      <c r="T450" s="549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690</v>
      </c>
      <c r="B451" s="54" t="s">
        <v>691</v>
      </c>
      <c r="C451" s="31">
        <v>4301051233</v>
      </c>
      <c r="D451" s="556">
        <v>4607091383416</v>
      </c>
      <c r="E451" s="557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49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8"/>
      <c r="R451" s="548"/>
      <c r="S451" s="548"/>
      <c r="T451" s="549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693</v>
      </c>
      <c r="B452" s="54" t="s">
        <v>694</v>
      </c>
      <c r="C452" s="31">
        <v>4301051064</v>
      </c>
      <c r="D452" s="556">
        <v>4680115883536</v>
      </c>
      <c r="E452" s="557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85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8"/>
      <c r="R452" s="548"/>
      <c r="S452" s="548"/>
      <c r="T452" s="549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8"/>
      <c r="B453" s="546"/>
      <c r="C453" s="546"/>
      <c r="D453" s="546"/>
      <c r="E453" s="546"/>
      <c r="F453" s="546"/>
      <c r="G453" s="546"/>
      <c r="H453" s="546"/>
      <c r="I453" s="546"/>
      <c r="J453" s="546"/>
      <c r="K453" s="546"/>
      <c r="L453" s="546"/>
      <c r="M453" s="546"/>
      <c r="N453" s="546"/>
      <c r="O453" s="559"/>
      <c r="P453" s="550" t="s">
        <v>71</v>
      </c>
      <c r="Q453" s="551"/>
      <c r="R453" s="551"/>
      <c r="S453" s="551"/>
      <c r="T453" s="551"/>
      <c r="U453" s="551"/>
      <c r="V453" s="552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46"/>
      <c r="B454" s="546"/>
      <c r="C454" s="546"/>
      <c r="D454" s="546"/>
      <c r="E454" s="546"/>
      <c r="F454" s="546"/>
      <c r="G454" s="546"/>
      <c r="H454" s="546"/>
      <c r="I454" s="546"/>
      <c r="J454" s="546"/>
      <c r="K454" s="546"/>
      <c r="L454" s="546"/>
      <c r="M454" s="546"/>
      <c r="N454" s="546"/>
      <c r="O454" s="559"/>
      <c r="P454" s="550" t="s">
        <v>71</v>
      </c>
      <c r="Q454" s="551"/>
      <c r="R454" s="551"/>
      <c r="S454" s="551"/>
      <c r="T454" s="551"/>
      <c r="U454" s="551"/>
      <c r="V454" s="552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45" t="s">
        <v>696</v>
      </c>
      <c r="B455" s="646"/>
      <c r="C455" s="646"/>
      <c r="D455" s="646"/>
      <c r="E455" s="646"/>
      <c r="F455" s="646"/>
      <c r="G455" s="646"/>
      <c r="H455" s="646"/>
      <c r="I455" s="646"/>
      <c r="J455" s="646"/>
      <c r="K455" s="646"/>
      <c r="L455" s="646"/>
      <c r="M455" s="646"/>
      <c r="N455" s="646"/>
      <c r="O455" s="646"/>
      <c r="P455" s="646"/>
      <c r="Q455" s="646"/>
      <c r="R455" s="646"/>
      <c r="S455" s="646"/>
      <c r="T455" s="646"/>
      <c r="U455" s="646"/>
      <c r="V455" s="646"/>
      <c r="W455" s="646"/>
      <c r="X455" s="646"/>
      <c r="Y455" s="646"/>
      <c r="Z455" s="646"/>
      <c r="AA455" s="48"/>
      <c r="AB455" s="48"/>
      <c r="AC455" s="48"/>
    </row>
    <row r="456" spans="1:68" ht="16.5" hidden="1" customHeight="1" x14ac:dyDescent="0.25">
      <c r="A456" s="545" t="s">
        <v>696</v>
      </c>
      <c r="B456" s="546"/>
      <c r="C456" s="546"/>
      <c r="D456" s="546"/>
      <c r="E456" s="546"/>
      <c r="F456" s="546"/>
      <c r="G456" s="546"/>
      <c r="H456" s="546"/>
      <c r="I456" s="546"/>
      <c r="J456" s="546"/>
      <c r="K456" s="546"/>
      <c r="L456" s="546"/>
      <c r="M456" s="546"/>
      <c r="N456" s="546"/>
      <c r="O456" s="546"/>
      <c r="P456" s="546"/>
      <c r="Q456" s="546"/>
      <c r="R456" s="546"/>
      <c r="S456" s="546"/>
      <c r="T456" s="546"/>
      <c r="U456" s="546"/>
      <c r="V456" s="546"/>
      <c r="W456" s="546"/>
      <c r="X456" s="546"/>
      <c r="Y456" s="546"/>
      <c r="Z456" s="546"/>
      <c r="AA456" s="536"/>
      <c r="AB456" s="536"/>
      <c r="AC456" s="536"/>
    </row>
    <row r="457" spans="1:68" ht="14.25" hidden="1" customHeight="1" x14ac:dyDescent="0.25">
      <c r="A457" s="553" t="s">
        <v>99</v>
      </c>
      <c r="B457" s="546"/>
      <c r="C457" s="546"/>
      <c r="D457" s="546"/>
      <c r="E457" s="546"/>
      <c r="F457" s="546"/>
      <c r="G457" s="546"/>
      <c r="H457" s="546"/>
      <c r="I457" s="546"/>
      <c r="J457" s="546"/>
      <c r="K457" s="546"/>
      <c r="L457" s="546"/>
      <c r="M457" s="546"/>
      <c r="N457" s="546"/>
      <c r="O457" s="546"/>
      <c r="P457" s="546"/>
      <c r="Q457" s="546"/>
      <c r="R457" s="546"/>
      <c r="S457" s="546"/>
      <c r="T457" s="546"/>
      <c r="U457" s="546"/>
      <c r="V457" s="546"/>
      <c r="W457" s="546"/>
      <c r="X457" s="546"/>
      <c r="Y457" s="546"/>
      <c r="Z457" s="546"/>
      <c r="AA457" s="537"/>
      <c r="AB457" s="537"/>
      <c r="AC457" s="537"/>
    </row>
    <row r="458" spans="1:68" ht="27" hidden="1" customHeight="1" x14ac:dyDescent="0.25">
      <c r="A458" s="54" t="s">
        <v>697</v>
      </c>
      <c r="B458" s="54" t="s">
        <v>698</v>
      </c>
      <c r="C458" s="31">
        <v>4301011763</v>
      </c>
      <c r="D458" s="556">
        <v>4640242181011</v>
      </c>
      <c r="E458" s="557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83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8"/>
      <c r="R458" s="548"/>
      <c r="S458" s="548"/>
      <c r="T458" s="549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700</v>
      </c>
      <c r="B459" s="54" t="s">
        <v>701</v>
      </c>
      <c r="C459" s="31">
        <v>4301011585</v>
      </c>
      <c r="D459" s="556">
        <v>4640242180441</v>
      </c>
      <c r="E459" s="557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69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8"/>
      <c r="R459" s="548"/>
      <c r="S459" s="548"/>
      <c r="T459" s="549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703</v>
      </c>
      <c r="B460" s="54" t="s">
        <v>704</v>
      </c>
      <c r="C460" s="31">
        <v>4301011584</v>
      </c>
      <c r="D460" s="556">
        <v>4640242180564</v>
      </c>
      <c r="E460" s="557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 t="s">
        <v>103</v>
      </c>
      <c r="M460" s="33" t="s">
        <v>104</v>
      </c>
      <c r="N460" s="33"/>
      <c r="O460" s="32">
        <v>50</v>
      </c>
      <c r="P460" s="67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8"/>
      <c r="R460" s="548"/>
      <c r="S460" s="548"/>
      <c r="T460" s="549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 t="s">
        <v>106</v>
      </c>
      <c r="AK460" s="68">
        <v>96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706</v>
      </c>
      <c r="B461" s="54" t="s">
        <v>707</v>
      </c>
      <c r="C461" s="31">
        <v>4301011764</v>
      </c>
      <c r="D461" s="556">
        <v>4640242181189</v>
      </c>
      <c r="E461" s="557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66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8"/>
      <c r="R461" s="548"/>
      <c r="S461" s="548"/>
      <c r="T461" s="549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699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558"/>
      <c r="B462" s="546"/>
      <c r="C462" s="546"/>
      <c r="D462" s="546"/>
      <c r="E462" s="546"/>
      <c r="F462" s="546"/>
      <c r="G462" s="546"/>
      <c r="H462" s="546"/>
      <c r="I462" s="546"/>
      <c r="J462" s="546"/>
      <c r="K462" s="546"/>
      <c r="L462" s="546"/>
      <c r="M462" s="546"/>
      <c r="N462" s="546"/>
      <c r="O462" s="559"/>
      <c r="P462" s="550" t="s">
        <v>71</v>
      </c>
      <c r="Q462" s="551"/>
      <c r="R462" s="551"/>
      <c r="S462" s="551"/>
      <c r="T462" s="551"/>
      <c r="U462" s="551"/>
      <c r="V462" s="552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hidden="1" x14ac:dyDescent="0.2">
      <c r="A463" s="546"/>
      <c r="B463" s="546"/>
      <c r="C463" s="546"/>
      <c r="D463" s="546"/>
      <c r="E463" s="546"/>
      <c r="F463" s="546"/>
      <c r="G463" s="546"/>
      <c r="H463" s="546"/>
      <c r="I463" s="546"/>
      <c r="J463" s="546"/>
      <c r="K463" s="546"/>
      <c r="L463" s="546"/>
      <c r="M463" s="546"/>
      <c r="N463" s="546"/>
      <c r="O463" s="559"/>
      <c r="P463" s="550" t="s">
        <v>71</v>
      </c>
      <c r="Q463" s="551"/>
      <c r="R463" s="551"/>
      <c r="S463" s="551"/>
      <c r="T463" s="551"/>
      <c r="U463" s="551"/>
      <c r="V463" s="552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hidden="1" customHeight="1" x14ac:dyDescent="0.25">
      <c r="A464" s="553" t="s">
        <v>135</v>
      </c>
      <c r="B464" s="546"/>
      <c r="C464" s="546"/>
      <c r="D464" s="546"/>
      <c r="E464" s="546"/>
      <c r="F464" s="546"/>
      <c r="G464" s="546"/>
      <c r="H464" s="546"/>
      <c r="I464" s="546"/>
      <c r="J464" s="546"/>
      <c r="K464" s="546"/>
      <c r="L464" s="546"/>
      <c r="M464" s="546"/>
      <c r="N464" s="546"/>
      <c r="O464" s="546"/>
      <c r="P464" s="546"/>
      <c r="Q464" s="546"/>
      <c r="R464" s="546"/>
      <c r="S464" s="546"/>
      <c r="T464" s="546"/>
      <c r="U464" s="546"/>
      <c r="V464" s="546"/>
      <c r="W464" s="546"/>
      <c r="X464" s="546"/>
      <c r="Y464" s="546"/>
      <c r="Z464" s="546"/>
      <c r="AA464" s="537"/>
      <c r="AB464" s="537"/>
      <c r="AC464" s="537"/>
    </row>
    <row r="465" spans="1:68" ht="27" hidden="1" customHeight="1" x14ac:dyDescent="0.25">
      <c r="A465" s="54" t="s">
        <v>708</v>
      </c>
      <c r="B465" s="54" t="s">
        <v>709</v>
      </c>
      <c r="C465" s="31">
        <v>4301020400</v>
      </c>
      <c r="D465" s="556">
        <v>4640242180519</v>
      </c>
      <c r="E465" s="557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65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8"/>
      <c r="R465" s="548"/>
      <c r="S465" s="548"/>
      <c r="T465" s="549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711</v>
      </c>
      <c r="B466" s="54" t="s">
        <v>712</v>
      </c>
      <c r="C466" s="31">
        <v>4301020260</v>
      </c>
      <c r="D466" s="556">
        <v>4640242180526</v>
      </c>
      <c r="E466" s="557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80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8"/>
      <c r="R466" s="548"/>
      <c r="S466" s="548"/>
      <c r="T466" s="549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714</v>
      </c>
      <c r="B467" s="54" t="s">
        <v>715</v>
      </c>
      <c r="C467" s="31">
        <v>4301020295</v>
      </c>
      <c r="D467" s="556">
        <v>4640242181363</v>
      </c>
      <c r="E467" s="557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784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8"/>
      <c r="R467" s="548"/>
      <c r="S467" s="548"/>
      <c r="T467" s="549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8"/>
      <c r="B468" s="546"/>
      <c r="C468" s="546"/>
      <c r="D468" s="546"/>
      <c r="E468" s="546"/>
      <c r="F468" s="546"/>
      <c r="G468" s="546"/>
      <c r="H468" s="546"/>
      <c r="I468" s="546"/>
      <c r="J468" s="546"/>
      <c r="K468" s="546"/>
      <c r="L468" s="546"/>
      <c r="M468" s="546"/>
      <c r="N468" s="546"/>
      <c r="O468" s="559"/>
      <c r="P468" s="550" t="s">
        <v>71</v>
      </c>
      <c r="Q468" s="551"/>
      <c r="R468" s="551"/>
      <c r="S468" s="551"/>
      <c r="T468" s="551"/>
      <c r="U468" s="551"/>
      <c r="V468" s="552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46"/>
      <c r="B469" s="546"/>
      <c r="C469" s="546"/>
      <c r="D469" s="546"/>
      <c r="E469" s="546"/>
      <c r="F469" s="546"/>
      <c r="G469" s="546"/>
      <c r="H469" s="546"/>
      <c r="I469" s="546"/>
      <c r="J469" s="546"/>
      <c r="K469" s="546"/>
      <c r="L469" s="546"/>
      <c r="M469" s="546"/>
      <c r="N469" s="546"/>
      <c r="O469" s="559"/>
      <c r="P469" s="550" t="s">
        <v>71</v>
      </c>
      <c r="Q469" s="551"/>
      <c r="R469" s="551"/>
      <c r="S469" s="551"/>
      <c r="T469" s="551"/>
      <c r="U469" s="551"/>
      <c r="V469" s="552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53" t="s">
        <v>64</v>
      </c>
      <c r="B470" s="546"/>
      <c r="C470" s="546"/>
      <c r="D470" s="546"/>
      <c r="E470" s="546"/>
      <c r="F470" s="546"/>
      <c r="G470" s="546"/>
      <c r="H470" s="546"/>
      <c r="I470" s="546"/>
      <c r="J470" s="546"/>
      <c r="K470" s="546"/>
      <c r="L470" s="546"/>
      <c r="M470" s="546"/>
      <c r="N470" s="546"/>
      <c r="O470" s="546"/>
      <c r="P470" s="546"/>
      <c r="Q470" s="546"/>
      <c r="R470" s="546"/>
      <c r="S470" s="546"/>
      <c r="T470" s="546"/>
      <c r="U470" s="546"/>
      <c r="V470" s="546"/>
      <c r="W470" s="546"/>
      <c r="X470" s="546"/>
      <c r="Y470" s="546"/>
      <c r="Z470" s="546"/>
      <c r="AA470" s="537"/>
      <c r="AB470" s="537"/>
      <c r="AC470" s="537"/>
    </row>
    <row r="471" spans="1:68" ht="27" hidden="1" customHeight="1" x14ac:dyDescent="0.25">
      <c r="A471" s="54" t="s">
        <v>717</v>
      </c>
      <c r="B471" s="54" t="s">
        <v>718</v>
      </c>
      <c r="C471" s="31">
        <v>4301031280</v>
      </c>
      <c r="D471" s="556">
        <v>4640242180816</v>
      </c>
      <c r="E471" s="557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838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8"/>
      <c r="R471" s="548"/>
      <c r="S471" s="548"/>
      <c r="T471" s="549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719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720</v>
      </c>
      <c r="B472" s="54" t="s">
        <v>721</v>
      </c>
      <c r="C472" s="31">
        <v>4301031244</v>
      </c>
      <c r="D472" s="556">
        <v>4640242180595</v>
      </c>
      <c r="E472" s="557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/>
      <c r="M472" s="33" t="s">
        <v>68</v>
      </c>
      <c r="N472" s="33"/>
      <c r="O472" s="32">
        <v>40</v>
      </c>
      <c r="P472" s="682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8"/>
      <c r="R472" s="548"/>
      <c r="S472" s="548"/>
      <c r="T472" s="549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722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58"/>
      <c r="B473" s="546"/>
      <c r="C473" s="546"/>
      <c r="D473" s="546"/>
      <c r="E473" s="546"/>
      <c r="F473" s="546"/>
      <c r="G473" s="546"/>
      <c r="H473" s="546"/>
      <c r="I473" s="546"/>
      <c r="J473" s="546"/>
      <c r="K473" s="546"/>
      <c r="L473" s="546"/>
      <c r="M473" s="546"/>
      <c r="N473" s="546"/>
      <c r="O473" s="559"/>
      <c r="P473" s="550" t="s">
        <v>71</v>
      </c>
      <c r="Q473" s="551"/>
      <c r="R473" s="551"/>
      <c r="S473" s="551"/>
      <c r="T473" s="551"/>
      <c r="U473" s="551"/>
      <c r="V473" s="552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hidden="1" x14ac:dyDescent="0.2">
      <c r="A474" s="546"/>
      <c r="B474" s="546"/>
      <c r="C474" s="546"/>
      <c r="D474" s="546"/>
      <c r="E474" s="546"/>
      <c r="F474" s="546"/>
      <c r="G474" s="546"/>
      <c r="H474" s="546"/>
      <c r="I474" s="546"/>
      <c r="J474" s="546"/>
      <c r="K474" s="546"/>
      <c r="L474" s="546"/>
      <c r="M474" s="546"/>
      <c r="N474" s="546"/>
      <c r="O474" s="559"/>
      <c r="P474" s="550" t="s">
        <v>71</v>
      </c>
      <c r="Q474" s="551"/>
      <c r="R474" s="551"/>
      <c r="S474" s="551"/>
      <c r="T474" s="551"/>
      <c r="U474" s="551"/>
      <c r="V474" s="552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hidden="1" customHeight="1" x14ac:dyDescent="0.25">
      <c r="A475" s="553" t="s">
        <v>73</v>
      </c>
      <c r="B475" s="546"/>
      <c r="C475" s="546"/>
      <c r="D475" s="546"/>
      <c r="E475" s="546"/>
      <c r="F475" s="546"/>
      <c r="G475" s="546"/>
      <c r="H475" s="546"/>
      <c r="I475" s="546"/>
      <c r="J475" s="546"/>
      <c r="K475" s="546"/>
      <c r="L475" s="546"/>
      <c r="M475" s="546"/>
      <c r="N475" s="546"/>
      <c r="O475" s="546"/>
      <c r="P475" s="546"/>
      <c r="Q475" s="546"/>
      <c r="R475" s="546"/>
      <c r="S475" s="546"/>
      <c r="T475" s="546"/>
      <c r="U475" s="546"/>
      <c r="V475" s="546"/>
      <c r="W475" s="546"/>
      <c r="X475" s="546"/>
      <c r="Y475" s="546"/>
      <c r="Z475" s="546"/>
      <c r="AA475" s="537"/>
      <c r="AB475" s="537"/>
      <c r="AC475" s="537"/>
    </row>
    <row r="476" spans="1:68" ht="27" hidden="1" customHeight="1" x14ac:dyDescent="0.25">
      <c r="A476" s="54" t="s">
        <v>723</v>
      </c>
      <c r="B476" s="54" t="s">
        <v>724</v>
      </c>
      <c r="C476" s="31">
        <v>4301052046</v>
      </c>
      <c r="D476" s="556">
        <v>4640242180533</v>
      </c>
      <c r="E476" s="557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83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8"/>
      <c r="R476" s="548"/>
      <c r="S476" s="548"/>
      <c r="T476" s="549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725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58"/>
      <c r="B477" s="546"/>
      <c r="C477" s="546"/>
      <c r="D477" s="546"/>
      <c r="E477" s="546"/>
      <c r="F477" s="546"/>
      <c r="G477" s="546"/>
      <c r="H477" s="546"/>
      <c r="I477" s="546"/>
      <c r="J477" s="546"/>
      <c r="K477" s="546"/>
      <c r="L477" s="546"/>
      <c r="M477" s="546"/>
      <c r="N477" s="546"/>
      <c r="O477" s="559"/>
      <c r="P477" s="550" t="s">
        <v>71</v>
      </c>
      <c r="Q477" s="551"/>
      <c r="R477" s="551"/>
      <c r="S477" s="551"/>
      <c r="T477" s="551"/>
      <c r="U477" s="551"/>
      <c r="V477" s="552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hidden="1" x14ac:dyDescent="0.2">
      <c r="A478" s="546"/>
      <c r="B478" s="546"/>
      <c r="C478" s="546"/>
      <c r="D478" s="546"/>
      <c r="E478" s="546"/>
      <c r="F478" s="546"/>
      <c r="G478" s="546"/>
      <c r="H478" s="546"/>
      <c r="I478" s="546"/>
      <c r="J478" s="546"/>
      <c r="K478" s="546"/>
      <c r="L478" s="546"/>
      <c r="M478" s="546"/>
      <c r="N478" s="546"/>
      <c r="O478" s="559"/>
      <c r="P478" s="550" t="s">
        <v>71</v>
      </c>
      <c r="Q478" s="551"/>
      <c r="R478" s="551"/>
      <c r="S478" s="551"/>
      <c r="T478" s="551"/>
      <c r="U478" s="551"/>
      <c r="V478" s="552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hidden="1" customHeight="1" x14ac:dyDescent="0.25">
      <c r="A479" s="553" t="s">
        <v>163</v>
      </c>
      <c r="B479" s="546"/>
      <c r="C479" s="546"/>
      <c r="D479" s="546"/>
      <c r="E479" s="546"/>
      <c r="F479" s="546"/>
      <c r="G479" s="546"/>
      <c r="H479" s="546"/>
      <c r="I479" s="546"/>
      <c r="J479" s="546"/>
      <c r="K479" s="546"/>
      <c r="L479" s="546"/>
      <c r="M479" s="546"/>
      <c r="N479" s="546"/>
      <c r="O479" s="546"/>
      <c r="P479" s="546"/>
      <c r="Q479" s="546"/>
      <c r="R479" s="546"/>
      <c r="S479" s="546"/>
      <c r="T479" s="546"/>
      <c r="U479" s="546"/>
      <c r="V479" s="546"/>
      <c r="W479" s="546"/>
      <c r="X479" s="546"/>
      <c r="Y479" s="546"/>
      <c r="Z479" s="546"/>
      <c r="AA479" s="537"/>
      <c r="AB479" s="537"/>
      <c r="AC479" s="537"/>
    </row>
    <row r="480" spans="1:68" ht="27" hidden="1" customHeight="1" x14ac:dyDescent="0.25">
      <c r="A480" s="54" t="s">
        <v>726</v>
      </c>
      <c r="B480" s="54" t="s">
        <v>727</v>
      </c>
      <c r="C480" s="31">
        <v>4301060491</v>
      </c>
      <c r="D480" s="556">
        <v>4640242180120</v>
      </c>
      <c r="E480" s="557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78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8"/>
      <c r="R480" s="548"/>
      <c r="S480" s="548"/>
      <c r="T480" s="549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729</v>
      </c>
      <c r="B481" s="54" t="s">
        <v>730</v>
      </c>
      <c r="C481" s="31">
        <v>4301060493</v>
      </c>
      <c r="D481" s="556">
        <v>4640242180137</v>
      </c>
      <c r="E481" s="557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794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8"/>
      <c r="R481" s="548"/>
      <c r="S481" s="548"/>
      <c r="T481" s="549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8"/>
      <c r="B482" s="546"/>
      <c r="C482" s="546"/>
      <c r="D482" s="546"/>
      <c r="E482" s="546"/>
      <c r="F482" s="546"/>
      <c r="G482" s="546"/>
      <c r="H482" s="546"/>
      <c r="I482" s="546"/>
      <c r="J482" s="546"/>
      <c r="K482" s="546"/>
      <c r="L482" s="546"/>
      <c r="M482" s="546"/>
      <c r="N482" s="546"/>
      <c r="O482" s="559"/>
      <c r="P482" s="550" t="s">
        <v>71</v>
      </c>
      <c r="Q482" s="551"/>
      <c r="R482" s="551"/>
      <c r="S482" s="551"/>
      <c r="T482" s="551"/>
      <c r="U482" s="551"/>
      <c r="V482" s="552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46"/>
      <c r="B483" s="546"/>
      <c r="C483" s="546"/>
      <c r="D483" s="546"/>
      <c r="E483" s="546"/>
      <c r="F483" s="546"/>
      <c r="G483" s="546"/>
      <c r="H483" s="546"/>
      <c r="I483" s="546"/>
      <c r="J483" s="546"/>
      <c r="K483" s="546"/>
      <c r="L483" s="546"/>
      <c r="M483" s="546"/>
      <c r="N483" s="546"/>
      <c r="O483" s="559"/>
      <c r="P483" s="550" t="s">
        <v>71</v>
      </c>
      <c r="Q483" s="551"/>
      <c r="R483" s="551"/>
      <c r="S483" s="551"/>
      <c r="T483" s="551"/>
      <c r="U483" s="551"/>
      <c r="V483" s="552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45" t="s">
        <v>732</v>
      </c>
      <c r="B484" s="546"/>
      <c r="C484" s="546"/>
      <c r="D484" s="546"/>
      <c r="E484" s="546"/>
      <c r="F484" s="546"/>
      <c r="G484" s="546"/>
      <c r="H484" s="546"/>
      <c r="I484" s="546"/>
      <c r="J484" s="546"/>
      <c r="K484" s="546"/>
      <c r="L484" s="546"/>
      <c r="M484" s="546"/>
      <c r="N484" s="546"/>
      <c r="O484" s="546"/>
      <c r="P484" s="546"/>
      <c r="Q484" s="546"/>
      <c r="R484" s="546"/>
      <c r="S484" s="546"/>
      <c r="T484" s="546"/>
      <c r="U484" s="546"/>
      <c r="V484" s="546"/>
      <c r="W484" s="546"/>
      <c r="X484" s="546"/>
      <c r="Y484" s="546"/>
      <c r="Z484" s="546"/>
      <c r="AA484" s="536"/>
      <c r="AB484" s="536"/>
      <c r="AC484" s="536"/>
    </row>
    <row r="485" spans="1:68" ht="14.25" hidden="1" customHeight="1" x14ac:dyDescent="0.25">
      <c r="A485" s="553" t="s">
        <v>135</v>
      </c>
      <c r="B485" s="546"/>
      <c r="C485" s="546"/>
      <c r="D485" s="546"/>
      <c r="E485" s="546"/>
      <c r="F485" s="546"/>
      <c r="G485" s="546"/>
      <c r="H485" s="546"/>
      <c r="I485" s="546"/>
      <c r="J485" s="546"/>
      <c r="K485" s="546"/>
      <c r="L485" s="546"/>
      <c r="M485" s="546"/>
      <c r="N485" s="546"/>
      <c r="O485" s="546"/>
      <c r="P485" s="546"/>
      <c r="Q485" s="546"/>
      <c r="R485" s="546"/>
      <c r="S485" s="546"/>
      <c r="T485" s="546"/>
      <c r="U485" s="546"/>
      <c r="V485" s="546"/>
      <c r="W485" s="546"/>
      <c r="X485" s="546"/>
      <c r="Y485" s="546"/>
      <c r="Z485" s="546"/>
      <c r="AA485" s="537"/>
      <c r="AB485" s="537"/>
      <c r="AC485" s="537"/>
    </row>
    <row r="486" spans="1:68" ht="27" hidden="1" customHeight="1" x14ac:dyDescent="0.25">
      <c r="A486" s="54" t="s">
        <v>733</v>
      </c>
      <c r="B486" s="54" t="s">
        <v>734</v>
      </c>
      <c r="C486" s="31">
        <v>4301020314</v>
      </c>
      <c r="D486" s="556">
        <v>4640242180090</v>
      </c>
      <c r="E486" s="557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61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8"/>
      <c r="R486" s="548"/>
      <c r="S486" s="548"/>
      <c r="T486" s="549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735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8"/>
      <c r="B487" s="546"/>
      <c r="C487" s="546"/>
      <c r="D487" s="546"/>
      <c r="E487" s="546"/>
      <c r="F487" s="546"/>
      <c r="G487" s="546"/>
      <c r="H487" s="546"/>
      <c r="I487" s="546"/>
      <c r="J487" s="546"/>
      <c r="K487" s="546"/>
      <c r="L487" s="546"/>
      <c r="M487" s="546"/>
      <c r="N487" s="546"/>
      <c r="O487" s="559"/>
      <c r="P487" s="550" t="s">
        <v>71</v>
      </c>
      <c r="Q487" s="551"/>
      <c r="R487" s="551"/>
      <c r="S487" s="551"/>
      <c r="T487" s="551"/>
      <c r="U487" s="551"/>
      <c r="V487" s="552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46"/>
      <c r="B488" s="546"/>
      <c r="C488" s="546"/>
      <c r="D488" s="546"/>
      <c r="E488" s="546"/>
      <c r="F488" s="546"/>
      <c r="G488" s="546"/>
      <c r="H488" s="546"/>
      <c r="I488" s="546"/>
      <c r="J488" s="546"/>
      <c r="K488" s="546"/>
      <c r="L488" s="546"/>
      <c r="M488" s="546"/>
      <c r="N488" s="546"/>
      <c r="O488" s="559"/>
      <c r="P488" s="550" t="s">
        <v>71</v>
      </c>
      <c r="Q488" s="551"/>
      <c r="R488" s="551"/>
      <c r="S488" s="551"/>
      <c r="T488" s="551"/>
      <c r="U488" s="551"/>
      <c r="V488" s="552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574"/>
      <c r="B489" s="546"/>
      <c r="C489" s="546"/>
      <c r="D489" s="546"/>
      <c r="E489" s="546"/>
      <c r="F489" s="546"/>
      <c r="G489" s="546"/>
      <c r="H489" s="546"/>
      <c r="I489" s="546"/>
      <c r="J489" s="546"/>
      <c r="K489" s="546"/>
      <c r="L489" s="546"/>
      <c r="M489" s="546"/>
      <c r="N489" s="546"/>
      <c r="O489" s="575"/>
      <c r="P489" s="620" t="s">
        <v>736</v>
      </c>
      <c r="Q489" s="621"/>
      <c r="R489" s="621"/>
      <c r="S489" s="621"/>
      <c r="T489" s="621"/>
      <c r="U489" s="621"/>
      <c r="V489" s="603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295+X305+X312+X318+X325+X331+X338+X350+X355+X360+X364+X370+X375+X381+X395+X400+X405+X412+X417+X433+X439+X448+X454+X463+X469+X474+X478+X483+X488,"0")</f>
        <v>6148</v>
      </c>
      <c r="Y489" s="543">
        <f>IFERROR(Y24+Y32+Y36+Y44+Y48+Y58+Y64+Y70+Y77+Y82+Y89+Y96+Y104+Y110+Y117+Y121+Y127+Y132+Y137+Y143+Y149+Y153+Y159+Y172+Y178+Y182+Y188+Y193+Y204+Y216+Y221+Y235+Y239+Y243+Y251+Y260+Y268+Y275+Y281+Y286+Y295+Y305+Y312+Y318+Y325+Y331+Y338+Y350+Y355+Y360+Y364+Y370+Y375+Y381+Y395+Y400+Y405+Y412+Y417+Y433+Y439+Y448+Y454+Y463+Y469+Y474+Y478+Y483+Y488,"0")</f>
        <v>6221.16</v>
      </c>
      <c r="Z489" s="37"/>
      <c r="AA489" s="544"/>
      <c r="AB489" s="544"/>
      <c r="AC489" s="544"/>
    </row>
    <row r="490" spans="1:68" x14ac:dyDescent="0.2">
      <c r="A490" s="546"/>
      <c r="B490" s="546"/>
      <c r="C490" s="546"/>
      <c r="D490" s="546"/>
      <c r="E490" s="546"/>
      <c r="F490" s="546"/>
      <c r="G490" s="546"/>
      <c r="H490" s="546"/>
      <c r="I490" s="546"/>
      <c r="J490" s="546"/>
      <c r="K490" s="546"/>
      <c r="L490" s="546"/>
      <c r="M490" s="546"/>
      <c r="N490" s="546"/>
      <c r="O490" s="575"/>
      <c r="P490" s="620" t="s">
        <v>737</v>
      </c>
      <c r="Q490" s="621"/>
      <c r="R490" s="621"/>
      <c r="S490" s="621"/>
      <c r="T490" s="621"/>
      <c r="U490" s="621"/>
      <c r="V490" s="603"/>
      <c r="W490" s="37" t="s">
        <v>69</v>
      </c>
      <c r="X490" s="543">
        <f>IFERROR(SUM(BM22:BM486),"0")</f>
        <v>6502.6973182398697</v>
      </c>
      <c r="Y490" s="543">
        <f>IFERROR(SUM(BN22:BN486),"0")</f>
        <v>6579.2999999999993</v>
      </c>
      <c r="Z490" s="37"/>
      <c r="AA490" s="544"/>
      <c r="AB490" s="544"/>
      <c r="AC490" s="544"/>
    </row>
    <row r="491" spans="1:68" x14ac:dyDescent="0.2">
      <c r="A491" s="546"/>
      <c r="B491" s="546"/>
      <c r="C491" s="546"/>
      <c r="D491" s="546"/>
      <c r="E491" s="546"/>
      <c r="F491" s="546"/>
      <c r="G491" s="546"/>
      <c r="H491" s="546"/>
      <c r="I491" s="546"/>
      <c r="J491" s="546"/>
      <c r="K491" s="546"/>
      <c r="L491" s="546"/>
      <c r="M491" s="546"/>
      <c r="N491" s="546"/>
      <c r="O491" s="575"/>
      <c r="P491" s="620" t="s">
        <v>738</v>
      </c>
      <c r="Q491" s="621"/>
      <c r="R491" s="621"/>
      <c r="S491" s="621"/>
      <c r="T491" s="621"/>
      <c r="U491" s="621"/>
      <c r="V491" s="603"/>
      <c r="W491" s="37" t="s">
        <v>739</v>
      </c>
      <c r="X491" s="38">
        <f>ROUNDUP(SUM(BO22:BO486),0)</f>
        <v>11</v>
      </c>
      <c r="Y491" s="38">
        <f>ROUNDUP(SUM(BP22:BP486),0)</f>
        <v>11</v>
      </c>
      <c r="Z491" s="37"/>
      <c r="AA491" s="544"/>
      <c r="AB491" s="544"/>
      <c r="AC491" s="544"/>
    </row>
    <row r="492" spans="1:68" x14ac:dyDescent="0.2">
      <c r="A492" s="546"/>
      <c r="B492" s="546"/>
      <c r="C492" s="546"/>
      <c r="D492" s="546"/>
      <c r="E492" s="546"/>
      <c r="F492" s="546"/>
      <c r="G492" s="546"/>
      <c r="H492" s="546"/>
      <c r="I492" s="546"/>
      <c r="J492" s="546"/>
      <c r="K492" s="546"/>
      <c r="L492" s="546"/>
      <c r="M492" s="546"/>
      <c r="N492" s="546"/>
      <c r="O492" s="575"/>
      <c r="P492" s="620" t="s">
        <v>740</v>
      </c>
      <c r="Q492" s="621"/>
      <c r="R492" s="621"/>
      <c r="S492" s="621"/>
      <c r="T492" s="621"/>
      <c r="U492" s="621"/>
      <c r="V492" s="603"/>
      <c r="W492" s="37" t="s">
        <v>69</v>
      </c>
      <c r="X492" s="543">
        <f>GrossWeightTotal+PalletQtyTotal*25</f>
        <v>6777.6973182398697</v>
      </c>
      <c r="Y492" s="543">
        <f>GrossWeightTotalR+PalletQtyTotalR*25</f>
        <v>6854.2999999999993</v>
      </c>
      <c r="Z492" s="37"/>
      <c r="AA492" s="544"/>
      <c r="AB492" s="544"/>
      <c r="AC492" s="544"/>
    </row>
    <row r="493" spans="1:68" x14ac:dyDescent="0.2">
      <c r="A493" s="546"/>
      <c r="B493" s="546"/>
      <c r="C493" s="546"/>
      <c r="D493" s="546"/>
      <c r="E493" s="546"/>
      <c r="F493" s="546"/>
      <c r="G493" s="546"/>
      <c r="H493" s="546"/>
      <c r="I493" s="546"/>
      <c r="J493" s="546"/>
      <c r="K493" s="546"/>
      <c r="L493" s="546"/>
      <c r="M493" s="546"/>
      <c r="N493" s="546"/>
      <c r="O493" s="575"/>
      <c r="P493" s="620" t="s">
        <v>741</v>
      </c>
      <c r="Q493" s="621"/>
      <c r="R493" s="621"/>
      <c r="S493" s="621"/>
      <c r="T493" s="621"/>
      <c r="U493" s="621"/>
      <c r="V493" s="603"/>
      <c r="W493" s="37" t="s">
        <v>739</v>
      </c>
      <c r="X493" s="543">
        <f>IFERROR(X23+X31+X35+X43+X47+X57+X63+X69+X76+X81+X88+X95+X103+X109+X116+X120+X126+X131+X136+X142+X148+X152+X158+X171+X177+X181+X187+X192+X203+X215+X220+X234+X238+X242+X250+X259+X267+X274+X280+X285+X294+X304+X311+X317+X324+X330+X337+X349+X354+X359+X363+X369+X374+X380+X394+X399+X404+X411+X416+X432+X438+X447+X453+X462+X468+X473+X477+X482+X487,"0")</f>
        <v>1024.0670614187854</v>
      </c>
      <c r="Y493" s="543">
        <f>IFERROR(Y23+Y31+Y35+Y43+Y47+Y57+Y63+Y69+Y76+Y81+Y88+Y95+Y103+Y109+Y116+Y120+Y126+Y131+Y136+Y142+Y148+Y152+Y158+Y171+Y177+Y181+Y187+Y192+Y203+Y215+Y220+Y234+Y238+Y242+Y250+Y259+Y267+Y274+Y280+Y285+Y294+Y304+Y311+Y317+Y324+Y330+Y337+Y349+Y354+Y359+Y363+Y369+Y374+Y380+Y394+Y399+Y404+Y411+Y416+Y432+Y438+Y447+Y453+Y462+Y468+Y473+Y477+Y482+Y487,"0")</f>
        <v>1033</v>
      </c>
      <c r="Z493" s="37"/>
      <c r="AA493" s="544"/>
      <c r="AB493" s="544"/>
      <c r="AC493" s="544"/>
    </row>
    <row r="494" spans="1:68" ht="14.25" hidden="1" customHeight="1" x14ac:dyDescent="0.2">
      <c r="A494" s="546"/>
      <c r="B494" s="546"/>
      <c r="C494" s="546"/>
      <c r="D494" s="546"/>
      <c r="E494" s="546"/>
      <c r="F494" s="546"/>
      <c r="G494" s="546"/>
      <c r="H494" s="546"/>
      <c r="I494" s="546"/>
      <c r="J494" s="546"/>
      <c r="K494" s="546"/>
      <c r="L494" s="546"/>
      <c r="M494" s="546"/>
      <c r="N494" s="546"/>
      <c r="O494" s="575"/>
      <c r="P494" s="620" t="s">
        <v>742</v>
      </c>
      <c r="Q494" s="621"/>
      <c r="R494" s="621"/>
      <c r="S494" s="621"/>
      <c r="T494" s="621"/>
      <c r="U494" s="621"/>
      <c r="V494" s="603"/>
      <c r="W494" s="39" t="s">
        <v>743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380+Z394+Z399+Z404+Z411+Z416+Z432+Z438+Z447+Z453+Z462+Z468+Z473+Z477+Z482+Z487,"0")</f>
        <v>12.628910000000001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744</v>
      </c>
      <c r="B496" s="538" t="s">
        <v>63</v>
      </c>
      <c r="C496" s="554" t="s">
        <v>97</v>
      </c>
      <c r="D496" s="637"/>
      <c r="E496" s="637"/>
      <c r="F496" s="637"/>
      <c r="G496" s="637"/>
      <c r="H496" s="630"/>
      <c r="I496" s="554" t="s">
        <v>250</v>
      </c>
      <c r="J496" s="637"/>
      <c r="K496" s="637"/>
      <c r="L496" s="637"/>
      <c r="M496" s="637"/>
      <c r="N496" s="637"/>
      <c r="O496" s="637"/>
      <c r="P496" s="637"/>
      <c r="Q496" s="637"/>
      <c r="R496" s="630"/>
      <c r="S496" s="554" t="s">
        <v>530</v>
      </c>
      <c r="T496" s="630"/>
      <c r="U496" s="554" t="s">
        <v>585</v>
      </c>
      <c r="V496" s="637"/>
      <c r="W496" s="630"/>
      <c r="X496" s="538" t="s">
        <v>636</v>
      </c>
      <c r="Y496" s="554" t="s">
        <v>696</v>
      </c>
      <c r="Z496" s="630"/>
      <c r="AB496" s="52"/>
      <c r="AC496" s="52"/>
      <c r="AF496" s="539"/>
    </row>
    <row r="497" spans="1:32" ht="14.25" customHeight="1" thickTop="1" x14ac:dyDescent="0.2">
      <c r="A497" s="638" t="s">
        <v>745</v>
      </c>
      <c r="B497" s="554" t="s">
        <v>63</v>
      </c>
      <c r="C497" s="554" t="s">
        <v>98</v>
      </c>
      <c r="D497" s="554" t="s">
        <v>116</v>
      </c>
      <c r="E497" s="554" t="s">
        <v>170</v>
      </c>
      <c r="F497" s="554" t="s">
        <v>190</v>
      </c>
      <c r="G497" s="554" t="s">
        <v>220</v>
      </c>
      <c r="H497" s="554" t="s">
        <v>97</v>
      </c>
      <c r="I497" s="554" t="s">
        <v>251</v>
      </c>
      <c r="J497" s="554" t="s">
        <v>296</v>
      </c>
      <c r="K497" s="554" t="s">
        <v>355</v>
      </c>
      <c r="L497" s="554" t="s">
        <v>397</v>
      </c>
      <c r="M497" s="554" t="s">
        <v>413</v>
      </c>
      <c r="N497" s="539"/>
      <c r="O497" s="554" t="s">
        <v>424</v>
      </c>
      <c r="P497" s="554" t="s">
        <v>433</v>
      </c>
      <c r="Q497" s="554" t="s">
        <v>446</v>
      </c>
      <c r="R497" s="554" t="s">
        <v>520</v>
      </c>
      <c r="S497" s="554" t="s">
        <v>531</v>
      </c>
      <c r="T497" s="554" t="s">
        <v>566</v>
      </c>
      <c r="U497" s="554" t="s">
        <v>586</v>
      </c>
      <c r="V497" s="554" t="s">
        <v>617</v>
      </c>
      <c r="W497" s="554" t="s">
        <v>632</v>
      </c>
      <c r="X497" s="554" t="s">
        <v>636</v>
      </c>
      <c r="Y497" s="554" t="s">
        <v>696</v>
      </c>
      <c r="Z497" s="554" t="s">
        <v>732</v>
      </c>
      <c r="AB497" s="52"/>
      <c r="AC497" s="52"/>
      <c r="AF497" s="539"/>
    </row>
    <row r="498" spans="1:32" ht="13.5" customHeight="1" thickBot="1" x14ac:dyDescent="0.25">
      <c r="A498" s="639"/>
      <c r="B498" s="555"/>
      <c r="C498" s="555"/>
      <c r="D498" s="555"/>
      <c r="E498" s="555"/>
      <c r="F498" s="555"/>
      <c r="G498" s="555"/>
      <c r="H498" s="555"/>
      <c r="I498" s="555"/>
      <c r="J498" s="555"/>
      <c r="K498" s="555"/>
      <c r="L498" s="555"/>
      <c r="M498" s="555"/>
      <c r="N498" s="539"/>
      <c r="O498" s="555"/>
      <c r="P498" s="555"/>
      <c r="Q498" s="555"/>
      <c r="R498" s="555"/>
      <c r="S498" s="555"/>
      <c r="T498" s="555"/>
      <c r="U498" s="555"/>
      <c r="V498" s="555"/>
      <c r="W498" s="555"/>
      <c r="X498" s="555"/>
      <c r="Y498" s="555"/>
      <c r="Z498" s="555"/>
      <c r="AB498" s="52"/>
      <c r="AC498" s="52"/>
      <c r="AF498" s="539"/>
    </row>
    <row r="499" spans="1:32" ht="18" customHeight="1" thickTop="1" thickBot="1" x14ac:dyDescent="0.25">
      <c r="A499" s="40" t="s">
        <v>746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0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9" s="46">
        <f>IFERROR(Y85*1,"0")+IFERROR(Y86*1,"0")+IFERROR(Y87*1,"0")+IFERROR(Y91*1,"0")+IFERROR(Y92*1,"0")+IFERROR(Y93*1,"0")+IFERROR(Y94*1,"0")</f>
        <v>313.20000000000005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548.1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IFERROR(Y140*1,"0")+IFERROR(Y141*1,"0")+IFERROR(Y145*1,"0")+IFERROR(Y146*1,"0")+IFERROR(Y147*1,"0")+IFERROR(Y151*1,"0")</f>
        <v>0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456.9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46">
        <f>IFERROR(Y254*1,"0")+IFERROR(Y255*1,"0")+IFERROR(Y256*1,"0")+IFERROR(Y257*1,"0")+IFERROR(Y258*1,"0")</f>
        <v>0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0</v>
      </c>
      <c r="P499" s="46">
        <f>IFERROR(Y278*1,"0")+IFERROR(Y279*1,"0")+IFERROR(Y283*1,"0")+IFERROR(Y284*1,"0")</f>
        <v>0</v>
      </c>
      <c r="Q499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0</v>
      </c>
      <c r="R499" s="46">
        <f>IFERROR(Y334*1,"0")+IFERROR(Y335*1,"0")+IFERROR(Y336*1,"0")</f>
        <v>0</v>
      </c>
      <c r="S499" s="46">
        <f>IFERROR(Y342*1,"0")+IFERROR(Y343*1,"0")+IFERROR(Y344*1,"0")+IFERROR(Y345*1,"0")+IFERROR(Y346*1,"0")+IFERROR(Y347*1,"0")+IFERROR(Y348*1,"0")+IFERROR(Y352*1,"0")+IFERROR(Y353*1,"0")+IFERROR(Y357*1,"0")+IFERROR(Y358*1,"0")+IFERROR(Y362*1,"0")</f>
        <v>1830</v>
      </c>
      <c r="T499" s="46">
        <f>IFERROR(Y367*1,"0")+IFERROR(Y368*1,"0")+IFERROR(Y372*1,"0")+IFERROR(Y373*1,"0")+IFERROR(Y377*1,"0")+IFERROR(Y378*1,"0")+IFERROR(Y379*1,"0")</f>
        <v>0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3072.9599999999996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algorithmName="SHA-512" hashValue="KsyrZkJsBYn0v0p57SqHd6TtPtMCBscTCBjX3zRZfC0O5DsnhAHZpxfhkhRYQmfjLqUM7baNZPnqVuFh6TgdEA==" saltValue="8KWS2d12fJEDSrDhzUBqKg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24,07"/>
        <filter val="1 201,00"/>
        <filter val="1 691,00"/>
        <filter val="106,44"/>
        <filter val="11"/>
        <filter val="127,00"/>
        <filter val="128,00"/>
        <filter val="13,98"/>
        <filter val="149,60"/>
        <filter val="151,00"/>
        <filter val="152,08"/>
        <filter val="158,00"/>
        <filter val="16,94"/>
        <filter val="166,00"/>
        <filter val="177,00"/>
        <filter val="183,00"/>
        <filter val="189,00"/>
        <filter val="199,00"/>
        <filter val="202,00"/>
        <filter val="211,00"/>
        <filter val="311,00"/>
        <filter val="320,27"/>
        <filter val="39,13"/>
        <filter val="391,00"/>
        <filter val="415,00"/>
        <filter val="451,00"/>
        <filter val="47,41"/>
        <filter val="562,00"/>
        <filter val="587,00"/>
        <filter val="6 148,00"/>
        <filter val="6 502,70"/>
        <filter val="6 777,70"/>
        <filter val="691,00"/>
        <filter val="703,00"/>
        <filter val="80,07"/>
        <filter val="803,00"/>
        <filter val="98,15"/>
        <filter val="988,00"/>
      </filters>
    </filterColumn>
    <filterColumn colId="29" showButton="0"/>
    <filterColumn colId="30" showButton="0"/>
  </autoFilter>
  <mergeCells count="874">
    <mergeCell ref="D60:E60"/>
    <mergeCell ref="P73:T73"/>
    <mergeCell ref="P437:T437"/>
    <mergeCell ref="P315:T315"/>
    <mergeCell ref="P231:T231"/>
    <mergeCell ref="A432:O433"/>
    <mergeCell ref="D423:E423"/>
    <mergeCell ref="P302:T302"/>
    <mergeCell ref="D174:E174"/>
    <mergeCell ref="P82:V82"/>
    <mergeCell ref="P338:V338"/>
    <mergeCell ref="A138:Z138"/>
    <mergeCell ref="A419:Z419"/>
    <mergeCell ref="P63:V63"/>
    <mergeCell ref="P79:T79"/>
    <mergeCell ref="D472:E472"/>
    <mergeCell ref="A83:Z83"/>
    <mergeCell ref="D410:E410"/>
    <mergeCell ref="A276:Z276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D486:E486"/>
    <mergeCell ref="P86:T86"/>
    <mergeCell ref="P328:T328"/>
    <mergeCell ref="P213:T213"/>
    <mergeCell ref="P157:T157"/>
    <mergeCell ref="D134:E134"/>
    <mergeCell ref="A330:O331"/>
    <mergeCell ref="P249:T249"/>
    <mergeCell ref="A365:Z365"/>
    <mergeCell ref="D357:E357"/>
    <mergeCell ref="P452:T452"/>
    <mergeCell ref="P448:V448"/>
    <mergeCell ref="P477:V477"/>
    <mergeCell ref="P443:T443"/>
    <mergeCell ref="P462:V462"/>
    <mergeCell ref="D316:E316"/>
    <mergeCell ref="P273:T273"/>
    <mergeCell ref="D87:E87"/>
    <mergeCell ref="A105:Z105"/>
    <mergeCell ref="A416:O417"/>
    <mergeCell ref="D329:E329"/>
    <mergeCell ref="A98:Z98"/>
    <mergeCell ref="D93:E93"/>
    <mergeCell ref="D424:E424"/>
    <mergeCell ref="R1:T1"/>
    <mergeCell ref="A158:O159"/>
    <mergeCell ref="P28:T28"/>
    <mergeCell ref="P392:T392"/>
    <mergeCell ref="P386:T386"/>
    <mergeCell ref="D307:E307"/>
    <mergeCell ref="P165:T165"/>
    <mergeCell ref="P400:V400"/>
    <mergeCell ref="D73:E73"/>
    <mergeCell ref="P77:V77"/>
    <mergeCell ref="P30:T30"/>
    <mergeCell ref="A76:O77"/>
    <mergeCell ref="P375:V375"/>
    <mergeCell ref="A374:O375"/>
    <mergeCell ref="P290:T290"/>
    <mergeCell ref="A311:O312"/>
    <mergeCell ref="A234:O235"/>
    <mergeCell ref="A63:O64"/>
    <mergeCell ref="B17:B18"/>
    <mergeCell ref="P143:V143"/>
    <mergeCell ref="A171:O172"/>
    <mergeCell ref="D258:E258"/>
    <mergeCell ref="P235:V235"/>
    <mergeCell ref="D124:E124"/>
    <mergeCell ref="P56:T56"/>
    <mergeCell ref="D195:E195"/>
    <mergeCell ref="P379:T379"/>
    <mergeCell ref="V10:W10"/>
    <mergeCell ref="D431:E431"/>
    <mergeCell ref="P99:T99"/>
    <mergeCell ref="P170:T170"/>
    <mergeCell ref="P316:T316"/>
    <mergeCell ref="P145:T145"/>
    <mergeCell ref="D66:E66"/>
    <mergeCell ref="D197:E197"/>
    <mergeCell ref="D53:E53"/>
    <mergeCell ref="A84:Z84"/>
    <mergeCell ref="A50:Z50"/>
    <mergeCell ref="P96:V96"/>
    <mergeCell ref="W17:W18"/>
    <mergeCell ref="A144:Z144"/>
    <mergeCell ref="A120:O121"/>
    <mergeCell ref="D129:E129"/>
    <mergeCell ref="P177:V177"/>
    <mergeCell ref="A45:Z45"/>
    <mergeCell ref="A287:Z287"/>
    <mergeCell ref="P35:V35"/>
    <mergeCell ref="P399:V399"/>
    <mergeCell ref="H497:H498"/>
    <mergeCell ref="A473:O474"/>
    <mergeCell ref="P330:V330"/>
    <mergeCell ref="J497:J498"/>
    <mergeCell ref="D289:E289"/>
    <mergeCell ref="P395:V395"/>
    <mergeCell ref="P159:V159"/>
    <mergeCell ref="P209:T209"/>
    <mergeCell ref="P147:T147"/>
    <mergeCell ref="P445:T445"/>
    <mergeCell ref="A434:Z434"/>
    <mergeCell ref="A384:Z384"/>
    <mergeCell ref="A449:Z449"/>
    <mergeCell ref="P325:V325"/>
    <mergeCell ref="A150:Z150"/>
    <mergeCell ref="D378:E378"/>
    <mergeCell ref="P458:T458"/>
    <mergeCell ref="P487:V487"/>
    <mergeCell ref="P182:V182"/>
    <mergeCell ref="P476:T476"/>
    <mergeCell ref="P407:T407"/>
    <mergeCell ref="P471:T471"/>
    <mergeCell ref="X497:X498"/>
    <mergeCell ref="A475:Z475"/>
    <mergeCell ref="D7:M7"/>
    <mergeCell ref="D79:E79"/>
    <mergeCell ref="P92:T92"/>
    <mergeCell ref="P334:T334"/>
    <mergeCell ref="D315:E315"/>
    <mergeCell ref="A380:O381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A148:O149"/>
    <mergeCell ref="P251:V251"/>
    <mergeCell ref="P416:V416"/>
    <mergeCell ref="P266:T266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D28:E28"/>
    <mergeCell ref="D92:E92"/>
    <mergeCell ref="A361:Z361"/>
    <mergeCell ref="D55:E55"/>
    <mergeCell ref="A95:O96"/>
    <mergeCell ref="D353:E353"/>
    <mergeCell ref="D30:E30"/>
    <mergeCell ref="D67:E67"/>
    <mergeCell ref="D5:E5"/>
    <mergeCell ref="D303:E303"/>
    <mergeCell ref="A238:O239"/>
    <mergeCell ref="P42:T42"/>
    <mergeCell ref="D290:E290"/>
    <mergeCell ref="D94:E94"/>
    <mergeCell ref="A109:O110"/>
    <mergeCell ref="A47:O48"/>
    <mergeCell ref="Y496:Z496"/>
    <mergeCell ref="D443:E443"/>
    <mergeCell ref="D387:E387"/>
    <mergeCell ref="D272:E272"/>
    <mergeCell ref="D210:E210"/>
    <mergeCell ref="A250:O251"/>
    <mergeCell ref="D145:E145"/>
    <mergeCell ref="D308:E308"/>
    <mergeCell ref="D209:E209"/>
    <mergeCell ref="P166:T166"/>
    <mergeCell ref="A282:Z282"/>
    <mergeCell ref="P188:V188"/>
    <mergeCell ref="A187:O188"/>
    <mergeCell ref="D445:E445"/>
    <mergeCell ref="D245:E245"/>
    <mergeCell ref="D301:E301"/>
    <mergeCell ref="D147:E147"/>
    <mergeCell ref="A376:Z376"/>
    <mergeCell ref="D224:E224"/>
    <mergeCell ref="P230:T230"/>
    <mergeCell ref="D211:E211"/>
    <mergeCell ref="P168:T168"/>
    <mergeCell ref="P490:V490"/>
    <mergeCell ref="A482:O483"/>
    <mergeCell ref="D1:F1"/>
    <mergeCell ref="P466:T466"/>
    <mergeCell ref="A71:Z71"/>
    <mergeCell ref="P488:V488"/>
    <mergeCell ref="A313:Z313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P497:P498"/>
    <mergeCell ref="A402:Z402"/>
    <mergeCell ref="D229:E229"/>
    <mergeCell ref="R497:R498"/>
    <mergeCell ref="D108:E108"/>
    <mergeCell ref="P429:T429"/>
    <mergeCell ref="P258:T258"/>
    <mergeCell ref="P423:T423"/>
    <mergeCell ref="A304:O305"/>
    <mergeCell ref="Z497:Z498"/>
    <mergeCell ref="P303:T303"/>
    <mergeCell ref="P317:V317"/>
    <mergeCell ref="P304:V304"/>
    <mergeCell ref="P181:V181"/>
    <mergeCell ref="A396:Z396"/>
    <mergeCell ref="D460:E460"/>
    <mergeCell ref="D391:E391"/>
    <mergeCell ref="P370:V370"/>
    <mergeCell ref="A394:O395"/>
    <mergeCell ref="A369:O370"/>
    <mergeCell ref="D328:E328"/>
    <mergeCell ref="D157:E157"/>
    <mergeCell ref="P136:V136"/>
    <mergeCell ref="A253:Z253"/>
    <mergeCell ref="P52:T52"/>
    <mergeCell ref="P481:T481"/>
    <mergeCell ref="I17:I18"/>
    <mergeCell ref="D141:E141"/>
    <mergeCell ref="D135:E135"/>
    <mergeCell ref="D377:E377"/>
    <mergeCell ref="P352:T352"/>
    <mergeCell ref="P203:V203"/>
    <mergeCell ref="D72:E72"/>
    <mergeCell ref="A326:Z326"/>
    <mergeCell ref="P295:V295"/>
    <mergeCell ref="P178:V178"/>
    <mergeCell ref="A177:O178"/>
    <mergeCell ref="P463:V463"/>
    <mergeCell ref="P267:V267"/>
    <mergeCell ref="D403:E403"/>
    <mergeCell ref="D232:E232"/>
    <mergeCell ref="D161:E161"/>
    <mergeCell ref="P238:V238"/>
    <mergeCell ref="P264:T264"/>
    <mergeCell ref="P68:T68"/>
    <mergeCell ref="D169:E169"/>
    <mergeCell ref="P353:T353"/>
    <mergeCell ref="P204:V204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119:T119"/>
    <mergeCell ref="P354:V354"/>
    <mergeCell ref="P246:T246"/>
    <mergeCell ref="A43:O44"/>
    <mergeCell ref="D390:E390"/>
    <mergeCell ref="A123:Z123"/>
    <mergeCell ref="P491:V491"/>
    <mergeCell ref="P369:V369"/>
    <mergeCell ref="P127:V127"/>
    <mergeCell ref="A354:O355"/>
    <mergeCell ref="P53:T53"/>
    <mergeCell ref="F9:G9"/>
    <mergeCell ref="D167:E167"/>
    <mergeCell ref="P422:T422"/>
    <mergeCell ref="P289:T289"/>
    <mergeCell ref="A6:C6"/>
    <mergeCell ref="D309:E309"/>
    <mergeCell ref="U496:W496"/>
    <mergeCell ref="D113:E113"/>
    <mergeCell ref="P180:T180"/>
    <mergeCell ref="P167:T167"/>
    <mergeCell ref="A332:Z332"/>
    <mergeCell ref="D26:E26"/>
    <mergeCell ref="P403:T403"/>
    <mergeCell ref="P378:T378"/>
    <mergeCell ref="A259:O260"/>
    <mergeCell ref="A324:O325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P442:T442"/>
    <mergeCell ref="P489:V489"/>
    <mergeCell ref="D388:E388"/>
    <mergeCell ref="A5:C5"/>
    <mergeCell ref="P412:V412"/>
    <mergeCell ref="P64:V64"/>
    <mergeCell ref="A485:Z485"/>
    <mergeCell ref="P349:V349"/>
    <mergeCell ref="D166:E166"/>
    <mergeCell ref="P195:T195"/>
    <mergeCell ref="P364:V364"/>
    <mergeCell ref="A189:Z189"/>
    <mergeCell ref="P300:T300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A438:O439"/>
    <mergeCell ref="P433:V433"/>
    <mergeCell ref="P308:T308"/>
    <mergeCell ref="A267:O268"/>
    <mergeCell ref="P210:T210"/>
    <mergeCell ref="P185:T185"/>
    <mergeCell ref="D106:E106"/>
    <mergeCell ref="P427:T427"/>
    <mergeCell ref="P283:T283"/>
    <mergeCell ref="D264:E264"/>
    <mergeCell ref="D373:E373"/>
    <mergeCell ref="D202:E202"/>
    <mergeCell ref="A242:O243"/>
    <mergeCell ref="A179:Z179"/>
    <mergeCell ref="P174:T174"/>
    <mergeCell ref="A339:Z339"/>
    <mergeCell ref="P410:T410"/>
    <mergeCell ref="P385:T385"/>
    <mergeCell ref="D398:E398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372:E372"/>
    <mergeCell ref="P245:T245"/>
    <mergeCell ref="D201:E201"/>
    <mergeCell ref="P126:V126"/>
    <mergeCell ref="A69:O70"/>
    <mergeCell ref="D68:E68"/>
    <mergeCell ref="P224:T224"/>
    <mergeCell ref="P322:T322"/>
    <mergeCell ref="A285:O286"/>
    <mergeCell ref="P211:T211"/>
    <mergeCell ref="P309:T309"/>
    <mergeCell ref="P51:T51"/>
    <mergeCell ref="P26:T26"/>
    <mergeCell ref="A261:Z261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A349:O350"/>
    <mergeCell ref="Y497:Y498"/>
    <mergeCell ref="P447:V447"/>
    <mergeCell ref="P387:T387"/>
    <mergeCell ref="A406:Z406"/>
    <mergeCell ref="D422:E422"/>
    <mergeCell ref="P360:V360"/>
    <mergeCell ref="P87:T87"/>
    <mergeCell ref="P451:T451"/>
    <mergeCell ref="D335:E335"/>
    <mergeCell ref="A470:Z470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39:Z139"/>
    <mergeCell ref="D74:E74"/>
    <mergeCell ref="D130:E130"/>
    <mergeCell ref="A13:M13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P229:T229"/>
    <mergeCell ref="A133:Z133"/>
    <mergeCell ref="D125:E125"/>
    <mergeCell ref="D22:E22"/>
    <mergeCell ref="F17:F18"/>
    <mergeCell ref="U17:V17"/>
    <mergeCell ref="Y17:Y18"/>
    <mergeCell ref="D52:E52"/>
    <mergeCell ref="P110:V110"/>
    <mergeCell ref="D27:E27"/>
    <mergeCell ref="P208:T208"/>
    <mergeCell ref="P15:T16"/>
    <mergeCell ref="D352:E352"/>
    <mergeCell ref="P219:T219"/>
    <mergeCell ref="D91:E91"/>
    <mergeCell ref="J9:M9"/>
    <mergeCell ref="A418:Z418"/>
    <mergeCell ref="D283:E283"/>
    <mergeCell ref="A356:Z356"/>
    <mergeCell ref="D112:E112"/>
    <mergeCell ref="D348:E348"/>
    <mergeCell ref="P141:T141"/>
    <mergeCell ref="P454:V454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A38:Z38"/>
    <mergeCell ref="H17:H18"/>
    <mergeCell ref="V6:W9"/>
    <mergeCell ref="Z17:Z18"/>
    <mergeCell ref="G17:G18"/>
    <mergeCell ref="A9:C9"/>
    <mergeCell ref="Q13:R13"/>
    <mergeCell ref="P58:V58"/>
    <mergeCell ref="C497:C498"/>
    <mergeCell ref="D114:E114"/>
    <mergeCell ref="E497:E498"/>
    <mergeCell ref="P220:V220"/>
    <mergeCell ref="P248:T248"/>
    <mergeCell ref="P441:T441"/>
    <mergeCell ref="D362:E362"/>
    <mergeCell ref="D51:E51"/>
    <mergeCell ref="D476:E476"/>
    <mergeCell ref="P207:T207"/>
    <mergeCell ref="A131:O132"/>
    <mergeCell ref="P299:T299"/>
    <mergeCell ref="P172:V172"/>
    <mergeCell ref="P221:V221"/>
    <mergeCell ref="P215:V215"/>
    <mergeCell ref="P393:T393"/>
    <mergeCell ref="P232:T232"/>
    <mergeCell ref="P152:V152"/>
    <mergeCell ref="D140:E140"/>
    <mergeCell ref="A340:Z340"/>
    <mergeCell ref="D425:E425"/>
    <mergeCell ref="A220:O221"/>
    <mergeCell ref="P161:T161"/>
    <mergeCell ref="P388:T388"/>
    <mergeCell ref="P459:T459"/>
    <mergeCell ref="D465:E465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D85:E85"/>
    <mergeCell ref="P57:V57"/>
    <mergeCell ref="A81:O82"/>
    <mergeCell ref="D80:E80"/>
    <mergeCell ref="P46:T46"/>
    <mergeCell ref="P32:V32"/>
    <mergeCell ref="P34:T34"/>
    <mergeCell ref="P446:T446"/>
    <mergeCell ref="P450:T450"/>
    <mergeCell ref="D162:E162"/>
    <mergeCell ref="P272:T272"/>
    <mergeCell ref="D327:E327"/>
    <mergeCell ref="P439:V439"/>
    <mergeCell ref="P483:V483"/>
    <mergeCell ref="D298:E298"/>
    <mergeCell ref="P91:T91"/>
    <mergeCell ref="P404:V404"/>
    <mergeCell ref="A351:Z351"/>
    <mergeCell ref="D273:E273"/>
    <mergeCell ref="P327:T327"/>
    <mergeCell ref="P468:V468"/>
    <mergeCell ref="A464:Z464"/>
    <mergeCell ref="A160:Z160"/>
    <mergeCell ref="P212:T212"/>
    <mergeCell ref="D299:E299"/>
    <mergeCell ref="P405:V405"/>
    <mergeCell ref="A401:Z401"/>
    <mergeCell ref="D314:E314"/>
    <mergeCell ref="A152:O153"/>
    <mergeCell ref="P171:V171"/>
    <mergeCell ref="P242:V242"/>
    <mergeCell ref="P121:V121"/>
    <mergeCell ref="A296:Z296"/>
    <mergeCell ref="D459:E459"/>
    <mergeCell ref="P148:V148"/>
    <mergeCell ref="P130:T130"/>
    <mergeCell ref="P190:T190"/>
    <mergeCell ref="AA17:AA18"/>
    <mergeCell ref="H10:M10"/>
    <mergeCell ref="AC17:AC18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A288:Z288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P320:T320"/>
    <mergeCell ref="P314:T314"/>
    <mergeCell ref="S497:S498"/>
    <mergeCell ref="D428:E428"/>
    <mergeCell ref="P40:T40"/>
    <mergeCell ref="K497:K498"/>
    <mergeCell ref="M497:M498"/>
    <mergeCell ref="D415:E415"/>
    <mergeCell ref="P394:V394"/>
    <mergeCell ref="P257:T257"/>
    <mergeCell ref="P80:T80"/>
    <mergeCell ref="P460:T460"/>
    <mergeCell ref="D441:E441"/>
    <mergeCell ref="P398:T398"/>
    <mergeCell ref="P227:T227"/>
    <mergeCell ref="D368:E368"/>
    <mergeCell ref="P106:T106"/>
    <mergeCell ref="D481:E481"/>
    <mergeCell ref="A294:O295"/>
    <mergeCell ref="P335:T335"/>
    <mergeCell ref="D256:E256"/>
    <mergeCell ref="P226:T226"/>
    <mergeCell ref="D207:E207"/>
    <mergeCell ref="P164:T164"/>
    <mergeCell ref="P120:V120"/>
    <mergeCell ref="P93:T93"/>
    <mergeCell ref="AB17:AB18"/>
    <mergeCell ref="A90:Z90"/>
    <mergeCell ref="D446:E446"/>
    <mergeCell ref="A277:Z277"/>
    <mergeCell ref="P44:V44"/>
    <mergeCell ref="D367:E367"/>
    <mergeCell ref="H5:M5"/>
    <mergeCell ref="P31:V31"/>
    <mergeCell ref="P473:V473"/>
    <mergeCell ref="P158:V158"/>
    <mergeCell ref="A154:Z154"/>
    <mergeCell ref="D212:E212"/>
    <mergeCell ref="P225:T225"/>
    <mergeCell ref="A456:Z456"/>
    <mergeCell ref="A341:Z341"/>
    <mergeCell ref="D146:E146"/>
    <mergeCell ref="D6:M6"/>
    <mergeCell ref="P461:T461"/>
    <mergeCell ref="A317:O318"/>
    <mergeCell ref="A306:Z306"/>
    <mergeCell ref="P175:T175"/>
    <mergeCell ref="P95:V95"/>
    <mergeCell ref="P162:T162"/>
    <mergeCell ref="P331:V331"/>
    <mergeCell ref="C496:H496"/>
    <mergeCell ref="P112:T112"/>
    <mergeCell ref="P348:T348"/>
    <mergeCell ref="P323:T323"/>
    <mergeCell ref="A414:Z414"/>
    <mergeCell ref="D231:E231"/>
    <mergeCell ref="D358:E358"/>
    <mergeCell ref="P70:V70"/>
    <mergeCell ref="P337:V337"/>
    <mergeCell ref="A156:Z156"/>
    <mergeCell ref="P116:V116"/>
    <mergeCell ref="P474:V474"/>
    <mergeCell ref="P103:V103"/>
    <mergeCell ref="A155:Z155"/>
    <mergeCell ref="P268:V268"/>
    <mergeCell ref="P201:T201"/>
    <mergeCell ref="P101:T101"/>
    <mergeCell ref="P465:T465"/>
    <mergeCell ref="D386:E386"/>
    <mergeCell ref="P250:V250"/>
    <mergeCell ref="P199:T199"/>
    <mergeCell ref="A447:O448"/>
    <mergeCell ref="P436:T436"/>
    <mergeCell ref="A487:O488"/>
    <mergeCell ref="L497:L498"/>
    <mergeCell ref="D389:E389"/>
    <mergeCell ref="P47:V47"/>
    <mergeCell ref="P176:T176"/>
    <mergeCell ref="P247:T247"/>
    <mergeCell ref="P114:T114"/>
    <mergeCell ref="P241:T241"/>
    <mergeCell ref="P41:T41"/>
    <mergeCell ref="A35:O36"/>
    <mergeCell ref="A455:Z455"/>
    <mergeCell ref="D320:E320"/>
    <mergeCell ref="A222:Z222"/>
    <mergeCell ref="D385:E385"/>
    <mergeCell ref="P301:T301"/>
    <mergeCell ref="D257:E257"/>
    <mergeCell ref="P214:T214"/>
    <mergeCell ref="D86:E86"/>
    <mergeCell ref="D213:E213"/>
    <mergeCell ref="A457:Z457"/>
    <mergeCell ref="P192:V192"/>
    <mergeCell ref="D151:E151"/>
    <mergeCell ref="D321:E321"/>
    <mergeCell ref="P278:T278"/>
    <mergeCell ref="P107:T107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P187:V187"/>
    <mergeCell ref="A453:O454"/>
    <mergeCell ref="P494:V494"/>
    <mergeCell ref="P430:T430"/>
    <mergeCell ref="P350:V350"/>
    <mergeCell ref="P102:T102"/>
    <mergeCell ref="P196:T196"/>
    <mergeCell ref="P281:V281"/>
    <mergeCell ref="D226:E226"/>
    <mergeCell ref="D164:E164"/>
    <mergeCell ref="P62:T62"/>
    <mergeCell ref="U497:U498"/>
    <mergeCell ref="I496:R496"/>
    <mergeCell ref="A497:A498"/>
    <mergeCell ref="P2:W3"/>
    <mergeCell ref="P298:T298"/>
    <mergeCell ref="D437:E437"/>
    <mergeCell ref="D241:E241"/>
    <mergeCell ref="P198:T198"/>
    <mergeCell ref="P347:T347"/>
    <mergeCell ref="A57:O58"/>
    <mergeCell ref="P54:T54"/>
    <mergeCell ref="D228:E228"/>
    <mergeCell ref="P312:V312"/>
    <mergeCell ref="P421:T421"/>
    <mergeCell ref="A411:O412"/>
    <mergeCell ref="P408:T408"/>
    <mergeCell ref="D218:E218"/>
    <mergeCell ref="P137:V137"/>
    <mergeCell ref="D247:E247"/>
    <mergeCell ref="P239:V239"/>
    <mergeCell ref="P432:V432"/>
    <mergeCell ref="D249:E249"/>
    <mergeCell ref="D170:E170"/>
    <mergeCell ref="P132:V132"/>
    <mergeCell ref="P72:T72"/>
    <mergeCell ref="A31:O32"/>
    <mergeCell ref="N17:N18"/>
    <mergeCell ref="W497:W498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D430:E430"/>
    <mergeCell ref="P469:V469"/>
    <mergeCell ref="P486:T486"/>
    <mergeCell ref="D450:E450"/>
    <mergeCell ref="P357:T357"/>
    <mergeCell ref="D29:E29"/>
    <mergeCell ref="P344:T344"/>
    <mergeCell ref="D265:E265"/>
    <mergeCell ref="A20:Z20"/>
    <mergeCell ref="P493:V493"/>
    <mergeCell ref="D452:E452"/>
    <mergeCell ref="AD17:AF18"/>
    <mergeCell ref="P142:V142"/>
    <mergeCell ref="A337:O338"/>
    <mergeCell ref="D101:E101"/>
    <mergeCell ref="P117:V117"/>
    <mergeCell ref="F5:G5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P367:T367"/>
    <mergeCell ref="D165:E165"/>
    <mergeCell ref="P75:T75"/>
    <mergeCell ref="P342:T342"/>
    <mergeCell ref="P146:T146"/>
    <mergeCell ref="D323:E323"/>
    <mergeCell ref="A136:O137"/>
    <mergeCell ref="A192:O193"/>
    <mergeCell ref="D279:E279"/>
    <mergeCell ref="Q5:R5"/>
    <mergeCell ref="P297:T297"/>
    <mergeCell ref="P435:T435"/>
    <mergeCell ref="D278:E278"/>
    <mergeCell ref="P291:T291"/>
    <mergeCell ref="D163:E163"/>
    <mergeCell ref="D107:E107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33:Z33"/>
    <mergeCell ref="V12:W12"/>
    <mergeCell ref="D291:E291"/>
    <mergeCell ref="D266:E266"/>
    <mergeCell ref="D458:E458"/>
    <mergeCell ref="P368:T368"/>
    <mergeCell ref="A489:O494"/>
    <mergeCell ref="D237:E237"/>
    <mergeCell ref="P285:V285"/>
    <mergeCell ref="P43:V43"/>
    <mergeCell ref="A215:O216"/>
    <mergeCell ref="P85:T85"/>
    <mergeCell ref="A39:Z39"/>
    <mergeCell ref="A142:O143"/>
    <mergeCell ref="P60:T60"/>
    <mergeCell ref="P482:V482"/>
    <mergeCell ref="D225:E225"/>
    <mergeCell ref="P409:T409"/>
    <mergeCell ref="A399:O400"/>
    <mergeCell ref="D461:E461"/>
    <mergeCell ref="P61:T61"/>
    <mergeCell ref="D200:E200"/>
    <mergeCell ref="D436:E436"/>
    <mergeCell ref="D292:E292"/>
    <mergeCell ref="P346:T346"/>
    <mergeCell ref="D227:E227"/>
    <mergeCell ref="P321:T321"/>
    <mergeCell ref="P125:T125"/>
    <mergeCell ref="A8:C8"/>
    <mergeCell ref="P124:T124"/>
    <mergeCell ref="D293:E293"/>
    <mergeCell ref="A477:O478"/>
    <mergeCell ref="P151:T151"/>
    <mergeCell ref="P76:V76"/>
    <mergeCell ref="A128:Z128"/>
    <mergeCell ref="P374:V374"/>
    <mergeCell ref="A10:C10"/>
    <mergeCell ref="A413:Z413"/>
    <mergeCell ref="A217:Z217"/>
    <mergeCell ref="D17:E18"/>
    <mergeCell ref="X17:X18"/>
    <mergeCell ref="D196:E196"/>
    <mergeCell ref="A440:Z440"/>
    <mergeCell ref="A269:Z269"/>
    <mergeCell ref="A126:O127"/>
    <mergeCell ref="P23:V23"/>
    <mergeCell ref="P381:V381"/>
    <mergeCell ref="A262:Z262"/>
    <mergeCell ref="A333:Z333"/>
    <mergeCell ref="D54:E54"/>
    <mergeCell ref="D271:E271"/>
    <mergeCell ref="D191:E191"/>
    <mergeCell ref="A484:Z484"/>
    <mergeCell ref="P218:T218"/>
    <mergeCell ref="P69:V69"/>
    <mergeCell ref="P311:V311"/>
    <mergeCell ref="A21:Z21"/>
    <mergeCell ref="P438:V438"/>
    <mergeCell ref="A194:Z194"/>
    <mergeCell ref="Q497:Q498"/>
    <mergeCell ref="G497:G498"/>
    <mergeCell ref="I497:I498"/>
    <mergeCell ref="D42:E42"/>
    <mergeCell ref="A468:O469"/>
    <mergeCell ref="A479:Z479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T497:T498"/>
    <mergeCell ref="V497:V498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4 X56 X60 X79 X85:X87 X91 X93:X94 X99:X101 X106 X112 X114 X124:X125 X130 X163:X164 X168 X186 X195:X200 X202 X206:X209 X211:X214 X232 X254 X256 X272:X273 X298 X307 X315 X322:X323 X335:X336 X342:X344 X352 X367 X372 X377:X378 X387 X421 X423:X424 X426 X435 X437 X441:X443 X460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ai57I0qyl3NU9xU6W9fvpzPqiYM3RzYA9l/zekjC704yffVkUfJ431EvWCl8S1TE2Fn8CpRYIjNZoV3KJ6O/1w==" saltValue="uz1nQfykUEKLwYQ5X/8OY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2025-12-01T11:07:04Z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