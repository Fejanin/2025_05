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228E387-4FD3-45FF-B1E5-17A19510C15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X138" i="1"/>
  <c r="X137" i="1"/>
  <c r="BO136" i="1"/>
  <c r="BM136" i="1"/>
  <c r="Y136" i="1"/>
  <c r="BP136" i="1" s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P130" i="1"/>
  <c r="X128" i="1"/>
  <c r="Y127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Y111" i="1" s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X90" i="1"/>
  <c r="X89" i="1"/>
  <c r="BO88" i="1"/>
  <c r="BM88" i="1"/>
  <c r="Y88" i="1"/>
  <c r="BP88" i="1" s="1"/>
  <c r="P88" i="1"/>
  <c r="BO87" i="1"/>
  <c r="BM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Y82" i="1" s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P69" i="1"/>
  <c r="BO68" i="1"/>
  <c r="BM68" i="1"/>
  <c r="Y68" i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O23" i="1"/>
  <c r="BM23" i="1"/>
  <c r="Y23" i="1"/>
  <c r="Y25" i="1" s="1"/>
  <c r="P23" i="1"/>
  <c r="BP22" i="1"/>
  <c r="BO22" i="1"/>
  <c r="BN22" i="1"/>
  <c r="BM22" i="1"/>
  <c r="Z22" i="1"/>
  <c r="Y22" i="1"/>
  <c r="H10" i="1"/>
  <c r="A9" i="1"/>
  <c r="A10" i="1" s="1"/>
  <c r="D7" i="1"/>
  <c r="Q6" i="1"/>
  <c r="P2" i="1"/>
  <c r="BP69" i="1" l="1"/>
  <c r="BN69" i="1"/>
  <c r="Z69" i="1"/>
  <c r="BP103" i="1"/>
  <c r="BN103" i="1"/>
  <c r="Z103" i="1"/>
  <c r="BP141" i="1"/>
  <c r="BN141" i="1"/>
  <c r="Z141" i="1"/>
  <c r="BP177" i="1"/>
  <c r="BN177" i="1"/>
  <c r="Z177" i="1"/>
  <c r="BP209" i="1"/>
  <c r="BN209" i="1"/>
  <c r="Z209" i="1"/>
  <c r="BP232" i="1"/>
  <c r="BN232" i="1"/>
  <c r="Z232" i="1"/>
  <c r="BP264" i="1"/>
  <c r="BN264" i="1"/>
  <c r="Z264" i="1"/>
  <c r="BP299" i="1"/>
  <c r="BN299" i="1"/>
  <c r="Z299" i="1"/>
  <c r="BP323" i="1"/>
  <c r="BN323" i="1"/>
  <c r="Z323" i="1"/>
  <c r="BP373" i="1"/>
  <c r="BN373" i="1"/>
  <c r="Z373" i="1"/>
  <c r="BP410" i="1"/>
  <c r="BN410" i="1"/>
  <c r="Z410" i="1"/>
  <c r="BP432" i="1"/>
  <c r="BN432" i="1"/>
  <c r="Z432" i="1"/>
  <c r="BP460" i="1"/>
  <c r="BN460" i="1"/>
  <c r="Z460" i="1"/>
  <c r="Z30" i="1"/>
  <c r="BN30" i="1"/>
  <c r="Z57" i="1"/>
  <c r="BN57" i="1"/>
  <c r="Y89" i="1"/>
  <c r="BP86" i="1"/>
  <c r="BN86" i="1"/>
  <c r="Z86" i="1"/>
  <c r="BP113" i="1"/>
  <c r="BN113" i="1"/>
  <c r="Z113" i="1"/>
  <c r="BP167" i="1"/>
  <c r="BN167" i="1"/>
  <c r="Z167" i="1"/>
  <c r="BP196" i="1"/>
  <c r="BN196" i="1"/>
  <c r="Z196" i="1"/>
  <c r="BP219" i="1"/>
  <c r="BN219" i="1"/>
  <c r="Z219" i="1"/>
  <c r="BP250" i="1"/>
  <c r="BN250" i="1"/>
  <c r="Z250" i="1"/>
  <c r="BP284" i="1"/>
  <c r="BN284" i="1"/>
  <c r="Z284" i="1"/>
  <c r="BP311" i="1"/>
  <c r="BN311" i="1"/>
  <c r="Z311" i="1"/>
  <c r="BP346" i="1"/>
  <c r="BN346" i="1"/>
  <c r="Z346" i="1"/>
  <c r="BP391" i="1"/>
  <c r="BN391" i="1"/>
  <c r="Z391" i="1"/>
  <c r="BP424" i="1"/>
  <c r="BN424" i="1"/>
  <c r="Z424" i="1"/>
  <c r="BP448" i="1"/>
  <c r="BN448" i="1"/>
  <c r="Z448" i="1"/>
  <c r="Y480" i="1"/>
  <c r="Y479" i="1"/>
  <c r="BP478" i="1"/>
  <c r="BN478" i="1"/>
  <c r="Z478" i="1"/>
  <c r="Z479" i="1" s="1"/>
  <c r="BP482" i="1"/>
  <c r="BN482" i="1"/>
  <c r="Z482" i="1"/>
  <c r="Y77" i="1"/>
  <c r="Y118" i="1"/>
  <c r="U501" i="1"/>
  <c r="Y110" i="1"/>
  <c r="Y178" i="1"/>
  <c r="BP248" i="1"/>
  <c r="BN248" i="1"/>
  <c r="BP255" i="1"/>
  <c r="BN255" i="1"/>
  <c r="Z255" i="1"/>
  <c r="BP266" i="1"/>
  <c r="BN266" i="1"/>
  <c r="Z266" i="1"/>
  <c r="BP291" i="1"/>
  <c r="BN291" i="1"/>
  <c r="Z291" i="1"/>
  <c r="BP301" i="1"/>
  <c r="BN301" i="1"/>
  <c r="Z301" i="1"/>
  <c r="BP315" i="1"/>
  <c r="BN315" i="1"/>
  <c r="Z315" i="1"/>
  <c r="BP329" i="1"/>
  <c r="BN329" i="1"/>
  <c r="Z329" i="1"/>
  <c r="BP348" i="1"/>
  <c r="BN348" i="1"/>
  <c r="Z348" i="1"/>
  <c r="BP379" i="1"/>
  <c r="BN379" i="1"/>
  <c r="Z379" i="1"/>
  <c r="BP393" i="1"/>
  <c r="BN393" i="1"/>
  <c r="Z393" i="1"/>
  <c r="BP426" i="1"/>
  <c r="BN426" i="1"/>
  <c r="Z426" i="1"/>
  <c r="BP438" i="1"/>
  <c r="BN438" i="1"/>
  <c r="Z438" i="1"/>
  <c r="Y456" i="1"/>
  <c r="BP452" i="1"/>
  <c r="BN452" i="1"/>
  <c r="Z452" i="1"/>
  <c r="BP474" i="1"/>
  <c r="BN474" i="1"/>
  <c r="Z474" i="1"/>
  <c r="X495" i="1"/>
  <c r="Z28" i="1"/>
  <c r="BN28" i="1"/>
  <c r="Z42" i="1"/>
  <c r="BN42" i="1"/>
  <c r="Y58" i="1"/>
  <c r="Z55" i="1"/>
  <c r="BN55" i="1"/>
  <c r="Z61" i="1"/>
  <c r="BN61" i="1"/>
  <c r="BP61" i="1"/>
  <c r="Y64" i="1"/>
  <c r="Z67" i="1"/>
  <c r="BN67" i="1"/>
  <c r="Z73" i="1"/>
  <c r="BN73" i="1"/>
  <c r="BP73" i="1"/>
  <c r="Z81" i="1"/>
  <c r="BN81" i="1"/>
  <c r="Z88" i="1"/>
  <c r="BN88" i="1"/>
  <c r="Z92" i="1"/>
  <c r="BN92" i="1"/>
  <c r="Y97" i="1"/>
  <c r="Z101" i="1"/>
  <c r="BN101" i="1"/>
  <c r="Z107" i="1"/>
  <c r="BN107" i="1"/>
  <c r="BP107" i="1"/>
  <c r="Z115" i="1"/>
  <c r="BN115" i="1"/>
  <c r="Z136" i="1"/>
  <c r="BN136" i="1"/>
  <c r="Z147" i="1"/>
  <c r="BN147" i="1"/>
  <c r="Y172" i="1"/>
  <c r="Z165" i="1"/>
  <c r="BN165" i="1"/>
  <c r="Z169" i="1"/>
  <c r="BN169" i="1"/>
  <c r="Z175" i="1"/>
  <c r="BN175" i="1"/>
  <c r="BP175" i="1"/>
  <c r="Z192" i="1"/>
  <c r="BN192" i="1"/>
  <c r="Y204" i="1"/>
  <c r="Z198" i="1"/>
  <c r="BN198" i="1"/>
  <c r="Z202" i="1"/>
  <c r="BN202" i="1"/>
  <c r="Z211" i="1"/>
  <c r="BN211" i="1"/>
  <c r="Z215" i="1"/>
  <c r="BN215" i="1"/>
  <c r="Y221" i="1"/>
  <c r="Z226" i="1"/>
  <c r="BN226" i="1"/>
  <c r="Z230" i="1"/>
  <c r="BN230" i="1"/>
  <c r="Z234" i="1"/>
  <c r="BN234" i="1"/>
  <c r="Z248" i="1"/>
  <c r="BP259" i="1"/>
  <c r="BN259" i="1"/>
  <c r="Z259" i="1"/>
  <c r="BP280" i="1"/>
  <c r="BN280" i="1"/>
  <c r="Z280" i="1"/>
  <c r="BP295" i="1"/>
  <c r="BN295" i="1"/>
  <c r="Z295" i="1"/>
  <c r="BP309" i="1"/>
  <c r="BN309" i="1"/>
  <c r="Z309" i="1"/>
  <c r="Y325" i="1"/>
  <c r="BP321" i="1"/>
  <c r="BN321" i="1"/>
  <c r="Z321" i="1"/>
  <c r="BP344" i="1"/>
  <c r="BN344" i="1"/>
  <c r="Z344" i="1"/>
  <c r="BP369" i="1"/>
  <c r="BN369" i="1"/>
  <c r="Z369" i="1"/>
  <c r="BP389" i="1"/>
  <c r="BN389" i="1"/>
  <c r="Z389" i="1"/>
  <c r="Y405" i="1"/>
  <c r="BP404" i="1"/>
  <c r="BN404" i="1"/>
  <c r="Z404" i="1"/>
  <c r="Z405" i="1" s="1"/>
  <c r="Y412" i="1"/>
  <c r="BP408" i="1"/>
  <c r="BN408" i="1"/>
  <c r="Z408" i="1"/>
  <c r="BP430" i="1"/>
  <c r="BN430" i="1"/>
  <c r="Z430" i="1"/>
  <c r="BP446" i="1"/>
  <c r="BN446" i="1"/>
  <c r="Z446" i="1"/>
  <c r="Y455" i="1"/>
  <c r="BP462" i="1"/>
  <c r="BN462" i="1"/>
  <c r="Z462" i="1"/>
  <c r="Y286" i="1"/>
  <c r="Y375" i="1"/>
  <c r="Y484" i="1"/>
  <c r="F9" i="1"/>
  <c r="J9" i="1"/>
  <c r="F10" i="1"/>
  <c r="B501" i="1"/>
  <c r="X492" i="1"/>
  <c r="X493" i="1"/>
  <c r="Z23" i="1"/>
  <c r="Z24" i="1" s="1"/>
  <c r="BN23" i="1"/>
  <c r="BP23" i="1"/>
  <c r="Y24" i="1"/>
  <c r="X491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Z62" i="1"/>
  <c r="BN62" i="1"/>
  <c r="BP62" i="1"/>
  <c r="Y71" i="1"/>
  <c r="Y70" i="1"/>
  <c r="BP74" i="1"/>
  <c r="BN74" i="1"/>
  <c r="Z74" i="1"/>
  <c r="BP87" i="1"/>
  <c r="BN87" i="1"/>
  <c r="Z87" i="1"/>
  <c r="Z89" i="1" s="1"/>
  <c r="Y96" i="1"/>
  <c r="BP95" i="1"/>
  <c r="BN95" i="1"/>
  <c r="Z95" i="1"/>
  <c r="F501" i="1"/>
  <c r="Y105" i="1"/>
  <c r="BP100" i="1"/>
  <c r="BN100" i="1"/>
  <c r="Z100" i="1"/>
  <c r="Y104" i="1"/>
  <c r="BP108" i="1"/>
  <c r="BN108" i="1"/>
  <c r="Z108" i="1"/>
  <c r="Z110" i="1" s="1"/>
  <c r="Y117" i="1"/>
  <c r="BP116" i="1"/>
  <c r="BN116" i="1"/>
  <c r="Z116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Y132" i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BP176" i="1"/>
  <c r="BN176" i="1"/>
  <c r="Z176" i="1"/>
  <c r="Z178" i="1" s="1"/>
  <c r="BP197" i="1"/>
  <c r="BN197" i="1"/>
  <c r="Z197" i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Y318" i="1"/>
  <c r="D501" i="1"/>
  <c r="H9" i="1"/>
  <c r="Y45" i="1"/>
  <c r="BP68" i="1"/>
  <c r="BN68" i="1"/>
  <c r="Z68" i="1"/>
  <c r="Z70" i="1" s="1"/>
  <c r="BP76" i="1"/>
  <c r="BN76" i="1"/>
  <c r="Z76" i="1"/>
  <c r="Y78" i="1"/>
  <c r="Y83" i="1"/>
  <c r="BP80" i="1"/>
  <c r="BN80" i="1"/>
  <c r="Z80" i="1"/>
  <c r="Z82" i="1" s="1"/>
  <c r="BP93" i="1"/>
  <c r="BN93" i="1"/>
  <c r="Z93" i="1"/>
  <c r="BP102" i="1"/>
  <c r="BN102" i="1"/>
  <c r="Z102" i="1"/>
  <c r="BP114" i="1"/>
  <c r="BN114" i="1"/>
  <c r="Z114" i="1"/>
  <c r="BP131" i="1"/>
  <c r="BN131" i="1"/>
  <c r="Z131" i="1"/>
  <c r="Z132" i="1" s="1"/>
  <c r="Y133" i="1"/>
  <c r="Y138" i="1"/>
  <c r="BP135" i="1"/>
  <c r="BN135" i="1"/>
  <c r="Z135" i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Z260" i="1" s="1"/>
  <c r="L501" i="1"/>
  <c r="Y260" i="1"/>
  <c r="BP265" i="1"/>
  <c r="BN265" i="1"/>
  <c r="Z265" i="1"/>
  <c r="Y269" i="1"/>
  <c r="BP274" i="1"/>
  <c r="BN274" i="1"/>
  <c r="Z274" i="1"/>
  <c r="Y276" i="1"/>
  <c r="P501" i="1"/>
  <c r="Y282" i="1"/>
  <c r="BP279" i="1"/>
  <c r="BN279" i="1"/>
  <c r="Z279" i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BP445" i="1"/>
  <c r="BN445" i="1"/>
  <c r="Z445" i="1"/>
  <c r="BP453" i="1"/>
  <c r="BN453" i="1"/>
  <c r="Z453" i="1"/>
  <c r="Y464" i="1"/>
  <c r="BP463" i="1"/>
  <c r="BN463" i="1"/>
  <c r="Z463" i="1"/>
  <c r="Y470" i="1"/>
  <c r="BP467" i="1"/>
  <c r="BN467" i="1"/>
  <c r="Z467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470" i="1" l="1"/>
  <c r="Z464" i="1"/>
  <c r="Z455" i="1"/>
  <c r="Z318" i="1"/>
  <c r="Z64" i="1"/>
  <c r="Y492" i="1"/>
  <c r="Y493" i="1"/>
  <c r="Z440" i="1"/>
  <c r="Z381" i="1"/>
  <c r="Z251" i="1"/>
  <c r="Z475" i="1"/>
  <c r="Z281" i="1"/>
  <c r="Z268" i="1"/>
  <c r="Z137" i="1"/>
  <c r="Z117" i="1"/>
  <c r="Z96" i="1"/>
  <c r="Y491" i="1"/>
  <c r="Z305" i="1"/>
  <c r="X494" i="1"/>
  <c r="Z296" i="1"/>
  <c r="Z312" i="1"/>
  <c r="Z149" i="1"/>
  <c r="Z104" i="1"/>
  <c r="Z58" i="1"/>
  <c r="Z44" i="1"/>
  <c r="Z32" i="1"/>
  <c r="Y495" i="1"/>
  <c r="Z449" i="1"/>
  <c r="Z395" i="1"/>
  <c r="Z235" i="1"/>
  <c r="Z434" i="1"/>
  <c r="Z350" i="1"/>
  <c r="Z331" i="1"/>
  <c r="Z216" i="1"/>
  <c r="Z172" i="1"/>
  <c r="Z204" i="1"/>
  <c r="Z77" i="1"/>
  <c r="Z496" i="1" l="1"/>
  <c r="Y494" i="1"/>
</calcChain>
</file>

<file path=xl/sharedStrings.xml><?xml version="1.0" encoding="utf-8"?>
<sst xmlns="http://schemas.openxmlformats.org/spreadsheetml/2006/main" count="2353" uniqueCount="769">
  <si>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</si>
  <si>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</si>
  <si>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</si>
  <si>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</si>
  <si>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</si>
  <si>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</si>
  <si>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</si>
  <si>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</si>
  <si>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</si>
  <si>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</si>
  <si>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</si>
  <si>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</si>
  <si>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</si>
  <si>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</si>
  <si>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</si>
  <si>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</si>
  <si>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</si>
  <si>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</si>
  <si>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</si>
  <si>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</si>
  <si>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</si>
  <si>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</si>
  <si>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</si>
  <si>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</si>
  <si>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</si>
  <si>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</si>
  <si>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</si>
  <si>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</si>
  <si>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</si>
  <si>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</si>
  <si>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</si>
  <si>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</si>
  <si>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</si>
  <si>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</si>
  <si>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</si>
  <si>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</si>
  <si>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</si>
  <si>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</si>
  <si>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</si>
  <si>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</si>
  <si>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</si>
  <si>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</si>
  <si>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</si>
  <si>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</si>
  <si>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</si>
  <si>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</si>
  <si>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</si>
  <si>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</si>
  <si>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</si>
  <si>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</si>
  <si>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</si>
  <si>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</si>
  <si>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</si>
  <si>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</si>
  <si>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</si>
  <si>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</si>
  <si>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</si>
  <si>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</si>
  <si>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</si>
  <si>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</si>
  <si>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</si>
  <si>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</si>
  <si>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</si>
  <si>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</si>
  <si>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</si>
  <si>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</si>
  <si>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</si>
  <si>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</si>
  <si>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</si>
  <si>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</si>
  <si>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</si>
  <si>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</si>
  <si>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</si>
  <si>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</si>
  <si>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</si>
  <si>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</si>
  <si>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</si>
  <si>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</si>
  <si>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</si>
  <si>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</si>
  <si>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</si>
  <si>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</si>
  <si>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</si>
  <si>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</si>
  <si>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</si>
  <si>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</si>
  <si>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</si>
  <si>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</si>
  <si>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</si>
  <si>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</si>
  <si>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</si>
  <si>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</si>
  <si>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</si>
  <si>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</si>
  <si>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</si>
  <si>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</si>
  <si>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</si>
  <si>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</si>
  <si>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</si>
  <si>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</si>
  <si>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</si>
  <si>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</si>
  <si>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</si>
  <si>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</si>
  <si>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</si>
  <si>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</si>
  <si>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</si>
  <si>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</si>
  <si>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</si>
  <si>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</si>
  <si>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</si>
  <si>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</si>
  <si>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</si>
  <si>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</si>
  <si>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</si>
  <si>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</si>
  <si>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</si>
  <si>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</si>
  <si>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</si>
  <si>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</si>
  <si>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</si>
  <si>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</si>
  <si>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</si>
  <si>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</si>
  <si>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</si>
  <si>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</si>
  <si>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</si>
  <si>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</si>
  <si>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</si>
  <si>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</si>
  <si>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</si>
  <si>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</si>
  <si>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</si>
  <si>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</si>
  <si>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</si>
  <si>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</si>
  <si>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</si>
  <si>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</si>
  <si>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</si>
  <si>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</si>
  <si>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</si>
  <si>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</si>
  <si>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</si>
  <si>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</si>
  <si>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</si>
  <si>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</si>
  <si>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</si>
  <si>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</si>
  <si>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</si>
  <si>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</si>
  <si>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</si>
  <si>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</si>
  <si>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</si>
  <si>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</si>
  <si>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</si>
  <si>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</si>
  <si>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</si>
  <si>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</si>
  <si>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</si>
  <si>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</si>
  <si>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</si>
  <si>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</si>
  <si>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</si>
  <si>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</si>
  <si>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</si>
  <si>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</si>
  <si>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</si>
  <si>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</si>
  <si>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</si>
  <si>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</si>
  <si>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</si>
  <si>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</si>
  <si>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</si>
  <si>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</si>
  <si>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</si>
  <si>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</si>
  <si>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</si>
  <si>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</si>
  <si>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</si>
  <si>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</si>
  <si>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</si>
  <si>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</si>
  <si>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</si>
  <si>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</si>
  <si>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</si>
  <si>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</si>
  <si>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</si>
  <si>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</si>
  <si>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</si>
  <si>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</si>
  <si>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</si>
  <si>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</si>
  <si>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</si>
  <si>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</si>
  <si>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</si>
  <si>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</si>
  <si>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</si>
  <si>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</si>
  <si>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</si>
  <si>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</si>
  <si>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</si>
  <si>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</si>
  <si>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</si>
  <si>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</si>
  <si>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</si>
  <si>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</si>
  <si>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</si>
  <si>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</si>
  <si>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</si>
  <si>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</si>
  <si>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</si>
  <si>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</si>
  <si>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</si>
  <si>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</si>
  <si>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</si>
  <si>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</si>
  <si>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</si>
  <si>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</si>
  <si>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</si>
  <si>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</si>
  <si>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</si>
  <si>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</si>
  <si>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</si>
  <si>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</si>
  <si>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</si>
  <si>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</si>
  <si>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</si>
  <si>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</si>
  <si>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</si>
  <si>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</si>
  <si>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</si>
  <si>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</si>
  <si>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</si>
  <si>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</si>
  <si>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</si>
  <si>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</si>
  <si>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</si>
  <si>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</si>
  <si>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</si>
  <si>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</si>
  <si>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</si>
  <si>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</si>
  <si>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</si>
  <si>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</si>
  <si>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</si>
  <si>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</si>
  <si>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</si>
  <si>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</si>
  <si>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</si>
  <si>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</si>
  <si>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</si>
  <si>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</si>
  <si>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</si>
  <si>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</si>
  <si>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</si>
  <si>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</si>
  <si>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</si>
  <si>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</si>
  <si>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</si>
  <si>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</si>
  <si>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</si>
  <si>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</si>
  <si>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</si>
  <si>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</si>
  <si>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</si>
  <si>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</si>
  <si>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</si>
  <si>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</si>
  <si>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</si>
  <si>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</si>
  <si>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</si>
  <si>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</si>
  <si>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</si>
  <si>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</si>
  <si>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</si>
  <si>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</si>
  <si>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</si>
  <si>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</si>
  <si>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</si>
  <si>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</si>
  <si>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</si>
  <si>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</si>
  <si>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</si>
  <si>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</si>
  <si>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</si>
  <si>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</si>
  <si>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</si>
  <si>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</si>
  <si>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</si>
  <si>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</si>
  <si>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</si>
  <si>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</si>
  <si>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</si>
  <si>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</si>
  <si>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</si>
  <si>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</si>
  <si>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</si>
  <si>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</si>
  <si>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</si>
  <si>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</si>
  <si>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</si>
  <si>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</si>
  <si>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</si>
  <si>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</si>
  <si>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</si>
  <si>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</si>
  <si>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</si>
  <si>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</si>
  <si>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</si>
  <si>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</si>
  <si>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</si>
  <si>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</si>
  <si>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</si>
  <si>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</si>
  <si>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</si>
  <si>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</si>
  <si>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</si>
  <si>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</si>
  <si>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</si>
  <si>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</si>
  <si>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</si>
  <si>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</si>
  <si>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</si>
  <si>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</si>
  <si>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</si>
  <si>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</si>
  <si>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</si>
  <si>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</si>
  <si>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</si>
  <si>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</si>
  <si>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</si>
  <si>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</si>
  <si>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</si>
  <si>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</si>
  <si>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</si>
  <si>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</si>
  <si>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</si>
  <si>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</si>
  <si>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</si>
  <si>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</si>
  <si>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</si>
  <si>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</si>
  <si>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</si>
  <si>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</si>
  <si>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</si>
  <si>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</si>
  <si>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</si>
  <si>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</si>
  <si>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</si>
  <si>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</si>
  <si>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</si>
  <si>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</si>
  <si>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</si>
  <si>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</si>
  <si>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</si>
  <si>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</si>
  <si>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</si>
  <si>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</si>
  <si>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</si>
  <si>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</si>
  <si>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</si>
  <si>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</si>
  <si>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</si>
  <si>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</si>
  <si>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</si>
  <si>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</si>
  <si>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</si>
  <si>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</si>
  <si>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</si>
  <si>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</si>
  <si>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</si>
  <si>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</si>
  <si>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</si>
  <si>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</si>
  <si>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</si>
  <si>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</si>
  <si>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</si>
  <si>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</si>
  <si>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</si>
  <si>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</si>
  <si>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</si>
  <si>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</si>
  <si>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</si>
  <si>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</si>
  <si>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</si>
  <si>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</si>
  <si>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</si>
  <si>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</si>
  <si>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</si>
  <si>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</si>
  <si>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</si>
  <si>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</si>
  <si>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</si>
  <si>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</si>
  <si>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</si>
  <si>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</si>
  <si>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</si>
  <si>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</si>
  <si>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</si>
  <si>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</si>
  <si>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</si>
  <si>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</si>
  <si>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</si>
  <si>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</si>
  <si>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</si>
  <si>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</si>
  <si>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</si>
  <si>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</si>
  <si>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</si>
  <si>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</si>
  <si>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</si>
  <si>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</si>
  <si>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</si>
  <si>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</si>
  <si>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</si>
  <si>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</si>
  <si>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</si>
  <si>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</si>
  <si>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</si>
  <si>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</si>
  <si>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</si>
  <si>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</si>
  <si>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</si>
  <si>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</si>
  <si>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</si>
  <si>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</si>
  <si>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</si>
  <si>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</si>
  <si>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</si>
  <si>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</si>
  <si>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</si>
  <si>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</si>
  <si>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</si>
  <si>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</si>
  <si>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</si>
  <si>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</si>
  <si>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</si>
  <si>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</si>
  <si>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</si>
  <si>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</si>
  <si>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</si>
  <si>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</si>
  <si>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</si>
  <si>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</si>
  <si>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</si>
  <si>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</si>
  <si>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</si>
  <si>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</si>
  <si>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</si>
  <si>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</si>
  <si>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</si>
  <si>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</si>
  <si>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</si>
  <si>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</si>
  <si>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</si>
  <si>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</si>
  <si>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</si>
  <si>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</si>
  <si>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</si>
  <si>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</si>
  <si>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</si>
  <si>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</si>
  <si>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</si>
  <si>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</si>
  <si>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</si>
  <si>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</si>
  <si>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</si>
  <si>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</si>
  <si>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</si>
  <si>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</si>
  <si>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</si>
  <si>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</si>
  <si>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</si>
  <si>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</si>
  <si>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</si>
  <si>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</si>
  <si>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</si>
  <si>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</si>
  <si>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</si>
  <si>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</si>
  <si>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</si>
  <si>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</si>
  <si>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</si>
  <si>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</si>
  <si>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</si>
  <si>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</si>
  <si>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</si>
  <si>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</si>
  <si>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</si>
  <si>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</si>
  <si>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</si>
  <si>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</si>
  <si>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</si>
  <si>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</si>
  <si>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</si>
  <si>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</si>
  <si>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</si>
  <si>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</si>
  <si>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</si>
  <si>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</si>
  <si>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</si>
  <si>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</si>
  <si>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</si>
  <si>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</si>
  <si>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</si>
  <si>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</si>
  <si>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</si>
  <si>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</si>
  <si>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</si>
  <si>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</si>
  <si>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</si>
  <si>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</si>
  <si>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</si>
  <si>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</si>
  <si>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</si>
  <si>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</si>
  <si>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</si>
  <si>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</si>
  <si>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</si>
  <si>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</si>
  <si>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</si>
  <si>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</si>
  <si>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</si>
  <si>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</si>
  <si>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</si>
  <si>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</si>
  <si>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</si>
  <si>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</si>
  <si>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</si>
  <si>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</si>
  <si>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</si>
  <si>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</si>
  <si>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</si>
  <si>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</si>
  <si>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</si>
  <si>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</si>
  <si>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</si>
  <si>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</si>
  <si>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</si>
  <si>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</si>
  <si>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</si>
  <si>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</si>
  <si>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</si>
  <si>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</si>
  <si>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</si>
  <si>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</si>
  <si>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</si>
  <si>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</si>
  <si>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</si>
  <si>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</si>
  <si>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</si>
  <si>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</si>
  <si>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</si>
  <si>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</si>
  <si>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</si>
  <si>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</si>
  <si>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</si>
  <si>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</si>
  <si>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</si>
  <si>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</si>
  <si>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</si>
  <si>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</si>
  <si>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</si>
  <si>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</si>
  <si>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</si>
  <si>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</si>
  <si>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</si>
  <si>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</si>
  <si>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</si>
  <si>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</si>
  <si>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</si>
  <si>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</si>
  <si>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</si>
  <si>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</si>
  <si>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</si>
  <si>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</si>
  <si>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</si>
  <si>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</si>
  <si>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</si>
  <si>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</si>
  <si>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</si>
  <si>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</si>
  <si>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</si>
  <si>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</si>
  <si>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</si>
  <si>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</si>
  <si>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</si>
  <si>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</si>
  <si>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</si>
  <si>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</si>
  <si>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</si>
  <si>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</si>
  <si>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</si>
  <si>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</si>
  <si>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</si>
  <si>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</si>
  <si>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</si>
  <si>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</si>
  <si>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</si>
  <si>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</si>
  <si>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</si>
  <si>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</si>
  <si>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</si>
  <si>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</si>
  <si>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</si>
  <si>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</si>
  <si>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</si>
  <si>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</si>
  <si>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</si>
  <si>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</si>
  <si>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</si>
  <si>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</si>
  <si>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</si>
  <si>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</si>
  <si>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</si>
  <si>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</si>
  <si>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</si>
  <si>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</si>
  <si>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</si>
  <si>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</si>
  <si>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</si>
  <si>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</si>
  <si>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</si>
  <si>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</si>
  <si>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</si>
  <si>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</si>
  <si>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</si>
  <si>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</si>
  <si>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</si>
  <si>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</si>
  <si>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</si>
  <si>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</si>
  <si>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</si>
  <si>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</si>
  <si>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</si>
  <si>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</si>
  <si>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</si>
  <si>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</si>
  <si>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</si>
  <si>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</si>
  <si>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</si>
  <si>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</si>
  <si>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</si>
  <si>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</si>
  <si>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</si>
  <si>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</si>
  <si>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</si>
  <si>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</si>
  <si>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</si>
  <si>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</si>
  <si>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</si>
  <si>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</si>
  <si>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</si>
  <si>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</si>
  <si>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</si>
  <si>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</si>
  <si>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</si>
  <si>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</si>
  <si>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</si>
  <si>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</si>
  <si>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</si>
  <si>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</si>
  <si>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</si>
  <si>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</si>
  <si>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</si>
  <si>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</si>
  <si>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</si>
  <si>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</si>
  <si>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</si>
  <si>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</si>
  <si>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</si>
  <si>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</si>
  <si>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</si>
  <si>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</si>
  <si>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</si>
  <si>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</si>
  <si>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</si>
  <si>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</si>
  <si>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</si>
  <si>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</si>
  <si>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</si>
  <si>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</si>
  <si>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</si>
  <si>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</si>
  <si>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</si>
  <si>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</si>
  <si>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</si>
  <si>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</si>
  <si>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</si>
  <si>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</si>
  <si>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</si>
  <si>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</si>
  <si>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</si>
  <si>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</si>
  <si>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</si>
  <si>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</si>
  <si>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</si>
  <si>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</si>
  <si>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</si>
  <si>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</si>
  <si>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</si>
  <si>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</si>
  <si>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</si>
  <si>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</si>
  <si>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</si>
  <si>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</si>
  <si>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</si>
  <si>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</si>
  <si>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</si>
  <si>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</si>
  <si>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</si>
  <si>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</si>
  <si>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</si>
  <si>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</si>
  <si>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</si>
  <si>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</si>
  <si>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</si>
  <si>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</si>
  <si>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</si>
  <si>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</si>
  <si>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</si>
  <si>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</si>
  <si>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</si>
  <si>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</si>
  <si>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</si>
  <si>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</si>
  <si>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</si>
  <si>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</si>
  <si>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</si>
  <si>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</si>
  <si>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</si>
  <si>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</si>
  <si>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</si>
  <si>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</si>
  <si>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</si>
  <si>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</si>
  <si>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</si>
  <si>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</si>
  <si>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</si>
  <si>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</si>
  <si>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</si>
  <si>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</si>
  <si>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</si>
  <si>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</si>
  <si>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</si>
  <si>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</si>
  <si>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</si>
  <si>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</si>
  <si>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</si>
  <si>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</si>
  <si>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</si>
  <si>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</si>
  <si>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</si>
  <si>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</si>
  <si>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</si>
  <si>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</si>
  <si>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</si>
  <si>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</si>
  <si>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</si>
  <si>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</si>
  <si>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</si>
  <si>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</si>
  <si>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</si>
  <si>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</si>
  <si>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</si>
  <si>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</si>
  <si>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</si>
  <si>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</si>
  <si>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4 европалета,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</si>
</sst>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343" sqref="AA343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6" t="s">
        <v>0</v>
      </c>
      <c r="E1" s="582"/>
      <c r="F1" s="582"/>
      <c r="G1" s="12" t="s">
        <v>1</v>
      </c>
      <c r="H1" s="636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9" t="s">
        <v>8</v>
      </c>
      <c r="B5" s="671"/>
      <c r="C5" s="672"/>
      <c r="D5" s="640"/>
      <c r="E5" s="641"/>
      <c r="F5" s="840" t="s">
        <v>9</v>
      </c>
      <c r="G5" s="672"/>
      <c r="H5" s="640" t="s">
        <v>768</v>
      </c>
      <c r="I5" s="786"/>
      <c r="J5" s="786"/>
      <c r="K5" s="786"/>
      <c r="L5" s="786"/>
      <c r="M5" s="641"/>
      <c r="N5" s="58"/>
      <c r="P5" s="24" t="s">
        <v>10</v>
      </c>
      <c r="Q5" s="851">
        <v>46002</v>
      </c>
      <c r="R5" s="678"/>
      <c r="T5" s="717" t="s">
        <v>11</v>
      </c>
      <c r="U5" s="718"/>
      <c r="V5" s="723" t="s">
        <v>12</v>
      </c>
      <c r="W5" s="678"/>
      <c r="AB5" s="51"/>
      <c r="AC5" s="51"/>
      <c r="AD5" s="51"/>
      <c r="AE5" s="51"/>
    </row>
    <row r="6" spans="1:32" s="539" customFormat="1" ht="24" customHeight="1" x14ac:dyDescent="0.2">
      <c r="A6" s="679" t="s">
        <v>13</v>
      </c>
      <c r="B6" s="671"/>
      <c r="C6" s="672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8"/>
      <c r="N6" s="59"/>
      <c r="P6" s="24" t="s">
        <v>15</v>
      </c>
      <c r="Q6" s="860" t="str">
        <f>IF(Q5=0," ",CHOOSE(WEEKDAY(Q5,2),"Понедельник","Вторник","Среда","Четверг","Пятница","Суббота","Воскресенье"))</f>
        <v>Четверг</v>
      </c>
      <c r="R6" s="550"/>
      <c r="T6" s="731" t="s">
        <v>16</v>
      </c>
      <c r="U6" s="718"/>
      <c r="V6" s="769" t="s">
        <v>17</v>
      </c>
      <c r="W6" s="594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20" t="str">
        <f>IFERROR(VLOOKUP(DeliveryAddress,Table,3,0),1)</f>
        <v>1</v>
      </c>
      <c r="E7" s="621"/>
      <c r="F7" s="621"/>
      <c r="G7" s="621"/>
      <c r="H7" s="621"/>
      <c r="I7" s="621"/>
      <c r="J7" s="621"/>
      <c r="K7" s="621"/>
      <c r="L7" s="621"/>
      <c r="M7" s="622"/>
      <c r="N7" s="60"/>
      <c r="P7" s="24"/>
      <c r="Q7" s="42"/>
      <c r="R7" s="42"/>
      <c r="T7" s="559"/>
      <c r="U7" s="718"/>
      <c r="V7" s="770"/>
      <c r="W7" s="771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2"/>
      <c r="C8" s="563"/>
      <c r="D8" s="629" t="s">
        <v>19</v>
      </c>
      <c r="E8" s="630"/>
      <c r="F8" s="630"/>
      <c r="G8" s="630"/>
      <c r="H8" s="630"/>
      <c r="I8" s="630"/>
      <c r="J8" s="630"/>
      <c r="K8" s="630"/>
      <c r="L8" s="630"/>
      <c r="M8" s="631"/>
      <c r="N8" s="61"/>
      <c r="P8" s="24" t="s">
        <v>20</v>
      </c>
      <c r="Q8" s="685">
        <v>0.54166666666666663</v>
      </c>
      <c r="R8" s="622"/>
      <c r="T8" s="559"/>
      <c r="U8" s="718"/>
      <c r="V8" s="770"/>
      <c r="W8" s="771"/>
      <c r="AB8" s="51"/>
      <c r="AC8" s="51"/>
      <c r="AD8" s="51"/>
      <c r="AE8" s="51"/>
    </row>
    <row r="9" spans="1:32" s="539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9"/>
      <c r="E9" s="566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7"/>
      <c r="P9" s="26" t="s">
        <v>21</v>
      </c>
      <c r="Q9" s="675"/>
      <c r="R9" s="676"/>
      <c r="T9" s="559"/>
      <c r="U9" s="71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9"/>
      <c r="E10" s="566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0"/>
      <c r="R10" s="721"/>
      <c r="U10" s="24" t="s">
        <v>23</v>
      </c>
      <c r="V10" s="593" t="s">
        <v>24</v>
      </c>
      <c r="W10" s="594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7"/>
      <c r="R11" s="678"/>
      <c r="U11" s="24" t="s">
        <v>27</v>
      </c>
      <c r="V11" s="766" t="s">
        <v>28</v>
      </c>
      <c r="W11" s="67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5"/>
      <c r="R12" s="62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766"/>
      <c r="R13" s="6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8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69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6" t="s">
        <v>38</v>
      </c>
      <c r="D17" s="596" t="s">
        <v>39</v>
      </c>
      <c r="E17" s="662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1"/>
      <c r="R17" s="661"/>
      <c r="S17" s="661"/>
      <c r="T17" s="662"/>
      <c r="U17" s="868" t="s">
        <v>51</v>
      </c>
      <c r="V17" s="672"/>
      <c r="W17" s="596" t="s">
        <v>52</v>
      </c>
      <c r="X17" s="596" t="s">
        <v>53</v>
      </c>
      <c r="Y17" s="866" t="s">
        <v>54</v>
      </c>
      <c r="Z17" s="764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3"/>
      <c r="E18" s="665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3"/>
      <c r="Q18" s="664"/>
      <c r="R18" s="664"/>
      <c r="S18" s="664"/>
      <c r="T18" s="665"/>
      <c r="U18" s="67" t="s">
        <v>61</v>
      </c>
      <c r="V18" s="67" t="s">
        <v>62</v>
      </c>
      <c r="W18" s="597"/>
      <c r="X18" s="597"/>
      <c r="Y18" s="867"/>
      <c r="Z18" s="765"/>
      <c r="AA18" s="758"/>
      <c r="AB18" s="758"/>
      <c r="AC18" s="758"/>
      <c r="AD18" s="835"/>
      <c r="AE18" s="836"/>
      <c r="AF18" s="837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64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68" t="s">
        <v>103</v>
      </c>
      <c r="B38" s="569"/>
      <c r="C38" s="569"/>
      <c r="D38" s="569"/>
      <c r="E38" s="569"/>
      <c r="F38" s="569"/>
      <c r="G38" s="569"/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48"/>
      <c r="AB38" s="48"/>
      <c r="AC38" s="48"/>
    </row>
    <row r="39" spans="1:68" ht="16.5" hidden="1" customHeight="1" x14ac:dyDescent="0.25">
      <c r="A39" s="564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hidden="1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hidden="1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hidden="1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hidden="1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hidden="1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4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hidden="1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hidden="1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hidden="1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hidden="1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hidden="1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hidden="1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hidden="1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hidden="1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64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hidden="1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hidden="1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hidden="1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hidden="1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hidden="1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0</v>
      </c>
      <c r="Y92" s="54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7">
        <f>IFERROR(X92/H92,"0")+IFERROR(X93/H93,"0")+IFERROR(X94/H94,"0")+IFERROR(X95/H95,"0")</f>
        <v>0</v>
      </c>
      <c r="Y96" s="547">
        <f>IFERROR(Y92/H92,"0")+IFERROR(Y93/H93,"0")+IFERROR(Y94/H94,"0")+IFERROR(Y95/H95,"0")</f>
        <v>0</v>
      </c>
      <c r="Z96" s="547">
        <f>IFERROR(IF(Z92="",0,Z92),"0")+IFERROR(IF(Z93="",0,Z93),"0")+IFERROR(IF(Z94="",0,Z94),"0")+IFERROR(IF(Z95="",0,Z95),"0")</f>
        <v>0</v>
      </c>
      <c r="AA96" s="548"/>
      <c r="AB96" s="548"/>
      <c r="AC96" s="548"/>
    </row>
    <row r="97" spans="1:68" hidden="1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7">
        <f>IFERROR(SUM(X92:X95),"0")</f>
        <v>0</v>
      </c>
      <c r="Y97" s="547">
        <f>IFERROR(SUM(Y92:Y95),"0")</f>
        <v>0</v>
      </c>
      <c r="Z97" s="37"/>
      <c r="AA97" s="548"/>
      <c r="AB97" s="548"/>
      <c r="AC97" s="548"/>
    </row>
    <row r="98" spans="1:68" ht="16.5" hidden="1" customHeight="1" x14ac:dyDescent="0.25">
      <c r="A98" s="564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hidden="1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hidden="1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2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7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hidden="1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hidden="1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hidden="1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0</v>
      </c>
      <c r="Y113" s="54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5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7">
        <f>IFERROR(X113/H113,"0")+IFERROR(X114/H114,"0")+IFERROR(X115/H115,"0")+IFERROR(X116/H116,"0")</f>
        <v>0</v>
      </c>
      <c r="Y117" s="547">
        <f>IFERROR(Y113/H113,"0")+IFERROR(Y114/H114,"0")+IFERROR(Y115/H115,"0")+IFERROR(Y116/H116,"0")</f>
        <v>0</v>
      </c>
      <c r="Z117" s="547">
        <f>IFERROR(IF(Z113="",0,Z113),"0")+IFERROR(IF(Z114="",0,Z114),"0")+IFERROR(IF(Z115="",0,Z115),"0")+IFERROR(IF(Z116="",0,Z116),"0")</f>
        <v>0</v>
      </c>
      <c r="AA117" s="548"/>
      <c r="AB117" s="548"/>
      <c r="AC117" s="548"/>
    </row>
    <row r="118" spans="1:68" hidden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7">
        <f>IFERROR(SUM(X113:X116),"0")</f>
        <v>0</v>
      </c>
      <c r="Y118" s="547">
        <f>IFERROR(SUM(Y113:Y116),"0")</f>
        <v>0</v>
      </c>
      <c r="Z118" s="37"/>
      <c r="AA118" s="548"/>
      <c r="AB118" s="548"/>
      <c r="AC118" s="548"/>
    </row>
    <row r="119" spans="1:68" ht="14.25" hidden="1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hidden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hidden="1" customHeight="1" x14ac:dyDescent="0.25">
      <c r="A123" s="564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hidden="1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hidden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hidden="1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hidden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hidden="1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hidden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hidden="1" customHeight="1" x14ac:dyDescent="0.25">
      <c r="A139" s="564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hidden="1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hidden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hidden="1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hidden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hidden="1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568" t="s">
        <v>254</v>
      </c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69"/>
      <c r="P155" s="569"/>
      <c r="Q155" s="569"/>
      <c r="R155" s="569"/>
      <c r="S155" s="569"/>
      <c r="T155" s="569"/>
      <c r="U155" s="569"/>
      <c r="V155" s="569"/>
      <c r="W155" s="569"/>
      <c r="X155" s="569"/>
      <c r="Y155" s="569"/>
      <c r="Z155" s="569"/>
      <c r="AA155" s="48"/>
      <c r="AB155" s="48"/>
      <c r="AC155" s="48"/>
    </row>
    <row r="156" spans="1:68" ht="16.5" hidden="1" customHeight="1" x14ac:dyDescent="0.25">
      <c r="A156" s="564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hidden="1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hidden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hidden="1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hidden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hidden="1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9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hidden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hidden="1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hidden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hidden="1" customHeight="1" x14ac:dyDescent="0.25">
      <c r="A184" s="564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hidden="1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hidden="1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hidden="1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hidden="1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hidden="1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6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hidden="1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hidden="1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hidden="1" customHeight="1" x14ac:dyDescent="0.25">
      <c r="A223" s="564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hidden="1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hidden="1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hidden="1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hidden="1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hidden="1" customHeight="1" x14ac:dyDescent="0.25">
      <c r="A253" s="564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hidden="1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0</v>
      </c>
      <c r="Y257" s="54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7">
        <f>IFERROR(X255/H255,"0")+IFERROR(X256/H256,"0")+IFERROR(X257/H257,"0")+IFERROR(X258/H258,"0")+IFERROR(X259/H259,"0")</f>
        <v>0</v>
      </c>
      <c r="Y260" s="547">
        <f>IFERROR(Y255/H255,"0")+IFERROR(Y256/H256,"0")+IFERROR(Y257/H257,"0")+IFERROR(Y258/H258,"0")+IFERROR(Y259/H259,"0")</f>
        <v>0</v>
      </c>
      <c r="Z260" s="547">
        <f>IFERROR(IF(Z255="",0,Z255),"0")+IFERROR(IF(Z256="",0,Z256),"0")+IFERROR(IF(Z257="",0,Z257),"0")+IFERROR(IF(Z258="",0,Z258),"0")+IFERROR(IF(Z259="",0,Z259),"0")</f>
        <v>0</v>
      </c>
      <c r="AA260" s="548"/>
      <c r="AB260" s="548"/>
      <c r="AC260" s="548"/>
    </row>
    <row r="261" spans="1:68" hidden="1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7">
        <f>IFERROR(SUM(X255:X259),"0")</f>
        <v>0</v>
      </c>
      <c r="Y261" s="547">
        <f>IFERROR(SUM(Y255:Y259),"0")</f>
        <v>0</v>
      </c>
      <c r="Z261" s="37"/>
      <c r="AA261" s="548"/>
      <c r="AB261" s="548"/>
      <c r="AC261" s="548"/>
    </row>
    <row r="262" spans="1:68" ht="16.5" hidden="1" customHeight="1" x14ac:dyDescent="0.25">
      <c r="A262" s="564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hidden="1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7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2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64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hidden="1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hidden="1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hidden="1" customHeight="1" x14ac:dyDescent="0.25">
      <c r="A277" s="564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hidden="1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hidden="1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hidden="1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hidden="1" customHeight="1" x14ac:dyDescent="0.25">
      <c r="A288" s="564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hidden="1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hidden="1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idden="1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1" t="s">
        <v>76</v>
      </c>
      <c r="Q296" s="562"/>
      <c r="R296" s="562"/>
      <c r="S296" s="562"/>
      <c r="T296" s="562"/>
      <c r="U296" s="562"/>
      <c r="V296" s="563"/>
      <c r="W296" s="37" t="s">
        <v>77</v>
      </c>
      <c r="X296" s="547">
        <f>IFERROR(X290/H290,"0")+IFERROR(X291/H291,"0")+IFERROR(X292/H292,"0")+IFERROR(X293/H293,"0")+IFERROR(X294/H294,"0")+IFERROR(X295/H295,"0")</f>
        <v>0</v>
      </c>
      <c r="Y296" s="547">
        <f>IFERROR(Y290/H290,"0")+IFERROR(Y291/H291,"0")+IFERROR(Y292/H292,"0")+IFERROR(Y293/H293,"0")+IFERROR(Y294/H294,"0")+IFERROR(Y295/H295,"0")</f>
        <v>0</v>
      </c>
      <c r="Z296" s="547">
        <f>IFERROR(IF(Z290="",0,Z290),"0")+IFERROR(IF(Z291="",0,Z291),"0")+IFERROR(IF(Z292="",0,Z292),"0")+IFERROR(IF(Z293="",0,Z293),"0")+IFERROR(IF(Z294="",0,Z294),"0")+IFERROR(IF(Z295="",0,Z295),"0")</f>
        <v>0</v>
      </c>
      <c r="AA296" s="548"/>
      <c r="AB296" s="548"/>
      <c r="AC296" s="548"/>
    </row>
    <row r="297" spans="1:68" hidden="1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1" t="s">
        <v>76</v>
      </c>
      <c r="Q297" s="562"/>
      <c r="R297" s="562"/>
      <c r="S297" s="562"/>
      <c r="T297" s="562"/>
      <c r="U297" s="562"/>
      <c r="V297" s="563"/>
      <c r="W297" s="37" t="s">
        <v>70</v>
      </c>
      <c r="X297" s="547">
        <f>IFERROR(SUM(X290:X295),"0")</f>
        <v>0</v>
      </c>
      <c r="Y297" s="547">
        <f>IFERROR(SUM(Y290:Y295),"0")</f>
        <v>0</v>
      </c>
      <c r="Z297" s="37"/>
      <c r="AA297" s="548"/>
      <c r="AB297" s="548"/>
      <c r="AC297" s="548"/>
    </row>
    <row r="298" spans="1:68" ht="14.25" hidden="1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hidden="1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9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0</v>
      </c>
      <c r="Y300" s="546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idden="1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1" t="s">
        <v>76</v>
      </c>
      <c r="Q305" s="562"/>
      <c r="R305" s="562"/>
      <c r="S305" s="562"/>
      <c r="T305" s="562"/>
      <c r="U305" s="562"/>
      <c r="V305" s="563"/>
      <c r="W305" s="37" t="s">
        <v>77</v>
      </c>
      <c r="X305" s="547">
        <f>IFERROR(X299/H299,"0")+IFERROR(X300/H300,"0")+IFERROR(X301/H301,"0")+IFERROR(X302/H302,"0")+IFERROR(X303/H303,"0")+IFERROR(X304/H304,"0")</f>
        <v>0</v>
      </c>
      <c r="Y305" s="547">
        <f>IFERROR(Y299/H299,"0")+IFERROR(Y300/H300,"0")+IFERROR(Y301/H301,"0")+IFERROR(Y302/H302,"0")+IFERROR(Y303/H303,"0")+IFERROR(Y304/H304,"0")</f>
        <v>0</v>
      </c>
      <c r="Z305" s="547">
        <f>IFERROR(IF(Z299="",0,Z299),"0")+IFERROR(IF(Z300="",0,Z300),"0")+IFERROR(IF(Z301="",0,Z301),"0")+IFERROR(IF(Z302="",0,Z302),"0")+IFERROR(IF(Z303="",0,Z303),"0")+IFERROR(IF(Z304="",0,Z304),"0")</f>
        <v>0</v>
      </c>
      <c r="AA305" s="548"/>
      <c r="AB305" s="548"/>
      <c r="AC305" s="548"/>
    </row>
    <row r="306" spans="1:68" hidden="1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1" t="s">
        <v>76</v>
      </c>
      <c r="Q306" s="562"/>
      <c r="R306" s="562"/>
      <c r="S306" s="562"/>
      <c r="T306" s="562"/>
      <c r="U306" s="562"/>
      <c r="V306" s="563"/>
      <c r="W306" s="37" t="s">
        <v>70</v>
      </c>
      <c r="X306" s="547">
        <f>IFERROR(SUM(X299:X304),"0")</f>
        <v>0</v>
      </c>
      <c r="Y306" s="547">
        <f>IFERROR(SUM(Y299:Y304),"0")</f>
        <v>0</v>
      </c>
      <c r="Z306" s="37"/>
      <c r="AA306" s="548"/>
      <c r="AB306" s="548"/>
      <c r="AC306" s="548"/>
    </row>
    <row r="307" spans="1:68" ht="14.25" hidden="1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hidden="1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6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0</v>
      </c>
      <c r="Y308" s="546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1" t="s">
        <v>76</v>
      </c>
      <c r="Q312" s="562"/>
      <c r="R312" s="562"/>
      <c r="S312" s="562"/>
      <c r="T312" s="562"/>
      <c r="U312" s="562"/>
      <c r="V312" s="563"/>
      <c r="W312" s="37" t="s">
        <v>77</v>
      </c>
      <c r="X312" s="547">
        <f>IFERROR(X308/H308,"0")+IFERROR(X309/H309,"0")+IFERROR(X310/H310,"0")+IFERROR(X311/H311,"0")</f>
        <v>0</v>
      </c>
      <c r="Y312" s="547">
        <f>IFERROR(Y308/H308,"0")+IFERROR(Y309/H309,"0")+IFERROR(Y310/H310,"0")+IFERROR(Y311/H311,"0")</f>
        <v>0</v>
      </c>
      <c r="Z312" s="547">
        <f>IFERROR(IF(Z308="",0,Z308),"0")+IFERROR(IF(Z309="",0,Z309),"0")+IFERROR(IF(Z310="",0,Z310),"0")+IFERROR(IF(Z311="",0,Z311),"0")</f>
        <v>0</v>
      </c>
      <c r="AA312" s="548"/>
      <c r="AB312" s="548"/>
      <c r="AC312" s="548"/>
    </row>
    <row r="313" spans="1:68" hidden="1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1" t="s">
        <v>76</v>
      </c>
      <c r="Q313" s="562"/>
      <c r="R313" s="562"/>
      <c r="S313" s="562"/>
      <c r="T313" s="562"/>
      <c r="U313" s="562"/>
      <c r="V313" s="563"/>
      <c r="W313" s="37" t="s">
        <v>70</v>
      </c>
      <c r="X313" s="547">
        <f>IFERROR(SUM(X308:X311),"0")</f>
        <v>0</v>
      </c>
      <c r="Y313" s="547">
        <f>IFERROR(SUM(Y308:Y311),"0")</f>
        <v>0</v>
      </c>
      <c r="Z313" s="37"/>
      <c r="AA313" s="548"/>
      <c r="AB313" s="548"/>
      <c r="AC313" s="548"/>
    </row>
    <row r="314" spans="1:68" ht="14.25" hidden="1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76</v>
      </c>
      <c r="Q318" s="562"/>
      <c r="R318" s="562"/>
      <c r="S318" s="562"/>
      <c r="T318" s="562"/>
      <c r="U318" s="562"/>
      <c r="V318" s="563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hidden="1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1" t="s">
        <v>76</v>
      </c>
      <c r="Q319" s="562"/>
      <c r="R319" s="562"/>
      <c r="S319" s="562"/>
      <c r="T319" s="562"/>
      <c r="U319" s="562"/>
      <c r="V319" s="563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hidden="1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1" t="s">
        <v>76</v>
      </c>
      <c r="Q325" s="562"/>
      <c r="R325" s="562"/>
      <c r="S325" s="562"/>
      <c r="T325" s="562"/>
      <c r="U325" s="562"/>
      <c r="V325" s="563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hidden="1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1" t="s">
        <v>76</v>
      </c>
      <c r="Q326" s="562"/>
      <c r="R326" s="562"/>
      <c r="S326" s="562"/>
      <c r="T326" s="562"/>
      <c r="U326" s="562"/>
      <c r="V326" s="563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hidden="1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76</v>
      </c>
      <c r="Q331" s="562"/>
      <c r="R331" s="562"/>
      <c r="S331" s="562"/>
      <c r="T331" s="562"/>
      <c r="U331" s="562"/>
      <c r="V331" s="563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1" t="s">
        <v>76</v>
      </c>
      <c r="Q332" s="562"/>
      <c r="R332" s="562"/>
      <c r="S332" s="562"/>
      <c r="T332" s="562"/>
      <c r="U332" s="562"/>
      <c r="V332" s="563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hidden="1" customHeight="1" x14ac:dyDescent="0.25">
      <c r="A333" s="564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hidden="1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hidden="1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1" t="s">
        <v>76</v>
      </c>
      <c r="Q338" s="562"/>
      <c r="R338" s="562"/>
      <c r="S338" s="562"/>
      <c r="T338" s="562"/>
      <c r="U338" s="562"/>
      <c r="V338" s="563"/>
      <c r="W338" s="37" t="s">
        <v>77</v>
      </c>
      <c r="X338" s="547">
        <f>IFERROR(X335/H335,"0")+IFERROR(X336/H336,"0")+IFERROR(X337/H337,"0")</f>
        <v>0</v>
      </c>
      <c r="Y338" s="547">
        <f>IFERROR(Y335/H335,"0")+IFERROR(Y336/H336,"0")+IFERROR(Y337/H337,"0")</f>
        <v>0</v>
      </c>
      <c r="Z338" s="547">
        <f>IFERROR(IF(Z335="",0,Z335),"0")+IFERROR(IF(Z336="",0,Z336),"0")+IFERROR(IF(Z337="",0,Z337),"0")</f>
        <v>0</v>
      </c>
      <c r="AA338" s="548"/>
      <c r="AB338" s="548"/>
      <c r="AC338" s="548"/>
    </row>
    <row r="339" spans="1:68" hidden="1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1" t="s">
        <v>76</v>
      </c>
      <c r="Q339" s="562"/>
      <c r="R339" s="562"/>
      <c r="S339" s="562"/>
      <c r="T339" s="562"/>
      <c r="U339" s="562"/>
      <c r="V339" s="563"/>
      <c r="W339" s="37" t="s">
        <v>70</v>
      </c>
      <c r="X339" s="547">
        <f>IFERROR(SUM(X335:X337),"0")</f>
        <v>0</v>
      </c>
      <c r="Y339" s="547">
        <f>IFERROR(SUM(Y335:Y337),"0")</f>
        <v>0</v>
      </c>
      <c r="Z339" s="37"/>
      <c r="AA339" s="548"/>
      <c r="AB339" s="548"/>
      <c r="AC339" s="548"/>
    </row>
    <row r="340" spans="1:68" ht="27.75" hidden="1" customHeight="1" x14ac:dyDescent="0.2">
      <c r="A340" s="568" t="s">
        <v>534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64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hidden="1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720</v>
      </c>
      <c r="Y343" s="546">
        <f t="shared" ref="Y343:Y349" si="36">IFERROR(IF(X343="",0,CEILING((X343/$H343),1)*$H343),"")</f>
        <v>720</v>
      </c>
      <c r="Z343" s="36">
        <f>IFERROR(IF(Y343=0,"",ROUNDUP(Y343/H343,0)*0.02175),"")</f>
        <v>1.044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742.56</v>
      </c>
      <c r="BN343" s="64">
        <f t="shared" ref="BN343:BN349" si="38">IFERROR(Y343*I343/H343,"0")</f>
        <v>742.56</v>
      </c>
      <c r="BO343" s="64">
        <f t="shared" ref="BO343:BO349" si="39">IFERROR(1/J343*(X343/H343),"0")</f>
        <v>1</v>
      </c>
      <c r="BP343" s="64">
        <f t="shared" ref="BP343:BP349" si="40">IFERROR(1/J343*(Y343/H343),"0")</f>
        <v>1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720</v>
      </c>
      <c r="Y344" s="546">
        <f t="shared" si="36"/>
        <v>720</v>
      </c>
      <c r="Z344" s="36">
        <f>IFERROR(IF(Y344=0,"",ROUNDUP(Y344/H344,0)*0.02175),"")</f>
        <v>1.044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742.56</v>
      </c>
      <c r="BN344" s="64">
        <f t="shared" si="38"/>
        <v>742.56</v>
      </c>
      <c r="BO344" s="64">
        <f t="shared" si="39"/>
        <v>1</v>
      </c>
      <c r="BP344" s="64">
        <f t="shared" si="40"/>
        <v>1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720</v>
      </c>
      <c r="Y346" s="546">
        <f t="shared" si="36"/>
        <v>720</v>
      </c>
      <c r="Z346" s="36">
        <f>IFERROR(IF(Y346=0,"",ROUNDUP(Y346/H346,0)*0.02175),"")</f>
        <v>1.044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742.56</v>
      </c>
      <c r="BN346" s="64">
        <f t="shared" si="38"/>
        <v>742.56</v>
      </c>
      <c r="BO346" s="64">
        <f t="shared" si="39"/>
        <v>1</v>
      </c>
      <c r="BP346" s="64">
        <f t="shared" si="40"/>
        <v>1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1" t="s">
        <v>76</v>
      </c>
      <c r="Q350" s="562"/>
      <c r="R350" s="562"/>
      <c r="S350" s="562"/>
      <c r="T350" s="562"/>
      <c r="U350" s="562"/>
      <c r="V350" s="563"/>
      <c r="W350" s="37" t="s">
        <v>77</v>
      </c>
      <c r="X350" s="547">
        <f>IFERROR(X343/H343,"0")+IFERROR(X344/H344,"0")+IFERROR(X345/H345,"0")+IFERROR(X346/H346,"0")+IFERROR(X347/H347,"0")+IFERROR(X348/H348,"0")+IFERROR(X349/H349,"0")</f>
        <v>144</v>
      </c>
      <c r="Y350" s="547">
        <f>IFERROR(Y343/H343,"0")+IFERROR(Y344/H344,"0")+IFERROR(Y345/H345,"0")+IFERROR(Y346/H346,"0")+IFERROR(Y347/H347,"0")+IFERROR(Y348/H348,"0")+IFERROR(Y349/H349,"0")</f>
        <v>144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3.1320000000000001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1" t="s">
        <v>76</v>
      </c>
      <c r="Q351" s="562"/>
      <c r="R351" s="562"/>
      <c r="S351" s="562"/>
      <c r="T351" s="562"/>
      <c r="U351" s="562"/>
      <c r="V351" s="563"/>
      <c r="W351" s="37" t="s">
        <v>70</v>
      </c>
      <c r="X351" s="547">
        <f>IFERROR(SUM(X343:X349),"0")</f>
        <v>2160</v>
      </c>
      <c r="Y351" s="547">
        <f>IFERROR(SUM(Y343:Y349),"0")</f>
        <v>2160</v>
      </c>
      <c r="Z351" s="37"/>
      <c r="AA351" s="548"/>
      <c r="AB351" s="548"/>
      <c r="AC351" s="548"/>
    </row>
    <row r="352" spans="1:68" ht="14.25" hidden="1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720</v>
      </c>
      <c r="Y353" s="546">
        <f>IFERROR(IF(X353="",0,CEILING((X353/$H353),1)*$H353),"")</f>
        <v>720</v>
      </c>
      <c r="Z353" s="36">
        <f>IFERROR(IF(Y353=0,"",ROUNDUP(Y353/H353,0)*0.02175),"")</f>
        <v>1.044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742.56</v>
      </c>
      <c r="BN353" s="64">
        <f>IFERROR(Y353*I353/H353,"0")</f>
        <v>742.56</v>
      </c>
      <c r="BO353" s="64">
        <f>IFERROR(1/J353*(X353/H353),"0")</f>
        <v>1</v>
      </c>
      <c r="BP353" s="64">
        <f>IFERROR(1/J353*(Y353/H353),"0")</f>
        <v>1</v>
      </c>
    </row>
    <row r="354" spans="1:68" ht="27" hidden="1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76</v>
      </c>
      <c r="Q355" s="562"/>
      <c r="R355" s="562"/>
      <c r="S355" s="562"/>
      <c r="T355" s="562"/>
      <c r="U355" s="562"/>
      <c r="V355" s="563"/>
      <c r="W355" s="37" t="s">
        <v>77</v>
      </c>
      <c r="X355" s="547">
        <f>IFERROR(X353/H353,"0")+IFERROR(X354/H354,"0")</f>
        <v>48</v>
      </c>
      <c r="Y355" s="547">
        <f>IFERROR(Y353/H353,"0")+IFERROR(Y354/H354,"0")</f>
        <v>48</v>
      </c>
      <c r="Z355" s="547">
        <f>IFERROR(IF(Z353="",0,Z353),"0")+IFERROR(IF(Z354="",0,Z354),"0")</f>
        <v>1.044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76</v>
      </c>
      <c r="Q356" s="562"/>
      <c r="R356" s="562"/>
      <c r="S356" s="562"/>
      <c r="T356" s="562"/>
      <c r="U356" s="562"/>
      <c r="V356" s="563"/>
      <c r="W356" s="37" t="s">
        <v>70</v>
      </c>
      <c r="X356" s="547">
        <f>IFERROR(SUM(X353:X354),"0")</f>
        <v>720</v>
      </c>
      <c r="Y356" s="547">
        <f>IFERROR(SUM(Y353:Y354),"0")</f>
        <v>720</v>
      </c>
      <c r="Z356" s="37"/>
      <c r="AA356" s="548"/>
      <c r="AB356" s="548"/>
      <c r="AC356" s="548"/>
    </row>
    <row r="357" spans="1:68" ht="14.25" hidden="1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8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76</v>
      </c>
      <c r="Q360" s="562"/>
      <c r="R360" s="562"/>
      <c r="S360" s="562"/>
      <c r="T360" s="562"/>
      <c r="U360" s="562"/>
      <c r="V360" s="563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76</v>
      </c>
      <c r="Q361" s="562"/>
      <c r="R361" s="562"/>
      <c r="S361" s="562"/>
      <c r="T361" s="562"/>
      <c r="U361" s="562"/>
      <c r="V361" s="563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1" t="s">
        <v>76</v>
      </c>
      <c r="Q364" s="562"/>
      <c r="R364" s="562"/>
      <c r="S364" s="562"/>
      <c r="T364" s="562"/>
      <c r="U364" s="562"/>
      <c r="V364" s="563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hidden="1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76</v>
      </c>
      <c r="Q365" s="562"/>
      <c r="R365" s="562"/>
      <c r="S365" s="562"/>
      <c r="T365" s="562"/>
      <c r="U365" s="562"/>
      <c r="V365" s="563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hidden="1" customHeight="1" x14ac:dyDescent="0.25">
      <c r="A366" s="564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hidden="1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76</v>
      </c>
      <c r="Q370" s="562"/>
      <c r="R370" s="562"/>
      <c r="S370" s="562"/>
      <c r="T370" s="562"/>
      <c r="U370" s="562"/>
      <c r="V370" s="563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1" t="s">
        <v>76</v>
      </c>
      <c r="Q371" s="562"/>
      <c r="R371" s="562"/>
      <c r="S371" s="562"/>
      <c r="T371" s="562"/>
      <c r="U371" s="562"/>
      <c r="V371" s="563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76</v>
      </c>
      <c r="Q375" s="562"/>
      <c r="R375" s="562"/>
      <c r="S375" s="562"/>
      <c r="T375" s="562"/>
      <c r="U375" s="562"/>
      <c r="V375" s="563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76</v>
      </c>
      <c r="Q376" s="562"/>
      <c r="R376" s="562"/>
      <c r="S376" s="562"/>
      <c r="T376" s="562"/>
      <c r="U376" s="562"/>
      <c r="V376" s="563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76</v>
      </c>
      <c r="Q381" s="562"/>
      <c r="R381" s="562"/>
      <c r="S381" s="562"/>
      <c r="T381" s="562"/>
      <c r="U381" s="562"/>
      <c r="V381" s="563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1" t="s">
        <v>76</v>
      </c>
      <c r="Q382" s="562"/>
      <c r="R382" s="562"/>
      <c r="S382" s="562"/>
      <c r="T382" s="562"/>
      <c r="U382" s="562"/>
      <c r="V382" s="563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64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hidden="1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1" t="s">
        <v>76</v>
      </c>
      <c r="Q395" s="562"/>
      <c r="R395" s="562"/>
      <c r="S395" s="562"/>
      <c r="T395" s="562"/>
      <c r="U395" s="562"/>
      <c r="V395" s="563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hidden="1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1" t="s">
        <v>76</v>
      </c>
      <c r="Q396" s="562"/>
      <c r="R396" s="562"/>
      <c r="S396" s="562"/>
      <c r="T396" s="562"/>
      <c r="U396" s="562"/>
      <c r="V396" s="563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hidden="1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76</v>
      </c>
      <c r="Q400" s="562"/>
      <c r="R400" s="562"/>
      <c r="S400" s="562"/>
      <c r="T400" s="562"/>
      <c r="U400" s="562"/>
      <c r="V400" s="563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76</v>
      </c>
      <c r="Q401" s="562"/>
      <c r="R401" s="562"/>
      <c r="S401" s="562"/>
      <c r="T401" s="562"/>
      <c r="U401" s="562"/>
      <c r="V401" s="563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hidden="1" customHeight="1" x14ac:dyDescent="0.25">
      <c r="A402" s="564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hidden="1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76</v>
      </c>
      <c r="Q405" s="562"/>
      <c r="R405" s="562"/>
      <c r="S405" s="562"/>
      <c r="T405" s="562"/>
      <c r="U405" s="562"/>
      <c r="V405" s="563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76</v>
      </c>
      <c r="Q406" s="562"/>
      <c r="R406" s="562"/>
      <c r="S406" s="562"/>
      <c r="T406" s="562"/>
      <c r="U406" s="562"/>
      <c r="V406" s="563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1" t="s">
        <v>76</v>
      </c>
      <c r="Q412" s="562"/>
      <c r="R412" s="562"/>
      <c r="S412" s="562"/>
      <c r="T412" s="562"/>
      <c r="U412" s="562"/>
      <c r="V412" s="563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hidden="1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1" t="s">
        <v>76</v>
      </c>
      <c r="Q413" s="562"/>
      <c r="R413" s="562"/>
      <c r="S413" s="562"/>
      <c r="T413" s="562"/>
      <c r="U413" s="562"/>
      <c r="V413" s="563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hidden="1" customHeight="1" x14ac:dyDescent="0.25">
      <c r="A414" s="564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hidden="1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76</v>
      </c>
      <c r="Q417" s="562"/>
      <c r="R417" s="562"/>
      <c r="S417" s="562"/>
      <c r="T417" s="562"/>
      <c r="U417" s="562"/>
      <c r="V417" s="563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76</v>
      </c>
      <c r="Q418" s="562"/>
      <c r="R418" s="562"/>
      <c r="S418" s="562"/>
      <c r="T418" s="562"/>
      <c r="U418" s="562"/>
      <c r="V418" s="563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64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hidden="1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12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6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1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idden="1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1" t="s">
        <v>76</v>
      </c>
      <c r="Q434" s="562"/>
      <c r="R434" s="562"/>
      <c r="S434" s="562"/>
      <c r="T434" s="562"/>
      <c r="U434" s="562"/>
      <c r="V434" s="563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0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0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548"/>
      <c r="AB434" s="548"/>
      <c r="AC434" s="548"/>
    </row>
    <row r="435" spans="1:68" hidden="1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1" t="s">
        <v>76</v>
      </c>
      <c r="Q435" s="562"/>
      <c r="R435" s="562"/>
      <c r="S435" s="562"/>
      <c r="T435" s="562"/>
      <c r="U435" s="562"/>
      <c r="V435" s="563"/>
      <c r="W435" s="37" t="s">
        <v>70</v>
      </c>
      <c r="X435" s="547">
        <f>IFERROR(SUM(X422:X433),"0")</f>
        <v>0</v>
      </c>
      <c r="Y435" s="547">
        <f>IFERROR(SUM(Y422:Y433),"0")</f>
        <v>0</v>
      </c>
      <c r="Z435" s="37"/>
      <c r="AA435" s="548"/>
      <c r="AB435" s="548"/>
      <c r="AC435" s="548"/>
    </row>
    <row r="436" spans="1:68" ht="14.25" hidden="1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hidden="1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0</v>
      </c>
      <c r="Y437" s="546">
        <f>IFERROR(IF(X437="",0,CEILING((X437/$H437),1)*$H437),"")</f>
        <v>0</v>
      </c>
      <c r="Z437" s="36" t="str">
        <f>IFERROR(IF(Y437=0,"",ROUNDUP(Y437/H437,0)*0.01196),"")</f>
        <v/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hidden="1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76</v>
      </c>
      <c r="Q440" s="562"/>
      <c r="R440" s="562"/>
      <c r="S440" s="562"/>
      <c r="T440" s="562"/>
      <c r="U440" s="562"/>
      <c r="V440" s="563"/>
      <c r="W440" s="37" t="s">
        <v>77</v>
      </c>
      <c r="X440" s="547">
        <f>IFERROR(X437/H437,"0")+IFERROR(X438/H438,"0")+IFERROR(X439/H439,"0")</f>
        <v>0</v>
      </c>
      <c r="Y440" s="547">
        <f>IFERROR(Y437/H437,"0")+IFERROR(Y438/H438,"0")+IFERROR(Y439/H439,"0")</f>
        <v>0</v>
      </c>
      <c r="Z440" s="547">
        <f>IFERROR(IF(Z437="",0,Z437),"0")+IFERROR(IF(Z438="",0,Z438),"0")+IFERROR(IF(Z439="",0,Z439),"0")</f>
        <v>0</v>
      </c>
      <c r="AA440" s="548"/>
      <c r="AB440" s="548"/>
      <c r="AC440" s="548"/>
    </row>
    <row r="441" spans="1:68" hidden="1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1" t="s">
        <v>76</v>
      </c>
      <c r="Q441" s="562"/>
      <c r="R441" s="562"/>
      <c r="S441" s="562"/>
      <c r="T441" s="562"/>
      <c r="U441" s="562"/>
      <c r="V441" s="563"/>
      <c r="W441" s="37" t="s">
        <v>70</v>
      </c>
      <c r="X441" s="547">
        <f>IFERROR(SUM(X437:X439),"0")</f>
        <v>0</v>
      </c>
      <c r="Y441" s="547">
        <f>IFERROR(SUM(Y437:Y439),"0")</f>
        <v>0</v>
      </c>
      <c r="Z441" s="37"/>
      <c r="AA441" s="548"/>
      <c r="AB441" s="548"/>
      <c r="AC441" s="548"/>
    </row>
    <row r="442" spans="1:68" ht="14.25" hidden="1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hidden="1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idden="1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1" t="s">
        <v>76</v>
      </c>
      <c r="Q449" s="562"/>
      <c r="R449" s="562"/>
      <c r="S449" s="562"/>
      <c r="T449" s="562"/>
      <c r="U449" s="562"/>
      <c r="V449" s="563"/>
      <c r="W449" s="37" t="s">
        <v>77</v>
      </c>
      <c r="X449" s="547">
        <f>IFERROR(X443/H443,"0")+IFERROR(X444/H444,"0")+IFERROR(X445/H445,"0")+IFERROR(X446/H446,"0")+IFERROR(X447/H447,"0")+IFERROR(X448/H448,"0")</f>
        <v>0</v>
      </c>
      <c r="Y449" s="547">
        <f>IFERROR(Y443/H443,"0")+IFERROR(Y444/H444,"0")+IFERROR(Y445/H445,"0")+IFERROR(Y446/H446,"0")+IFERROR(Y447/H447,"0")+IFERROR(Y448/H448,"0")</f>
        <v>0</v>
      </c>
      <c r="Z449" s="547">
        <f>IFERROR(IF(Z443="",0,Z443),"0")+IFERROR(IF(Z444="",0,Z444),"0")+IFERROR(IF(Z445="",0,Z445),"0")+IFERROR(IF(Z446="",0,Z446),"0")+IFERROR(IF(Z447="",0,Z447),"0")+IFERROR(IF(Z448="",0,Z448),"0")</f>
        <v>0</v>
      </c>
      <c r="AA449" s="548"/>
      <c r="AB449" s="548"/>
      <c r="AC449" s="548"/>
    </row>
    <row r="450" spans="1:68" hidden="1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1" t="s">
        <v>76</v>
      </c>
      <c r="Q450" s="562"/>
      <c r="R450" s="562"/>
      <c r="S450" s="562"/>
      <c r="T450" s="562"/>
      <c r="U450" s="562"/>
      <c r="V450" s="563"/>
      <c r="W450" s="37" t="s">
        <v>70</v>
      </c>
      <c r="X450" s="547">
        <f>IFERROR(SUM(X443:X448),"0")</f>
        <v>0</v>
      </c>
      <c r="Y450" s="547">
        <f>IFERROR(SUM(Y443:Y448),"0")</f>
        <v>0</v>
      </c>
      <c r="Z450" s="37"/>
      <c r="AA450" s="548"/>
      <c r="AB450" s="548"/>
      <c r="AC450" s="548"/>
    </row>
    <row r="451" spans="1:68" ht="14.25" hidden="1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76</v>
      </c>
      <c r="Q455" s="562"/>
      <c r="R455" s="562"/>
      <c r="S455" s="562"/>
      <c r="T455" s="562"/>
      <c r="U455" s="562"/>
      <c r="V455" s="563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1" t="s">
        <v>76</v>
      </c>
      <c r="Q456" s="562"/>
      <c r="R456" s="562"/>
      <c r="S456" s="562"/>
      <c r="T456" s="562"/>
      <c r="U456" s="562"/>
      <c r="V456" s="563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568" t="s">
        <v>702</v>
      </c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69"/>
      <c r="P457" s="569"/>
      <c r="Q457" s="569"/>
      <c r="R457" s="569"/>
      <c r="S457" s="569"/>
      <c r="T457" s="569"/>
      <c r="U457" s="569"/>
      <c r="V457" s="569"/>
      <c r="W457" s="569"/>
      <c r="X457" s="569"/>
      <c r="Y457" s="569"/>
      <c r="Z457" s="569"/>
      <c r="AA457" s="48"/>
      <c r="AB457" s="48"/>
      <c r="AC457" s="48"/>
    </row>
    <row r="458" spans="1:68" ht="16.5" hidden="1" customHeight="1" x14ac:dyDescent="0.25">
      <c r="A458" s="564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hidden="1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76</v>
      </c>
      <c r="Q464" s="562"/>
      <c r="R464" s="562"/>
      <c r="S464" s="562"/>
      <c r="T464" s="562"/>
      <c r="U464" s="562"/>
      <c r="V464" s="563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hidden="1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1" t="s">
        <v>76</v>
      </c>
      <c r="Q465" s="562"/>
      <c r="R465" s="562"/>
      <c r="S465" s="562"/>
      <c r="T465" s="562"/>
      <c r="U465" s="562"/>
      <c r="V465" s="563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hidden="1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1" t="s">
        <v>76</v>
      </c>
      <c r="Q470" s="562"/>
      <c r="R470" s="562"/>
      <c r="S470" s="562"/>
      <c r="T470" s="562"/>
      <c r="U470" s="562"/>
      <c r="V470" s="563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1" t="s">
        <v>76</v>
      </c>
      <c r="Q471" s="562"/>
      <c r="R471" s="562"/>
      <c r="S471" s="562"/>
      <c r="T471" s="562"/>
      <c r="U471" s="562"/>
      <c r="V471" s="563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hidden="1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3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5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1" t="s">
        <v>76</v>
      </c>
      <c r="Q475" s="562"/>
      <c r="R475" s="562"/>
      <c r="S475" s="562"/>
      <c r="T475" s="562"/>
      <c r="U475" s="562"/>
      <c r="V475" s="563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76</v>
      </c>
      <c r="Q476" s="562"/>
      <c r="R476" s="562"/>
      <c r="S476" s="562"/>
      <c r="T476" s="562"/>
      <c r="U476" s="562"/>
      <c r="V476" s="563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hidden="1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1" t="s">
        <v>76</v>
      </c>
      <c r="Q479" s="562"/>
      <c r="R479" s="562"/>
      <c r="S479" s="562"/>
      <c r="T479" s="562"/>
      <c r="U479" s="562"/>
      <c r="V479" s="563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1" t="s">
        <v>76</v>
      </c>
      <c r="Q480" s="562"/>
      <c r="R480" s="562"/>
      <c r="S480" s="562"/>
      <c r="T480" s="562"/>
      <c r="U480" s="562"/>
      <c r="V480" s="563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0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1" t="s">
        <v>76</v>
      </c>
      <c r="Q484" s="562"/>
      <c r="R484" s="562"/>
      <c r="S484" s="562"/>
      <c r="T484" s="562"/>
      <c r="U484" s="562"/>
      <c r="V484" s="563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1" t="s">
        <v>76</v>
      </c>
      <c r="Q485" s="562"/>
      <c r="R485" s="562"/>
      <c r="S485" s="562"/>
      <c r="T485" s="562"/>
      <c r="U485" s="562"/>
      <c r="V485" s="563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4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hidden="1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80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1" t="s">
        <v>76</v>
      </c>
      <c r="Q489" s="562"/>
      <c r="R489" s="562"/>
      <c r="S489" s="562"/>
      <c r="T489" s="562"/>
      <c r="U489" s="562"/>
      <c r="V489" s="563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1" t="s">
        <v>76</v>
      </c>
      <c r="Q490" s="562"/>
      <c r="R490" s="562"/>
      <c r="S490" s="562"/>
      <c r="T490" s="562"/>
      <c r="U490" s="562"/>
      <c r="V490" s="563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3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8"/>
      <c r="P491" s="670" t="s">
        <v>742</v>
      </c>
      <c r="Q491" s="671"/>
      <c r="R491" s="671"/>
      <c r="S491" s="671"/>
      <c r="T491" s="671"/>
      <c r="U491" s="671"/>
      <c r="V491" s="672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2880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2880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8"/>
      <c r="P492" s="670" t="s">
        <v>743</v>
      </c>
      <c r="Q492" s="671"/>
      <c r="R492" s="671"/>
      <c r="S492" s="671"/>
      <c r="T492" s="671"/>
      <c r="U492" s="671"/>
      <c r="V492" s="672"/>
      <c r="W492" s="37" t="s">
        <v>70</v>
      </c>
      <c r="X492" s="547">
        <f>IFERROR(SUM(BM22:BM488),"0")</f>
        <v>2970.24</v>
      </c>
      <c r="Y492" s="547">
        <f>IFERROR(SUM(BN22:BN488),"0")</f>
        <v>2970.24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8"/>
      <c r="P493" s="670" t="s">
        <v>744</v>
      </c>
      <c r="Q493" s="671"/>
      <c r="R493" s="671"/>
      <c r="S493" s="671"/>
      <c r="T493" s="671"/>
      <c r="U493" s="671"/>
      <c r="V493" s="672"/>
      <c r="W493" s="37" t="s">
        <v>745</v>
      </c>
      <c r="X493" s="38">
        <f>ROUNDUP(SUM(BO22:BO488),0)</f>
        <v>4</v>
      </c>
      <c r="Y493" s="38">
        <f>ROUNDUP(SUM(BP22:BP488),0)</f>
        <v>4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8"/>
      <c r="P494" s="670" t="s">
        <v>746</v>
      </c>
      <c r="Q494" s="671"/>
      <c r="R494" s="671"/>
      <c r="S494" s="671"/>
      <c r="T494" s="671"/>
      <c r="U494" s="671"/>
      <c r="V494" s="672"/>
      <c r="W494" s="37" t="s">
        <v>70</v>
      </c>
      <c r="X494" s="547">
        <f>GrossWeightTotal+PalletQtyTotal*25</f>
        <v>3070.24</v>
      </c>
      <c r="Y494" s="547">
        <f>GrossWeightTotalR+PalletQtyTotalR*25</f>
        <v>3070.24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8"/>
      <c r="P495" s="670" t="s">
        <v>747</v>
      </c>
      <c r="Q495" s="671"/>
      <c r="R495" s="671"/>
      <c r="S495" s="671"/>
      <c r="T495" s="671"/>
      <c r="U495" s="671"/>
      <c r="V495" s="672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192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192</v>
      </c>
      <c r="Z495" s="37"/>
      <c r="AA495" s="548"/>
      <c r="AB495" s="548"/>
      <c r="AC495" s="548"/>
    </row>
    <row r="496" spans="1:68" ht="14.25" hidden="1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8"/>
      <c r="P496" s="670" t="s">
        <v>748</v>
      </c>
      <c r="Q496" s="671"/>
      <c r="R496" s="671"/>
      <c r="S496" s="671"/>
      <c r="T496" s="671"/>
      <c r="U496" s="671"/>
      <c r="V496" s="672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4.1760000000000002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4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43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IFERROR(Y86*1,"0")+IFERROR(Y87*1,"0")+IFERROR(Y88*1,"0")+IFERROR(Y92*1,"0")+IFERROR(Y93*1,"0")+IFERROR(Y94*1,"0")+IFERROR(Y95*1,"0")</f>
        <v>0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0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501" s="46">
        <f>IFERROR(Y335*1,"0")+IFERROR(Y336*1,"0")+IFERROR(Y337*1,"0")</f>
        <v>0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2880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0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44,00"/>
        <filter val="192,00"/>
        <filter val="2 160,00"/>
        <filter val="2 880,00"/>
        <filter val="2 970,24"/>
        <filter val="3 070,24"/>
        <filter val="4"/>
        <filter val="48,00"/>
        <filter val="720,00"/>
      </filters>
    </filterColumn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2025-12-09T11:01:42Z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