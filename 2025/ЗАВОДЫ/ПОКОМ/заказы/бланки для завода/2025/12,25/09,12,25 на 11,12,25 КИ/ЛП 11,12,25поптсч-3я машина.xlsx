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3594E53-23BE-448A-A6FD-33948616916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Y475" i="1" s="1"/>
  <c r="P473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Z425" i="1" s="1"/>
  <c r="P425" i="1"/>
  <c r="BO424" i="1"/>
  <c r="BM424" i="1"/>
  <c r="Y424" i="1"/>
  <c r="P424" i="1"/>
  <c r="BP423" i="1"/>
  <c r="BO423" i="1"/>
  <c r="BN423" i="1"/>
  <c r="BM423" i="1"/>
  <c r="Z423" i="1"/>
  <c r="Y423" i="1"/>
  <c r="BP422" i="1"/>
  <c r="BO422" i="1"/>
  <c r="BN422" i="1"/>
  <c r="BM422" i="1"/>
  <c r="Z422" i="1"/>
  <c r="Y422" i="1"/>
  <c r="P422" i="1"/>
  <c r="X418" i="1"/>
  <c r="Y417" i="1"/>
  <c r="X417" i="1"/>
  <c r="BP416" i="1"/>
  <c r="BO416" i="1"/>
  <c r="BN416" i="1"/>
  <c r="BM416" i="1"/>
  <c r="Z416" i="1"/>
  <c r="Z417" i="1" s="1"/>
  <c r="Y416" i="1"/>
  <c r="Y418" i="1" s="1"/>
  <c r="P416" i="1"/>
  <c r="X413" i="1"/>
  <c r="X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P398" i="1"/>
  <c r="X396" i="1"/>
  <c r="X395" i="1"/>
  <c r="BP394" i="1"/>
  <c r="BO394" i="1"/>
  <c r="BN394" i="1"/>
  <c r="BM394" i="1"/>
  <c r="Z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2" i="1"/>
  <c r="Y381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Y360" i="1" s="1"/>
  <c r="P358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BP199" i="1" s="1"/>
  <c r="P199" i="1"/>
  <c r="BO198" i="1"/>
  <c r="BM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X194" i="1"/>
  <c r="X193" i="1"/>
  <c r="BO192" i="1"/>
  <c r="BM192" i="1"/>
  <c r="Y192" i="1"/>
  <c r="P192" i="1"/>
  <c r="BO191" i="1"/>
  <c r="BM191" i="1"/>
  <c r="Y191" i="1"/>
  <c r="Y194" i="1" s="1"/>
  <c r="P191" i="1"/>
  <c r="X189" i="1"/>
  <c r="X188" i="1"/>
  <c r="BO187" i="1"/>
  <c r="BM187" i="1"/>
  <c r="Y187" i="1"/>
  <c r="BP187" i="1" s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BP164" i="1" s="1"/>
  <c r="P164" i="1"/>
  <c r="BO163" i="1"/>
  <c r="BM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Y153" i="1" s="1"/>
  <c r="P152" i="1"/>
  <c r="X150" i="1"/>
  <c r="X149" i="1"/>
  <c r="BO148" i="1"/>
  <c r="BM148" i="1"/>
  <c r="Y148" i="1"/>
  <c r="BP148" i="1" s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P141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Y138" i="1" s="1"/>
  <c r="P135" i="1"/>
  <c r="X133" i="1"/>
  <c r="X132" i="1"/>
  <c r="BO131" i="1"/>
  <c r="BM131" i="1"/>
  <c r="Y131" i="1"/>
  <c r="BP131" i="1" s="1"/>
  <c r="P131" i="1"/>
  <c r="BO130" i="1"/>
  <c r="BM130" i="1"/>
  <c r="Y130" i="1"/>
  <c r="P130" i="1"/>
  <c r="X128" i="1"/>
  <c r="X127" i="1"/>
  <c r="BO126" i="1"/>
  <c r="BM126" i="1"/>
  <c r="Y126" i="1"/>
  <c r="P126" i="1"/>
  <c r="BO125" i="1"/>
  <c r="BM125" i="1"/>
  <c r="Y125" i="1"/>
  <c r="P125" i="1"/>
  <c r="X122" i="1"/>
  <c r="X121" i="1"/>
  <c r="BO120" i="1"/>
  <c r="BM120" i="1"/>
  <c r="Y120" i="1"/>
  <c r="Y121" i="1" s="1"/>
  <c r="P120" i="1"/>
  <c r="X118" i="1"/>
  <c r="X117" i="1"/>
  <c r="BO116" i="1"/>
  <c r="BM116" i="1"/>
  <c r="Y116" i="1"/>
  <c r="BP116" i="1" s="1"/>
  <c r="P116" i="1"/>
  <c r="BO115" i="1"/>
  <c r="BM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X83" i="1"/>
  <c r="X82" i="1"/>
  <c r="BO81" i="1"/>
  <c r="BM81" i="1"/>
  <c r="Y81" i="1"/>
  <c r="BP81" i="1" s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O75" i="1"/>
  <c r="BN75" i="1"/>
  <c r="BM75" i="1"/>
  <c r="Z75" i="1"/>
  <c r="Y75" i="1"/>
  <c r="BP75" i="1" s="1"/>
  <c r="P75" i="1"/>
  <c r="BO74" i="1"/>
  <c r="BM74" i="1"/>
  <c r="Y74" i="1"/>
  <c r="BP74" i="1" s="1"/>
  <c r="P74" i="1"/>
  <c r="BO73" i="1"/>
  <c r="BM73" i="1"/>
  <c r="Y73" i="1"/>
  <c r="Y77" i="1" s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1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1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H10" i="1"/>
  <c r="A9" i="1"/>
  <c r="F10" i="1" s="1"/>
  <c r="D7" i="1"/>
  <c r="Q6" i="1"/>
  <c r="P2" i="1"/>
  <c r="BP92" i="1" l="1"/>
  <c r="BN92" i="1"/>
  <c r="Z92" i="1"/>
  <c r="BP126" i="1"/>
  <c r="BN126" i="1"/>
  <c r="Z126" i="1"/>
  <c r="BP169" i="1"/>
  <c r="BN169" i="1"/>
  <c r="Z169" i="1"/>
  <c r="BP200" i="1"/>
  <c r="BN200" i="1"/>
  <c r="Z200" i="1"/>
  <c r="BP228" i="1"/>
  <c r="BN228" i="1"/>
  <c r="Z228" i="1"/>
  <c r="BP257" i="1"/>
  <c r="BN257" i="1"/>
  <c r="Z257" i="1"/>
  <c r="BP290" i="1"/>
  <c r="BN290" i="1"/>
  <c r="Z290" i="1"/>
  <c r="BP316" i="1"/>
  <c r="BN316" i="1"/>
  <c r="Z316" i="1"/>
  <c r="BP347" i="1"/>
  <c r="BN347" i="1"/>
  <c r="Z347" i="1"/>
  <c r="BP390" i="1"/>
  <c r="BN390" i="1"/>
  <c r="Z390" i="1"/>
  <c r="BP426" i="1"/>
  <c r="BN426" i="1"/>
  <c r="Z426" i="1"/>
  <c r="BP452" i="1"/>
  <c r="BN452" i="1"/>
  <c r="Z452" i="1"/>
  <c r="Z455" i="1" s="1"/>
  <c r="Z30" i="1"/>
  <c r="BN30" i="1"/>
  <c r="Z57" i="1"/>
  <c r="BN57" i="1"/>
  <c r="Z69" i="1"/>
  <c r="BN69" i="1"/>
  <c r="BP107" i="1"/>
  <c r="BN107" i="1"/>
  <c r="Z107" i="1"/>
  <c r="BP147" i="1"/>
  <c r="BN147" i="1"/>
  <c r="Z147" i="1"/>
  <c r="Y183" i="1"/>
  <c r="Y182" i="1"/>
  <c r="BP181" i="1"/>
  <c r="BN181" i="1"/>
  <c r="Z181" i="1"/>
  <c r="Z182" i="1" s="1"/>
  <c r="BP186" i="1"/>
  <c r="BN186" i="1"/>
  <c r="Z186" i="1"/>
  <c r="BP213" i="1"/>
  <c r="BN213" i="1"/>
  <c r="Z213" i="1"/>
  <c r="Y240" i="1"/>
  <c r="Y239" i="1"/>
  <c r="BP238" i="1"/>
  <c r="BN238" i="1"/>
  <c r="Z238" i="1"/>
  <c r="Z239" i="1" s="1"/>
  <c r="Y244" i="1"/>
  <c r="Y243" i="1"/>
  <c r="BP242" i="1"/>
  <c r="BN242" i="1"/>
  <c r="Z242" i="1"/>
  <c r="Z243" i="1" s="1"/>
  <c r="BP246" i="1"/>
  <c r="BN246" i="1"/>
  <c r="Z246" i="1"/>
  <c r="BP274" i="1"/>
  <c r="BN274" i="1"/>
  <c r="Z274" i="1"/>
  <c r="BP302" i="1"/>
  <c r="BN302" i="1"/>
  <c r="Z302" i="1"/>
  <c r="BP330" i="1"/>
  <c r="BN330" i="1"/>
  <c r="Z330" i="1"/>
  <c r="BP374" i="1"/>
  <c r="BN374" i="1"/>
  <c r="Z374" i="1"/>
  <c r="BP409" i="1"/>
  <c r="BN409" i="1"/>
  <c r="Z409" i="1"/>
  <c r="BP438" i="1"/>
  <c r="BN438" i="1"/>
  <c r="Z438" i="1"/>
  <c r="BP468" i="1"/>
  <c r="BN468" i="1"/>
  <c r="Z468" i="1"/>
  <c r="BP103" i="1"/>
  <c r="BN103" i="1"/>
  <c r="Z103" i="1"/>
  <c r="BP141" i="1"/>
  <c r="BN141" i="1"/>
  <c r="Z141" i="1"/>
  <c r="BP167" i="1"/>
  <c r="BN167" i="1"/>
  <c r="Z167" i="1"/>
  <c r="BP177" i="1"/>
  <c r="BN177" i="1"/>
  <c r="Z177" i="1"/>
  <c r="BP198" i="1"/>
  <c r="BN198" i="1"/>
  <c r="Z198" i="1"/>
  <c r="BP210" i="1"/>
  <c r="BN210" i="1"/>
  <c r="Z210" i="1"/>
  <c r="BP211" i="1"/>
  <c r="BN211" i="1"/>
  <c r="Z211" i="1"/>
  <c r="BP226" i="1"/>
  <c r="BN226" i="1"/>
  <c r="Z226" i="1"/>
  <c r="BP234" i="1"/>
  <c r="BN234" i="1"/>
  <c r="Z234" i="1"/>
  <c r="BP255" i="1"/>
  <c r="BN255" i="1"/>
  <c r="Z255" i="1"/>
  <c r="Y276" i="1"/>
  <c r="BP272" i="1"/>
  <c r="BN272" i="1"/>
  <c r="Z272" i="1"/>
  <c r="BP292" i="1"/>
  <c r="BN292" i="1"/>
  <c r="Z292" i="1"/>
  <c r="BP115" i="1"/>
  <c r="BN115" i="1"/>
  <c r="Z115" i="1"/>
  <c r="X495" i="1"/>
  <c r="Z28" i="1"/>
  <c r="BN28" i="1"/>
  <c r="Z42" i="1"/>
  <c r="BN42" i="1"/>
  <c r="D501" i="1"/>
  <c r="Z55" i="1"/>
  <c r="BN55" i="1"/>
  <c r="Z61" i="1"/>
  <c r="BN61" i="1"/>
  <c r="BP61" i="1"/>
  <c r="Z67" i="1"/>
  <c r="BN67" i="1"/>
  <c r="BP67" i="1"/>
  <c r="Z73" i="1"/>
  <c r="BN73" i="1"/>
  <c r="BP73" i="1"/>
  <c r="Z81" i="1"/>
  <c r="BN81" i="1"/>
  <c r="Z88" i="1"/>
  <c r="BN88" i="1"/>
  <c r="Y96" i="1"/>
  <c r="Z94" i="1"/>
  <c r="BN94" i="1"/>
  <c r="BP109" i="1"/>
  <c r="BN109" i="1"/>
  <c r="Z109" i="1"/>
  <c r="Y132" i="1"/>
  <c r="BP130" i="1"/>
  <c r="BN130" i="1"/>
  <c r="Z130" i="1"/>
  <c r="I501" i="1"/>
  <c r="Y173" i="1"/>
  <c r="BP163" i="1"/>
  <c r="BN163" i="1"/>
  <c r="Z163" i="1"/>
  <c r="BP171" i="1"/>
  <c r="BN171" i="1"/>
  <c r="Z171" i="1"/>
  <c r="BP192" i="1"/>
  <c r="BN192" i="1"/>
  <c r="Z192" i="1"/>
  <c r="BP202" i="1"/>
  <c r="BN202" i="1"/>
  <c r="Z202" i="1"/>
  <c r="BP215" i="1"/>
  <c r="BN215" i="1"/>
  <c r="Z215" i="1"/>
  <c r="BP230" i="1"/>
  <c r="BN230" i="1"/>
  <c r="Z230" i="1"/>
  <c r="BP248" i="1"/>
  <c r="BN248" i="1"/>
  <c r="Z248" i="1"/>
  <c r="BP259" i="1"/>
  <c r="BN259" i="1"/>
  <c r="Z259" i="1"/>
  <c r="BP265" i="1"/>
  <c r="BN265" i="1"/>
  <c r="Z265" i="1"/>
  <c r="Y275" i="1"/>
  <c r="BP285" i="1"/>
  <c r="BN285" i="1"/>
  <c r="Z285" i="1"/>
  <c r="BP300" i="1"/>
  <c r="BN300" i="1"/>
  <c r="Z300" i="1"/>
  <c r="BP310" i="1"/>
  <c r="BN310" i="1"/>
  <c r="Z310" i="1"/>
  <c r="BP328" i="1"/>
  <c r="BN328" i="1"/>
  <c r="Z328" i="1"/>
  <c r="Z331" i="1" s="1"/>
  <c r="BP345" i="1"/>
  <c r="BN345" i="1"/>
  <c r="Z345" i="1"/>
  <c r="BP359" i="1"/>
  <c r="BN359" i="1"/>
  <c r="Z359" i="1"/>
  <c r="Y365" i="1"/>
  <c r="Y364" i="1"/>
  <c r="BP363" i="1"/>
  <c r="BN363" i="1"/>
  <c r="Z363" i="1"/>
  <c r="Z364" i="1" s="1"/>
  <c r="BP368" i="1"/>
  <c r="BN368" i="1"/>
  <c r="Z368" i="1"/>
  <c r="BP388" i="1"/>
  <c r="BN388" i="1"/>
  <c r="Z388" i="1"/>
  <c r="BP398" i="1"/>
  <c r="BN398" i="1"/>
  <c r="Z398" i="1"/>
  <c r="BP432" i="1"/>
  <c r="BN432" i="1"/>
  <c r="Z432" i="1"/>
  <c r="BP448" i="1"/>
  <c r="BN448" i="1"/>
  <c r="Z448" i="1"/>
  <c r="BP462" i="1"/>
  <c r="BN462" i="1"/>
  <c r="Z462" i="1"/>
  <c r="O501" i="1"/>
  <c r="F501" i="1"/>
  <c r="Y111" i="1"/>
  <c r="Y117" i="1"/>
  <c r="G501" i="1"/>
  <c r="Y149" i="1"/>
  <c r="Y179" i="1"/>
  <c r="Y204" i="1"/>
  <c r="Y217" i="1"/>
  <c r="Y252" i="1"/>
  <c r="Q501" i="1"/>
  <c r="BP304" i="1"/>
  <c r="BN304" i="1"/>
  <c r="Z304" i="1"/>
  <c r="BP322" i="1"/>
  <c r="BN322" i="1"/>
  <c r="Z322" i="1"/>
  <c r="BP335" i="1"/>
  <c r="BN335" i="1"/>
  <c r="Z335" i="1"/>
  <c r="BP349" i="1"/>
  <c r="BN349" i="1"/>
  <c r="Z349" i="1"/>
  <c r="Y382" i="1"/>
  <c r="BP378" i="1"/>
  <c r="BN378" i="1"/>
  <c r="Z378" i="1"/>
  <c r="Z381" i="1" s="1"/>
  <c r="BP392" i="1"/>
  <c r="BN392" i="1"/>
  <c r="Z392" i="1"/>
  <c r="BP411" i="1"/>
  <c r="BN411" i="1"/>
  <c r="Z411" i="1"/>
  <c r="BP428" i="1"/>
  <c r="BN428" i="1"/>
  <c r="Z428" i="1"/>
  <c r="BP444" i="1"/>
  <c r="BN444" i="1"/>
  <c r="Z444" i="1"/>
  <c r="BP454" i="1"/>
  <c r="BN454" i="1"/>
  <c r="Z454" i="1"/>
  <c r="BP474" i="1"/>
  <c r="BN474" i="1"/>
  <c r="Z474" i="1"/>
  <c r="Y480" i="1"/>
  <c r="Y479" i="1"/>
  <c r="BP478" i="1"/>
  <c r="BN478" i="1"/>
  <c r="Z478" i="1"/>
  <c r="Z479" i="1" s="1"/>
  <c r="BP482" i="1"/>
  <c r="BN482" i="1"/>
  <c r="Z482" i="1"/>
  <c r="Y355" i="1"/>
  <c r="Y464" i="1"/>
  <c r="W501" i="1"/>
  <c r="Y25" i="1"/>
  <c r="Y33" i="1"/>
  <c r="Y37" i="1"/>
  <c r="Y45" i="1"/>
  <c r="Y49" i="1"/>
  <c r="Y58" i="1"/>
  <c r="Y64" i="1"/>
  <c r="Y70" i="1"/>
  <c r="Y78" i="1"/>
  <c r="Y82" i="1"/>
  <c r="Y89" i="1"/>
  <c r="Y97" i="1"/>
  <c r="Y104" i="1"/>
  <c r="Y110" i="1"/>
  <c r="Y118" i="1"/>
  <c r="Y122" i="1"/>
  <c r="Y127" i="1"/>
  <c r="Y133" i="1"/>
  <c r="Y137" i="1"/>
  <c r="Y144" i="1"/>
  <c r="Y150" i="1"/>
  <c r="Y154" i="1"/>
  <c r="Y160" i="1"/>
  <c r="Y172" i="1"/>
  <c r="Y178" i="1"/>
  <c r="Y189" i="1"/>
  <c r="Y193" i="1"/>
  <c r="Y205" i="1"/>
  <c r="BP212" i="1"/>
  <c r="BN212" i="1"/>
  <c r="Z212" i="1"/>
  <c r="Y216" i="1"/>
  <c r="BP220" i="1"/>
  <c r="BN220" i="1"/>
  <c r="Z220" i="1"/>
  <c r="Z221" i="1" s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BP249" i="1"/>
  <c r="BN249" i="1"/>
  <c r="Z249" i="1"/>
  <c r="BP258" i="1"/>
  <c r="BN258" i="1"/>
  <c r="Z258" i="1"/>
  <c r="BP280" i="1"/>
  <c r="BN280" i="1"/>
  <c r="Z280" i="1"/>
  <c r="Z281" i="1" s="1"/>
  <c r="Y282" i="1"/>
  <c r="Y287" i="1"/>
  <c r="BP284" i="1"/>
  <c r="BN284" i="1"/>
  <c r="Z284" i="1"/>
  <c r="Z286" i="1" s="1"/>
  <c r="Y286" i="1"/>
  <c r="BP344" i="1"/>
  <c r="BN344" i="1"/>
  <c r="Z344" i="1"/>
  <c r="S501" i="1"/>
  <c r="Y350" i="1"/>
  <c r="BP348" i="1"/>
  <c r="BN348" i="1"/>
  <c r="Z348" i="1"/>
  <c r="BP387" i="1"/>
  <c r="BN387" i="1"/>
  <c r="Z387" i="1"/>
  <c r="BP391" i="1"/>
  <c r="BN391" i="1"/>
  <c r="Z391" i="1"/>
  <c r="Y395" i="1"/>
  <c r="BP399" i="1"/>
  <c r="BN399" i="1"/>
  <c r="Z399" i="1"/>
  <c r="Y401" i="1"/>
  <c r="V501" i="1"/>
  <c r="Y405" i="1"/>
  <c r="BP404" i="1"/>
  <c r="BN404" i="1"/>
  <c r="Z404" i="1"/>
  <c r="Z405" i="1" s="1"/>
  <c r="Y406" i="1"/>
  <c r="Y413" i="1"/>
  <c r="BP408" i="1"/>
  <c r="BN408" i="1"/>
  <c r="Z408" i="1"/>
  <c r="Y412" i="1"/>
  <c r="BP424" i="1"/>
  <c r="BN424" i="1"/>
  <c r="Z424" i="1"/>
  <c r="Y435" i="1"/>
  <c r="H9" i="1"/>
  <c r="A10" i="1"/>
  <c r="F9" i="1"/>
  <c r="J9" i="1"/>
  <c r="B501" i="1"/>
  <c r="X492" i="1"/>
  <c r="X493" i="1"/>
  <c r="Z23" i="1"/>
  <c r="Z24" i="1" s="1"/>
  <c r="BN23" i="1"/>
  <c r="Y24" i="1"/>
  <c r="X491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Y59" i="1"/>
  <c r="Z62" i="1"/>
  <c r="Z64" i="1" s="1"/>
  <c r="BN62" i="1"/>
  <c r="Z68" i="1"/>
  <c r="Z70" i="1" s="1"/>
  <c r="BN68" i="1"/>
  <c r="Z74" i="1"/>
  <c r="BN74" i="1"/>
  <c r="Z76" i="1"/>
  <c r="BN76" i="1"/>
  <c r="Z80" i="1"/>
  <c r="Z82" i="1" s="1"/>
  <c r="BN80" i="1"/>
  <c r="BP80" i="1"/>
  <c r="E501" i="1"/>
  <c r="Z87" i="1"/>
  <c r="Z89" i="1" s="1"/>
  <c r="BN87" i="1"/>
  <c r="Y90" i="1"/>
  <c r="Z93" i="1"/>
  <c r="BN93" i="1"/>
  <c r="Z95" i="1"/>
  <c r="BN95" i="1"/>
  <c r="Z100" i="1"/>
  <c r="BN100" i="1"/>
  <c r="BP100" i="1"/>
  <c r="Z102" i="1"/>
  <c r="BN102" i="1"/>
  <c r="Y105" i="1"/>
  <c r="Z108" i="1"/>
  <c r="BN108" i="1"/>
  <c r="Z114" i="1"/>
  <c r="BN114" i="1"/>
  <c r="Z116" i="1"/>
  <c r="BN116" i="1"/>
  <c r="Z120" i="1"/>
  <c r="Z121" i="1" s="1"/>
  <c r="BN120" i="1"/>
  <c r="BP120" i="1"/>
  <c r="Z125" i="1"/>
  <c r="Z127" i="1" s="1"/>
  <c r="BN125" i="1"/>
  <c r="BP125" i="1"/>
  <c r="Y128" i="1"/>
  <c r="Z131" i="1"/>
  <c r="Z132" i="1" s="1"/>
  <c r="BN131" i="1"/>
  <c r="Z135" i="1"/>
  <c r="Z137" i="1" s="1"/>
  <c r="BN135" i="1"/>
  <c r="BP135" i="1"/>
  <c r="H501" i="1"/>
  <c r="Z142" i="1"/>
  <c r="Z143" i="1" s="1"/>
  <c r="BN142" i="1"/>
  <c r="Y143" i="1"/>
  <c r="Z146" i="1"/>
  <c r="BN146" i="1"/>
  <c r="BP146" i="1"/>
  <c r="Z148" i="1"/>
  <c r="BN148" i="1"/>
  <c r="Z152" i="1"/>
  <c r="Z153" i="1" s="1"/>
  <c r="BN152" i="1"/>
  <c r="BP152" i="1"/>
  <c r="Z158" i="1"/>
  <c r="Z159" i="1" s="1"/>
  <c r="BN158" i="1"/>
  <c r="BP158" i="1"/>
  <c r="Y159" i="1"/>
  <c r="Z162" i="1"/>
  <c r="BN162" i="1"/>
  <c r="BP162" i="1"/>
  <c r="Z164" i="1"/>
  <c r="BN164" i="1"/>
  <c r="Z166" i="1"/>
  <c r="BN166" i="1"/>
  <c r="Z168" i="1"/>
  <c r="BN168" i="1"/>
  <c r="Z170" i="1"/>
  <c r="BN170" i="1"/>
  <c r="Z176" i="1"/>
  <c r="Z178" i="1" s="1"/>
  <c r="BN176" i="1"/>
  <c r="J501" i="1"/>
  <c r="Z187" i="1"/>
  <c r="BN187" i="1"/>
  <c r="Y188" i="1"/>
  <c r="Z191" i="1"/>
  <c r="Z193" i="1" s="1"/>
  <c r="BN191" i="1"/>
  <c r="BP191" i="1"/>
  <c r="Z197" i="1"/>
  <c r="BN197" i="1"/>
  <c r="Z199" i="1"/>
  <c r="BN199" i="1"/>
  <c r="Z201" i="1"/>
  <c r="BN201" i="1"/>
  <c r="Z203" i="1"/>
  <c r="BN203" i="1"/>
  <c r="Z207" i="1"/>
  <c r="BN207" i="1"/>
  <c r="BP207" i="1"/>
  <c r="Z209" i="1"/>
  <c r="BN209" i="1"/>
  <c r="BP214" i="1"/>
  <c r="BN214" i="1"/>
  <c r="Z214" i="1"/>
  <c r="Y221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BP266" i="1"/>
  <c r="BN266" i="1"/>
  <c r="Z266" i="1"/>
  <c r="BP293" i="1"/>
  <c r="BN293" i="1"/>
  <c r="Z293" i="1"/>
  <c r="BP301" i="1"/>
  <c r="BN301" i="1"/>
  <c r="Z301" i="1"/>
  <c r="Y305" i="1"/>
  <c r="BP309" i="1"/>
  <c r="BN309" i="1"/>
  <c r="Z309" i="1"/>
  <c r="Y313" i="1"/>
  <c r="BP317" i="1"/>
  <c r="BN317" i="1"/>
  <c r="Z317" i="1"/>
  <c r="Y319" i="1"/>
  <c r="Y326" i="1"/>
  <c r="BP321" i="1"/>
  <c r="BN321" i="1"/>
  <c r="Z321" i="1"/>
  <c r="Y325" i="1"/>
  <c r="BP329" i="1"/>
  <c r="BN329" i="1"/>
  <c r="Z329" i="1"/>
  <c r="Y331" i="1"/>
  <c r="BP369" i="1"/>
  <c r="BN369" i="1"/>
  <c r="Z369" i="1"/>
  <c r="Z370" i="1" s="1"/>
  <c r="Y371" i="1"/>
  <c r="Y376" i="1"/>
  <c r="BP373" i="1"/>
  <c r="BN373" i="1"/>
  <c r="Z373" i="1"/>
  <c r="Y375" i="1"/>
  <c r="BP463" i="1"/>
  <c r="BN463" i="1"/>
  <c r="Z463" i="1"/>
  <c r="Y465" i="1"/>
  <c r="Y470" i="1"/>
  <c r="BP467" i="1"/>
  <c r="BN467" i="1"/>
  <c r="Z467" i="1"/>
  <c r="Y471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L501" i="1"/>
  <c r="Y260" i="1"/>
  <c r="Y261" i="1"/>
  <c r="M501" i="1"/>
  <c r="Y269" i="1"/>
  <c r="BP264" i="1"/>
  <c r="BN264" i="1"/>
  <c r="Z264" i="1"/>
  <c r="Y268" i="1"/>
  <c r="BP273" i="1"/>
  <c r="BN273" i="1"/>
  <c r="Z273" i="1"/>
  <c r="Z275" i="1" s="1"/>
  <c r="BP291" i="1"/>
  <c r="BN291" i="1"/>
  <c r="Z291" i="1"/>
  <c r="BP295" i="1"/>
  <c r="BN295" i="1"/>
  <c r="Z295" i="1"/>
  <c r="Y297" i="1"/>
  <c r="Y306" i="1"/>
  <c r="BP299" i="1"/>
  <c r="BN299" i="1"/>
  <c r="Z299" i="1"/>
  <c r="BP303" i="1"/>
  <c r="BN303" i="1"/>
  <c r="Z303" i="1"/>
  <c r="Y312" i="1"/>
  <c r="BP311" i="1"/>
  <c r="BN311" i="1"/>
  <c r="Z311" i="1"/>
  <c r="Z312" i="1" s="1"/>
  <c r="Y318" i="1"/>
  <c r="BP315" i="1"/>
  <c r="BN315" i="1"/>
  <c r="Z315" i="1"/>
  <c r="Z318" i="1" s="1"/>
  <c r="BP323" i="1"/>
  <c r="BN323" i="1"/>
  <c r="Z323" i="1"/>
  <c r="Y332" i="1"/>
  <c r="BP336" i="1"/>
  <c r="BN336" i="1"/>
  <c r="Z336" i="1"/>
  <c r="Z338" i="1" s="1"/>
  <c r="Y351" i="1"/>
  <c r="BP346" i="1"/>
  <c r="BN346" i="1"/>
  <c r="Z346" i="1"/>
  <c r="BP354" i="1"/>
  <c r="BN354" i="1"/>
  <c r="Z354" i="1"/>
  <c r="Z355" i="1" s="1"/>
  <c r="Y356" i="1"/>
  <c r="Y361" i="1"/>
  <c r="BP358" i="1"/>
  <c r="BN358" i="1"/>
  <c r="Z358" i="1"/>
  <c r="Z360" i="1" s="1"/>
  <c r="BP379" i="1"/>
  <c r="BN379" i="1"/>
  <c r="Z379" i="1"/>
  <c r="U501" i="1"/>
  <c r="BP389" i="1"/>
  <c r="BN389" i="1"/>
  <c r="Z389" i="1"/>
  <c r="BP393" i="1"/>
  <c r="BN393" i="1"/>
  <c r="Z393" i="1"/>
  <c r="Y400" i="1"/>
  <c r="BP410" i="1"/>
  <c r="BN410" i="1"/>
  <c r="Z410" i="1"/>
  <c r="BP429" i="1"/>
  <c r="BN429" i="1"/>
  <c r="Z429" i="1"/>
  <c r="BP433" i="1"/>
  <c r="BN433" i="1"/>
  <c r="Z433" i="1"/>
  <c r="Y440" i="1"/>
  <c r="BP437" i="1"/>
  <c r="BN437" i="1"/>
  <c r="Z437" i="1"/>
  <c r="Y441" i="1"/>
  <c r="BP445" i="1"/>
  <c r="BN445" i="1"/>
  <c r="Z445" i="1"/>
  <c r="Y449" i="1"/>
  <c r="BP453" i="1"/>
  <c r="BN453" i="1"/>
  <c r="Z453" i="1"/>
  <c r="Y455" i="1"/>
  <c r="P501" i="1"/>
  <c r="Y281" i="1"/>
  <c r="Y296" i="1"/>
  <c r="R501" i="1"/>
  <c r="Y339" i="1"/>
  <c r="T501" i="1"/>
  <c r="Y370" i="1"/>
  <c r="Y396" i="1"/>
  <c r="X501" i="1"/>
  <c r="Y434" i="1"/>
  <c r="BP425" i="1"/>
  <c r="BN425" i="1"/>
  <c r="BP427" i="1"/>
  <c r="BN427" i="1"/>
  <c r="Z427" i="1"/>
  <c r="BP431" i="1"/>
  <c r="BN431" i="1"/>
  <c r="Z431" i="1"/>
  <c r="BP439" i="1"/>
  <c r="BN439" i="1"/>
  <c r="Z439" i="1"/>
  <c r="Y450" i="1"/>
  <c r="BP443" i="1"/>
  <c r="BN443" i="1"/>
  <c r="Z443" i="1"/>
  <c r="BP447" i="1"/>
  <c r="BN447" i="1"/>
  <c r="Z447" i="1"/>
  <c r="Y456" i="1"/>
  <c r="BP461" i="1"/>
  <c r="BN461" i="1"/>
  <c r="Z461" i="1"/>
  <c r="Z464" i="1" s="1"/>
  <c r="BP469" i="1"/>
  <c r="BN469" i="1"/>
  <c r="Z469" i="1"/>
  <c r="Y476" i="1"/>
  <c r="BP473" i="1"/>
  <c r="BN473" i="1"/>
  <c r="Z473" i="1"/>
  <c r="Z475" i="1" s="1"/>
  <c r="Y484" i="1"/>
  <c r="Y501" i="1"/>
  <c r="Z440" i="1" l="1"/>
  <c r="Z305" i="1"/>
  <c r="Z296" i="1"/>
  <c r="Z268" i="1"/>
  <c r="Z375" i="1"/>
  <c r="Z260" i="1"/>
  <c r="Z251" i="1"/>
  <c r="Z188" i="1"/>
  <c r="Z110" i="1"/>
  <c r="Z400" i="1"/>
  <c r="Z434" i="1"/>
  <c r="Z204" i="1"/>
  <c r="Z117" i="1"/>
  <c r="Z96" i="1"/>
  <c r="Y493" i="1"/>
  <c r="X494" i="1"/>
  <c r="Z77" i="1"/>
  <c r="Y492" i="1"/>
  <c r="Z395" i="1"/>
  <c r="Z350" i="1"/>
  <c r="Z325" i="1"/>
  <c r="Z449" i="1"/>
  <c r="Z470" i="1"/>
  <c r="Z216" i="1"/>
  <c r="Z172" i="1"/>
  <c r="Z149" i="1"/>
  <c r="Z104" i="1"/>
  <c r="Z44" i="1"/>
  <c r="Z32" i="1"/>
  <c r="Y495" i="1"/>
  <c r="Z412" i="1"/>
  <c r="Z235" i="1"/>
  <c r="Y491" i="1"/>
  <c r="Z496" i="1" l="1"/>
  <c r="Y494" i="1"/>
</calcChain>
</file>

<file path=xl/sharedStrings.xml><?xml version="1.0" encoding="utf-8"?>
<sst xmlns="http://schemas.openxmlformats.org/spreadsheetml/2006/main" count="2353" uniqueCount="769">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</sst>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6" t="s">
        <v>0</v>
      </c>
      <c r="E1" s="582"/>
      <c r="F1" s="582"/>
      <c r="G1" s="12" t="s">
        <v>1</v>
      </c>
      <c r="H1" s="636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9" t="s">
        <v>8</v>
      </c>
      <c r="B5" s="671"/>
      <c r="C5" s="672"/>
      <c r="D5" s="640"/>
      <c r="E5" s="641"/>
      <c r="F5" s="840" t="s">
        <v>9</v>
      </c>
      <c r="G5" s="672"/>
      <c r="H5" s="640" t="s">
        <v>768</v>
      </c>
      <c r="I5" s="786"/>
      <c r="J5" s="786"/>
      <c r="K5" s="786"/>
      <c r="L5" s="786"/>
      <c r="M5" s="641"/>
      <c r="N5" s="58"/>
      <c r="P5" s="24" t="s">
        <v>10</v>
      </c>
      <c r="Q5" s="851">
        <v>46002</v>
      </c>
      <c r="R5" s="678"/>
      <c r="T5" s="717" t="s">
        <v>11</v>
      </c>
      <c r="U5" s="718"/>
      <c r="V5" s="723" t="s">
        <v>12</v>
      </c>
      <c r="W5" s="678"/>
      <c r="AB5" s="51"/>
      <c r="AC5" s="51"/>
      <c r="AD5" s="51"/>
      <c r="AE5" s="51"/>
    </row>
    <row r="6" spans="1:32" s="539" customFormat="1" ht="24" customHeight="1" x14ac:dyDescent="0.2">
      <c r="A6" s="679" t="s">
        <v>13</v>
      </c>
      <c r="B6" s="671"/>
      <c r="C6" s="672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8"/>
      <c r="N6" s="59"/>
      <c r="P6" s="24" t="s">
        <v>15</v>
      </c>
      <c r="Q6" s="860" t="str">
        <f>IF(Q5=0," ",CHOOSE(WEEKDAY(Q5,2),"Понедельник","Вторник","Среда","Четверг","Пятница","Суббота","Воскресенье"))</f>
        <v>Четверг</v>
      </c>
      <c r="R6" s="550"/>
      <c r="T6" s="731" t="s">
        <v>16</v>
      </c>
      <c r="U6" s="718"/>
      <c r="V6" s="769" t="s">
        <v>17</v>
      </c>
      <c r="W6" s="594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20" t="str">
        <f>IFERROR(VLOOKUP(DeliveryAddress,Table,3,0),1)</f>
        <v>1</v>
      </c>
      <c r="E7" s="621"/>
      <c r="F7" s="621"/>
      <c r="G7" s="621"/>
      <c r="H7" s="621"/>
      <c r="I7" s="621"/>
      <c r="J7" s="621"/>
      <c r="K7" s="621"/>
      <c r="L7" s="621"/>
      <c r="M7" s="622"/>
      <c r="N7" s="60"/>
      <c r="P7" s="24"/>
      <c r="Q7" s="42"/>
      <c r="R7" s="42"/>
      <c r="T7" s="559"/>
      <c r="U7" s="718"/>
      <c r="V7" s="770"/>
      <c r="W7" s="771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2"/>
      <c r="C8" s="563"/>
      <c r="D8" s="629" t="s">
        <v>19</v>
      </c>
      <c r="E8" s="630"/>
      <c r="F8" s="630"/>
      <c r="G8" s="630"/>
      <c r="H8" s="630"/>
      <c r="I8" s="630"/>
      <c r="J8" s="630"/>
      <c r="K8" s="630"/>
      <c r="L8" s="630"/>
      <c r="M8" s="631"/>
      <c r="N8" s="61"/>
      <c r="P8" s="24" t="s">
        <v>20</v>
      </c>
      <c r="Q8" s="685">
        <v>0.5</v>
      </c>
      <c r="R8" s="622"/>
      <c r="T8" s="559"/>
      <c r="U8" s="718"/>
      <c r="V8" s="770"/>
      <c r="W8" s="771"/>
      <c r="AB8" s="51"/>
      <c r="AC8" s="51"/>
      <c r="AD8" s="51"/>
      <c r="AE8" s="51"/>
    </row>
    <row r="9" spans="1:32" s="539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9"/>
      <c r="E9" s="566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7"/>
      <c r="P9" s="26" t="s">
        <v>21</v>
      </c>
      <c r="Q9" s="675"/>
      <c r="R9" s="676"/>
      <c r="T9" s="559"/>
      <c r="U9" s="718"/>
      <c r="V9" s="772"/>
      <c r="W9" s="773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9"/>
      <c r="E10" s="566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0"/>
      <c r="R10" s="721"/>
      <c r="U10" s="24" t="s">
        <v>23</v>
      </c>
      <c r="V10" s="593" t="s">
        <v>24</v>
      </c>
      <c r="W10" s="594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7"/>
      <c r="R11" s="678"/>
      <c r="U11" s="24" t="s">
        <v>27</v>
      </c>
      <c r="V11" s="766" t="s">
        <v>28</v>
      </c>
      <c r="W11" s="67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5"/>
      <c r="R12" s="62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766"/>
      <c r="R13" s="67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8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69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6" t="s">
        <v>38</v>
      </c>
      <c r="D17" s="596" t="s">
        <v>39</v>
      </c>
      <c r="E17" s="662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1"/>
      <c r="R17" s="661"/>
      <c r="S17" s="661"/>
      <c r="T17" s="662"/>
      <c r="U17" s="868" t="s">
        <v>51</v>
      </c>
      <c r="V17" s="672"/>
      <c r="W17" s="596" t="s">
        <v>52</v>
      </c>
      <c r="X17" s="596" t="s">
        <v>53</v>
      </c>
      <c r="Y17" s="866" t="s">
        <v>54</v>
      </c>
      <c r="Z17" s="764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3"/>
      <c r="E18" s="665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3"/>
      <c r="Q18" s="664"/>
      <c r="R18" s="664"/>
      <c r="S18" s="664"/>
      <c r="T18" s="665"/>
      <c r="U18" s="67" t="s">
        <v>61</v>
      </c>
      <c r="V18" s="67" t="s">
        <v>62</v>
      </c>
      <c r="W18" s="597"/>
      <c r="X18" s="597"/>
      <c r="Y18" s="867"/>
      <c r="Z18" s="765"/>
      <c r="AA18" s="758"/>
      <c r="AB18" s="758"/>
      <c r="AC18" s="758"/>
      <c r="AD18" s="835"/>
      <c r="AE18" s="836"/>
      <c r="AF18" s="837"/>
      <c r="AG18" s="66"/>
      <c r="BD18" s="65"/>
    </row>
    <row r="19" spans="1:68" ht="27.75" hidden="1" customHeight="1" x14ac:dyDescent="0.2">
      <c r="A19" s="568" t="s">
        <v>63</v>
      </c>
      <c r="B19" s="569"/>
      <c r="C19" s="569"/>
      <c r="D19" s="569"/>
      <c r="E19" s="569"/>
      <c r="F19" s="569"/>
      <c r="G19" s="569"/>
      <c r="H19" s="569"/>
      <c r="I19" s="569"/>
      <c r="J19" s="569"/>
      <c r="K19" s="569"/>
      <c r="L19" s="569"/>
      <c r="M19" s="569"/>
      <c r="N19" s="569"/>
      <c r="O19" s="569"/>
      <c r="P19" s="569"/>
      <c r="Q19" s="569"/>
      <c r="R19" s="569"/>
      <c r="S19" s="569"/>
      <c r="T19" s="569"/>
      <c r="U19" s="569"/>
      <c r="V19" s="569"/>
      <c r="W19" s="569"/>
      <c r="X19" s="569"/>
      <c r="Y19" s="569"/>
      <c r="Z19" s="569"/>
      <c r="AA19" s="48"/>
      <c r="AB19" s="48"/>
      <c r="AC19" s="48"/>
    </row>
    <row r="20" spans="1:68" ht="16.5" hidden="1" customHeight="1" x14ac:dyDescent="0.25">
      <c r="A20" s="564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6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76</v>
      </c>
      <c r="Q24" s="562"/>
      <c r="R24" s="562"/>
      <c r="S24" s="562"/>
      <c r="T24" s="562"/>
      <c r="U24" s="562"/>
      <c r="V24" s="563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76</v>
      </c>
      <c r="Q25" s="562"/>
      <c r="R25" s="562"/>
      <c r="S25" s="562"/>
      <c r="T25" s="562"/>
      <c r="U25" s="562"/>
      <c r="V25" s="563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76</v>
      </c>
      <c r="Q32" s="562"/>
      <c r="R32" s="562"/>
      <c r="S32" s="562"/>
      <c r="T32" s="562"/>
      <c r="U32" s="562"/>
      <c r="V32" s="563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1" t="s">
        <v>76</v>
      </c>
      <c r="Q33" s="562"/>
      <c r="R33" s="562"/>
      <c r="S33" s="562"/>
      <c r="T33" s="562"/>
      <c r="U33" s="562"/>
      <c r="V33" s="563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hidden="1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76</v>
      </c>
      <c r="Q36" s="562"/>
      <c r="R36" s="562"/>
      <c r="S36" s="562"/>
      <c r="T36" s="562"/>
      <c r="U36" s="562"/>
      <c r="V36" s="563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1" t="s">
        <v>76</v>
      </c>
      <c r="Q37" s="562"/>
      <c r="R37" s="562"/>
      <c r="S37" s="562"/>
      <c r="T37" s="562"/>
      <c r="U37" s="562"/>
      <c r="V37" s="563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68" t="s">
        <v>103</v>
      </c>
      <c r="B38" s="569"/>
      <c r="C38" s="569"/>
      <c r="D38" s="569"/>
      <c r="E38" s="569"/>
      <c r="F38" s="569"/>
      <c r="G38" s="569"/>
      <c r="H38" s="569"/>
      <c r="I38" s="569"/>
      <c r="J38" s="569"/>
      <c r="K38" s="569"/>
      <c r="L38" s="569"/>
      <c r="M38" s="569"/>
      <c r="N38" s="569"/>
      <c r="O38" s="569"/>
      <c r="P38" s="569"/>
      <c r="Q38" s="569"/>
      <c r="R38" s="569"/>
      <c r="S38" s="569"/>
      <c r="T38" s="569"/>
      <c r="U38" s="569"/>
      <c r="V38" s="569"/>
      <c r="W38" s="569"/>
      <c r="X38" s="569"/>
      <c r="Y38" s="569"/>
      <c r="Z38" s="569"/>
      <c r="AA38" s="48"/>
      <c r="AB38" s="48"/>
      <c r="AC38" s="48"/>
    </row>
    <row r="39" spans="1:68" ht="16.5" hidden="1" customHeight="1" x14ac:dyDescent="0.25">
      <c r="A39" s="564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hidden="1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79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900</v>
      </c>
      <c r="Y41" s="546">
        <f>IFERROR(IF(X41="",0,CEILING((X41/$H41),1)*$H41),"")</f>
        <v>907.2</v>
      </c>
      <c r="Z41" s="36">
        <f>IFERROR(IF(Y41=0,"",ROUNDUP(Y41/H41,0)*0.01898),"")</f>
        <v>1.59432</v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934.16666666666663</v>
      </c>
      <c r="BN41" s="64">
        <f>IFERROR(Y41*I41/H41,"0")</f>
        <v>941.6400000000001</v>
      </c>
      <c r="BO41" s="64">
        <f>IFERROR(1/J41*(X41/H41),"0")</f>
        <v>1.3020833333333333</v>
      </c>
      <c r="BP41" s="64">
        <f>IFERROR(1/J41*(Y41/H41),"0")</f>
        <v>1.3125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76</v>
      </c>
      <c r="Q44" s="562"/>
      <c r="R44" s="562"/>
      <c r="S44" s="562"/>
      <c r="T44" s="562"/>
      <c r="U44" s="562"/>
      <c r="V44" s="563"/>
      <c r="W44" s="37" t="s">
        <v>77</v>
      </c>
      <c r="X44" s="547">
        <f>IFERROR(X41/H41,"0")+IFERROR(X42/H42,"0")+IFERROR(X43/H43,"0")</f>
        <v>83.333333333333329</v>
      </c>
      <c r="Y44" s="547">
        <f>IFERROR(Y41/H41,"0")+IFERROR(Y42/H42,"0")+IFERROR(Y43/H43,"0")</f>
        <v>84</v>
      </c>
      <c r="Z44" s="547">
        <f>IFERROR(IF(Z41="",0,Z41),"0")+IFERROR(IF(Z42="",0,Z42),"0")+IFERROR(IF(Z43="",0,Z43),"0")</f>
        <v>1.59432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1" t="s">
        <v>76</v>
      </c>
      <c r="Q45" s="562"/>
      <c r="R45" s="562"/>
      <c r="S45" s="562"/>
      <c r="T45" s="562"/>
      <c r="U45" s="562"/>
      <c r="V45" s="563"/>
      <c r="W45" s="37" t="s">
        <v>70</v>
      </c>
      <c r="X45" s="547">
        <f>IFERROR(SUM(X41:X43),"0")</f>
        <v>900</v>
      </c>
      <c r="Y45" s="547">
        <f>IFERROR(SUM(Y41:Y43),"0")</f>
        <v>907.2</v>
      </c>
      <c r="Z45" s="37"/>
      <c r="AA45" s="548"/>
      <c r="AB45" s="548"/>
      <c r="AC45" s="548"/>
    </row>
    <row r="46" spans="1:68" ht="14.25" hidden="1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hidden="1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76</v>
      </c>
      <c r="Q48" s="562"/>
      <c r="R48" s="562"/>
      <c r="S48" s="562"/>
      <c r="T48" s="562"/>
      <c r="U48" s="562"/>
      <c r="V48" s="563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1" t="s">
        <v>76</v>
      </c>
      <c r="Q49" s="562"/>
      <c r="R49" s="562"/>
      <c r="S49" s="562"/>
      <c r="T49" s="562"/>
      <c r="U49" s="562"/>
      <c r="V49" s="563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64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hidden="1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hidden="1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1000</v>
      </c>
      <c r="Y53" s="546">
        <f t="shared" si="0"/>
        <v>1004.4000000000001</v>
      </c>
      <c r="Z53" s="36">
        <f>IFERROR(IF(Y53=0,"",ROUNDUP(Y53/H53,0)*0.01898),"")</f>
        <v>1.7651399999999999</v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1037.9629629629628</v>
      </c>
      <c r="BN53" s="64">
        <f t="shared" si="2"/>
        <v>1042.5300000000002</v>
      </c>
      <c r="BO53" s="64">
        <f t="shared" si="3"/>
        <v>1.4467592592592591</v>
      </c>
      <c r="BP53" s="64">
        <f t="shared" si="4"/>
        <v>1.453125</v>
      </c>
    </row>
    <row r="54" spans="1:68" ht="27" hidden="1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76</v>
      </c>
      <c r="Q58" s="562"/>
      <c r="R58" s="562"/>
      <c r="S58" s="562"/>
      <c r="T58" s="562"/>
      <c r="U58" s="562"/>
      <c r="V58" s="563"/>
      <c r="W58" s="37" t="s">
        <v>77</v>
      </c>
      <c r="X58" s="547">
        <f>IFERROR(X52/H52,"0")+IFERROR(X53/H53,"0")+IFERROR(X54/H54,"0")+IFERROR(X55/H55,"0")+IFERROR(X56/H56,"0")+IFERROR(X57/H57,"0")</f>
        <v>92.592592592592581</v>
      </c>
      <c r="Y58" s="547">
        <f>IFERROR(Y52/H52,"0")+IFERROR(Y53/H53,"0")+IFERROR(Y54/H54,"0")+IFERROR(Y55/H55,"0")+IFERROR(Y56/H56,"0")+IFERROR(Y57/H57,"0")</f>
        <v>93</v>
      </c>
      <c r="Z58" s="547">
        <f>IFERROR(IF(Z52="",0,Z52),"0")+IFERROR(IF(Z53="",0,Z53),"0")+IFERROR(IF(Z54="",0,Z54),"0")+IFERROR(IF(Z55="",0,Z55),"0")+IFERROR(IF(Z56="",0,Z56),"0")+IFERROR(IF(Z57="",0,Z57),"0")</f>
        <v>1.7651399999999999</v>
      </c>
      <c r="AA58" s="548"/>
      <c r="AB58" s="548"/>
      <c r="AC58" s="548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1" t="s">
        <v>76</v>
      </c>
      <c r="Q59" s="562"/>
      <c r="R59" s="562"/>
      <c r="S59" s="562"/>
      <c r="T59" s="562"/>
      <c r="U59" s="562"/>
      <c r="V59" s="563"/>
      <c r="W59" s="37" t="s">
        <v>70</v>
      </c>
      <c r="X59" s="547">
        <f>IFERROR(SUM(X52:X57),"0")</f>
        <v>1000</v>
      </c>
      <c r="Y59" s="547">
        <f>IFERROR(SUM(Y52:Y57),"0")</f>
        <v>1004.4000000000001</v>
      </c>
      <c r="Z59" s="37"/>
      <c r="AA59" s="548"/>
      <c r="AB59" s="548"/>
      <c r="AC59" s="548"/>
    </row>
    <row r="60" spans="1:68" ht="14.25" hidden="1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hidden="1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8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76</v>
      </c>
      <c r="Q64" s="562"/>
      <c r="R64" s="562"/>
      <c r="S64" s="562"/>
      <c r="T64" s="562"/>
      <c r="U64" s="562"/>
      <c r="V64" s="563"/>
      <c r="W64" s="37" t="s">
        <v>77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hidden="1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1" t="s">
        <v>76</v>
      </c>
      <c r="Q65" s="562"/>
      <c r="R65" s="562"/>
      <c r="S65" s="562"/>
      <c r="T65" s="562"/>
      <c r="U65" s="562"/>
      <c r="V65" s="563"/>
      <c r="W65" s="37" t="s">
        <v>70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hidden="1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1" t="s">
        <v>76</v>
      </c>
      <c r="Q70" s="562"/>
      <c r="R70" s="562"/>
      <c r="S70" s="562"/>
      <c r="T70" s="562"/>
      <c r="U70" s="562"/>
      <c r="V70" s="563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1" t="s">
        <v>76</v>
      </c>
      <c r="Q71" s="562"/>
      <c r="R71" s="562"/>
      <c r="S71" s="562"/>
      <c r="T71" s="562"/>
      <c r="U71" s="562"/>
      <c r="V71" s="563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hidden="1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1" t="s">
        <v>76</v>
      </c>
      <c r="Q77" s="562"/>
      <c r="R77" s="562"/>
      <c r="S77" s="562"/>
      <c r="T77" s="562"/>
      <c r="U77" s="562"/>
      <c r="V77" s="563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1" t="s">
        <v>76</v>
      </c>
      <c r="Q78" s="562"/>
      <c r="R78" s="562"/>
      <c r="S78" s="562"/>
      <c r="T78" s="562"/>
      <c r="U78" s="562"/>
      <c r="V78" s="563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hidden="1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1" t="s">
        <v>76</v>
      </c>
      <c r="Q82" s="562"/>
      <c r="R82" s="562"/>
      <c r="S82" s="562"/>
      <c r="T82" s="562"/>
      <c r="U82" s="562"/>
      <c r="V82" s="563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1" t="s">
        <v>76</v>
      </c>
      <c r="Q83" s="562"/>
      <c r="R83" s="562"/>
      <c r="S83" s="562"/>
      <c r="T83" s="562"/>
      <c r="U83" s="562"/>
      <c r="V83" s="563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64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hidden="1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hidden="1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76</v>
      </c>
      <c r="Q89" s="562"/>
      <c r="R89" s="562"/>
      <c r="S89" s="562"/>
      <c r="T89" s="562"/>
      <c r="U89" s="562"/>
      <c r="V89" s="563"/>
      <c r="W89" s="37" t="s">
        <v>77</v>
      </c>
      <c r="X89" s="547">
        <f>IFERROR(X86/H86,"0")+IFERROR(X87/H87,"0")+IFERROR(X88/H88,"0")</f>
        <v>0</v>
      </c>
      <c r="Y89" s="547">
        <f>IFERROR(Y86/H86,"0")+IFERROR(Y87/H87,"0")+IFERROR(Y88/H88,"0")</f>
        <v>0</v>
      </c>
      <c r="Z89" s="547">
        <f>IFERROR(IF(Z86="",0,Z86),"0")+IFERROR(IF(Z87="",0,Z87),"0")+IFERROR(IF(Z88="",0,Z88),"0")</f>
        <v>0</v>
      </c>
      <c r="AA89" s="548"/>
      <c r="AB89" s="548"/>
      <c r="AC89" s="548"/>
    </row>
    <row r="90" spans="1:68" hidden="1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1" t="s">
        <v>76</v>
      </c>
      <c r="Q90" s="562"/>
      <c r="R90" s="562"/>
      <c r="S90" s="562"/>
      <c r="T90" s="562"/>
      <c r="U90" s="562"/>
      <c r="V90" s="563"/>
      <c r="W90" s="37" t="s">
        <v>70</v>
      </c>
      <c r="X90" s="547">
        <f>IFERROR(SUM(X86:X88),"0")</f>
        <v>0</v>
      </c>
      <c r="Y90" s="547">
        <f>IFERROR(SUM(Y86:Y88),"0")</f>
        <v>0</v>
      </c>
      <c r="Z90" s="37"/>
      <c r="AA90" s="548"/>
      <c r="AB90" s="548"/>
      <c r="AC90" s="548"/>
    </row>
    <row r="91" spans="1:68" ht="14.25" hidden="1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hidden="1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0</v>
      </c>
      <c r="Y92" s="54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2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1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76</v>
      </c>
      <c r="Q96" s="562"/>
      <c r="R96" s="562"/>
      <c r="S96" s="562"/>
      <c r="T96" s="562"/>
      <c r="U96" s="562"/>
      <c r="V96" s="563"/>
      <c r="W96" s="37" t="s">
        <v>77</v>
      </c>
      <c r="X96" s="547">
        <f>IFERROR(X92/H92,"0")+IFERROR(X93/H93,"0")+IFERROR(X94/H94,"0")+IFERROR(X95/H95,"0")</f>
        <v>0</v>
      </c>
      <c r="Y96" s="547">
        <f>IFERROR(Y92/H92,"0")+IFERROR(Y93/H93,"0")+IFERROR(Y94/H94,"0")+IFERROR(Y95/H95,"0")</f>
        <v>0</v>
      </c>
      <c r="Z96" s="547">
        <f>IFERROR(IF(Z92="",0,Z92),"0")+IFERROR(IF(Z93="",0,Z93),"0")+IFERROR(IF(Z94="",0,Z94),"0")+IFERROR(IF(Z95="",0,Z95),"0")</f>
        <v>0</v>
      </c>
      <c r="AA96" s="548"/>
      <c r="AB96" s="548"/>
      <c r="AC96" s="548"/>
    </row>
    <row r="97" spans="1:68" hidden="1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1" t="s">
        <v>76</v>
      </c>
      <c r="Q97" s="562"/>
      <c r="R97" s="562"/>
      <c r="S97" s="562"/>
      <c r="T97" s="562"/>
      <c r="U97" s="562"/>
      <c r="V97" s="563"/>
      <c r="W97" s="37" t="s">
        <v>70</v>
      </c>
      <c r="X97" s="547">
        <f>IFERROR(SUM(X92:X95),"0")</f>
        <v>0</v>
      </c>
      <c r="Y97" s="547">
        <f>IFERROR(SUM(Y92:Y95),"0")</f>
        <v>0</v>
      </c>
      <c r="Z97" s="37"/>
      <c r="AA97" s="548"/>
      <c r="AB97" s="548"/>
      <c r="AC97" s="548"/>
    </row>
    <row r="98" spans="1:68" ht="16.5" hidden="1" customHeight="1" x14ac:dyDescent="0.25">
      <c r="A98" s="564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hidden="1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hidden="1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2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0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7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76</v>
      </c>
      <c r="Q104" s="562"/>
      <c r="R104" s="562"/>
      <c r="S104" s="562"/>
      <c r="T104" s="562"/>
      <c r="U104" s="562"/>
      <c r="V104" s="563"/>
      <c r="W104" s="37" t="s">
        <v>77</v>
      </c>
      <c r="X104" s="547">
        <f>IFERROR(X100/H100,"0")+IFERROR(X101/H101,"0")+IFERROR(X102/H102,"0")+IFERROR(X103/H103,"0")</f>
        <v>0</v>
      </c>
      <c r="Y104" s="547">
        <f>IFERROR(Y100/H100,"0")+IFERROR(Y101/H101,"0")+IFERROR(Y102/H102,"0")+IFERROR(Y103/H103,"0")</f>
        <v>0</v>
      </c>
      <c r="Z104" s="547">
        <f>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hidden="1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76</v>
      </c>
      <c r="Q105" s="562"/>
      <c r="R105" s="562"/>
      <c r="S105" s="562"/>
      <c r="T105" s="562"/>
      <c r="U105" s="562"/>
      <c r="V105" s="563"/>
      <c r="W105" s="37" t="s">
        <v>70</v>
      </c>
      <c r="X105" s="547">
        <f>IFERROR(SUM(X100:X103),"0")</f>
        <v>0</v>
      </c>
      <c r="Y105" s="547">
        <f>IFERROR(SUM(Y100:Y103),"0")</f>
        <v>0</v>
      </c>
      <c r="Z105" s="37"/>
      <c r="AA105" s="548"/>
      <c r="AB105" s="548"/>
      <c r="AC105" s="548"/>
    </row>
    <row r="106" spans="1:68" ht="14.25" hidden="1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1" t="s">
        <v>76</v>
      </c>
      <c r="Q110" s="562"/>
      <c r="R110" s="562"/>
      <c r="S110" s="562"/>
      <c r="T110" s="562"/>
      <c r="U110" s="562"/>
      <c r="V110" s="563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hidden="1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76</v>
      </c>
      <c r="Q111" s="562"/>
      <c r="R111" s="562"/>
      <c r="S111" s="562"/>
      <c r="T111" s="562"/>
      <c r="U111" s="562"/>
      <c r="V111" s="563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hidden="1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hidden="1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6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0</v>
      </c>
      <c r="Y113" s="54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1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5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1" t="s">
        <v>76</v>
      </c>
      <c r="Q117" s="562"/>
      <c r="R117" s="562"/>
      <c r="S117" s="562"/>
      <c r="T117" s="562"/>
      <c r="U117" s="562"/>
      <c r="V117" s="563"/>
      <c r="W117" s="37" t="s">
        <v>77</v>
      </c>
      <c r="X117" s="547">
        <f>IFERROR(X113/H113,"0")+IFERROR(X114/H114,"0")+IFERROR(X115/H115,"0")+IFERROR(X116/H116,"0")</f>
        <v>0</v>
      </c>
      <c r="Y117" s="547">
        <f>IFERROR(Y113/H113,"0")+IFERROR(Y114/H114,"0")+IFERROR(Y115/H115,"0")+IFERROR(Y116/H116,"0")</f>
        <v>0</v>
      </c>
      <c r="Z117" s="547">
        <f>IFERROR(IF(Z113="",0,Z113),"0")+IFERROR(IF(Z114="",0,Z114),"0")+IFERROR(IF(Z115="",0,Z115),"0")+IFERROR(IF(Z116="",0,Z116),"0")</f>
        <v>0</v>
      </c>
      <c r="AA117" s="548"/>
      <c r="AB117" s="548"/>
      <c r="AC117" s="548"/>
    </row>
    <row r="118" spans="1:68" hidden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76</v>
      </c>
      <c r="Q118" s="562"/>
      <c r="R118" s="562"/>
      <c r="S118" s="562"/>
      <c r="T118" s="562"/>
      <c r="U118" s="562"/>
      <c r="V118" s="563"/>
      <c r="W118" s="37" t="s">
        <v>70</v>
      </c>
      <c r="X118" s="547">
        <f>IFERROR(SUM(X113:X116),"0")</f>
        <v>0</v>
      </c>
      <c r="Y118" s="547">
        <f>IFERROR(SUM(Y113:Y116),"0")</f>
        <v>0</v>
      </c>
      <c r="Z118" s="37"/>
      <c r="AA118" s="548"/>
      <c r="AB118" s="548"/>
      <c r="AC118" s="548"/>
    </row>
    <row r="119" spans="1:68" ht="14.25" hidden="1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1" t="s">
        <v>76</v>
      </c>
      <c r="Q121" s="562"/>
      <c r="R121" s="562"/>
      <c r="S121" s="562"/>
      <c r="T121" s="562"/>
      <c r="U121" s="562"/>
      <c r="V121" s="563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hidden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76</v>
      </c>
      <c r="Q122" s="562"/>
      <c r="R122" s="562"/>
      <c r="S122" s="562"/>
      <c r="T122" s="562"/>
      <c r="U122" s="562"/>
      <c r="V122" s="563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hidden="1" customHeight="1" x14ac:dyDescent="0.25">
      <c r="A123" s="564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hidden="1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hidden="1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1" t="s">
        <v>76</v>
      </c>
      <c r="Q127" s="562"/>
      <c r="R127" s="562"/>
      <c r="S127" s="562"/>
      <c r="T127" s="562"/>
      <c r="U127" s="562"/>
      <c r="V127" s="563"/>
      <c r="W127" s="37" t="s">
        <v>77</v>
      </c>
      <c r="X127" s="547">
        <f>IFERROR(X125/H125,"0")+IFERROR(X126/H126,"0")</f>
        <v>0</v>
      </c>
      <c r="Y127" s="547">
        <f>IFERROR(Y125/H125,"0")+IFERROR(Y126/H126,"0")</f>
        <v>0</v>
      </c>
      <c r="Z127" s="547">
        <f>IFERROR(IF(Z125="",0,Z125),"0")+IFERROR(IF(Z126="",0,Z126),"0")</f>
        <v>0</v>
      </c>
      <c r="AA127" s="548"/>
      <c r="AB127" s="548"/>
      <c r="AC127" s="548"/>
    </row>
    <row r="128" spans="1:68" hidden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76</v>
      </c>
      <c r="Q128" s="562"/>
      <c r="R128" s="562"/>
      <c r="S128" s="562"/>
      <c r="T128" s="562"/>
      <c r="U128" s="562"/>
      <c r="V128" s="563"/>
      <c r="W128" s="37" t="s">
        <v>70</v>
      </c>
      <c r="X128" s="547">
        <f>IFERROR(SUM(X125:X126),"0")</f>
        <v>0</v>
      </c>
      <c r="Y128" s="547">
        <f>IFERROR(SUM(Y125:Y126),"0")</f>
        <v>0</v>
      </c>
      <c r="Z128" s="37"/>
      <c r="AA128" s="548"/>
      <c r="AB128" s="548"/>
      <c r="AC128" s="548"/>
    </row>
    <row r="129" spans="1:68" ht="14.25" hidden="1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hidden="1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4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1" t="s">
        <v>76</v>
      </c>
      <c r="Q132" s="562"/>
      <c r="R132" s="562"/>
      <c r="S132" s="562"/>
      <c r="T132" s="562"/>
      <c r="U132" s="562"/>
      <c r="V132" s="563"/>
      <c r="W132" s="37" t="s">
        <v>77</v>
      </c>
      <c r="X132" s="547">
        <f>IFERROR(X130/H130,"0")+IFERROR(X131/H131,"0")</f>
        <v>0</v>
      </c>
      <c r="Y132" s="547">
        <f>IFERROR(Y130/H130,"0")+IFERROR(Y131/H131,"0")</f>
        <v>0</v>
      </c>
      <c r="Z132" s="547">
        <f>IFERROR(IF(Z130="",0,Z130),"0")+IFERROR(IF(Z131="",0,Z131),"0")</f>
        <v>0</v>
      </c>
      <c r="AA132" s="548"/>
      <c r="AB132" s="548"/>
      <c r="AC132" s="548"/>
    </row>
    <row r="133" spans="1:68" hidden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76</v>
      </c>
      <c r="Q133" s="562"/>
      <c r="R133" s="562"/>
      <c r="S133" s="562"/>
      <c r="T133" s="562"/>
      <c r="U133" s="562"/>
      <c r="V133" s="563"/>
      <c r="W133" s="37" t="s">
        <v>70</v>
      </c>
      <c r="X133" s="547">
        <f>IFERROR(SUM(X130:X131),"0")</f>
        <v>0</v>
      </c>
      <c r="Y133" s="547">
        <f>IFERROR(SUM(Y130:Y131),"0")</f>
        <v>0</v>
      </c>
      <c r="Z133" s="37"/>
      <c r="AA133" s="548"/>
      <c r="AB133" s="548"/>
      <c r="AC133" s="548"/>
    </row>
    <row r="134" spans="1:68" ht="14.25" hidden="1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1" t="s">
        <v>76</v>
      </c>
      <c r="Q137" s="562"/>
      <c r="R137" s="562"/>
      <c r="S137" s="562"/>
      <c r="T137" s="562"/>
      <c r="U137" s="562"/>
      <c r="V137" s="563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hidden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76</v>
      </c>
      <c r="Q138" s="562"/>
      <c r="R138" s="562"/>
      <c r="S138" s="562"/>
      <c r="T138" s="562"/>
      <c r="U138" s="562"/>
      <c r="V138" s="563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hidden="1" customHeight="1" x14ac:dyDescent="0.25">
      <c r="A139" s="564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hidden="1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1" t="s">
        <v>76</v>
      </c>
      <c r="Q143" s="562"/>
      <c r="R143" s="562"/>
      <c r="S143" s="562"/>
      <c r="T143" s="562"/>
      <c r="U143" s="562"/>
      <c r="V143" s="563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hidden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76</v>
      </c>
      <c r="Q144" s="562"/>
      <c r="R144" s="562"/>
      <c r="S144" s="562"/>
      <c r="T144" s="562"/>
      <c r="U144" s="562"/>
      <c r="V144" s="563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hidden="1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1" t="s">
        <v>76</v>
      </c>
      <c r="Q149" s="562"/>
      <c r="R149" s="562"/>
      <c r="S149" s="562"/>
      <c r="T149" s="562"/>
      <c r="U149" s="562"/>
      <c r="V149" s="563"/>
      <c r="W149" s="37" t="s">
        <v>77</v>
      </c>
      <c r="X149" s="547">
        <f>IFERROR(X146/H146,"0")+IFERROR(X147/H147,"0")+IFERROR(X148/H148,"0")</f>
        <v>0</v>
      </c>
      <c r="Y149" s="547">
        <f>IFERROR(Y146/H146,"0")+IFERROR(Y147/H147,"0")+IFERROR(Y148/H148,"0")</f>
        <v>0</v>
      </c>
      <c r="Z149" s="547">
        <f>IFERROR(IF(Z146="",0,Z146),"0")+IFERROR(IF(Z147="",0,Z147),"0")+IFERROR(IF(Z148="",0,Z148),"0")</f>
        <v>0</v>
      </c>
      <c r="AA149" s="548"/>
      <c r="AB149" s="548"/>
      <c r="AC149" s="548"/>
    </row>
    <row r="150" spans="1:68" hidden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1" t="s">
        <v>76</v>
      </c>
      <c r="Q150" s="562"/>
      <c r="R150" s="562"/>
      <c r="S150" s="562"/>
      <c r="T150" s="562"/>
      <c r="U150" s="562"/>
      <c r="V150" s="563"/>
      <c r="W150" s="37" t="s">
        <v>70</v>
      </c>
      <c r="X150" s="547">
        <f>IFERROR(SUM(X146:X148),"0")</f>
        <v>0</v>
      </c>
      <c r="Y150" s="547">
        <f>IFERROR(SUM(Y146:Y148),"0")</f>
        <v>0</v>
      </c>
      <c r="Z150" s="37"/>
      <c r="AA150" s="548"/>
      <c r="AB150" s="548"/>
      <c r="AC150" s="548"/>
    </row>
    <row r="151" spans="1:68" ht="14.25" hidden="1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76</v>
      </c>
      <c r="Q153" s="562"/>
      <c r="R153" s="562"/>
      <c r="S153" s="562"/>
      <c r="T153" s="562"/>
      <c r="U153" s="562"/>
      <c r="V153" s="563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hidden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1" t="s">
        <v>76</v>
      </c>
      <c r="Q154" s="562"/>
      <c r="R154" s="562"/>
      <c r="S154" s="562"/>
      <c r="T154" s="562"/>
      <c r="U154" s="562"/>
      <c r="V154" s="563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hidden="1" customHeight="1" x14ac:dyDescent="0.2">
      <c r="A155" s="568" t="s">
        <v>254</v>
      </c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69"/>
      <c r="P155" s="569"/>
      <c r="Q155" s="569"/>
      <c r="R155" s="569"/>
      <c r="S155" s="569"/>
      <c r="T155" s="569"/>
      <c r="U155" s="569"/>
      <c r="V155" s="569"/>
      <c r="W155" s="569"/>
      <c r="X155" s="569"/>
      <c r="Y155" s="569"/>
      <c r="Z155" s="569"/>
      <c r="AA155" s="48"/>
      <c r="AB155" s="48"/>
      <c r="AC155" s="48"/>
    </row>
    <row r="156" spans="1:68" ht="16.5" hidden="1" customHeight="1" x14ac:dyDescent="0.25">
      <c r="A156" s="564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hidden="1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1" t="s">
        <v>76</v>
      </c>
      <c r="Q159" s="562"/>
      <c r="R159" s="562"/>
      <c r="S159" s="562"/>
      <c r="T159" s="562"/>
      <c r="U159" s="562"/>
      <c r="V159" s="563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hidden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1" t="s">
        <v>76</v>
      </c>
      <c r="Q160" s="562"/>
      <c r="R160" s="562"/>
      <c r="S160" s="562"/>
      <c r="T160" s="562"/>
      <c r="U160" s="562"/>
      <c r="V160" s="563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hidden="1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hidden="1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8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6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1" t="s">
        <v>76</v>
      </c>
      <c r="Q172" s="562"/>
      <c r="R172" s="562"/>
      <c r="S172" s="562"/>
      <c r="T172" s="562"/>
      <c r="U172" s="562"/>
      <c r="V172" s="563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8"/>
      <c r="AB172" s="548"/>
      <c r="AC172" s="548"/>
    </row>
    <row r="173" spans="1:68" hidden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1" t="s">
        <v>76</v>
      </c>
      <c r="Q173" s="562"/>
      <c r="R173" s="562"/>
      <c r="S173" s="562"/>
      <c r="T173" s="562"/>
      <c r="U173" s="562"/>
      <c r="V173" s="563"/>
      <c r="W173" s="37" t="s">
        <v>70</v>
      </c>
      <c r="X173" s="547">
        <f>IFERROR(SUM(X162:X171),"0")</f>
        <v>0</v>
      </c>
      <c r="Y173" s="547">
        <f>IFERROR(SUM(Y162:Y171),"0")</f>
        <v>0</v>
      </c>
      <c r="Z173" s="37"/>
      <c r="AA173" s="548"/>
      <c r="AB173" s="548"/>
      <c r="AC173" s="548"/>
    </row>
    <row r="174" spans="1:68" ht="14.25" hidden="1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9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1" t="s">
        <v>76</v>
      </c>
      <c r="Q178" s="562"/>
      <c r="R178" s="562"/>
      <c r="S178" s="562"/>
      <c r="T178" s="562"/>
      <c r="U178" s="562"/>
      <c r="V178" s="563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hidden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76</v>
      </c>
      <c r="Q179" s="562"/>
      <c r="R179" s="562"/>
      <c r="S179" s="562"/>
      <c r="T179" s="562"/>
      <c r="U179" s="562"/>
      <c r="V179" s="563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hidden="1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1" t="s">
        <v>76</v>
      </c>
      <c r="Q182" s="562"/>
      <c r="R182" s="562"/>
      <c r="S182" s="562"/>
      <c r="T182" s="562"/>
      <c r="U182" s="562"/>
      <c r="V182" s="563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hidden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1" t="s">
        <v>76</v>
      </c>
      <c r="Q183" s="562"/>
      <c r="R183" s="562"/>
      <c r="S183" s="562"/>
      <c r="T183" s="562"/>
      <c r="U183" s="562"/>
      <c r="V183" s="563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hidden="1" customHeight="1" x14ac:dyDescent="0.25">
      <c r="A184" s="564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hidden="1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1" t="s">
        <v>76</v>
      </c>
      <c r="Q188" s="562"/>
      <c r="R188" s="562"/>
      <c r="S188" s="562"/>
      <c r="T188" s="562"/>
      <c r="U188" s="562"/>
      <c r="V188" s="563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hidden="1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76</v>
      </c>
      <c r="Q189" s="562"/>
      <c r="R189" s="562"/>
      <c r="S189" s="562"/>
      <c r="T189" s="562"/>
      <c r="U189" s="562"/>
      <c r="V189" s="563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hidden="1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1" t="s">
        <v>76</v>
      </c>
      <c r="Q193" s="562"/>
      <c r="R193" s="562"/>
      <c r="S193" s="562"/>
      <c r="T193" s="562"/>
      <c r="U193" s="562"/>
      <c r="V193" s="563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1" t="s">
        <v>76</v>
      </c>
      <c r="Q194" s="562"/>
      <c r="R194" s="562"/>
      <c r="S194" s="562"/>
      <c r="T194" s="562"/>
      <c r="U194" s="562"/>
      <c r="V194" s="563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hidden="1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7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0</v>
      </c>
      <c r="Y196" s="546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7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0</v>
      </c>
      <c r="Y197" s="546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0</v>
      </c>
      <c r="Y198" s="546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1" t="s">
        <v>76</v>
      </c>
      <c r="Q204" s="562"/>
      <c r="R204" s="562"/>
      <c r="S204" s="562"/>
      <c r="T204" s="562"/>
      <c r="U204" s="562"/>
      <c r="V204" s="563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0</v>
      </c>
      <c r="Y204" s="547">
        <f>IFERROR(Y196/H196,"0")+IFERROR(Y197/H197,"0")+IFERROR(Y198/H198,"0")+IFERROR(Y199/H199,"0")+IFERROR(Y200/H200,"0")+IFERROR(Y201/H201,"0")+IFERROR(Y202/H202,"0")+IFERROR(Y203/H203,"0")</f>
        <v>0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8"/>
      <c r="AB204" s="548"/>
      <c r="AC204" s="548"/>
    </row>
    <row r="205" spans="1:68" hidden="1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1" t="s">
        <v>76</v>
      </c>
      <c r="Q205" s="562"/>
      <c r="R205" s="562"/>
      <c r="S205" s="562"/>
      <c r="T205" s="562"/>
      <c r="U205" s="562"/>
      <c r="V205" s="563"/>
      <c r="W205" s="37" t="s">
        <v>70</v>
      </c>
      <c r="X205" s="547">
        <f>IFERROR(SUM(X196:X203),"0")</f>
        <v>0</v>
      </c>
      <c r="Y205" s="547">
        <f>IFERROR(SUM(Y196:Y203),"0")</f>
        <v>0</v>
      </c>
      <c r="Z205" s="37"/>
      <c r="AA205" s="548"/>
      <c r="AB205" s="548"/>
      <c r="AC205" s="548"/>
    </row>
    <row r="206" spans="1:68" ht="14.25" hidden="1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5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6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0</v>
      </c>
      <c r="Y212" s="546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0</v>
      </c>
      <c r="Y213" s="546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0</v>
      </c>
      <c r="Y215" s="546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1" t="s">
        <v>76</v>
      </c>
      <c r="Q216" s="562"/>
      <c r="R216" s="562"/>
      <c r="S216" s="562"/>
      <c r="T216" s="562"/>
      <c r="U216" s="562"/>
      <c r="V216" s="563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0</v>
      </c>
      <c r="Y216" s="547">
        <f>IFERROR(Y207/H207,"0")+IFERROR(Y208/H208,"0")+IFERROR(Y209/H209,"0")+IFERROR(Y210/H210,"0")+IFERROR(Y211/H211,"0")+IFERROR(Y212/H212,"0")+IFERROR(Y213/H213,"0")+IFERROR(Y214/H214,"0")+IFERROR(Y215/H215,"0")</f>
        <v>0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8"/>
      <c r="AB216" s="548"/>
      <c r="AC216" s="548"/>
    </row>
    <row r="217" spans="1:68" hidden="1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1" t="s">
        <v>76</v>
      </c>
      <c r="Q217" s="562"/>
      <c r="R217" s="562"/>
      <c r="S217" s="562"/>
      <c r="T217" s="562"/>
      <c r="U217" s="562"/>
      <c r="V217" s="563"/>
      <c r="W217" s="37" t="s">
        <v>70</v>
      </c>
      <c r="X217" s="547">
        <f>IFERROR(SUM(X207:X215),"0")</f>
        <v>0</v>
      </c>
      <c r="Y217" s="547">
        <f>IFERROR(SUM(Y207:Y215),"0")</f>
        <v>0</v>
      </c>
      <c r="Z217" s="37"/>
      <c r="AA217" s="548"/>
      <c r="AB217" s="548"/>
      <c r="AC217" s="548"/>
    </row>
    <row r="218" spans="1:68" ht="14.25" hidden="1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hidden="1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1" t="s">
        <v>76</v>
      </c>
      <c r="Q221" s="562"/>
      <c r="R221" s="562"/>
      <c r="S221" s="562"/>
      <c r="T221" s="562"/>
      <c r="U221" s="562"/>
      <c r="V221" s="563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hidden="1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1" t="s">
        <v>76</v>
      </c>
      <c r="Q222" s="562"/>
      <c r="R222" s="562"/>
      <c r="S222" s="562"/>
      <c r="T222" s="562"/>
      <c r="U222" s="562"/>
      <c r="V222" s="563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hidden="1" customHeight="1" x14ac:dyDescent="0.25">
      <c r="A223" s="564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hidden="1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7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1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1" t="s">
        <v>76</v>
      </c>
      <c r="Q235" s="562"/>
      <c r="R235" s="562"/>
      <c r="S235" s="562"/>
      <c r="T235" s="562"/>
      <c r="U235" s="562"/>
      <c r="V235" s="563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hidden="1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1" t="s">
        <v>76</v>
      </c>
      <c r="Q236" s="562"/>
      <c r="R236" s="562"/>
      <c r="S236" s="562"/>
      <c r="T236" s="562"/>
      <c r="U236" s="562"/>
      <c r="V236" s="563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hidden="1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1" t="s">
        <v>76</v>
      </c>
      <c r="Q239" s="562"/>
      <c r="R239" s="562"/>
      <c r="S239" s="562"/>
      <c r="T239" s="562"/>
      <c r="U239" s="562"/>
      <c r="V239" s="563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hidden="1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1" t="s">
        <v>76</v>
      </c>
      <c r="Q240" s="562"/>
      <c r="R240" s="562"/>
      <c r="S240" s="562"/>
      <c r="T240" s="562"/>
      <c r="U240" s="562"/>
      <c r="V240" s="563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hidden="1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1" t="s">
        <v>76</v>
      </c>
      <c r="Q243" s="562"/>
      <c r="R243" s="562"/>
      <c r="S243" s="562"/>
      <c r="T243" s="562"/>
      <c r="U243" s="562"/>
      <c r="V243" s="563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1" t="s">
        <v>76</v>
      </c>
      <c r="Q244" s="562"/>
      <c r="R244" s="562"/>
      <c r="S244" s="562"/>
      <c r="T244" s="562"/>
      <c r="U244" s="562"/>
      <c r="V244" s="563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1" t="s">
        <v>76</v>
      </c>
      <c r="Q251" s="562"/>
      <c r="R251" s="562"/>
      <c r="S251" s="562"/>
      <c r="T251" s="562"/>
      <c r="U251" s="562"/>
      <c r="V251" s="563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hidden="1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1" t="s">
        <v>76</v>
      </c>
      <c r="Q252" s="562"/>
      <c r="R252" s="562"/>
      <c r="S252" s="562"/>
      <c r="T252" s="562"/>
      <c r="U252" s="562"/>
      <c r="V252" s="563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hidden="1" customHeight="1" x14ac:dyDescent="0.25">
      <c r="A253" s="564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hidden="1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hidden="1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0</v>
      </c>
      <c r="Y257" s="546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4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1" t="s">
        <v>76</v>
      </c>
      <c r="Q260" s="562"/>
      <c r="R260" s="562"/>
      <c r="S260" s="562"/>
      <c r="T260" s="562"/>
      <c r="U260" s="562"/>
      <c r="V260" s="563"/>
      <c r="W260" s="37" t="s">
        <v>77</v>
      </c>
      <c r="X260" s="547">
        <f>IFERROR(X255/H255,"0")+IFERROR(X256/H256,"0")+IFERROR(X257/H257,"0")+IFERROR(X258/H258,"0")+IFERROR(X259/H259,"0")</f>
        <v>0</v>
      </c>
      <c r="Y260" s="547">
        <f>IFERROR(Y255/H255,"0")+IFERROR(Y256/H256,"0")+IFERROR(Y257/H257,"0")+IFERROR(Y258/H258,"0")+IFERROR(Y259/H259,"0")</f>
        <v>0</v>
      </c>
      <c r="Z260" s="547">
        <f>IFERROR(IF(Z255="",0,Z255),"0")+IFERROR(IF(Z256="",0,Z256),"0")+IFERROR(IF(Z257="",0,Z257),"0")+IFERROR(IF(Z258="",0,Z258),"0")+IFERROR(IF(Z259="",0,Z259),"0")</f>
        <v>0</v>
      </c>
      <c r="AA260" s="548"/>
      <c r="AB260" s="548"/>
      <c r="AC260" s="548"/>
    </row>
    <row r="261" spans="1:68" hidden="1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1" t="s">
        <v>76</v>
      </c>
      <c r="Q261" s="562"/>
      <c r="R261" s="562"/>
      <c r="S261" s="562"/>
      <c r="T261" s="562"/>
      <c r="U261" s="562"/>
      <c r="V261" s="563"/>
      <c r="W261" s="37" t="s">
        <v>70</v>
      </c>
      <c r="X261" s="547">
        <f>IFERROR(SUM(X255:X259),"0")</f>
        <v>0</v>
      </c>
      <c r="Y261" s="547">
        <f>IFERROR(SUM(Y255:Y259),"0")</f>
        <v>0</v>
      </c>
      <c r="Z261" s="37"/>
      <c r="AA261" s="548"/>
      <c r="AB261" s="548"/>
      <c r="AC261" s="548"/>
    </row>
    <row r="262" spans="1:68" ht="16.5" hidden="1" customHeight="1" x14ac:dyDescent="0.25">
      <c r="A262" s="564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hidden="1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7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2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1" t="s">
        <v>76</v>
      </c>
      <c r="Q268" s="562"/>
      <c r="R268" s="562"/>
      <c r="S268" s="562"/>
      <c r="T268" s="562"/>
      <c r="U268" s="562"/>
      <c r="V268" s="563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hidden="1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1" t="s">
        <v>76</v>
      </c>
      <c r="Q269" s="562"/>
      <c r="R269" s="562"/>
      <c r="S269" s="562"/>
      <c r="T269" s="562"/>
      <c r="U269" s="562"/>
      <c r="V269" s="563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hidden="1" customHeight="1" x14ac:dyDescent="0.25">
      <c r="A270" s="564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hidden="1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6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76</v>
      </c>
      <c r="Q275" s="562"/>
      <c r="R275" s="562"/>
      <c r="S275" s="562"/>
      <c r="T275" s="562"/>
      <c r="U275" s="562"/>
      <c r="V275" s="563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hidden="1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1" t="s">
        <v>76</v>
      </c>
      <c r="Q276" s="562"/>
      <c r="R276" s="562"/>
      <c r="S276" s="562"/>
      <c r="T276" s="562"/>
      <c r="U276" s="562"/>
      <c r="V276" s="563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hidden="1" customHeight="1" x14ac:dyDescent="0.25">
      <c r="A277" s="564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hidden="1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76</v>
      </c>
      <c r="Q281" s="562"/>
      <c r="R281" s="562"/>
      <c r="S281" s="562"/>
      <c r="T281" s="562"/>
      <c r="U281" s="562"/>
      <c r="V281" s="563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76</v>
      </c>
      <c r="Q282" s="562"/>
      <c r="R282" s="562"/>
      <c r="S282" s="562"/>
      <c r="T282" s="562"/>
      <c r="U282" s="562"/>
      <c r="V282" s="563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hidden="1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1" t="s">
        <v>76</v>
      </c>
      <c r="Q286" s="562"/>
      <c r="R286" s="562"/>
      <c r="S286" s="562"/>
      <c r="T286" s="562"/>
      <c r="U286" s="562"/>
      <c r="V286" s="563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hidden="1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76</v>
      </c>
      <c r="Q287" s="562"/>
      <c r="R287" s="562"/>
      <c r="S287" s="562"/>
      <c r="T287" s="562"/>
      <c r="U287" s="562"/>
      <c r="V287" s="563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hidden="1" customHeight="1" x14ac:dyDescent="0.25">
      <c r="A288" s="564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hidden="1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hidden="1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0</v>
      </c>
      <c r="Y291" s="546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hidden="1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0</v>
      </c>
      <c r="Y292" s="546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0</v>
      </c>
      <c r="Y293" s="546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hidden="1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0</v>
      </c>
      <c r="Y295" s="546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idden="1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1" t="s">
        <v>76</v>
      </c>
      <c r="Q296" s="562"/>
      <c r="R296" s="562"/>
      <c r="S296" s="562"/>
      <c r="T296" s="562"/>
      <c r="U296" s="562"/>
      <c r="V296" s="563"/>
      <c r="W296" s="37" t="s">
        <v>77</v>
      </c>
      <c r="X296" s="547">
        <f>IFERROR(X290/H290,"0")+IFERROR(X291/H291,"0")+IFERROR(X292/H292,"0")+IFERROR(X293/H293,"0")+IFERROR(X294/H294,"0")+IFERROR(X295/H295,"0")</f>
        <v>0</v>
      </c>
      <c r="Y296" s="547">
        <f>IFERROR(Y290/H290,"0")+IFERROR(Y291/H291,"0")+IFERROR(Y292/H292,"0")+IFERROR(Y293/H293,"0")+IFERROR(Y294/H294,"0")+IFERROR(Y295/H295,"0")</f>
        <v>0</v>
      </c>
      <c r="Z296" s="547">
        <f>IFERROR(IF(Z290="",0,Z290),"0")+IFERROR(IF(Z291="",0,Z291),"0")+IFERROR(IF(Z292="",0,Z292),"0")+IFERROR(IF(Z293="",0,Z293),"0")+IFERROR(IF(Z294="",0,Z294),"0")+IFERROR(IF(Z295="",0,Z295),"0")</f>
        <v>0</v>
      </c>
      <c r="AA296" s="548"/>
      <c r="AB296" s="548"/>
      <c r="AC296" s="548"/>
    </row>
    <row r="297" spans="1:68" hidden="1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1" t="s">
        <v>76</v>
      </c>
      <c r="Q297" s="562"/>
      <c r="R297" s="562"/>
      <c r="S297" s="562"/>
      <c r="T297" s="562"/>
      <c r="U297" s="562"/>
      <c r="V297" s="563"/>
      <c r="W297" s="37" t="s">
        <v>70</v>
      </c>
      <c r="X297" s="547">
        <f>IFERROR(SUM(X290:X295),"0")</f>
        <v>0</v>
      </c>
      <c r="Y297" s="547">
        <f>IFERROR(SUM(Y290:Y295),"0")</f>
        <v>0</v>
      </c>
      <c r="Z297" s="37"/>
      <c r="AA297" s="548"/>
      <c r="AB297" s="548"/>
      <c r="AC297" s="548"/>
    </row>
    <row r="298" spans="1:68" ht="14.25" hidden="1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hidden="1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0</v>
      </c>
      <c r="Y299" s="546">
        <f t="shared" ref="Y299:Y304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0</v>
      </c>
      <c r="BN299" s="64">
        <f t="shared" ref="BN299:BN304" si="33">IFERROR(Y299*I299/H299,"0")</f>
        <v>0</v>
      </c>
      <c r="BO299" s="64">
        <f t="shared" ref="BO299:BO304" si="34">IFERROR(1/J299*(X299/H299),"0")</f>
        <v>0</v>
      </c>
      <c r="BP299" s="64">
        <f t="shared" ref="BP299:BP304" si="35">IFERROR(1/J299*(Y299/H299),"0")</f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9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0</v>
      </c>
      <c r="Y300" s="546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0</v>
      </c>
      <c r="Y302" s="546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7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idden="1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1" t="s">
        <v>76</v>
      </c>
      <c r="Q305" s="562"/>
      <c r="R305" s="562"/>
      <c r="S305" s="562"/>
      <c r="T305" s="562"/>
      <c r="U305" s="562"/>
      <c r="V305" s="563"/>
      <c r="W305" s="37" t="s">
        <v>77</v>
      </c>
      <c r="X305" s="547">
        <f>IFERROR(X299/H299,"0")+IFERROR(X300/H300,"0")+IFERROR(X301/H301,"0")+IFERROR(X302/H302,"0")+IFERROR(X303/H303,"0")+IFERROR(X304/H304,"0")</f>
        <v>0</v>
      </c>
      <c r="Y305" s="547">
        <f>IFERROR(Y299/H299,"0")+IFERROR(Y300/H300,"0")+IFERROR(Y301/H301,"0")+IFERROR(Y302/H302,"0")+IFERROR(Y303/H303,"0")+IFERROR(Y304/H304,"0")</f>
        <v>0</v>
      </c>
      <c r="Z305" s="547">
        <f>IFERROR(IF(Z299="",0,Z299),"0")+IFERROR(IF(Z300="",0,Z300),"0")+IFERROR(IF(Z301="",0,Z301),"0")+IFERROR(IF(Z302="",0,Z302),"0")+IFERROR(IF(Z303="",0,Z303),"0")+IFERROR(IF(Z304="",0,Z304),"0")</f>
        <v>0</v>
      </c>
      <c r="AA305" s="548"/>
      <c r="AB305" s="548"/>
      <c r="AC305" s="548"/>
    </row>
    <row r="306" spans="1:68" hidden="1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1" t="s">
        <v>76</v>
      </c>
      <c r="Q306" s="562"/>
      <c r="R306" s="562"/>
      <c r="S306" s="562"/>
      <c r="T306" s="562"/>
      <c r="U306" s="562"/>
      <c r="V306" s="563"/>
      <c r="W306" s="37" t="s">
        <v>70</v>
      </c>
      <c r="X306" s="547">
        <f>IFERROR(SUM(X299:X304),"0")</f>
        <v>0</v>
      </c>
      <c r="Y306" s="547">
        <f>IFERROR(SUM(Y299:Y304),"0")</f>
        <v>0</v>
      </c>
      <c r="Z306" s="37"/>
      <c r="AA306" s="548"/>
      <c r="AB306" s="548"/>
      <c r="AC306" s="548"/>
    </row>
    <row r="307" spans="1:68" ht="14.25" hidden="1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6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3000</v>
      </c>
      <c r="Y308" s="546">
        <f>IFERROR(IF(X308="",0,CEILING((X308/$H308),1)*$H308),"")</f>
        <v>3003</v>
      </c>
      <c r="Z308" s="36">
        <f>IFERROR(IF(Y308=0,"",ROUNDUP(Y308/H308,0)*0.01898),"")</f>
        <v>7.3073000000000006</v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3187.6923076923076</v>
      </c>
      <c r="BN308" s="64">
        <f>IFERROR(Y308*I308/H308,"0")</f>
        <v>3190.88</v>
      </c>
      <c r="BO308" s="64">
        <f>IFERROR(1/J308*(X308/H308),"0")</f>
        <v>6.009615384615385</v>
      </c>
      <c r="BP308" s="64">
        <f>IFERROR(1/J308*(Y308/H308),"0")</f>
        <v>6.015625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1" t="s">
        <v>76</v>
      </c>
      <c r="Q312" s="562"/>
      <c r="R312" s="562"/>
      <c r="S312" s="562"/>
      <c r="T312" s="562"/>
      <c r="U312" s="562"/>
      <c r="V312" s="563"/>
      <c r="W312" s="37" t="s">
        <v>77</v>
      </c>
      <c r="X312" s="547">
        <f>IFERROR(X308/H308,"0")+IFERROR(X309/H309,"0")+IFERROR(X310/H310,"0")+IFERROR(X311/H311,"0")</f>
        <v>384.61538461538464</v>
      </c>
      <c r="Y312" s="547">
        <f>IFERROR(Y308/H308,"0")+IFERROR(Y309/H309,"0")+IFERROR(Y310/H310,"0")+IFERROR(Y311/H311,"0")</f>
        <v>385</v>
      </c>
      <c r="Z312" s="547">
        <f>IFERROR(IF(Z308="",0,Z308),"0")+IFERROR(IF(Z309="",0,Z309),"0")+IFERROR(IF(Z310="",0,Z310),"0")+IFERROR(IF(Z311="",0,Z311),"0")</f>
        <v>7.3073000000000006</v>
      </c>
      <c r="AA312" s="548"/>
      <c r="AB312" s="548"/>
      <c r="AC312" s="548"/>
    </row>
    <row r="313" spans="1:68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1" t="s">
        <v>76</v>
      </c>
      <c r="Q313" s="562"/>
      <c r="R313" s="562"/>
      <c r="S313" s="562"/>
      <c r="T313" s="562"/>
      <c r="U313" s="562"/>
      <c r="V313" s="563"/>
      <c r="W313" s="37" t="s">
        <v>70</v>
      </c>
      <c r="X313" s="547">
        <f>IFERROR(SUM(X308:X311),"0")</f>
        <v>3000</v>
      </c>
      <c r="Y313" s="547">
        <f>IFERROR(SUM(Y308:Y311),"0")</f>
        <v>3003</v>
      </c>
      <c r="Z313" s="37"/>
      <c r="AA313" s="548"/>
      <c r="AB313" s="548"/>
      <c r="AC313" s="548"/>
    </row>
    <row r="314" spans="1:68" ht="14.25" hidden="1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hidden="1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0</v>
      </c>
      <c r="Y317" s="54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76</v>
      </c>
      <c r="Q318" s="562"/>
      <c r="R318" s="562"/>
      <c r="S318" s="562"/>
      <c r="T318" s="562"/>
      <c r="U318" s="562"/>
      <c r="V318" s="563"/>
      <c r="W318" s="37" t="s">
        <v>77</v>
      </c>
      <c r="X318" s="547">
        <f>IFERROR(X315/H315,"0")+IFERROR(X316/H316,"0")+IFERROR(X317/H317,"0")</f>
        <v>0</v>
      </c>
      <c r="Y318" s="547">
        <f>IFERROR(Y315/H315,"0")+IFERROR(Y316/H316,"0")+IFERROR(Y317/H317,"0")</f>
        <v>0</v>
      </c>
      <c r="Z318" s="547">
        <f>IFERROR(IF(Z315="",0,Z315),"0")+IFERROR(IF(Z316="",0,Z316),"0")+IFERROR(IF(Z317="",0,Z317),"0")</f>
        <v>0</v>
      </c>
      <c r="AA318" s="548"/>
      <c r="AB318" s="548"/>
      <c r="AC318" s="548"/>
    </row>
    <row r="319" spans="1:68" hidden="1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1" t="s">
        <v>76</v>
      </c>
      <c r="Q319" s="562"/>
      <c r="R319" s="562"/>
      <c r="S319" s="562"/>
      <c r="T319" s="562"/>
      <c r="U319" s="562"/>
      <c r="V319" s="563"/>
      <c r="W319" s="37" t="s">
        <v>70</v>
      </c>
      <c r="X319" s="547">
        <f>IFERROR(SUM(X315:X317),"0")</f>
        <v>0</v>
      </c>
      <c r="Y319" s="547">
        <f>IFERROR(SUM(Y315:Y317),"0")</f>
        <v>0</v>
      </c>
      <c r="Z319" s="37"/>
      <c r="AA319" s="548"/>
      <c r="AB319" s="548"/>
      <c r="AC319" s="548"/>
    </row>
    <row r="320" spans="1:68" ht="14.25" hidden="1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hidden="1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1" t="s">
        <v>76</v>
      </c>
      <c r="Q325" s="562"/>
      <c r="R325" s="562"/>
      <c r="S325" s="562"/>
      <c r="T325" s="562"/>
      <c r="U325" s="562"/>
      <c r="V325" s="563"/>
      <c r="W325" s="37" t="s">
        <v>77</v>
      </c>
      <c r="X325" s="547">
        <f>IFERROR(X321/H321,"0")+IFERROR(X322/H322,"0")+IFERROR(X323/H323,"0")+IFERROR(X324/H324,"0")</f>
        <v>0</v>
      </c>
      <c r="Y325" s="547">
        <f>IFERROR(Y321/H321,"0")+IFERROR(Y322/H322,"0")+IFERROR(Y323/H323,"0")+IFERROR(Y324/H324,"0")</f>
        <v>0</v>
      </c>
      <c r="Z325" s="547">
        <f>IFERROR(IF(Z321="",0,Z321),"0")+IFERROR(IF(Z322="",0,Z322),"0")+IFERROR(IF(Z323="",0,Z323),"0")+IFERROR(IF(Z324="",0,Z324),"0")</f>
        <v>0</v>
      </c>
      <c r="AA325" s="548"/>
      <c r="AB325" s="548"/>
      <c r="AC325" s="548"/>
    </row>
    <row r="326" spans="1:68" hidden="1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1" t="s">
        <v>76</v>
      </c>
      <c r="Q326" s="562"/>
      <c r="R326" s="562"/>
      <c r="S326" s="562"/>
      <c r="T326" s="562"/>
      <c r="U326" s="562"/>
      <c r="V326" s="563"/>
      <c r="W326" s="37" t="s">
        <v>70</v>
      </c>
      <c r="X326" s="547">
        <f>IFERROR(SUM(X321:X324),"0")</f>
        <v>0</v>
      </c>
      <c r="Y326" s="547">
        <f>IFERROR(SUM(Y321:Y324),"0")</f>
        <v>0</v>
      </c>
      <c r="Z326" s="37"/>
      <c r="AA326" s="548"/>
      <c r="AB326" s="548"/>
      <c r="AC326" s="548"/>
    </row>
    <row r="327" spans="1:68" ht="14.25" hidden="1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hidden="1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76</v>
      </c>
      <c r="Q331" s="562"/>
      <c r="R331" s="562"/>
      <c r="S331" s="562"/>
      <c r="T331" s="562"/>
      <c r="U331" s="562"/>
      <c r="V331" s="563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hidden="1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1" t="s">
        <v>76</v>
      </c>
      <c r="Q332" s="562"/>
      <c r="R332" s="562"/>
      <c r="S332" s="562"/>
      <c r="T332" s="562"/>
      <c r="U332" s="562"/>
      <c r="V332" s="563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hidden="1" customHeight="1" x14ac:dyDescent="0.25">
      <c r="A333" s="564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hidden="1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hidden="1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0</v>
      </c>
      <c r="Y336" s="54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0</v>
      </c>
      <c r="Y337" s="546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1" t="s">
        <v>76</v>
      </c>
      <c r="Q338" s="562"/>
      <c r="R338" s="562"/>
      <c r="S338" s="562"/>
      <c r="T338" s="562"/>
      <c r="U338" s="562"/>
      <c r="V338" s="563"/>
      <c r="W338" s="37" t="s">
        <v>77</v>
      </c>
      <c r="X338" s="547">
        <f>IFERROR(X335/H335,"0")+IFERROR(X336/H336,"0")+IFERROR(X337/H337,"0")</f>
        <v>0</v>
      </c>
      <c r="Y338" s="547">
        <f>IFERROR(Y335/H335,"0")+IFERROR(Y336/H336,"0")+IFERROR(Y337/H337,"0")</f>
        <v>0</v>
      </c>
      <c r="Z338" s="547">
        <f>IFERROR(IF(Z335="",0,Z335),"0")+IFERROR(IF(Z336="",0,Z336),"0")+IFERROR(IF(Z337="",0,Z337),"0")</f>
        <v>0</v>
      </c>
      <c r="AA338" s="548"/>
      <c r="AB338" s="548"/>
      <c r="AC338" s="548"/>
    </row>
    <row r="339" spans="1:68" hidden="1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1" t="s">
        <v>76</v>
      </c>
      <c r="Q339" s="562"/>
      <c r="R339" s="562"/>
      <c r="S339" s="562"/>
      <c r="T339" s="562"/>
      <c r="U339" s="562"/>
      <c r="V339" s="563"/>
      <c r="W339" s="37" t="s">
        <v>70</v>
      </c>
      <c r="X339" s="547">
        <f>IFERROR(SUM(X335:X337),"0")</f>
        <v>0</v>
      </c>
      <c r="Y339" s="547">
        <f>IFERROR(SUM(Y335:Y337),"0")</f>
        <v>0</v>
      </c>
      <c r="Z339" s="37"/>
      <c r="AA339" s="548"/>
      <c r="AB339" s="548"/>
      <c r="AC339" s="548"/>
    </row>
    <row r="340" spans="1:68" ht="27.75" hidden="1" customHeight="1" x14ac:dyDescent="0.2">
      <c r="A340" s="568" t="s">
        <v>534</v>
      </c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69"/>
      <c r="P340" s="569"/>
      <c r="Q340" s="569"/>
      <c r="R340" s="569"/>
      <c r="S340" s="569"/>
      <c r="T340" s="569"/>
      <c r="U340" s="569"/>
      <c r="V340" s="569"/>
      <c r="W340" s="569"/>
      <c r="X340" s="569"/>
      <c r="Y340" s="569"/>
      <c r="Z340" s="569"/>
      <c r="AA340" s="48"/>
      <c r="AB340" s="48"/>
      <c r="AC340" s="48"/>
    </row>
    <row r="341" spans="1:68" ht="16.5" hidden="1" customHeight="1" x14ac:dyDescent="0.25">
      <c r="A341" s="564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hidden="1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1500</v>
      </c>
      <c r="Y343" s="546">
        <f t="shared" ref="Y343:Y349" si="36">IFERROR(IF(X343="",0,CEILING((X343/$H343),1)*$H343),"")</f>
        <v>1500</v>
      </c>
      <c r="Z343" s="36">
        <f>IFERROR(IF(Y343=0,"",ROUNDUP(Y343/H343,0)*0.02175),"")</f>
        <v>2.1749999999999998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1547</v>
      </c>
      <c r="BN343" s="64">
        <f t="shared" ref="BN343:BN349" si="38">IFERROR(Y343*I343/H343,"0")</f>
        <v>1547</v>
      </c>
      <c r="BO343" s="64">
        <f t="shared" ref="BO343:BO349" si="39">IFERROR(1/J343*(X343/H343),"0")</f>
        <v>2.083333333333333</v>
      </c>
      <c r="BP343" s="64">
        <f t="shared" ref="BP343:BP349" si="40">IFERROR(1/J343*(Y343/H343),"0")</f>
        <v>2.083333333333333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3000</v>
      </c>
      <c r="Y344" s="546">
        <f t="shared" si="36"/>
        <v>3000</v>
      </c>
      <c r="Z344" s="36">
        <f>IFERROR(IF(Y344=0,"",ROUNDUP(Y344/H344,0)*0.02175),"")</f>
        <v>4.3499999999999996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3094</v>
      </c>
      <c r="BN344" s="64">
        <f t="shared" si="38"/>
        <v>3094</v>
      </c>
      <c r="BO344" s="64">
        <f t="shared" si="39"/>
        <v>4.1666666666666661</v>
      </c>
      <c r="BP344" s="64">
        <f t="shared" si="40"/>
        <v>4.1666666666666661</v>
      </c>
    </row>
    <row r="345" spans="1:68" ht="37.5" hidden="1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4600</v>
      </c>
      <c r="Y346" s="546">
        <f t="shared" si="36"/>
        <v>4605</v>
      </c>
      <c r="Z346" s="36">
        <f>IFERROR(IF(Y346=0,"",ROUNDUP(Y346/H346,0)*0.02175),"")</f>
        <v>6.6772499999999999</v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4744.1333333333332</v>
      </c>
      <c r="BN346" s="64">
        <f t="shared" si="38"/>
        <v>4749.29</v>
      </c>
      <c r="BO346" s="64">
        <f t="shared" si="39"/>
        <v>6.3888888888888893</v>
      </c>
      <c r="BP346" s="64">
        <f t="shared" si="40"/>
        <v>6.395833333333333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1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1" t="s">
        <v>76</v>
      </c>
      <c r="Q350" s="562"/>
      <c r="R350" s="562"/>
      <c r="S350" s="562"/>
      <c r="T350" s="562"/>
      <c r="U350" s="562"/>
      <c r="V350" s="563"/>
      <c r="W350" s="37" t="s">
        <v>77</v>
      </c>
      <c r="X350" s="547">
        <f>IFERROR(X343/H343,"0")+IFERROR(X344/H344,"0")+IFERROR(X345/H345,"0")+IFERROR(X346/H346,"0")+IFERROR(X347/H347,"0")+IFERROR(X348/H348,"0")+IFERROR(X349/H349,"0")</f>
        <v>606.66666666666674</v>
      </c>
      <c r="Y350" s="547">
        <f>IFERROR(Y343/H343,"0")+IFERROR(Y344/H344,"0")+IFERROR(Y345/H345,"0")+IFERROR(Y346/H346,"0")+IFERROR(Y347/H347,"0")+IFERROR(Y348/H348,"0")+IFERROR(Y349/H349,"0")</f>
        <v>607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13.202249999999999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1" t="s">
        <v>76</v>
      </c>
      <c r="Q351" s="562"/>
      <c r="R351" s="562"/>
      <c r="S351" s="562"/>
      <c r="T351" s="562"/>
      <c r="U351" s="562"/>
      <c r="V351" s="563"/>
      <c r="W351" s="37" t="s">
        <v>70</v>
      </c>
      <c r="X351" s="547">
        <f>IFERROR(SUM(X343:X349),"0")</f>
        <v>9100</v>
      </c>
      <c r="Y351" s="547">
        <f>IFERROR(SUM(Y343:Y349),"0")</f>
        <v>9105</v>
      </c>
      <c r="Z351" s="37"/>
      <c r="AA351" s="548"/>
      <c r="AB351" s="548"/>
      <c r="AC351" s="548"/>
    </row>
    <row r="352" spans="1:68" ht="14.25" hidden="1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4000</v>
      </c>
      <c r="Y353" s="546">
        <f>IFERROR(IF(X353="",0,CEILING((X353/$H353),1)*$H353),"")</f>
        <v>4005</v>
      </c>
      <c r="Z353" s="36">
        <f>IFERROR(IF(Y353=0,"",ROUNDUP(Y353/H353,0)*0.02175),"")</f>
        <v>5.8072499999999998</v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4125.333333333333</v>
      </c>
      <c r="BN353" s="64">
        <f>IFERROR(Y353*I353/H353,"0")</f>
        <v>4130.4900000000007</v>
      </c>
      <c r="BO353" s="64">
        <f>IFERROR(1/J353*(X353/H353),"0")</f>
        <v>5.5555555555555554</v>
      </c>
      <c r="BP353" s="64">
        <f>IFERROR(1/J353*(Y353/H353),"0")</f>
        <v>5.5625</v>
      </c>
    </row>
    <row r="354" spans="1:68" ht="27" hidden="1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76</v>
      </c>
      <c r="Q355" s="562"/>
      <c r="R355" s="562"/>
      <c r="S355" s="562"/>
      <c r="T355" s="562"/>
      <c r="U355" s="562"/>
      <c r="V355" s="563"/>
      <c r="W355" s="37" t="s">
        <v>77</v>
      </c>
      <c r="X355" s="547">
        <f>IFERROR(X353/H353,"0")+IFERROR(X354/H354,"0")</f>
        <v>266.66666666666669</v>
      </c>
      <c r="Y355" s="547">
        <f>IFERROR(Y353/H353,"0")+IFERROR(Y354/H354,"0")</f>
        <v>267</v>
      </c>
      <c r="Z355" s="547">
        <f>IFERROR(IF(Z353="",0,Z353),"0")+IFERROR(IF(Z354="",0,Z354),"0")</f>
        <v>5.8072499999999998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76</v>
      </c>
      <c r="Q356" s="562"/>
      <c r="R356" s="562"/>
      <c r="S356" s="562"/>
      <c r="T356" s="562"/>
      <c r="U356" s="562"/>
      <c r="V356" s="563"/>
      <c r="W356" s="37" t="s">
        <v>70</v>
      </c>
      <c r="X356" s="547">
        <f>IFERROR(SUM(X353:X354),"0")</f>
        <v>4000</v>
      </c>
      <c r="Y356" s="547">
        <f>IFERROR(SUM(Y353:Y354),"0")</f>
        <v>4005</v>
      </c>
      <c r="Z356" s="37"/>
      <c r="AA356" s="548"/>
      <c r="AB356" s="548"/>
      <c r="AC356" s="548"/>
    </row>
    <row r="357" spans="1:68" ht="14.25" hidden="1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8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76</v>
      </c>
      <c r="Q360" s="562"/>
      <c r="R360" s="562"/>
      <c r="S360" s="562"/>
      <c r="T360" s="562"/>
      <c r="U360" s="562"/>
      <c r="V360" s="563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hidden="1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76</v>
      </c>
      <c r="Q361" s="562"/>
      <c r="R361" s="562"/>
      <c r="S361" s="562"/>
      <c r="T361" s="562"/>
      <c r="U361" s="562"/>
      <c r="V361" s="563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hidden="1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1" t="s">
        <v>76</v>
      </c>
      <c r="Q364" s="562"/>
      <c r="R364" s="562"/>
      <c r="S364" s="562"/>
      <c r="T364" s="562"/>
      <c r="U364" s="562"/>
      <c r="V364" s="563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hidden="1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76</v>
      </c>
      <c r="Q365" s="562"/>
      <c r="R365" s="562"/>
      <c r="S365" s="562"/>
      <c r="T365" s="562"/>
      <c r="U365" s="562"/>
      <c r="V365" s="563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hidden="1" customHeight="1" x14ac:dyDescent="0.25">
      <c r="A366" s="564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hidden="1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76</v>
      </c>
      <c r="Q370" s="562"/>
      <c r="R370" s="562"/>
      <c r="S370" s="562"/>
      <c r="T370" s="562"/>
      <c r="U370" s="562"/>
      <c r="V370" s="563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hidden="1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1" t="s">
        <v>76</v>
      </c>
      <c r="Q371" s="562"/>
      <c r="R371" s="562"/>
      <c r="S371" s="562"/>
      <c r="T371" s="562"/>
      <c r="U371" s="562"/>
      <c r="V371" s="563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hidden="1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76</v>
      </c>
      <c r="Q375" s="562"/>
      <c r="R375" s="562"/>
      <c r="S375" s="562"/>
      <c r="T375" s="562"/>
      <c r="U375" s="562"/>
      <c r="V375" s="563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76</v>
      </c>
      <c r="Q376" s="562"/>
      <c r="R376" s="562"/>
      <c r="S376" s="562"/>
      <c r="T376" s="562"/>
      <c r="U376" s="562"/>
      <c r="V376" s="563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76</v>
      </c>
      <c r="Q381" s="562"/>
      <c r="R381" s="562"/>
      <c r="S381" s="562"/>
      <c r="T381" s="562"/>
      <c r="U381" s="562"/>
      <c r="V381" s="563"/>
      <c r="W381" s="37" t="s">
        <v>77</v>
      </c>
      <c r="X381" s="547">
        <f>IFERROR(X378/H378,"0")+IFERROR(X379/H379,"0")+IFERROR(X380/H380,"0")</f>
        <v>0</v>
      </c>
      <c r="Y381" s="547">
        <f>IFERROR(Y378/H378,"0")+IFERROR(Y379/H379,"0")+IFERROR(Y380/H380,"0")</f>
        <v>0</v>
      </c>
      <c r="Z381" s="547">
        <f>IFERROR(IF(Z378="",0,Z378),"0")+IFERROR(IF(Z379="",0,Z379),"0")+IFERROR(IF(Z380="",0,Z380),"0")</f>
        <v>0</v>
      </c>
      <c r="AA381" s="548"/>
      <c r="AB381" s="548"/>
      <c r="AC381" s="548"/>
    </row>
    <row r="382" spans="1:68" hidden="1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1" t="s">
        <v>76</v>
      </c>
      <c r="Q382" s="562"/>
      <c r="R382" s="562"/>
      <c r="S382" s="562"/>
      <c r="T382" s="562"/>
      <c r="U382" s="562"/>
      <c r="V382" s="563"/>
      <c r="W382" s="37" t="s">
        <v>70</v>
      </c>
      <c r="X382" s="547">
        <f>IFERROR(SUM(X378:X380),"0")</f>
        <v>0</v>
      </c>
      <c r="Y382" s="547">
        <f>IFERROR(SUM(Y378:Y380),"0")</f>
        <v>0</v>
      </c>
      <c r="Z382" s="37"/>
      <c r="AA382" s="548"/>
      <c r="AB382" s="548"/>
      <c r="AC382" s="548"/>
    </row>
    <row r="383" spans="1:68" ht="27.75" hidden="1" customHeight="1" x14ac:dyDescent="0.2">
      <c r="A383" s="568" t="s">
        <v>588</v>
      </c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69"/>
      <c r="P383" s="569"/>
      <c r="Q383" s="569"/>
      <c r="R383" s="569"/>
      <c r="S383" s="569"/>
      <c r="T383" s="569"/>
      <c r="U383" s="569"/>
      <c r="V383" s="569"/>
      <c r="W383" s="569"/>
      <c r="X383" s="569"/>
      <c r="Y383" s="569"/>
      <c r="Z383" s="569"/>
      <c r="AA383" s="48"/>
      <c r="AB383" s="48"/>
      <c r="AC383" s="48"/>
    </row>
    <row r="384" spans="1:68" ht="16.5" hidden="1" customHeight="1" x14ac:dyDescent="0.25">
      <c r="A384" s="564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hidden="1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hidden="1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4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1" t="s">
        <v>76</v>
      </c>
      <c r="Q395" s="562"/>
      <c r="R395" s="562"/>
      <c r="S395" s="562"/>
      <c r="T395" s="562"/>
      <c r="U395" s="562"/>
      <c r="V395" s="563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0</v>
      </c>
      <c r="Y395" s="547">
        <f>IFERROR(Y386/H386,"0")+IFERROR(Y387/H387,"0")+IFERROR(Y388/H388,"0")+IFERROR(Y389/H389,"0")+IFERROR(Y390/H390,"0")+IFERROR(Y391/H391,"0")+IFERROR(Y392/H392,"0")+IFERROR(Y393/H393,"0")+IFERROR(Y394/H394,"0")</f>
        <v>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8"/>
      <c r="AB395" s="548"/>
      <c r="AC395" s="548"/>
    </row>
    <row r="396" spans="1:68" hidden="1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1" t="s">
        <v>76</v>
      </c>
      <c r="Q396" s="562"/>
      <c r="R396" s="562"/>
      <c r="S396" s="562"/>
      <c r="T396" s="562"/>
      <c r="U396" s="562"/>
      <c r="V396" s="563"/>
      <c r="W396" s="37" t="s">
        <v>70</v>
      </c>
      <c r="X396" s="547">
        <f>IFERROR(SUM(X386:X394),"0")</f>
        <v>0</v>
      </c>
      <c r="Y396" s="547">
        <f>IFERROR(SUM(Y386:Y394),"0")</f>
        <v>0</v>
      </c>
      <c r="Z396" s="37"/>
      <c r="AA396" s="548"/>
      <c r="AB396" s="548"/>
      <c r="AC396" s="548"/>
    </row>
    <row r="397" spans="1:68" ht="14.25" hidden="1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hidden="1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76</v>
      </c>
      <c r="Q400" s="562"/>
      <c r="R400" s="562"/>
      <c r="S400" s="562"/>
      <c r="T400" s="562"/>
      <c r="U400" s="562"/>
      <c r="V400" s="563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76</v>
      </c>
      <c r="Q401" s="562"/>
      <c r="R401" s="562"/>
      <c r="S401" s="562"/>
      <c r="T401" s="562"/>
      <c r="U401" s="562"/>
      <c r="V401" s="563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hidden="1" customHeight="1" x14ac:dyDescent="0.25">
      <c r="A402" s="564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hidden="1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76</v>
      </c>
      <c r="Q405" s="562"/>
      <c r="R405" s="562"/>
      <c r="S405" s="562"/>
      <c r="T405" s="562"/>
      <c r="U405" s="562"/>
      <c r="V405" s="563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76</v>
      </c>
      <c r="Q406" s="562"/>
      <c r="R406" s="562"/>
      <c r="S406" s="562"/>
      <c r="T406" s="562"/>
      <c r="U406" s="562"/>
      <c r="V406" s="563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hidden="1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hidden="1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8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1" t="s">
        <v>76</v>
      </c>
      <c r="Q412" s="562"/>
      <c r="R412" s="562"/>
      <c r="S412" s="562"/>
      <c r="T412" s="562"/>
      <c r="U412" s="562"/>
      <c r="V412" s="563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hidden="1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1" t="s">
        <v>76</v>
      </c>
      <c r="Q413" s="562"/>
      <c r="R413" s="562"/>
      <c r="S413" s="562"/>
      <c r="T413" s="562"/>
      <c r="U413" s="562"/>
      <c r="V413" s="563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hidden="1" customHeight="1" x14ac:dyDescent="0.25">
      <c r="A414" s="564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hidden="1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76</v>
      </c>
      <c r="Q417" s="562"/>
      <c r="R417" s="562"/>
      <c r="S417" s="562"/>
      <c r="T417" s="562"/>
      <c r="U417" s="562"/>
      <c r="V417" s="563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76</v>
      </c>
      <c r="Q418" s="562"/>
      <c r="R418" s="562"/>
      <c r="S418" s="562"/>
      <c r="T418" s="562"/>
      <c r="U418" s="562"/>
      <c r="V418" s="563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hidden="1" customHeight="1" x14ac:dyDescent="0.2">
      <c r="A419" s="568" t="s">
        <v>639</v>
      </c>
      <c r="B419" s="569"/>
      <c r="C419" s="569"/>
      <c r="D419" s="569"/>
      <c r="E419" s="569"/>
      <c r="F419" s="569"/>
      <c r="G419" s="569"/>
      <c r="H419" s="569"/>
      <c r="I419" s="569"/>
      <c r="J419" s="569"/>
      <c r="K419" s="569"/>
      <c r="L419" s="569"/>
      <c r="M419" s="569"/>
      <c r="N419" s="569"/>
      <c r="O419" s="569"/>
      <c r="P419" s="569"/>
      <c r="Q419" s="569"/>
      <c r="R419" s="569"/>
      <c r="S419" s="569"/>
      <c r="T419" s="569"/>
      <c r="U419" s="569"/>
      <c r="V419" s="569"/>
      <c r="W419" s="569"/>
      <c r="X419" s="569"/>
      <c r="Y419" s="569"/>
      <c r="Z419" s="569"/>
      <c r="AA419" s="48"/>
      <c r="AB419" s="48"/>
      <c r="AC419" s="48"/>
    </row>
    <row r="420" spans="1:68" ht="16.5" hidden="1" customHeight="1" x14ac:dyDescent="0.25">
      <c r="A420" s="564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hidden="1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hidden="1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7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0</v>
      </c>
      <c r="Y422" s="546">
        <f t="shared" ref="Y422:Y433" si="47">IFERROR(IF(X422="",0,CEILING((X422/$H422),1)*$H422),"")</f>
        <v>0</v>
      </c>
      <c r="Z422" s="36" t="str">
        <f t="shared" ref="Z422:Z428" si="48">IFERROR(IF(Y422=0,"",ROUNDUP(Y422/H422,0)*0.01196),"")</f>
        <v/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0</v>
      </c>
      <c r="BN422" s="64">
        <f t="shared" ref="BN422:BN433" si="50">IFERROR(Y422*I422/H422,"0")</f>
        <v>0</v>
      </c>
      <c r="BO422" s="64">
        <f t="shared" ref="BO422:BO433" si="51">IFERROR(1/J422*(X422/H422),"0")</f>
        <v>0</v>
      </c>
      <c r="BP422" s="64">
        <f t="shared" ref="BP422:BP433" si="52">IFERROR(1/J422*(Y422/H422),"0")</f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12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0</v>
      </c>
      <c r="Y426" s="546">
        <f t="shared" si="47"/>
        <v>0</v>
      </c>
      <c r="Z426" s="36" t="str">
        <f t="shared" si="48"/>
        <v/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16.5" hidden="1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61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1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0</v>
      </c>
      <c r="Y428" s="546">
        <f t="shared" si="47"/>
        <v>0</v>
      </c>
      <c r="Z428" s="36" t="str">
        <f t="shared" si="48"/>
        <v/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1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idden="1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1" t="s">
        <v>76</v>
      </c>
      <c r="Q434" s="562"/>
      <c r="R434" s="562"/>
      <c r="S434" s="562"/>
      <c r="T434" s="562"/>
      <c r="U434" s="562"/>
      <c r="V434" s="563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0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0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548"/>
      <c r="AB434" s="548"/>
      <c r="AC434" s="548"/>
    </row>
    <row r="435" spans="1:68" hidden="1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1" t="s">
        <v>76</v>
      </c>
      <c r="Q435" s="562"/>
      <c r="R435" s="562"/>
      <c r="S435" s="562"/>
      <c r="T435" s="562"/>
      <c r="U435" s="562"/>
      <c r="V435" s="563"/>
      <c r="W435" s="37" t="s">
        <v>70</v>
      </c>
      <c r="X435" s="547">
        <f>IFERROR(SUM(X422:X433),"0")</f>
        <v>0</v>
      </c>
      <c r="Y435" s="547">
        <f>IFERROR(SUM(Y422:Y433),"0")</f>
        <v>0</v>
      </c>
      <c r="Z435" s="37"/>
      <c r="AA435" s="548"/>
      <c r="AB435" s="548"/>
      <c r="AC435" s="548"/>
    </row>
    <row r="436" spans="1:68" ht="14.25" hidden="1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hidden="1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0</v>
      </c>
      <c r="Y437" s="546">
        <f>IFERROR(IF(X437="",0,CEILING((X437/$H437),1)*$H437),"")</f>
        <v>0</v>
      </c>
      <c r="Z437" s="36" t="str">
        <f>IFERROR(IF(Y437=0,"",ROUNDUP(Y437/H437,0)*0.01196),"")</f>
        <v/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hidden="1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76</v>
      </c>
      <c r="Q440" s="562"/>
      <c r="R440" s="562"/>
      <c r="S440" s="562"/>
      <c r="T440" s="562"/>
      <c r="U440" s="562"/>
      <c r="V440" s="563"/>
      <c r="W440" s="37" t="s">
        <v>77</v>
      </c>
      <c r="X440" s="547">
        <f>IFERROR(X437/H437,"0")+IFERROR(X438/H438,"0")+IFERROR(X439/H439,"0")</f>
        <v>0</v>
      </c>
      <c r="Y440" s="547">
        <f>IFERROR(Y437/H437,"0")+IFERROR(Y438/H438,"0")+IFERROR(Y439/H439,"0")</f>
        <v>0</v>
      </c>
      <c r="Z440" s="547">
        <f>IFERROR(IF(Z437="",0,Z437),"0")+IFERROR(IF(Z438="",0,Z438),"0")+IFERROR(IF(Z439="",0,Z439),"0")</f>
        <v>0</v>
      </c>
      <c r="AA440" s="548"/>
      <c r="AB440" s="548"/>
      <c r="AC440" s="548"/>
    </row>
    <row r="441" spans="1:68" hidden="1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1" t="s">
        <v>76</v>
      </c>
      <c r="Q441" s="562"/>
      <c r="R441" s="562"/>
      <c r="S441" s="562"/>
      <c r="T441" s="562"/>
      <c r="U441" s="562"/>
      <c r="V441" s="563"/>
      <c r="W441" s="37" t="s">
        <v>70</v>
      </c>
      <c r="X441" s="547">
        <f>IFERROR(SUM(X437:X439),"0")</f>
        <v>0</v>
      </c>
      <c r="Y441" s="547">
        <f>IFERROR(SUM(Y437:Y439),"0")</f>
        <v>0</v>
      </c>
      <c r="Z441" s="37"/>
      <c r="AA441" s="548"/>
      <c r="AB441" s="548"/>
      <c r="AC441" s="548"/>
    </row>
    <row r="442" spans="1:68" ht="14.25" hidden="1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hidden="1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0</v>
      </c>
      <c r="Y443" s="546">
        <f t="shared" ref="Y443:Y448" si="53"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0</v>
      </c>
      <c r="BN443" s="64">
        <f t="shared" ref="BN443:BN448" si="55">IFERROR(Y443*I443/H443,"0")</f>
        <v>0</v>
      </c>
      <c r="BO443" s="64">
        <f t="shared" ref="BO443:BO448" si="56">IFERROR(1/J443*(X443/H443),"0")</f>
        <v>0</v>
      </c>
      <c r="BP443" s="64">
        <f t="shared" ref="BP443:BP448" si="57">IFERROR(1/J443*(Y443/H443),"0")</f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0</v>
      </c>
      <c r="Y444" s="546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0</v>
      </c>
      <c r="Y445" s="546">
        <f t="shared" si="53"/>
        <v>0</v>
      </c>
      <c r="Z445" s="36" t="str">
        <f>IFERROR(IF(Y445=0,"",ROUNDUP(Y445/H445,0)*0.01196),"")</f>
        <v/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hidden="1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hidden="1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1" t="s">
        <v>76</v>
      </c>
      <c r="Q449" s="562"/>
      <c r="R449" s="562"/>
      <c r="S449" s="562"/>
      <c r="T449" s="562"/>
      <c r="U449" s="562"/>
      <c r="V449" s="563"/>
      <c r="W449" s="37" t="s">
        <v>77</v>
      </c>
      <c r="X449" s="547">
        <f>IFERROR(X443/H443,"0")+IFERROR(X444/H444,"0")+IFERROR(X445/H445,"0")+IFERROR(X446/H446,"0")+IFERROR(X447/H447,"0")+IFERROR(X448/H448,"0")</f>
        <v>0</v>
      </c>
      <c r="Y449" s="547">
        <f>IFERROR(Y443/H443,"0")+IFERROR(Y444/H444,"0")+IFERROR(Y445/H445,"0")+IFERROR(Y446/H446,"0")+IFERROR(Y447/H447,"0")+IFERROR(Y448/H448,"0")</f>
        <v>0</v>
      </c>
      <c r="Z449" s="547">
        <f>IFERROR(IF(Z443="",0,Z443),"0")+IFERROR(IF(Z444="",0,Z444),"0")+IFERROR(IF(Z445="",0,Z445),"0")+IFERROR(IF(Z446="",0,Z446),"0")+IFERROR(IF(Z447="",0,Z447),"0")+IFERROR(IF(Z448="",0,Z448),"0")</f>
        <v>0</v>
      </c>
      <c r="AA449" s="548"/>
      <c r="AB449" s="548"/>
      <c r="AC449" s="548"/>
    </row>
    <row r="450" spans="1:68" hidden="1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1" t="s">
        <v>76</v>
      </c>
      <c r="Q450" s="562"/>
      <c r="R450" s="562"/>
      <c r="S450" s="562"/>
      <c r="T450" s="562"/>
      <c r="U450" s="562"/>
      <c r="V450" s="563"/>
      <c r="W450" s="37" t="s">
        <v>70</v>
      </c>
      <c r="X450" s="547">
        <f>IFERROR(SUM(X443:X448),"0")</f>
        <v>0</v>
      </c>
      <c r="Y450" s="547">
        <f>IFERROR(SUM(Y443:Y448),"0")</f>
        <v>0</v>
      </c>
      <c r="Z450" s="37"/>
      <c r="AA450" s="548"/>
      <c r="AB450" s="548"/>
      <c r="AC450" s="548"/>
    </row>
    <row r="451" spans="1:68" ht="14.25" hidden="1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hidden="1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76</v>
      </c>
      <c r="Q455" s="562"/>
      <c r="R455" s="562"/>
      <c r="S455" s="562"/>
      <c r="T455" s="562"/>
      <c r="U455" s="562"/>
      <c r="V455" s="563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hidden="1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1" t="s">
        <v>76</v>
      </c>
      <c r="Q456" s="562"/>
      <c r="R456" s="562"/>
      <c r="S456" s="562"/>
      <c r="T456" s="562"/>
      <c r="U456" s="562"/>
      <c r="V456" s="563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hidden="1" customHeight="1" x14ac:dyDescent="0.2">
      <c r="A457" s="568" t="s">
        <v>702</v>
      </c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69"/>
      <c r="P457" s="569"/>
      <c r="Q457" s="569"/>
      <c r="R457" s="569"/>
      <c r="S457" s="569"/>
      <c r="T457" s="569"/>
      <c r="U457" s="569"/>
      <c r="V457" s="569"/>
      <c r="W457" s="569"/>
      <c r="X457" s="569"/>
      <c r="Y457" s="569"/>
      <c r="Z457" s="569"/>
      <c r="AA457" s="48"/>
      <c r="AB457" s="48"/>
      <c r="AC457" s="48"/>
    </row>
    <row r="458" spans="1:68" ht="16.5" hidden="1" customHeight="1" x14ac:dyDescent="0.25">
      <c r="A458" s="564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hidden="1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hidden="1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9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76</v>
      </c>
      <c r="Q464" s="562"/>
      <c r="R464" s="562"/>
      <c r="S464" s="562"/>
      <c r="T464" s="562"/>
      <c r="U464" s="562"/>
      <c r="V464" s="563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hidden="1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1" t="s">
        <v>76</v>
      </c>
      <c r="Q465" s="562"/>
      <c r="R465" s="562"/>
      <c r="S465" s="562"/>
      <c r="T465" s="562"/>
      <c r="U465" s="562"/>
      <c r="V465" s="563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hidden="1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hidden="1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1" t="s">
        <v>76</v>
      </c>
      <c r="Q470" s="562"/>
      <c r="R470" s="562"/>
      <c r="S470" s="562"/>
      <c r="T470" s="562"/>
      <c r="U470" s="562"/>
      <c r="V470" s="563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1" t="s">
        <v>76</v>
      </c>
      <c r="Q471" s="562"/>
      <c r="R471" s="562"/>
      <c r="S471" s="562"/>
      <c r="T471" s="562"/>
      <c r="U471" s="562"/>
      <c r="V471" s="563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hidden="1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3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5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1" t="s">
        <v>76</v>
      </c>
      <c r="Q475" s="562"/>
      <c r="R475" s="562"/>
      <c r="S475" s="562"/>
      <c r="T475" s="562"/>
      <c r="U475" s="562"/>
      <c r="V475" s="563"/>
      <c r="W475" s="37" t="s">
        <v>77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76</v>
      </c>
      <c r="Q476" s="562"/>
      <c r="R476" s="562"/>
      <c r="S476" s="562"/>
      <c r="T476" s="562"/>
      <c r="U476" s="562"/>
      <c r="V476" s="563"/>
      <c r="W476" s="37" t="s">
        <v>70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hidden="1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1" t="s">
        <v>76</v>
      </c>
      <c r="Q479" s="562"/>
      <c r="R479" s="562"/>
      <c r="S479" s="562"/>
      <c r="T479" s="562"/>
      <c r="U479" s="562"/>
      <c r="V479" s="563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1" t="s">
        <v>76</v>
      </c>
      <c r="Q480" s="562"/>
      <c r="R480" s="562"/>
      <c r="S480" s="562"/>
      <c r="T480" s="562"/>
      <c r="U480" s="562"/>
      <c r="V480" s="563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hidden="1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0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1" t="s">
        <v>76</v>
      </c>
      <c r="Q484" s="562"/>
      <c r="R484" s="562"/>
      <c r="S484" s="562"/>
      <c r="T484" s="562"/>
      <c r="U484" s="562"/>
      <c r="V484" s="563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1" t="s">
        <v>76</v>
      </c>
      <c r="Q485" s="562"/>
      <c r="R485" s="562"/>
      <c r="S485" s="562"/>
      <c r="T485" s="562"/>
      <c r="U485" s="562"/>
      <c r="V485" s="563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64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hidden="1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hidden="1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80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1" t="s">
        <v>76</v>
      </c>
      <c r="Q489" s="562"/>
      <c r="R489" s="562"/>
      <c r="S489" s="562"/>
      <c r="T489" s="562"/>
      <c r="U489" s="562"/>
      <c r="V489" s="563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1" t="s">
        <v>76</v>
      </c>
      <c r="Q490" s="562"/>
      <c r="R490" s="562"/>
      <c r="S490" s="562"/>
      <c r="T490" s="562"/>
      <c r="U490" s="562"/>
      <c r="V490" s="563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3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8"/>
      <c r="P491" s="670" t="s">
        <v>742</v>
      </c>
      <c r="Q491" s="671"/>
      <c r="R491" s="671"/>
      <c r="S491" s="671"/>
      <c r="T491" s="671"/>
      <c r="U491" s="671"/>
      <c r="V491" s="672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18000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18024.599999999999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8"/>
      <c r="P492" s="670" t="s">
        <v>743</v>
      </c>
      <c r="Q492" s="671"/>
      <c r="R492" s="671"/>
      <c r="S492" s="671"/>
      <c r="T492" s="671"/>
      <c r="U492" s="671"/>
      <c r="V492" s="672"/>
      <c r="W492" s="37" t="s">
        <v>70</v>
      </c>
      <c r="X492" s="547">
        <f>IFERROR(SUM(BM22:BM488),"0")</f>
        <v>18670.288603988603</v>
      </c>
      <c r="Y492" s="547">
        <f>IFERROR(SUM(BN22:BN488),"0")</f>
        <v>18695.830000000002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8"/>
      <c r="P493" s="670" t="s">
        <v>744</v>
      </c>
      <c r="Q493" s="671"/>
      <c r="R493" s="671"/>
      <c r="S493" s="671"/>
      <c r="T493" s="671"/>
      <c r="U493" s="671"/>
      <c r="V493" s="672"/>
      <c r="W493" s="37" t="s">
        <v>745</v>
      </c>
      <c r="X493" s="38">
        <f>ROUNDUP(SUM(BO22:BO488),0)</f>
        <v>27</v>
      </c>
      <c r="Y493" s="38">
        <f>ROUNDUP(SUM(BP22:BP488),0)</f>
        <v>27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8"/>
      <c r="P494" s="670" t="s">
        <v>746</v>
      </c>
      <c r="Q494" s="671"/>
      <c r="R494" s="671"/>
      <c r="S494" s="671"/>
      <c r="T494" s="671"/>
      <c r="U494" s="671"/>
      <c r="V494" s="672"/>
      <c r="W494" s="37" t="s">
        <v>70</v>
      </c>
      <c r="X494" s="547">
        <f>GrossWeightTotal+PalletQtyTotal*25</f>
        <v>19345.288603988603</v>
      </c>
      <c r="Y494" s="547">
        <f>GrossWeightTotalR+PalletQtyTotalR*25</f>
        <v>19370.830000000002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8"/>
      <c r="P495" s="670" t="s">
        <v>747</v>
      </c>
      <c r="Q495" s="671"/>
      <c r="R495" s="671"/>
      <c r="S495" s="671"/>
      <c r="T495" s="671"/>
      <c r="U495" s="671"/>
      <c r="V495" s="672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1433.8746438746441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1436</v>
      </c>
      <c r="Z495" s="37"/>
      <c r="AA495" s="548"/>
      <c r="AB495" s="548"/>
      <c r="AC495" s="548"/>
    </row>
    <row r="496" spans="1:68" ht="14.25" hidden="1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8"/>
      <c r="P496" s="670" t="s">
        <v>748</v>
      </c>
      <c r="Q496" s="671"/>
      <c r="R496" s="671"/>
      <c r="S496" s="671"/>
      <c r="T496" s="671"/>
      <c r="U496" s="671"/>
      <c r="V496" s="672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29.676259999999999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4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5"/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43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907.2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1004.4000000000001</v>
      </c>
      <c r="E501" s="46">
        <f>IFERROR(Y86*1,"0")+IFERROR(Y87*1,"0")+IFERROR(Y88*1,"0")+IFERROR(Y92*1,"0")+IFERROR(Y93*1,"0")+IFERROR(Y94*1,"0")+IFERROR(Y95*1,"0")</f>
        <v>0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1" s="46">
        <f>IFERROR(Y125*1,"0")+IFERROR(Y126*1,"0")+IFERROR(Y130*1,"0")+IFERROR(Y131*1,"0")+IFERROR(Y135*1,"0")+IFERROR(Y136*1,"0")</f>
        <v>0</v>
      </c>
      <c r="H501" s="46">
        <f>IFERROR(Y141*1,"0")+IFERROR(Y142*1,"0")+IFERROR(Y146*1,"0")+IFERROR(Y147*1,"0")+IFERROR(Y148*1,"0")+IFERROR(Y152*1,"0")</f>
        <v>0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46">
        <f>IFERROR(Y255*1,"0")+IFERROR(Y256*1,"0")+IFERROR(Y257*1,"0")+IFERROR(Y258*1,"0")+IFERROR(Y259*1,"0")</f>
        <v>0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3003</v>
      </c>
      <c r="R501" s="46">
        <f>IFERROR(Y335*1,"0")+IFERROR(Y336*1,"0")+IFERROR(Y337*1,"0")</f>
        <v>0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13110</v>
      </c>
      <c r="T501" s="46">
        <f>IFERROR(Y368*1,"0")+IFERROR(Y369*1,"0")+IFERROR(Y373*1,"0")+IFERROR(Y374*1,"0")+IFERROR(Y378*1,"0")+IFERROR(Y379*1,"0")+IFERROR(Y380*1,"0")</f>
        <v>0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0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433,87"/>
        <filter val="1 500,00"/>
        <filter val="18 000,00"/>
        <filter val="18 670,29"/>
        <filter val="19 345,29"/>
        <filter val="266,67"/>
        <filter val="27"/>
        <filter val="3 000,00"/>
        <filter val="384,62"/>
        <filter val="4 000,00"/>
        <filter val="4 600,00"/>
        <filter val="606,67"/>
        <filter val="83,33"/>
        <filter val="9 100,00"/>
        <filter val="900,00"/>
        <filter val="92,59"/>
      </filters>
    </filterColumn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D425:E425"/>
    <mergeCell ref="D359:E359"/>
    <mergeCell ref="A486:Z486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D427:E427"/>
    <mergeCell ref="P27:T27"/>
    <mergeCell ref="D75:E75"/>
    <mergeCell ref="P390:T390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N17:N18"/>
    <mergeCell ref="X17:X18"/>
    <mergeCell ref="P216:V216"/>
    <mergeCell ref="A26:Z26"/>
    <mergeCell ref="P230:T230"/>
    <mergeCell ref="P59:V59"/>
    <mergeCell ref="J9:M9"/>
    <mergeCell ref="A296:O297"/>
    <mergeCell ref="D348:E348"/>
    <mergeCell ref="P141:T141"/>
    <mergeCell ref="D62:E62"/>
    <mergeCell ref="D56:E56"/>
    <mergeCell ref="P233:T233"/>
    <mergeCell ref="D347:E347"/>
    <mergeCell ref="P304:T304"/>
    <mergeCell ref="D285:E285"/>
    <mergeCell ref="D176:E176"/>
    <mergeCell ref="D114:E114"/>
    <mergeCell ref="P248:T248"/>
    <mergeCell ref="H17:H18"/>
    <mergeCell ref="D198:E198"/>
    <mergeCell ref="P275:V275"/>
    <mergeCell ref="P104:V104"/>
    <mergeCell ref="A340:Z340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58:V58"/>
    <mergeCell ref="A13:M13"/>
    <mergeCell ref="A119:Z119"/>
    <mergeCell ref="D87:E87"/>
    <mergeCell ref="P244:V244"/>
    <mergeCell ref="P115:T115"/>
    <mergeCell ref="D61:E61"/>
    <mergeCell ref="A15:M15"/>
    <mergeCell ref="P238:T238"/>
    <mergeCell ref="D346:E346"/>
    <mergeCell ref="P229:T229"/>
    <mergeCell ref="A153:O154"/>
    <mergeCell ref="D125:E125"/>
    <mergeCell ref="A66:Z66"/>
    <mergeCell ref="D181:E181"/>
    <mergeCell ref="D52:E52"/>
    <mergeCell ref="P110:V110"/>
    <mergeCell ref="D27:E27"/>
    <mergeCell ref="P484:V484"/>
    <mergeCell ref="P43:T43"/>
    <mergeCell ref="D328:E328"/>
    <mergeCell ref="P285:T285"/>
    <mergeCell ref="P65:V65"/>
    <mergeCell ref="P434:V434"/>
    <mergeCell ref="A253:Z253"/>
    <mergeCell ref="P380:T380"/>
    <mergeCell ref="A367:Z367"/>
    <mergeCell ref="A419:Z419"/>
    <mergeCell ref="P446:T446"/>
    <mergeCell ref="A221:O222"/>
    <mergeCell ref="A286:O287"/>
    <mergeCell ref="D273:E273"/>
    <mergeCell ref="P252:V252"/>
    <mergeCell ref="P105:V105"/>
    <mergeCell ref="P212:T212"/>
    <mergeCell ref="D177:E177"/>
    <mergeCell ref="P448:T448"/>
    <mergeCell ref="D349:E349"/>
    <mergeCell ref="P388:T388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P196:T196"/>
    <mergeCell ref="A185:Z185"/>
    <mergeCell ref="P287:V28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A132:O133"/>
    <mergeCell ref="A325:O326"/>
    <mergeCell ref="A275:O276"/>
    <mergeCell ref="P219:T219"/>
    <mergeCell ref="D162:E162"/>
    <mergeCell ref="D167:E167"/>
    <mergeCell ref="P422:T422"/>
    <mergeCell ref="D232:E232"/>
    <mergeCell ref="A263:Z263"/>
    <mergeCell ref="P264:T264"/>
    <mergeCell ref="A312:O313"/>
    <mergeCell ref="P353:T353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24:E324"/>
    <mergeCell ref="D311:E311"/>
    <mergeCell ref="D115:E115"/>
    <mergeCell ref="P55:T55"/>
    <mergeCell ref="P417:V417"/>
    <mergeCell ref="Q12:R12"/>
    <mergeCell ref="P411:T411"/>
    <mergeCell ref="D388:E388"/>
    <mergeCell ref="P15:T16"/>
    <mergeCell ref="D116:E116"/>
    <mergeCell ref="P23:T23"/>
    <mergeCell ref="F9:G9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A32:O33"/>
    <mergeCell ref="D290:E290"/>
    <mergeCell ref="D94:E94"/>
    <mergeCell ref="Q9:R9"/>
    <mergeCell ref="D255:E255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A182:O183"/>
    <mergeCell ref="P52:T52"/>
    <mergeCell ref="D108:E108"/>
    <mergeCell ref="A34:Z34"/>
    <mergeCell ref="D211:E211"/>
    <mergeCell ref="P168:T168"/>
    <mergeCell ref="P49:V49"/>
    <mergeCell ref="P36:V36"/>
    <mergeCell ref="D322:E322"/>
    <mergeCell ref="P53:T53"/>
    <mergeCell ref="P68:T6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266:T266"/>
    <mergeCell ref="P95:T95"/>
    <mergeCell ref="P182:V182"/>
    <mergeCell ref="D303:E303"/>
    <mergeCell ref="P453:T453"/>
    <mergeCell ref="P396:V396"/>
    <mergeCell ref="A395:O396"/>
    <mergeCell ref="P259:T259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W17:W18"/>
    <mergeCell ref="P45:V45"/>
    <mergeCell ref="P42:T42"/>
    <mergeCell ref="P148:T148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  <mergeCell ref="D410:E410"/>
    <mergeCell ref="A270:Z270"/>
    <mergeCell ref="P391:T391"/>
    <mergeCell ref="D369:E369"/>
    <mergeCell ref="P465:V465"/>
    <mergeCell ref="A459:Z459"/>
    <mergeCell ref="P467:T46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2025-12-09T10:53:44Z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