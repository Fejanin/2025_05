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0E04F22-50E4-448A-95C4-70C277688FB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Z425" i="1" s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Z292" i="1" s="1"/>
  <c r="P292" i="1"/>
  <c r="BO291" i="1"/>
  <c r="BM291" i="1"/>
  <c r="Y291" i="1"/>
  <c r="P291" i="1"/>
  <c r="BO290" i="1"/>
  <c r="BM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N259" i="1"/>
  <c r="BM259" i="1"/>
  <c r="Z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BP219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Y217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P152" i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Y111" i="1" s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F501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H10" i="1"/>
  <c r="A9" i="1"/>
  <c r="F10" i="1" s="1"/>
  <c r="D7" i="1"/>
  <c r="Q6" i="1"/>
  <c r="P2" i="1"/>
  <c r="BP73" i="1" l="1"/>
  <c r="BN73" i="1"/>
  <c r="Z73" i="1"/>
  <c r="BP103" i="1"/>
  <c r="BN103" i="1"/>
  <c r="Z103" i="1"/>
  <c r="BP141" i="1"/>
  <c r="BN141" i="1"/>
  <c r="Z141" i="1"/>
  <c r="BP177" i="1"/>
  <c r="BN177" i="1"/>
  <c r="Z177" i="1"/>
  <c r="BP210" i="1"/>
  <c r="BN210" i="1"/>
  <c r="Z210" i="1"/>
  <c r="BP211" i="1"/>
  <c r="BN211" i="1"/>
  <c r="Z211" i="1"/>
  <c r="BP234" i="1"/>
  <c r="BN234" i="1"/>
  <c r="Z234" i="1"/>
  <c r="BP272" i="1"/>
  <c r="BN272" i="1"/>
  <c r="Z272" i="1"/>
  <c r="BP302" i="1"/>
  <c r="BN302" i="1"/>
  <c r="Z302" i="1"/>
  <c r="BP330" i="1"/>
  <c r="BN330" i="1"/>
  <c r="Z330" i="1"/>
  <c r="BP353" i="1"/>
  <c r="BN353" i="1"/>
  <c r="Z353" i="1"/>
  <c r="BP390" i="1"/>
  <c r="BN390" i="1"/>
  <c r="Z390" i="1"/>
  <c r="BP426" i="1"/>
  <c r="BN426" i="1"/>
  <c r="Z426" i="1"/>
  <c r="BP452" i="1"/>
  <c r="BN452" i="1"/>
  <c r="Z452" i="1"/>
  <c r="X495" i="1"/>
  <c r="Z28" i="1"/>
  <c r="BN28" i="1"/>
  <c r="BP61" i="1"/>
  <c r="BN61" i="1"/>
  <c r="Z61" i="1"/>
  <c r="BP88" i="1"/>
  <c r="BN88" i="1"/>
  <c r="Z88" i="1"/>
  <c r="BP115" i="1"/>
  <c r="BN115" i="1"/>
  <c r="Z115" i="1"/>
  <c r="BP167" i="1"/>
  <c r="BN167" i="1"/>
  <c r="Z167" i="1"/>
  <c r="Y204" i="1"/>
  <c r="BP198" i="1"/>
  <c r="BN198" i="1"/>
  <c r="Z198" i="1"/>
  <c r="BP226" i="1"/>
  <c r="BN226" i="1"/>
  <c r="Z226" i="1"/>
  <c r="BP255" i="1"/>
  <c r="BN255" i="1"/>
  <c r="Z255" i="1"/>
  <c r="Q501" i="1"/>
  <c r="BP316" i="1"/>
  <c r="BN316" i="1"/>
  <c r="Z316" i="1"/>
  <c r="BP343" i="1"/>
  <c r="BN343" i="1"/>
  <c r="Z343" i="1"/>
  <c r="BP380" i="1"/>
  <c r="BN380" i="1"/>
  <c r="Z380" i="1"/>
  <c r="BP409" i="1"/>
  <c r="BN409" i="1"/>
  <c r="Z409" i="1"/>
  <c r="BP438" i="1"/>
  <c r="BN438" i="1"/>
  <c r="Z438" i="1"/>
  <c r="BP468" i="1"/>
  <c r="BN468" i="1"/>
  <c r="Z468" i="1"/>
  <c r="D501" i="1"/>
  <c r="Y96" i="1"/>
  <c r="G501" i="1"/>
  <c r="Y252" i="1"/>
  <c r="BP304" i="1"/>
  <c r="BN304" i="1"/>
  <c r="Z304" i="1"/>
  <c r="BP322" i="1"/>
  <c r="BN322" i="1"/>
  <c r="Z322" i="1"/>
  <c r="BP335" i="1"/>
  <c r="BN335" i="1"/>
  <c r="Z335" i="1"/>
  <c r="BP349" i="1"/>
  <c r="BN349" i="1"/>
  <c r="Z349" i="1"/>
  <c r="Y382" i="1"/>
  <c r="BP378" i="1"/>
  <c r="BN378" i="1"/>
  <c r="Z378" i="1"/>
  <c r="BP392" i="1"/>
  <c r="BN392" i="1"/>
  <c r="Z392" i="1"/>
  <c r="BP411" i="1"/>
  <c r="BN411" i="1"/>
  <c r="Z411" i="1"/>
  <c r="BP428" i="1"/>
  <c r="BN428" i="1"/>
  <c r="Z428" i="1"/>
  <c r="BP444" i="1"/>
  <c r="BN444" i="1"/>
  <c r="Z444" i="1"/>
  <c r="BP454" i="1"/>
  <c r="BN454" i="1"/>
  <c r="Z454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Z22" i="1"/>
  <c r="BN22" i="1"/>
  <c r="Y32" i="1"/>
  <c r="Z30" i="1"/>
  <c r="BN30" i="1"/>
  <c r="C501" i="1"/>
  <c r="Z53" i="1"/>
  <c r="BN53" i="1"/>
  <c r="Z57" i="1"/>
  <c r="BN57" i="1"/>
  <c r="Y65" i="1"/>
  <c r="Z63" i="1"/>
  <c r="BN63" i="1"/>
  <c r="Y71" i="1"/>
  <c r="Z69" i="1"/>
  <c r="BN69" i="1"/>
  <c r="Y77" i="1"/>
  <c r="Z75" i="1"/>
  <c r="BN75" i="1"/>
  <c r="Z86" i="1"/>
  <c r="BN86" i="1"/>
  <c r="Z92" i="1"/>
  <c r="BN92" i="1"/>
  <c r="BP92" i="1"/>
  <c r="Z101" i="1"/>
  <c r="BN101" i="1"/>
  <c r="Z107" i="1"/>
  <c r="BN107" i="1"/>
  <c r="BP107" i="1"/>
  <c r="Z113" i="1"/>
  <c r="BN113" i="1"/>
  <c r="BP113" i="1"/>
  <c r="Z126" i="1"/>
  <c r="BN126" i="1"/>
  <c r="Y132" i="1"/>
  <c r="Z136" i="1"/>
  <c r="BN136" i="1"/>
  <c r="Z147" i="1"/>
  <c r="BN147" i="1"/>
  <c r="I501" i="1"/>
  <c r="Y173" i="1"/>
  <c r="Z165" i="1"/>
  <c r="BN165" i="1"/>
  <c r="Z169" i="1"/>
  <c r="BN169" i="1"/>
  <c r="Z175" i="1"/>
  <c r="BN175" i="1"/>
  <c r="BP175" i="1"/>
  <c r="Z181" i="1"/>
  <c r="Z182" i="1" s="1"/>
  <c r="BN181" i="1"/>
  <c r="BP181" i="1"/>
  <c r="Y182" i="1"/>
  <c r="Z186" i="1"/>
  <c r="BN186" i="1"/>
  <c r="Z196" i="1"/>
  <c r="BN196" i="1"/>
  <c r="BP196" i="1"/>
  <c r="Z200" i="1"/>
  <c r="BN200" i="1"/>
  <c r="Z208" i="1"/>
  <c r="BN208" i="1"/>
  <c r="Z213" i="1"/>
  <c r="BN213" i="1"/>
  <c r="Z219" i="1"/>
  <c r="BN219" i="1"/>
  <c r="Z228" i="1"/>
  <c r="BN228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50" i="1"/>
  <c r="BN250" i="1"/>
  <c r="Z257" i="1"/>
  <c r="BN257" i="1"/>
  <c r="Z267" i="1"/>
  <c r="BN267" i="1"/>
  <c r="Y276" i="1"/>
  <c r="Z274" i="1"/>
  <c r="BN274" i="1"/>
  <c r="Y275" i="1"/>
  <c r="Z279" i="1"/>
  <c r="BN279" i="1"/>
  <c r="Z290" i="1"/>
  <c r="BN290" i="1"/>
  <c r="BP290" i="1"/>
  <c r="BP292" i="1"/>
  <c r="BN292" i="1"/>
  <c r="BP300" i="1"/>
  <c r="BN300" i="1"/>
  <c r="Z300" i="1"/>
  <c r="BP310" i="1"/>
  <c r="BN310" i="1"/>
  <c r="Z310" i="1"/>
  <c r="BP328" i="1"/>
  <c r="BN328" i="1"/>
  <c r="Z328" i="1"/>
  <c r="Y338" i="1"/>
  <c r="BP345" i="1"/>
  <c r="BN345" i="1"/>
  <c r="Z345" i="1"/>
  <c r="BP359" i="1"/>
  <c r="BN359" i="1"/>
  <c r="Z359" i="1"/>
  <c r="Y365" i="1"/>
  <c r="Y364" i="1"/>
  <c r="BP363" i="1"/>
  <c r="BN363" i="1"/>
  <c r="Z363" i="1"/>
  <c r="Z364" i="1" s="1"/>
  <c r="BP368" i="1"/>
  <c r="BN368" i="1"/>
  <c r="Z368" i="1"/>
  <c r="Y381" i="1"/>
  <c r="BP388" i="1"/>
  <c r="BN388" i="1"/>
  <c r="Z388" i="1"/>
  <c r="BP398" i="1"/>
  <c r="BN398" i="1"/>
  <c r="Z398" i="1"/>
  <c r="BP432" i="1"/>
  <c r="BN432" i="1"/>
  <c r="Z432" i="1"/>
  <c r="BP448" i="1"/>
  <c r="BN448" i="1"/>
  <c r="Z448" i="1"/>
  <c r="BP462" i="1"/>
  <c r="BN462" i="1"/>
  <c r="Z462" i="1"/>
  <c r="O501" i="1"/>
  <c r="Y355" i="1"/>
  <c r="Y464" i="1"/>
  <c r="W501" i="1"/>
  <c r="H9" i="1"/>
  <c r="A10" i="1"/>
  <c r="Y25" i="1"/>
  <c r="Y33" i="1"/>
  <c r="Y37" i="1"/>
  <c r="Y45" i="1"/>
  <c r="Y49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4" i="1"/>
  <c r="Y160" i="1"/>
  <c r="Y172" i="1"/>
  <c r="Y178" i="1"/>
  <c r="Y189" i="1"/>
  <c r="Y193" i="1"/>
  <c r="Y205" i="1"/>
  <c r="BP212" i="1"/>
  <c r="BN212" i="1"/>
  <c r="Z212" i="1"/>
  <c r="Y216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BP249" i="1"/>
  <c r="BN249" i="1"/>
  <c r="Z249" i="1"/>
  <c r="BP258" i="1"/>
  <c r="BN258" i="1"/>
  <c r="Z258" i="1"/>
  <c r="BP280" i="1"/>
  <c r="BN280" i="1"/>
  <c r="Z280" i="1"/>
  <c r="Z281" i="1" s="1"/>
  <c r="Y282" i="1"/>
  <c r="Y287" i="1"/>
  <c r="BP284" i="1"/>
  <c r="BN284" i="1"/>
  <c r="Z284" i="1"/>
  <c r="Z286" i="1" s="1"/>
  <c r="Y286" i="1"/>
  <c r="BP344" i="1"/>
  <c r="BN344" i="1"/>
  <c r="Z344" i="1"/>
  <c r="S501" i="1"/>
  <c r="Y350" i="1"/>
  <c r="BP348" i="1"/>
  <c r="BN348" i="1"/>
  <c r="Z348" i="1"/>
  <c r="BP387" i="1"/>
  <c r="BN387" i="1"/>
  <c r="Z387" i="1"/>
  <c r="BP391" i="1"/>
  <c r="BN391" i="1"/>
  <c r="Z391" i="1"/>
  <c r="Y395" i="1"/>
  <c r="BP399" i="1"/>
  <c r="BN399" i="1"/>
  <c r="Z399" i="1"/>
  <c r="Y401" i="1"/>
  <c r="V501" i="1"/>
  <c r="Y405" i="1"/>
  <c r="BP404" i="1"/>
  <c r="BN404" i="1"/>
  <c r="Z404" i="1"/>
  <c r="Z405" i="1" s="1"/>
  <c r="Y406" i="1"/>
  <c r="Y413" i="1"/>
  <c r="BP408" i="1"/>
  <c r="BN408" i="1"/>
  <c r="Z408" i="1"/>
  <c r="Y412" i="1"/>
  <c r="BP424" i="1"/>
  <c r="BN424" i="1"/>
  <c r="Z424" i="1"/>
  <c r="Y435" i="1"/>
  <c r="F9" i="1"/>
  <c r="J9" i="1"/>
  <c r="B501" i="1"/>
  <c r="X492" i="1"/>
  <c r="X493" i="1"/>
  <c r="Z23" i="1"/>
  <c r="Z24" i="1" s="1"/>
  <c r="BN23" i="1"/>
  <c r="Y24" i="1"/>
  <c r="X49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BN68" i="1"/>
  <c r="Z74" i="1"/>
  <c r="BN74" i="1"/>
  <c r="Z76" i="1"/>
  <c r="BN76" i="1"/>
  <c r="Z80" i="1"/>
  <c r="Z82" i="1" s="1"/>
  <c r="BN80" i="1"/>
  <c r="BP80" i="1"/>
  <c r="E501" i="1"/>
  <c r="Z87" i="1"/>
  <c r="Z89" i="1" s="1"/>
  <c r="BN87" i="1"/>
  <c r="Y90" i="1"/>
  <c r="Z93" i="1"/>
  <c r="BN93" i="1"/>
  <c r="Z95" i="1"/>
  <c r="BN95" i="1"/>
  <c r="Z100" i="1"/>
  <c r="BN100" i="1"/>
  <c r="BP100" i="1"/>
  <c r="Z102" i="1"/>
  <c r="BN102" i="1"/>
  <c r="Y105" i="1"/>
  <c r="Z108" i="1"/>
  <c r="Z110" i="1" s="1"/>
  <c r="BN108" i="1"/>
  <c r="Z114" i="1"/>
  <c r="BN114" i="1"/>
  <c r="Z116" i="1"/>
  <c r="BN116" i="1"/>
  <c r="Z120" i="1"/>
  <c r="Z121" i="1" s="1"/>
  <c r="BN120" i="1"/>
  <c r="BP120" i="1"/>
  <c r="Z125" i="1"/>
  <c r="BN125" i="1"/>
  <c r="BP125" i="1"/>
  <c r="Y128" i="1"/>
  <c r="Z131" i="1"/>
  <c r="Z132" i="1" s="1"/>
  <c r="BN131" i="1"/>
  <c r="Z135" i="1"/>
  <c r="Z137" i="1" s="1"/>
  <c r="BN135" i="1"/>
  <c r="BP135" i="1"/>
  <c r="H501" i="1"/>
  <c r="Z142" i="1"/>
  <c r="Z143" i="1" s="1"/>
  <c r="BN142" i="1"/>
  <c r="Y143" i="1"/>
  <c r="Z146" i="1"/>
  <c r="BN146" i="1"/>
  <c r="BP146" i="1"/>
  <c r="Z148" i="1"/>
  <c r="BN148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1" i="1"/>
  <c r="Z187" i="1"/>
  <c r="Z188" i="1" s="1"/>
  <c r="BN187" i="1"/>
  <c r="Y188" i="1"/>
  <c r="Z191" i="1"/>
  <c r="Z193" i="1" s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BP214" i="1"/>
  <c r="BN214" i="1"/>
  <c r="Z214" i="1"/>
  <c r="Y221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BP266" i="1"/>
  <c r="BN266" i="1"/>
  <c r="Z266" i="1"/>
  <c r="BP293" i="1"/>
  <c r="BN293" i="1"/>
  <c r="Z293" i="1"/>
  <c r="BP301" i="1"/>
  <c r="BN301" i="1"/>
  <c r="Z301" i="1"/>
  <c r="Y305" i="1"/>
  <c r="BP309" i="1"/>
  <c r="BN309" i="1"/>
  <c r="Z309" i="1"/>
  <c r="Y313" i="1"/>
  <c r="BP317" i="1"/>
  <c r="BN317" i="1"/>
  <c r="Z317" i="1"/>
  <c r="Y319" i="1"/>
  <c r="Y326" i="1"/>
  <c r="BP321" i="1"/>
  <c r="BN321" i="1"/>
  <c r="Z321" i="1"/>
  <c r="Y325" i="1"/>
  <c r="BP329" i="1"/>
  <c r="BN329" i="1"/>
  <c r="Z329" i="1"/>
  <c r="Z331" i="1" s="1"/>
  <c r="Y331" i="1"/>
  <c r="BP369" i="1"/>
  <c r="BN369" i="1"/>
  <c r="Z369" i="1"/>
  <c r="Z370" i="1" s="1"/>
  <c r="Y371" i="1"/>
  <c r="Y376" i="1"/>
  <c r="BP373" i="1"/>
  <c r="BN373" i="1"/>
  <c r="Z373" i="1"/>
  <c r="Z375" i="1" s="1"/>
  <c r="Y375" i="1"/>
  <c r="BP463" i="1"/>
  <c r="BN463" i="1"/>
  <c r="Z463" i="1"/>
  <c r="Y465" i="1"/>
  <c r="Y470" i="1"/>
  <c r="BP467" i="1"/>
  <c r="BN467" i="1"/>
  <c r="Z467" i="1"/>
  <c r="Y471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L501" i="1"/>
  <c r="Y260" i="1"/>
  <c r="Y261" i="1"/>
  <c r="M501" i="1"/>
  <c r="Y269" i="1"/>
  <c r="BP264" i="1"/>
  <c r="BN264" i="1"/>
  <c r="Z264" i="1"/>
  <c r="Y268" i="1"/>
  <c r="BP273" i="1"/>
  <c r="BN273" i="1"/>
  <c r="Z273" i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Y312" i="1"/>
  <c r="BP311" i="1"/>
  <c r="BN311" i="1"/>
  <c r="Z311" i="1"/>
  <c r="Z312" i="1" s="1"/>
  <c r="Y318" i="1"/>
  <c r="BP315" i="1"/>
  <c r="BN315" i="1"/>
  <c r="Z315" i="1"/>
  <c r="Z318" i="1" s="1"/>
  <c r="BP323" i="1"/>
  <c r="BN323" i="1"/>
  <c r="Z323" i="1"/>
  <c r="Y332" i="1"/>
  <c r="BP336" i="1"/>
  <c r="BN336" i="1"/>
  <c r="Z336" i="1"/>
  <c r="Y351" i="1"/>
  <c r="BP346" i="1"/>
  <c r="BN346" i="1"/>
  <c r="Z346" i="1"/>
  <c r="BP354" i="1"/>
  <c r="BN354" i="1"/>
  <c r="Z354" i="1"/>
  <c r="Z355" i="1" s="1"/>
  <c r="Y356" i="1"/>
  <c r="Y361" i="1"/>
  <c r="BP358" i="1"/>
  <c r="BN358" i="1"/>
  <c r="Z358" i="1"/>
  <c r="Z360" i="1" s="1"/>
  <c r="BP379" i="1"/>
  <c r="BN379" i="1"/>
  <c r="Z379" i="1"/>
  <c r="U501" i="1"/>
  <c r="BP389" i="1"/>
  <c r="BN389" i="1"/>
  <c r="Z389" i="1"/>
  <c r="BP393" i="1"/>
  <c r="BN393" i="1"/>
  <c r="Z393" i="1"/>
  <c r="Y400" i="1"/>
  <c r="BP410" i="1"/>
  <c r="BN410" i="1"/>
  <c r="Z410" i="1"/>
  <c r="BP429" i="1"/>
  <c r="BN429" i="1"/>
  <c r="Z429" i="1"/>
  <c r="BP433" i="1"/>
  <c r="BN433" i="1"/>
  <c r="Z433" i="1"/>
  <c r="Y440" i="1"/>
  <c r="BP437" i="1"/>
  <c r="BN437" i="1"/>
  <c r="Z437" i="1"/>
  <c r="Y441" i="1"/>
  <c r="BP445" i="1"/>
  <c r="BN445" i="1"/>
  <c r="Z445" i="1"/>
  <c r="Y449" i="1"/>
  <c r="BP453" i="1"/>
  <c r="BN453" i="1"/>
  <c r="Z453" i="1"/>
  <c r="Z455" i="1" s="1"/>
  <c r="Y455" i="1"/>
  <c r="P501" i="1"/>
  <c r="Y281" i="1"/>
  <c r="Y296" i="1"/>
  <c r="R501" i="1"/>
  <c r="Y339" i="1"/>
  <c r="T501" i="1"/>
  <c r="Y370" i="1"/>
  <c r="Y396" i="1"/>
  <c r="X501" i="1"/>
  <c r="Y434" i="1"/>
  <c r="BP425" i="1"/>
  <c r="BN425" i="1"/>
  <c r="BP427" i="1"/>
  <c r="BN427" i="1"/>
  <c r="Z427" i="1"/>
  <c r="Z434" i="1" s="1"/>
  <c r="BP431" i="1"/>
  <c r="BN431" i="1"/>
  <c r="Z431" i="1"/>
  <c r="BP439" i="1"/>
  <c r="BN439" i="1"/>
  <c r="Z439" i="1"/>
  <c r="Y450" i="1"/>
  <c r="BP443" i="1"/>
  <c r="BN443" i="1"/>
  <c r="Z443" i="1"/>
  <c r="BP447" i="1"/>
  <c r="BN447" i="1"/>
  <c r="Z447" i="1"/>
  <c r="Y456" i="1"/>
  <c r="BP461" i="1"/>
  <c r="BN461" i="1"/>
  <c r="Z461" i="1"/>
  <c r="BP469" i="1"/>
  <c r="BN469" i="1"/>
  <c r="Z469" i="1"/>
  <c r="Y476" i="1"/>
  <c r="BP473" i="1"/>
  <c r="BN473" i="1"/>
  <c r="Z473" i="1"/>
  <c r="Z475" i="1" s="1"/>
  <c r="Y484" i="1"/>
  <c r="Y501" i="1"/>
  <c r="Z381" i="1" l="1"/>
  <c r="Z275" i="1"/>
  <c r="Z251" i="1"/>
  <c r="Z400" i="1"/>
  <c r="Z338" i="1"/>
  <c r="Z204" i="1"/>
  <c r="Z117" i="1"/>
  <c r="Z96" i="1"/>
  <c r="Y493" i="1"/>
  <c r="Z464" i="1"/>
  <c r="Z440" i="1"/>
  <c r="Z305" i="1"/>
  <c r="Z296" i="1"/>
  <c r="Z268" i="1"/>
  <c r="Z127" i="1"/>
  <c r="Z77" i="1"/>
  <c r="Z70" i="1"/>
  <c r="Z58" i="1"/>
  <c r="Y492" i="1"/>
  <c r="Y494" i="1" s="1"/>
  <c r="Z395" i="1"/>
  <c r="Z350" i="1"/>
  <c r="Z325" i="1"/>
  <c r="Z449" i="1"/>
  <c r="Z470" i="1"/>
  <c r="Z216" i="1"/>
  <c r="Z172" i="1"/>
  <c r="Z149" i="1"/>
  <c r="Z104" i="1"/>
  <c r="Z44" i="1"/>
  <c r="Z32" i="1"/>
  <c r="Y495" i="1"/>
  <c r="X494" i="1"/>
  <c r="Z412" i="1"/>
  <c r="Z235" i="1"/>
  <c r="Y491" i="1"/>
  <c r="Z496" i="1" l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<sst xmlns="http://schemas.openxmlformats.org/spreadsheetml/2006/main" count="2353" uniqueCount="769">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</sst>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topLeftCell="A396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0.41666666666666669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hidden="1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10</v>
      </c>
      <c r="Y58" s="547">
        <f>IFERROR(Y52/H52,"0")+IFERROR(Y53/H53,"0")+IFERROR(Y54/H54,"0")+IFERROR(Y55/H55,"0")+IFERROR(Y56/H56,"0")+IFERROR(Y57/H57,"0")</f>
        <v>10</v>
      </c>
      <c r="Z58" s="547">
        <f>IFERROR(IF(Z52="",0,Z52),"0")+IFERROR(IF(Z53="",0,Z53),"0")+IFERROR(IF(Z54="",0,Z54),"0")+IFERROR(IF(Z55="",0,Z55),"0")+IFERROR(IF(Z56="",0,Z56),"0")+IFERROR(IF(Z57="",0,Z57),"0")</f>
        <v>9.0200000000000002E-2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45</v>
      </c>
      <c r="Y59" s="547">
        <f>IFERROR(SUM(Y52:Y57),"0")</f>
        <v>45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20</v>
      </c>
      <c r="Y61" s="546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20.75925925925926</v>
      </c>
      <c r="BN61" s="64">
        <f>IFERROR(Y61*I61/H61,"0")</f>
        <v>22.42</v>
      </c>
      <c r="BO61" s="64">
        <f>IFERROR(1/J61*(X61/H61),"0")</f>
        <v>2.8935185185185182E-2</v>
      </c>
      <c r="BP61" s="64">
        <f>IFERROR(1/J61*(Y61/H61),"0")</f>
        <v>3.125E-2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1.8518518518518516</v>
      </c>
      <c r="Y64" s="547">
        <f>IFERROR(Y61/H61,"0")+IFERROR(Y62/H62,"0")+IFERROR(Y63/H63,"0")</f>
        <v>2</v>
      </c>
      <c r="Z64" s="547">
        <f>IFERROR(IF(Z61="",0,Z61),"0")+IFERROR(IF(Z62="",0,Z62),"0")+IFERROR(IF(Z63="",0,Z63),"0")</f>
        <v>3.7960000000000001E-2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20</v>
      </c>
      <c r="Y65" s="547">
        <f>IFERROR(SUM(Y61:Y63),"0")</f>
        <v>21.6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100</v>
      </c>
      <c r="Y113" s="546">
        <f>IFERROR(IF(X113="",0,CEILING((X113/$H113),1)*$H113),"")</f>
        <v>105.3</v>
      </c>
      <c r="Z113" s="36">
        <f>IFERROR(IF(Y113=0,"",ROUNDUP(Y113/H113,0)*0.01898),"")</f>
        <v>0.24674000000000001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106.0246913580247</v>
      </c>
      <c r="BN113" s="64">
        <f>IFERROR(Y113*I113/H113,"0")</f>
        <v>111.64399999999999</v>
      </c>
      <c r="BO113" s="64">
        <f>IFERROR(1/J113*(X113/H113),"0")</f>
        <v>0.19290123456790123</v>
      </c>
      <c r="BP113" s="64">
        <f>IFERROR(1/J113*(Y113/H113),"0")</f>
        <v>0.203125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12.345679012345679</v>
      </c>
      <c r="Y117" s="547">
        <f>IFERROR(Y113/H113,"0")+IFERROR(Y114/H114,"0")+IFERROR(Y115/H115,"0")+IFERROR(Y116/H116,"0")</f>
        <v>13</v>
      </c>
      <c r="Z117" s="547">
        <f>IFERROR(IF(Z113="",0,Z113),"0")+IFERROR(IF(Z114="",0,Z114),"0")+IFERROR(IF(Z115="",0,Z115),"0")+IFERROR(IF(Z116="",0,Z116),"0")</f>
        <v>0.24674000000000001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100</v>
      </c>
      <c r="Y118" s="547">
        <f>IFERROR(SUM(Y113:Y116),"0")</f>
        <v>105.3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9</v>
      </c>
      <c r="Y125" s="546">
        <f>IFERROR(IF(X125="",0,CEILING((X125/$H125),1)*$H125),"")</f>
        <v>9.6000000000000014</v>
      </c>
      <c r="Z125" s="36">
        <f>IFERROR(IF(Y125=0,"",ROUNDUP(Y125/H125,0)*0.00651),"")</f>
        <v>1.9529999999999999E-2</v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9.5062499999999996</v>
      </c>
      <c r="BN125" s="64">
        <f>IFERROR(Y125*I125/H125,"0")</f>
        <v>10.139999999999999</v>
      </c>
      <c r="BO125" s="64">
        <f>IFERROR(1/J125*(X125/H125),"0")</f>
        <v>1.5453296703296704E-2</v>
      </c>
      <c r="BP125" s="64">
        <f>IFERROR(1/J125*(Y125/H125),"0")</f>
        <v>1.6483516483516487E-2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2.8125</v>
      </c>
      <c r="Y127" s="547">
        <f>IFERROR(Y125/H125,"0")+IFERROR(Y126/H126,"0")</f>
        <v>3.0000000000000004</v>
      </c>
      <c r="Z127" s="547">
        <f>IFERROR(IF(Z125="",0,Z125),"0")+IFERROR(IF(Z126="",0,Z126),"0")</f>
        <v>1.9529999999999999E-2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9</v>
      </c>
      <c r="Y128" s="547">
        <f>IFERROR(SUM(Y125:Y126),"0")</f>
        <v>9.6000000000000014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8</v>
      </c>
      <c r="Y130" s="546">
        <f>IFERROR(IF(X130="",0,CEILING((X130/$H130),1)*$H130),"")</f>
        <v>8.3999999999999986</v>
      </c>
      <c r="Z130" s="36">
        <f>IFERROR(IF(Y130=0,"",ROUNDUP(Y130/H130,0)*0.00651),"")</f>
        <v>1.9529999999999999E-2</v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8.7657142857142869</v>
      </c>
      <c r="BN130" s="64">
        <f>IFERROR(Y130*I130/H130,"0")</f>
        <v>9.2039999999999988</v>
      </c>
      <c r="BO130" s="64">
        <f>IFERROR(1/J130*(X130/H130),"0")</f>
        <v>1.5698587127158558E-2</v>
      </c>
      <c r="BP130" s="64">
        <f>IFERROR(1/J130*(Y130/H130),"0")</f>
        <v>1.6483516483516484E-2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2.8571428571428572</v>
      </c>
      <c r="Y132" s="547">
        <f>IFERROR(Y130/H130,"0")+IFERROR(Y131/H131,"0")</f>
        <v>2.9999999999999996</v>
      </c>
      <c r="Z132" s="547">
        <f>IFERROR(IF(Z130="",0,Z130),"0")+IFERROR(IF(Z131="",0,Z131),"0")</f>
        <v>1.9529999999999999E-2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8</v>
      </c>
      <c r="Y133" s="547">
        <f>IFERROR(SUM(Y130:Y131),"0")</f>
        <v>8.3999999999999986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7</v>
      </c>
      <c r="Y135" s="546">
        <f>IFERROR(IF(X135="",0,CEILING((X135/$H135),1)*$H135),"")</f>
        <v>7.92</v>
      </c>
      <c r="Z135" s="36">
        <f>IFERROR(IF(Y135=0,"",ROUNDUP(Y135/H135,0)*0.00651),"")</f>
        <v>1.9529999999999999E-2</v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7.7106060606060591</v>
      </c>
      <c r="BN135" s="64">
        <f>IFERROR(Y135*I135/H135,"0")</f>
        <v>8.7240000000000002</v>
      </c>
      <c r="BO135" s="64">
        <f>IFERROR(1/J135*(X135/H135),"0")</f>
        <v>1.456876456876457E-2</v>
      </c>
      <c r="BP135" s="64">
        <f>IFERROR(1/J135*(Y135/H135),"0")</f>
        <v>1.6483516483516484E-2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2.6515151515151514</v>
      </c>
      <c r="Y137" s="547">
        <f>IFERROR(Y135/H135,"0")+IFERROR(Y136/H136,"0")</f>
        <v>3</v>
      </c>
      <c r="Z137" s="547">
        <f>IFERROR(IF(Z135="",0,Z135),"0")+IFERROR(IF(Z136="",0,Z136),"0")</f>
        <v>1.9529999999999999E-2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7</v>
      </c>
      <c r="Y138" s="547">
        <f>IFERROR(SUM(Y135:Y136),"0")</f>
        <v>7.92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120</v>
      </c>
      <c r="Y164" s="546">
        <f t="shared" si="5"/>
        <v>121.80000000000001</v>
      </c>
      <c r="Z164" s="36">
        <f>IFERROR(IF(Y164=0,"",ROUNDUP(Y164/H164,0)*0.00902),"")</f>
        <v>0.26158000000000003</v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125.42857142857142</v>
      </c>
      <c r="BN164" s="64">
        <f t="shared" si="7"/>
        <v>127.30999999999999</v>
      </c>
      <c r="BO164" s="64">
        <f t="shared" si="8"/>
        <v>0.21645021645021645</v>
      </c>
      <c r="BP164" s="64">
        <f t="shared" si="9"/>
        <v>0.2196969696969697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28.571428571428569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29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0.26158000000000003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120</v>
      </c>
      <c r="Y173" s="547">
        <f>IFERROR(SUM(Y162:Y171),"0")</f>
        <v>121.80000000000001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300</v>
      </c>
      <c r="Y196" s="546">
        <f t="shared" ref="Y196:Y203" si="10">IFERROR(IF(X196="",0,CEILING((X196/$H196),1)*$H196),"")</f>
        <v>302.40000000000003</v>
      </c>
      <c r="Z196" s="36">
        <f>IFERROR(IF(Y196=0,"",ROUNDUP(Y196/H196,0)*0.00902),"")</f>
        <v>0.50512000000000001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310.55555555555554</v>
      </c>
      <c r="BN196" s="64">
        <f t="shared" ref="BN196:BN203" si="12">IFERROR(Y196*I196/H196,"0")</f>
        <v>313.04000000000002</v>
      </c>
      <c r="BO196" s="64">
        <f t="shared" ref="BO196:BO203" si="13">IFERROR(1/J196*(X196/H196),"0")</f>
        <v>0.42087542087542085</v>
      </c>
      <c r="BP196" s="64">
        <f t="shared" ref="BP196:BP203" si="14">IFERROR(1/J196*(Y196/H196),"0")</f>
        <v>0.42424242424242425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150</v>
      </c>
      <c r="Y197" s="546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400</v>
      </c>
      <c r="Y198" s="546">
        <f t="shared" si="10"/>
        <v>405</v>
      </c>
      <c r="Z198" s="36">
        <f>IFERROR(IF(Y198=0,"",ROUNDUP(Y198/H198,0)*0.00902),"")</f>
        <v>0.67649999999999999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414.07407407407402</v>
      </c>
      <c r="BN198" s="64">
        <f t="shared" si="12"/>
        <v>419.24999999999994</v>
      </c>
      <c r="BO198" s="64">
        <f t="shared" si="13"/>
        <v>0.5611672278338945</v>
      </c>
      <c r="BP198" s="64">
        <f t="shared" si="14"/>
        <v>0.56818181818181823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640</v>
      </c>
      <c r="Y199" s="546">
        <f t="shared" si="10"/>
        <v>642.6</v>
      </c>
      <c r="Z199" s="36">
        <f>IFERROR(IF(Y199=0,"",ROUNDUP(Y199/H199,0)*0.00902),"")</f>
        <v>1.07338</v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662.51851851851848</v>
      </c>
      <c r="BN199" s="64">
        <f t="shared" si="12"/>
        <v>665.20999999999992</v>
      </c>
      <c r="BO199" s="64">
        <f t="shared" si="13"/>
        <v>0.89786756453423111</v>
      </c>
      <c r="BP199" s="64">
        <f t="shared" si="14"/>
        <v>0.90151515151515149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5</v>
      </c>
      <c r="Y201" s="546">
        <f t="shared" si="10"/>
        <v>5.4</v>
      </c>
      <c r="Z201" s="36">
        <f>IFERROR(IF(Y201=0,"",ROUNDUP(Y201/H201,0)*0.00502),"")</f>
        <v>1.506E-2</v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5.2777777777777777</v>
      </c>
      <c r="BN201" s="64">
        <f t="shared" si="12"/>
        <v>5.7</v>
      </c>
      <c r="BO201" s="64">
        <f t="shared" si="13"/>
        <v>1.1870845204178538E-2</v>
      </c>
      <c r="BP201" s="64">
        <f t="shared" si="14"/>
        <v>1.2820512820512822E-2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5</v>
      </c>
      <c r="Y202" s="546">
        <f t="shared" si="10"/>
        <v>5.4</v>
      </c>
      <c r="Z202" s="36">
        <f>IFERROR(IF(Y202=0,"",ROUNDUP(Y202/H202,0)*0.00502),"")</f>
        <v>1.506E-2</v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5.2777777777777777</v>
      </c>
      <c r="BN202" s="64">
        <f t="shared" si="12"/>
        <v>5.7</v>
      </c>
      <c r="BO202" s="64">
        <f t="shared" si="13"/>
        <v>1.1870845204178538E-2</v>
      </c>
      <c r="BP202" s="64">
        <f t="shared" si="14"/>
        <v>1.2820512820512822E-2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281.48148148148141</v>
      </c>
      <c r="Y204" s="547">
        <f>IFERROR(Y196/H196,"0")+IFERROR(Y197/H197,"0")+IFERROR(Y198/H198,"0")+IFERROR(Y199/H199,"0")+IFERROR(Y200/H200,"0")+IFERROR(Y201/H201,"0")+IFERROR(Y202/H202,"0")+IFERROR(Y203/H203,"0")</f>
        <v>284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2.5376799999999999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1500</v>
      </c>
      <c r="Y205" s="547">
        <f>IFERROR(SUM(Y196:Y203),"0")</f>
        <v>1512.0000000000002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80</v>
      </c>
      <c r="Y209" s="546">
        <f t="shared" si="15"/>
        <v>87</v>
      </c>
      <c r="Z209" s="36">
        <f>IFERROR(IF(Y209=0,"",ROUNDUP(Y209/H209,0)*0.01898),"")</f>
        <v>0.1898</v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84.542528735632203</v>
      </c>
      <c r="BN209" s="64">
        <f t="shared" si="17"/>
        <v>91.940000000000012</v>
      </c>
      <c r="BO209" s="64">
        <f t="shared" si="18"/>
        <v>0.14367816091954025</v>
      </c>
      <c r="BP209" s="64">
        <f t="shared" si="19"/>
        <v>0.15625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16</v>
      </c>
      <c r="Y210" s="546">
        <f t="shared" si="15"/>
        <v>16.8</v>
      </c>
      <c r="Z210" s="36">
        <f t="shared" ref="Z210:Z215" si="20">IFERROR(IF(Y210=0,"",ROUNDUP(Y210/H210,0)*0.00651),"")</f>
        <v>4.5569999999999999E-2</v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17.8</v>
      </c>
      <c r="BN210" s="64">
        <f t="shared" si="17"/>
        <v>18.690000000000001</v>
      </c>
      <c r="BO210" s="64">
        <f t="shared" si="18"/>
        <v>3.6630036630036632E-2</v>
      </c>
      <c r="BP210" s="64">
        <f t="shared" si="19"/>
        <v>3.8461538461538471E-2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103</v>
      </c>
      <c r="Y212" s="546">
        <f t="shared" si="15"/>
        <v>103.2</v>
      </c>
      <c r="Z212" s="36">
        <f t="shared" si="20"/>
        <v>0.27993000000000001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113.81500000000001</v>
      </c>
      <c r="BN212" s="64">
        <f t="shared" si="17"/>
        <v>114.03600000000003</v>
      </c>
      <c r="BO212" s="64">
        <f t="shared" si="18"/>
        <v>0.23580586080586086</v>
      </c>
      <c r="BP212" s="64">
        <f t="shared" si="19"/>
        <v>0.23626373626373628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7</v>
      </c>
      <c r="Y213" s="546">
        <f t="shared" si="15"/>
        <v>7.1999999999999993</v>
      </c>
      <c r="Z213" s="36">
        <f t="shared" si="20"/>
        <v>1.9529999999999999E-2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7.7350000000000003</v>
      </c>
      <c r="BN213" s="64">
        <f t="shared" si="17"/>
        <v>7.9560000000000004</v>
      </c>
      <c r="BO213" s="64">
        <f t="shared" si="18"/>
        <v>1.6025641025641028E-2</v>
      </c>
      <c r="BP213" s="64">
        <f t="shared" si="19"/>
        <v>1.6483516483516484E-2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103</v>
      </c>
      <c r="Y214" s="546">
        <f t="shared" si="15"/>
        <v>103.2</v>
      </c>
      <c r="Z214" s="36">
        <f t="shared" si="20"/>
        <v>0.27993000000000001</v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113.81500000000001</v>
      </c>
      <c r="BN214" s="64">
        <f t="shared" si="17"/>
        <v>114.03600000000003</v>
      </c>
      <c r="BO214" s="64">
        <f t="shared" si="18"/>
        <v>0.23580586080586086</v>
      </c>
      <c r="BP214" s="64">
        <f t="shared" si="19"/>
        <v>0.23626373626373628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103</v>
      </c>
      <c r="Y215" s="546">
        <f t="shared" si="15"/>
        <v>103.2</v>
      </c>
      <c r="Z215" s="36">
        <f t="shared" si="20"/>
        <v>0.27993000000000001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114.07250000000001</v>
      </c>
      <c r="BN215" s="64">
        <f t="shared" si="17"/>
        <v>114.29400000000001</v>
      </c>
      <c r="BO215" s="64">
        <f t="shared" si="18"/>
        <v>0.23580586080586086</v>
      </c>
      <c r="BP215" s="64">
        <f t="shared" si="19"/>
        <v>0.23626373626373628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147.5287356321839</v>
      </c>
      <c r="Y216" s="547">
        <f>IFERROR(Y207/H207,"0")+IFERROR(Y208/H208,"0")+IFERROR(Y209/H209,"0")+IFERROR(Y210/H210,"0")+IFERROR(Y211/H211,"0")+IFERROR(Y212/H212,"0")+IFERROR(Y213/H213,"0")+IFERROR(Y214/H214,"0")+IFERROR(Y215/H215,"0")</f>
        <v>149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1.0946899999999999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412</v>
      </c>
      <c r="Y217" s="547">
        <f>IFERROR(SUM(Y207:Y215),"0")</f>
        <v>420.59999999999997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31</v>
      </c>
      <c r="Y219" s="546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34.255000000000003</v>
      </c>
      <c r="BN219" s="64">
        <f>IFERROR(Y219*I219/H219,"0")</f>
        <v>34.476000000000006</v>
      </c>
      <c r="BO219" s="64">
        <f>IFERROR(1/J219*(X219/H219),"0")</f>
        <v>7.0970695970695982E-2</v>
      </c>
      <c r="BP219" s="64">
        <f>IFERROR(1/J219*(Y219/H219),"0")</f>
        <v>7.1428571428571438E-2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31</v>
      </c>
      <c r="Y220" s="546">
        <f>IFERROR(IF(X220="",0,CEILING((X220/$H220),1)*$H220),"")</f>
        <v>31.2</v>
      </c>
      <c r="Z220" s="36">
        <f>IFERROR(IF(Y220=0,"",ROUNDUP(Y220/H220,0)*0.00651),"")</f>
        <v>8.4629999999999997E-2</v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34.255000000000003</v>
      </c>
      <c r="BN220" s="64">
        <f>IFERROR(Y220*I220/H220,"0")</f>
        <v>34.476000000000006</v>
      </c>
      <c r="BO220" s="64">
        <f>IFERROR(1/J220*(X220/H220),"0")</f>
        <v>7.0970695970695982E-2</v>
      </c>
      <c r="BP220" s="64">
        <f>IFERROR(1/J220*(Y220/H220),"0")</f>
        <v>7.1428571428571438E-2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25.833333333333336</v>
      </c>
      <c r="Y221" s="547">
        <f>IFERROR(Y219/H219,"0")+IFERROR(Y220/H220,"0")</f>
        <v>26</v>
      </c>
      <c r="Z221" s="547">
        <f>IFERROR(IF(Z219="",0,Z219),"0")+IFERROR(IF(Z220="",0,Z220),"0")</f>
        <v>0.16925999999999999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62</v>
      </c>
      <c r="Y222" s="547">
        <f>IFERROR(SUM(Y219:Y220),"0")</f>
        <v>62.4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20</v>
      </c>
      <c r="Y255" s="546">
        <f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20.75925925925926</v>
      </c>
      <c r="BN255" s="64">
        <f>IFERROR(Y255*I255/H255,"0")</f>
        <v>22.42</v>
      </c>
      <c r="BO255" s="64">
        <f>IFERROR(1/J255*(X255/H255),"0")</f>
        <v>2.8935185185185182E-2</v>
      </c>
      <c r="BP255" s="64">
        <f>IFERROR(1/J255*(Y255/H255),"0")</f>
        <v>3.125E-2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30</v>
      </c>
      <c r="Y257" s="546">
        <f>IFERROR(IF(X257="",0,CEILING((X257/$H257),1)*$H257),"")</f>
        <v>32.400000000000006</v>
      </c>
      <c r="Z257" s="36">
        <f>IFERROR(IF(Y257=0,"",ROUNDUP(Y257/H257,0)*0.01898),"")</f>
        <v>5.6940000000000004E-2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31.138888888888889</v>
      </c>
      <c r="BN257" s="64">
        <f>IFERROR(Y257*I257/H257,"0")</f>
        <v>33.630000000000003</v>
      </c>
      <c r="BO257" s="64">
        <f>IFERROR(1/J257*(X257/H257),"0")</f>
        <v>4.3402777777777776E-2</v>
      </c>
      <c r="BP257" s="64">
        <f>IFERROR(1/J257*(Y257/H257),"0")</f>
        <v>4.6875000000000007E-2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4.6296296296296298</v>
      </c>
      <c r="Y260" s="547">
        <f>IFERROR(Y255/H255,"0")+IFERROR(Y256/H256,"0")+IFERROR(Y257/H257,"0")+IFERROR(Y258/H258,"0")+IFERROR(Y259/H259,"0")</f>
        <v>5</v>
      </c>
      <c r="Z260" s="547">
        <f>IFERROR(IF(Z255="",0,Z255),"0")+IFERROR(IF(Z256="",0,Z256),"0")+IFERROR(IF(Z257="",0,Z257),"0")+IFERROR(IF(Z258="",0,Z258),"0")+IFERROR(IF(Z259="",0,Z259),"0")</f>
        <v>9.4900000000000012E-2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50</v>
      </c>
      <c r="Y261" s="547">
        <f>IFERROR(SUM(Y255:Y259),"0")</f>
        <v>54.000000000000007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60</v>
      </c>
      <c r="Y300" s="546">
        <f t="shared" si="31"/>
        <v>63</v>
      </c>
      <c r="Z300" s="36">
        <f>IFERROR(IF(Y300=0,"",ROUNDUP(Y300/H300,0)*0.00902),"")</f>
        <v>0.1353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63.571428571428569</v>
      </c>
      <c r="BN300" s="64">
        <f t="shared" si="33"/>
        <v>66.75</v>
      </c>
      <c r="BO300" s="64">
        <f t="shared" si="34"/>
        <v>0.10822510822510822</v>
      </c>
      <c r="BP300" s="64">
        <f t="shared" si="35"/>
        <v>0.11363636363636365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14.285714285714285</v>
      </c>
      <c r="Y305" s="547">
        <f>IFERROR(Y299/H299,"0")+IFERROR(Y300/H300,"0")+IFERROR(Y301/H301,"0")+IFERROR(Y302/H302,"0")+IFERROR(Y303/H303,"0")+IFERROR(Y304/H304,"0")</f>
        <v>15</v>
      </c>
      <c r="Z305" s="547">
        <f>IFERROR(IF(Z299="",0,Z299),"0")+IFERROR(IF(Z300="",0,Z300),"0")+IFERROR(IF(Z301="",0,Z301),"0")+IFERROR(IF(Z302="",0,Z302),"0")+IFERROR(IF(Z303="",0,Z303),"0")+IFERROR(IF(Z304="",0,Z304),"0")</f>
        <v>0.1353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60</v>
      </c>
      <c r="Y306" s="547">
        <f>IFERROR(SUM(Y299:Y304),"0")</f>
        <v>63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1000</v>
      </c>
      <c r="Y308" s="546">
        <f>IFERROR(IF(X308="",0,CEILING((X308/$H308),1)*$H308),"")</f>
        <v>1006.1999999999999</v>
      </c>
      <c r="Z308" s="36">
        <f>IFERROR(IF(Y308=0,"",ROUNDUP(Y308/H308,0)*0.01898),"")</f>
        <v>2.44842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1062.5641025641025</v>
      </c>
      <c r="BN308" s="64">
        <f>IFERROR(Y308*I308/H308,"0")</f>
        <v>1069.152</v>
      </c>
      <c r="BO308" s="64">
        <f>IFERROR(1/J308*(X308/H308),"0")</f>
        <v>2.0032051282051282</v>
      </c>
      <c r="BP308" s="64">
        <f>IFERROR(1/J308*(Y308/H308),"0")</f>
        <v>2.015625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128.2051282051282</v>
      </c>
      <c r="Y312" s="547">
        <f>IFERROR(Y308/H308,"0")+IFERROR(Y309/H309,"0")+IFERROR(Y310/H310,"0")+IFERROR(Y311/H311,"0")</f>
        <v>129</v>
      </c>
      <c r="Z312" s="547">
        <f>IFERROR(IF(Z308="",0,Z308),"0")+IFERROR(IF(Z309="",0,Z309),"0")+IFERROR(IF(Z310="",0,Z310),"0")+IFERROR(IF(Z311="",0,Z311),"0")</f>
        <v>2.44842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1000</v>
      </c>
      <c r="Y313" s="547">
        <f>IFERROR(SUM(Y308:Y311),"0")</f>
        <v>1006.1999999999999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60</v>
      </c>
      <c r="Y315" s="546">
        <f>IFERROR(IF(X315="",0,CEILING((X315/$H315),1)*$H315),"")</f>
        <v>67.2</v>
      </c>
      <c r="Z315" s="36">
        <f>IFERROR(IF(Y315=0,"",ROUNDUP(Y315/H315,0)*0.01898),"")</f>
        <v>0.15184</v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63.528571428571425</v>
      </c>
      <c r="BN315" s="64">
        <f>IFERROR(Y315*I315/H315,"0")</f>
        <v>71.152000000000001</v>
      </c>
      <c r="BO315" s="64">
        <f>IFERROR(1/J315*(X315/H315),"0")</f>
        <v>0.11160714285714285</v>
      </c>
      <c r="BP315" s="64">
        <f>IFERROR(1/J315*(Y315/H315),"0")</f>
        <v>0.125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120</v>
      </c>
      <c r="Y316" s="546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127.60000000000001</v>
      </c>
      <c r="BN316" s="64">
        <f>IFERROR(Y316*I316/H316,"0")</f>
        <v>132.70400000000001</v>
      </c>
      <c r="BO316" s="64">
        <f>IFERROR(1/J316*(X316/H316),"0")</f>
        <v>0.24038461538461539</v>
      </c>
      <c r="BP316" s="64">
        <f>IFERROR(1/J316*(Y316/H316),"0")</f>
        <v>0.25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80</v>
      </c>
      <c r="Y317" s="546">
        <f>IFERROR(IF(X317="",0,CEILING((X317/$H317),1)*$H317),"")</f>
        <v>84</v>
      </c>
      <c r="Z317" s="36">
        <f>IFERROR(IF(Y317=0,"",ROUNDUP(Y317/H317,0)*0.01898),"")</f>
        <v>0.1898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84.704761904761895</v>
      </c>
      <c r="BN317" s="64">
        <f>IFERROR(Y317*I317/H317,"0")</f>
        <v>88.94</v>
      </c>
      <c r="BO317" s="64">
        <f>IFERROR(1/J317*(X317/H317),"0")</f>
        <v>0.14880952380952381</v>
      </c>
      <c r="BP317" s="64">
        <f>IFERROR(1/J317*(Y317/H317),"0")</f>
        <v>0.15625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32.051282051282051</v>
      </c>
      <c r="Y318" s="547">
        <f>IFERROR(Y315/H315,"0")+IFERROR(Y316/H316,"0")+IFERROR(Y317/H317,"0")</f>
        <v>34</v>
      </c>
      <c r="Z318" s="547">
        <f>IFERROR(IF(Z315="",0,Z315),"0")+IFERROR(IF(Z316="",0,Z316),"0")+IFERROR(IF(Z317="",0,Z317),"0")</f>
        <v>0.64532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260</v>
      </c>
      <c r="Y319" s="547">
        <f>IFERROR(SUM(Y315:Y317),"0")</f>
        <v>276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90</v>
      </c>
      <c r="Y335" s="546">
        <f>IFERROR(IF(X335="",0,CEILING((X335/$H335),1)*$H335),"")</f>
        <v>97.199999999999989</v>
      </c>
      <c r="Z335" s="36">
        <f>IFERROR(IF(Y335=0,"",ROUNDUP(Y335/H335,0)*0.01898),"")</f>
        <v>0.22776000000000002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95.48888888888888</v>
      </c>
      <c r="BN335" s="64">
        <f>IFERROR(Y335*I335/H335,"0")</f>
        <v>103.12799999999999</v>
      </c>
      <c r="BO335" s="64">
        <f>IFERROR(1/J335*(X335/H335),"0")</f>
        <v>0.1736111111111111</v>
      </c>
      <c r="BP335" s="64">
        <f>IFERROR(1/J335*(Y335/H335),"0")</f>
        <v>0.1875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11.111111111111111</v>
      </c>
      <c r="Y338" s="547">
        <f>IFERROR(Y335/H335,"0")+IFERROR(Y336/H336,"0")+IFERROR(Y337/H337,"0")</f>
        <v>12</v>
      </c>
      <c r="Z338" s="547">
        <f>IFERROR(IF(Z335="",0,Z335),"0")+IFERROR(IF(Z336="",0,Z336),"0")+IFERROR(IF(Z337="",0,Z337),"0")</f>
        <v>0.22776000000000002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90</v>
      </c>
      <c r="Y339" s="547">
        <f>IFERROR(SUM(Y335:Y337),"0")</f>
        <v>97.199999999999989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3000</v>
      </c>
      <c r="Y343" s="546">
        <f t="shared" ref="Y343:Y349" si="36">IFERROR(IF(X343="",0,CEILING((X343/$H343),1)*$H343),"")</f>
        <v>3000</v>
      </c>
      <c r="Z343" s="36">
        <f>IFERROR(IF(Y343=0,"",ROUNDUP(Y343/H343,0)*0.02175),"")</f>
        <v>4.3499999999999996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3094</v>
      </c>
      <c r="BN343" s="64">
        <f t="shared" ref="BN343:BN349" si="38">IFERROR(Y343*I343/H343,"0")</f>
        <v>3094</v>
      </c>
      <c r="BO343" s="64">
        <f t="shared" ref="BO343:BO349" si="39">IFERROR(1/J343*(X343/H343),"0")</f>
        <v>4.1666666666666661</v>
      </c>
      <c r="BP343" s="64">
        <f t="shared" ref="BP343:BP349" si="40">IFERROR(1/J343*(Y343/H343),"0")</f>
        <v>4.1666666666666661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2500</v>
      </c>
      <c r="Y344" s="546">
        <f t="shared" si="36"/>
        <v>2505</v>
      </c>
      <c r="Z344" s="36">
        <f>IFERROR(IF(Y344=0,"",ROUNDUP(Y344/H344,0)*0.02175),"")</f>
        <v>3.6322499999999995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2578.3333333333335</v>
      </c>
      <c r="BN344" s="64">
        <f t="shared" si="38"/>
        <v>2583.4899999999998</v>
      </c>
      <c r="BO344" s="64">
        <f t="shared" si="39"/>
        <v>3.4722222222222219</v>
      </c>
      <c r="BP344" s="64">
        <f t="shared" si="40"/>
        <v>3.4791666666666665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3000</v>
      </c>
      <c r="Y346" s="546">
        <f t="shared" si="36"/>
        <v>3000</v>
      </c>
      <c r="Z346" s="36">
        <f>IFERROR(IF(Y346=0,"",ROUNDUP(Y346/H346,0)*0.02175),"")</f>
        <v>4.3499999999999996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3094</v>
      </c>
      <c r="BN346" s="64">
        <f t="shared" si="38"/>
        <v>3094</v>
      </c>
      <c r="BO346" s="64">
        <f t="shared" si="39"/>
        <v>4.1666666666666661</v>
      </c>
      <c r="BP346" s="64">
        <f t="shared" si="40"/>
        <v>4.1666666666666661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566.66666666666663</v>
      </c>
      <c r="Y350" s="547">
        <f>IFERROR(Y343/H343,"0")+IFERROR(Y344/H344,"0")+IFERROR(Y345/H345,"0")+IFERROR(Y346/H346,"0")+IFERROR(Y347/H347,"0")+IFERROR(Y348/H348,"0")+IFERROR(Y349/H349,"0")</f>
        <v>567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12.332249999999998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8500</v>
      </c>
      <c r="Y351" s="547">
        <f>IFERROR(SUM(Y343:Y349),"0")</f>
        <v>8505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3000</v>
      </c>
      <c r="Y353" s="546">
        <f>IFERROR(IF(X353="",0,CEILING((X353/$H353),1)*$H353),"")</f>
        <v>3000</v>
      </c>
      <c r="Z353" s="36">
        <f>IFERROR(IF(Y353=0,"",ROUNDUP(Y353/H353,0)*0.02175),"")</f>
        <v>4.3499999999999996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3094</v>
      </c>
      <c r="BN353" s="64">
        <f>IFERROR(Y353*I353/H353,"0")</f>
        <v>3094</v>
      </c>
      <c r="BO353" s="64">
        <f>IFERROR(1/J353*(X353/H353),"0")</f>
        <v>4.1666666666666661</v>
      </c>
      <c r="BP353" s="64">
        <f>IFERROR(1/J353*(Y353/H353),"0")</f>
        <v>4.1666666666666661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200</v>
      </c>
      <c r="Y355" s="547">
        <f>IFERROR(Y353/H353,"0")+IFERROR(Y354/H354,"0")</f>
        <v>200</v>
      </c>
      <c r="Z355" s="547">
        <f>IFERROR(IF(Z353="",0,Z353),"0")+IFERROR(IF(Z354="",0,Z354),"0")</f>
        <v>4.3499999999999996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3000</v>
      </c>
      <c r="Y356" s="547">
        <f>IFERROR(SUM(Y353:Y354),"0")</f>
        <v>3000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650</v>
      </c>
      <c r="Y358" s="546">
        <f>IFERROR(IF(X358="",0,CEILING((X358/$H358),1)*$H358),"")</f>
        <v>657</v>
      </c>
      <c r="Z358" s="36">
        <f>IFERROR(IF(Y358=0,"",ROUNDUP(Y358/H358,0)*0.01898),"")</f>
        <v>1.38554</v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686.11111111111109</v>
      </c>
      <c r="BN358" s="64">
        <f>IFERROR(Y358*I358/H358,"0")</f>
        <v>693.5</v>
      </c>
      <c r="BO358" s="64">
        <f>IFERROR(1/J358*(X358/H358),"0")</f>
        <v>1.1284722222222223</v>
      </c>
      <c r="BP358" s="64">
        <f>IFERROR(1/J358*(Y358/H358),"0")</f>
        <v>1.140625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150</v>
      </c>
      <c r="Y359" s="546">
        <f>IFERROR(IF(X359="",0,CEILING((X359/$H359),1)*$H359),"")</f>
        <v>153</v>
      </c>
      <c r="Z359" s="36">
        <f>IFERROR(IF(Y359=0,"",ROUNDUP(Y359/H359,0)*0.01898),"")</f>
        <v>0.32266</v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158.23333333333332</v>
      </c>
      <c r="BN359" s="64">
        <f>IFERROR(Y359*I359/H359,"0")</f>
        <v>161.398</v>
      </c>
      <c r="BO359" s="64">
        <f>IFERROR(1/J359*(X359/H359),"0")</f>
        <v>0.26041666666666669</v>
      </c>
      <c r="BP359" s="64">
        <f>IFERROR(1/J359*(Y359/H359),"0")</f>
        <v>0.265625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88.8888888888889</v>
      </c>
      <c r="Y360" s="547">
        <f>IFERROR(Y358/H358,"0")+IFERROR(Y359/H359,"0")</f>
        <v>90</v>
      </c>
      <c r="Z360" s="547">
        <f>IFERROR(IF(Z358="",0,Z358),"0")+IFERROR(IF(Z359="",0,Z359),"0")</f>
        <v>1.7081999999999999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800</v>
      </c>
      <c r="Y361" s="547">
        <f>IFERROR(SUM(Y358:Y359),"0")</f>
        <v>810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150</v>
      </c>
      <c r="Y363" s="546">
        <f>IFERROR(IF(X363="",0,CEILING((X363/$H363),1)*$H363),"")</f>
        <v>153</v>
      </c>
      <c r="Z363" s="36">
        <f>IFERROR(IF(Y363=0,"",ROUNDUP(Y363/H363,0)*0.01898),"")</f>
        <v>0.32266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158.23333333333332</v>
      </c>
      <c r="BN363" s="64">
        <f>IFERROR(Y363*I363/H363,"0")</f>
        <v>161.398</v>
      </c>
      <c r="BO363" s="64">
        <f>IFERROR(1/J363*(X363/H363),"0")</f>
        <v>0.26041666666666669</v>
      </c>
      <c r="BP363" s="64">
        <f>IFERROR(1/J363*(Y363/H363),"0")</f>
        <v>0.265625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16.666666666666668</v>
      </c>
      <c r="Y364" s="547">
        <f>IFERROR(Y363/H363,"0")</f>
        <v>17</v>
      </c>
      <c r="Z364" s="547">
        <f>IFERROR(IF(Z363="",0,Z363),"0")</f>
        <v>0.32266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150</v>
      </c>
      <c r="Y365" s="547">
        <f>IFERROR(SUM(Y363:Y363),"0")</f>
        <v>153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30</v>
      </c>
      <c r="Y373" s="546">
        <f>IFERROR(IF(X373="",0,CEILING((X373/$H373),1)*$H373),"")</f>
        <v>30.66</v>
      </c>
      <c r="Z373" s="36">
        <f>IFERROR(IF(Y373=0,"",ROUNDUP(Y373/H373,0)*0.00902),"")</f>
        <v>6.3140000000000002E-2</v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31.712328767123289</v>
      </c>
      <c r="BN373" s="64">
        <f>IFERROR(Y373*I373/H373,"0")</f>
        <v>32.410000000000004</v>
      </c>
      <c r="BO373" s="64">
        <f>IFERROR(1/J373*(X373/H373),"0")</f>
        <v>5.1888750518887507E-2</v>
      </c>
      <c r="BP373" s="64">
        <f>IFERROR(1/J373*(Y373/H373),"0")</f>
        <v>5.3030303030303032E-2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6.8493150684931505</v>
      </c>
      <c r="Y375" s="547">
        <f>IFERROR(Y373/H373,"0")+IFERROR(Y374/H374,"0")</f>
        <v>7</v>
      </c>
      <c r="Z375" s="547">
        <f>IFERROR(IF(Z373="",0,Z373),"0")+IFERROR(IF(Z374="",0,Z374),"0")</f>
        <v>6.3140000000000002E-2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30</v>
      </c>
      <c r="Y376" s="547">
        <f>IFERROR(SUM(Y373:Y374),"0")</f>
        <v>30.66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200</v>
      </c>
      <c r="Y378" s="546">
        <f>IFERROR(IF(X378="",0,CEILING((X378/$H378),1)*$H378),"")</f>
        <v>207</v>
      </c>
      <c r="Z378" s="36">
        <f>IFERROR(IF(Y378=0,"",ROUNDUP(Y378/H378,0)*0.01898),"")</f>
        <v>0.43653999999999998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210.97777777777776</v>
      </c>
      <c r="BN378" s="64">
        <f>IFERROR(Y378*I378/H378,"0")</f>
        <v>218.36199999999999</v>
      </c>
      <c r="BO378" s="64">
        <f>IFERROR(1/J378*(X378/H378),"0")</f>
        <v>0.34722222222222221</v>
      </c>
      <c r="BP378" s="64">
        <f>IFERROR(1/J378*(Y378/H378),"0")</f>
        <v>0.359375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22.222222222222221</v>
      </c>
      <c r="Y381" s="547">
        <f>IFERROR(Y378/H378,"0")+IFERROR(Y379/H379,"0")+IFERROR(Y380/H380,"0")</f>
        <v>23</v>
      </c>
      <c r="Z381" s="547">
        <f>IFERROR(IF(Z378="",0,Z378),"0")+IFERROR(IF(Z379="",0,Z379),"0")+IFERROR(IF(Z380="",0,Z380),"0")</f>
        <v>0.43653999999999998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200</v>
      </c>
      <c r="Y382" s="547">
        <f>IFERROR(SUM(Y378:Y380),"0")</f>
        <v>207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50</v>
      </c>
      <c r="Y386" s="546">
        <f t="shared" ref="Y386:Y394" si="41">IFERROR(IF(X386="",0,CEILING((X386/$H386),1)*$H386),"")</f>
        <v>54</v>
      </c>
      <c r="Z386" s="36">
        <f>IFERROR(IF(Y386=0,"",ROUNDUP(Y386/H386,0)*0.00902),"")</f>
        <v>9.0200000000000002E-2</v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51.759259259259252</v>
      </c>
      <c r="BN386" s="64">
        <f t="shared" ref="BN386:BN394" si="43">IFERROR(Y386*I386/H386,"0")</f>
        <v>55.9</v>
      </c>
      <c r="BO386" s="64">
        <f t="shared" ref="BO386:BO394" si="44">IFERROR(1/J386*(X386/H386),"0")</f>
        <v>7.0145903479236812E-2</v>
      </c>
      <c r="BP386" s="64">
        <f t="shared" ref="BP386:BP394" si="45">IFERROR(1/J386*(Y386/H386),"0")</f>
        <v>7.575757575757576E-2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9.2592592592592595</v>
      </c>
      <c r="Y395" s="547">
        <f>IFERROR(Y386/H386,"0")+IFERROR(Y387/H387,"0")+IFERROR(Y388/H388,"0")+IFERROR(Y389/H389,"0")+IFERROR(Y390/H390,"0")+IFERROR(Y391/H391,"0")+IFERROR(Y392/H392,"0")+IFERROR(Y393/H393,"0")+IFERROR(Y394/H394,"0")</f>
        <v>10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9.0200000000000002E-2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50</v>
      </c>
      <c r="Y396" s="547">
        <f>IFERROR(SUM(Y386:Y394),"0")</f>
        <v>54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270</v>
      </c>
      <c r="Y408" s="546">
        <f>IFERROR(IF(X408="",0,CEILING((X408/$H408),1)*$H408),"")</f>
        <v>270</v>
      </c>
      <c r="Z408" s="36">
        <f>IFERROR(IF(Y408=0,"",ROUNDUP(Y408/H408,0)*0.00902),"")</f>
        <v>0.45100000000000001</v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279.5</v>
      </c>
      <c r="BN408" s="64">
        <f>IFERROR(Y408*I408/H408,"0")</f>
        <v>279.5</v>
      </c>
      <c r="BO408" s="64">
        <f>IFERROR(1/J408*(X408/H408),"0")</f>
        <v>0.37878787878787878</v>
      </c>
      <c r="BP408" s="64">
        <f>IFERROR(1/J408*(Y408/H408),"0")</f>
        <v>0.37878787878787878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50</v>
      </c>
      <c r="Y412" s="547">
        <f>IFERROR(Y408/H408,"0")+IFERROR(Y409/H409,"0")+IFERROR(Y410/H410,"0")+IFERROR(Y411/H411,"0")</f>
        <v>50</v>
      </c>
      <c r="Z412" s="547">
        <f>IFERROR(IF(Z408="",0,Z408),"0")+IFERROR(IF(Z409="",0,Z409),"0")+IFERROR(IF(Z410="",0,Z410),"0")+IFERROR(IF(Z411="",0,Z411),"0")</f>
        <v>0.45100000000000001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270</v>
      </c>
      <c r="Y413" s="547">
        <f>IFERROR(SUM(Y408:Y411),"0")</f>
        <v>270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160</v>
      </c>
      <c r="Y424" s="546">
        <f t="shared" si="47"/>
        <v>163.68</v>
      </c>
      <c r="Z424" s="36">
        <f t="shared" si="48"/>
        <v>0.37075999999999998</v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170.60606060606059</v>
      </c>
      <c r="BN424" s="64">
        <f t="shared" si="50"/>
        <v>174.53</v>
      </c>
      <c r="BO424" s="64">
        <f t="shared" si="51"/>
        <v>0.29137529137529139</v>
      </c>
      <c r="BP424" s="64">
        <f t="shared" si="52"/>
        <v>0.29807692307692307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210</v>
      </c>
      <c r="Y428" s="546">
        <f t="shared" si="47"/>
        <v>211.20000000000002</v>
      </c>
      <c r="Z428" s="36">
        <f t="shared" si="48"/>
        <v>0.47839999999999999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223.92045454545453</v>
      </c>
      <c r="BN428" s="64">
        <f t="shared" si="50"/>
        <v>225.2</v>
      </c>
      <c r="BO428" s="64">
        <f t="shared" si="51"/>
        <v>0.38243006993006995</v>
      </c>
      <c r="BP428" s="64">
        <f t="shared" si="52"/>
        <v>0.38461538461538464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70.075757575757578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71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0.84915999999999991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370</v>
      </c>
      <c r="Y435" s="547">
        <f>IFERROR(SUM(Y422:Y433),"0")</f>
        <v>374.88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230</v>
      </c>
      <c r="Y437" s="546">
        <f>IFERROR(IF(X437="",0,CEILING((X437/$H437),1)*$H437),"")</f>
        <v>232.32000000000002</v>
      </c>
      <c r="Z437" s="36">
        <f>IFERROR(IF(Y437=0,"",ROUNDUP(Y437/H437,0)*0.01196),"")</f>
        <v>0.52624000000000004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245.2462121212121</v>
      </c>
      <c r="BN437" s="64">
        <f>IFERROR(Y437*I437/H437,"0")</f>
        <v>247.72</v>
      </c>
      <c r="BO437" s="64">
        <f>IFERROR(1/J437*(X437/H437),"0")</f>
        <v>0.41885198135198132</v>
      </c>
      <c r="BP437" s="64">
        <f>IFERROR(1/J437*(Y437/H437),"0")</f>
        <v>0.42307692307692313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43.560606060606055</v>
      </c>
      <c r="Y440" s="547">
        <f>IFERROR(Y437/H437,"0")+IFERROR(Y438/H438,"0")+IFERROR(Y439/H439,"0")</f>
        <v>44</v>
      </c>
      <c r="Z440" s="547">
        <f>IFERROR(IF(Z437="",0,Z437),"0")+IFERROR(IF(Z438="",0,Z438),"0")+IFERROR(IF(Z439="",0,Z439),"0")</f>
        <v>0.52624000000000004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230</v>
      </c>
      <c r="Y441" s="547">
        <f>IFERROR(SUM(Y437:Y439),"0")</f>
        <v>232.32000000000002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150</v>
      </c>
      <c r="Y443" s="546">
        <f t="shared" ref="Y443:Y448" si="53">IFERROR(IF(X443="",0,CEILING((X443/$H443),1)*$H443),"")</f>
        <v>153.12</v>
      </c>
      <c r="Z443" s="36">
        <f>IFERROR(IF(Y443=0,"",ROUNDUP(Y443/H443,0)*0.01196),"")</f>
        <v>0.34683999999999998</v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159.94318181818181</v>
      </c>
      <c r="BN443" s="64">
        <f t="shared" ref="BN443:BN448" si="55">IFERROR(Y443*I443/H443,"0")</f>
        <v>163.26999999999998</v>
      </c>
      <c r="BO443" s="64">
        <f t="shared" ref="BO443:BO448" si="56">IFERROR(1/J443*(X443/H443),"0")</f>
        <v>0.27316433566433568</v>
      </c>
      <c r="BP443" s="64">
        <f t="shared" ref="BP443:BP448" si="57">IFERROR(1/J443*(Y443/H443),"0")</f>
        <v>0.27884615384615385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80</v>
      </c>
      <c r="Y444" s="546">
        <f t="shared" si="53"/>
        <v>84.48</v>
      </c>
      <c r="Z444" s="36">
        <f>IFERROR(IF(Y444=0,"",ROUNDUP(Y444/H444,0)*0.01196),"")</f>
        <v>0.19136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85.303030303030297</v>
      </c>
      <c r="BN444" s="64">
        <f t="shared" si="55"/>
        <v>90.08</v>
      </c>
      <c r="BO444" s="64">
        <f t="shared" si="56"/>
        <v>0.14568764568764569</v>
      </c>
      <c r="BP444" s="64">
        <f t="shared" si="57"/>
        <v>0.15384615384615385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100</v>
      </c>
      <c r="Y445" s="546">
        <f t="shared" si="53"/>
        <v>100.32000000000001</v>
      </c>
      <c r="Z445" s="36">
        <f>IFERROR(IF(Y445=0,"",ROUNDUP(Y445/H445,0)*0.01196),"")</f>
        <v>0.22724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106.62878787878788</v>
      </c>
      <c r="BN445" s="64">
        <f t="shared" si="55"/>
        <v>106.97</v>
      </c>
      <c r="BO445" s="64">
        <f t="shared" si="56"/>
        <v>0.18210955710955709</v>
      </c>
      <c r="BP445" s="64">
        <f t="shared" si="57"/>
        <v>0.18269230769230771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62.499999999999993</v>
      </c>
      <c r="Y449" s="547">
        <f>IFERROR(Y443/H443,"0")+IFERROR(Y444/H444,"0")+IFERROR(Y445/H445,"0")+IFERROR(Y446/H446,"0")+IFERROR(Y447/H447,"0")+IFERROR(Y448/H448,"0")</f>
        <v>64</v>
      </c>
      <c r="Z449" s="547">
        <f>IFERROR(IF(Z443="",0,Z443),"0")+IFERROR(IF(Z444="",0,Z444),"0")+IFERROR(IF(Z445="",0,Z445),"0")+IFERROR(IF(Z446="",0,Z446),"0")+IFERROR(IF(Z447="",0,Z447),"0")+IFERROR(IF(Z448="",0,Z448),"0")</f>
        <v>0.76544000000000001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330</v>
      </c>
      <c r="Y450" s="547">
        <f>IFERROR(SUM(Y443:Y448),"0")</f>
        <v>337.92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120</v>
      </c>
      <c r="Y462" s="546">
        <f>IFERROR(IF(X462="",0,CEILING((X462/$H462),1)*$H462),"")</f>
        <v>120</v>
      </c>
      <c r="Z462" s="36">
        <f>IFERROR(IF(Y462=0,"",ROUNDUP(Y462/H462,0)*0.01898),"")</f>
        <v>0.1898</v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124.10000000000001</v>
      </c>
      <c r="BN462" s="64">
        <f>IFERROR(Y462*I462/H462,"0")</f>
        <v>124.10000000000001</v>
      </c>
      <c r="BO462" s="64">
        <f>IFERROR(1/J462*(X462/H462),"0")</f>
        <v>0.15625</v>
      </c>
      <c r="BP462" s="64">
        <f>IFERROR(1/J462*(Y462/H462),"0")</f>
        <v>0.15625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10</v>
      </c>
      <c r="Y464" s="547">
        <f>IFERROR(Y460/H460,"0")+IFERROR(Y461/H461,"0")+IFERROR(Y462/H462,"0")+IFERROR(Y463/H463,"0")</f>
        <v>10</v>
      </c>
      <c r="Z464" s="547">
        <f>IFERROR(IF(Z460="",0,Z460),"0")+IFERROR(IF(Z461="",0,Z461),"0")+IFERROR(IF(Z462="",0,Z462),"0")+IFERROR(IF(Z463="",0,Z463),"0")</f>
        <v>0.1898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120</v>
      </c>
      <c r="Y465" s="547">
        <f>IFERROR(SUM(Y460:Y463),"0")</f>
        <v>120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70</v>
      </c>
      <c r="Y473" s="546">
        <f>IFERROR(IF(X473="",0,CEILING((X473/$H473),1)*$H473),"")</f>
        <v>71.400000000000006</v>
      </c>
      <c r="Z473" s="36">
        <f>IFERROR(IF(Y473=0,"",ROUNDUP(Y473/H473,0)*0.00902),"")</f>
        <v>0.15334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74.166666666666657</v>
      </c>
      <c r="BN473" s="64">
        <f>IFERROR(Y473*I473/H473,"0")</f>
        <v>75.650000000000006</v>
      </c>
      <c r="BO473" s="64">
        <f>IFERROR(1/J473*(X473/H473),"0")</f>
        <v>0.12626262626262624</v>
      </c>
      <c r="BP473" s="64">
        <f>IFERROR(1/J473*(Y473/H473),"0")</f>
        <v>0.12878787878787878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60</v>
      </c>
      <c r="Y474" s="546">
        <f>IFERROR(IF(X474="",0,CEILING((X474/$H474),1)*$H474),"")</f>
        <v>63</v>
      </c>
      <c r="Z474" s="36">
        <f>IFERROR(IF(Y474=0,"",ROUNDUP(Y474/H474,0)*0.00902),"")</f>
        <v>0.1353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63.571428571428569</v>
      </c>
      <c r="BN474" s="64">
        <f>IFERROR(Y474*I474/H474,"0")</f>
        <v>66.75</v>
      </c>
      <c r="BO474" s="64">
        <f>IFERROR(1/J474*(X474/H474),"0")</f>
        <v>0.10822510822510822</v>
      </c>
      <c r="BP474" s="64">
        <f>IFERROR(1/J474*(Y474/H474),"0")</f>
        <v>0.11363636363636365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30.952380952380949</v>
      </c>
      <c r="Y475" s="547">
        <f>IFERROR(Y473/H473,"0")+IFERROR(Y474/H474,"0")</f>
        <v>32</v>
      </c>
      <c r="Z475" s="547">
        <f>IFERROR(IF(Z473="",0,Z473),"0")+IFERROR(IF(Z474="",0,Z474),"0")</f>
        <v>0.28864000000000001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130</v>
      </c>
      <c r="Y476" s="547">
        <f>IFERROR(SUM(Y473:Y474),"0")</f>
        <v>134.4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17963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18087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18680.171367643848</v>
      </c>
      <c r="Y492" s="547">
        <f>IFERROR(SUM(BN22:BN488),"0")</f>
        <v>18811.03000000001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28</v>
      </c>
      <c r="Y493" s="38">
        <f>ROUNDUP(SUM(BP22:BP488),0)</f>
        <v>28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19380.171367643848</v>
      </c>
      <c r="Y494" s="547">
        <f>GrossWeightTotalR+PalletQtyTotalR*25</f>
        <v>19511.03000000001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1888.9865016632946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1908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30.535550000000008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113.39999999999999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105.3</v>
      </c>
      <c r="G501" s="46">
        <f>IFERROR(Y125*1,"0")+IFERROR(Y126*1,"0")+IFERROR(Y130*1,"0")+IFERROR(Y131*1,"0")+IFERROR(Y135*1,"0")+IFERROR(Y136*1,"0")</f>
        <v>25.92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121.80000000000001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1995.0000000000005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54.000000000000007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1345.1999999999998</v>
      </c>
      <c r="R501" s="46">
        <f>IFERROR(Y335*1,"0")+IFERROR(Y336*1,"0")+IFERROR(Y337*1,"0")</f>
        <v>97.199999999999989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12468</v>
      </c>
      <c r="T501" s="46">
        <f>IFERROR(Y368*1,"0")+IFERROR(Y369*1,"0")+IFERROR(Y373*1,"0")+IFERROR(Y374*1,"0")+IFERROR(Y378*1,"0")+IFERROR(Y379*1,"0")+IFERROR(Y380*1,"0")</f>
        <v>237.66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54</v>
      </c>
      <c r="V501" s="46">
        <f>IFERROR(Y404*1,"0")+IFERROR(Y408*1,"0")+IFERROR(Y409*1,"0")+IFERROR(Y410*1,"0")+IFERROR(Y411*1,"0")</f>
        <v>270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945.12000000000012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254.4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888,99"/>
        <filter val="1,85"/>
        <filter val="10,00"/>
        <filter val="100,00"/>
        <filter val="103,00"/>
        <filter val="11,11"/>
        <filter val="12,35"/>
        <filter val="120,00"/>
        <filter val="128,21"/>
        <filter val="130,00"/>
        <filter val="14,29"/>
        <filter val="147,53"/>
        <filter val="150,00"/>
        <filter val="16,00"/>
        <filter val="16,67"/>
        <filter val="160,00"/>
        <filter val="17 963,00"/>
        <filter val="18 680,17"/>
        <filter val="19 380,17"/>
        <filter val="2 500,00"/>
        <filter val="2,65"/>
        <filter val="2,81"/>
        <filter val="2,86"/>
        <filter val="20,00"/>
        <filter val="200,00"/>
        <filter val="210,00"/>
        <filter val="22,22"/>
        <filter val="230,00"/>
        <filter val="25,83"/>
        <filter val="260,00"/>
        <filter val="270,00"/>
        <filter val="28"/>
        <filter val="28,57"/>
        <filter val="281,48"/>
        <filter val="3 000,00"/>
        <filter val="30,00"/>
        <filter val="30,95"/>
        <filter val="300,00"/>
        <filter val="31,00"/>
        <filter val="32,05"/>
        <filter val="330,00"/>
        <filter val="370,00"/>
        <filter val="4,63"/>
        <filter val="40,00"/>
        <filter val="400,00"/>
        <filter val="412,00"/>
        <filter val="43,56"/>
        <filter val="45,00"/>
        <filter val="5,00"/>
        <filter val="5,13"/>
        <filter val="50,00"/>
        <filter val="566,67"/>
        <filter val="6,85"/>
        <filter val="60,00"/>
        <filter val="62,00"/>
        <filter val="62,50"/>
        <filter val="640,00"/>
        <filter val="650,00"/>
        <filter val="7,00"/>
        <filter val="70,00"/>
        <filter val="70,08"/>
        <filter val="8 500,00"/>
        <filter val="8,00"/>
        <filter val="80,00"/>
        <filter val="800,00"/>
        <filter val="88,89"/>
        <filter val="9,00"/>
        <filter val="9,26"/>
        <filter val="9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