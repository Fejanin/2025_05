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AAB4584-6C07-4236-AE7C-E730ACB7AB4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P120" i="1"/>
  <c r="BO119" i="1"/>
  <c r="BM119" i="1"/>
  <c r="Z119" i="1"/>
  <c r="Y119" i="1"/>
  <c r="P119" i="1"/>
  <c r="BO118" i="1"/>
  <c r="BM118" i="1"/>
  <c r="Z118" i="1"/>
  <c r="Y118" i="1"/>
  <c r="P118" i="1"/>
  <c r="BO117" i="1"/>
  <c r="BM117" i="1"/>
  <c r="Z117" i="1"/>
  <c r="Y117" i="1"/>
  <c r="P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P101" i="1"/>
  <c r="BO100" i="1"/>
  <c r="BM100" i="1"/>
  <c r="Z100" i="1"/>
  <c r="Y100" i="1"/>
  <c r="P100" i="1"/>
  <c r="BO99" i="1"/>
  <c r="BM99" i="1"/>
  <c r="Z99" i="1"/>
  <c r="Y99" i="1"/>
  <c r="P99" i="1"/>
  <c r="BO98" i="1"/>
  <c r="BM98" i="1"/>
  <c r="Z98" i="1"/>
  <c r="Y98" i="1"/>
  <c r="P98" i="1"/>
  <c r="BO97" i="1"/>
  <c r="BM97" i="1"/>
  <c r="Z97" i="1"/>
  <c r="Y97" i="1"/>
  <c r="P97" i="1"/>
  <c r="X94" i="1"/>
  <c r="X93" i="1"/>
  <c r="BO92" i="1"/>
  <c r="BM92" i="1"/>
  <c r="Z92" i="1"/>
  <c r="Y92" i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P81" i="1"/>
  <c r="BO80" i="1"/>
  <c r="BM80" i="1"/>
  <c r="Z80" i="1"/>
  <c r="Y80" i="1"/>
  <c r="P80" i="1"/>
  <c r="X77" i="1"/>
  <c r="X76" i="1"/>
  <c r="BO75" i="1"/>
  <c r="BM75" i="1"/>
  <c r="Z75" i="1"/>
  <c r="Y75" i="1"/>
  <c r="P75" i="1"/>
  <c r="BO74" i="1"/>
  <c r="BM74" i="1"/>
  <c r="Z74" i="1"/>
  <c r="Y74" i="1"/>
  <c r="BP74" i="1" s="1"/>
  <c r="P74" i="1"/>
  <c r="BO73" i="1"/>
  <c r="BM73" i="1"/>
  <c r="Z73" i="1"/>
  <c r="Z76" i="1" s="1"/>
  <c r="Y73" i="1"/>
  <c r="P73" i="1"/>
  <c r="X71" i="1"/>
  <c r="X70" i="1"/>
  <c r="BO69" i="1"/>
  <c r="BM69" i="1"/>
  <c r="Z69" i="1"/>
  <c r="Y69" i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P64" i="1"/>
  <c r="X62" i="1"/>
  <c r="X61" i="1"/>
  <c r="BO60" i="1"/>
  <c r="BM60" i="1"/>
  <c r="Z60" i="1"/>
  <c r="Z61" i="1" s="1"/>
  <c r="Y60" i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P47" i="1"/>
  <c r="BP46" i="1"/>
  <c r="BO46" i="1"/>
  <c r="BN46" i="1"/>
  <c r="BM46" i="1"/>
  <c r="Z46" i="1"/>
  <c r="Y46" i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Y32" i="1"/>
  <c r="Y35" i="1" s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D7" i="1"/>
  <c r="Q6" i="1"/>
  <c r="P2" i="1"/>
  <c r="BN53" i="1" l="1"/>
  <c r="BN55" i="1"/>
  <c r="Y77" i="1"/>
  <c r="BN74" i="1"/>
  <c r="BN86" i="1"/>
  <c r="BP86" i="1"/>
  <c r="Y87" i="1"/>
  <c r="Z93" i="1"/>
  <c r="BN91" i="1"/>
  <c r="Z103" i="1"/>
  <c r="Z109" i="1"/>
  <c r="BN107" i="1"/>
  <c r="BN124" i="1"/>
  <c r="BP124" i="1"/>
  <c r="Y125" i="1"/>
  <c r="BN128" i="1"/>
  <c r="BP128" i="1"/>
  <c r="Y129" i="1"/>
  <c r="Z135" i="1"/>
  <c r="BN133" i="1"/>
  <c r="Z147" i="1"/>
  <c r="BN145" i="1"/>
  <c r="Z200" i="1"/>
  <c r="A10" i="1"/>
  <c r="F10" i="1"/>
  <c r="F9" i="1"/>
  <c r="Y28" i="1"/>
  <c r="BP22" i="1"/>
  <c r="BN22" i="1"/>
  <c r="BP24" i="1"/>
  <c r="BN24" i="1"/>
  <c r="BP26" i="1"/>
  <c r="BN26" i="1"/>
  <c r="Y41" i="1"/>
  <c r="BP39" i="1"/>
  <c r="BN39" i="1"/>
  <c r="Y66" i="1"/>
  <c r="Y65" i="1"/>
  <c r="BP64" i="1"/>
  <c r="BN64" i="1"/>
  <c r="J9" i="1"/>
  <c r="Z48" i="1"/>
  <c r="Y62" i="1"/>
  <c r="Y61" i="1"/>
  <c r="BP60" i="1"/>
  <c r="BN60" i="1"/>
  <c r="BP68" i="1"/>
  <c r="BN68" i="1"/>
  <c r="BP81" i="1"/>
  <c r="BN81" i="1"/>
  <c r="BP98" i="1"/>
  <c r="BN98" i="1"/>
  <c r="BP100" i="1"/>
  <c r="BN100" i="1"/>
  <c r="BP102" i="1"/>
  <c r="BN102" i="1"/>
  <c r="BP114" i="1"/>
  <c r="BN114" i="1"/>
  <c r="BP116" i="1"/>
  <c r="BN116" i="1"/>
  <c r="BP118" i="1"/>
  <c r="BN118" i="1"/>
  <c r="BP120" i="1"/>
  <c r="BN120" i="1"/>
  <c r="BP140" i="1"/>
  <c r="BN140" i="1"/>
  <c r="Z28" i="1"/>
  <c r="X274" i="1"/>
  <c r="Z34" i="1"/>
  <c r="Z41" i="1"/>
  <c r="Z70" i="1"/>
  <c r="Y109" i="1"/>
  <c r="Y11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P252" i="1"/>
  <c r="BN254" i="1"/>
  <c r="Y268" i="1"/>
  <c r="Y269" i="1"/>
  <c r="Y34" i="1"/>
  <c r="Y42" i="1"/>
  <c r="Y57" i="1"/>
  <c r="BP52" i="1"/>
  <c r="BN52" i="1"/>
  <c r="Y56" i="1"/>
  <c r="BP115" i="1"/>
  <c r="BN115" i="1"/>
  <c r="BP119" i="1"/>
  <c r="BN119" i="1"/>
  <c r="Y29" i="1"/>
  <c r="Y48" i="1"/>
  <c r="BP45" i="1"/>
  <c r="Y49" i="1"/>
  <c r="BP54" i="1"/>
  <c r="BN54" i="1"/>
  <c r="BP69" i="1"/>
  <c r="BN69" i="1"/>
  <c r="Y83" i="1"/>
  <c r="BP80" i="1"/>
  <c r="BN80" i="1"/>
  <c r="Y82" i="1"/>
  <c r="BP92" i="1"/>
  <c r="BN92" i="1"/>
  <c r="Y122" i="1"/>
  <c r="BP113" i="1"/>
  <c r="BN113" i="1"/>
  <c r="BP117" i="1"/>
  <c r="BN117" i="1"/>
  <c r="Y121" i="1"/>
  <c r="BP134" i="1"/>
  <c r="BN134" i="1"/>
  <c r="Y167" i="1"/>
  <c r="BP166" i="1"/>
  <c r="BN166" i="1"/>
  <c r="Y168" i="1"/>
  <c r="Y205" i="1"/>
  <c r="BP204" i="1"/>
  <c r="BN204" i="1"/>
  <c r="Y206" i="1"/>
  <c r="H9" i="1"/>
  <c r="X271" i="1"/>
  <c r="X272" i="1"/>
  <c r="BN23" i="1"/>
  <c r="BN25" i="1"/>
  <c r="BN27" i="1"/>
  <c r="X270" i="1"/>
  <c r="BN32" i="1"/>
  <c r="BP32" i="1"/>
  <c r="BN40" i="1"/>
  <c r="BN45" i="1"/>
  <c r="BP47" i="1"/>
  <c r="BN47" i="1"/>
  <c r="Z56" i="1"/>
  <c r="Y70" i="1"/>
  <c r="Y71" i="1"/>
  <c r="Y76" i="1"/>
  <c r="BP73" i="1"/>
  <c r="BN73" i="1"/>
  <c r="BP75" i="1"/>
  <c r="BN75" i="1"/>
  <c r="Z82" i="1"/>
  <c r="Y93" i="1"/>
  <c r="Y94" i="1"/>
  <c r="Y104" i="1"/>
  <c r="BP97" i="1"/>
  <c r="BN97" i="1"/>
  <c r="BP99" i="1"/>
  <c r="BN99" i="1"/>
  <c r="BP101" i="1"/>
  <c r="BN101" i="1"/>
  <c r="Y103" i="1"/>
  <c r="BP108" i="1"/>
  <c r="BN108" i="1"/>
  <c r="Z121" i="1"/>
  <c r="Y135" i="1"/>
  <c r="Y136" i="1"/>
  <c r="Y142" i="1"/>
  <c r="BP139" i="1"/>
  <c r="BN139" i="1"/>
  <c r="Y141" i="1"/>
  <c r="BP146" i="1"/>
  <c r="BN146" i="1"/>
  <c r="Y148" i="1"/>
  <c r="Y157" i="1"/>
  <c r="BP156" i="1"/>
  <c r="BN156" i="1"/>
  <c r="Y158" i="1"/>
  <c r="Y192" i="1"/>
  <c r="BP191" i="1"/>
  <c r="BN191" i="1"/>
  <c r="Y193" i="1"/>
  <c r="Y216" i="1"/>
  <c r="BP213" i="1"/>
  <c r="BN213" i="1"/>
  <c r="Y215" i="1"/>
  <c r="BP243" i="1"/>
  <c r="BN243" i="1"/>
  <c r="Y245" i="1"/>
  <c r="Z141" i="1"/>
  <c r="Y147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10" i="1"/>
  <c r="BP209" i="1"/>
  <c r="BN209" i="1"/>
  <c r="Z215" i="1"/>
  <c r="Y244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2" i="1" l="1"/>
  <c r="Y274" i="1"/>
  <c r="Z275" i="1"/>
  <c r="Y271" i="1"/>
  <c r="Y273" i="1" s="1"/>
  <c r="X273" i="1"/>
  <c r="Y270" i="1"/>
  <c r="A283" i="1" l="1"/>
  <c r="C283" i="1"/>
  <c r="B283" i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<sst xmlns="http://schemas.openxmlformats.org/spreadsheetml/2006/main" count="1222" uniqueCount="394">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</sst>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/>
      <c r="I5" s="410"/>
      <c r="J5" s="410"/>
      <c r="K5" s="410"/>
      <c r="L5" s="410"/>
      <c r="M5" s="333"/>
      <c r="N5" s="61"/>
      <c r="P5" s="24" t="s">
        <v>9</v>
      </c>
      <c r="Q5" s="429">
        <v>46005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Воскресенье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140</v>
      </c>
      <c r="Y39" s="269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56</v>
      </c>
      <c r="Y40" s="269">
        <f>IFERROR(IF(X40="","",X40),"")</f>
        <v>56</v>
      </c>
      <c r="Z40" s="36">
        <f>IFERROR(IF(X40="","",X40*0.00941),"")</f>
        <v>0.52695999999999998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107.6208</v>
      </c>
      <c r="BN40" s="67">
        <f>IFERROR(Y40*I40,"0")</f>
        <v>107.6208</v>
      </c>
      <c r="BO40" s="67">
        <f>IFERROR(X40/J40,"0")</f>
        <v>0.4</v>
      </c>
      <c r="BP40" s="67">
        <f>IFERROR(Y40/J40,"0")</f>
        <v>0.4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196</v>
      </c>
      <c r="Y41" s="270">
        <f>IFERROR(SUM(Y39:Y40),"0")</f>
        <v>196</v>
      </c>
      <c r="Z41" s="270">
        <f>IFERROR(IF(Z39="",0,Z39),"0")+IFERROR(IF(Z40="",0,Z40),"0")</f>
        <v>1.84436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294</v>
      </c>
      <c r="Y42" s="270">
        <f>IFERROR(SUMPRODUCT(Y39:Y40*H39:H40),"0")</f>
        <v>294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48</v>
      </c>
      <c r="Y45" s="269">
        <f>IFERROR(IF(X45="","",X45),"")</f>
        <v>48</v>
      </c>
      <c r="Z45" s="36">
        <f>IFERROR(IF(X45="","",X45*0.0155),"")</f>
        <v>0.74399999999999999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281.76</v>
      </c>
      <c r="BN45" s="67">
        <f>IFERROR(Y45*I45,"0")</f>
        <v>281.76</v>
      </c>
      <c r="BO45" s="67">
        <f>IFERROR(X45/J45,"0")</f>
        <v>0.5714285714285714</v>
      </c>
      <c r="BP45" s="67">
        <f>IFERROR(Y45/J45,"0")</f>
        <v>0.5714285714285714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108</v>
      </c>
      <c r="Y47" s="269">
        <f>IFERROR(IF(X47="","",X47),"")</f>
        <v>108</v>
      </c>
      <c r="Z47" s="36">
        <f>IFERROR(IF(X47="","",X47*0.0155),"")</f>
        <v>1.6739999999999999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633.96</v>
      </c>
      <c r="BN47" s="67">
        <f>IFERROR(Y47*I47,"0")</f>
        <v>633.96</v>
      </c>
      <c r="BO47" s="67">
        <f>IFERROR(X47/J47,"0")</f>
        <v>1.2857142857142858</v>
      </c>
      <c r="BP47" s="67">
        <f>IFERROR(Y47/J47,"0")</f>
        <v>1.2857142857142858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168</v>
      </c>
      <c r="Y48" s="270">
        <f>IFERROR(SUM(Y45:Y47),"0")</f>
        <v>168</v>
      </c>
      <c r="Z48" s="270">
        <f>IFERROR(IF(Z45="",0,Z45),"0")+IFERROR(IF(Z46="",0,Z46),"0")+IFERROR(IF(Z47="",0,Z47),"0")</f>
        <v>2.6040000000000001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940.8</v>
      </c>
      <c r="Y49" s="270">
        <f>IFERROR(SUMPRODUCT(Y45:Y47*H45:H47),"0")</f>
        <v>940.8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12</v>
      </c>
      <c r="Y53" s="269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24</v>
      </c>
      <c r="Y54" s="26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161.2704</v>
      </c>
      <c r="BN54" s="67">
        <f>IFERROR(Y54*I54,"0")</f>
        <v>161.2704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48</v>
      </c>
      <c r="Y55" s="269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84</v>
      </c>
      <c r="Y56" s="270">
        <f>IFERROR(SUM(Y52:Y55),"0")</f>
        <v>84</v>
      </c>
      <c r="Z56" s="270">
        <f>IFERROR(IF(Z52="",0,Z52),"0")+IFERROR(IF(Z53="",0,Z53),"0")+IFERROR(IF(Z54="",0,Z54),"0")+IFERROR(IF(Z55="",0,Z55),"0")</f>
        <v>1.302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573.6</v>
      </c>
      <c r="Y57" s="270">
        <f>IFERROR(SUMPRODUCT(Y52:Y55*H52:H55),"0")</f>
        <v>573.6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234</v>
      </c>
      <c r="Y80" s="269">
        <f>IFERROR(IF(X80="","",X80),"")</f>
        <v>234</v>
      </c>
      <c r="Z80" s="36">
        <f>IFERROR(IF(X80="","",X80*0.00502),"")</f>
        <v>1.1746799999999999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658.28880000000004</v>
      </c>
      <c r="BN80" s="67">
        <f>IFERROR(Y80*I80,"0")</f>
        <v>658.28880000000004</v>
      </c>
      <c r="BO80" s="67">
        <f>IFERROR(X80/J80,"0")</f>
        <v>1</v>
      </c>
      <c r="BP80" s="67">
        <f>IFERROR(Y80/J80,"0")</f>
        <v>1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60</v>
      </c>
      <c r="Y81" s="269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294</v>
      </c>
      <c r="Y82" s="270">
        <f>IFERROR(SUM(Y80:Y81),"0")</f>
        <v>294</v>
      </c>
      <c r="Z82" s="270">
        <f>IFERROR(IF(Z80="",0,Z80),"0")+IFERROR(IF(Z81="",0,Z81),"0")</f>
        <v>1.69428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931.80000000000007</v>
      </c>
      <c r="Y83" s="270">
        <f>IFERROR(SUMPRODUCT(Y80:Y81*H80:H81),"0")</f>
        <v>931.80000000000007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56</v>
      </c>
      <c r="Y86" s="269">
        <f>IFERROR(IF(X86="","",X86),"")</f>
        <v>56</v>
      </c>
      <c r="Z86" s="36">
        <f>IFERROR(IF(X86="","",X86*0.01788),"")</f>
        <v>1.0012799999999999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241.00160000000002</v>
      </c>
      <c r="BN86" s="67">
        <f>IFERROR(Y86*I86,"0")</f>
        <v>241.00160000000002</v>
      </c>
      <c r="BO86" s="67">
        <f>IFERROR(X86/J86,"0")</f>
        <v>0.8</v>
      </c>
      <c r="BP86" s="67">
        <f>IFERROR(Y86/J86,"0")</f>
        <v>0.8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56</v>
      </c>
      <c r="Y87" s="270">
        <f>IFERROR(SUM(Y86:Y86),"0")</f>
        <v>56</v>
      </c>
      <c r="Z87" s="270">
        <f>IFERROR(IF(Z86="",0,Z86),"0")</f>
        <v>1.0012799999999999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201.6</v>
      </c>
      <c r="Y88" s="270">
        <f>IFERROR(SUMPRODUCT(Y86:Y86*H86:H86),"0")</f>
        <v>201.6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182</v>
      </c>
      <c r="Y91" s="269">
        <f>IFERROR(IF(X91="","",X91),"")</f>
        <v>182</v>
      </c>
      <c r="Z91" s="36">
        <f>IFERROR(IF(X91="","",X91*0.01788),"")</f>
        <v>3.2541600000000002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783.25520000000006</v>
      </c>
      <c r="BN91" s="67">
        <f>IFERROR(Y91*I91,"0")</f>
        <v>783.25520000000006</v>
      </c>
      <c r="BO91" s="67">
        <f>IFERROR(X91/J91,"0")</f>
        <v>2.6</v>
      </c>
      <c r="BP91" s="67">
        <f>IFERROR(Y91/J91,"0")</f>
        <v>2.6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56</v>
      </c>
      <c r="Y92" s="269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238</v>
      </c>
      <c r="Y93" s="270">
        <f>IFERROR(SUM(Y91:Y92),"0")</f>
        <v>238</v>
      </c>
      <c r="Z93" s="270">
        <f>IFERROR(IF(Z91="",0,Z91),"0")+IFERROR(IF(Z92="",0,Z92),"0")</f>
        <v>4.2554400000000001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856.80000000000007</v>
      </c>
      <c r="Y94" s="270">
        <f>IFERROR(SUMPRODUCT(Y91:Y92*H91:H92),"0")</f>
        <v>856.80000000000007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70</v>
      </c>
      <c r="Y97" s="269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98</v>
      </c>
      <c r="Y98" s="269">
        <f t="shared" si="6"/>
        <v>98</v>
      </c>
      <c r="Z98" s="36">
        <f t="shared" si="7"/>
        <v>1.75224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351.19280000000003</v>
      </c>
      <c r="BN98" s="67">
        <f t="shared" si="9"/>
        <v>351.19280000000003</v>
      </c>
      <c r="BO98" s="67">
        <f t="shared" si="10"/>
        <v>1.4</v>
      </c>
      <c r="BP98" s="67">
        <f t="shared" si="11"/>
        <v>1.4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14</v>
      </c>
      <c r="Y99" s="269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126</v>
      </c>
      <c r="Y100" s="269">
        <f t="shared" si="6"/>
        <v>126</v>
      </c>
      <c r="Z100" s="36">
        <f t="shared" si="7"/>
        <v>2.2528800000000002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451.53360000000004</v>
      </c>
      <c r="BN100" s="67">
        <f t="shared" si="9"/>
        <v>451.53360000000004</v>
      </c>
      <c r="BO100" s="67">
        <f t="shared" si="10"/>
        <v>1.8</v>
      </c>
      <c r="BP100" s="67">
        <f t="shared" si="11"/>
        <v>1.8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56</v>
      </c>
      <c r="Y101" s="269">
        <f t="shared" si="6"/>
        <v>56</v>
      </c>
      <c r="Z101" s="36">
        <f t="shared" si="7"/>
        <v>1.0012799999999999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249.13280000000003</v>
      </c>
      <c r="BN101" s="67">
        <f t="shared" si="9"/>
        <v>249.13280000000003</v>
      </c>
      <c r="BO101" s="67">
        <f t="shared" si="10"/>
        <v>0.8</v>
      </c>
      <c r="BP101" s="67">
        <f t="shared" si="11"/>
        <v>0.8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364</v>
      </c>
      <c r="Y103" s="270">
        <f>IFERROR(SUM(Y97:Y102),"0")</f>
        <v>364</v>
      </c>
      <c r="Z103" s="270">
        <f>IFERROR(IF(Z97="",0,Z97),"0")+IFERROR(IF(Z98="",0,Z98),"0")+IFERROR(IF(Z99="",0,Z99),"0")+IFERROR(IF(Z100="",0,Z100),"0")+IFERROR(IF(Z101="",0,Z101),"0")+IFERROR(IF(Z102="",0,Z102),"0")</f>
        <v>6.5083199999999994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1102.0800000000002</v>
      </c>
      <c r="Y104" s="270">
        <f>IFERROR(SUMPRODUCT(Y97:Y102*H97:H102),"0")</f>
        <v>1102.0800000000002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36</v>
      </c>
      <c r="Y115" s="269">
        <f t="shared" si="12"/>
        <v>36</v>
      </c>
      <c r="Z115" s="36">
        <f t="shared" si="13"/>
        <v>0.55800000000000005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84</v>
      </c>
      <c r="Y116" s="269">
        <f t="shared" si="12"/>
        <v>84</v>
      </c>
      <c r="Z116" s="36">
        <f t="shared" si="13"/>
        <v>1.302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613.19999999999993</v>
      </c>
      <c r="BN116" s="67">
        <f t="shared" si="15"/>
        <v>613.19999999999993</v>
      </c>
      <c r="BO116" s="67">
        <f t="shared" si="16"/>
        <v>1</v>
      </c>
      <c r="BP116" s="67">
        <f t="shared" si="17"/>
        <v>1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48</v>
      </c>
      <c r="Y118" s="269">
        <f t="shared" si="12"/>
        <v>48</v>
      </c>
      <c r="Z118" s="36">
        <f t="shared" si="13"/>
        <v>0.74399999999999999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168</v>
      </c>
      <c r="Y119" s="269">
        <f t="shared" si="12"/>
        <v>168</v>
      </c>
      <c r="Z119" s="36">
        <f t="shared" si="13"/>
        <v>2.6040000000000001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1226.3999999999999</v>
      </c>
      <c r="BN119" s="67">
        <f t="shared" si="15"/>
        <v>1226.3999999999999</v>
      </c>
      <c r="BO119" s="67">
        <f t="shared" si="16"/>
        <v>2</v>
      </c>
      <c r="BP119" s="67">
        <f t="shared" si="17"/>
        <v>2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336</v>
      </c>
      <c r="Y121" s="270">
        <f>IFERROR(SUM(Y113:Y120),"0")</f>
        <v>336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5.2080000000000002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2301.6</v>
      </c>
      <c r="Y122" s="270">
        <f>IFERROR(SUMPRODUCT(Y113:Y120*H113:H120),"0")</f>
        <v>2301.6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238</v>
      </c>
      <c r="Y133" s="269">
        <f>IFERROR(IF(X133="","",X133),"")</f>
        <v>238</v>
      </c>
      <c r="Z133" s="36">
        <f>IFERROR(IF(X133="","",X133*0.01788),"")</f>
        <v>4.2554400000000001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881.45679999999993</v>
      </c>
      <c r="BN133" s="67">
        <f>IFERROR(Y133*I133,"0")</f>
        <v>881.45679999999993</v>
      </c>
      <c r="BO133" s="67">
        <f>IFERROR(X133/J133,"0")</f>
        <v>3.4</v>
      </c>
      <c r="BP133" s="67">
        <f>IFERROR(Y133/J133,"0")</f>
        <v>3.4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182</v>
      </c>
      <c r="Y134" s="269">
        <f>IFERROR(IF(X134="","",X134),"")</f>
        <v>182</v>
      </c>
      <c r="Z134" s="36">
        <f>IFERROR(IF(X134="","",X134*0.01788),"")</f>
        <v>3.2541600000000002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674.05520000000001</v>
      </c>
      <c r="BN134" s="67">
        <f>IFERROR(Y134*I134,"0")</f>
        <v>674.05520000000001</v>
      </c>
      <c r="BO134" s="67">
        <f>IFERROR(X134/J134,"0")</f>
        <v>2.6</v>
      </c>
      <c r="BP134" s="67">
        <f>IFERROR(Y134/J134,"0")</f>
        <v>2.6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420</v>
      </c>
      <c r="Y135" s="270">
        <f>IFERROR(SUM(Y133:Y134),"0")</f>
        <v>420</v>
      </c>
      <c r="Z135" s="270">
        <f>IFERROR(IF(Z133="",0,Z133),"0")+IFERROR(IF(Z134="",0,Z134),"0")</f>
        <v>7.5096000000000007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1260</v>
      </c>
      <c r="Y136" s="270">
        <f>IFERROR(SUMPRODUCT(Y133:Y134*H133:H134),"0")</f>
        <v>1260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42</v>
      </c>
      <c r="Y140" s="269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155.55119999999999</v>
      </c>
      <c r="BN140" s="67">
        <f>IFERROR(Y140*I140,"0")</f>
        <v>155.55119999999999</v>
      </c>
      <c r="BO140" s="67">
        <f>IFERROR(X140/J140,"0")</f>
        <v>0.6</v>
      </c>
      <c r="BP140" s="67">
        <f>IFERROR(Y140/J140,"0")</f>
        <v>0.6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42</v>
      </c>
      <c r="Y141" s="270">
        <f>IFERROR(SUM(Y139:Y140),"0")</f>
        <v>42</v>
      </c>
      <c r="Z141" s="270">
        <f>IFERROR(IF(Z139="",0,Z139),"0")+IFERROR(IF(Z140="",0,Z140),"0")</f>
        <v>0.75095999999999996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126</v>
      </c>
      <c r="Y142" s="270">
        <f>IFERROR(SUMPRODUCT(Y139:Y140*H139:H140),"0")</f>
        <v>126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56</v>
      </c>
      <c r="Y145" s="269">
        <f>IFERROR(IF(X145="","",X145),"")</f>
        <v>56</v>
      </c>
      <c r="Z145" s="36">
        <f>IFERROR(IF(X145="","",X145*0.01788),"")</f>
        <v>1.0012799999999999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150.08000000000001</v>
      </c>
      <c r="BN145" s="67">
        <f>IFERROR(Y145*I145,"0")</f>
        <v>150.08000000000001</v>
      </c>
      <c r="BO145" s="67">
        <f>IFERROR(X145/J145,"0")</f>
        <v>0.8</v>
      </c>
      <c r="BP145" s="67">
        <f>IFERROR(Y145/J145,"0")</f>
        <v>0.8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42</v>
      </c>
      <c r="Y146" s="26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98</v>
      </c>
      <c r="Y147" s="270">
        <f>IFERROR(SUM(Y145:Y146),"0")</f>
        <v>98</v>
      </c>
      <c r="Z147" s="270">
        <f>IFERROR(IF(Z145="",0,Z145),"0")+IFERROR(IF(Z146="",0,Z146),"0")</f>
        <v>1.75224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235.2</v>
      </c>
      <c r="Y148" s="270">
        <f>IFERROR(SUMPRODUCT(Y145:Y146*H145:H146),"0")</f>
        <v>235.2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28</v>
      </c>
      <c r="Y151" s="269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103.70079999999999</v>
      </c>
      <c r="BN151" s="67">
        <f>IFERROR(Y151*I151,"0")</f>
        <v>103.70079999999999</v>
      </c>
      <c r="BO151" s="67">
        <f>IFERROR(X151/J151,"0")</f>
        <v>0.4</v>
      </c>
      <c r="BP151" s="67">
        <f>IFERROR(Y151/J151,"0")</f>
        <v>0.4</v>
      </c>
    </row>
    <row r="152" spans="1:68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28</v>
      </c>
      <c r="Y152" s="270">
        <f>IFERROR(SUM(Y151:Y151),"0")</f>
        <v>28</v>
      </c>
      <c r="Z152" s="270">
        <f>IFERROR(IF(Z151="",0,Z151),"0")</f>
        <v>0.50063999999999997</v>
      </c>
      <c r="AA152" s="271"/>
      <c r="AB152" s="271"/>
      <c r="AC152" s="271"/>
    </row>
    <row r="153" spans="1:68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84</v>
      </c>
      <c r="Y153" s="270">
        <f>IFERROR(SUMPRODUCT(Y151:Y151*H151:H151),"0")</f>
        <v>84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42</v>
      </c>
      <c r="Y166" s="269">
        <f>IFERROR(IF(X166="","",X166),"")</f>
        <v>42</v>
      </c>
      <c r="Z166" s="36">
        <f>IFERROR(IF(X166="","",X166*0.00941),"")</f>
        <v>0.39522000000000002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88.275599999999997</v>
      </c>
      <c r="BN166" s="67">
        <f>IFERROR(Y166*I166,"0")</f>
        <v>88.275599999999997</v>
      </c>
      <c r="BO166" s="67">
        <f>IFERROR(X166/J166,"0")</f>
        <v>0.3</v>
      </c>
      <c r="BP166" s="67">
        <f>IFERROR(Y166/J166,"0")</f>
        <v>0.3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42</v>
      </c>
      <c r="Y167" s="270">
        <f>IFERROR(SUM(Y166:Y166),"0")</f>
        <v>42</v>
      </c>
      <c r="Z167" s="270">
        <f>IFERROR(IF(Z166="",0,Z166),"0")</f>
        <v>0.39522000000000002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70.56</v>
      </c>
      <c r="Y168" s="270">
        <f>IFERROR(SUMPRODUCT(Y166:Y166*H166:H166),"0")</f>
        <v>70.56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84</v>
      </c>
      <c r="Y179" s="269">
        <f>IFERROR(IF(X179="","",X179),"")</f>
        <v>84</v>
      </c>
      <c r="Z179" s="36">
        <f>IFERROR(IF(X179="","",X179*0.01788),"")</f>
        <v>1.5019199999999999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284.59199999999998</v>
      </c>
      <c r="BN179" s="67">
        <f>IFERROR(Y179*I179,"0")</f>
        <v>284.59199999999998</v>
      </c>
      <c r="BO179" s="67">
        <f>IFERROR(X179/J179,"0")</f>
        <v>1.2</v>
      </c>
      <c r="BP179" s="67">
        <f>IFERROR(Y179/J179,"0")</f>
        <v>1.2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70</v>
      </c>
      <c r="Y180" s="269">
        <f>IFERROR(IF(X180="","",X180),"")</f>
        <v>70</v>
      </c>
      <c r="Z180" s="36">
        <f>IFERROR(IF(X180="","",X180*0.01788),"")</f>
        <v>1.2516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237.16</v>
      </c>
      <c r="BN180" s="67">
        <f>IFERROR(Y180*I180,"0")</f>
        <v>237.16</v>
      </c>
      <c r="BO180" s="67">
        <f>IFERROR(X180/J180,"0")</f>
        <v>1</v>
      </c>
      <c r="BP180" s="67">
        <f>IFERROR(Y180/J180,"0")</f>
        <v>1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154</v>
      </c>
      <c r="Y182" s="270">
        <f>IFERROR(SUM(Y179:Y181),"0")</f>
        <v>154</v>
      </c>
      <c r="Z182" s="270">
        <f>IFERROR(IF(Z179="",0,Z179),"0")+IFERROR(IF(Z180="",0,Z180),"0")+IFERROR(IF(Z181="",0,Z181),"0")</f>
        <v>2.75352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462</v>
      </c>
      <c r="Y183" s="270">
        <f>IFERROR(SUMPRODUCT(Y179:Y181*H179:H181),"0")</f>
        <v>462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132</v>
      </c>
      <c r="Y247" s="269">
        <f>IFERROR(IF(X247="","",X247),"")</f>
        <v>132</v>
      </c>
      <c r="Z247" s="36">
        <f>IFERROR(IF(X247="","",X247*0.0155),"")</f>
        <v>2.0459999999999998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826.31999999999994</v>
      </c>
      <c r="BN247" s="67">
        <f>IFERROR(Y247*I247,"0")</f>
        <v>826.31999999999994</v>
      </c>
      <c r="BO247" s="67">
        <f>IFERROR(X247/J247,"0")</f>
        <v>1.5714285714285714</v>
      </c>
      <c r="BP247" s="67">
        <f>IFERROR(Y247/J247,"0")</f>
        <v>1.5714285714285714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132</v>
      </c>
      <c r="Y249" s="270">
        <f>IFERROR(SUM(Y247:Y248),"0")</f>
        <v>132</v>
      </c>
      <c r="Z249" s="270">
        <f>IFERROR(IF(Z247="",0,Z247),"0")+IFERROR(IF(Z248="",0,Z248),"0")</f>
        <v>2.0459999999999998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792</v>
      </c>
      <c r="Y250" s="270">
        <f>IFERROR(SUMPRODUCT(Y247:Y248*H247:H248),"0")</f>
        <v>792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hidden="1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idden="1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hidden="1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10232.040000000001</v>
      </c>
      <c r="Y270" s="270">
        <f>IFERROR(Y29+Y35+Y42+Y49+Y57+Y62+Y66+Y71+Y77+Y83+Y88+Y94+Y104+Y110+Y122+Y126+Y130+Y136+Y142+Y148+Y153+Y158+Y163+Y168+Y175+Y183+Y187+Y193+Y201+Y206+Y211+Y216+Y222+Y228+Y234+Y238+Y245+Y250+Y256+Y269,"0")</f>
        <v>10232.040000000001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11468.954</v>
      </c>
      <c r="Y271" s="270">
        <f>IFERROR(SUM(BN22:BN267),"0")</f>
        <v>11468.954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32</v>
      </c>
      <c r="Y272" s="38">
        <f>ROUNDUP(SUM(BP22:BP267),0)</f>
        <v>32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12268.954</v>
      </c>
      <c r="Y273" s="270">
        <f>GrossWeightTotalR+PalletQtyTotalR*25</f>
        <v>12268.954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2652</v>
      </c>
      <c r="Y274" s="270">
        <f>IFERROR(Y28+Y34+Y41+Y48+Y56+Y61+Y65+Y70+Y76+Y82+Y87+Y93+Y103+Y109+Y121+Y125+Y129+Y135+Y141+Y147+Y152+Y157+Y162+Y167+Y174+Y182+Y186+Y192+Y200+Y205+Y210+Y215+Y221+Y227+Y233+Y237+Y244+Y249+Y255+Y268,"0")</f>
        <v>2652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40.125859999999996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294</v>
      </c>
      <c r="E280" s="46">
        <f>IFERROR(X45*H45,"0")+IFERROR(X46*H46,"0")+IFERROR(X47*H47,"0")</f>
        <v>940.8</v>
      </c>
      <c r="F280" s="46">
        <f>IFERROR(X52*H52,"0")+IFERROR(X53*H53,"0")+IFERROR(X54*H54,"0")+IFERROR(X55*H55,"0")</f>
        <v>573.6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931.80000000000007</v>
      </c>
      <c r="I280" s="46">
        <f>IFERROR(X86*H86,"0")</f>
        <v>201.6</v>
      </c>
      <c r="J280" s="46">
        <f>IFERROR(X91*H91,"0")+IFERROR(X92*H92,"0")</f>
        <v>856.80000000000007</v>
      </c>
      <c r="K280" s="46">
        <f>IFERROR(X97*H97,"0")+IFERROR(X98*H98,"0")+IFERROR(X99*H99,"0")+IFERROR(X100*H100,"0")+IFERROR(X101*H101,"0")+IFERROR(X102*H102,"0")</f>
        <v>1102.0800000000002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2301.6</v>
      </c>
      <c r="N280" s="266"/>
      <c r="O280" s="46">
        <f>IFERROR(X133*H133,"0")+IFERROR(X134*H134,"0")</f>
        <v>1260</v>
      </c>
      <c r="P280" s="46">
        <f>IFERROR(X139*H139,"0")+IFERROR(X140*H140,"0")</f>
        <v>126</v>
      </c>
      <c r="Q280" s="46">
        <f>IFERROR(X145*H145,"0")+IFERROR(X146*H146,"0")</f>
        <v>235.2</v>
      </c>
      <c r="R280" s="46">
        <f>IFERROR(X151*H151,"0")</f>
        <v>84</v>
      </c>
      <c r="S280" s="46">
        <f>IFERROR(X156*H156,"0")</f>
        <v>0</v>
      </c>
      <c r="T280" s="46">
        <f>IFERROR(X161*H161,"0")</f>
        <v>0</v>
      </c>
      <c r="U280" s="46">
        <f>IFERROR(X166*H166,"0")</f>
        <v>70.56</v>
      </c>
      <c r="V280" s="46">
        <f>IFERROR(X172*H172,"0")+IFERROR(X173*H173,"0")</f>
        <v>0</v>
      </c>
      <c r="W280" s="46">
        <f>IFERROR(X179*H179,"0")+IFERROR(X180*H180,"0")+IFERROR(X181*H181,"0")+IFERROR(X185*H185,"0")</f>
        <v>462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792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4747.8</v>
      </c>
      <c r="B283" s="60">
        <f>SUMPRODUCT(--(BB:BB="ПГП"),--(W:W="кор"),H:H,Y:Y)+SUMPRODUCT(--(BB:BB="ПГП"),--(W:W="кг"),Y:Y)</f>
        <v>5484.2400000000007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2,08"/>
        <filter val="1 260,00"/>
        <filter val="10 232,04"/>
        <filter val="108,00"/>
        <filter val="11 468,95"/>
        <filter val="12 268,95"/>
        <filter val="12,00"/>
        <filter val="126,00"/>
        <filter val="132,00"/>
        <filter val="14,00"/>
        <filter val="140,00"/>
        <filter val="154,00"/>
        <filter val="168,00"/>
        <filter val="182,00"/>
        <filter val="196,00"/>
        <filter val="2 301,60"/>
        <filter val="2 652,00"/>
        <filter val="201,60"/>
        <filter val="234,00"/>
        <filter val="235,20"/>
        <filter val="238,00"/>
        <filter val="24,00"/>
        <filter val="28,00"/>
        <filter val="294,00"/>
        <filter val="32"/>
        <filter val="336,00"/>
        <filter val="36,00"/>
        <filter val="364,00"/>
        <filter val="42,00"/>
        <filter val="420,00"/>
        <filter val="462,00"/>
        <filter val="48,00"/>
        <filter val="56,00"/>
        <filter val="573,60"/>
        <filter val="60,00"/>
        <filter val="70,00"/>
        <filter val="70,56"/>
        <filter val="792,00"/>
        <filter val="84,00"/>
        <filter val="856,80"/>
        <filter val="931,80"/>
        <filter val="940,8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2025-12-12T07:36:17Z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