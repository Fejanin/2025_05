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B997719-5D9B-4085-88BD-4D2852C2ABF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Y382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N288" i="1"/>
  <c r="BM288" i="1"/>
  <c r="Z288" i="1"/>
  <c r="Y288" i="1"/>
  <c r="BP288" i="1" s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BP272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BP241" i="1" s="1"/>
  <c r="P241" i="1"/>
  <c r="BO240" i="1"/>
  <c r="BM240" i="1"/>
  <c r="Y240" i="1"/>
  <c r="BP240" i="1" s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O234" i="1"/>
  <c r="BM234" i="1"/>
  <c r="Y234" i="1"/>
  <c r="P234" i="1"/>
  <c r="X231" i="1"/>
  <c r="X230" i="1"/>
  <c r="BO229" i="1"/>
  <c r="BM229" i="1"/>
  <c r="Y229" i="1"/>
  <c r="BP229" i="1" s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Y213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O195" i="1"/>
  <c r="BM195" i="1"/>
  <c r="Y195" i="1"/>
  <c r="Y197" i="1" s="1"/>
  <c r="P195" i="1"/>
  <c r="X192" i="1"/>
  <c r="X191" i="1"/>
  <c r="BO190" i="1"/>
  <c r="BM190" i="1"/>
  <c r="Y190" i="1"/>
  <c r="Y192" i="1" s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X146" i="1"/>
  <c r="X145" i="1"/>
  <c r="BO144" i="1"/>
  <c r="BM144" i="1"/>
  <c r="Y144" i="1"/>
  <c r="BP144" i="1" s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P137" i="1"/>
  <c r="X135" i="1"/>
  <c r="X134" i="1"/>
  <c r="BO133" i="1"/>
  <c r="BM133" i="1"/>
  <c r="Y133" i="1"/>
  <c r="BP133" i="1" s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F505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X499" i="1" s="1"/>
  <c r="BO23" i="1"/>
  <c r="BM23" i="1"/>
  <c r="Y23" i="1"/>
  <c r="BP23" i="1" s="1"/>
  <c r="P23" i="1"/>
  <c r="BO22" i="1"/>
  <c r="BM22" i="1"/>
  <c r="Y22" i="1"/>
  <c r="Y25" i="1" s="1"/>
  <c r="P22" i="1"/>
  <c r="H10" i="1"/>
  <c r="A9" i="1"/>
  <c r="F10" i="1" s="1"/>
  <c r="D7" i="1"/>
  <c r="Q6" i="1"/>
  <c r="P2" i="1"/>
  <c r="BP116" i="1" l="1"/>
  <c r="BN116" i="1"/>
  <c r="BP137" i="1"/>
  <c r="BN137" i="1"/>
  <c r="Z137" i="1"/>
  <c r="BP167" i="1"/>
  <c r="BN167" i="1"/>
  <c r="Z167" i="1"/>
  <c r="BP176" i="1"/>
  <c r="BN176" i="1"/>
  <c r="Z176" i="1"/>
  <c r="BP207" i="1"/>
  <c r="BN207" i="1"/>
  <c r="Z207" i="1"/>
  <c r="BP234" i="1"/>
  <c r="BN234" i="1"/>
  <c r="Z234" i="1"/>
  <c r="BP263" i="1"/>
  <c r="BN263" i="1"/>
  <c r="Z263" i="1"/>
  <c r="BP307" i="1"/>
  <c r="BN307" i="1"/>
  <c r="Z307" i="1"/>
  <c r="BP335" i="1"/>
  <c r="BN335" i="1"/>
  <c r="Z335" i="1"/>
  <c r="Z338" i="1" s="1"/>
  <c r="BP366" i="1"/>
  <c r="BN366" i="1"/>
  <c r="Z366" i="1"/>
  <c r="BP401" i="1"/>
  <c r="BN401" i="1"/>
  <c r="Z401" i="1"/>
  <c r="BP434" i="1"/>
  <c r="BN434" i="1"/>
  <c r="Z434" i="1"/>
  <c r="BP454" i="1"/>
  <c r="BN454" i="1"/>
  <c r="Z454" i="1"/>
  <c r="X497" i="1"/>
  <c r="Z31" i="1"/>
  <c r="BN31" i="1"/>
  <c r="Z54" i="1"/>
  <c r="BN54" i="1"/>
  <c r="Z72" i="1"/>
  <c r="BN72" i="1"/>
  <c r="Z87" i="1"/>
  <c r="BN87" i="1"/>
  <c r="Z102" i="1"/>
  <c r="BN102" i="1"/>
  <c r="Z116" i="1"/>
  <c r="BP152" i="1"/>
  <c r="BN152" i="1"/>
  <c r="Z152" i="1"/>
  <c r="BP168" i="1"/>
  <c r="BN168" i="1"/>
  <c r="Z168" i="1"/>
  <c r="BP186" i="1"/>
  <c r="BN186" i="1"/>
  <c r="Z186" i="1"/>
  <c r="Y225" i="1"/>
  <c r="BP219" i="1"/>
  <c r="BN219" i="1"/>
  <c r="Z219" i="1"/>
  <c r="BP242" i="1"/>
  <c r="BN242" i="1"/>
  <c r="Z242" i="1"/>
  <c r="BP274" i="1"/>
  <c r="BN274" i="1"/>
  <c r="Z274" i="1"/>
  <c r="BP317" i="1"/>
  <c r="BN317" i="1"/>
  <c r="Z317" i="1"/>
  <c r="BP352" i="1"/>
  <c r="BN352" i="1"/>
  <c r="Z352" i="1"/>
  <c r="BP393" i="1"/>
  <c r="BN393" i="1"/>
  <c r="Z393" i="1"/>
  <c r="Y424" i="1"/>
  <c r="BP423" i="1"/>
  <c r="BN423" i="1"/>
  <c r="Z423" i="1"/>
  <c r="Z424" i="1" s="1"/>
  <c r="BP444" i="1"/>
  <c r="BN444" i="1"/>
  <c r="Z444" i="1"/>
  <c r="BP478" i="1"/>
  <c r="BN478" i="1"/>
  <c r="Z478" i="1"/>
  <c r="Y484" i="1"/>
  <c r="Y483" i="1"/>
  <c r="BP482" i="1"/>
  <c r="BN482" i="1"/>
  <c r="Z482" i="1"/>
  <c r="Z483" i="1" s="1"/>
  <c r="BP486" i="1"/>
  <c r="BN486" i="1"/>
  <c r="Z486" i="1"/>
  <c r="H505" i="1"/>
  <c r="I505" i="1"/>
  <c r="Y260" i="1"/>
  <c r="BP301" i="1"/>
  <c r="BN301" i="1"/>
  <c r="Z301" i="1"/>
  <c r="Y319" i="1"/>
  <c r="BP315" i="1"/>
  <c r="BN315" i="1"/>
  <c r="Z315" i="1"/>
  <c r="BP331" i="1"/>
  <c r="BN331" i="1"/>
  <c r="Z331" i="1"/>
  <c r="Y358" i="1"/>
  <c r="BP350" i="1"/>
  <c r="BN350" i="1"/>
  <c r="Z350" i="1"/>
  <c r="BP360" i="1"/>
  <c r="BN360" i="1"/>
  <c r="Z360" i="1"/>
  <c r="BP387" i="1"/>
  <c r="BN387" i="1"/>
  <c r="Z387" i="1"/>
  <c r="BP399" i="1"/>
  <c r="BN399" i="1"/>
  <c r="Z399" i="1"/>
  <c r="BP418" i="1"/>
  <c r="BN418" i="1"/>
  <c r="Z418" i="1"/>
  <c r="BP432" i="1"/>
  <c r="BN432" i="1"/>
  <c r="Z432" i="1"/>
  <c r="BP440" i="1"/>
  <c r="BN440" i="1"/>
  <c r="Z440" i="1"/>
  <c r="BP452" i="1"/>
  <c r="BN452" i="1"/>
  <c r="Z452" i="1"/>
  <c r="Y474" i="1"/>
  <c r="BP472" i="1"/>
  <c r="BN472" i="1"/>
  <c r="Z472" i="1"/>
  <c r="X496" i="1"/>
  <c r="X498" i="1" s="1"/>
  <c r="Z23" i="1"/>
  <c r="BN23" i="1"/>
  <c r="X495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Z56" i="1"/>
  <c r="BN56" i="1"/>
  <c r="Y64" i="1"/>
  <c r="Z68" i="1"/>
  <c r="BN68" i="1"/>
  <c r="Y76" i="1"/>
  <c r="Z74" i="1"/>
  <c r="BN74" i="1"/>
  <c r="Z85" i="1"/>
  <c r="BN85" i="1"/>
  <c r="Z93" i="1"/>
  <c r="BN93" i="1"/>
  <c r="Z100" i="1"/>
  <c r="BN100" i="1"/>
  <c r="BP100" i="1"/>
  <c r="Z104" i="1"/>
  <c r="BN104" i="1"/>
  <c r="Y112" i="1"/>
  <c r="Z110" i="1"/>
  <c r="BN110" i="1"/>
  <c r="Y120" i="1"/>
  <c r="Z118" i="1"/>
  <c r="BN118" i="1"/>
  <c r="Z133" i="1"/>
  <c r="BN133" i="1"/>
  <c r="Y139" i="1"/>
  <c r="Z144" i="1"/>
  <c r="BN144" i="1"/>
  <c r="Y154" i="1"/>
  <c r="Z150" i="1"/>
  <c r="BN150" i="1"/>
  <c r="Y182" i="1"/>
  <c r="Z170" i="1"/>
  <c r="BN170" i="1"/>
  <c r="Z174" i="1"/>
  <c r="BN174" i="1"/>
  <c r="Z178" i="1"/>
  <c r="BN178" i="1"/>
  <c r="Z184" i="1"/>
  <c r="BN184" i="1"/>
  <c r="BP184" i="1"/>
  <c r="Z190" i="1"/>
  <c r="Z191" i="1" s="1"/>
  <c r="BN190" i="1"/>
  <c r="BP190" i="1"/>
  <c r="Y191" i="1"/>
  <c r="Z195" i="1"/>
  <c r="BN195" i="1"/>
  <c r="BP195" i="1"/>
  <c r="Z205" i="1"/>
  <c r="BN205" i="1"/>
  <c r="BP205" i="1"/>
  <c r="Z209" i="1"/>
  <c r="BN209" i="1"/>
  <c r="Z217" i="1"/>
  <c r="BN217" i="1"/>
  <c r="Z221" i="1"/>
  <c r="BN221" i="1"/>
  <c r="Z229" i="1"/>
  <c r="BN229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BP254" i="1"/>
  <c r="Z258" i="1"/>
  <c r="BN258" i="1"/>
  <c r="Z265" i="1"/>
  <c r="BN265" i="1"/>
  <c r="Z272" i="1"/>
  <c r="BN272" i="1"/>
  <c r="Z281" i="1"/>
  <c r="BN281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72" i="1"/>
  <c r="Y371" i="1"/>
  <c r="BP370" i="1"/>
  <c r="BN370" i="1"/>
  <c r="Z370" i="1"/>
  <c r="Z371" i="1" s="1"/>
  <c r="BP375" i="1"/>
  <c r="BN375" i="1"/>
  <c r="Z375" i="1"/>
  <c r="BP395" i="1"/>
  <c r="BN395" i="1"/>
  <c r="Z395" i="1"/>
  <c r="Y407" i="1"/>
  <c r="BP405" i="1"/>
  <c r="BN405" i="1"/>
  <c r="Z405" i="1"/>
  <c r="BP436" i="1"/>
  <c r="BN436" i="1"/>
  <c r="Z436" i="1"/>
  <c r="BP446" i="1"/>
  <c r="BN446" i="1"/>
  <c r="Z446" i="1"/>
  <c r="BP466" i="1"/>
  <c r="BN466" i="1"/>
  <c r="Z466" i="1"/>
  <c r="Y339" i="1"/>
  <c r="Y338" i="1"/>
  <c r="S505" i="1"/>
  <c r="U505" i="1"/>
  <c r="Y425" i="1"/>
  <c r="Y456" i="1"/>
  <c r="W505" i="1"/>
  <c r="H9" i="1"/>
  <c r="A10" i="1"/>
  <c r="Y24" i="1"/>
  <c r="Y32" i="1"/>
  <c r="Y44" i="1"/>
  <c r="Y59" i="1"/>
  <c r="Y65" i="1"/>
  <c r="Y69" i="1"/>
  <c r="Y77" i="1"/>
  <c r="Y81" i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BP275" i="1"/>
  <c r="BN275" i="1"/>
  <c r="Z275" i="1"/>
  <c r="Y277" i="1"/>
  <c r="Y283" i="1"/>
  <c r="BP280" i="1"/>
  <c r="BN280" i="1"/>
  <c r="Z280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BP330" i="1"/>
  <c r="BN330" i="1"/>
  <c r="Z330" i="1"/>
  <c r="BP343" i="1"/>
  <c r="BN343" i="1"/>
  <c r="Z343" i="1"/>
  <c r="BP353" i="1"/>
  <c r="BN353" i="1"/>
  <c r="Z353" i="1"/>
  <c r="Y357" i="1"/>
  <c r="BP361" i="1"/>
  <c r="BN361" i="1"/>
  <c r="Z361" i="1"/>
  <c r="Z362" i="1" s="1"/>
  <c r="Y363" i="1"/>
  <c r="Y368" i="1"/>
  <c r="BP365" i="1"/>
  <c r="BN365" i="1"/>
  <c r="Z365" i="1"/>
  <c r="Z367" i="1" s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BP453" i="1"/>
  <c r="BN453" i="1"/>
  <c r="Z453" i="1"/>
  <c r="BP467" i="1"/>
  <c r="BN467" i="1"/>
  <c r="Z467" i="1"/>
  <c r="B505" i="1"/>
  <c r="J505" i="1"/>
  <c r="F9" i="1"/>
  <c r="J9" i="1"/>
  <c r="Z22" i="1"/>
  <c r="Z24" i="1" s="1"/>
  <c r="BN22" i="1"/>
  <c r="BP22" i="1"/>
  <c r="Z28" i="1"/>
  <c r="BN28" i="1"/>
  <c r="Z30" i="1"/>
  <c r="BN30" i="1"/>
  <c r="C505" i="1"/>
  <c r="Z42" i="1"/>
  <c r="Z44" i="1" s="1"/>
  <c r="BN42" i="1"/>
  <c r="Y45" i="1"/>
  <c r="D505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BN67" i="1"/>
  <c r="BP67" i="1"/>
  <c r="Z73" i="1"/>
  <c r="BN73" i="1"/>
  <c r="Z75" i="1"/>
  <c r="BN75" i="1"/>
  <c r="Z79" i="1"/>
  <c r="Z81" i="1" s="1"/>
  <c r="BN79" i="1"/>
  <c r="BP79" i="1"/>
  <c r="E505" i="1"/>
  <c r="Z86" i="1"/>
  <c r="BN86" i="1"/>
  <c r="Z88" i="1"/>
  <c r="BN88" i="1"/>
  <c r="Y89" i="1"/>
  <c r="Z92" i="1"/>
  <c r="BN92" i="1"/>
  <c r="BP92" i="1"/>
  <c r="Z94" i="1"/>
  <c r="BN94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BN185" i="1"/>
  <c r="Z196" i="1"/>
  <c r="Z197" i="1" s="1"/>
  <c r="BN196" i="1"/>
  <c r="Z200" i="1"/>
  <c r="Z202" i="1" s="1"/>
  <c r="BN200" i="1"/>
  <c r="BP200" i="1"/>
  <c r="Z206" i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K505" i="1"/>
  <c r="Z235" i="1"/>
  <c r="BN235" i="1"/>
  <c r="Z237" i="1"/>
  <c r="BN237" i="1"/>
  <c r="Z239" i="1"/>
  <c r="BN239" i="1"/>
  <c r="Z241" i="1"/>
  <c r="BN241" i="1"/>
  <c r="Y244" i="1"/>
  <c r="Z255" i="1"/>
  <c r="BN255" i="1"/>
  <c r="Z257" i="1"/>
  <c r="BN257" i="1"/>
  <c r="L505" i="1"/>
  <c r="Y269" i="1"/>
  <c r="Z264" i="1"/>
  <c r="BN264" i="1"/>
  <c r="Z266" i="1"/>
  <c r="BN266" i="1"/>
  <c r="Y268" i="1"/>
  <c r="BP273" i="1"/>
  <c r="BN273" i="1"/>
  <c r="Z273" i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5" i="1"/>
  <c r="BP351" i="1"/>
  <c r="BN351" i="1"/>
  <c r="Z351" i="1"/>
  <c r="BP355" i="1"/>
  <c r="BN355" i="1"/>
  <c r="Z355" i="1"/>
  <c r="Y362" i="1"/>
  <c r="Y367" i="1"/>
  <c r="BP376" i="1"/>
  <c r="BN376" i="1"/>
  <c r="Z376" i="1"/>
  <c r="Y378" i="1"/>
  <c r="Y383" i="1"/>
  <c r="BP380" i="1"/>
  <c r="BN380" i="1"/>
  <c r="Z380" i="1"/>
  <c r="Z382" i="1" s="1"/>
  <c r="Y389" i="1"/>
  <c r="Y388" i="1"/>
  <c r="BP394" i="1"/>
  <c r="BN394" i="1"/>
  <c r="Z394" i="1"/>
  <c r="BP398" i="1"/>
  <c r="BN398" i="1"/>
  <c r="Z398" i="1"/>
  <c r="Y402" i="1"/>
  <c r="BP406" i="1"/>
  <c r="BN406" i="1"/>
  <c r="Z406" i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47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O505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Y475" i="1"/>
  <c r="Y480" i="1"/>
  <c r="BP477" i="1"/>
  <c r="BN477" i="1"/>
  <c r="Z477" i="1"/>
  <c r="Z479" i="1" s="1"/>
  <c r="Y488" i="1"/>
  <c r="Y505" i="1"/>
  <c r="Z474" i="1" l="1"/>
  <c r="Z456" i="1"/>
  <c r="Z407" i="1"/>
  <c r="Z402" i="1"/>
  <c r="Z332" i="1"/>
  <c r="Z319" i="1"/>
  <c r="Z276" i="1"/>
  <c r="Z187" i="1"/>
  <c r="Z64" i="1"/>
  <c r="Z345" i="1"/>
  <c r="Z243" i="1"/>
  <c r="Z181" i="1"/>
  <c r="Z105" i="1"/>
  <c r="Z89" i="1"/>
  <c r="Z76" i="1"/>
  <c r="Z32" i="1"/>
  <c r="Z419" i="1"/>
  <c r="Z377" i="1"/>
  <c r="Z357" i="1"/>
  <c r="Z268" i="1"/>
  <c r="Z259" i="1"/>
  <c r="Z213" i="1"/>
  <c r="Z154" i="1"/>
  <c r="Z112" i="1"/>
  <c r="Z69" i="1"/>
  <c r="Z58" i="1"/>
  <c r="Y495" i="1"/>
  <c r="Z388" i="1"/>
  <c r="Z441" i="1"/>
  <c r="Z225" i="1"/>
  <c r="Z119" i="1"/>
  <c r="Z96" i="1"/>
  <c r="Y497" i="1"/>
  <c r="Z325" i="1"/>
  <c r="Z283" i="1"/>
  <c r="Y496" i="1"/>
  <c r="Z312" i="1"/>
  <c r="Z303" i="1"/>
  <c r="Y499" i="1"/>
  <c r="Z500" i="1" l="1"/>
  <c r="Y498" i="1"/>
</calcChain>
</file>

<file path=xl/sharedStrings.xml><?xml version="1.0" encoding="utf-8"?>
<sst xmlns="http://schemas.openxmlformats.org/spreadsheetml/2006/main" count="2319" uniqueCount="782">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</sst>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9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786" t="s">
        <v>0</v>
      </c>
      <c r="E1" s="591"/>
      <c r="F1" s="591"/>
      <c r="G1" s="12" t="s">
        <v>1</v>
      </c>
      <c r="H1" s="786" t="s">
        <v>2</v>
      </c>
      <c r="I1" s="591"/>
      <c r="J1" s="591"/>
      <c r="K1" s="591"/>
      <c r="L1" s="591"/>
      <c r="M1" s="591"/>
      <c r="N1" s="591"/>
      <c r="O1" s="591"/>
      <c r="P1" s="591"/>
      <c r="Q1" s="591"/>
      <c r="R1" s="863" t="s">
        <v>3</v>
      </c>
      <c r="S1" s="591"/>
      <c r="T1" s="59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0"/>
      <c r="R2" s="560"/>
      <c r="S2" s="560"/>
      <c r="T2" s="560"/>
      <c r="U2" s="560"/>
      <c r="V2" s="560"/>
      <c r="W2" s="560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0"/>
      <c r="Q3" s="560"/>
      <c r="R3" s="560"/>
      <c r="S3" s="560"/>
      <c r="T3" s="560"/>
      <c r="U3" s="560"/>
      <c r="V3" s="560"/>
      <c r="W3" s="560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56" t="s">
        <v>8</v>
      </c>
      <c r="B5" s="580"/>
      <c r="C5" s="581"/>
      <c r="D5" s="663"/>
      <c r="E5" s="665"/>
      <c r="F5" s="628" t="s">
        <v>9</v>
      </c>
      <c r="G5" s="581"/>
      <c r="H5" s="663" t="s">
        <v>781</v>
      </c>
      <c r="I5" s="664"/>
      <c r="J5" s="664"/>
      <c r="K5" s="664"/>
      <c r="L5" s="664"/>
      <c r="M5" s="665"/>
      <c r="N5" s="58"/>
      <c r="P5" s="24" t="s">
        <v>10</v>
      </c>
      <c r="Q5" s="600">
        <v>46024</v>
      </c>
      <c r="R5" s="601"/>
      <c r="T5" s="724" t="s">
        <v>11</v>
      </c>
      <c r="U5" s="648"/>
      <c r="V5" s="725" t="s">
        <v>12</v>
      </c>
      <c r="W5" s="601"/>
      <c r="AB5" s="51"/>
      <c r="AC5" s="51"/>
      <c r="AD5" s="51"/>
      <c r="AE5" s="51"/>
    </row>
    <row r="6" spans="1:32" s="547" customFormat="1" ht="24" customHeight="1" x14ac:dyDescent="0.2">
      <c r="A6" s="756" t="s">
        <v>13</v>
      </c>
      <c r="B6" s="580"/>
      <c r="C6" s="581"/>
      <c r="D6" s="667" t="s">
        <v>14</v>
      </c>
      <c r="E6" s="668"/>
      <c r="F6" s="668"/>
      <c r="G6" s="668"/>
      <c r="H6" s="668"/>
      <c r="I6" s="668"/>
      <c r="J6" s="668"/>
      <c r="K6" s="668"/>
      <c r="L6" s="668"/>
      <c r="M6" s="601"/>
      <c r="N6" s="59"/>
      <c r="P6" s="24" t="s">
        <v>15</v>
      </c>
      <c r="Q6" s="609" t="str">
        <f>IF(Q5=0," ",CHOOSE(WEEKDAY(Q5,2),"Понедельник","Вторник","Среда","Четверг","Пятница","Суббота","Воскресенье"))</f>
        <v>Пятница</v>
      </c>
      <c r="R6" s="562"/>
      <c r="T6" s="732" t="s">
        <v>16</v>
      </c>
      <c r="U6" s="648"/>
      <c r="V6" s="674" t="s">
        <v>17</v>
      </c>
      <c r="W6" s="675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838" t="str">
        <f>IFERROR(VLOOKUP(DeliveryAddress,Table,3,0),1)</f>
        <v>1</v>
      </c>
      <c r="E7" s="839"/>
      <c r="F7" s="839"/>
      <c r="G7" s="839"/>
      <c r="H7" s="839"/>
      <c r="I7" s="839"/>
      <c r="J7" s="839"/>
      <c r="K7" s="839"/>
      <c r="L7" s="839"/>
      <c r="M7" s="728"/>
      <c r="N7" s="60"/>
      <c r="P7" s="24"/>
      <c r="Q7" s="42"/>
      <c r="R7" s="42"/>
      <c r="T7" s="560"/>
      <c r="U7" s="648"/>
      <c r="V7" s="676"/>
      <c r="W7" s="677"/>
      <c r="AB7" s="51"/>
      <c r="AC7" s="51"/>
      <c r="AD7" s="51"/>
      <c r="AE7" s="51"/>
    </row>
    <row r="8" spans="1:32" s="547" customFormat="1" ht="25.5" customHeight="1" x14ac:dyDescent="0.2">
      <c r="A8" s="576" t="s">
        <v>18</v>
      </c>
      <c r="B8" s="564"/>
      <c r="C8" s="565"/>
      <c r="D8" s="848" t="s">
        <v>19</v>
      </c>
      <c r="E8" s="849"/>
      <c r="F8" s="849"/>
      <c r="G8" s="849"/>
      <c r="H8" s="849"/>
      <c r="I8" s="849"/>
      <c r="J8" s="849"/>
      <c r="K8" s="849"/>
      <c r="L8" s="849"/>
      <c r="M8" s="850"/>
      <c r="N8" s="61"/>
      <c r="P8" s="24" t="s">
        <v>20</v>
      </c>
      <c r="Q8" s="727">
        <v>0.41666666666666669</v>
      </c>
      <c r="R8" s="728"/>
      <c r="T8" s="560"/>
      <c r="U8" s="648"/>
      <c r="V8" s="676"/>
      <c r="W8" s="677"/>
      <c r="AB8" s="51"/>
      <c r="AC8" s="51"/>
      <c r="AD8" s="51"/>
      <c r="AE8" s="51"/>
    </row>
    <row r="9" spans="1:32" s="547" customFormat="1" ht="39.950000000000003" customHeight="1" x14ac:dyDescent="0.2">
      <c r="A9" s="5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0"/>
      <c r="C9" s="560"/>
      <c r="D9" s="644"/>
      <c r="E9" s="645"/>
      <c r="F9" s="5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0"/>
      <c r="H9" s="705" t="str">
        <f>IF(AND($A$9="Тип доверенности/получателя при получении в адресе перегруза:",$D$9="Разовая доверенность"),"Введите ФИО","")</f>
        <v/>
      </c>
      <c r="I9" s="645"/>
      <c r="J9" s="7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5"/>
      <c r="L9" s="645"/>
      <c r="M9" s="645"/>
      <c r="N9" s="545"/>
      <c r="P9" s="26" t="s">
        <v>21</v>
      </c>
      <c r="Q9" s="771"/>
      <c r="R9" s="632"/>
      <c r="T9" s="560"/>
      <c r="U9" s="648"/>
      <c r="V9" s="678"/>
      <c r="W9" s="679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5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0"/>
      <c r="C10" s="560"/>
      <c r="D10" s="644"/>
      <c r="E10" s="645"/>
      <c r="F10" s="5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0"/>
      <c r="H10" s="691" t="str">
        <f>IFERROR(VLOOKUP($D$10,Proxy,2,FALSE),"")</f>
        <v/>
      </c>
      <c r="I10" s="560"/>
      <c r="J10" s="560"/>
      <c r="K10" s="560"/>
      <c r="L10" s="560"/>
      <c r="M10" s="560"/>
      <c r="N10" s="546"/>
      <c r="P10" s="26" t="s">
        <v>22</v>
      </c>
      <c r="Q10" s="733"/>
      <c r="R10" s="734"/>
      <c r="U10" s="24" t="s">
        <v>23</v>
      </c>
      <c r="V10" s="855" t="s">
        <v>24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4"/>
      <c r="R11" s="601"/>
      <c r="U11" s="24" t="s">
        <v>27</v>
      </c>
      <c r="V11" s="631" t="s">
        <v>28</v>
      </c>
      <c r="W11" s="632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12" t="s">
        <v>29</v>
      </c>
      <c r="B12" s="580"/>
      <c r="C12" s="580"/>
      <c r="D12" s="580"/>
      <c r="E12" s="580"/>
      <c r="F12" s="580"/>
      <c r="G12" s="580"/>
      <c r="H12" s="580"/>
      <c r="I12" s="580"/>
      <c r="J12" s="580"/>
      <c r="K12" s="580"/>
      <c r="L12" s="580"/>
      <c r="M12" s="581"/>
      <c r="N12" s="62"/>
      <c r="P12" s="24" t="s">
        <v>30</v>
      </c>
      <c r="Q12" s="727"/>
      <c r="R12" s="728"/>
      <c r="S12" s="23"/>
      <c r="U12" s="24"/>
      <c r="V12" s="591"/>
      <c r="W12" s="560"/>
      <c r="AB12" s="51"/>
      <c r="AC12" s="51"/>
      <c r="AD12" s="51"/>
      <c r="AE12" s="51"/>
    </row>
    <row r="13" spans="1:32" s="547" customFormat="1" ht="23.25" customHeight="1" x14ac:dyDescent="0.2">
      <c r="A13" s="712" t="s">
        <v>31</v>
      </c>
      <c r="B13" s="580"/>
      <c r="C13" s="580"/>
      <c r="D13" s="580"/>
      <c r="E13" s="580"/>
      <c r="F13" s="580"/>
      <c r="G13" s="580"/>
      <c r="H13" s="580"/>
      <c r="I13" s="580"/>
      <c r="J13" s="580"/>
      <c r="K13" s="580"/>
      <c r="L13" s="580"/>
      <c r="M13" s="581"/>
      <c r="N13" s="62"/>
      <c r="O13" s="26"/>
      <c r="P13" s="26" t="s">
        <v>32</v>
      </c>
      <c r="Q13" s="631"/>
      <c r="R13" s="6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12" t="s">
        <v>33</v>
      </c>
      <c r="B14" s="580"/>
      <c r="C14" s="580"/>
      <c r="D14" s="580"/>
      <c r="E14" s="580"/>
      <c r="F14" s="580"/>
      <c r="G14" s="580"/>
      <c r="H14" s="580"/>
      <c r="I14" s="580"/>
      <c r="J14" s="580"/>
      <c r="K14" s="580"/>
      <c r="L14" s="580"/>
      <c r="M14" s="58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15" t="s">
        <v>34</v>
      </c>
      <c r="B15" s="580"/>
      <c r="C15" s="580"/>
      <c r="D15" s="580"/>
      <c r="E15" s="580"/>
      <c r="F15" s="580"/>
      <c r="G15" s="580"/>
      <c r="H15" s="580"/>
      <c r="I15" s="580"/>
      <c r="J15" s="580"/>
      <c r="K15" s="580"/>
      <c r="L15" s="580"/>
      <c r="M15" s="581"/>
      <c r="N15" s="63"/>
      <c r="P15" s="722" t="s">
        <v>35</v>
      </c>
      <c r="Q15" s="591"/>
      <c r="R15" s="591"/>
      <c r="S15" s="591"/>
      <c r="T15" s="59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3"/>
      <c r="Q16" s="723"/>
      <c r="R16" s="723"/>
      <c r="S16" s="723"/>
      <c r="T16" s="72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770" t="s">
        <v>38</v>
      </c>
      <c r="D17" s="586" t="s">
        <v>39</v>
      </c>
      <c r="E17" s="587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788"/>
      <c r="R17" s="788"/>
      <c r="S17" s="788"/>
      <c r="T17" s="587"/>
      <c r="U17" s="593" t="s">
        <v>51</v>
      </c>
      <c r="V17" s="581"/>
      <c r="W17" s="586" t="s">
        <v>52</v>
      </c>
      <c r="X17" s="586" t="s">
        <v>53</v>
      </c>
      <c r="Y17" s="595" t="s">
        <v>54</v>
      </c>
      <c r="Z17" s="686" t="s">
        <v>55</v>
      </c>
      <c r="AA17" s="622" t="s">
        <v>56</v>
      </c>
      <c r="AB17" s="622" t="s">
        <v>57</v>
      </c>
      <c r="AC17" s="622" t="s">
        <v>58</v>
      </c>
      <c r="AD17" s="622" t="s">
        <v>59</v>
      </c>
      <c r="AE17" s="623"/>
      <c r="AF17" s="624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588"/>
      <c r="E18" s="589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588"/>
      <c r="Q18" s="789"/>
      <c r="R18" s="789"/>
      <c r="S18" s="789"/>
      <c r="T18" s="589"/>
      <c r="U18" s="67" t="s">
        <v>61</v>
      </c>
      <c r="V18" s="67" t="s">
        <v>62</v>
      </c>
      <c r="W18" s="590"/>
      <c r="X18" s="590"/>
      <c r="Y18" s="596"/>
      <c r="Z18" s="687"/>
      <c r="AA18" s="690"/>
      <c r="AB18" s="690"/>
      <c r="AC18" s="690"/>
      <c r="AD18" s="625"/>
      <c r="AE18" s="626"/>
      <c r="AF18" s="627"/>
      <c r="AG18" s="66"/>
      <c r="BD18" s="65"/>
    </row>
    <row r="19" spans="1:68" ht="27.75" hidden="1" customHeight="1" x14ac:dyDescent="0.2">
      <c r="A19" s="582" t="s">
        <v>63</v>
      </c>
      <c r="B19" s="583"/>
      <c r="C19" s="583"/>
      <c r="D19" s="583"/>
      <c r="E19" s="583"/>
      <c r="F19" s="583"/>
      <c r="G19" s="583"/>
      <c r="H19" s="583"/>
      <c r="I19" s="583"/>
      <c r="J19" s="583"/>
      <c r="K19" s="583"/>
      <c r="L19" s="583"/>
      <c r="M19" s="583"/>
      <c r="N19" s="583"/>
      <c r="O19" s="583"/>
      <c r="P19" s="583"/>
      <c r="Q19" s="583"/>
      <c r="R19" s="583"/>
      <c r="S19" s="583"/>
      <c r="T19" s="583"/>
      <c r="U19" s="583"/>
      <c r="V19" s="583"/>
      <c r="W19" s="583"/>
      <c r="X19" s="583"/>
      <c r="Y19" s="583"/>
      <c r="Z19" s="583"/>
      <c r="AA19" s="48"/>
      <c r="AB19" s="48"/>
      <c r="AC19" s="48"/>
    </row>
    <row r="20" spans="1:68" ht="16.5" hidden="1" customHeight="1" x14ac:dyDescent="0.25">
      <c r="A20" s="592" t="s">
        <v>63</v>
      </c>
      <c r="B20" s="560"/>
      <c r="C20" s="560"/>
      <c r="D20" s="560"/>
      <c r="E20" s="560"/>
      <c r="F20" s="560"/>
      <c r="G20" s="560"/>
      <c r="H20" s="560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560"/>
      <c r="AA20" s="548"/>
      <c r="AB20" s="548"/>
      <c r="AC20" s="548"/>
    </row>
    <row r="21" spans="1:68" ht="14.25" hidden="1" customHeight="1" x14ac:dyDescent="0.25">
      <c r="A21" s="559" t="s">
        <v>64</v>
      </c>
      <c r="B21" s="560"/>
      <c r="C21" s="560"/>
      <c r="D21" s="560"/>
      <c r="E21" s="560"/>
      <c r="F21" s="560"/>
      <c r="G21" s="560"/>
      <c r="H21" s="560"/>
      <c r="I21" s="560"/>
      <c r="J21" s="560"/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9"/>
      <c r="R22" s="569"/>
      <c r="S22" s="569"/>
      <c r="T22" s="570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1">
        <v>4680115886643</v>
      </c>
      <c r="E23" s="562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9"/>
      <c r="R23" s="569"/>
      <c r="S23" s="569"/>
      <c r="T23" s="570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6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7"/>
      <c r="P24" s="563" t="s">
        <v>75</v>
      </c>
      <c r="Q24" s="564"/>
      <c r="R24" s="564"/>
      <c r="S24" s="564"/>
      <c r="T24" s="564"/>
      <c r="U24" s="564"/>
      <c r="V24" s="565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0"/>
      <c r="B25" s="560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7"/>
      <c r="P25" s="563" t="s">
        <v>75</v>
      </c>
      <c r="Q25" s="564"/>
      <c r="R25" s="564"/>
      <c r="S25" s="564"/>
      <c r="T25" s="564"/>
      <c r="U25" s="564"/>
      <c r="V25" s="565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59" t="s">
        <v>77</v>
      </c>
      <c r="B26" s="560"/>
      <c r="C26" s="560"/>
      <c r="D26" s="560"/>
      <c r="E26" s="560"/>
      <c r="F26" s="560"/>
      <c r="G26" s="560"/>
      <c r="H26" s="560"/>
      <c r="I26" s="560"/>
      <c r="J26" s="560"/>
      <c r="K26" s="560"/>
      <c r="L26" s="560"/>
      <c r="M26" s="560"/>
      <c r="N26" s="560"/>
      <c r="O26" s="560"/>
      <c r="P26" s="560"/>
      <c r="Q26" s="560"/>
      <c r="R26" s="560"/>
      <c r="S26" s="560"/>
      <c r="T26" s="560"/>
      <c r="U26" s="560"/>
      <c r="V26" s="560"/>
      <c r="W26" s="560"/>
      <c r="X26" s="560"/>
      <c r="Y26" s="560"/>
      <c r="Z26" s="560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1">
        <v>4680115885912</v>
      </c>
      <c r="E27" s="562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9"/>
      <c r="R27" s="569"/>
      <c r="S27" s="569"/>
      <c r="T27" s="570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1">
        <v>4607091388237</v>
      </c>
      <c r="E28" s="562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9"/>
      <c r="R28" s="569"/>
      <c r="S28" s="569"/>
      <c r="T28" s="570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1">
        <v>4680115887350</v>
      </c>
      <c r="E29" s="562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9"/>
      <c r="R29" s="569"/>
      <c r="S29" s="569"/>
      <c r="T29" s="570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1">
        <v>4680115885905</v>
      </c>
      <c r="E30" s="562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9"/>
      <c r="R30" s="569"/>
      <c r="S30" s="569"/>
      <c r="T30" s="570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1">
        <v>4607091388244</v>
      </c>
      <c r="E31" s="562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85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9"/>
      <c r="R31" s="569"/>
      <c r="S31" s="569"/>
      <c r="T31" s="570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6"/>
      <c r="B32" s="560"/>
      <c r="C32" s="560"/>
      <c r="D32" s="560"/>
      <c r="E32" s="560"/>
      <c r="F32" s="560"/>
      <c r="G32" s="560"/>
      <c r="H32" s="560"/>
      <c r="I32" s="560"/>
      <c r="J32" s="560"/>
      <c r="K32" s="560"/>
      <c r="L32" s="560"/>
      <c r="M32" s="560"/>
      <c r="N32" s="560"/>
      <c r="O32" s="567"/>
      <c r="P32" s="563" t="s">
        <v>75</v>
      </c>
      <c r="Q32" s="564"/>
      <c r="R32" s="564"/>
      <c r="S32" s="564"/>
      <c r="T32" s="564"/>
      <c r="U32" s="564"/>
      <c r="V32" s="565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0"/>
      <c r="B33" s="560"/>
      <c r="C33" s="560"/>
      <c r="D33" s="560"/>
      <c r="E33" s="560"/>
      <c r="F33" s="560"/>
      <c r="G33" s="560"/>
      <c r="H33" s="560"/>
      <c r="I33" s="560"/>
      <c r="J33" s="560"/>
      <c r="K33" s="560"/>
      <c r="L33" s="560"/>
      <c r="M33" s="560"/>
      <c r="N33" s="560"/>
      <c r="O33" s="567"/>
      <c r="P33" s="563" t="s">
        <v>75</v>
      </c>
      <c r="Q33" s="564"/>
      <c r="R33" s="564"/>
      <c r="S33" s="564"/>
      <c r="T33" s="564"/>
      <c r="U33" s="564"/>
      <c r="V33" s="565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59" t="s">
        <v>93</v>
      </c>
      <c r="B34" s="560"/>
      <c r="C34" s="560"/>
      <c r="D34" s="560"/>
      <c r="E34" s="560"/>
      <c r="F34" s="560"/>
      <c r="G34" s="560"/>
      <c r="H34" s="560"/>
      <c r="I34" s="560"/>
      <c r="J34" s="560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560"/>
      <c r="Y34" s="560"/>
      <c r="Z34" s="560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1">
        <v>4607091388503</v>
      </c>
      <c r="E35" s="562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6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9"/>
      <c r="R35" s="569"/>
      <c r="S35" s="569"/>
      <c r="T35" s="570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6"/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560"/>
      <c r="O36" s="567"/>
      <c r="P36" s="563" t="s">
        <v>75</v>
      </c>
      <c r="Q36" s="564"/>
      <c r="R36" s="564"/>
      <c r="S36" s="564"/>
      <c r="T36" s="564"/>
      <c r="U36" s="564"/>
      <c r="V36" s="565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0"/>
      <c r="B37" s="560"/>
      <c r="C37" s="560"/>
      <c r="D37" s="560"/>
      <c r="E37" s="560"/>
      <c r="F37" s="560"/>
      <c r="G37" s="560"/>
      <c r="H37" s="560"/>
      <c r="I37" s="560"/>
      <c r="J37" s="560"/>
      <c r="K37" s="560"/>
      <c r="L37" s="560"/>
      <c r="M37" s="560"/>
      <c r="N37" s="560"/>
      <c r="O37" s="567"/>
      <c r="P37" s="563" t="s">
        <v>75</v>
      </c>
      <c r="Q37" s="564"/>
      <c r="R37" s="564"/>
      <c r="S37" s="564"/>
      <c r="T37" s="564"/>
      <c r="U37" s="564"/>
      <c r="V37" s="565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82" t="s">
        <v>99</v>
      </c>
      <c r="B38" s="583"/>
      <c r="C38" s="583"/>
      <c r="D38" s="583"/>
      <c r="E38" s="583"/>
      <c r="F38" s="583"/>
      <c r="G38" s="583"/>
      <c r="H38" s="583"/>
      <c r="I38" s="583"/>
      <c r="J38" s="583"/>
      <c r="K38" s="583"/>
      <c r="L38" s="583"/>
      <c r="M38" s="583"/>
      <c r="N38" s="583"/>
      <c r="O38" s="583"/>
      <c r="P38" s="583"/>
      <c r="Q38" s="583"/>
      <c r="R38" s="583"/>
      <c r="S38" s="583"/>
      <c r="T38" s="583"/>
      <c r="U38" s="583"/>
      <c r="V38" s="583"/>
      <c r="W38" s="583"/>
      <c r="X38" s="583"/>
      <c r="Y38" s="583"/>
      <c r="Z38" s="583"/>
      <c r="AA38" s="48"/>
      <c r="AB38" s="48"/>
      <c r="AC38" s="48"/>
    </row>
    <row r="39" spans="1:68" ht="16.5" hidden="1" customHeight="1" x14ac:dyDescent="0.25">
      <c r="A39" s="592" t="s">
        <v>100</v>
      </c>
      <c r="B39" s="560"/>
      <c r="C39" s="560"/>
      <c r="D39" s="560"/>
      <c r="E39" s="560"/>
      <c r="F39" s="560"/>
      <c r="G39" s="560"/>
      <c r="H39" s="560"/>
      <c r="I39" s="560"/>
      <c r="J39" s="560"/>
      <c r="K39" s="560"/>
      <c r="L39" s="560"/>
      <c r="M39" s="560"/>
      <c r="N39" s="560"/>
      <c r="O39" s="560"/>
      <c r="P39" s="560"/>
      <c r="Q39" s="560"/>
      <c r="R39" s="560"/>
      <c r="S39" s="560"/>
      <c r="T39" s="560"/>
      <c r="U39" s="560"/>
      <c r="V39" s="560"/>
      <c r="W39" s="560"/>
      <c r="X39" s="560"/>
      <c r="Y39" s="560"/>
      <c r="Z39" s="560"/>
      <c r="AA39" s="548"/>
      <c r="AB39" s="548"/>
      <c r="AC39" s="548"/>
    </row>
    <row r="40" spans="1:68" ht="14.25" hidden="1" customHeight="1" x14ac:dyDescent="0.25">
      <c r="A40" s="559" t="s">
        <v>101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0"/>
      <c r="L40" s="560"/>
      <c r="M40" s="560"/>
      <c r="N40" s="560"/>
      <c r="O40" s="560"/>
      <c r="P40" s="560"/>
      <c r="Q40" s="560"/>
      <c r="R40" s="560"/>
      <c r="S40" s="560"/>
      <c r="T40" s="560"/>
      <c r="U40" s="560"/>
      <c r="V40" s="560"/>
      <c r="W40" s="560"/>
      <c r="X40" s="560"/>
      <c r="Y40" s="560"/>
      <c r="Z40" s="560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1">
        <v>4607091385670</v>
      </c>
      <c r="E41" s="562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6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9"/>
      <c r="R41" s="569"/>
      <c r="S41" s="569"/>
      <c r="T41" s="570"/>
      <c r="U41" s="34"/>
      <c r="V41" s="34"/>
      <c r="W41" s="35" t="s">
        <v>69</v>
      </c>
      <c r="X41" s="553">
        <v>150</v>
      </c>
      <c r="Y41" s="554">
        <f>IFERROR(IF(X41="",0,CEILING((X41/$H41),1)*$H41),"")</f>
        <v>151.20000000000002</v>
      </c>
      <c r="Z41" s="36">
        <f>IFERROR(IF(Y41=0,"",ROUNDUP(Y41/H41,0)*0.01898),"")</f>
        <v>0.26572000000000001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155.69444444444446</v>
      </c>
      <c r="BN41" s="64">
        <f>IFERROR(Y41*I41/H41,"0")</f>
        <v>156.94</v>
      </c>
      <c r="BO41" s="64">
        <f>IFERROR(1/J41*(X41/H41),"0")</f>
        <v>0.21701388888888887</v>
      </c>
      <c r="BP41" s="64">
        <f>IFERROR(1/J41*(Y41/H41),"0")</f>
        <v>0.21875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1">
        <v>4680115882539</v>
      </c>
      <c r="E42" s="562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8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9"/>
      <c r="R42" s="569"/>
      <c r="S42" s="569"/>
      <c r="T42" s="570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1">
        <v>4607091385687</v>
      </c>
      <c r="E43" s="562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9"/>
      <c r="R43" s="569"/>
      <c r="S43" s="569"/>
      <c r="T43" s="570"/>
      <c r="U43" s="34"/>
      <c r="V43" s="34"/>
      <c r="W43" s="35" t="s">
        <v>69</v>
      </c>
      <c r="X43" s="553">
        <v>220</v>
      </c>
      <c r="Y43" s="554">
        <f>IFERROR(IF(X43="",0,CEILING((X43/$H43),1)*$H43),"")</f>
        <v>220</v>
      </c>
      <c r="Z43" s="36">
        <f>IFERROR(IF(Y43=0,"",ROUNDUP(Y43/H43,0)*0.00902),"")</f>
        <v>0.49609999999999999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230.45000000000002</v>
      </c>
      <c r="BN43" s="64">
        <f>IFERROR(Y43*I43/H43,"0")</f>
        <v>230.45000000000002</v>
      </c>
      <c r="BO43" s="64">
        <f>IFERROR(1/J43*(X43/H43),"0")</f>
        <v>0.41666666666666669</v>
      </c>
      <c r="BP43" s="64">
        <f>IFERROR(1/J43*(Y43/H43),"0")</f>
        <v>0.41666666666666669</v>
      </c>
    </row>
    <row r="44" spans="1:68" x14ac:dyDescent="0.2">
      <c r="A44" s="566"/>
      <c r="B44" s="560"/>
      <c r="C44" s="560"/>
      <c r="D44" s="560"/>
      <c r="E44" s="560"/>
      <c r="F44" s="560"/>
      <c r="G44" s="560"/>
      <c r="H44" s="560"/>
      <c r="I44" s="560"/>
      <c r="J44" s="560"/>
      <c r="K44" s="560"/>
      <c r="L44" s="560"/>
      <c r="M44" s="560"/>
      <c r="N44" s="560"/>
      <c r="O44" s="567"/>
      <c r="P44" s="563" t="s">
        <v>75</v>
      </c>
      <c r="Q44" s="564"/>
      <c r="R44" s="564"/>
      <c r="S44" s="564"/>
      <c r="T44" s="564"/>
      <c r="U44" s="564"/>
      <c r="V44" s="565"/>
      <c r="W44" s="37" t="s">
        <v>76</v>
      </c>
      <c r="X44" s="555">
        <f>IFERROR(X41/H41,"0")+IFERROR(X42/H42,"0")+IFERROR(X43/H43,"0")</f>
        <v>68.888888888888886</v>
      </c>
      <c r="Y44" s="555">
        <f>IFERROR(Y41/H41,"0")+IFERROR(Y42/H42,"0")+IFERROR(Y43/H43,"0")</f>
        <v>69</v>
      </c>
      <c r="Z44" s="555">
        <f>IFERROR(IF(Z41="",0,Z41),"0")+IFERROR(IF(Z42="",0,Z42),"0")+IFERROR(IF(Z43="",0,Z43),"0")</f>
        <v>0.76181999999999994</v>
      </c>
      <c r="AA44" s="556"/>
      <c r="AB44" s="556"/>
      <c r="AC44" s="556"/>
    </row>
    <row r="45" spans="1:68" x14ac:dyDescent="0.2">
      <c r="A45" s="560"/>
      <c r="B45" s="560"/>
      <c r="C45" s="560"/>
      <c r="D45" s="560"/>
      <c r="E45" s="560"/>
      <c r="F45" s="560"/>
      <c r="G45" s="560"/>
      <c r="H45" s="560"/>
      <c r="I45" s="560"/>
      <c r="J45" s="560"/>
      <c r="K45" s="560"/>
      <c r="L45" s="560"/>
      <c r="M45" s="560"/>
      <c r="N45" s="560"/>
      <c r="O45" s="567"/>
      <c r="P45" s="563" t="s">
        <v>75</v>
      </c>
      <c r="Q45" s="564"/>
      <c r="R45" s="564"/>
      <c r="S45" s="564"/>
      <c r="T45" s="564"/>
      <c r="U45" s="564"/>
      <c r="V45" s="565"/>
      <c r="W45" s="37" t="s">
        <v>69</v>
      </c>
      <c r="X45" s="555">
        <f>IFERROR(SUM(X41:X43),"0")</f>
        <v>370</v>
      </c>
      <c r="Y45" s="555">
        <f>IFERROR(SUM(Y41:Y43),"0")</f>
        <v>371.20000000000005</v>
      </c>
      <c r="Z45" s="37"/>
      <c r="AA45" s="556"/>
      <c r="AB45" s="556"/>
      <c r="AC45" s="556"/>
    </row>
    <row r="46" spans="1:68" ht="14.25" hidden="1" customHeight="1" x14ac:dyDescent="0.25">
      <c r="A46" s="559" t="s">
        <v>77</v>
      </c>
      <c r="B46" s="560"/>
      <c r="C46" s="560"/>
      <c r="D46" s="560"/>
      <c r="E46" s="560"/>
      <c r="F46" s="560"/>
      <c r="G46" s="560"/>
      <c r="H46" s="560"/>
      <c r="I46" s="560"/>
      <c r="J46" s="560"/>
      <c r="K46" s="560"/>
      <c r="L46" s="560"/>
      <c r="M46" s="560"/>
      <c r="N46" s="560"/>
      <c r="O46" s="560"/>
      <c r="P46" s="560"/>
      <c r="Q46" s="560"/>
      <c r="R46" s="560"/>
      <c r="S46" s="560"/>
      <c r="T46" s="560"/>
      <c r="U46" s="560"/>
      <c r="V46" s="560"/>
      <c r="W46" s="560"/>
      <c r="X46" s="560"/>
      <c r="Y46" s="560"/>
      <c r="Z46" s="560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1">
        <v>4680115884915</v>
      </c>
      <c r="E47" s="562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9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9"/>
      <c r="R47" s="569"/>
      <c r="S47" s="569"/>
      <c r="T47" s="570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6"/>
      <c r="B48" s="560"/>
      <c r="C48" s="560"/>
      <c r="D48" s="560"/>
      <c r="E48" s="560"/>
      <c r="F48" s="560"/>
      <c r="G48" s="560"/>
      <c r="H48" s="560"/>
      <c r="I48" s="560"/>
      <c r="J48" s="560"/>
      <c r="K48" s="560"/>
      <c r="L48" s="560"/>
      <c r="M48" s="560"/>
      <c r="N48" s="560"/>
      <c r="O48" s="567"/>
      <c r="P48" s="563" t="s">
        <v>75</v>
      </c>
      <c r="Q48" s="564"/>
      <c r="R48" s="564"/>
      <c r="S48" s="564"/>
      <c r="T48" s="564"/>
      <c r="U48" s="564"/>
      <c r="V48" s="565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0"/>
      <c r="B49" s="560"/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7"/>
      <c r="P49" s="563" t="s">
        <v>75</v>
      </c>
      <c r="Q49" s="564"/>
      <c r="R49" s="564"/>
      <c r="S49" s="564"/>
      <c r="T49" s="564"/>
      <c r="U49" s="564"/>
      <c r="V49" s="565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92" t="s">
        <v>118</v>
      </c>
      <c r="B50" s="560"/>
      <c r="C50" s="560"/>
      <c r="D50" s="560"/>
      <c r="E50" s="560"/>
      <c r="F50" s="560"/>
      <c r="G50" s="560"/>
      <c r="H50" s="560"/>
      <c r="I50" s="560"/>
      <c r="J50" s="560"/>
      <c r="K50" s="560"/>
      <c r="L50" s="560"/>
      <c r="M50" s="560"/>
      <c r="N50" s="560"/>
      <c r="O50" s="560"/>
      <c r="P50" s="560"/>
      <c r="Q50" s="560"/>
      <c r="R50" s="560"/>
      <c r="S50" s="560"/>
      <c r="T50" s="560"/>
      <c r="U50" s="560"/>
      <c r="V50" s="560"/>
      <c r="W50" s="560"/>
      <c r="X50" s="560"/>
      <c r="Y50" s="560"/>
      <c r="Z50" s="560"/>
      <c r="AA50" s="548"/>
      <c r="AB50" s="548"/>
      <c r="AC50" s="548"/>
    </row>
    <row r="51" spans="1:68" ht="14.25" hidden="1" customHeight="1" x14ac:dyDescent="0.25">
      <c r="A51" s="559" t="s">
        <v>101</v>
      </c>
      <c r="B51" s="560"/>
      <c r="C51" s="560"/>
      <c r="D51" s="560"/>
      <c r="E51" s="560"/>
      <c r="F51" s="560"/>
      <c r="G51" s="560"/>
      <c r="H51" s="560"/>
      <c r="I51" s="560"/>
      <c r="J51" s="560"/>
      <c r="K51" s="560"/>
      <c r="L51" s="560"/>
      <c r="M51" s="560"/>
      <c r="N51" s="560"/>
      <c r="O51" s="560"/>
      <c r="P51" s="560"/>
      <c r="Q51" s="560"/>
      <c r="R51" s="560"/>
      <c r="S51" s="560"/>
      <c r="T51" s="560"/>
      <c r="U51" s="560"/>
      <c r="V51" s="560"/>
      <c r="W51" s="560"/>
      <c r="X51" s="560"/>
      <c r="Y51" s="560"/>
      <c r="Z51" s="560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1">
        <v>4680115885882</v>
      </c>
      <c r="E52" s="562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80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9"/>
      <c r="R52" s="569"/>
      <c r="S52" s="569"/>
      <c r="T52" s="570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1">
        <v>4680115881426</v>
      </c>
      <c r="E53" s="562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9"/>
      <c r="R53" s="569"/>
      <c r="S53" s="569"/>
      <c r="T53" s="570"/>
      <c r="U53" s="34"/>
      <c r="V53" s="34"/>
      <c r="W53" s="35" t="s">
        <v>69</v>
      </c>
      <c r="X53" s="553">
        <v>250</v>
      </c>
      <c r="Y53" s="554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1">
        <v>4680115880283</v>
      </c>
      <c r="E54" s="562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9"/>
      <c r="R54" s="569"/>
      <c r="S54" s="569"/>
      <c r="T54" s="570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1">
        <v>4680115881525</v>
      </c>
      <c r="E55" s="562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6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9"/>
      <c r="R55" s="569"/>
      <c r="S55" s="569"/>
      <c r="T55" s="570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1">
        <v>4680115885899</v>
      </c>
      <c r="E56" s="562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85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9"/>
      <c r="R56" s="569"/>
      <c r="S56" s="569"/>
      <c r="T56" s="570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1">
        <v>4680115881419</v>
      </c>
      <c r="E57" s="562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6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9"/>
      <c r="R57" s="569"/>
      <c r="S57" s="569"/>
      <c r="T57" s="570"/>
      <c r="U57" s="34"/>
      <c r="V57" s="34"/>
      <c r="W57" s="35" t="s">
        <v>69</v>
      </c>
      <c r="X57" s="553">
        <v>450</v>
      </c>
      <c r="Y57" s="554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66"/>
      <c r="B58" s="560"/>
      <c r="C58" s="560"/>
      <c r="D58" s="560"/>
      <c r="E58" s="560"/>
      <c r="F58" s="560"/>
      <c r="G58" s="560"/>
      <c r="H58" s="560"/>
      <c r="I58" s="560"/>
      <c r="J58" s="560"/>
      <c r="K58" s="560"/>
      <c r="L58" s="560"/>
      <c r="M58" s="560"/>
      <c r="N58" s="560"/>
      <c r="O58" s="567"/>
      <c r="P58" s="563" t="s">
        <v>75</v>
      </c>
      <c r="Q58" s="564"/>
      <c r="R58" s="564"/>
      <c r="S58" s="564"/>
      <c r="T58" s="564"/>
      <c r="U58" s="564"/>
      <c r="V58" s="565"/>
      <c r="W58" s="37" t="s">
        <v>76</v>
      </c>
      <c r="X58" s="555">
        <f>IFERROR(X52/H52,"0")+IFERROR(X53/H53,"0")+IFERROR(X54/H54,"0")+IFERROR(X55/H55,"0")+IFERROR(X56/H56,"0")+IFERROR(X57/H57,"0")</f>
        <v>123.14814814814815</v>
      </c>
      <c r="Y58" s="555">
        <f>IFERROR(Y52/H52,"0")+IFERROR(Y53/H53,"0")+IFERROR(Y54/H54,"0")+IFERROR(Y55/H55,"0")+IFERROR(Y56/H56,"0")+IFERROR(Y57/H57,"0")</f>
        <v>124</v>
      </c>
      <c r="Z58" s="555">
        <f>IFERROR(IF(Z52="",0,Z52),"0")+IFERROR(IF(Z53="",0,Z53),"0")+IFERROR(IF(Z54="",0,Z54),"0")+IFERROR(IF(Z55="",0,Z55),"0")+IFERROR(IF(Z56="",0,Z56),"0")+IFERROR(IF(Z57="",0,Z57),"0")</f>
        <v>1.3575200000000001</v>
      </c>
      <c r="AA58" s="556"/>
      <c r="AB58" s="556"/>
      <c r="AC58" s="556"/>
    </row>
    <row r="59" spans="1:68" x14ac:dyDescent="0.2">
      <c r="A59" s="560"/>
      <c r="B59" s="560"/>
      <c r="C59" s="560"/>
      <c r="D59" s="560"/>
      <c r="E59" s="560"/>
      <c r="F59" s="560"/>
      <c r="G59" s="560"/>
      <c r="H59" s="560"/>
      <c r="I59" s="560"/>
      <c r="J59" s="560"/>
      <c r="K59" s="560"/>
      <c r="L59" s="560"/>
      <c r="M59" s="560"/>
      <c r="N59" s="560"/>
      <c r="O59" s="567"/>
      <c r="P59" s="563" t="s">
        <v>75</v>
      </c>
      <c r="Q59" s="564"/>
      <c r="R59" s="564"/>
      <c r="S59" s="564"/>
      <c r="T59" s="564"/>
      <c r="U59" s="564"/>
      <c r="V59" s="565"/>
      <c r="W59" s="37" t="s">
        <v>69</v>
      </c>
      <c r="X59" s="555">
        <f>IFERROR(SUM(X52:X57),"0")</f>
        <v>700</v>
      </c>
      <c r="Y59" s="555">
        <f>IFERROR(SUM(Y52:Y57),"0")</f>
        <v>709.2</v>
      </c>
      <c r="Z59" s="37"/>
      <c r="AA59" s="556"/>
      <c r="AB59" s="556"/>
      <c r="AC59" s="556"/>
    </row>
    <row r="60" spans="1:68" ht="14.25" hidden="1" customHeight="1" x14ac:dyDescent="0.25">
      <c r="A60" s="559" t="s">
        <v>137</v>
      </c>
      <c r="B60" s="560"/>
      <c r="C60" s="560"/>
      <c r="D60" s="560"/>
      <c r="E60" s="560"/>
      <c r="F60" s="560"/>
      <c r="G60" s="560"/>
      <c r="H60" s="560"/>
      <c r="I60" s="560"/>
      <c r="J60" s="560"/>
      <c r="K60" s="560"/>
      <c r="L60" s="560"/>
      <c r="M60" s="560"/>
      <c r="N60" s="560"/>
      <c r="O60" s="560"/>
      <c r="P60" s="560"/>
      <c r="Q60" s="560"/>
      <c r="R60" s="560"/>
      <c r="S60" s="560"/>
      <c r="T60" s="560"/>
      <c r="U60" s="560"/>
      <c r="V60" s="560"/>
      <c r="W60" s="560"/>
      <c r="X60" s="560"/>
      <c r="Y60" s="560"/>
      <c r="Z60" s="560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1">
        <v>4680115881440</v>
      </c>
      <c r="E61" s="562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9"/>
      <c r="R61" s="569"/>
      <c r="S61" s="569"/>
      <c r="T61" s="570"/>
      <c r="U61" s="34"/>
      <c r="V61" s="34"/>
      <c r="W61" s="35" t="s">
        <v>69</v>
      </c>
      <c r="X61" s="553">
        <v>120</v>
      </c>
      <c r="Y61" s="554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124.55555555555556</v>
      </c>
      <c r="BN61" s="64">
        <f>IFERROR(Y61*I61/H61,"0")</f>
        <v>134.52000000000001</v>
      </c>
      <c r="BO61" s="64">
        <f>IFERROR(1/J61*(X61/H61),"0")</f>
        <v>0.1736111111111111</v>
      </c>
      <c r="BP61" s="64">
        <f>IFERROR(1/J61*(Y61/H61),"0")</f>
        <v>0.18750000000000003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1">
        <v>4680115885950</v>
      </c>
      <c r="E62" s="562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9"/>
      <c r="R62" s="569"/>
      <c r="S62" s="569"/>
      <c r="T62" s="570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1">
        <v>4680115881433</v>
      </c>
      <c r="E63" s="562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7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9"/>
      <c r="R63" s="569"/>
      <c r="S63" s="569"/>
      <c r="T63" s="570"/>
      <c r="U63" s="34"/>
      <c r="V63" s="34"/>
      <c r="W63" s="35" t="s">
        <v>69</v>
      </c>
      <c r="X63" s="553">
        <v>157.5</v>
      </c>
      <c r="Y63" s="554">
        <f>IFERROR(IF(X63="",0,CEILING((X63/$H63),1)*$H63),"")</f>
        <v>159.30000000000001</v>
      </c>
      <c r="Z63" s="36">
        <f>IFERROR(IF(Y63=0,"",ROUNDUP(Y63/H63,0)*0.00651),"")</f>
        <v>0.38408999999999999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167.99999999999997</v>
      </c>
      <c r="BN63" s="64">
        <f>IFERROR(Y63*I63/H63,"0")</f>
        <v>169.92</v>
      </c>
      <c r="BO63" s="64">
        <f>IFERROR(1/J63*(X63/H63),"0")</f>
        <v>0.32051282051282048</v>
      </c>
      <c r="BP63" s="64">
        <f>IFERROR(1/J63*(Y63/H63),"0")</f>
        <v>0.32417582417582419</v>
      </c>
    </row>
    <row r="64" spans="1:68" x14ac:dyDescent="0.2">
      <c r="A64" s="566"/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7"/>
      <c r="P64" s="563" t="s">
        <v>75</v>
      </c>
      <c r="Q64" s="564"/>
      <c r="R64" s="564"/>
      <c r="S64" s="564"/>
      <c r="T64" s="564"/>
      <c r="U64" s="564"/>
      <c r="V64" s="565"/>
      <c r="W64" s="37" t="s">
        <v>76</v>
      </c>
      <c r="X64" s="555">
        <f>IFERROR(X61/H61,"0")+IFERROR(X62/H62,"0")+IFERROR(X63/H63,"0")</f>
        <v>69.444444444444443</v>
      </c>
      <c r="Y64" s="555">
        <f>IFERROR(Y61/H61,"0")+IFERROR(Y62/H62,"0")+IFERROR(Y63/H63,"0")</f>
        <v>71</v>
      </c>
      <c r="Z64" s="555">
        <f>IFERROR(IF(Z61="",0,Z61),"0")+IFERROR(IF(Z62="",0,Z62),"0")+IFERROR(IF(Z63="",0,Z63),"0")</f>
        <v>0.61185</v>
      </c>
      <c r="AA64" s="556"/>
      <c r="AB64" s="556"/>
      <c r="AC64" s="556"/>
    </row>
    <row r="65" spans="1:68" x14ac:dyDescent="0.2">
      <c r="A65" s="560"/>
      <c r="B65" s="560"/>
      <c r="C65" s="560"/>
      <c r="D65" s="560"/>
      <c r="E65" s="560"/>
      <c r="F65" s="560"/>
      <c r="G65" s="560"/>
      <c r="H65" s="560"/>
      <c r="I65" s="560"/>
      <c r="J65" s="560"/>
      <c r="K65" s="560"/>
      <c r="L65" s="560"/>
      <c r="M65" s="560"/>
      <c r="N65" s="560"/>
      <c r="O65" s="567"/>
      <c r="P65" s="563" t="s">
        <v>75</v>
      </c>
      <c r="Q65" s="564"/>
      <c r="R65" s="564"/>
      <c r="S65" s="564"/>
      <c r="T65" s="564"/>
      <c r="U65" s="564"/>
      <c r="V65" s="565"/>
      <c r="W65" s="37" t="s">
        <v>69</v>
      </c>
      <c r="X65" s="555">
        <f>IFERROR(SUM(X61:X63),"0")</f>
        <v>277.5</v>
      </c>
      <c r="Y65" s="555">
        <f>IFERROR(SUM(Y61:Y63),"0")</f>
        <v>288.90000000000003</v>
      </c>
      <c r="Z65" s="37"/>
      <c r="AA65" s="556"/>
      <c r="AB65" s="556"/>
      <c r="AC65" s="556"/>
    </row>
    <row r="66" spans="1:68" ht="14.25" hidden="1" customHeight="1" x14ac:dyDescent="0.25">
      <c r="A66" s="559" t="s">
        <v>64</v>
      </c>
      <c r="B66" s="560"/>
      <c r="C66" s="560"/>
      <c r="D66" s="560"/>
      <c r="E66" s="560"/>
      <c r="F66" s="560"/>
      <c r="G66" s="560"/>
      <c r="H66" s="560"/>
      <c r="I66" s="560"/>
      <c r="J66" s="560"/>
      <c r="K66" s="560"/>
      <c r="L66" s="560"/>
      <c r="M66" s="560"/>
      <c r="N66" s="560"/>
      <c r="O66" s="560"/>
      <c r="P66" s="560"/>
      <c r="Q66" s="560"/>
      <c r="R66" s="560"/>
      <c r="S66" s="560"/>
      <c r="T66" s="560"/>
      <c r="U66" s="560"/>
      <c r="V66" s="560"/>
      <c r="W66" s="560"/>
      <c r="X66" s="560"/>
      <c r="Y66" s="560"/>
      <c r="Z66" s="560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1">
        <v>4680115885073</v>
      </c>
      <c r="E67" s="562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9"/>
      <c r="R67" s="569"/>
      <c r="S67" s="569"/>
      <c r="T67" s="570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1">
        <v>4680115885097</v>
      </c>
      <c r="E68" s="562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9"/>
      <c r="R68" s="569"/>
      <c r="S68" s="569"/>
      <c r="T68" s="570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6"/>
      <c r="B69" s="560"/>
      <c r="C69" s="560"/>
      <c r="D69" s="560"/>
      <c r="E69" s="560"/>
      <c r="F69" s="560"/>
      <c r="G69" s="560"/>
      <c r="H69" s="560"/>
      <c r="I69" s="560"/>
      <c r="J69" s="560"/>
      <c r="K69" s="560"/>
      <c r="L69" s="560"/>
      <c r="M69" s="560"/>
      <c r="N69" s="560"/>
      <c r="O69" s="567"/>
      <c r="P69" s="563" t="s">
        <v>75</v>
      </c>
      <c r="Q69" s="564"/>
      <c r="R69" s="564"/>
      <c r="S69" s="564"/>
      <c r="T69" s="564"/>
      <c r="U69" s="564"/>
      <c r="V69" s="565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0"/>
      <c r="B70" s="560"/>
      <c r="C70" s="560"/>
      <c r="D70" s="560"/>
      <c r="E70" s="560"/>
      <c r="F70" s="560"/>
      <c r="G70" s="560"/>
      <c r="H70" s="560"/>
      <c r="I70" s="560"/>
      <c r="J70" s="560"/>
      <c r="K70" s="560"/>
      <c r="L70" s="560"/>
      <c r="M70" s="560"/>
      <c r="N70" s="560"/>
      <c r="O70" s="567"/>
      <c r="P70" s="563" t="s">
        <v>75</v>
      </c>
      <c r="Q70" s="564"/>
      <c r="R70" s="564"/>
      <c r="S70" s="564"/>
      <c r="T70" s="564"/>
      <c r="U70" s="564"/>
      <c r="V70" s="565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59" t="s">
        <v>77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1">
        <v>4680115885769</v>
      </c>
      <c r="E72" s="562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61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9"/>
      <c r="R72" s="569"/>
      <c r="S72" s="569"/>
      <c r="T72" s="570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1">
        <v>4680115884311</v>
      </c>
      <c r="E73" s="562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8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9"/>
      <c r="R73" s="569"/>
      <c r="S73" s="569"/>
      <c r="T73" s="570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1">
        <v>4680115885929</v>
      </c>
      <c r="E74" s="562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9"/>
      <c r="R74" s="569"/>
      <c r="S74" s="569"/>
      <c r="T74" s="570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1">
        <v>4680115884403</v>
      </c>
      <c r="E75" s="562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6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9"/>
      <c r="R75" s="569"/>
      <c r="S75" s="569"/>
      <c r="T75" s="570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6"/>
      <c r="B76" s="560"/>
      <c r="C76" s="560"/>
      <c r="D76" s="560"/>
      <c r="E76" s="560"/>
      <c r="F76" s="560"/>
      <c r="G76" s="560"/>
      <c r="H76" s="560"/>
      <c r="I76" s="560"/>
      <c r="J76" s="560"/>
      <c r="K76" s="560"/>
      <c r="L76" s="560"/>
      <c r="M76" s="560"/>
      <c r="N76" s="560"/>
      <c r="O76" s="567"/>
      <c r="P76" s="563" t="s">
        <v>75</v>
      </c>
      <c r="Q76" s="564"/>
      <c r="R76" s="564"/>
      <c r="S76" s="564"/>
      <c r="T76" s="564"/>
      <c r="U76" s="564"/>
      <c r="V76" s="565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0"/>
      <c r="B77" s="560"/>
      <c r="C77" s="560"/>
      <c r="D77" s="560"/>
      <c r="E77" s="560"/>
      <c r="F77" s="560"/>
      <c r="G77" s="560"/>
      <c r="H77" s="560"/>
      <c r="I77" s="560"/>
      <c r="J77" s="560"/>
      <c r="K77" s="560"/>
      <c r="L77" s="560"/>
      <c r="M77" s="560"/>
      <c r="N77" s="560"/>
      <c r="O77" s="567"/>
      <c r="P77" s="563" t="s">
        <v>75</v>
      </c>
      <c r="Q77" s="564"/>
      <c r="R77" s="564"/>
      <c r="S77" s="564"/>
      <c r="T77" s="564"/>
      <c r="U77" s="564"/>
      <c r="V77" s="565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59" t="s">
        <v>162</v>
      </c>
      <c r="B78" s="560"/>
      <c r="C78" s="560"/>
      <c r="D78" s="560"/>
      <c r="E78" s="560"/>
      <c r="F78" s="560"/>
      <c r="G78" s="560"/>
      <c r="H78" s="560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1">
        <v>4680115881532</v>
      </c>
      <c r="E79" s="562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79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9"/>
      <c r="R79" s="569"/>
      <c r="S79" s="569"/>
      <c r="T79" s="570"/>
      <c r="U79" s="34"/>
      <c r="V79" s="34"/>
      <c r="W79" s="35" t="s">
        <v>69</v>
      </c>
      <c r="X79" s="553">
        <v>30</v>
      </c>
      <c r="Y79" s="554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1">
        <v>4680115881464</v>
      </c>
      <c r="E80" s="562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68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9"/>
      <c r="R80" s="569"/>
      <c r="S80" s="569"/>
      <c r="T80" s="570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60"/>
      <c r="C81" s="560"/>
      <c r="D81" s="560"/>
      <c r="E81" s="560"/>
      <c r="F81" s="560"/>
      <c r="G81" s="560"/>
      <c r="H81" s="560"/>
      <c r="I81" s="560"/>
      <c r="J81" s="560"/>
      <c r="K81" s="560"/>
      <c r="L81" s="560"/>
      <c r="M81" s="560"/>
      <c r="N81" s="560"/>
      <c r="O81" s="567"/>
      <c r="P81" s="563" t="s">
        <v>75</v>
      </c>
      <c r="Q81" s="564"/>
      <c r="R81" s="564"/>
      <c r="S81" s="564"/>
      <c r="T81" s="564"/>
      <c r="U81" s="564"/>
      <c r="V81" s="565"/>
      <c r="W81" s="37" t="s">
        <v>76</v>
      </c>
      <c r="X81" s="555">
        <f>IFERROR(X79/H79,"0")+IFERROR(X80/H80,"0")</f>
        <v>3.8461538461538463</v>
      </c>
      <c r="Y81" s="555">
        <f>IFERROR(Y79/H79,"0")+IFERROR(Y80/H80,"0")</f>
        <v>4</v>
      </c>
      <c r="Z81" s="555">
        <f>IFERROR(IF(Z79="",0,Z79),"0")+IFERROR(IF(Z80="",0,Z80),"0")</f>
        <v>7.5920000000000001E-2</v>
      </c>
      <c r="AA81" s="556"/>
      <c r="AB81" s="556"/>
      <c r="AC81" s="556"/>
    </row>
    <row r="82" spans="1:68" x14ac:dyDescent="0.2">
      <c r="A82" s="560"/>
      <c r="B82" s="560"/>
      <c r="C82" s="560"/>
      <c r="D82" s="560"/>
      <c r="E82" s="560"/>
      <c r="F82" s="560"/>
      <c r="G82" s="560"/>
      <c r="H82" s="560"/>
      <c r="I82" s="560"/>
      <c r="J82" s="560"/>
      <c r="K82" s="560"/>
      <c r="L82" s="560"/>
      <c r="M82" s="560"/>
      <c r="N82" s="560"/>
      <c r="O82" s="567"/>
      <c r="P82" s="563" t="s">
        <v>75</v>
      </c>
      <c r="Q82" s="564"/>
      <c r="R82" s="564"/>
      <c r="S82" s="564"/>
      <c r="T82" s="564"/>
      <c r="U82" s="564"/>
      <c r="V82" s="565"/>
      <c r="W82" s="37" t="s">
        <v>69</v>
      </c>
      <c r="X82" s="555">
        <f>IFERROR(SUM(X79:X80),"0")</f>
        <v>30</v>
      </c>
      <c r="Y82" s="555">
        <f>IFERROR(SUM(Y79:Y80),"0")</f>
        <v>31.2</v>
      </c>
      <c r="Z82" s="37"/>
      <c r="AA82" s="556"/>
      <c r="AB82" s="556"/>
      <c r="AC82" s="556"/>
    </row>
    <row r="83" spans="1:68" ht="16.5" hidden="1" customHeight="1" x14ac:dyDescent="0.25">
      <c r="A83" s="592" t="s">
        <v>169</v>
      </c>
      <c r="B83" s="560"/>
      <c r="C83" s="560"/>
      <c r="D83" s="560"/>
      <c r="E83" s="560"/>
      <c r="F83" s="560"/>
      <c r="G83" s="560"/>
      <c r="H83" s="560"/>
      <c r="I83" s="560"/>
      <c r="J83" s="560"/>
      <c r="K83" s="560"/>
      <c r="L83" s="560"/>
      <c r="M83" s="560"/>
      <c r="N83" s="560"/>
      <c r="O83" s="560"/>
      <c r="P83" s="560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48"/>
      <c r="AB83" s="548"/>
      <c r="AC83" s="548"/>
    </row>
    <row r="84" spans="1:68" ht="14.25" hidden="1" customHeight="1" x14ac:dyDescent="0.25">
      <c r="A84" s="559" t="s">
        <v>101</v>
      </c>
      <c r="B84" s="560"/>
      <c r="C84" s="560"/>
      <c r="D84" s="560"/>
      <c r="E84" s="560"/>
      <c r="F84" s="560"/>
      <c r="G84" s="560"/>
      <c r="H84" s="560"/>
      <c r="I84" s="560"/>
      <c r="J84" s="560"/>
      <c r="K84" s="560"/>
      <c r="L84" s="560"/>
      <c r="M84" s="560"/>
      <c r="N84" s="560"/>
      <c r="O84" s="560"/>
      <c r="P84" s="560"/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1">
        <v>4680115881327</v>
      </c>
      <c r="E85" s="562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9"/>
      <c r="R85" s="569"/>
      <c r="S85" s="569"/>
      <c r="T85" s="570"/>
      <c r="U85" s="34"/>
      <c r="V85" s="34"/>
      <c r="W85" s="35" t="s">
        <v>69</v>
      </c>
      <c r="X85" s="553">
        <v>150</v>
      </c>
      <c r="Y85" s="554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1">
        <v>4680115887732</v>
      </c>
      <c r="E86" s="562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80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9"/>
      <c r="R86" s="569"/>
      <c r="S86" s="569"/>
      <c r="T86" s="570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1">
        <v>4680115881518</v>
      </c>
      <c r="E87" s="562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9"/>
      <c r="R87" s="569"/>
      <c r="S87" s="569"/>
      <c r="T87" s="570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1">
        <v>4680115881303</v>
      </c>
      <c r="E88" s="562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9"/>
      <c r="R88" s="569"/>
      <c r="S88" s="569"/>
      <c r="T88" s="570"/>
      <c r="U88" s="34"/>
      <c r="V88" s="34"/>
      <c r="W88" s="35" t="s">
        <v>69</v>
      </c>
      <c r="X88" s="553">
        <v>450</v>
      </c>
      <c r="Y88" s="554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469</v>
      </c>
      <c r="BN88" s="64">
        <f>IFERROR(Y88*I88/H88,"0")</f>
        <v>469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566"/>
      <c r="B89" s="560"/>
      <c r="C89" s="560"/>
      <c r="D89" s="560"/>
      <c r="E89" s="560"/>
      <c r="F89" s="560"/>
      <c r="G89" s="560"/>
      <c r="H89" s="560"/>
      <c r="I89" s="560"/>
      <c r="J89" s="560"/>
      <c r="K89" s="560"/>
      <c r="L89" s="560"/>
      <c r="M89" s="560"/>
      <c r="N89" s="560"/>
      <c r="O89" s="567"/>
      <c r="P89" s="563" t="s">
        <v>75</v>
      </c>
      <c r="Q89" s="564"/>
      <c r="R89" s="564"/>
      <c r="S89" s="564"/>
      <c r="T89" s="564"/>
      <c r="U89" s="564"/>
      <c r="V89" s="565"/>
      <c r="W89" s="37" t="s">
        <v>76</v>
      </c>
      <c r="X89" s="555">
        <f>IFERROR(X85/H85,"0")+IFERROR(X86/H86,"0")+IFERROR(X87/H87,"0")+IFERROR(X88/H88,"0")</f>
        <v>113.88888888888889</v>
      </c>
      <c r="Y89" s="555">
        <f>IFERROR(Y85/H85,"0")+IFERROR(Y86/H86,"0")+IFERROR(Y87/H87,"0")+IFERROR(Y88/H88,"0")</f>
        <v>114</v>
      </c>
      <c r="Z89" s="555">
        <f>IFERROR(IF(Z85="",0,Z85),"0")+IFERROR(IF(Z86="",0,Z86),"0")+IFERROR(IF(Z87="",0,Z87),"0")+IFERROR(IF(Z88="",0,Z88),"0")</f>
        <v>1.1677200000000001</v>
      </c>
      <c r="AA89" s="556"/>
      <c r="AB89" s="556"/>
      <c r="AC89" s="556"/>
    </row>
    <row r="90" spans="1:68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7"/>
      <c r="P90" s="563" t="s">
        <v>75</v>
      </c>
      <c r="Q90" s="564"/>
      <c r="R90" s="564"/>
      <c r="S90" s="564"/>
      <c r="T90" s="564"/>
      <c r="U90" s="564"/>
      <c r="V90" s="565"/>
      <c r="W90" s="37" t="s">
        <v>69</v>
      </c>
      <c r="X90" s="555">
        <f>IFERROR(SUM(X85:X88),"0")</f>
        <v>600</v>
      </c>
      <c r="Y90" s="555">
        <f>IFERROR(SUM(Y85:Y88),"0")</f>
        <v>601.20000000000005</v>
      </c>
      <c r="Z90" s="37"/>
      <c r="AA90" s="556"/>
      <c r="AB90" s="556"/>
      <c r="AC90" s="556"/>
    </row>
    <row r="91" spans="1:68" ht="14.25" hidden="1" customHeight="1" x14ac:dyDescent="0.25">
      <c r="A91" s="559" t="s">
        <v>77</v>
      </c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1">
        <v>4607091386967</v>
      </c>
      <c r="E92" s="562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84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9"/>
      <c r="R92" s="569"/>
      <c r="S92" s="569"/>
      <c r="T92" s="570"/>
      <c r="U92" s="34"/>
      <c r="V92" s="34"/>
      <c r="W92" s="35" t="s">
        <v>69</v>
      </c>
      <c r="X92" s="553">
        <v>220</v>
      </c>
      <c r="Y92" s="554">
        <f>IFERROR(IF(X92="",0,CEILING((X92/$H92),1)*$H92),"")</f>
        <v>226.79999999999998</v>
      </c>
      <c r="Z92" s="36">
        <f>IFERROR(IF(Y92=0,"",ROUNDUP(Y92/H92,0)*0.01898),"")</f>
        <v>0.53144000000000002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233.41728395061727</v>
      </c>
      <c r="BN92" s="64">
        <f>IFERROR(Y92*I92/H92,"0")</f>
        <v>240.63199999999998</v>
      </c>
      <c r="BO92" s="64">
        <f>IFERROR(1/J92*(X92/H92),"0")</f>
        <v>0.42438271604938271</v>
      </c>
      <c r="BP92" s="64">
        <f>IFERROR(1/J92*(Y92/H92),"0")</f>
        <v>0.4375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1">
        <v>4680115884953</v>
      </c>
      <c r="E93" s="562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7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9"/>
      <c r="R93" s="569"/>
      <c r="S93" s="569"/>
      <c r="T93" s="570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1">
        <v>4607091385731</v>
      </c>
      <c r="E94" s="562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84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9"/>
      <c r="R94" s="569"/>
      <c r="S94" s="569"/>
      <c r="T94" s="570"/>
      <c r="U94" s="34"/>
      <c r="V94" s="34"/>
      <c r="W94" s="35" t="s">
        <v>69</v>
      </c>
      <c r="X94" s="553">
        <v>360</v>
      </c>
      <c r="Y94" s="554">
        <f>IFERROR(IF(X94="",0,CEILING((X94/$H94),1)*$H94),"")</f>
        <v>361.8</v>
      </c>
      <c r="Z94" s="36">
        <f>IFERROR(IF(Y94=0,"",ROUNDUP(Y94/H94,0)*0.00651),"")</f>
        <v>0.87234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393.59999999999997</v>
      </c>
      <c r="BN94" s="64">
        <f>IFERROR(Y94*I94/H94,"0")</f>
        <v>395.56799999999998</v>
      </c>
      <c r="BO94" s="64">
        <f>IFERROR(1/J94*(X94/H94),"0")</f>
        <v>0.73260073260073255</v>
      </c>
      <c r="BP94" s="64">
        <f>IFERROR(1/J94*(Y94/H94),"0")</f>
        <v>0.73626373626373631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1">
        <v>4680115880894</v>
      </c>
      <c r="E95" s="562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83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9"/>
      <c r="R95" s="569"/>
      <c r="S95" s="569"/>
      <c r="T95" s="570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6"/>
      <c r="B96" s="560"/>
      <c r="C96" s="560"/>
      <c r="D96" s="560"/>
      <c r="E96" s="560"/>
      <c r="F96" s="560"/>
      <c r="G96" s="560"/>
      <c r="H96" s="560"/>
      <c r="I96" s="560"/>
      <c r="J96" s="560"/>
      <c r="K96" s="560"/>
      <c r="L96" s="560"/>
      <c r="M96" s="560"/>
      <c r="N96" s="560"/>
      <c r="O96" s="567"/>
      <c r="P96" s="563" t="s">
        <v>75</v>
      </c>
      <c r="Q96" s="564"/>
      <c r="R96" s="564"/>
      <c r="S96" s="564"/>
      <c r="T96" s="564"/>
      <c r="U96" s="564"/>
      <c r="V96" s="565"/>
      <c r="W96" s="37" t="s">
        <v>76</v>
      </c>
      <c r="X96" s="555">
        <f>IFERROR(X92/H92,"0")+IFERROR(X93/H93,"0")+IFERROR(X94/H94,"0")+IFERROR(X95/H95,"0")</f>
        <v>160.49382716049382</v>
      </c>
      <c r="Y96" s="555">
        <f>IFERROR(Y92/H92,"0")+IFERROR(Y93/H93,"0")+IFERROR(Y94/H94,"0")+IFERROR(Y95/H95,"0")</f>
        <v>162</v>
      </c>
      <c r="Z96" s="555">
        <f>IFERROR(IF(Z92="",0,Z92),"0")+IFERROR(IF(Z93="",0,Z93),"0")+IFERROR(IF(Z94="",0,Z94),"0")+IFERROR(IF(Z95="",0,Z95),"0")</f>
        <v>1.40378</v>
      </c>
      <c r="AA96" s="556"/>
      <c r="AB96" s="556"/>
      <c r="AC96" s="556"/>
    </row>
    <row r="97" spans="1:68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/>
      <c r="L97" s="560"/>
      <c r="M97" s="560"/>
      <c r="N97" s="560"/>
      <c r="O97" s="567"/>
      <c r="P97" s="563" t="s">
        <v>75</v>
      </c>
      <c r="Q97" s="564"/>
      <c r="R97" s="564"/>
      <c r="S97" s="564"/>
      <c r="T97" s="564"/>
      <c r="U97" s="564"/>
      <c r="V97" s="565"/>
      <c r="W97" s="37" t="s">
        <v>69</v>
      </c>
      <c r="X97" s="555">
        <f>IFERROR(SUM(X92:X95),"0")</f>
        <v>580</v>
      </c>
      <c r="Y97" s="555">
        <f>IFERROR(SUM(Y92:Y95),"0")</f>
        <v>588.6</v>
      </c>
      <c r="Z97" s="37"/>
      <c r="AA97" s="556"/>
      <c r="AB97" s="556"/>
      <c r="AC97" s="556"/>
    </row>
    <row r="98" spans="1:68" ht="16.5" hidden="1" customHeight="1" x14ac:dyDescent="0.25">
      <c r="A98" s="592" t="s">
        <v>191</v>
      </c>
      <c r="B98" s="560"/>
      <c r="C98" s="560"/>
      <c r="D98" s="560"/>
      <c r="E98" s="560"/>
      <c r="F98" s="560"/>
      <c r="G98" s="560"/>
      <c r="H98" s="560"/>
      <c r="I98" s="560"/>
      <c r="J98" s="560"/>
      <c r="K98" s="560"/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48"/>
      <c r="AB98" s="548"/>
      <c r="AC98" s="548"/>
    </row>
    <row r="99" spans="1:68" ht="14.25" hidden="1" customHeight="1" x14ac:dyDescent="0.25">
      <c r="A99" s="559" t="s">
        <v>101</v>
      </c>
      <c r="B99" s="560"/>
      <c r="C99" s="560"/>
      <c r="D99" s="560"/>
      <c r="E99" s="560"/>
      <c r="F99" s="560"/>
      <c r="G99" s="560"/>
      <c r="H99" s="560"/>
      <c r="I99" s="560"/>
      <c r="J99" s="560"/>
      <c r="K99" s="560"/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1">
        <v>4680115882133</v>
      </c>
      <c r="E100" s="562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8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9"/>
      <c r="R100" s="569"/>
      <c r="S100" s="569"/>
      <c r="T100" s="570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1">
        <v>4680115887718</v>
      </c>
      <c r="E101" s="562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6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9"/>
      <c r="R101" s="569"/>
      <c r="S101" s="569"/>
      <c r="T101" s="570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1">
        <v>4680115880269</v>
      </c>
      <c r="E102" s="562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6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9"/>
      <c r="R102" s="569"/>
      <c r="S102" s="569"/>
      <c r="T102" s="570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1">
        <v>4680115880429</v>
      </c>
      <c r="E103" s="562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9"/>
      <c r="R103" s="569"/>
      <c r="S103" s="569"/>
      <c r="T103" s="570"/>
      <c r="U103" s="34"/>
      <c r="V103" s="34"/>
      <c r="W103" s="35" t="s">
        <v>69</v>
      </c>
      <c r="X103" s="553">
        <v>270</v>
      </c>
      <c r="Y103" s="554">
        <f>IFERROR(IF(X103="",0,CEILING((X103/$H103),1)*$H103),"")</f>
        <v>270</v>
      </c>
      <c r="Z103" s="36">
        <f>IFERROR(IF(Y103=0,"",ROUNDUP(Y103/H103,0)*0.00902),"")</f>
        <v>0.54120000000000001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281.40000000000003</v>
      </c>
      <c r="BN103" s="64">
        <f>IFERROR(Y103*I103/H103,"0")</f>
        <v>281.40000000000003</v>
      </c>
      <c r="BO103" s="64">
        <f>IFERROR(1/J103*(X103/H103),"0")</f>
        <v>0.45454545454545459</v>
      </c>
      <c r="BP103" s="64">
        <f>IFERROR(1/J103*(Y103/H103),"0")</f>
        <v>0.45454545454545459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1">
        <v>4680115881457</v>
      </c>
      <c r="E104" s="562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8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9"/>
      <c r="R104" s="569"/>
      <c r="S104" s="569"/>
      <c r="T104" s="570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6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7"/>
      <c r="P105" s="563" t="s">
        <v>75</v>
      </c>
      <c r="Q105" s="564"/>
      <c r="R105" s="564"/>
      <c r="S105" s="564"/>
      <c r="T105" s="564"/>
      <c r="U105" s="564"/>
      <c r="V105" s="565"/>
      <c r="W105" s="37" t="s">
        <v>76</v>
      </c>
      <c r="X105" s="555">
        <f>IFERROR(X100/H100,"0")+IFERROR(X101/H101,"0")+IFERROR(X102/H102,"0")+IFERROR(X103/H103,"0")+IFERROR(X104/H104,"0")</f>
        <v>64.629629629629633</v>
      </c>
      <c r="Y105" s="555">
        <f>IFERROR(Y100/H100,"0")+IFERROR(Y101/H101,"0")+IFERROR(Y102/H102,"0")+IFERROR(Y103/H103,"0")+IFERROR(Y104/H104,"0")</f>
        <v>65</v>
      </c>
      <c r="Z105" s="555">
        <f>IFERROR(IF(Z100="",0,Z100),"0")+IFERROR(IF(Z101="",0,Z101),"0")+IFERROR(IF(Z102="",0,Z102),"0")+IFERROR(IF(Z103="",0,Z103),"0")+IFERROR(IF(Z104="",0,Z104),"0")</f>
        <v>0.6361</v>
      </c>
      <c r="AA105" s="556"/>
      <c r="AB105" s="556"/>
      <c r="AC105" s="556"/>
    </row>
    <row r="106" spans="1:68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7"/>
      <c r="P106" s="563" t="s">
        <v>75</v>
      </c>
      <c r="Q106" s="564"/>
      <c r="R106" s="564"/>
      <c r="S106" s="564"/>
      <c r="T106" s="564"/>
      <c r="U106" s="564"/>
      <c r="V106" s="565"/>
      <c r="W106" s="37" t="s">
        <v>69</v>
      </c>
      <c r="X106" s="555">
        <f>IFERROR(SUM(X100:X104),"0")</f>
        <v>320</v>
      </c>
      <c r="Y106" s="555">
        <f>IFERROR(SUM(Y100:Y104),"0")</f>
        <v>324</v>
      </c>
      <c r="Z106" s="37"/>
      <c r="AA106" s="556"/>
      <c r="AB106" s="556"/>
      <c r="AC106" s="556"/>
    </row>
    <row r="107" spans="1:68" ht="14.25" hidden="1" customHeight="1" x14ac:dyDescent="0.25">
      <c r="A107" s="559" t="s">
        <v>137</v>
      </c>
      <c r="B107" s="560"/>
      <c r="C107" s="560"/>
      <c r="D107" s="560"/>
      <c r="E107" s="560"/>
      <c r="F107" s="560"/>
      <c r="G107" s="560"/>
      <c r="H107" s="560"/>
      <c r="I107" s="560"/>
      <c r="J107" s="560"/>
      <c r="K107" s="560"/>
      <c r="L107" s="560"/>
      <c r="M107" s="560"/>
      <c r="N107" s="560"/>
      <c r="O107" s="560"/>
      <c r="P107" s="560"/>
      <c r="Q107" s="560"/>
      <c r="R107" s="560"/>
      <c r="S107" s="560"/>
      <c r="T107" s="560"/>
      <c r="U107" s="560"/>
      <c r="V107" s="560"/>
      <c r="W107" s="560"/>
      <c r="X107" s="560"/>
      <c r="Y107" s="560"/>
      <c r="Z107" s="560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1">
        <v>4680115881488</v>
      </c>
      <c r="E108" s="562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69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9"/>
      <c r="R108" s="569"/>
      <c r="S108" s="569"/>
      <c r="T108" s="570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1">
        <v>4680115887664</v>
      </c>
      <c r="E109" s="562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68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9"/>
      <c r="R109" s="569"/>
      <c r="S109" s="569"/>
      <c r="T109" s="570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1">
        <v>4680115882775</v>
      </c>
      <c r="E110" s="562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6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9"/>
      <c r="R110" s="569"/>
      <c r="S110" s="569"/>
      <c r="T110" s="570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1">
        <v>4680115880658</v>
      </c>
      <c r="E111" s="562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59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9"/>
      <c r="R111" s="569"/>
      <c r="S111" s="569"/>
      <c r="T111" s="570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6"/>
      <c r="B112" s="560"/>
      <c r="C112" s="560"/>
      <c r="D112" s="560"/>
      <c r="E112" s="560"/>
      <c r="F112" s="560"/>
      <c r="G112" s="560"/>
      <c r="H112" s="560"/>
      <c r="I112" s="560"/>
      <c r="J112" s="560"/>
      <c r="K112" s="560"/>
      <c r="L112" s="560"/>
      <c r="M112" s="560"/>
      <c r="N112" s="560"/>
      <c r="O112" s="567"/>
      <c r="P112" s="563" t="s">
        <v>75</v>
      </c>
      <c r="Q112" s="564"/>
      <c r="R112" s="564"/>
      <c r="S112" s="564"/>
      <c r="T112" s="564"/>
      <c r="U112" s="564"/>
      <c r="V112" s="565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0"/>
      <c r="B113" s="560"/>
      <c r="C113" s="560"/>
      <c r="D113" s="560"/>
      <c r="E113" s="560"/>
      <c r="F113" s="560"/>
      <c r="G113" s="560"/>
      <c r="H113" s="560"/>
      <c r="I113" s="560"/>
      <c r="J113" s="560"/>
      <c r="K113" s="560"/>
      <c r="L113" s="560"/>
      <c r="M113" s="560"/>
      <c r="N113" s="560"/>
      <c r="O113" s="567"/>
      <c r="P113" s="563" t="s">
        <v>75</v>
      </c>
      <c r="Q113" s="564"/>
      <c r="R113" s="564"/>
      <c r="S113" s="564"/>
      <c r="T113" s="564"/>
      <c r="U113" s="564"/>
      <c r="V113" s="565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59" t="s">
        <v>77</v>
      </c>
      <c r="B114" s="560"/>
      <c r="C114" s="560"/>
      <c r="D114" s="560"/>
      <c r="E114" s="560"/>
      <c r="F114" s="560"/>
      <c r="G114" s="560"/>
      <c r="H114" s="560"/>
      <c r="I114" s="560"/>
      <c r="J114" s="560"/>
      <c r="K114" s="560"/>
      <c r="L114" s="560"/>
      <c r="M114" s="560"/>
      <c r="N114" s="560"/>
      <c r="O114" s="560"/>
      <c r="P114" s="560"/>
      <c r="Q114" s="560"/>
      <c r="R114" s="560"/>
      <c r="S114" s="560"/>
      <c r="T114" s="560"/>
      <c r="U114" s="560"/>
      <c r="V114" s="560"/>
      <c r="W114" s="560"/>
      <c r="X114" s="560"/>
      <c r="Y114" s="560"/>
      <c r="Z114" s="560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1">
        <v>4607091385168</v>
      </c>
      <c r="E115" s="562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1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9"/>
      <c r="R115" s="569"/>
      <c r="S115" s="569"/>
      <c r="T115" s="570"/>
      <c r="U115" s="34"/>
      <c r="V115" s="34"/>
      <c r="W115" s="35" t="s">
        <v>69</v>
      </c>
      <c r="X115" s="553">
        <v>350</v>
      </c>
      <c r="Y115" s="554">
        <f>IFERROR(IF(X115="",0,CEILING((X115/$H115),1)*$H115),"")</f>
        <v>356.4</v>
      </c>
      <c r="Z115" s="36">
        <f>IFERROR(IF(Y115=0,"",ROUNDUP(Y115/H115,0)*0.01898),"")</f>
        <v>0.83511999999999997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371.08641975308637</v>
      </c>
      <c r="BN115" s="64">
        <f>IFERROR(Y115*I115/H115,"0")</f>
        <v>377.87199999999996</v>
      </c>
      <c r="BO115" s="64">
        <f>IFERROR(1/J115*(X115/H115),"0")</f>
        <v>0.67515432098765438</v>
      </c>
      <c r="BP115" s="64">
        <f>IFERROR(1/J115*(Y115/H115),"0")</f>
        <v>0.6875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1">
        <v>4607091383256</v>
      </c>
      <c r="E116" s="562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81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9"/>
      <c r="R116" s="569"/>
      <c r="S116" s="569"/>
      <c r="T116" s="570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1">
        <v>4607091385748</v>
      </c>
      <c r="E117" s="562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9"/>
      <c r="R117" s="569"/>
      <c r="S117" s="569"/>
      <c r="T117" s="570"/>
      <c r="U117" s="34"/>
      <c r="V117" s="34"/>
      <c r="W117" s="35" t="s">
        <v>69</v>
      </c>
      <c r="X117" s="553">
        <v>360</v>
      </c>
      <c r="Y117" s="554">
        <f>IFERROR(IF(X117="",0,CEILING((X117/$H117),1)*$H117),"")</f>
        <v>361.8</v>
      </c>
      <c r="Z117" s="36">
        <f>IFERROR(IF(Y117=0,"",ROUNDUP(Y117/H117,0)*0.00651),"")</f>
        <v>0.87234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393.59999999999997</v>
      </c>
      <c r="BN117" s="64">
        <f>IFERROR(Y117*I117/H117,"0")</f>
        <v>395.56799999999998</v>
      </c>
      <c r="BO117" s="64">
        <f>IFERROR(1/J117*(X117/H117),"0")</f>
        <v>0.73260073260073255</v>
      </c>
      <c r="BP117" s="64">
        <f>IFERROR(1/J117*(Y117/H117),"0")</f>
        <v>0.73626373626373631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1">
        <v>4680115884533</v>
      </c>
      <c r="E118" s="562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7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9"/>
      <c r="R118" s="569"/>
      <c r="S118" s="569"/>
      <c r="T118" s="570"/>
      <c r="U118" s="34"/>
      <c r="V118" s="34"/>
      <c r="W118" s="35" t="s">
        <v>69</v>
      </c>
      <c r="X118" s="553">
        <v>9</v>
      </c>
      <c r="Y118" s="554">
        <f>IFERROR(IF(X118="",0,CEILING((X118/$H118),1)*$H118),"")</f>
        <v>9</v>
      </c>
      <c r="Z118" s="36">
        <f>IFERROR(IF(Y118=0,"",ROUNDUP(Y118/H118,0)*0.00651),"")</f>
        <v>3.2550000000000003E-2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9.9</v>
      </c>
      <c r="BN118" s="64">
        <f>IFERROR(Y118*I118/H118,"0")</f>
        <v>9.9</v>
      </c>
      <c r="BO118" s="64">
        <f>IFERROR(1/J118*(X118/H118),"0")</f>
        <v>2.7472527472527476E-2</v>
      </c>
      <c r="BP118" s="64">
        <f>IFERROR(1/J118*(Y118/H118),"0")</f>
        <v>2.7472527472527476E-2</v>
      </c>
    </row>
    <row r="119" spans="1:68" x14ac:dyDescent="0.2">
      <c r="A119" s="566"/>
      <c r="B119" s="560"/>
      <c r="C119" s="560"/>
      <c r="D119" s="560"/>
      <c r="E119" s="560"/>
      <c r="F119" s="560"/>
      <c r="G119" s="560"/>
      <c r="H119" s="560"/>
      <c r="I119" s="560"/>
      <c r="J119" s="560"/>
      <c r="K119" s="560"/>
      <c r="L119" s="560"/>
      <c r="M119" s="560"/>
      <c r="N119" s="560"/>
      <c r="O119" s="567"/>
      <c r="P119" s="563" t="s">
        <v>75</v>
      </c>
      <c r="Q119" s="564"/>
      <c r="R119" s="564"/>
      <c r="S119" s="564"/>
      <c r="T119" s="564"/>
      <c r="U119" s="564"/>
      <c r="V119" s="565"/>
      <c r="W119" s="37" t="s">
        <v>76</v>
      </c>
      <c r="X119" s="555">
        <f>IFERROR(X115/H115,"0")+IFERROR(X116/H116,"0")+IFERROR(X117/H117,"0")+IFERROR(X118/H118,"0")</f>
        <v>181.54320987654319</v>
      </c>
      <c r="Y119" s="555">
        <f>IFERROR(Y115/H115,"0")+IFERROR(Y116/H116,"0")+IFERROR(Y117/H117,"0")+IFERROR(Y118/H118,"0")</f>
        <v>183</v>
      </c>
      <c r="Z119" s="555">
        <f>IFERROR(IF(Z115="",0,Z115),"0")+IFERROR(IF(Z116="",0,Z116),"0")+IFERROR(IF(Z117="",0,Z117),"0")+IFERROR(IF(Z118="",0,Z118),"0")</f>
        <v>1.7400100000000001</v>
      </c>
      <c r="AA119" s="556"/>
      <c r="AB119" s="556"/>
      <c r="AC119" s="556"/>
    </row>
    <row r="120" spans="1:68" x14ac:dyDescent="0.2">
      <c r="A120" s="560"/>
      <c r="B120" s="560"/>
      <c r="C120" s="560"/>
      <c r="D120" s="560"/>
      <c r="E120" s="560"/>
      <c r="F120" s="560"/>
      <c r="G120" s="560"/>
      <c r="H120" s="560"/>
      <c r="I120" s="560"/>
      <c r="J120" s="560"/>
      <c r="K120" s="560"/>
      <c r="L120" s="560"/>
      <c r="M120" s="560"/>
      <c r="N120" s="560"/>
      <c r="O120" s="567"/>
      <c r="P120" s="563" t="s">
        <v>75</v>
      </c>
      <c r="Q120" s="564"/>
      <c r="R120" s="564"/>
      <c r="S120" s="564"/>
      <c r="T120" s="564"/>
      <c r="U120" s="564"/>
      <c r="V120" s="565"/>
      <c r="W120" s="37" t="s">
        <v>69</v>
      </c>
      <c r="X120" s="555">
        <f>IFERROR(SUM(X115:X118),"0")</f>
        <v>719</v>
      </c>
      <c r="Y120" s="555">
        <f>IFERROR(SUM(Y115:Y118),"0")</f>
        <v>727.2</v>
      </c>
      <c r="Z120" s="37"/>
      <c r="AA120" s="556"/>
      <c r="AB120" s="556"/>
      <c r="AC120" s="556"/>
    </row>
    <row r="121" spans="1:68" ht="14.25" hidden="1" customHeight="1" x14ac:dyDescent="0.25">
      <c r="A121" s="559" t="s">
        <v>162</v>
      </c>
      <c r="B121" s="560"/>
      <c r="C121" s="560"/>
      <c r="D121" s="560"/>
      <c r="E121" s="560"/>
      <c r="F121" s="560"/>
      <c r="G121" s="560"/>
      <c r="H121" s="560"/>
      <c r="I121" s="560"/>
      <c r="J121" s="560"/>
      <c r="K121" s="560"/>
      <c r="L121" s="560"/>
      <c r="M121" s="560"/>
      <c r="N121" s="560"/>
      <c r="O121" s="560"/>
      <c r="P121" s="560"/>
      <c r="Q121" s="560"/>
      <c r="R121" s="560"/>
      <c r="S121" s="560"/>
      <c r="T121" s="560"/>
      <c r="U121" s="560"/>
      <c r="V121" s="560"/>
      <c r="W121" s="560"/>
      <c r="X121" s="560"/>
      <c r="Y121" s="560"/>
      <c r="Z121" s="560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1">
        <v>4680115880238</v>
      </c>
      <c r="E122" s="562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4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9"/>
      <c r="R122" s="569"/>
      <c r="S122" s="569"/>
      <c r="T122" s="570"/>
      <c r="U122" s="34"/>
      <c r="V122" s="34"/>
      <c r="W122" s="35" t="s">
        <v>69</v>
      </c>
      <c r="X122" s="553">
        <v>19.8</v>
      </c>
      <c r="Y122" s="554">
        <f>IFERROR(IF(X122="",0,CEILING((X122/$H122),1)*$H122),"")</f>
        <v>19.8</v>
      </c>
      <c r="Z122" s="36">
        <f>IFERROR(IF(Y122=0,"",ROUNDUP(Y122/H122,0)*0.00651),"")</f>
        <v>6.5100000000000005E-2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22.380000000000003</v>
      </c>
      <c r="BN122" s="64">
        <f>IFERROR(Y122*I122/H122,"0")</f>
        <v>22.380000000000003</v>
      </c>
      <c r="BO122" s="64">
        <f>IFERROR(1/J122*(X122/H122),"0")</f>
        <v>5.4945054945054951E-2</v>
      </c>
      <c r="BP122" s="64">
        <f>IFERROR(1/J122*(Y122/H122),"0")</f>
        <v>5.4945054945054951E-2</v>
      </c>
    </row>
    <row r="123" spans="1:68" x14ac:dyDescent="0.2">
      <c r="A123" s="566"/>
      <c r="B123" s="560"/>
      <c r="C123" s="560"/>
      <c r="D123" s="560"/>
      <c r="E123" s="560"/>
      <c r="F123" s="560"/>
      <c r="G123" s="560"/>
      <c r="H123" s="560"/>
      <c r="I123" s="560"/>
      <c r="J123" s="560"/>
      <c r="K123" s="560"/>
      <c r="L123" s="560"/>
      <c r="M123" s="560"/>
      <c r="N123" s="560"/>
      <c r="O123" s="567"/>
      <c r="P123" s="563" t="s">
        <v>75</v>
      </c>
      <c r="Q123" s="564"/>
      <c r="R123" s="564"/>
      <c r="S123" s="564"/>
      <c r="T123" s="564"/>
      <c r="U123" s="564"/>
      <c r="V123" s="565"/>
      <c r="W123" s="37" t="s">
        <v>76</v>
      </c>
      <c r="X123" s="555">
        <f>IFERROR(X122/H122,"0")</f>
        <v>10</v>
      </c>
      <c r="Y123" s="555">
        <f>IFERROR(Y122/H122,"0")</f>
        <v>10</v>
      </c>
      <c r="Z123" s="555">
        <f>IFERROR(IF(Z122="",0,Z122),"0")</f>
        <v>6.5100000000000005E-2</v>
      </c>
      <c r="AA123" s="556"/>
      <c r="AB123" s="556"/>
      <c r="AC123" s="556"/>
    </row>
    <row r="124" spans="1:68" x14ac:dyDescent="0.2">
      <c r="A124" s="560"/>
      <c r="B124" s="560"/>
      <c r="C124" s="560"/>
      <c r="D124" s="560"/>
      <c r="E124" s="560"/>
      <c r="F124" s="560"/>
      <c r="G124" s="560"/>
      <c r="H124" s="560"/>
      <c r="I124" s="560"/>
      <c r="J124" s="560"/>
      <c r="K124" s="560"/>
      <c r="L124" s="560"/>
      <c r="M124" s="560"/>
      <c r="N124" s="560"/>
      <c r="O124" s="567"/>
      <c r="P124" s="563" t="s">
        <v>75</v>
      </c>
      <c r="Q124" s="564"/>
      <c r="R124" s="564"/>
      <c r="S124" s="564"/>
      <c r="T124" s="564"/>
      <c r="U124" s="564"/>
      <c r="V124" s="565"/>
      <c r="W124" s="37" t="s">
        <v>69</v>
      </c>
      <c r="X124" s="555">
        <f>IFERROR(SUM(X122:X122),"0")</f>
        <v>19.8</v>
      </c>
      <c r="Y124" s="555">
        <f>IFERROR(SUM(Y122:Y122),"0")</f>
        <v>19.8</v>
      </c>
      <c r="Z124" s="37"/>
      <c r="AA124" s="556"/>
      <c r="AB124" s="556"/>
      <c r="AC124" s="556"/>
    </row>
    <row r="125" spans="1:68" ht="16.5" hidden="1" customHeight="1" x14ac:dyDescent="0.25">
      <c r="A125" s="592" t="s">
        <v>229</v>
      </c>
      <c r="B125" s="560"/>
      <c r="C125" s="560"/>
      <c r="D125" s="560"/>
      <c r="E125" s="560"/>
      <c r="F125" s="560"/>
      <c r="G125" s="560"/>
      <c r="H125" s="560"/>
      <c r="I125" s="560"/>
      <c r="J125" s="560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0"/>
      <c r="X125" s="560"/>
      <c r="Y125" s="560"/>
      <c r="Z125" s="560"/>
      <c r="AA125" s="548"/>
      <c r="AB125" s="548"/>
      <c r="AC125" s="548"/>
    </row>
    <row r="126" spans="1:68" ht="14.25" hidden="1" customHeight="1" x14ac:dyDescent="0.25">
      <c r="A126" s="559" t="s">
        <v>101</v>
      </c>
      <c r="B126" s="560"/>
      <c r="C126" s="560"/>
      <c r="D126" s="560"/>
      <c r="E126" s="560"/>
      <c r="F126" s="560"/>
      <c r="G126" s="560"/>
      <c r="H126" s="560"/>
      <c r="I126" s="560"/>
      <c r="J126" s="560"/>
      <c r="K126" s="560"/>
      <c r="L126" s="560"/>
      <c r="M126" s="560"/>
      <c r="N126" s="560"/>
      <c r="O126" s="560"/>
      <c r="P126" s="560"/>
      <c r="Q126" s="560"/>
      <c r="R126" s="560"/>
      <c r="S126" s="560"/>
      <c r="T126" s="560"/>
      <c r="U126" s="560"/>
      <c r="V126" s="560"/>
      <c r="W126" s="560"/>
      <c r="X126" s="560"/>
      <c r="Y126" s="560"/>
      <c r="Z126" s="560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1">
        <v>4680115882577</v>
      </c>
      <c r="E127" s="562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64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9"/>
      <c r="R127" s="569"/>
      <c r="S127" s="569"/>
      <c r="T127" s="570"/>
      <c r="U127" s="34"/>
      <c r="V127" s="34"/>
      <c r="W127" s="35" t="s">
        <v>69</v>
      </c>
      <c r="X127" s="553">
        <v>48</v>
      </c>
      <c r="Y127" s="554">
        <f>IFERROR(IF(X127="",0,CEILING((X127/$H127),1)*$H127),"")</f>
        <v>48</v>
      </c>
      <c r="Z127" s="36">
        <f>IFERROR(IF(Y127=0,"",ROUNDUP(Y127/H127,0)*0.00651),"")</f>
        <v>9.7650000000000001E-2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50.7</v>
      </c>
      <c r="BN127" s="64">
        <f>IFERROR(Y127*I127/H127,"0")</f>
        <v>50.7</v>
      </c>
      <c r="BO127" s="64">
        <f>IFERROR(1/J127*(X127/H127),"0")</f>
        <v>8.241758241758243E-2</v>
      </c>
      <c r="BP127" s="64">
        <f>IFERROR(1/J127*(Y127/H127),"0")</f>
        <v>8.241758241758243E-2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1">
        <v>4680115882577</v>
      </c>
      <c r="E128" s="562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64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9"/>
      <c r="R128" s="569"/>
      <c r="S128" s="569"/>
      <c r="T128" s="570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6"/>
      <c r="B129" s="560"/>
      <c r="C129" s="560"/>
      <c r="D129" s="560"/>
      <c r="E129" s="560"/>
      <c r="F129" s="560"/>
      <c r="G129" s="560"/>
      <c r="H129" s="560"/>
      <c r="I129" s="560"/>
      <c r="J129" s="560"/>
      <c r="K129" s="560"/>
      <c r="L129" s="560"/>
      <c r="M129" s="560"/>
      <c r="N129" s="560"/>
      <c r="O129" s="567"/>
      <c r="P129" s="563" t="s">
        <v>75</v>
      </c>
      <c r="Q129" s="564"/>
      <c r="R129" s="564"/>
      <c r="S129" s="564"/>
      <c r="T129" s="564"/>
      <c r="U129" s="564"/>
      <c r="V129" s="565"/>
      <c r="W129" s="37" t="s">
        <v>76</v>
      </c>
      <c r="X129" s="555">
        <f>IFERROR(X127/H127,"0")+IFERROR(X128/H128,"0")</f>
        <v>15</v>
      </c>
      <c r="Y129" s="555">
        <f>IFERROR(Y127/H127,"0")+IFERROR(Y128/H128,"0")</f>
        <v>15</v>
      </c>
      <c r="Z129" s="555">
        <f>IFERROR(IF(Z127="",0,Z127),"0")+IFERROR(IF(Z128="",0,Z128),"0")</f>
        <v>9.7650000000000001E-2</v>
      </c>
      <c r="AA129" s="556"/>
      <c r="AB129" s="556"/>
      <c r="AC129" s="556"/>
    </row>
    <row r="130" spans="1:68" x14ac:dyDescent="0.2">
      <c r="A130" s="560"/>
      <c r="B130" s="560"/>
      <c r="C130" s="560"/>
      <c r="D130" s="560"/>
      <c r="E130" s="560"/>
      <c r="F130" s="560"/>
      <c r="G130" s="560"/>
      <c r="H130" s="560"/>
      <c r="I130" s="560"/>
      <c r="J130" s="560"/>
      <c r="K130" s="560"/>
      <c r="L130" s="560"/>
      <c r="M130" s="560"/>
      <c r="N130" s="560"/>
      <c r="O130" s="567"/>
      <c r="P130" s="563" t="s">
        <v>75</v>
      </c>
      <c r="Q130" s="564"/>
      <c r="R130" s="564"/>
      <c r="S130" s="564"/>
      <c r="T130" s="564"/>
      <c r="U130" s="564"/>
      <c r="V130" s="565"/>
      <c r="W130" s="37" t="s">
        <v>69</v>
      </c>
      <c r="X130" s="555">
        <f>IFERROR(SUM(X127:X128),"0")</f>
        <v>48</v>
      </c>
      <c r="Y130" s="555">
        <f>IFERROR(SUM(Y127:Y128),"0")</f>
        <v>48</v>
      </c>
      <c r="Z130" s="37"/>
      <c r="AA130" s="556"/>
      <c r="AB130" s="556"/>
      <c r="AC130" s="556"/>
    </row>
    <row r="131" spans="1:68" ht="14.25" hidden="1" customHeight="1" x14ac:dyDescent="0.25">
      <c r="A131" s="559" t="s">
        <v>64</v>
      </c>
      <c r="B131" s="560"/>
      <c r="C131" s="560"/>
      <c r="D131" s="560"/>
      <c r="E131" s="560"/>
      <c r="F131" s="560"/>
      <c r="G131" s="560"/>
      <c r="H131" s="560"/>
      <c r="I131" s="560"/>
      <c r="J131" s="560"/>
      <c r="K131" s="560"/>
      <c r="L131" s="560"/>
      <c r="M131" s="560"/>
      <c r="N131" s="560"/>
      <c r="O131" s="560"/>
      <c r="P131" s="560"/>
      <c r="Q131" s="560"/>
      <c r="R131" s="560"/>
      <c r="S131" s="560"/>
      <c r="T131" s="560"/>
      <c r="U131" s="560"/>
      <c r="V131" s="560"/>
      <c r="W131" s="560"/>
      <c r="X131" s="560"/>
      <c r="Y131" s="560"/>
      <c r="Z131" s="560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1">
        <v>4680115883444</v>
      </c>
      <c r="E132" s="562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9"/>
      <c r="R132" s="569"/>
      <c r="S132" s="569"/>
      <c r="T132" s="570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1">
        <v>4680115883444</v>
      </c>
      <c r="E133" s="562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63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9"/>
      <c r="R133" s="569"/>
      <c r="S133" s="569"/>
      <c r="T133" s="570"/>
      <c r="U133" s="34"/>
      <c r="V133" s="34"/>
      <c r="W133" s="35" t="s">
        <v>69</v>
      </c>
      <c r="X133" s="553">
        <v>35</v>
      </c>
      <c r="Y133" s="554">
        <f>IFERROR(IF(X133="",0,CEILING((X133/$H133),1)*$H133),"")</f>
        <v>36.4</v>
      </c>
      <c r="Z133" s="36">
        <f>IFERROR(IF(Y133=0,"",ROUNDUP(Y133/H133,0)*0.00651),"")</f>
        <v>8.4629999999999997E-2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38.35</v>
      </c>
      <c r="BN133" s="64">
        <f>IFERROR(Y133*I133/H133,"0")</f>
        <v>39.884</v>
      </c>
      <c r="BO133" s="64">
        <f>IFERROR(1/J133*(X133/H133),"0")</f>
        <v>6.8681318681318687E-2</v>
      </c>
      <c r="BP133" s="64">
        <f>IFERROR(1/J133*(Y133/H133),"0")</f>
        <v>7.1428571428571438E-2</v>
      </c>
    </row>
    <row r="134" spans="1:68" x14ac:dyDescent="0.2">
      <c r="A134" s="566"/>
      <c r="B134" s="560"/>
      <c r="C134" s="560"/>
      <c r="D134" s="560"/>
      <c r="E134" s="560"/>
      <c r="F134" s="560"/>
      <c r="G134" s="560"/>
      <c r="H134" s="560"/>
      <c r="I134" s="560"/>
      <c r="J134" s="560"/>
      <c r="K134" s="560"/>
      <c r="L134" s="560"/>
      <c r="M134" s="560"/>
      <c r="N134" s="560"/>
      <c r="O134" s="567"/>
      <c r="P134" s="563" t="s">
        <v>75</v>
      </c>
      <c r="Q134" s="564"/>
      <c r="R134" s="564"/>
      <c r="S134" s="564"/>
      <c r="T134" s="564"/>
      <c r="U134" s="564"/>
      <c r="V134" s="565"/>
      <c r="W134" s="37" t="s">
        <v>76</v>
      </c>
      <c r="X134" s="555">
        <f>IFERROR(X132/H132,"0")+IFERROR(X133/H133,"0")</f>
        <v>12.5</v>
      </c>
      <c r="Y134" s="555">
        <f>IFERROR(Y132/H132,"0")+IFERROR(Y133/H133,"0")</f>
        <v>13</v>
      </c>
      <c r="Z134" s="555">
        <f>IFERROR(IF(Z132="",0,Z132),"0")+IFERROR(IF(Z133="",0,Z133),"0")</f>
        <v>8.4629999999999997E-2</v>
      </c>
      <c r="AA134" s="556"/>
      <c r="AB134" s="556"/>
      <c r="AC134" s="556"/>
    </row>
    <row r="135" spans="1:68" x14ac:dyDescent="0.2">
      <c r="A135" s="560"/>
      <c r="B135" s="560"/>
      <c r="C135" s="560"/>
      <c r="D135" s="560"/>
      <c r="E135" s="560"/>
      <c r="F135" s="560"/>
      <c r="G135" s="560"/>
      <c r="H135" s="560"/>
      <c r="I135" s="560"/>
      <c r="J135" s="560"/>
      <c r="K135" s="560"/>
      <c r="L135" s="560"/>
      <c r="M135" s="560"/>
      <c r="N135" s="560"/>
      <c r="O135" s="567"/>
      <c r="P135" s="563" t="s">
        <v>75</v>
      </c>
      <c r="Q135" s="564"/>
      <c r="R135" s="564"/>
      <c r="S135" s="564"/>
      <c r="T135" s="564"/>
      <c r="U135" s="564"/>
      <c r="V135" s="565"/>
      <c r="W135" s="37" t="s">
        <v>69</v>
      </c>
      <c r="X135" s="555">
        <f>IFERROR(SUM(X132:X133),"0")</f>
        <v>35</v>
      </c>
      <c r="Y135" s="555">
        <f>IFERROR(SUM(Y132:Y133),"0")</f>
        <v>36.4</v>
      </c>
      <c r="Z135" s="37"/>
      <c r="AA135" s="556"/>
      <c r="AB135" s="556"/>
      <c r="AC135" s="556"/>
    </row>
    <row r="136" spans="1:68" ht="14.25" hidden="1" customHeight="1" x14ac:dyDescent="0.25">
      <c r="A136" s="559" t="s">
        <v>77</v>
      </c>
      <c r="B136" s="560"/>
      <c r="C136" s="560"/>
      <c r="D136" s="560"/>
      <c r="E136" s="560"/>
      <c r="F136" s="560"/>
      <c r="G136" s="560"/>
      <c r="H136" s="560"/>
      <c r="I136" s="560"/>
      <c r="J136" s="560"/>
      <c r="K136" s="560"/>
      <c r="L136" s="560"/>
      <c r="M136" s="560"/>
      <c r="N136" s="560"/>
      <c r="O136" s="560"/>
      <c r="P136" s="560"/>
      <c r="Q136" s="560"/>
      <c r="R136" s="560"/>
      <c r="S136" s="560"/>
      <c r="T136" s="560"/>
      <c r="U136" s="560"/>
      <c r="V136" s="560"/>
      <c r="W136" s="560"/>
      <c r="X136" s="560"/>
      <c r="Y136" s="560"/>
      <c r="Z136" s="560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1">
        <v>4680115882584</v>
      </c>
      <c r="E137" s="562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7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9"/>
      <c r="R137" s="569"/>
      <c r="S137" s="569"/>
      <c r="T137" s="570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1">
        <v>4680115882584</v>
      </c>
      <c r="E138" s="562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3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9"/>
      <c r="R138" s="569"/>
      <c r="S138" s="569"/>
      <c r="T138" s="570"/>
      <c r="U138" s="34"/>
      <c r="V138" s="34"/>
      <c r="W138" s="35" t="s">
        <v>69</v>
      </c>
      <c r="X138" s="553">
        <v>26.4</v>
      </c>
      <c r="Y138" s="554">
        <f>IFERROR(IF(X138="",0,CEILING((X138/$H138),1)*$H138),"")</f>
        <v>26.400000000000002</v>
      </c>
      <c r="Z138" s="36">
        <f>IFERROR(IF(Y138=0,"",ROUNDUP(Y138/H138,0)*0.00651),"")</f>
        <v>6.5100000000000005E-2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29.079999999999995</v>
      </c>
      <c r="BN138" s="64">
        <f>IFERROR(Y138*I138/H138,"0")</f>
        <v>29.080000000000002</v>
      </c>
      <c r="BO138" s="64">
        <f>IFERROR(1/J138*(X138/H138),"0")</f>
        <v>5.4945054945054937E-2</v>
      </c>
      <c r="BP138" s="64">
        <f>IFERROR(1/J138*(Y138/H138),"0")</f>
        <v>5.4945054945054951E-2</v>
      </c>
    </row>
    <row r="139" spans="1:68" x14ac:dyDescent="0.2">
      <c r="A139" s="566"/>
      <c r="B139" s="560"/>
      <c r="C139" s="560"/>
      <c r="D139" s="560"/>
      <c r="E139" s="560"/>
      <c r="F139" s="560"/>
      <c r="G139" s="560"/>
      <c r="H139" s="560"/>
      <c r="I139" s="560"/>
      <c r="J139" s="560"/>
      <c r="K139" s="560"/>
      <c r="L139" s="560"/>
      <c r="M139" s="560"/>
      <c r="N139" s="560"/>
      <c r="O139" s="567"/>
      <c r="P139" s="563" t="s">
        <v>75</v>
      </c>
      <c r="Q139" s="564"/>
      <c r="R139" s="564"/>
      <c r="S139" s="564"/>
      <c r="T139" s="564"/>
      <c r="U139" s="564"/>
      <c r="V139" s="565"/>
      <c r="W139" s="37" t="s">
        <v>76</v>
      </c>
      <c r="X139" s="555">
        <f>IFERROR(X137/H137,"0")+IFERROR(X138/H138,"0")</f>
        <v>9.9999999999999982</v>
      </c>
      <c r="Y139" s="555">
        <f>IFERROR(Y137/H137,"0")+IFERROR(Y138/H138,"0")</f>
        <v>10</v>
      </c>
      <c r="Z139" s="555">
        <f>IFERROR(IF(Z137="",0,Z137),"0")+IFERROR(IF(Z138="",0,Z138),"0")</f>
        <v>6.5100000000000005E-2</v>
      </c>
      <c r="AA139" s="556"/>
      <c r="AB139" s="556"/>
      <c r="AC139" s="556"/>
    </row>
    <row r="140" spans="1:68" x14ac:dyDescent="0.2">
      <c r="A140" s="560"/>
      <c r="B140" s="560"/>
      <c r="C140" s="560"/>
      <c r="D140" s="560"/>
      <c r="E140" s="560"/>
      <c r="F140" s="560"/>
      <c r="G140" s="560"/>
      <c r="H140" s="560"/>
      <c r="I140" s="560"/>
      <c r="J140" s="560"/>
      <c r="K140" s="560"/>
      <c r="L140" s="560"/>
      <c r="M140" s="560"/>
      <c r="N140" s="560"/>
      <c r="O140" s="567"/>
      <c r="P140" s="563" t="s">
        <v>75</v>
      </c>
      <c r="Q140" s="564"/>
      <c r="R140" s="564"/>
      <c r="S140" s="564"/>
      <c r="T140" s="564"/>
      <c r="U140" s="564"/>
      <c r="V140" s="565"/>
      <c r="W140" s="37" t="s">
        <v>69</v>
      </c>
      <c r="X140" s="555">
        <f>IFERROR(SUM(X137:X138),"0")</f>
        <v>26.4</v>
      </c>
      <c r="Y140" s="555">
        <f>IFERROR(SUM(Y137:Y138),"0")</f>
        <v>26.400000000000002</v>
      </c>
      <c r="Z140" s="37"/>
      <c r="AA140" s="556"/>
      <c r="AB140" s="556"/>
      <c r="AC140" s="556"/>
    </row>
    <row r="141" spans="1:68" ht="16.5" hidden="1" customHeight="1" x14ac:dyDescent="0.25">
      <c r="A141" s="592" t="s">
        <v>99</v>
      </c>
      <c r="B141" s="560"/>
      <c r="C141" s="560"/>
      <c r="D141" s="560"/>
      <c r="E141" s="560"/>
      <c r="F141" s="560"/>
      <c r="G141" s="560"/>
      <c r="H141" s="560"/>
      <c r="I141" s="560"/>
      <c r="J141" s="560"/>
      <c r="K141" s="560"/>
      <c r="L141" s="560"/>
      <c r="M141" s="560"/>
      <c r="N141" s="560"/>
      <c r="O141" s="560"/>
      <c r="P141" s="560"/>
      <c r="Q141" s="560"/>
      <c r="R141" s="560"/>
      <c r="S141" s="560"/>
      <c r="T141" s="560"/>
      <c r="U141" s="560"/>
      <c r="V141" s="560"/>
      <c r="W141" s="560"/>
      <c r="X141" s="560"/>
      <c r="Y141" s="560"/>
      <c r="Z141" s="560"/>
      <c r="AA141" s="548"/>
      <c r="AB141" s="548"/>
      <c r="AC141" s="548"/>
    </row>
    <row r="142" spans="1:68" ht="14.25" hidden="1" customHeight="1" x14ac:dyDescent="0.25">
      <c r="A142" s="559" t="s">
        <v>101</v>
      </c>
      <c r="B142" s="560"/>
      <c r="C142" s="560"/>
      <c r="D142" s="560"/>
      <c r="E142" s="560"/>
      <c r="F142" s="560"/>
      <c r="G142" s="560"/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1">
        <v>4680115887374</v>
      </c>
      <c r="E143" s="562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0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9"/>
      <c r="R143" s="569"/>
      <c r="S143" s="569"/>
      <c r="T143" s="570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1">
        <v>4607091384604</v>
      </c>
      <c r="E144" s="562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9"/>
      <c r="R144" s="569"/>
      <c r="S144" s="569"/>
      <c r="T144" s="570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6"/>
      <c r="B145" s="560"/>
      <c r="C145" s="560"/>
      <c r="D145" s="560"/>
      <c r="E145" s="560"/>
      <c r="F145" s="560"/>
      <c r="G145" s="560"/>
      <c r="H145" s="560"/>
      <c r="I145" s="560"/>
      <c r="J145" s="560"/>
      <c r="K145" s="560"/>
      <c r="L145" s="560"/>
      <c r="M145" s="560"/>
      <c r="N145" s="560"/>
      <c r="O145" s="567"/>
      <c r="P145" s="563" t="s">
        <v>75</v>
      </c>
      <c r="Q145" s="564"/>
      <c r="R145" s="564"/>
      <c r="S145" s="564"/>
      <c r="T145" s="564"/>
      <c r="U145" s="564"/>
      <c r="V145" s="565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0"/>
      <c r="B146" s="560"/>
      <c r="C146" s="560"/>
      <c r="D146" s="560"/>
      <c r="E146" s="560"/>
      <c r="F146" s="560"/>
      <c r="G146" s="560"/>
      <c r="H146" s="560"/>
      <c r="I146" s="560"/>
      <c r="J146" s="560"/>
      <c r="K146" s="560"/>
      <c r="L146" s="560"/>
      <c r="M146" s="560"/>
      <c r="N146" s="560"/>
      <c r="O146" s="567"/>
      <c r="P146" s="563" t="s">
        <v>75</v>
      </c>
      <c r="Q146" s="564"/>
      <c r="R146" s="564"/>
      <c r="S146" s="564"/>
      <c r="T146" s="564"/>
      <c r="U146" s="564"/>
      <c r="V146" s="565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59" t="s">
        <v>64</v>
      </c>
      <c r="B147" s="560"/>
      <c r="C147" s="560"/>
      <c r="D147" s="560"/>
      <c r="E147" s="560"/>
      <c r="F147" s="560"/>
      <c r="G147" s="560"/>
      <c r="H147" s="560"/>
      <c r="I147" s="560"/>
      <c r="J147" s="560"/>
      <c r="K147" s="560"/>
      <c r="L147" s="560"/>
      <c r="M147" s="560"/>
      <c r="N147" s="560"/>
      <c r="O147" s="560"/>
      <c r="P147" s="560"/>
      <c r="Q147" s="560"/>
      <c r="R147" s="560"/>
      <c r="S147" s="560"/>
      <c r="T147" s="560"/>
      <c r="U147" s="560"/>
      <c r="V147" s="560"/>
      <c r="W147" s="560"/>
      <c r="X147" s="560"/>
      <c r="Y147" s="560"/>
      <c r="Z147" s="560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1">
        <v>4607091387667</v>
      </c>
      <c r="E148" s="562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82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9"/>
      <c r="R148" s="569"/>
      <c r="S148" s="569"/>
      <c r="T148" s="570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1">
        <v>4680115887428</v>
      </c>
      <c r="E149" s="562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5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9"/>
      <c r="R149" s="569"/>
      <c r="S149" s="569"/>
      <c r="T149" s="570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1">
        <v>4607091387636</v>
      </c>
      <c r="E150" s="562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9"/>
      <c r="R150" s="569"/>
      <c r="S150" s="569"/>
      <c r="T150" s="570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1">
        <v>4680115887336</v>
      </c>
      <c r="E151" s="562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57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9"/>
      <c r="R151" s="569"/>
      <c r="S151" s="569"/>
      <c r="T151" s="570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1">
        <v>4607091382426</v>
      </c>
      <c r="E152" s="562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86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9"/>
      <c r="R152" s="569"/>
      <c r="S152" s="569"/>
      <c r="T152" s="570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1">
        <v>4680115887398</v>
      </c>
      <c r="E153" s="562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88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9"/>
      <c r="R153" s="569"/>
      <c r="S153" s="569"/>
      <c r="T153" s="570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6"/>
      <c r="B154" s="560"/>
      <c r="C154" s="560"/>
      <c r="D154" s="560"/>
      <c r="E154" s="560"/>
      <c r="F154" s="560"/>
      <c r="G154" s="560"/>
      <c r="H154" s="560"/>
      <c r="I154" s="560"/>
      <c r="J154" s="560"/>
      <c r="K154" s="560"/>
      <c r="L154" s="560"/>
      <c r="M154" s="560"/>
      <c r="N154" s="560"/>
      <c r="O154" s="567"/>
      <c r="P154" s="563" t="s">
        <v>75</v>
      </c>
      <c r="Q154" s="564"/>
      <c r="R154" s="564"/>
      <c r="S154" s="564"/>
      <c r="T154" s="564"/>
      <c r="U154" s="564"/>
      <c r="V154" s="565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0"/>
      <c r="B155" s="560"/>
      <c r="C155" s="560"/>
      <c r="D155" s="560"/>
      <c r="E155" s="560"/>
      <c r="F155" s="560"/>
      <c r="G155" s="560"/>
      <c r="H155" s="560"/>
      <c r="I155" s="560"/>
      <c r="J155" s="560"/>
      <c r="K155" s="560"/>
      <c r="L155" s="560"/>
      <c r="M155" s="560"/>
      <c r="N155" s="560"/>
      <c r="O155" s="567"/>
      <c r="P155" s="563" t="s">
        <v>75</v>
      </c>
      <c r="Q155" s="564"/>
      <c r="R155" s="564"/>
      <c r="S155" s="564"/>
      <c r="T155" s="564"/>
      <c r="U155" s="564"/>
      <c r="V155" s="565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59" t="s">
        <v>77</v>
      </c>
      <c r="B156" s="560"/>
      <c r="C156" s="560"/>
      <c r="D156" s="560"/>
      <c r="E156" s="560"/>
      <c r="F156" s="560"/>
      <c r="G156" s="560"/>
      <c r="H156" s="560"/>
      <c r="I156" s="560"/>
      <c r="J156" s="560"/>
      <c r="K156" s="560"/>
      <c r="L156" s="560"/>
      <c r="M156" s="560"/>
      <c r="N156" s="560"/>
      <c r="O156" s="560"/>
      <c r="P156" s="560"/>
      <c r="Q156" s="560"/>
      <c r="R156" s="560"/>
      <c r="S156" s="560"/>
      <c r="T156" s="560"/>
      <c r="U156" s="560"/>
      <c r="V156" s="560"/>
      <c r="W156" s="560"/>
      <c r="X156" s="560"/>
      <c r="Y156" s="560"/>
      <c r="Z156" s="560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1">
        <v>4680115887459</v>
      </c>
      <c r="E157" s="562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0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9"/>
      <c r="R157" s="569"/>
      <c r="S157" s="569"/>
      <c r="T157" s="570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6"/>
      <c r="B158" s="560"/>
      <c r="C158" s="560"/>
      <c r="D158" s="560"/>
      <c r="E158" s="560"/>
      <c r="F158" s="560"/>
      <c r="G158" s="560"/>
      <c r="H158" s="560"/>
      <c r="I158" s="560"/>
      <c r="J158" s="560"/>
      <c r="K158" s="560"/>
      <c r="L158" s="560"/>
      <c r="M158" s="560"/>
      <c r="N158" s="560"/>
      <c r="O158" s="567"/>
      <c r="P158" s="563" t="s">
        <v>75</v>
      </c>
      <c r="Q158" s="564"/>
      <c r="R158" s="564"/>
      <c r="S158" s="564"/>
      <c r="T158" s="564"/>
      <c r="U158" s="564"/>
      <c r="V158" s="565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0"/>
      <c r="B159" s="560"/>
      <c r="C159" s="560"/>
      <c r="D159" s="560"/>
      <c r="E159" s="560"/>
      <c r="F159" s="560"/>
      <c r="G159" s="560"/>
      <c r="H159" s="560"/>
      <c r="I159" s="560"/>
      <c r="J159" s="560"/>
      <c r="K159" s="560"/>
      <c r="L159" s="560"/>
      <c r="M159" s="560"/>
      <c r="N159" s="560"/>
      <c r="O159" s="567"/>
      <c r="P159" s="563" t="s">
        <v>75</v>
      </c>
      <c r="Q159" s="564"/>
      <c r="R159" s="564"/>
      <c r="S159" s="564"/>
      <c r="T159" s="564"/>
      <c r="U159" s="564"/>
      <c r="V159" s="565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82" t="s">
        <v>268</v>
      </c>
      <c r="B160" s="583"/>
      <c r="C160" s="583"/>
      <c r="D160" s="583"/>
      <c r="E160" s="583"/>
      <c r="F160" s="583"/>
      <c r="G160" s="583"/>
      <c r="H160" s="583"/>
      <c r="I160" s="583"/>
      <c r="J160" s="583"/>
      <c r="K160" s="583"/>
      <c r="L160" s="583"/>
      <c r="M160" s="583"/>
      <c r="N160" s="583"/>
      <c r="O160" s="583"/>
      <c r="P160" s="583"/>
      <c r="Q160" s="583"/>
      <c r="R160" s="583"/>
      <c r="S160" s="583"/>
      <c r="T160" s="583"/>
      <c r="U160" s="583"/>
      <c r="V160" s="583"/>
      <c r="W160" s="583"/>
      <c r="X160" s="583"/>
      <c r="Y160" s="583"/>
      <c r="Z160" s="583"/>
      <c r="AA160" s="48"/>
      <c r="AB160" s="48"/>
      <c r="AC160" s="48"/>
    </row>
    <row r="161" spans="1:68" ht="16.5" hidden="1" customHeight="1" x14ac:dyDescent="0.25">
      <c r="A161" s="592" t="s">
        <v>269</v>
      </c>
      <c r="B161" s="560"/>
      <c r="C161" s="560"/>
      <c r="D161" s="560"/>
      <c r="E161" s="560"/>
      <c r="F161" s="560"/>
      <c r="G161" s="560"/>
      <c r="H161" s="560"/>
      <c r="I161" s="560"/>
      <c r="J161" s="560"/>
      <c r="K161" s="560"/>
      <c r="L161" s="560"/>
      <c r="M161" s="560"/>
      <c r="N161" s="560"/>
      <c r="O161" s="560"/>
      <c r="P161" s="560"/>
      <c r="Q161" s="560"/>
      <c r="R161" s="560"/>
      <c r="S161" s="560"/>
      <c r="T161" s="560"/>
      <c r="U161" s="560"/>
      <c r="V161" s="560"/>
      <c r="W161" s="560"/>
      <c r="X161" s="560"/>
      <c r="Y161" s="560"/>
      <c r="Z161" s="560"/>
      <c r="AA161" s="548"/>
      <c r="AB161" s="548"/>
      <c r="AC161" s="548"/>
    </row>
    <row r="162" spans="1:68" ht="14.25" hidden="1" customHeight="1" x14ac:dyDescent="0.25">
      <c r="A162" s="559" t="s">
        <v>137</v>
      </c>
      <c r="B162" s="560"/>
      <c r="C162" s="560"/>
      <c r="D162" s="560"/>
      <c r="E162" s="560"/>
      <c r="F162" s="560"/>
      <c r="G162" s="560"/>
      <c r="H162" s="560"/>
      <c r="I162" s="560"/>
      <c r="J162" s="560"/>
      <c r="K162" s="560"/>
      <c r="L162" s="560"/>
      <c r="M162" s="560"/>
      <c r="N162" s="560"/>
      <c r="O162" s="560"/>
      <c r="P162" s="560"/>
      <c r="Q162" s="560"/>
      <c r="R162" s="560"/>
      <c r="S162" s="560"/>
      <c r="T162" s="560"/>
      <c r="U162" s="560"/>
      <c r="V162" s="560"/>
      <c r="W162" s="560"/>
      <c r="X162" s="560"/>
      <c r="Y162" s="560"/>
      <c r="Z162" s="560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1">
        <v>4680115886223</v>
      </c>
      <c r="E163" s="562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9"/>
      <c r="R163" s="569"/>
      <c r="S163" s="569"/>
      <c r="T163" s="570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6"/>
      <c r="B164" s="560"/>
      <c r="C164" s="560"/>
      <c r="D164" s="560"/>
      <c r="E164" s="560"/>
      <c r="F164" s="560"/>
      <c r="G164" s="560"/>
      <c r="H164" s="560"/>
      <c r="I164" s="560"/>
      <c r="J164" s="560"/>
      <c r="K164" s="560"/>
      <c r="L164" s="560"/>
      <c r="M164" s="560"/>
      <c r="N164" s="560"/>
      <c r="O164" s="567"/>
      <c r="P164" s="563" t="s">
        <v>75</v>
      </c>
      <c r="Q164" s="564"/>
      <c r="R164" s="564"/>
      <c r="S164" s="564"/>
      <c r="T164" s="564"/>
      <c r="U164" s="564"/>
      <c r="V164" s="565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0"/>
      <c r="B165" s="560"/>
      <c r="C165" s="560"/>
      <c r="D165" s="560"/>
      <c r="E165" s="560"/>
      <c r="F165" s="560"/>
      <c r="G165" s="560"/>
      <c r="H165" s="560"/>
      <c r="I165" s="560"/>
      <c r="J165" s="560"/>
      <c r="K165" s="560"/>
      <c r="L165" s="560"/>
      <c r="M165" s="560"/>
      <c r="N165" s="560"/>
      <c r="O165" s="567"/>
      <c r="P165" s="563" t="s">
        <v>75</v>
      </c>
      <c r="Q165" s="564"/>
      <c r="R165" s="564"/>
      <c r="S165" s="564"/>
      <c r="T165" s="564"/>
      <c r="U165" s="564"/>
      <c r="V165" s="565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59" t="s">
        <v>64</v>
      </c>
      <c r="B166" s="560"/>
      <c r="C166" s="560"/>
      <c r="D166" s="560"/>
      <c r="E166" s="560"/>
      <c r="F166" s="560"/>
      <c r="G166" s="560"/>
      <c r="H166" s="56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560"/>
      <c r="U166" s="560"/>
      <c r="V166" s="560"/>
      <c r="W166" s="560"/>
      <c r="X166" s="560"/>
      <c r="Y166" s="560"/>
      <c r="Z166" s="560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1">
        <v>4680115887824</v>
      </c>
      <c r="E167" s="562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64" t="s">
        <v>276</v>
      </c>
      <c r="Q167" s="569"/>
      <c r="R167" s="569"/>
      <c r="S167" s="569"/>
      <c r="T167" s="570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1">
        <v>4680115887701</v>
      </c>
      <c r="E168" s="562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880" t="s">
        <v>281</v>
      </c>
      <c r="Q168" s="569"/>
      <c r="R168" s="569"/>
      <c r="S168" s="569"/>
      <c r="T168" s="570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1">
        <v>4680115880993</v>
      </c>
      <c r="E169" s="562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9"/>
      <c r="R169" s="569"/>
      <c r="S169" s="569"/>
      <c r="T169" s="570"/>
      <c r="U169" s="34"/>
      <c r="V169" s="34"/>
      <c r="W169" s="35" t="s">
        <v>69</v>
      </c>
      <c r="X169" s="553">
        <v>50</v>
      </c>
      <c r="Y169" s="554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52.976190476190474</v>
      </c>
      <c r="BN169" s="64">
        <f t="shared" si="12"/>
        <v>53.400000000000006</v>
      </c>
      <c r="BO169" s="64">
        <f t="shared" si="13"/>
        <v>9.0187590187590191E-2</v>
      </c>
      <c r="BP169" s="64">
        <f t="shared" si="14"/>
        <v>9.0909090909090912E-2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1">
        <v>4680115881761</v>
      </c>
      <c r="E170" s="562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86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9"/>
      <c r="R170" s="569"/>
      <c r="S170" s="569"/>
      <c r="T170" s="570"/>
      <c r="U170" s="34"/>
      <c r="V170" s="34"/>
      <c r="W170" s="35" t="s">
        <v>69</v>
      </c>
      <c r="X170" s="553">
        <v>40</v>
      </c>
      <c r="Y170" s="554">
        <f t="shared" si="10"/>
        <v>42</v>
      </c>
      <c r="Z170" s="36">
        <f>IFERROR(IF(Y170=0,"",ROUNDUP(Y170/H170,0)*0.00902),"")</f>
        <v>9.0200000000000002E-2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42.38095238095238</v>
      </c>
      <c r="BN170" s="64">
        <f t="shared" si="12"/>
        <v>44.5</v>
      </c>
      <c r="BO170" s="64">
        <f t="shared" si="13"/>
        <v>7.2150072150072145E-2</v>
      </c>
      <c r="BP170" s="64">
        <f t="shared" si="14"/>
        <v>7.575757575757576E-2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1">
        <v>4680115881563</v>
      </c>
      <c r="E171" s="562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9"/>
      <c r="R171" s="569"/>
      <c r="S171" s="569"/>
      <c r="T171" s="570"/>
      <c r="U171" s="34"/>
      <c r="V171" s="34"/>
      <c r="W171" s="35" t="s">
        <v>69</v>
      </c>
      <c r="X171" s="553">
        <v>100</v>
      </c>
      <c r="Y171" s="554">
        <f t="shared" si="10"/>
        <v>100.80000000000001</v>
      </c>
      <c r="Z171" s="36">
        <f>IFERROR(IF(Y171=0,"",ROUNDUP(Y171/H171,0)*0.00902),"")</f>
        <v>0.21648000000000001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104.5238095238095</v>
      </c>
      <c r="BN171" s="64">
        <f t="shared" si="12"/>
        <v>105.36</v>
      </c>
      <c r="BO171" s="64">
        <f t="shared" si="13"/>
        <v>0.18037518037518038</v>
      </c>
      <c r="BP171" s="64">
        <f t="shared" si="14"/>
        <v>0.18181818181818182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1">
        <v>4680115887565</v>
      </c>
      <c r="E172" s="562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80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9"/>
      <c r="R172" s="569"/>
      <c r="S172" s="569"/>
      <c r="T172" s="570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1">
        <v>4680115880986</v>
      </c>
      <c r="E173" s="562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84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9"/>
      <c r="R173" s="569"/>
      <c r="S173" s="569"/>
      <c r="T173" s="570"/>
      <c r="U173" s="34"/>
      <c r="V173" s="34"/>
      <c r="W173" s="35" t="s">
        <v>69</v>
      </c>
      <c r="X173" s="553">
        <v>70</v>
      </c>
      <c r="Y173" s="554">
        <f t="shared" si="10"/>
        <v>71.400000000000006</v>
      </c>
      <c r="Z173" s="36">
        <f>IFERROR(IF(Y173=0,"",ROUNDUP(Y173/H173,0)*0.00502),"")</f>
        <v>0.17068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74.333333333333329</v>
      </c>
      <c r="BN173" s="64">
        <f t="shared" si="12"/>
        <v>75.820000000000007</v>
      </c>
      <c r="BO173" s="64">
        <f t="shared" si="13"/>
        <v>0.14245014245014245</v>
      </c>
      <c r="BP173" s="64">
        <f t="shared" si="14"/>
        <v>0.14529914529914531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1">
        <v>4680115887213</v>
      </c>
      <c r="E174" s="562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5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9"/>
      <c r="R174" s="569"/>
      <c r="S174" s="569"/>
      <c r="T174" s="570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1">
        <v>4680115881785</v>
      </c>
      <c r="E175" s="562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66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9"/>
      <c r="R175" s="569"/>
      <c r="S175" s="569"/>
      <c r="T175" s="570"/>
      <c r="U175" s="34"/>
      <c r="V175" s="34"/>
      <c r="W175" s="35" t="s">
        <v>69</v>
      </c>
      <c r="X175" s="553">
        <v>87.5</v>
      </c>
      <c r="Y175" s="554">
        <f t="shared" si="10"/>
        <v>88.2</v>
      </c>
      <c r="Z175" s="36">
        <f>IFERROR(IF(Y175=0,"",ROUNDUP(Y175/H175,0)*0.00502),"")</f>
        <v>0.21084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92.916666666666657</v>
      </c>
      <c r="BN175" s="64">
        <f t="shared" si="12"/>
        <v>93.66</v>
      </c>
      <c r="BO175" s="64">
        <f t="shared" si="13"/>
        <v>0.17806267806267806</v>
      </c>
      <c r="BP175" s="64">
        <f t="shared" si="14"/>
        <v>0.17948717948717952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1">
        <v>4680115886537</v>
      </c>
      <c r="E176" s="562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6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9"/>
      <c r="R176" s="569"/>
      <c r="S176" s="569"/>
      <c r="T176" s="570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1">
        <v>4680115887596</v>
      </c>
      <c r="E177" s="562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67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9"/>
      <c r="R177" s="569"/>
      <c r="S177" s="569"/>
      <c r="T177" s="570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1">
        <v>4680115881679</v>
      </c>
      <c r="E178" s="562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6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9"/>
      <c r="R178" s="569"/>
      <c r="S178" s="569"/>
      <c r="T178" s="570"/>
      <c r="U178" s="34"/>
      <c r="V178" s="34"/>
      <c r="W178" s="35" t="s">
        <v>69</v>
      </c>
      <c r="X178" s="553">
        <v>122.5</v>
      </c>
      <c r="Y178" s="554">
        <f t="shared" si="10"/>
        <v>123.9</v>
      </c>
      <c r="Z178" s="36">
        <f>IFERROR(IF(Y178=0,"",ROUNDUP(Y178/H178,0)*0.00502),"")</f>
        <v>0.29618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128.33333333333331</v>
      </c>
      <c r="BN178" s="64">
        <f t="shared" si="12"/>
        <v>129.80000000000001</v>
      </c>
      <c r="BO178" s="64">
        <f t="shared" si="13"/>
        <v>0.2492877492877493</v>
      </c>
      <c r="BP178" s="64">
        <f t="shared" si="14"/>
        <v>0.25213675213675218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1">
        <v>4680115880191</v>
      </c>
      <c r="E179" s="562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1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9"/>
      <c r="R179" s="569"/>
      <c r="S179" s="569"/>
      <c r="T179" s="570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1">
        <v>4680115883963</v>
      </c>
      <c r="E180" s="562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9"/>
      <c r="R180" s="569"/>
      <c r="S180" s="569"/>
      <c r="T180" s="570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6"/>
      <c r="B181" s="560"/>
      <c r="C181" s="560"/>
      <c r="D181" s="560"/>
      <c r="E181" s="560"/>
      <c r="F181" s="560"/>
      <c r="G181" s="560"/>
      <c r="H181" s="560"/>
      <c r="I181" s="560"/>
      <c r="J181" s="560"/>
      <c r="K181" s="560"/>
      <c r="L181" s="560"/>
      <c r="M181" s="560"/>
      <c r="N181" s="560"/>
      <c r="O181" s="567"/>
      <c r="P181" s="563" t="s">
        <v>75</v>
      </c>
      <c r="Q181" s="564"/>
      <c r="R181" s="564"/>
      <c r="S181" s="564"/>
      <c r="T181" s="564"/>
      <c r="U181" s="564"/>
      <c r="V181" s="565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178.57142857142856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181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1.0926200000000001</v>
      </c>
      <c r="AA181" s="556"/>
      <c r="AB181" s="556"/>
      <c r="AC181" s="556"/>
    </row>
    <row r="182" spans="1:68" x14ac:dyDescent="0.2">
      <c r="A182" s="560"/>
      <c r="B182" s="560"/>
      <c r="C182" s="560"/>
      <c r="D182" s="560"/>
      <c r="E182" s="560"/>
      <c r="F182" s="560"/>
      <c r="G182" s="560"/>
      <c r="H182" s="560"/>
      <c r="I182" s="560"/>
      <c r="J182" s="560"/>
      <c r="K182" s="560"/>
      <c r="L182" s="560"/>
      <c r="M182" s="560"/>
      <c r="N182" s="560"/>
      <c r="O182" s="567"/>
      <c r="P182" s="563" t="s">
        <v>75</v>
      </c>
      <c r="Q182" s="564"/>
      <c r="R182" s="564"/>
      <c r="S182" s="564"/>
      <c r="T182" s="564"/>
      <c r="U182" s="564"/>
      <c r="V182" s="565"/>
      <c r="W182" s="37" t="s">
        <v>69</v>
      </c>
      <c r="X182" s="555">
        <f>IFERROR(SUM(X167:X180),"0")</f>
        <v>470</v>
      </c>
      <c r="Y182" s="555">
        <f>IFERROR(SUM(Y167:Y180),"0")</f>
        <v>476.70000000000005</v>
      </c>
      <c r="Z182" s="37"/>
      <c r="AA182" s="556"/>
      <c r="AB182" s="556"/>
      <c r="AC182" s="556"/>
    </row>
    <row r="183" spans="1:68" ht="14.25" hidden="1" customHeight="1" x14ac:dyDescent="0.25">
      <c r="A183" s="559" t="s">
        <v>93</v>
      </c>
      <c r="B183" s="560"/>
      <c r="C183" s="560"/>
      <c r="D183" s="560"/>
      <c r="E183" s="560"/>
      <c r="F183" s="560"/>
      <c r="G183" s="560"/>
      <c r="H183" s="560"/>
      <c r="I183" s="560"/>
      <c r="J183" s="560"/>
      <c r="K183" s="560"/>
      <c r="L183" s="560"/>
      <c r="M183" s="560"/>
      <c r="N183" s="560"/>
      <c r="O183" s="560"/>
      <c r="P183" s="560"/>
      <c r="Q183" s="560"/>
      <c r="R183" s="560"/>
      <c r="S183" s="560"/>
      <c r="T183" s="560"/>
      <c r="U183" s="560"/>
      <c r="V183" s="560"/>
      <c r="W183" s="560"/>
      <c r="X183" s="560"/>
      <c r="Y183" s="560"/>
      <c r="Z183" s="560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1">
        <v>4680115886780</v>
      </c>
      <c r="E184" s="562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9"/>
      <c r="R184" s="569"/>
      <c r="S184" s="569"/>
      <c r="T184" s="570"/>
      <c r="U184" s="34"/>
      <c r="V184" s="34"/>
      <c r="W184" s="35" t="s">
        <v>69</v>
      </c>
      <c r="X184" s="553">
        <v>7.0000000000000009</v>
      </c>
      <c r="Y184" s="554">
        <f>IFERROR(IF(X184="",0,CEILING((X184/$H184),1)*$H184),"")</f>
        <v>7.5600000000000005</v>
      </c>
      <c r="Z184" s="36">
        <f>IFERROR(IF(Y184=0,"",ROUNDUP(Y184/H184,0)*0.0059),"")</f>
        <v>3.5400000000000001E-2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8.0555555555555554</v>
      </c>
      <c r="BN184" s="64">
        <f>IFERROR(Y184*I184/H184,"0")</f>
        <v>8.6999999999999993</v>
      </c>
      <c r="BO184" s="64">
        <f>IFERROR(1/J184*(X184/H184),"0")</f>
        <v>2.5720164609053499E-2</v>
      </c>
      <c r="BP184" s="64">
        <f>IFERROR(1/J184*(Y184/H184),"0")</f>
        <v>2.7777777777777776E-2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1">
        <v>4680115886742</v>
      </c>
      <c r="E185" s="562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4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9"/>
      <c r="R185" s="569"/>
      <c r="S185" s="569"/>
      <c r="T185" s="570"/>
      <c r="U185" s="34"/>
      <c r="V185" s="34"/>
      <c r="W185" s="35" t="s">
        <v>69</v>
      </c>
      <c r="X185" s="553">
        <v>8.4</v>
      </c>
      <c r="Y185" s="554">
        <f>IFERROR(IF(X185="",0,CEILING((X185/$H185),1)*$H185),"")</f>
        <v>8.82</v>
      </c>
      <c r="Z185" s="36">
        <f>IFERROR(IF(Y185=0,"",ROUNDUP(Y185/H185,0)*0.0059),"")</f>
        <v>4.1299999999999996E-2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9.6666666666666661</v>
      </c>
      <c r="BN185" s="64">
        <f>IFERROR(Y185*I185/H185,"0")</f>
        <v>10.15</v>
      </c>
      <c r="BO185" s="64">
        <f>IFERROR(1/J185*(X185/H185),"0")</f>
        <v>3.0864197530864196E-2</v>
      </c>
      <c r="BP185" s="64">
        <f>IFERROR(1/J185*(Y185/H185),"0")</f>
        <v>3.2407407407407406E-2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1">
        <v>4680115886766</v>
      </c>
      <c r="E186" s="562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9"/>
      <c r="R186" s="569"/>
      <c r="S186" s="569"/>
      <c r="T186" s="570"/>
      <c r="U186" s="34"/>
      <c r="V186" s="34"/>
      <c r="W186" s="35" t="s">
        <v>69</v>
      </c>
      <c r="X186" s="553">
        <v>8.4</v>
      </c>
      <c r="Y186" s="554">
        <f>IFERROR(IF(X186="",0,CEILING((X186/$H186),1)*$H186),"")</f>
        <v>8.82</v>
      </c>
      <c r="Z186" s="36">
        <f>IFERROR(IF(Y186=0,"",ROUNDUP(Y186/H186,0)*0.0059),"")</f>
        <v>4.1299999999999996E-2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9.6666666666666661</v>
      </c>
      <c r="BN186" s="64">
        <f>IFERROR(Y186*I186/H186,"0")</f>
        <v>10.15</v>
      </c>
      <c r="BO186" s="64">
        <f>IFERROR(1/J186*(X186/H186),"0")</f>
        <v>3.0864197530864196E-2</v>
      </c>
      <c r="BP186" s="64">
        <f>IFERROR(1/J186*(Y186/H186),"0")</f>
        <v>3.2407407407407406E-2</v>
      </c>
    </row>
    <row r="187" spans="1:68" x14ac:dyDescent="0.2">
      <c r="A187" s="566"/>
      <c r="B187" s="560"/>
      <c r="C187" s="560"/>
      <c r="D187" s="560"/>
      <c r="E187" s="560"/>
      <c r="F187" s="560"/>
      <c r="G187" s="560"/>
      <c r="H187" s="560"/>
      <c r="I187" s="560"/>
      <c r="J187" s="560"/>
      <c r="K187" s="560"/>
      <c r="L187" s="560"/>
      <c r="M187" s="560"/>
      <c r="N187" s="560"/>
      <c r="O187" s="567"/>
      <c r="P187" s="563" t="s">
        <v>75</v>
      </c>
      <c r="Q187" s="564"/>
      <c r="R187" s="564"/>
      <c r="S187" s="564"/>
      <c r="T187" s="564"/>
      <c r="U187" s="564"/>
      <c r="V187" s="565"/>
      <c r="W187" s="37" t="s">
        <v>76</v>
      </c>
      <c r="X187" s="555">
        <f>IFERROR(X184/H184,"0")+IFERROR(X185/H185,"0")+IFERROR(X186/H186,"0")</f>
        <v>18.888888888888889</v>
      </c>
      <c r="Y187" s="555">
        <f>IFERROR(Y184/H184,"0")+IFERROR(Y185/H185,"0")+IFERROR(Y186/H186,"0")</f>
        <v>20</v>
      </c>
      <c r="Z187" s="555">
        <f>IFERROR(IF(Z184="",0,Z184),"0")+IFERROR(IF(Z185="",0,Z185),"0")+IFERROR(IF(Z186="",0,Z186),"0")</f>
        <v>0.11799999999999999</v>
      </c>
      <c r="AA187" s="556"/>
      <c r="AB187" s="556"/>
      <c r="AC187" s="556"/>
    </row>
    <row r="188" spans="1:68" x14ac:dyDescent="0.2">
      <c r="A188" s="560"/>
      <c r="B188" s="560"/>
      <c r="C188" s="560"/>
      <c r="D188" s="560"/>
      <c r="E188" s="560"/>
      <c r="F188" s="560"/>
      <c r="G188" s="560"/>
      <c r="H188" s="560"/>
      <c r="I188" s="560"/>
      <c r="J188" s="560"/>
      <c r="K188" s="560"/>
      <c r="L188" s="560"/>
      <c r="M188" s="560"/>
      <c r="N188" s="560"/>
      <c r="O188" s="567"/>
      <c r="P188" s="563" t="s">
        <v>75</v>
      </c>
      <c r="Q188" s="564"/>
      <c r="R188" s="564"/>
      <c r="S188" s="564"/>
      <c r="T188" s="564"/>
      <c r="U188" s="564"/>
      <c r="V188" s="565"/>
      <c r="W188" s="37" t="s">
        <v>69</v>
      </c>
      <c r="X188" s="555">
        <f>IFERROR(SUM(X184:X186),"0")</f>
        <v>23.800000000000004</v>
      </c>
      <c r="Y188" s="555">
        <f>IFERROR(SUM(Y184:Y186),"0")</f>
        <v>25.200000000000003</v>
      </c>
      <c r="Z188" s="37"/>
      <c r="AA188" s="556"/>
      <c r="AB188" s="556"/>
      <c r="AC188" s="556"/>
    </row>
    <row r="189" spans="1:68" ht="14.25" hidden="1" customHeight="1" x14ac:dyDescent="0.25">
      <c r="A189" s="559" t="s">
        <v>324</v>
      </c>
      <c r="B189" s="560"/>
      <c r="C189" s="560"/>
      <c r="D189" s="560"/>
      <c r="E189" s="560"/>
      <c r="F189" s="560"/>
      <c r="G189" s="560"/>
      <c r="H189" s="560"/>
      <c r="I189" s="560"/>
      <c r="J189" s="560"/>
      <c r="K189" s="560"/>
      <c r="L189" s="560"/>
      <c r="M189" s="560"/>
      <c r="N189" s="560"/>
      <c r="O189" s="560"/>
      <c r="P189" s="560"/>
      <c r="Q189" s="560"/>
      <c r="R189" s="560"/>
      <c r="S189" s="560"/>
      <c r="T189" s="560"/>
      <c r="U189" s="560"/>
      <c r="V189" s="560"/>
      <c r="W189" s="560"/>
      <c r="X189" s="560"/>
      <c r="Y189" s="560"/>
      <c r="Z189" s="560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1">
        <v>4680115886797</v>
      </c>
      <c r="E190" s="562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6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9"/>
      <c r="R190" s="569"/>
      <c r="S190" s="569"/>
      <c r="T190" s="570"/>
      <c r="U190" s="34"/>
      <c r="V190" s="34"/>
      <c r="W190" s="35" t="s">
        <v>69</v>
      </c>
      <c r="X190" s="553">
        <v>4.9000000000000004</v>
      </c>
      <c r="Y190" s="554">
        <f>IFERROR(IF(X190="",0,CEILING((X190/$H190),1)*$H190),"")</f>
        <v>5.04</v>
      </c>
      <c r="Z190" s="36">
        <f>IFERROR(IF(Y190=0,"",ROUNDUP(Y190/H190,0)*0.0059),"")</f>
        <v>2.3599999999999999E-2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5.6388888888888893</v>
      </c>
      <c r="BN190" s="64">
        <f>IFERROR(Y190*I190/H190,"0")</f>
        <v>5.8</v>
      </c>
      <c r="BO190" s="64">
        <f>IFERROR(1/J190*(X190/H190),"0")</f>
        <v>1.800411522633745E-2</v>
      </c>
      <c r="BP190" s="64">
        <f>IFERROR(1/J190*(Y190/H190),"0")</f>
        <v>1.8518518518518517E-2</v>
      </c>
    </row>
    <row r="191" spans="1:68" x14ac:dyDescent="0.2">
      <c r="A191" s="566"/>
      <c r="B191" s="560"/>
      <c r="C191" s="560"/>
      <c r="D191" s="560"/>
      <c r="E191" s="560"/>
      <c r="F191" s="560"/>
      <c r="G191" s="560"/>
      <c r="H191" s="560"/>
      <c r="I191" s="560"/>
      <c r="J191" s="560"/>
      <c r="K191" s="560"/>
      <c r="L191" s="560"/>
      <c r="M191" s="560"/>
      <c r="N191" s="560"/>
      <c r="O191" s="567"/>
      <c r="P191" s="563" t="s">
        <v>75</v>
      </c>
      <c r="Q191" s="564"/>
      <c r="R191" s="564"/>
      <c r="S191" s="564"/>
      <c r="T191" s="564"/>
      <c r="U191" s="564"/>
      <c r="V191" s="565"/>
      <c r="W191" s="37" t="s">
        <v>76</v>
      </c>
      <c r="X191" s="555">
        <f>IFERROR(X190/H190,"0")</f>
        <v>3.8888888888888893</v>
      </c>
      <c r="Y191" s="555">
        <f>IFERROR(Y190/H190,"0")</f>
        <v>4</v>
      </c>
      <c r="Z191" s="555">
        <f>IFERROR(IF(Z190="",0,Z190),"0")</f>
        <v>2.3599999999999999E-2</v>
      </c>
      <c r="AA191" s="556"/>
      <c r="AB191" s="556"/>
      <c r="AC191" s="556"/>
    </row>
    <row r="192" spans="1:68" x14ac:dyDescent="0.2">
      <c r="A192" s="560"/>
      <c r="B192" s="560"/>
      <c r="C192" s="560"/>
      <c r="D192" s="560"/>
      <c r="E192" s="560"/>
      <c r="F192" s="560"/>
      <c r="G192" s="560"/>
      <c r="H192" s="560"/>
      <c r="I192" s="560"/>
      <c r="J192" s="560"/>
      <c r="K192" s="560"/>
      <c r="L192" s="560"/>
      <c r="M192" s="560"/>
      <c r="N192" s="560"/>
      <c r="O192" s="567"/>
      <c r="P192" s="563" t="s">
        <v>75</v>
      </c>
      <c r="Q192" s="564"/>
      <c r="R192" s="564"/>
      <c r="S192" s="564"/>
      <c r="T192" s="564"/>
      <c r="U192" s="564"/>
      <c r="V192" s="565"/>
      <c r="W192" s="37" t="s">
        <v>69</v>
      </c>
      <c r="X192" s="555">
        <f>IFERROR(SUM(X190:X190),"0")</f>
        <v>4.9000000000000004</v>
      </c>
      <c r="Y192" s="555">
        <f>IFERROR(SUM(Y190:Y190),"0")</f>
        <v>5.04</v>
      </c>
      <c r="Z192" s="37"/>
      <c r="AA192" s="556"/>
      <c r="AB192" s="556"/>
      <c r="AC192" s="556"/>
    </row>
    <row r="193" spans="1:68" ht="16.5" hidden="1" customHeight="1" x14ac:dyDescent="0.25">
      <c r="A193" s="592" t="s">
        <v>327</v>
      </c>
      <c r="B193" s="560"/>
      <c r="C193" s="560"/>
      <c r="D193" s="560"/>
      <c r="E193" s="560"/>
      <c r="F193" s="560"/>
      <c r="G193" s="560"/>
      <c r="H193" s="560"/>
      <c r="I193" s="560"/>
      <c r="J193" s="560"/>
      <c r="K193" s="560"/>
      <c r="L193" s="560"/>
      <c r="M193" s="560"/>
      <c r="N193" s="560"/>
      <c r="O193" s="560"/>
      <c r="P193" s="560"/>
      <c r="Q193" s="560"/>
      <c r="R193" s="560"/>
      <c r="S193" s="560"/>
      <c r="T193" s="560"/>
      <c r="U193" s="560"/>
      <c r="V193" s="560"/>
      <c r="W193" s="560"/>
      <c r="X193" s="560"/>
      <c r="Y193" s="560"/>
      <c r="Z193" s="560"/>
      <c r="AA193" s="548"/>
      <c r="AB193" s="548"/>
      <c r="AC193" s="548"/>
    </row>
    <row r="194" spans="1:68" ht="14.25" hidden="1" customHeight="1" x14ac:dyDescent="0.25">
      <c r="A194" s="559" t="s">
        <v>101</v>
      </c>
      <c r="B194" s="560"/>
      <c r="C194" s="560"/>
      <c r="D194" s="560"/>
      <c r="E194" s="560"/>
      <c r="F194" s="560"/>
      <c r="G194" s="560"/>
      <c r="H194" s="560"/>
      <c r="I194" s="560"/>
      <c r="J194" s="560"/>
      <c r="K194" s="560"/>
      <c r="L194" s="560"/>
      <c r="M194" s="560"/>
      <c r="N194" s="560"/>
      <c r="O194" s="560"/>
      <c r="P194" s="560"/>
      <c r="Q194" s="560"/>
      <c r="R194" s="560"/>
      <c r="S194" s="560"/>
      <c r="T194" s="560"/>
      <c r="U194" s="560"/>
      <c r="V194" s="560"/>
      <c r="W194" s="560"/>
      <c r="X194" s="560"/>
      <c r="Y194" s="560"/>
      <c r="Z194" s="560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1">
        <v>4680115881402</v>
      </c>
      <c r="E195" s="562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9"/>
      <c r="R195" s="569"/>
      <c r="S195" s="569"/>
      <c r="T195" s="570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1">
        <v>4680115881396</v>
      </c>
      <c r="E196" s="562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6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9"/>
      <c r="R196" s="569"/>
      <c r="S196" s="569"/>
      <c r="T196" s="570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6"/>
      <c r="B197" s="560"/>
      <c r="C197" s="560"/>
      <c r="D197" s="560"/>
      <c r="E197" s="560"/>
      <c r="F197" s="560"/>
      <c r="G197" s="560"/>
      <c r="H197" s="560"/>
      <c r="I197" s="560"/>
      <c r="J197" s="560"/>
      <c r="K197" s="560"/>
      <c r="L197" s="560"/>
      <c r="M197" s="560"/>
      <c r="N197" s="560"/>
      <c r="O197" s="567"/>
      <c r="P197" s="563" t="s">
        <v>75</v>
      </c>
      <c r="Q197" s="564"/>
      <c r="R197" s="564"/>
      <c r="S197" s="564"/>
      <c r="T197" s="564"/>
      <c r="U197" s="564"/>
      <c r="V197" s="565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0"/>
      <c r="B198" s="560"/>
      <c r="C198" s="560"/>
      <c r="D198" s="560"/>
      <c r="E198" s="560"/>
      <c r="F198" s="560"/>
      <c r="G198" s="560"/>
      <c r="H198" s="560"/>
      <c r="I198" s="560"/>
      <c r="J198" s="560"/>
      <c r="K198" s="560"/>
      <c r="L198" s="560"/>
      <c r="M198" s="560"/>
      <c r="N198" s="560"/>
      <c r="O198" s="567"/>
      <c r="P198" s="563" t="s">
        <v>75</v>
      </c>
      <c r="Q198" s="564"/>
      <c r="R198" s="564"/>
      <c r="S198" s="564"/>
      <c r="T198" s="564"/>
      <c r="U198" s="564"/>
      <c r="V198" s="565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59" t="s">
        <v>137</v>
      </c>
      <c r="B199" s="560"/>
      <c r="C199" s="560"/>
      <c r="D199" s="560"/>
      <c r="E199" s="560"/>
      <c r="F199" s="560"/>
      <c r="G199" s="560"/>
      <c r="H199" s="560"/>
      <c r="I199" s="560"/>
      <c r="J199" s="560"/>
      <c r="K199" s="560"/>
      <c r="L199" s="560"/>
      <c r="M199" s="560"/>
      <c r="N199" s="560"/>
      <c r="O199" s="560"/>
      <c r="P199" s="560"/>
      <c r="Q199" s="560"/>
      <c r="R199" s="560"/>
      <c r="S199" s="560"/>
      <c r="T199" s="560"/>
      <c r="U199" s="560"/>
      <c r="V199" s="560"/>
      <c r="W199" s="560"/>
      <c r="X199" s="560"/>
      <c r="Y199" s="560"/>
      <c r="Z199" s="560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1">
        <v>4680115882935</v>
      </c>
      <c r="E200" s="562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61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9"/>
      <c r="R200" s="569"/>
      <c r="S200" s="569"/>
      <c r="T200" s="570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1">
        <v>4680115880764</v>
      </c>
      <c r="E201" s="562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6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9"/>
      <c r="R201" s="569"/>
      <c r="S201" s="569"/>
      <c r="T201" s="570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6"/>
      <c r="B202" s="560"/>
      <c r="C202" s="560"/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7"/>
      <c r="P202" s="563" t="s">
        <v>75</v>
      </c>
      <c r="Q202" s="564"/>
      <c r="R202" s="564"/>
      <c r="S202" s="564"/>
      <c r="T202" s="564"/>
      <c r="U202" s="564"/>
      <c r="V202" s="565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0"/>
      <c r="B203" s="560"/>
      <c r="C203" s="560"/>
      <c r="D203" s="560"/>
      <c r="E203" s="560"/>
      <c r="F203" s="560"/>
      <c r="G203" s="560"/>
      <c r="H203" s="560"/>
      <c r="I203" s="560"/>
      <c r="J203" s="560"/>
      <c r="K203" s="560"/>
      <c r="L203" s="560"/>
      <c r="M203" s="560"/>
      <c r="N203" s="560"/>
      <c r="O203" s="567"/>
      <c r="P203" s="563" t="s">
        <v>75</v>
      </c>
      <c r="Q203" s="564"/>
      <c r="R203" s="564"/>
      <c r="S203" s="564"/>
      <c r="T203" s="564"/>
      <c r="U203" s="564"/>
      <c r="V203" s="565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59" t="s">
        <v>64</v>
      </c>
      <c r="B204" s="560"/>
      <c r="C204" s="560"/>
      <c r="D204" s="560"/>
      <c r="E204" s="560"/>
      <c r="F204" s="560"/>
      <c r="G204" s="560"/>
      <c r="H204" s="560"/>
      <c r="I204" s="560"/>
      <c r="J204" s="560"/>
      <c r="K204" s="560"/>
      <c r="L204" s="560"/>
      <c r="M204" s="560"/>
      <c r="N204" s="560"/>
      <c r="O204" s="560"/>
      <c r="P204" s="560"/>
      <c r="Q204" s="560"/>
      <c r="R204" s="560"/>
      <c r="S204" s="560"/>
      <c r="T204" s="560"/>
      <c r="U204" s="560"/>
      <c r="V204" s="560"/>
      <c r="W204" s="560"/>
      <c r="X204" s="560"/>
      <c r="Y204" s="560"/>
      <c r="Z204" s="560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1">
        <v>4680115882683</v>
      </c>
      <c r="E205" s="562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9"/>
      <c r="R205" s="569"/>
      <c r="S205" s="569"/>
      <c r="T205" s="570"/>
      <c r="U205" s="34"/>
      <c r="V205" s="34"/>
      <c r="W205" s="35" t="s">
        <v>69</v>
      </c>
      <c r="X205" s="553">
        <v>110</v>
      </c>
      <c r="Y205" s="554">
        <f t="shared" ref="Y205:Y212" si="15">IFERROR(IF(X205="",0,CEILING((X205/$H205),1)*$H205),"")</f>
        <v>113.4</v>
      </c>
      <c r="Z205" s="36">
        <f>IFERROR(IF(Y205=0,"",ROUNDUP(Y205/H205,0)*0.00902),"")</f>
        <v>0.18942000000000001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113.87037037037035</v>
      </c>
      <c r="BN205" s="64">
        <f t="shared" ref="BN205:BN212" si="17">IFERROR(Y205*I205/H205,"0")</f>
        <v>117.39</v>
      </c>
      <c r="BO205" s="64">
        <f t="shared" ref="BO205:BO212" si="18">IFERROR(1/J205*(X205/H205),"0")</f>
        <v>0.15432098765432098</v>
      </c>
      <c r="BP205" s="64">
        <f t="shared" ref="BP205:BP212" si="19">IFERROR(1/J205*(Y205/H205),"0")</f>
        <v>0.15909090909090909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1">
        <v>4680115882690</v>
      </c>
      <c r="E206" s="562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9"/>
      <c r="R206" s="569"/>
      <c r="S206" s="569"/>
      <c r="T206" s="570"/>
      <c r="U206" s="34"/>
      <c r="V206" s="34"/>
      <c r="W206" s="35" t="s">
        <v>69</v>
      </c>
      <c r="X206" s="553">
        <v>60</v>
      </c>
      <c r="Y206" s="554">
        <f t="shared" si="15"/>
        <v>64.800000000000011</v>
      </c>
      <c r="Z206" s="36">
        <f>IFERROR(IF(Y206=0,"",ROUNDUP(Y206/H206,0)*0.00902),"")</f>
        <v>0.10824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62.1111111111111</v>
      </c>
      <c r="BN206" s="64">
        <f t="shared" si="17"/>
        <v>67.08</v>
      </c>
      <c r="BO206" s="64">
        <f t="shared" si="18"/>
        <v>8.4175084175084181E-2</v>
      </c>
      <c r="BP206" s="64">
        <f t="shared" si="19"/>
        <v>9.0909090909090925E-2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1">
        <v>4680115882669</v>
      </c>
      <c r="E207" s="562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9"/>
      <c r="R207" s="569"/>
      <c r="S207" s="569"/>
      <c r="T207" s="570"/>
      <c r="U207" s="34"/>
      <c r="V207" s="34"/>
      <c r="W207" s="35" t="s">
        <v>69</v>
      </c>
      <c r="X207" s="553">
        <v>350</v>
      </c>
      <c r="Y207" s="554">
        <f t="shared" si="15"/>
        <v>351</v>
      </c>
      <c r="Z207" s="36">
        <f>IFERROR(IF(Y207=0,"",ROUNDUP(Y207/H207,0)*0.00902),"")</f>
        <v>0.58630000000000004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362.31481481481478</v>
      </c>
      <c r="BN207" s="64">
        <f t="shared" si="17"/>
        <v>363.34999999999997</v>
      </c>
      <c r="BO207" s="64">
        <f t="shared" si="18"/>
        <v>0.49102132435465767</v>
      </c>
      <c r="BP207" s="64">
        <f t="shared" si="19"/>
        <v>0.49242424242424243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1">
        <v>4680115882676</v>
      </c>
      <c r="E208" s="562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9"/>
      <c r="R208" s="569"/>
      <c r="S208" s="569"/>
      <c r="T208" s="570"/>
      <c r="U208" s="34"/>
      <c r="V208" s="34"/>
      <c r="W208" s="35" t="s">
        <v>69</v>
      </c>
      <c r="X208" s="553">
        <v>60</v>
      </c>
      <c r="Y208" s="554">
        <f t="shared" si="15"/>
        <v>64.800000000000011</v>
      </c>
      <c r="Z208" s="36">
        <f>IFERROR(IF(Y208=0,"",ROUNDUP(Y208/H208,0)*0.00902),"")</f>
        <v>0.10824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62.1111111111111</v>
      </c>
      <c r="BN208" s="64">
        <f t="shared" si="17"/>
        <v>67.08</v>
      </c>
      <c r="BO208" s="64">
        <f t="shared" si="18"/>
        <v>8.4175084175084181E-2</v>
      </c>
      <c r="BP208" s="64">
        <f t="shared" si="19"/>
        <v>9.0909090909090925E-2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1">
        <v>4680115884014</v>
      </c>
      <c r="E209" s="562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9"/>
      <c r="R209" s="569"/>
      <c r="S209" s="569"/>
      <c r="T209" s="570"/>
      <c r="U209" s="34"/>
      <c r="V209" s="34"/>
      <c r="W209" s="35" t="s">
        <v>69</v>
      </c>
      <c r="X209" s="553">
        <v>90</v>
      </c>
      <c r="Y209" s="554">
        <f t="shared" si="15"/>
        <v>90</v>
      </c>
      <c r="Z209" s="36">
        <f>IFERROR(IF(Y209=0,"",ROUNDUP(Y209/H209,0)*0.00502),"")</f>
        <v>0.251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96.499999999999986</v>
      </c>
      <c r="BN209" s="64">
        <f t="shared" si="17"/>
        <v>96.499999999999986</v>
      </c>
      <c r="BO209" s="64">
        <f t="shared" si="18"/>
        <v>0.21367521367521369</v>
      </c>
      <c r="BP209" s="64">
        <f t="shared" si="19"/>
        <v>0.21367521367521369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1">
        <v>4680115884007</v>
      </c>
      <c r="E210" s="562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9"/>
      <c r="R210" s="569"/>
      <c r="S210" s="569"/>
      <c r="T210" s="570"/>
      <c r="U210" s="34"/>
      <c r="V210" s="34"/>
      <c r="W210" s="35" t="s">
        <v>69</v>
      </c>
      <c r="X210" s="553">
        <v>45</v>
      </c>
      <c r="Y210" s="554">
        <f t="shared" si="15"/>
        <v>45</v>
      </c>
      <c r="Z210" s="36">
        <f>IFERROR(IF(Y210=0,"",ROUNDUP(Y210/H210,0)*0.00502),"")</f>
        <v>0.1255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47.5</v>
      </c>
      <c r="BN210" s="64">
        <f t="shared" si="17"/>
        <v>47.5</v>
      </c>
      <c r="BO210" s="64">
        <f t="shared" si="18"/>
        <v>0.10683760683760685</v>
      </c>
      <c r="BP210" s="64">
        <f t="shared" si="19"/>
        <v>0.10683760683760685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1">
        <v>4680115884038</v>
      </c>
      <c r="E211" s="562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81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9"/>
      <c r="R211" s="569"/>
      <c r="S211" s="569"/>
      <c r="T211" s="570"/>
      <c r="U211" s="34"/>
      <c r="V211" s="34"/>
      <c r="W211" s="35" t="s">
        <v>69</v>
      </c>
      <c r="X211" s="553">
        <v>60</v>
      </c>
      <c r="Y211" s="554">
        <f t="shared" si="15"/>
        <v>61.2</v>
      </c>
      <c r="Z211" s="36">
        <f>IFERROR(IF(Y211=0,"",ROUNDUP(Y211/H211,0)*0.00502),"")</f>
        <v>0.17068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63.333333333333329</v>
      </c>
      <c r="BN211" s="64">
        <f t="shared" si="17"/>
        <v>64.599999999999994</v>
      </c>
      <c r="BO211" s="64">
        <f t="shared" si="18"/>
        <v>0.14245014245014248</v>
      </c>
      <c r="BP211" s="64">
        <f t="shared" si="19"/>
        <v>0.14529914529914531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1">
        <v>4680115884021</v>
      </c>
      <c r="E212" s="562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6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9"/>
      <c r="R212" s="569"/>
      <c r="S212" s="569"/>
      <c r="T212" s="570"/>
      <c r="U212" s="34"/>
      <c r="V212" s="34"/>
      <c r="W212" s="35" t="s">
        <v>69</v>
      </c>
      <c r="X212" s="553">
        <v>54</v>
      </c>
      <c r="Y212" s="554">
        <f t="shared" si="15"/>
        <v>54</v>
      </c>
      <c r="Z212" s="36">
        <f>IFERROR(IF(Y212=0,"",ROUNDUP(Y212/H212,0)*0.00502),"")</f>
        <v>0.15060000000000001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56.999999999999993</v>
      </c>
      <c r="BN212" s="64">
        <f t="shared" si="17"/>
        <v>56.999999999999993</v>
      </c>
      <c r="BO212" s="64">
        <f t="shared" si="18"/>
        <v>0.12820512820512822</v>
      </c>
      <c r="BP212" s="64">
        <f t="shared" si="19"/>
        <v>0.12820512820512822</v>
      </c>
    </row>
    <row r="213" spans="1:68" x14ac:dyDescent="0.2">
      <c r="A213" s="566"/>
      <c r="B213" s="560"/>
      <c r="C213" s="560"/>
      <c r="D213" s="560"/>
      <c r="E213" s="560"/>
      <c r="F213" s="560"/>
      <c r="G213" s="560"/>
      <c r="H213" s="560"/>
      <c r="I213" s="560"/>
      <c r="J213" s="560"/>
      <c r="K213" s="560"/>
      <c r="L213" s="560"/>
      <c r="M213" s="560"/>
      <c r="N213" s="560"/>
      <c r="O213" s="567"/>
      <c r="P213" s="563" t="s">
        <v>75</v>
      </c>
      <c r="Q213" s="564"/>
      <c r="R213" s="564"/>
      <c r="S213" s="564"/>
      <c r="T213" s="564"/>
      <c r="U213" s="564"/>
      <c r="V213" s="565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245.74074074074073</v>
      </c>
      <c r="Y213" s="555">
        <f>IFERROR(Y205/H205,"0")+IFERROR(Y206/H206,"0")+IFERROR(Y207/H207,"0")+IFERROR(Y208/H208,"0")+IFERROR(Y209/H209,"0")+IFERROR(Y210/H210,"0")+IFERROR(Y211/H211,"0")+IFERROR(Y212/H212,"0")</f>
        <v>249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1.68998</v>
      </c>
      <c r="AA213" s="556"/>
      <c r="AB213" s="556"/>
      <c r="AC213" s="556"/>
    </row>
    <row r="214" spans="1:68" x14ac:dyDescent="0.2">
      <c r="A214" s="560"/>
      <c r="B214" s="560"/>
      <c r="C214" s="560"/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7"/>
      <c r="P214" s="563" t="s">
        <v>75</v>
      </c>
      <c r="Q214" s="564"/>
      <c r="R214" s="564"/>
      <c r="S214" s="564"/>
      <c r="T214" s="564"/>
      <c r="U214" s="564"/>
      <c r="V214" s="565"/>
      <c r="W214" s="37" t="s">
        <v>69</v>
      </c>
      <c r="X214" s="555">
        <f>IFERROR(SUM(X205:X212),"0")</f>
        <v>829</v>
      </c>
      <c r="Y214" s="555">
        <f>IFERROR(SUM(Y205:Y212),"0")</f>
        <v>844.2</v>
      </c>
      <c r="Z214" s="37"/>
      <c r="AA214" s="556"/>
      <c r="AB214" s="556"/>
      <c r="AC214" s="556"/>
    </row>
    <row r="215" spans="1:68" ht="14.25" hidden="1" customHeight="1" x14ac:dyDescent="0.25">
      <c r="A215" s="559" t="s">
        <v>77</v>
      </c>
      <c r="B215" s="560"/>
      <c r="C215" s="560"/>
      <c r="D215" s="560"/>
      <c r="E215" s="560"/>
      <c r="F215" s="560"/>
      <c r="G215" s="560"/>
      <c r="H215" s="560"/>
      <c r="I215" s="560"/>
      <c r="J215" s="560"/>
      <c r="K215" s="560"/>
      <c r="L215" s="560"/>
      <c r="M215" s="560"/>
      <c r="N215" s="560"/>
      <c r="O215" s="560"/>
      <c r="P215" s="560"/>
      <c r="Q215" s="560"/>
      <c r="R215" s="560"/>
      <c r="S215" s="560"/>
      <c r="T215" s="560"/>
      <c r="U215" s="560"/>
      <c r="V215" s="560"/>
      <c r="W215" s="560"/>
      <c r="X215" s="560"/>
      <c r="Y215" s="560"/>
      <c r="Z215" s="560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1">
        <v>4680115881594</v>
      </c>
      <c r="E216" s="562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9"/>
      <c r="R216" s="569"/>
      <c r="S216" s="569"/>
      <c r="T216" s="570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1">
        <v>4680115881617</v>
      </c>
      <c r="E217" s="562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9"/>
      <c r="R217" s="569"/>
      <c r="S217" s="569"/>
      <c r="T217" s="570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1">
        <v>4680115880573</v>
      </c>
      <c r="E218" s="562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5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9"/>
      <c r="R218" s="569"/>
      <c r="S218" s="569"/>
      <c r="T218" s="570"/>
      <c r="U218" s="34"/>
      <c r="V218" s="34"/>
      <c r="W218" s="35" t="s">
        <v>69</v>
      </c>
      <c r="X218" s="553">
        <v>50</v>
      </c>
      <c r="Y218" s="554">
        <f t="shared" si="20"/>
        <v>52.199999999999996</v>
      </c>
      <c r="Z218" s="36">
        <f>IFERROR(IF(Y218=0,"",ROUNDUP(Y218/H218,0)*0.01898),"")</f>
        <v>0.11388000000000001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52.839080459770123</v>
      </c>
      <c r="BN218" s="64">
        <f t="shared" si="22"/>
        <v>55.164000000000009</v>
      </c>
      <c r="BO218" s="64">
        <f t="shared" si="23"/>
        <v>8.9798850574712652E-2</v>
      </c>
      <c r="BP218" s="64">
        <f t="shared" si="24"/>
        <v>9.375E-2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1">
        <v>4680115882195</v>
      </c>
      <c r="E219" s="562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9"/>
      <c r="R219" s="569"/>
      <c r="S219" s="569"/>
      <c r="T219" s="570"/>
      <c r="U219" s="34"/>
      <c r="V219" s="34"/>
      <c r="W219" s="35" t="s">
        <v>69</v>
      </c>
      <c r="X219" s="553">
        <v>200</v>
      </c>
      <c r="Y219" s="554">
        <f t="shared" si="20"/>
        <v>201.6</v>
      </c>
      <c r="Z219" s="36">
        <f t="shared" ref="Z219:Z224" si="25">IFERROR(IF(Y219=0,"",ROUNDUP(Y219/H219,0)*0.00651),"")</f>
        <v>0.54683999999999999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222.5</v>
      </c>
      <c r="BN219" s="64">
        <f t="shared" si="22"/>
        <v>224.27999999999997</v>
      </c>
      <c r="BO219" s="64">
        <f t="shared" si="23"/>
        <v>0.45787545787545797</v>
      </c>
      <c r="BP219" s="64">
        <f t="shared" si="24"/>
        <v>0.46153846153846156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1">
        <v>4680115882607</v>
      </c>
      <c r="E220" s="562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8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9"/>
      <c r="R220" s="569"/>
      <c r="S220" s="569"/>
      <c r="T220" s="570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1">
        <v>4680115880092</v>
      </c>
      <c r="E221" s="562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8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9"/>
      <c r="R221" s="569"/>
      <c r="S221" s="569"/>
      <c r="T221" s="570"/>
      <c r="U221" s="34"/>
      <c r="V221" s="34"/>
      <c r="W221" s="35" t="s">
        <v>69</v>
      </c>
      <c r="X221" s="553">
        <v>160</v>
      </c>
      <c r="Y221" s="554">
        <f t="shared" si="20"/>
        <v>160.79999999999998</v>
      </c>
      <c r="Z221" s="36">
        <f t="shared" si="25"/>
        <v>0.43617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176.80000000000004</v>
      </c>
      <c r="BN221" s="64">
        <f t="shared" si="22"/>
        <v>177.684</v>
      </c>
      <c r="BO221" s="64">
        <f t="shared" si="23"/>
        <v>0.36630036630036633</v>
      </c>
      <c r="BP221" s="64">
        <f t="shared" si="24"/>
        <v>0.36813186813186816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1">
        <v>4680115880221</v>
      </c>
      <c r="E222" s="562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6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9"/>
      <c r="R222" s="569"/>
      <c r="S222" s="569"/>
      <c r="T222" s="570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1">
        <v>4680115880504</v>
      </c>
      <c r="E223" s="562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9"/>
      <c r="R223" s="569"/>
      <c r="S223" s="569"/>
      <c r="T223" s="570"/>
      <c r="U223" s="34"/>
      <c r="V223" s="34"/>
      <c r="W223" s="35" t="s">
        <v>69</v>
      </c>
      <c r="X223" s="553">
        <v>60</v>
      </c>
      <c r="Y223" s="554">
        <f t="shared" si="20"/>
        <v>60</v>
      </c>
      <c r="Z223" s="36">
        <f t="shared" si="25"/>
        <v>0.16275000000000001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66.300000000000011</v>
      </c>
      <c r="BN223" s="64">
        <f t="shared" si="22"/>
        <v>66.300000000000011</v>
      </c>
      <c r="BO223" s="64">
        <f t="shared" si="23"/>
        <v>0.13736263736263737</v>
      </c>
      <c r="BP223" s="64">
        <f t="shared" si="24"/>
        <v>0.13736263736263737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1">
        <v>4680115882164</v>
      </c>
      <c r="E224" s="562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81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9"/>
      <c r="R224" s="569"/>
      <c r="S224" s="569"/>
      <c r="T224" s="570"/>
      <c r="U224" s="34"/>
      <c r="V224" s="34"/>
      <c r="W224" s="35" t="s">
        <v>69</v>
      </c>
      <c r="X224" s="553">
        <v>160</v>
      </c>
      <c r="Y224" s="554">
        <f t="shared" si="20"/>
        <v>160.79999999999998</v>
      </c>
      <c r="Z224" s="36">
        <f t="shared" si="25"/>
        <v>0.43617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177.2</v>
      </c>
      <c r="BN224" s="64">
        <f t="shared" si="22"/>
        <v>178.08599999999998</v>
      </c>
      <c r="BO224" s="64">
        <f t="shared" si="23"/>
        <v>0.36630036630036633</v>
      </c>
      <c r="BP224" s="64">
        <f t="shared" si="24"/>
        <v>0.36813186813186816</v>
      </c>
    </row>
    <row r="225" spans="1:68" x14ac:dyDescent="0.2">
      <c r="A225" s="566"/>
      <c r="B225" s="560"/>
      <c r="C225" s="560"/>
      <c r="D225" s="560"/>
      <c r="E225" s="560"/>
      <c r="F225" s="560"/>
      <c r="G225" s="560"/>
      <c r="H225" s="560"/>
      <c r="I225" s="560"/>
      <c r="J225" s="560"/>
      <c r="K225" s="560"/>
      <c r="L225" s="560"/>
      <c r="M225" s="560"/>
      <c r="N225" s="560"/>
      <c r="O225" s="567"/>
      <c r="P225" s="563" t="s">
        <v>75</v>
      </c>
      <c r="Q225" s="564"/>
      <c r="R225" s="564"/>
      <c r="S225" s="564"/>
      <c r="T225" s="564"/>
      <c r="U225" s="564"/>
      <c r="V225" s="565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247.41379310344831</v>
      </c>
      <c r="Y225" s="555">
        <f>IFERROR(Y216/H216,"0")+IFERROR(Y217/H217,"0")+IFERROR(Y218/H218,"0")+IFERROR(Y219/H219,"0")+IFERROR(Y220/H220,"0")+IFERROR(Y221/H221,"0")+IFERROR(Y222/H222,"0")+IFERROR(Y223/H223,"0")+IFERROR(Y224/H224,"0")</f>
        <v>249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1.6958099999999998</v>
      </c>
      <c r="AA225" s="556"/>
      <c r="AB225" s="556"/>
      <c r="AC225" s="556"/>
    </row>
    <row r="226" spans="1:68" x14ac:dyDescent="0.2">
      <c r="A226" s="560"/>
      <c r="B226" s="560"/>
      <c r="C226" s="560"/>
      <c r="D226" s="560"/>
      <c r="E226" s="560"/>
      <c r="F226" s="560"/>
      <c r="G226" s="560"/>
      <c r="H226" s="560"/>
      <c r="I226" s="560"/>
      <c r="J226" s="560"/>
      <c r="K226" s="560"/>
      <c r="L226" s="560"/>
      <c r="M226" s="560"/>
      <c r="N226" s="560"/>
      <c r="O226" s="567"/>
      <c r="P226" s="563" t="s">
        <v>75</v>
      </c>
      <c r="Q226" s="564"/>
      <c r="R226" s="564"/>
      <c r="S226" s="564"/>
      <c r="T226" s="564"/>
      <c r="U226" s="564"/>
      <c r="V226" s="565"/>
      <c r="W226" s="37" t="s">
        <v>69</v>
      </c>
      <c r="X226" s="555">
        <f>IFERROR(SUM(X216:X224),"0")</f>
        <v>630</v>
      </c>
      <c r="Y226" s="555">
        <f>IFERROR(SUM(Y216:Y224),"0")</f>
        <v>635.4</v>
      </c>
      <c r="Z226" s="37"/>
      <c r="AA226" s="556"/>
      <c r="AB226" s="556"/>
      <c r="AC226" s="556"/>
    </row>
    <row r="227" spans="1:68" ht="14.25" hidden="1" customHeight="1" x14ac:dyDescent="0.25">
      <c r="A227" s="559" t="s">
        <v>162</v>
      </c>
      <c r="B227" s="560"/>
      <c r="C227" s="560"/>
      <c r="D227" s="560"/>
      <c r="E227" s="560"/>
      <c r="F227" s="560"/>
      <c r="G227" s="560"/>
      <c r="H227" s="560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1">
        <v>4680115880818</v>
      </c>
      <c r="E228" s="562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6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9"/>
      <c r="R228" s="569"/>
      <c r="S228" s="569"/>
      <c r="T228" s="570"/>
      <c r="U228" s="34"/>
      <c r="V228" s="34"/>
      <c r="W228" s="35" t="s">
        <v>69</v>
      </c>
      <c r="X228" s="553">
        <v>36</v>
      </c>
      <c r="Y228" s="554">
        <f>IFERROR(IF(X228="",0,CEILING((X228/$H228),1)*$H228),"")</f>
        <v>36</v>
      </c>
      <c r="Z228" s="36">
        <f>IFERROR(IF(Y228=0,"",ROUNDUP(Y228/H228,0)*0.00651),"")</f>
        <v>9.7650000000000001E-2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39.780000000000008</v>
      </c>
      <c r="BN228" s="64">
        <f>IFERROR(Y228*I228/H228,"0")</f>
        <v>39.780000000000008</v>
      </c>
      <c r="BO228" s="64">
        <f>IFERROR(1/J228*(X228/H228),"0")</f>
        <v>8.241758241758243E-2</v>
      </c>
      <c r="BP228" s="64">
        <f>IFERROR(1/J228*(Y228/H228),"0")</f>
        <v>8.241758241758243E-2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1">
        <v>4680115880801</v>
      </c>
      <c r="E229" s="562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1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9"/>
      <c r="R229" s="569"/>
      <c r="S229" s="569"/>
      <c r="T229" s="570"/>
      <c r="U229" s="34"/>
      <c r="V229" s="34"/>
      <c r="W229" s="35" t="s">
        <v>69</v>
      </c>
      <c r="X229" s="553">
        <v>36</v>
      </c>
      <c r="Y229" s="554">
        <f>IFERROR(IF(X229="",0,CEILING((X229/$H229),1)*$H229),"")</f>
        <v>36</v>
      </c>
      <c r="Z229" s="36">
        <f>IFERROR(IF(Y229=0,"",ROUNDUP(Y229/H229,0)*0.00651),"")</f>
        <v>9.7650000000000001E-2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39.780000000000008</v>
      </c>
      <c r="BN229" s="64">
        <f>IFERROR(Y229*I229/H229,"0")</f>
        <v>39.780000000000008</v>
      </c>
      <c r="BO229" s="64">
        <f>IFERROR(1/J229*(X229/H229),"0")</f>
        <v>8.241758241758243E-2</v>
      </c>
      <c r="BP229" s="64">
        <f>IFERROR(1/J229*(Y229/H229),"0")</f>
        <v>8.241758241758243E-2</v>
      </c>
    </row>
    <row r="230" spans="1:68" x14ac:dyDescent="0.2">
      <c r="A230" s="566"/>
      <c r="B230" s="560"/>
      <c r="C230" s="560"/>
      <c r="D230" s="560"/>
      <c r="E230" s="560"/>
      <c r="F230" s="560"/>
      <c r="G230" s="560"/>
      <c r="H230" s="560"/>
      <c r="I230" s="560"/>
      <c r="J230" s="560"/>
      <c r="K230" s="560"/>
      <c r="L230" s="560"/>
      <c r="M230" s="560"/>
      <c r="N230" s="560"/>
      <c r="O230" s="567"/>
      <c r="P230" s="563" t="s">
        <v>75</v>
      </c>
      <c r="Q230" s="564"/>
      <c r="R230" s="564"/>
      <c r="S230" s="564"/>
      <c r="T230" s="564"/>
      <c r="U230" s="564"/>
      <c r="V230" s="565"/>
      <c r="W230" s="37" t="s">
        <v>76</v>
      </c>
      <c r="X230" s="555">
        <f>IFERROR(X228/H228,"0")+IFERROR(X229/H229,"0")</f>
        <v>30</v>
      </c>
      <c r="Y230" s="555">
        <f>IFERROR(Y228/H228,"0")+IFERROR(Y229/H229,"0")</f>
        <v>30</v>
      </c>
      <c r="Z230" s="555">
        <f>IFERROR(IF(Z228="",0,Z228),"0")+IFERROR(IF(Z229="",0,Z229),"0")</f>
        <v>0.1953</v>
      </c>
      <c r="AA230" s="556"/>
      <c r="AB230" s="556"/>
      <c r="AC230" s="556"/>
    </row>
    <row r="231" spans="1:68" x14ac:dyDescent="0.2">
      <c r="A231" s="560"/>
      <c r="B231" s="560"/>
      <c r="C231" s="560"/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7"/>
      <c r="P231" s="563" t="s">
        <v>75</v>
      </c>
      <c r="Q231" s="564"/>
      <c r="R231" s="564"/>
      <c r="S231" s="564"/>
      <c r="T231" s="564"/>
      <c r="U231" s="564"/>
      <c r="V231" s="565"/>
      <c r="W231" s="37" t="s">
        <v>69</v>
      </c>
      <c r="X231" s="555">
        <f>IFERROR(SUM(X228:X229),"0")</f>
        <v>72</v>
      </c>
      <c r="Y231" s="555">
        <f>IFERROR(SUM(Y228:Y229),"0")</f>
        <v>72</v>
      </c>
      <c r="Z231" s="37"/>
      <c r="AA231" s="556"/>
      <c r="AB231" s="556"/>
      <c r="AC231" s="556"/>
    </row>
    <row r="232" spans="1:68" ht="16.5" hidden="1" customHeight="1" x14ac:dyDescent="0.25">
      <c r="A232" s="592" t="s">
        <v>387</v>
      </c>
      <c r="B232" s="560"/>
      <c r="C232" s="560"/>
      <c r="D232" s="560"/>
      <c r="E232" s="560"/>
      <c r="F232" s="560"/>
      <c r="G232" s="560"/>
      <c r="H232" s="560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48"/>
      <c r="AB232" s="548"/>
      <c r="AC232" s="548"/>
    </row>
    <row r="233" spans="1:68" ht="14.25" hidden="1" customHeight="1" x14ac:dyDescent="0.25">
      <c r="A233" s="559" t="s">
        <v>101</v>
      </c>
      <c r="B233" s="560"/>
      <c r="C233" s="560"/>
      <c r="D233" s="560"/>
      <c r="E233" s="560"/>
      <c r="F233" s="560"/>
      <c r="G233" s="560"/>
      <c r="H233" s="560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1">
        <v>4680115884137</v>
      </c>
      <c r="E234" s="562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7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9"/>
      <c r="R234" s="569"/>
      <c r="S234" s="569"/>
      <c r="T234" s="570"/>
      <c r="U234" s="34"/>
      <c r="V234" s="34"/>
      <c r="W234" s="35" t="s">
        <v>69</v>
      </c>
      <c r="X234" s="553">
        <v>10</v>
      </c>
      <c r="Y234" s="554">
        <f t="shared" ref="Y234:Y242" si="26">IFERROR(IF(X234="",0,CEILING((X234/$H234),1)*$H234),"")</f>
        <v>11.6</v>
      </c>
      <c r="Z234" s="36">
        <f>IFERROR(IF(Y234=0,"",ROUNDUP(Y234/H234,0)*0.01898),"")</f>
        <v>1.898E-2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10.353448275862069</v>
      </c>
      <c r="BN234" s="64">
        <f t="shared" ref="BN234:BN242" si="28">IFERROR(Y234*I234/H234,"0")</f>
        <v>12.01</v>
      </c>
      <c r="BO234" s="64">
        <f t="shared" ref="BO234:BO242" si="29">IFERROR(1/J234*(X234/H234),"0")</f>
        <v>1.3469827586206897E-2</v>
      </c>
      <c r="BP234" s="64">
        <f t="shared" ref="BP234:BP242" si="30">IFERROR(1/J234*(Y234/H234),"0")</f>
        <v>1.5625E-2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1">
        <v>4680115884236</v>
      </c>
      <c r="E235" s="562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9"/>
      <c r="R235" s="569"/>
      <c r="S235" s="569"/>
      <c r="T235" s="570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1">
        <v>4680115884175</v>
      </c>
      <c r="E236" s="562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8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9"/>
      <c r="R236" s="569"/>
      <c r="S236" s="569"/>
      <c r="T236" s="570"/>
      <c r="U236" s="34"/>
      <c r="V236" s="34"/>
      <c r="W236" s="35" t="s">
        <v>69</v>
      </c>
      <c r="X236" s="553">
        <v>50</v>
      </c>
      <c r="Y236" s="554">
        <f t="shared" si="26"/>
        <v>58</v>
      </c>
      <c r="Z236" s="36">
        <f>IFERROR(IF(Y236=0,"",ROUNDUP(Y236/H236,0)*0.01898),"")</f>
        <v>9.4899999999999998E-2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51.767241379310349</v>
      </c>
      <c r="BN236" s="64">
        <f t="shared" si="28"/>
        <v>60.050000000000004</v>
      </c>
      <c r="BO236" s="64">
        <f t="shared" si="29"/>
        <v>6.7349137931034489E-2</v>
      </c>
      <c r="BP236" s="64">
        <f t="shared" si="30"/>
        <v>7.8125E-2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1">
        <v>4680115884144</v>
      </c>
      <c r="E237" s="562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9"/>
      <c r="R237" s="569"/>
      <c r="S237" s="569"/>
      <c r="T237" s="570"/>
      <c r="U237" s="34"/>
      <c r="V237" s="34"/>
      <c r="W237" s="35" t="s">
        <v>69</v>
      </c>
      <c r="X237" s="553">
        <v>24</v>
      </c>
      <c r="Y237" s="554">
        <f t="shared" si="26"/>
        <v>24</v>
      </c>
      <c r="Z237" s="36">
        <f>IFERROR(IF(Y237=0,"",ROUNDUP(Y237/H237,0)*0.00902),"")</f>
        <v>5.4120000000000001E-2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25.14</v>
      </c>
      <c r="BN237" s="64">
        <f t="shared" si="28"/>
        <v>25.14</v>
      </c>
      <c r="BO237" s="64">
        <f t="shared" si="29"/>
        <v>4.5454545454545456E-2</v>
      </c>
      <c r="BP237" s="64">
        <f t="shared" si="30"/>
        <v>4.5454545454545456E-2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1">
        <v>4680115884144</v>
      </c>
      <c r="E238" s="562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1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9"/>
      <c r="R238" s="569"/>
      <c r="S238" s="569"/>
      <c r="T238" s="570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1">
        <v>4680115886551</v>
      </c>
      <c r="E239" s="562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7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9"/>
      <c r="R239" s="569"/>
      <c r="S239" s="569"/>
      <c r="T239" s="570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1">
        <v>4680115887282</v>
      </c>
      <c r="E240" s="562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82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9"/>
      <c r="R240" s="569"/>
      <c r="S240" s="569"/>
      <c r="T240" s="570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1">
        <v>4680115884205</v>
      </c>
      <c r="E241" s="562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6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9"/>
      <c r="R241" s="569"/>
      <c r="S241" s="569"/>
      <c r="T241" s="570"/>
      <c r="U241" s="34"/>
      <c r="V241" s="34"/>
      <c r="W241" s="35" t="s">
        <v>69</v>
      </c>
      <c r="X241" s="553">
        <v>28</v>
      </c>
      <c r="Y241" s="554">
        <f t="shared" si="26"/>
        <v>28</v>
      </c>
      <c r="Z241" s="36">
        <f>IFERROR(IF(Y241=0,"",ROUNDUP(Y241/H241,0)*0.00902),"")</f>
        <v>6.3140000000000002E-2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29.330000000000002</v>
      </c>
      <c r="BN241" s="64">
        <f t="shared" si="28"/>
        <v>29.330000000000002</v>
      </c>
      <c r="BO241" s="64">
        <f t="shared" si="29"/>
        <v>5.3030303030303032E-2</v>
      </c>
      <c r="BP241" s="64">
        <f t="shared" si="30"/>
        <v>5.3030303030303032E-2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1">
        <v>4680115884205</v>
      </c>
      <c r="E242" s="562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8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9"/>
      <c r="R242" s="569"/>
      <c r="S242" s="569"/>
      <c r="T242" s="570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6"/>
      <c r="B243" s="560"/>
      <c r="C243" s="560"/>
      <c r="D243" s="560"/>
      <c r="E243" s="560"/>
      <c r="F243" s="560"/>
      <c r="G243" s="560"/>
      <c r="H243" s="560"/>
      <c r="I243" s="560"/>
      <c r="J243" s="560"/>
      <c r="K243" s="560"/>
      <c r="L243" s="560"/>
      <c r="M243" s="560"/>
      <c r="N243" s="560"/>
      <c r="O243" s="567"/>
      <c r="P243" s="563" t="s">
        <v>75</v>
      </c>
      <c r="Q243" s="564"/>
      <c r="R243" s="564"/>
      <c r="S243" s="564"/>
      <c r="T243" s="564"/>
      <c r="U243" s="564"/>
      <c r="V243" s="565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18.172413793103448</v>
      </c>
      <c r="Y243" s="555">
        <f>IFERROR(Y234/H234,"0")+IFERROR(Y235/H235,"0")+IFERROR(Y236/H236,"0")+IFERROR(Y237/H237,"0")+IFERROR(Y238/H238,"0")+IFERROR(Y239/H239,"0")+IFERROR(Y240/H240,"0")+IFERROR(Y241/H241,"0")+IFERROR(Y242/H242,"0")</f>
        <v>19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0.23113999999999998</v>
      </c>
      <c r="AA243" s="556"/>
      <c r="AB243" s="556"/>
      <c r="AC243" s="556"/>
    </row>
    <row r="244" spans="1:68" x14ac:dyDescent="0.2">
      <c r="A244" s="560"/>
      <c r="B244" s="560"/>
      <c r="C244" s="560"/>
      <c r="D244" s="560"/>
      <c r="E244" s="560"/>
      <c r="F244" s="560"/>
      <c r="G244" s="560"/>
      <c r="H244" s="560"/>
      <c r="I244" s="560"/>
      <c r="J244" s="560"/>
      <c r="K244" s="560"/>
      <c r="L244" s="560"/>
      <c r="M244" s="560"/>
      <c r="N244" s="560"/>
      <c r="O244" s="567"/>
      <c r="P244" s="563" t="s">
        <v>75</v>
      </c>
      <c r="Q244" s="564"/>
      <c r="R244" s="564"/>
      <c r="S244" s="564"/>
      <c r="T244" s="564"/>
      <c r="U244" s="564"/>
      <c r="V244" s="565"/>
      <c r="W244" s="37" t="s">
        <v>69</v>
      </c>
      <c r="X244" s="555">
        <f>IFERROR(SUM(X234:X242),"0")</f>
        <v>112</v>
      </c>
      <c r="Y244" s="555">
        <f>IFERROR(SUM(Y234:Y242),"0")</f>
        <v>121.6</v>
      </c>
      <c r="Z244" s="37"/>
      <c r="AA244" s="556"/>
      <c r="AB244" s="556"/>
      <c r="AC244" s="556"/>
    </row>
    <row r="245" spans="1:68" ht="14.25" hidden="1" customHeight="1" x14ac:dyDescent="0.25">
      <c r="A245" s="559" t="s">
        <v>137</v>
      </c>
      <c r="B245" s="560"/>
      <c r="C245" s="560"/>
      <c r="D245" s="560"/>
      <c r="E245" s="560"/>
      <c r="F245" s="560"/>
      <c r="G245" s="560"/>
      <c r="H245" s="560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1">
        <v>4680115885981</v>
      </c>
      <c r="E246" s="562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9"/>
      <c r="R246" s="569"/>
      <c r="S246" s="569"/>
      <c r="T246" s="570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6"/>
      <c r="B247" s="560"/>
      <c r="C247" s="560"/>
      <c r="D247" s="560"/>
      <c r="E247" s="560"/>
      <c r="F247" s="560"/>
      <c r="G247" s="560"/>
      <c r="H247" s="560"/>
      <c r="I247" s="560"/>
      <c r="J247" s="560"/>
      <c r="K247" s="560"/>
      <c r="L247" s="560"/>
      <c r="M247" s="560"/>
      <c r="N247" s="560"/>
      <c r="O247" s="567"/>
      <c r="P247" s="563" t="s">
        <v>75</v>
      </c>
      <c r="Q247" s="564"/>
      <c r="R247" s="564"/>
      <c r="S247" s="564"/>
      <c r="T247" s="564"/>
      <c r="U247" s="564"/>
      <c r="V247" s="565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0"/>
      <c r="B248" s="560"/>
      <c r="C248" s="560"/>
      <c r="D248" s="560"/>
      <c r="E248" s="560"/>
      <c r="F248" s="560"/>
      <c r="G248" s="560"/>
      <c r="H248" s="560"/>
      <c r="I248" s="560"/>
      <c r="J248" s="560"/>
      <c r="K248" s="560"/>
      <c r="L248" s="560"/>
      <c r="M248" s="560"/>
      <c r="N248" s="560"/>
      <c r="O248" s="567"/>
      <c r="P248" s="563" t="s">
        <v>75</v>
      </c>
      <c r="Q248" s="564"/>
      <c r="R248" s="564"/>
      <c r="S248" s="564"/>
      <c r="T248" s="564"/>
      <c r="U248" s="564"/>
      <c r="V248" s="565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59" t="s">
        <v>412</v>
      </c>
      <c r="B249" s="560"/>
      <c r="C249" s="560"/>
      <c r="D249" s="560"/>
      <c r="E249" s="560"/>
      <c r="F249" s="560"/>
      <c r="G249" s="560"/>
      <c r="H249" s="560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1">
        <v>4680115886803</v>
      </c>
      <c r="E250" s="562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7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9"/>
      <c r="R250" s="569"/>
      <c r="S250" s="569"/>
      <c r="T250" s="570"/>
      <c r="U250" s="34"/>
      <c r="V250" s="34"/>
      <c r="W250" s="35" t="s">
        <v>69</v>
      </c>
      <c r="X250" s="553">
        <v>6</v>
      </c>
      <c r="Y250" s="554">
        <f>IFERROR(IF(X250="",0,CEILING((X250/$H250),1)*$H250),"")</f>
        <v>7.2</v>
      </c>
      <c r="Z250" s="36">
        <f>IFERROR(IF(Y250=0,"",ROUNDUP(Y250/H250,0)*0.0059),"")</f>
        <v>2.3599999999999999E-2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6.5833333333333339</v>
      </c>
      <c r="BN250" s="64">
        <f>IFERROR(Y250*I250/H250,"0")</f>
        <v>7.9</v>
      </c>
      <c r="BO250" s="64">
        <f>IFERROR(1/J250*(X250/H250),"0")</f>
        <v>1.5432098765432096E-2</v>
      </c>
      <c r="BP250" s="64">
        <f>IFERROR(1/J250*(Y250/H250),"0")</f>
        <v>1.8518518518518517E-2</v>
      </c>
    </row>
    <row r="251" spans="1:68" x14ac:dyDescent="0.2">
      <c r="A251" s="566"/>
      <c r="B251" s="560"/>
      <c r="C251" s="560"/>
      <c r="D251" s="560"/>
      <c r="E251" s="560"/>
      <c r="F251" s="560"/>
      <c r="G251" s="560"/>
      <c r="H251" s="560"/>
      <c r="I251" s="560"/>
      <c r="J251" s="560"/>
      <c r="K251" s="560"/>
      <c r="L251" s="560"/>
      <c r="M251" s="560"/>
      <c r="N251" s="560"/>
      <c r="O251" s="567"/>
      <c r="P251" s="563" t="s">
        <v>75</v>
      </c>
      <c r="Q251" s="564"/>
      <c r="R251" s="564"/>
      <c r="S251" s="564"/>
      <c r="T251" s="564"/>
      <c r="U251" s="564"/>
      <c r="V251" s="565"/>
      <c r="W251" s="37" t="s">
        <v>76</v>
      </c>
      <c r="X251" s="555">
        <f>IFERROR(X250/H250,"0")</f>
        <v>3.333333333333333</v>
      </c>
      <c r="Y251" s="555">
        <f>IFERROR(Y250/H250,"0")</f>
        <v>4</v>
      </c>
      <c r="Z251" s="555">
        <f>IFERROR(IF(Z250="",0,Z250),"0")</f>
        <v>2.3599999999999999E-2</v>
      </c>
      <c r="AA251" s="556"/>
      <c r="AB251" s="556"/>
      <c r="AC251" s="556"/>
    </row>
    <row r="252" spans="1:68" x14ac:dyDescent="0.2">
      <c r="A252" s="560"/>
      <c r="B252" s="560"/>
      <c r="C252" s="560"/>
      <c r="D252" s="560"/>
      <c r="E252" s="560"/>
      <c r="F252" s="560"/>
      <c r="G252" s="560"/>
      <c r="H252" s="560"/>
      <c r="I252" s="560"/>
      <c r="J252" s="560"/>
      <c r="K252" s="560"/>
      <c r="L252" s="560"/>
      <c r="M252" s="560"/>
      <c r="N252" s="560"/>
      <c r="O252" s="567"/>
      <c r="P252" s="563" t="s">
        <v>75</v>
      </c>
      <c r="Q252" s="564"/>
      <c r="R252" s="564"/>
      <c r="S252" s="564"/>
      <c r="T252" s="564"/>
      <c r="U252" s="564"/>
      <c r="V252" s="565"/>
      <c r="W252" s="37" t="s">
        <v>69</v>
      </c>
      <c r="X252" s="555">
        <f>IFERROR(SUM(X250:X250),"0")</f>
        <v>6</v>
      </c>
      <c r="Y252" s="555">
        <f>IFERROR(SUM(Y250:Y250),"0")</f>
        <v>7.2</v>
      </c>
      <c r="Z252" s="37"/>
      <c r="AA252" s="556"/>
      <c r="AB252" s="556"/>
      <c r="AC252" s="556"/>
    </row>
    <row r="253" spans="1:68" ht="14.25" hidden="1" customHeight="1" x14ac:dyDescent="0.25">
      <c r="A253" s="559" t="s">
        <v>416</v>
      </c>
      <c r="B253" s="560"/>
      <c r="C253" s="560"/>
      <c r="D253" s="560"/>
      <c r="E253" s="560"/>
      <c r="F253" s="560"/>
      <c r="G253" s="560"/>
      <c r="H253" s="560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1">
        <v>4680115886704</v>
      </c>
      <c r="E254" s="562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6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9"/>
      <c r="R254" s="569"/>
      <c r="S254" s="569"/>
      <c r="T254" s="570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1">
        <v>4680115886681</v>
      </c>
      <c r="E255" s="562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7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9"/>
      <c r="R255" s="569"/>
      <c r="S255" s="569"/>
      <c r="T255" s="570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1">
        <v>4680115886735</v>
      </c>
      <c r="E256" s="562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6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9"/>
      <c r="R256" s="569"/>
      <c r="S256" s="569"/>
      <c r="T256" s="570"/>
      <c r="U256" s="34"/>
      <c r="V256" s="34"/>
      <c r="W256" s="35" t="s">
        <v>69</v>
      </c>
      <c r="X256" s="553">
        <v>2.5</v>
      </c>
      <c r="Y256" s="554">
        <f>IFERROR(IF(X256="",0,CEILING((X256/$H256),1)*$H256),"")</f>
        <v>2.7</v>
      </c>
      <c r="Z256" s="36">
        <f>IFERROR(IF(Y256=0,"",ROUNDUP(Y256/H256,0)*0.0059),"")</f>
        <v>1.77E-2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3.0277777777777777</v>
      </c>
      <c r="BN256" s="64">
        <f>IFERROR(Y256*I256/H256,"0")</f>
        <v>3.2700000000000005</v>
      </c>
      <c r="BO256" s="64">
        <f>IFERROR(1/J256*(X256/H256),"0")</f>
        <v>1.2860082304526748E-2</v>
      </c>
      <c r="BP256" s="64">
        <f>IFERROR(1/J256*(Y256/H256),"0")</f>
        <v>1.3888888888888888E-2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1">
        <v>4680115886728</v>
      </c>
      <c r="E257" s="562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68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9"/>
      <c r="R257" s="569"/>
      <c r="S257" s="569"/>
      <c r="T257" s="570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1">
        <v>4680115886711</v>
      </c>
      <c r="E258" s="562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7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9"/>
      <c r="R258" s="569"/>
      <c r="S258" s="569"/>
      <c r="T258" s="570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60"/>
      <c r="C259" s="560"/>
      <c r="D259" s="560"/>
      <c r="E259" s="560"/>
      <c r="F259" s="560"/>
      <c r="G259" s="560"/>
      <c r="H259" s="560"/>
      <c r="I259" s="560"/>
      <c r="J259" s="560"/>
      <c r="K259" s="560"/>
      <c r="L259" s="560"/>
      <c r="M259" s="560"/>
      <c r="N259" s="560"/>
      <c r="O259" s="567"/>
      <c r="P259" s="563" t="s">
        <v>75</v>
      </c>
      <c r="Q259" s="564"/>
      <c r="R259" s="564"/>
      <c r="S259" s="564"/>
      <c r="T259" s="564"/>
      <c r="U259" s="564"/>
      <c r="V259" s="565"/>
      <c r="W259" s="37" t="s">
        <v>76</v>
      </c>
      <c r="X259" s="555">
        <f>IFERROR(X254/H254,"0")+IFERROR(X255/H255,"0")+IFERROR(X256/H256,"0")+IFERROR(X257/H257,"0")+IFERROR(X258/H258,"0")</f>
        <v>9.4444444444444429</v>
      </c>
      <c r="Y259" s="555">
        <f>IFERROR(Y254/H254,"0")+IFERROR(Y255/H255,"0")+IFERROR(Y256/H256,"0")+IFERROR(Y257/H257,"0")+IFERROR(Y258/H258,"0")</f>
        <v>10</v>
      </c>
      <c r="Z259" s="555">
        <f>IFERROR(IF(Z254="",0,Z254),"0")+IFERROR(IF(Z255="",0,Z255),"0")+IFERROR(IF(Z256="",0,Z256),"0")+IFERROR(IF(Z257="",0,Z257),"0")+IFERROR(IF(Z258="",0,Z258),"0")</f>
        <v>5.8999999999999997E-2</v>
      </c>
      <c r="AA259" s="556"/>
      <c r="AB259" s="556"/>
      <c r="AC259" s="556"/>
    </row>
    <row r="260" spans="1:68" x14ac:dyDescent="0.2">
      <c r="A260" s="560"/>
      <c r="B260" s="560"/>
      <c r="C260" s="560"/>
      <c r="D260" s="560"/>
      <c r="E260" s="560"/>
      <c r="F260" s="560"/>
      <c r="G260" s="560"/>
      <c r="H260" s="560"/>
      <c r="I260" s="560"/>
      <c r="J260" s="560"/>
      <c r="K260" s="560"/>
      <c r="L260" s="560"/>
      <c r="M260" s="560"/>
      <c r="N260" s="560"/>
      <c r="O260" s="567"/>
      <c r="P260" s="563" t="s">
        <v>75</v>
      </c>
      <c r="Q260" s="564"/>
      <c r="R260" s="564"/>
      <c r="S260" s="564"/>
      <c r="T260" s="564"/>
      <c r="U260" s="564"/>
      <c r="V260" s="565"/>
      <c r="W260" s="37" t="s">
        <v>69</v>
      </c>
      <c r="X260" s="555">
        <f>IFERROR(SUM(X254:X258),"0")</f>
        <v>14.5</v>
      </c>
      <c r="Y260" s="555">
        <f>IFERROR(SUM(Y254:Y258),"0")</f>
        <v>15.3</v>
      </c>
      <c r="Z260" s="37"/>
      <c r="AA260" s="556"/>
      <c r="AB260" s="556"/>
      <c r="AC260" s="556"/>
    </row>
    <row r="261" spans="1:68" ht="16.5" hidden="1" customHeight="1" x14ac:dyDescent="0.25">
      <c r="A261" s="592" t="s">
        <v>428</v>
      </c>
      <c r="B261" s="560"/>
      <c r="C261" s="560"/>
      <c r="D261" s="560"/>
      <c r="E261" s="560"/>
      <c r="F261" s="560"/>
      <c r="G261" s="560"/>
      <c r="H261" s="560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48"/>
      <c r="AB261" s="548"/>
      <c r="AC261" s="548"/>
    </row>
    <row r="262" spans="1:68" ht="14.25" hidden="1" customHeight="1" x14ac:dyDescent="0.25">
      <c r="A262" s="559" t="s">
        <v>101</v>
      </c>
      <c r="B262" s="560"/>
      <c r="C262" s="560"/>
      <c r="D262" s="560"/>
      <c r="E262" s="560"/>
      <c r="F262" s="560"/>
      <c r="G262" s="560"/>
      <c r="H262" s="560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1">
        <v>4680115885837</v>
      </c>
      <c r="E263" s="562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6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9"/>
      <c r="R263" s="569"/>
      <c r="S263" s="569"/>
      <c r="T263" s="570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1">
        <v>4680115885851</v>
      </c>
      <c r="E264" s="562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7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9"/>
      <c r="R264" s="569"/>
      <c r="S264" s="569"/>
      <c r="T264" s="570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1">
        <v>4680115885806</v>
      </c>
      <c r="E265" s="562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8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9"/>
      <c r="R265" s="569"/>
      <c r="S265" s="569"/>
      <c r="T265" s="570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1">
        <v>4680115885844</v>
      </c>
      <c r="E266" s="562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83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9"/>
      <c r="R266" s="569"/>
      <c r="S266" s="569"/>
      <c r="T266" s="570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1">
        <v>4680115885820</v>
      </c>
      <c r="E267" s="562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9"/>
      <c r="R267" s="569"/>
      <c r="S267" s="569"/>
      <c r="T267" s="570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6"/>
      <c r="B268" s="560"/>
      <c r="C268" s="560"/>
      <c r="D268" s="560"/>
      <c r="E268" s="560"/>
      <c r="F268" s="560"/>
      <c r="G268" s="560"/>
      <c r="H268" s="560"/>
      <c r="I268" s="560"/>
      <c r="J268" s="560"/>
      <c r="K268" s="560"/>
      <c r="L268" s="560"/>
      <c r="M268" s="560"/>
      <c r="N268" s="560"/>
      <c r="O268" s="567"/>
      <c r="P268" s="563" t="s">
        <v>75</v>
      </c>
      <c r="Q268" s="564"/>
      <c r="R268" s="564"/>
      <c r="S268" s="564"/>
      <c r="T268" s="564"/>
      <c r="U268" s="564"/>
      <c r="V268" s="565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0"/>
      <c r="B269" s="560"/>
      <c r="C269" s="560"/>
      <c r="D269" s="560"/>
      <c r="E269" s="560"/>
      <c r="F269" s="560"/>
      <c r="G269" s="560"/>
      <c r="H269" s="560"/>
      <c r="I269" s="560"/>
      <c r="J269" s="560"/>
      <c r="K269" s="560"/>
      <c r="L269" s="560"/>
      <c r="M269" s="560"/>
      <c r="N269" s="560"/>
      <c r="O269" s="567"/>
      <c r="P269" s="563" t="s">
        <v>75</v>
      </c>
      <c r="Q269" s="564"/>
      <c r="R269" s="564"/>
      <c r="S269" s="564"/>
      <c r="T269" s="564"/>
      <c r="U269" s="564"/>
      <c r="V269" s="565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92" t="s">
        <v>444</v>
      </c>
      <c r="B270" s="560"/>
      <c r="C270" s="560"/>
      <c r="D270" s="560"/>
      <c r="E270" s="560"/>
      <c r="F270" s="560"/>
      <c r="G270" s="560"/>
      <c r="H270" s="560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48"/>
      <c r="AB270" s="548"/>
      <c r="AC270" s="548"/>
    </row>
    <row r="271" spans="1:68" ht="14.25" hidden="1" customHeight="1" x14ac:dyDescent="0.25">
      <c r="A271" s="559" t="s">
        <v>101</v>
      </c>
      <c r="B271" s="560"/>
      <c r="C271" s="560"/>
      <c r="D271" s="560"/>
      <c r="E271" s="560"/>
      <c r="F271" s="560"/>
      <c r="G271" s="560"/>
      <c r="H271" s="560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1">
        <v>4607091383423</v>
      </c>
      <c r="E272" s="562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9"/>
      <c r="R272" s="569"/>
      <c r="S272" s="569"/>
      <c r="T272" s="570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1">
        <v>4680115886957</v>
      </c>
      <c r="E273" s="562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82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9"/>
      <c r="R273" s="569"/>
      <c r="S273" s="569"/>
      <c r="T273" s="570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1">
        <v>4680115885660</v>
      </c>
      <c r="E274" s="562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68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9"/>
      <c r="R274" s="569"/>
      <c r="S274" s="569"/>
      <c r="T274" s="570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1">
        <v>4680115886773</v>
      </c>
      <c r="E275" s="562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86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9"/>
      <c r="R275" s="569"/>
      <c r="S275" s="569"/>
      <c r="T275" s="570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6"/>
      <c r="B276" s="560"/>
      <c r="C276" s="560"/>
      <c r="D276" s="560"/>
      <c r="E276" s="560"/>
      <c r="F276" s="560"/>
      <c r="G276" s="560"/>
      <c r="H276" s="560"/>
      <c r="I276" s="560"/>
      <c r="J276" s="560"/>
      <c r="K276" s="560"/>
      <c r="L276" s="560"/>
      <c r="M276" s="560"/>
      <c r="N276" s="560"/>
      <c r="O276" s="567"/>
      <c r="P276" s="563" t="s">
        <v>75</v>
      </c>
      <c r="Q276" s="564"/>
      <c r="R276" s="564"/>
      <c r="S276" s="564"/>
      <c r="T276" s="564"/>
      <c r="U276" s="564"/>
      <c r="V276" s="565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0"/>
      <c r="B277" s="560"/>
      <c r="C277" s="560"/>
      <c r="D277" s="560"/>
      <c r="E277" s="560"/>
      <c r="F277" s="560"/>
      <c r="G277" s="560"/>
      <c r="H277" s="560"/>
      <c r="I277" s="560"/>
      <c r="J277" s="560"/>
      <c r="K277" s="560"/>
      <c r="L277" s="560"/>
      <c r="M277" s="560"/>
      <c r="N277" s="560"/>
      <c r="O277" s="567"/>
      <c r="P277" s="563" t="s">
        <v>75</v>
      </c>
      <c r="Q277" s="564"/>
      <c r="R277" s="564"/>
      <c r="S277" s="564"/>
      <c r="T277" s="564"/>
      <c r="U277" s="564"/>
      <c r="V277" s="565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92" t="s">
        <v>455</v>
      </c>
      <c r="B278" s="560"/>
      <c r="C278" s="560"/>
      <c r="D278" s="560"/>
      <c r="E278" s="560"/>
      <c r="F278" s="560"/>
      <c r="G278" s="560"/>
      <c r="H278" s="560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48"/>
      <c r="AB278" s="548"/>
      <c r="AC278" s="548"/>
    </row>
    <row r="279" spans="1:68" ht="14.25" hidden="1" customHeight="1" x14ac:dyDescent="0.25">
      <c r="A279" s="559" t="s">
        <v>77</v>
      </c>
      <c r="B279" s="560"/>
      <c r="C279" s="560"/>
      <c r="D279" s="560"/>
      <c r="E279" s="560"/>
      <c r="F279" s="560"/>
      <c r="G279" s="560"/>
      <c r="H279" s="560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1">
        <v>4680115886186</v>
      </c>
      <c r="E280" s="562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9"/>
      <c r="R280" s="569"/>
      <c r="S280" s="569"/>
      <c r="T280" s="570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1">
        <v>4680115881228</v>
      </c>
      <c r="E281" s="562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7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9"/>
      <c r="R281" s="569"/>
      <c r="S281" s="569"/>
      <c r="T281" s="570"/>
      <c r="U281" s="34"/>
      <c r="V281" s="34"/>
      <c r="W281" s="35" t="s">
        <v>69</v>
      </c>
      <c r="X281" s="553">
        <v>60</v>
      </c>
      <c r="Y281" s="554">
        <f>IFERROR(IF(X281="",0,CEILING((X281/$H281),1)*$H281),"")</f>
        <v>60</v>
      </c>
      <c r="Z281" s="36">
        <f>IFERROR(IF(Y281=0,"",ROUNDUP(Y281/H281,0)*0.00651),"")</f>
        <v>0.16275000000000001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66.300000000000011</v>
      </c>
      <c r="BN281" s="64">
        <f>IFERROR(Y281*I281/H281,"0")</f>
        <v>66.300000000000011</v>
      </c>
      <c r="BO281" s="64">
        <f>IFERROR(1/J281*(X281/H281),"0")</f>
        <v>0.13736263736263737</v>
      </c>
      <c r="BP281" s="64">
        <f>IFERROR(1/J281*(Y281/H281),"0")</f>
        <v>0.13736263736263737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1">
        <v>4680115881211</v>
      </c>
      <c r="E282" s="562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65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9"/>
      <c r="R282" s="569"/>
      <c r="S282" s="569"/>
      <c r="T282" s="570"/>
      <c r="U282" s="34"/>
      <c r="V282" s="34"/>
      <c r="W282" s="35" t="s">
        <v>69</v>
      </c>
      <c r="X282" s="553">
        <v>100</v>
      </c>
      <c r="Y282" s="554">
        <f>IFERROR(IF(X282="",0,CEILING((X282/$H282),1)*$H282),"")</f>
        <v>100.8</v>
      </c>
      <c r="Z282" s="36">
        <f>IFERROR(IF(Y282=0,"",ROUNDUP(Y282/H282,0)*0.00651),"")</f>
        <v>0.27342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107.5</v>
      </c>
      <c r="BN282" s="64">
        <f>IFERROR(Y282*I282/H282,"0")</f>
        <v>108.36000000000001</v>
      </c>
      <c r="BO282" s="64">
        <f>IFERROR(1/J282*(X282/H282),"0")</f>
        <v>0.22893772893772898</v>
      </c>
      <c r="BP282" s="64">
        <f>IFERROR(1/J282*(Y282/H282),"0")</f>
        <v>0.23076923076923078</v>
      </c>
    </row>
    <row r="283" spans="1:68" x14ac:dyDescent="0.2">
      <c r="A283" s="566"/>
      <c r="B283" s="560"/>
      <c r="C283" s="560"/>
      <c r="D283" s="560"/>
      <c r="E283" s="560"/>
      <c r="F283" s="560"/>
      <c r="G283" s="560"/>
      <c r="H283" s="560"/>
      <c r="I283" s="560"/>
      <c r="J283" s="560"/>
      <c r="K283" s="560"/>
      <c r="L283" s="560"/>
      <c r="M283" s="560"/>
      <c r="N283" s="560"/>
      <c r="O283" s="567"/>
      <c r="P283" s="563" t="s">
        <v>75</v>
      </c>
      <c r="Q283" s="564"/>
      <c r="R283" s="564"/>
      <c r="S283" s="564"/>
      <c r="T283" s="564"/>
      <c r="U283" s="564"/>
      <c r="V283" s="565"/>
      <c r="W283" s="37" t="s">
        <v>76</v>
      </c>
      <c r="X283" s="555">
        <f>IFERROR(X280/H280,"0")+IFERROR(X281/H281,"0")+IFERROR(X282/H282,"0")</f>
        <v>66.666666666666671</v>
      </c>
      <c r="Y283" s="555">
        <f>IFERROR(Y280/H280,"0")+IFERROR(Y281/H281,"0")+IFERROR(Y282/H282,"0")</f>
        <v>67</v>
      </c>
      <c r="Z283" s="555">
        <f>IFERROR(IF(Z280="",0,Z280),"0")+IFERROR(IF(Z281="",0,Z281),"0")+IFERROR(IF(Z282="",0,Z282),"0")</f>
        <v>0.43617</v>
      </c>
      <c r="AA283" s="556"/>
      <c r="AB283" s="556"/>
      <c r="AC283" s="556"/>
    </row>
    <row r="284" spans="1:68" x14ac:dyDescent="0.2">
      <c r="A284" s="560"/>
      <c r="B284" s="560"/>
      <c r="C284" s="560"/>
      <c r="D284" s="560"/>
      <c r="E284" s="560"/>
      <c r="F284" s="560"/>
      <c r="G284" s="560"/>
      <c r="H284" s="560"/>
      <c r="I284" s="560"/>
      <c r="J284" s="560"/>
      <c r="K284" s="560"/>
      <c r="L284" s="560"/>
      <c r="M284" s="560"/>
      <c r="N284" s="560"/>
      <c r="O284" s="567"/>
      <c r="P284" s="563" t="s">
        <v>75</v>
      </c>
      <c r="Q284" s="564"/>
      <c r="R284" s="564"/>
      <c r="S284" s="564"/>
      <c r="T284" s="564"/>
      <c r="U284" s="564"/>
      <c r="V284" s="565"/>
      <c r="W284" s="37" t="s">
        <v>69</v>
      </c>
      <c r="X284" s="555">
        <f>IFERROR(SUM(X280:X282),"0")</f>
        <v>160</v>
      </c>
      <c r="Y284" s="555">
        <f>IFERROR(SUM(Y280:Y282),"0")</f>
        <v>160.80000000000001</v>
      </c>
      <c r="Z284" s="37"/>
      <c r="AA284" s="556"/>
      <c r="AB284" s="556"/>
      <c r="AC284" s="556"/>
    </row>
    <row r="285" spans="1:68" ht="16.5" hidden="1" customHeight="1" x14ac:dyDescent="0.25">
      <c r="A285" s="592" t="s">
        <v>464</v>
      </c>
      <c r="B285" s="560"/>
      <c r="C285" s="560"/>
      <c r="D285" s="560"/>
      <c r="E285" s="560"/>
      <c r="F285" s="560"/>
      <c r="G285" s="560"/>
      <c r="H285" s="560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48"/>
      <c r="AB285" s="548"/>
      <c r="AC285" s="548"/>
    </row>
    <row r="286" spans="1:68" ht="14.25" hidden="1" customHeight="1" x14ac:dyDescent="0.25">
      <c r="A286" s="559" t="s">
        <v>64</v>
      </c>
      <c r="B286" s="560"/>
      <c r="C286" s="560"/>
      <c r="D286" s="560"/>
      <c r="E286" s="560"/>
      <c r="F286" s="560"/>
      <c r="G286" s="560"/>
      <c r="H286" s="560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1">
        <v>4680115880344</v>
      </c>
      <c r="E287" s="562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78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9"/>
      <c r="R287" s="569"/>
      <c r="S287" s="569"/>
      <c r="T287" s="570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1">
        <v>4680115886919</v>
      </c>
      <c r="E288" s="562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60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9"/>
      <c r="R288" s="569"/>
      <c r="S288" s="569"/>
      <c r="T288" s="570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6"/>
      <c r="B289" s="560"/>
      <c r="C289" s="560"/>
      <c r="D289" s="560"/>
      <c r="E289" s="560"/>
      <c r="F289" s="560"/>
      <c r="G289" s="560"/>
      <c r="H289" s="560"/>
      <c r="I289" s="560"/>
      <c r="J289" s="560"/>
      <c r="K289" s="560"/>
      <c r="L289" s="560"/>
      <c r="M289" s="560"/>
      <c r="N289" s="560"/>
      <c r="O289" s="567"/>
      <c r="P289" s="563" t="s">
        <v>75</v>
      </c>
      <c r="Q289" s="564"/>
      <c r="R289" s="564"/>
      <c r="S289" s="564"/>
      <c r="T289" s="564"/>
      <c r="U289" s="564"/>
      <c r="V289" s="565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0"/>
      <c r="B290" s="560"/>
      <c r="C290" s="560"/>
      <c r="D290" s="560"/>
      <c r="E290" s="560"/>
      <c r="F290" s="560"/>
      <c r="G290" s="560"/>
      <c r="H290" s="560"/>
      <c r="I290" s="560"/>
      <c r="J290" s="560"/>
      <c r="K290" s="560"/>
      <c r="L290" s="560"/>
      <c r="M290" s="560"/>
      <c r="N290" s="560"/>
      <c r="O290" s="567"/>
      <c r="P290" s="563" t="s">
        <v>75</v>
      </c>
      <c r="Q290" s="564"/>
      <c r="R290" s="564"/>
      <c r="S290" s="564"/>
      <c r="T290" s="564"/>
      <c r="U290" s="564"/>
      <c r="V290" s="565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59" t="s">
        <v>77</v>
      </c>
      <c r="B291" s="560"/>
      <c r="C291" s="560"/>
      <c r="D291" s="560"/>
      <c r="E291" s="560"/>
      <c r="F291" s="560"/>
      <c r="G291" s="560"/>
      <c r="H291" s="560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1">
        <v>4680115884618</v>
      </c>
      <c r="E292" s="562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6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9"/>
      <c r="R292" s="569"/>
      <c r="S292" s="569"/>
      <c r="T292" s="570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1">
        <v>4680115887114</v>
      </c>
      <c r="E293" s="562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6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9"/>
      <c r="R293" s="569"/>
      <c r="S293" s="569"/>
      <c r="T293" s="570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6"/>
      <c r="B294" s="560"/>
      <c r="C294" s="560"/>
      <c r="D294" s="560"/>
      <c r="E294" s="560"/>
      <c r="F294" s="560"/>
      <c r="G294" s="560"/>
      <c r="H294" s="560"/>
      <c r="I294" s="560"/>
      <c r="J294" s="560"/>
      <c r="K294" s="560"/>
      <c r="L294" s="560"/>
      <c r="M294" s="560"/>
      <c r="N294" s="560"/>
      <c r="O294" s="567"/>
      <c r="P294" s="563" t="s">
        <v>75</v>
      </c>
      <c r="Q294" s="564"/>
      <c r="R294" s="564"/>
      <c r="S294" s="564"/>
      <c r="T294" s="564"/>
      <c r="U294" s="564"/>
      <c r="V294" s="565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0"/>
      <c r="B295" s="560"/>
      <c r="C295" s="560"/>
      <c r="D295" s="560"/>
      <c r="E295" s="560"/>
      <c r="F295" s="560"/>
      <c r="G295" s="560"/>
      <c r="H295" s="560"/>
      <c r="I295" s="560"/>
      <c r="J295" s="560"/>
      <c r="K295" s="560"/>
      <c r="L295" s="560"/>
      <c r="M295" s="560"/>
      <c r="N295" s="560"/>
      <c r="O295" s="567"/>
      <c r="P295" s="563" t="s">
        <v>75</v>
      </c>
      <c r="Q295" s="564"/>
      <c r="R295" s="564"/>
      <c r="S295" s="564"/>
      <c r="T295" s="564"/>
      <c r="U295" s="564"/>
      <c r="V295" s="565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92" t="s">
        <v>477</v>
      </c>
      <c r="B296" s="560"/>
      <c r="C296" s="560"/>
      <c r="D296" s="560"/>
      <c r="E296" s="560"/>
      <c r="F296" s="560"/>
      <c r="G296" s="560"/>
      <c r="H296" s="560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48"/>
      <c r="AB296" s="548"/>
      <c r="AC296" s="548"/>
    </row>
    <row r="297" spans="1:68" ht="14.25" hidden="1" customHeight="1" x14ac:dyDescent="0.25">
      <c r="A297" s="559" t="s">
        <v>101</v>
      </c>
      <c r="B297" s="560"/>
      <c r="C297" s="560"/>
      <c r="D297" s="560"/>
      <c r="E297" s="560"/>
      <c r="F297" s="560"/>
      <c r="G297" s="560"/>
      <c r="H297" s="560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1">
        <v>4680115885615</v>
      </c>
      <c r="E298" s="562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64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69"/>
      <c r="R298" s="569"/>
      <c r="S298" s="569"/>
      <c r="T298" s="570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1">
        <v>4680115885646</v>
      </c>
      <c r="E299" s="562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1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69"/>
      <c r="R299" s="569"/>
      <c r="S299" s="569"/>
      <c r="T299" s="570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1">
        <v>4680115885554</v>
      </c>
      <c r="E300" s="562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69"/>
      <c r="R300" s="569"/>
      <c r="S300" s="569"/>
      <c r="T300" s="570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1">
        <v>4680115885622</v>
      </c>
      <c r="E301" s="562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69"/>
      <c r="R301" s="569"/>
      <c r="S301" s="569"/>
      <c r="T301" s="570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1">
        <v>4680115885608</v>
      </c>
      <c r="E302" s="562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69"/>
      <c r="R302" s="569"/>
      <c r="S302" s="569"/>
      <c r="T302" s="570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6"/>
      <c r="B303" s="560"/>
      <c r="C303" s="560"/>
      <c r="D303" s="560"/>
      <c r="E303" s="560"/>
      <c r="F303" s="560"/>
      <c r="G303" s="560"/>
      <c r="H303" s="560"/>
      <c r="I303" s="560"/>
      <c r="J303" s="560"/>
      <c r="K303" s="560"/>
      <c r="L303" s="560"/>
      <c r="M303" s="560"/>
      <c r="N303" s="560"/>
      <c r="O303" s="567"/>
      <c r="P303" s="563" t="s">
        <v>75</v>
      </c>
      <c r="Q303" s="564"/>
      <c r="R303" s="564"/>
      <c r="S303" s="564"/>
      <c r="T303" s="564"/>
      <c r="U303" s="564"/>
      <c r="V303" s="565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0"/>
      <c r="B304" s="560"/>
      <c r="C304" s="560"/>
      <c r="D304" s="560"/>
      <c r="E304" s="560"/>
      <c r="F304" s="560"/>
      <c r="G304" s="560"/>
      <c r="H304" s="560"/>
      <c r="I304" s="560"/>
      <c r="J304" s="560"/>
      <c r="K304" s="560"/>
      <c r="L304" s="560"/>
      <c r="M304" s="560"/>
      <c r="N304" s="560"/>
      <c r="O304" s="567"/>
      <c r="P304" s="563" t="s">
        <v>75</v>
      </c>
      <c r="Q304" s="564"/>
      <c r="R304" s="564"/>
      <c r="S304" s="564"/>
      <c r="T304" s="564"/>
      <c r="U304" s="564"/>
      <c r="V304" s="565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59" t="s">
        <v>64</v>
      </c>
      <c r="B305" s="560"/>
      <c r="C305" s="560"/>
      <c r="D305" s="560"/>
      <c r="E305" s="560"/>
      <c r="F305" s="560"/>
      <c r="G305" s="560"/>
      <c r="H305" s="560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1">
        <v>4607091387193</v>
      </c>
      <c r="E306" s="562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69"/>
      <c r="R306" s="569"/>
      <c r="S306" s="569"/>
      <c r="T306" s="570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1">
        <v>4607091387230</v>
      </c>
      <c r="E307" s="562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5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69"/>
      <c r="R307" s="569"/>
      <c r="S307" s="569"/>
      <c r="T307" s="570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1">
        <v>4607091387292</v>
      </c>
      <c r="E308" s="562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69"/>
      <c r="R308" s="569"/>
      <c r="S308" s="569"/>
      <c r="T308" s="570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1">
        <v>4607091387285</v>
      </c>
      <c r="E309" s="562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8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69"/>
      <c r="R309" s="569"/>
      <c r="S309" s="569"/>
      <c r="T309" s="570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1">
        <v>4607091389845</v>
      </c>
      <c r="E310" s="562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69"/>
      <c r="R310" s="569"/>
      <c r="S310" s="569"/>
      <c r="T310" s="570"/>
      <c r="U310" s="34"/>
      <c r="V310" s="34"/>
      <c r="W310" s="35" t="s">
        <v>69</v>
      </c>
      <c r="X310" s="553">
        <v>122.5</v>
      </c>
      <c r="Y310" s="554">
        <f t="shared" si="31"/>
        <v>123.9</v>
      </c>
      <c r="Z310" s="36">
        <f>IFERROR(IF(Y310=0,"",ROUNDUP(Y310/H310,0)*0.00502),"")</f>
        <v>0.29618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128.33333333333331</v>
      </c>
      <c r="BN310" s="64">
        <f t="shared" si="33"/>
        <v>129.80000000000001</v>
      </c>
      <c r="BO310" s="64">
        <f t="shared" si="34"/>
        <v>0.2492877492877493</v>
      </c>
      <c r="BP310" s="64">
        <f t="shared" si="35"/>
        <v>0.25213675213675218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1">
        <v>4607091383836</v>
      </c>
      <c r="E311" s="562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9"/>
      <c r="R311" s="569"/>
      <c r="S311" s="569"/>
      <c r="T311" s="570"/>
      <c r="U311" s="34"/>
      <c r="V311" s="34"/>
      <c r="W311" s="35" t="s">
        <v>69</v>
      </c>
      <c r="X311" s="553">
        <v>18</v>
      </c>
      <c r="Y311" s="554">
        <f t="shared" si="31"/>
        <v>18</v>
      </c>
      <c r="Z311" s="36">
        <f>IFERROR(IF(Y311=0,"",ROUNDUP(Y311/H311,0)*0.00651),"")</f>
        <v>6.5100000000000005E-2</v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20.279999999999998</v>
      </c>
      <c r="BN311" s="64">
        <f t="shared" si="33"/>
        <v>20.279999999999998</v>
      </c>
      <c r="BO311" s="64">
        <f t="shared" si="34"/>
        <v>5.4945054945054951E-2</v>
      </c>
      <c r="BP311" s="64">
        <f t="shared" si="35"/>
        <v>5.4945054945054951E-2</v>
      </c>
    </row>
    <row r="312" spans="1:68" x14ac:dyDescent="0.2">
      <c r="A312" s="566"/>
      <c r="B312" s="560"/>
      <c r="C312" s="560"/>
      <c r="D312" s="560"/>
      <c r="E312" s="560"/>
      <c r="F312" s="560"/>
      <c r="G312" s="560"/>
      <c r="H312" s="560"/>
      <c r="I312" s="560"/>
      <c r="J312" s="560"/>
      <c r="K312" s="560"/>
      <c r="L312" s="560"/>
      <c r="M312" s="560"/>
      <c r="N312" s="560"/>
      <c r="O312" s="567"/>
      <c r="P312" s="563" t="s">
        <v>75</v>
      </c>
      <c r="Q312" s="564"/>
      <c r="R312" s="564"/>
      <c r="S312" s="564"/>
      <c r="T312" s="564"/>
      <c r="U312" s="564"/>
      <c r="V312" s="565"/>
      <c r="W312" s="37" t="s">
        <v>76</v>
      </c>
      <c r="X312" s="555">
        <f>IFERROR(X306/H306,"0")+IFERROR(X307/H307,"0")+IFERROR(X308/H308,"0")+IFERROR(X309/H309,"0")+IFERROR(X310/H310,"0")+IFERROR(X311/H311,"0")</f>
        <v>68.333333333333329</v>
      </c>
      <c r="Y312" s="555">
        <f>IFERROR(Y306/H306,"0")+IFERROR(Y307/H307,"0")+IFERROR(Y308/H308,"0")+IFERROR(Y309/H309,"0")+IFERROR(Y310/H310,"0")+IFERROR(Y311/H311,"0")</f>
        <v>69</v>
      </c>
      <c r="Z312" s="555">
        <f>IFERROR(IF(Z306="",0,Z306),"0")+IFERROR(IF(Z307="",0,Z307),"0")+IFERROR(IF(Z308="",0,Z308),"0")+IFERROR(IF(Z309="",0,Z309),"0")+IFERROR(IF(Z310="",0,Z310),"0")+IFERROR(IF(Z311="",0,Z311),"0")</f>
        <v>0.36127999999999999</v>
      </c>
      <c r="AA312" s="556"/>
      <c r="AB312" s="556"/>
      <c r="AC312" s="556"/>
    </row>
    <row r="313" spans="1:68" x14ac:dyDescent="0.2">
      <c r="A313" s="560"/>
      <c r="B313" s="560"/>
      <c r="C313" s="560"/>
      <c r="D313" s="560"/>
      <c r="E313" s="560"/>
      <c r="F313" s="560"/>
      <c r="G313" s="560"/>
      <c r="H313" s="560"/>
      <c r="I313" s="560"/>
      <c r="J313" s="560"/>
      <c r="K313" s="560"/>
      <c r="L313" s="560"/>
      <c r="M313" s="560"/>
      <c r="N313" s="560"/>
      <c r="O313" s="567"/>
      <c r="P313" s="563" t="s">
        <v>75</v>
      </c>
      <c r="Q313" s="564"/>
      <c r="R313" s="564"/>
      <c r="S313" s="564"/>
      <c r="T313" s="564"/>
      <c r="U313" s="564"/>
      <c r="V313" s="565"/>
      <c r="W313" s="37" t="s">
        <v>69</v>
      </c>
      <c r="X313" s="555">
        <f>IFERROR(SUM(X306:X311),"0")</f>
        <v>140.5</v>
      </c>
      <c r="Y313" s="555">
        <f>IFERROR(SUM(Y306:Y311),"0")</f>
        <v>141.9</v>
      </c>
      <c r="Z313" s="37"/>
      <c r="AA313" s="556"/>
      <c r="AB313" s="556"/>
      <c r="AC313" s="556"/>
    </row>
    <row r="314" spans="1:68" ht="14.25" hidden="1" customHeight="1" x14ac:dyDescent="0.25">
      <c r="A314" s="559" t="s">
        <v>77</v>
      </c>
      <c r="B314" s="560"/>
      <c r="C314" s="560"/>
      <c r="D314" s="560"/>
      <c r="E314" s="560"/>
      <c r="F314" s="560"/>
      <c r="G314" s="560"/>
      <c r="H314" s="560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1">
        <v>4607091387766</v>
      </c>
      <c r="E315" s="562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8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9"/>
      <c r="R315" s="569"/>
      <c r="S315" s="569"/>
      <c r="T315" s="570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1">
        <v>4607091387957</v>
      </c>
      <c r="E316" s="562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9"/>
      <c r="R316" s="569"/>
      <c r="S316" s="569"/>
      <c r="T316" s="570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1">
        <v>4607091387964</v>
      </c>
      <c r="E317" s="562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6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9"/>
      <c r="R317" s="569"/>
      <c r="S317" s="569"/>
      <c r="T317" s="570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1">
        <v>4680115884588</v>
      </c>
      <c r="E318" s="562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9"/>
      <c r="R318" s="569"/>
      <c r="S318" s="569"/>
      <c r="T318" s="570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6"/>
      <c r="B319" s="560"/>
      <c r="C319" s="560"/>
      <c r="D319" s="560"/>
      <c r="E319" s="560"/>
      <c r="F319" s="560"/>
      <c r="G319" s="560"/>
      <c r="H319" s="560"/>
      <c r="I319" s="560"/>
      <c r="J319" s="560"/>
      <c r="K319" s="560"/>
      <c r="L319" s="560"/>
      <c r="M319" s="560"/>
      <c r="N319" s="560"/>
      <c r="O319" s="567"/>
      <c r="P319" s="563" t="s">
        <v>75</v>
      </c>
      <c r="Q319" s="564"/>
      <c r="R319" s="564"/>
      <c r="S319" s="564"/>
      <c r="T319" s="564"/>
      <c r="U319" s="564"/>
      <c r="V319" s="565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0"/>
      <c r="B320" s="560"/>
      <c r="C320" s="560"/>
      <c r="D320" s="560"/>
      <c r="E320" s="560"/>
      <c r="F320" s="560"/>
      <c r="G320" s="560"/>
      <c r="H320" s="560"/>
      <c r="I320" s="560"/>
      <c r="J320" s="560"/>
      <c r="K320" s="560"/>
      <c r="L320" s="560"/>
      <c r="M320" s="560"/>
      <c r="N320" s="560"/>
      <c r="O320" s="567"/>
      <c r="P320" s="563" t="s">
        <v>75</v>
      </c>
      <c r="Q320" s="564"/>
      <c r="R320" s="564"/>
      <c r="S320" s="564"/>
      <c r="T320" s="564"/>
      <c r="U320" s="564"/>
      <c r="V320" s="565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59" t="s">
        <v>162</v>
      </c>
      <c r="B321" s="560"/>
      <c r="C321" s="560"/>
      <c r="D321" s="560"/>
      <c r="E321" s="560"/>
      <c r="F321" s="560"/>
      <c r="G321" s="560"/>
      <c r="H321" s="560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1">
        <v>4607091380880</v>
      </c>
      <c r="E322" s="562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8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9"/>
      <c r="R322" s="569"/>
      <c r="S322" s="569"/>
      <c r="T322" s="570"/>
      <c r="U322" s="34"/>
      <c r="V322" s="34"/>
      <c r="W322" s="35" t="s">
        <v>69</v>
      </c>
      <c r="X322" s="553">
        <v>10</v>
      </c>
      <c r="Y322" s="554">
        <f>IFERROR(IF(X322="",0,CEILING((X322/$H322),1)*$H322),"")</f>
        <v>16.8</v>
      </c>
      <c r="Z322" s="36">
        <f>IFERROR(IF(Y322=0,"",ROUNDUP(Y322/H322,0)*0.01898),"")</f>
        <v>3.7960000000000001E-2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10.588095238095237</v>
      </c>
      <c r="BN322" s="64">
        <f>IFERROR(Y322*I322/H322,"0")</f>
        <v>17.788</v>
      </c>
      <c r="BO322" s="64">
        <f>IFERROR(1/J322*(X322/H322),"0")</f>
        <v>1.8601190476190476E-2</v>
      </c>
      <c r="BP322" s="64">
        <f>IFERROR(1/J322*(Y322/H322),"0")</f>
        <v>3.125E-2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1">
        <v>4607091384482</v>
      </c>
      <c r="E323" s="562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9"/>
      <c r="R323" s="569"/>
      <c r="S323" s="569"/>
      <c r="T323" s="570"/>
      <c r="U323" s="34"/>
      <c r="V323" s="34"/>
      <c r="W323" s="35" t="s">
        <v>69</v>
      </c>
      <c r="X323" s="553">
        <v>250</v>
      </c>
      <c r="Y323" s="554">
        <f>IFERROR(IF(X323="",0,CEILING((X323/$H323),1)*$H323),"")</f>
        <v>257.39999999999998</v>
      </c>
      <c r="Z323" s="36">
        <f>IFERROR(IF(Y323=0,"",ROUNDUP(Y323/H323,0)*0.01898),"")</f>
        <v>0.62634000000000001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265.83333333333331</v>
      </c>
      <c r="BN323" s="64">
        <f>IFERROR(Y323*I323/H323,"0")</f>
        <v>273.702</v>
      </c>
      <c r="BO323" s="64">
        <f>IFERROR(1/J323*(X323/H323),"0")</f>
        <v>0.50080128205128205</v>
      </c>
      <c r="BP323" s="64">
        <f>IFERROR(1/J323*(Y323/H323),"0")</f>
        <v>0.515625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1">
        <v>4607091380897</v>
      </c>
      <c r="E324" s="562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8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9"/>
      <c r="R324" s="569"/>
      <c r="S324" s="569"/>
      <c r="T324" s="570"/>
      <c r="U324" s="34"/>
      <c r="V324" s="34"/>
      <c r="W324" s="35" t="s">
        <v>69</v>
      </c>
      <c r="X324" s="553">
        <v>150</v>
      </c>
      <c r="Y324" s="554">
        <f>IFERROR(IF(X324="",0,CEILING((X324/$H324),1)*$H324),"")</f>
        <v>151.20000000000002</v>
      </c>
      <c r="Z324" s="36">
        <f>IFERROR(IF(Y324=0,"",ROUNDUP(Y324/H324,0)*0.01898),"")</f>
        <v>0.34164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158.82142857142856</v>
      </c>
      <c r="BN324" s="64">
        <f>IFERROR(Y324*I324/H324,"0")</f>
        <v>160.09200000000001</v>
      </c>
      <c r="BO324" s="64">
        <f>IFERROR(1/J324*(X324/H324),"0")</f>
        <v>0.27901785714285715</v>
      </c>
      <c r="BP324" s="64">
        <f>IFERROR(1/J324*(Y324/H324),"0")</f>
        <v>0.28125</v>
      </c>
    </row>
    <row r="325" spans="1:68" x14ac:dyDescent="0.2">
      <c r="A325" s="566"/>
      <c r="B325" s="560"/>
      <c r="C325" s="560"/>
      <c r="D325" s="560"/>
      <c r="E325" s="560"/>
      <c r="F325" s="560"/>
      <c r="G325" s="560"/>
      <c r="H325" s="560"/>
      <c r="I325" s="560"/>
      <c r="J325" s="560"/>
      <c r="K325" s="560"/>
      <c r="L325" s="560"/>
      <c r="M325" s="560"/>
      <c r="N325" s="560"/>
      <c r="O325" s="567"/>
      <c r="P325" s="563" t="s">
        <v>75</v>
      </c>
      <c r="Q325" s="564"/>
      <c r="R325" s="564"/>
      <c r="S325" s="564"/>
      <c r="T325" s="564"/>
      <c r="U325" s="564"/>
      <c r="V325" s="565"/>
      <c r="W325" s="37" t="s">
        <v>76</v>
      </c>
      <c r="X325" s="555">
        <f>IFERROR(X322/H322,"0")+IFERROR(X323/H323,"0")+IFERROR(X324/H324,"0")</f>
        <v>51.098901098901095</v>
      </c>
      <c r="Y325" s="555">
        <f>IFERROR(Y322/H322,"0")+IFERROR(Y323/H323,"0")+IFERROR(Y324/H324,"0")</f>
        <v>53</v>
      </c>
      <c r="Z325" s="555">
        <f>IFERROR(IF(Z322="",0,Z322),"0")+IFERROR(IF(Z323="",0,Z323),"0")+IFERROR(IF(Z324="",0,Z324),"0")</f>
        <v>1.0059400000000001</v>
      </c>
      <c r="AA325" s="556"/>
      <c r="AB325" s="556"/>
      <c r="AC325" s="556"/>
    </row>
    <row r="326" spans="1:68" x14ac:dyDescent="0.2">
      <c r="A326" s="560"/>
      <c r="B326" s="560"/>
      <c r="C326" s="560"/>
      <c r="D326" s="560"/>
      <c r="E326" s="560"/>
      <c r="F326" s="560"/>
      <c r="G326" s="560"/>
      <c r="H326" s="560"/>
      <c r="I326" s="560"/>
      <c r="J326" s="560"/>
      <c r="K326" s="560"/>
      <c r="L326" s="560"/>
      <c r="M326" s="560"/>
      <c r="N326" s="560"/>
      <c r="O326" s="567"/>
      <c r="P326" s="563" t="s">
        <v>75</v>
      </c>
      <c r="Q326" s="564"/>
      <c r="R326" s="564"/>
      <c r="S326" s="564"/>
      <c r="T326" s="564"/>
      <c r="U326" s="564"/>
      <c r="V326" s="565"/>
      <c r="W326" s="37" t="s">
        <v>69</v>
      </c>
      <c r="X326" s="555">
        <f>IFERROR(SUM(X322:X324),"0")</f>
        <v>410</v>
      </c>
      <c r="Y326" s="555">
        <f>IFERROR(SUM(Y322:Y324),"0")</f>
        <v>425.4</v>
      </c>
      <c r="Z326" s="37"/>
      <c r="AA326" s="556"/>
      <c r="AB326" s="556"/>
      <c r="AC326" s="556"/>
    </row>
    <row r="327" spans="1:68" ht="14.25" hidden="1" customHeight="1" x14ac:dyDescent="0.25">
      <c r="A327" s="559" t="s">
        <v>93</v>
      </c>
      <c r="B327" s="560"/>
      <c r="C327" s="560"/>
      <c r="D327" s="560"/>
      <c r="E327" s="560"/>
      <c r="F327" s="560"/>
      <c r="G327" s="560"/>
      <c r="H327" s="560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1">
        <v>4607091388381</v>
      </c>
      <c r="E328" s="562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8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9"/>
      <c r="R328" s="569"/>
      <c r="S328" s="569"/>
      <c r="T328" s="570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1">
        <v>4607091388374</v>
      </c>
      <c r="E329" s="562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8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9"/>
      <c r="R329" s="569"/>
      <c r="S329" s="569"/>
      <c r="T329" s="570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1">
        <v>4607091383102</v>
      </c>
      <c r="E330" s="562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9"/>
      <c r="R330" s="569"/>
      <c r="S330" s="569"/>
      <c r="T330" s="570"/>
      <c r="U330" s="34"/>
      <c r="V330" s="34"/>
      <c r="W330" s="35" t="s">
        <v>69</v>
      </c>
      <c r="X330" s="553">
        <v>17</v>
      </c>
      <c r="Y330" s="554">
        <f>IFERROR(IF(X330="",0,CEILING((X330/$H330),1)*$H330),"")</f>
        <v>17.849999999999998</v>
      </c>
      <c r="Z330" s="36">
        <f>IFERROR(IF(Y330=0,"",ROUNDUP(Y330/H330,0)*0.00651),"")</f>
        <v>4.5569999999999999E-2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19.700000000000003</v>
      </c>
      <c r="BN330" s="64">
        <f>IFERROR(Y330*I330/H330,"0")</f>
        <v>20.684999999999999</v>
      </c>
      <c r="BO330" s="64">
        <f>IFERROR(1/J330*(X330/H330),"0")</f>
        <v>3.6630036630036632E-2</v>
      </c>
      <c r="BP330" s="64">
        <f>IFERROR(1/J330*(Y330/H330),"0")</f>
        <v>3.8461538461538464E-2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1">
        <v>4607091388404</v>
      </c>
      <c r="E331" s="562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8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9"/>
      <c r="R331" s="569"/>
      <c r="S331" s="569"/>
      <c r="T331" s="570"/>
      <c r="U331" s="34"/>
      <c r="V331" s="34"/>
      <c r="W331" s="35" t="s">
        <v>69</v>
      </c>
      <c r="X331" s="553">
        <v>51.000000000000007</v>
      </c>
      <c r="Y331" s="554">
        <f>IFERROR(IF(X331="",0,CEILING((X331/$H331),1)*$H331),"")</f>
        <v>51</v>
      </c>
      <c r="Z331" s="36">
        <f>IFERROR(IF(Y331=0,"",ROUNDUP(Y331/H331,0)*0.00651),"")</f>
        <v>0.13020000000000001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57.600000000000016</v>
      </c>
      <c r="BN331" s="64">
        <f>IFERROR(Y331*I331/H331,"0")</f>
        <v>57.6</v>
      </c>
      <c r="BO331" s="64">
        <f>IFERROR(1/J331*(X331/H331),"0")</f>
        <v>0.10989010989010992</v>
      </c>
      <c r="BP331" s="64">
        <f>IFERROR(1/J331*(Y331/H331),"0")</f>
        <v>0.1098901098901099</v>
      </c>
    </row>
    <row r="332" spans="1:68" x14ac:dyDescent="0.2">
      <c r="A332" s="566"/>
      <c r="B332" s="560"/>
      <c r="C332" s="560"/>
      <c r="D332" s="560"/>
      <c r="E332" s="560"/>
      <c r="F332" s="560"/>
      <c r="G332" s="560"/>
      <c r="H332" s="560"/>
      <c r="I332" s="560"/>
      <c r="J332" s="560"/>
      <c r="K332" s="560"/>
      <c r="L332" s="560"/>
      <c r="M332" s="560"/>
      <c r="N332" s="560"/>
      <c r="O332" s="567"/>
      <c r="P332" s="563" t="s">
        <v>75</v>
      </c>
      <c r="Q332" s="564"/>
      <c r="R332" s="564"/>
      <c r="S332" s="564"/>
      <c r="T332" s="564"/>
      <c r="U332" s="564"/>
      <c r="V332" s="565"/>
      <c r="W332" s="37" t="s">
        <v>76</v>
      </c>
      <c r="X332" s="555">
        <f>IFERROR(X328/H328,"0")+IFERROR(X329/H329,"0")+IFERROR(X330/H330,"0")+IFERROR(X331/H331,"0")</f>
        <v>26.666666666666671</v>
      </c>
      <c r="Y332" s="555">
        <f>IFERROR(Y328/H328,"0")+IFERROR(Y329/H329,"0")+IFERROR(Y330/H330,"0")+IFERROR(Y331/H331,"0")</f>
        <v>27</v>
      </c>
      <c r="Z332" s="555">
        <f>IFERROR(IF(Z328="",0,Z328),"0")+IFERROR(IF(Z329="",0,Z329),"0")+IFERROR(IF(Z330="",0,Z330),"0")+IFERROR(IF(Z331="",0,Z331),"0")</f>
        <v>0.17577000000000001</v>
      </c>
      <c r="AA332" s="556"/>
      <c r="AB332" s="556"/>
      <c r="AC332" s="556"/>
    </row>
    <row r="333" spans="1:68" x14ac:dyDescent="0.2">
      <c r="A333" s="560"/>
      <c r="B333" s="560"/>
      <c r="C333" s="560"/>
      <c r="D333" s="560"/>
      <c r="E333" s="560"/>
      <c r="F333" s="560"/>
      <c r="G333" s="560"/>
      <c r="H333" s="560"/>
      <c r="I333" s="560"/>
      <c r="J333" s="560"/>
      <c r="K333" s="560"/>
      <c r="L333" s="560"/>
      <c r="M333" s="560"/>
      <c r="N333" s="560"/>
      <c r="O333" s="567"/>
      <c r="P333" s="563" t="s">
        <v>75</v>
      </c>
      <c r="Q333" s="564"/>
      <c r="R333" s="564"/>
      <c r="S333" s="564"/>
      <c r="T333" s="564"/>
      <c r="U333" s="564"/>
      <c r="V333" s="565"/>
      <c r="W333" s="37" t="s">
        <v>69</v>
      </c>
      <c r="X333" s="555">
        <f>IFERROR(SUM(X328:X331),"0")</f>
        <v>68</v>
      </c>
      <c r="Y333" s="555">
        <f>IFERROR(SUM(Y328:Y331),"0")</f>
        <v>68.849999999999994</v>
      </c>
      <c r="Z333" s="37"/>
      <c r="AA333" s="556"/>
      <c r="AB333" s="556"/>
      <c r="AC333" s="556"/>
    </row>
    <row r="334" spans="1:68" ht="14.25" hidden="1" customHeight="1" x14ac:dyDescent="0.25">
      <c r="A334" s="559" t="s">
        <v>540</v>
      </c>
      <c r="B334" s="560"/>
      <c r="C334" s="560"/>
      <c r="D334" s="560"/>
      <c r="E334" s="560"/>
      <c r="F334" s="560"/>
      <c r="G334" s="560"/>
      <c r="H334" s="560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1">
        <v>4680115881808</v>
      </c>
      <c r="E335" s="562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6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9"/>
      <c r="R335" s="569"/>
      <c r="S335" s="569"/>
      <c r="T335" s="570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1">
        <v>4680115881822</v>
      </c>
      <c r="E336" s="562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6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9"/>
      <c r="R336" s="569"/>
      <c r="S336" s="569"/>
      <c r="T336" s="570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1">
        <v>4680115880016</v>
      </c>
      <c r="E337" s="562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9"/>
      <c r="R337" s="569"/>
      <c r="S337" s="569"/>
      <c r="T337" s="570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6"/>
      <c r="B338" s="560"/>
      <c r="C338" s="560"/>
      <c r="D338" s="560"/>
      <c r="E338" s="560"/>
      <c r="F338" s="560"/>
      <c r="G338" s="560"/>
      <c r="H338" s="560"/>
      <c r="I338" s="560"/>
      <c r="J338" s="560"/>
      <c r="K338" s="560"/>
      <c r="L338" s="560"/>
      <c r="M338" s="560"/>
      <c r="N338" s="560"/>
      <c r="O338" s="567"/>
      <c r="P338" s="563" t="s">
        <v>75</v>
      </c>
      <c r="Q338" s="564"/>
      <c r="R338" s="564"/>
      <c r="S338" s="564"/>
      <c r="T338" s="564"/>
      <c r="U338" s="564"/>
      <c r="V338" s="565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0"/>
      <c r="B339" s="560"/>
      <c r="C339" s="560"/>
      <c r="D339" s="560"/>
      <c r="E339" s="560"/>
      <c r="F339" s="560"/>
      <c r="G339" s="560"/>
      <c r="H339" s="560"/>
      <c r="I339" s="560"/>
      <c r="J339" s="560"/>
      <c r="K339" s="560"/>
      <c r="L339" s="560"/>
      <c r="M339" s="560"/>
      <c r="N339" s="560"/>
      <c r="O339" s="567"/>
      <c r="P339" s="563" t="s">
        <v>75</v>
      </c>
      <c r="Q339" s="564"/>
      <c r="R339" s="564"/>
      <c r="S339" s="564"/>
      <c r="T339" s="564"/>
      <c r="U339" s="564"/>
      <c r="V339" s="565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92" t="s">
        <v>549</v>
      </c>
      <c r="B340" s="560"/>
      <c r="C340" s="560"/>
      <c r="D340" s="560"/>
      <c r="E340" s="560"/>
      <c r="F340" s="560"/>
      <c r="G340" s="560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48"/>
      <c r="AB340" s="548"/>
      <c r="AC340" s="548"/>
    </row>
    <row r="341" spans="1:68" ht="14.25" hidden="1" customHeight="1" x14ac:dyDescent="0.25">
      <c r="A341" s="559" t="s">
        <v>77</v>
      </c>
      <c r="B341" s="560"/>
      <c r="C341" s="560"/>
      <c r="D341" s="560"/>
      <c r="E341" s="560"/>
      <c r="F341" s="560"/>
      <c r="G341" s="560"/>
      <c r="H341" s="560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1">
        <v>4607091387919</v>
      </c>
      <c r="E342" s="562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6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9"/>
      <c r="R342" s="569"/>
      <c r="S342" s="569"/>
      <c r="T342" s="570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1">
        <v>4680115883604</v>
      </c>
      <c r="E343" s="562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69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9"/>
      <c r="R343" s="569"/>
      <c r="S343" s="569"/>
      <c r="T343" s="570"/>
      <c r="U343" s="34"/>
      <c r="V343" s="34"/>
      <c r="W343" s="35" t="s">
        <v>69</v>
      </c>
      <c r="X343" s="553">
        <v>420</v>
      </c>
      <c r="Y343" s="554">
        <f>IFERROR(IF(X343="",0,CEILING((X343/$H343),1)*$H343),"")</f>
        <v>420</v>
      </c>
      <c r="Z343" s="36">
        <f>IFERROR(IF(Y343=0,"",ROUNDUP(Y343/H343,0)*0.00651),"")</f>
        <v>1.302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470.39999999999992</v>
      </c>
      <c r="BN343" s="64">
        <f>IFERROR(Y343*I343/H343,"0")</f>
        <v>470.39999999999992</v>
      </c>
      <c r="BO343" s="64">
        <f>IFERROR(1/J343*(X343/H343),"0")</f>
        <v>1.098901098901099</v>
      </c>
      <c r="BP343" s="64">
        <f>IFERROR(1/J343*(Y343/H343),"0")</f>
        <v>1.098901098901099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1">
        <v>4680115883567</v>
      </c>
      <c r="E344" s="562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6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9"/>
      <c r="R344" s="569"/>
      <c r="S344" s="569"/>
      <c r="T344" s="570"/>
      <c r="U344" s="34"/>
      <c r="V344" s="34"/>
      <c r="W344" s="35" t="s">
        <v>69</v>
      </c>
      <c r="X344" s="553">
        <v>350</v>
      </c>
      <c r="Y344" s="554">
        <f>IFERROR(IF(X344="",0,CEILING((X344/$H344),1)*$H344),"")</f>
        <v>350.7</v>
      </c>
      <c r="Z344" s="36">
        <f>IFERROR(IF(Y344=0,"",ROUNDUP(Y344/H344,0)*0.00651),"")</f>
        <v>1.08717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390</v>
      </c>
      <c r="BN344" s="64">
        <f>IFERROR(Y344*I344/H344,"0")</f>
        <v>390.78</v>
      </c>
      <c r="BO344" s="64">
        <f>IFERROR(1/J344*(X344/H344),"0")</f>
        <v>0.91575091575091572</v>
      </c>
      <c r="BP344" s="64">
        <f>IFERROR(1/J344*(Y344/H344),"0")</f>
        <v>0.91758241758241765</v>
      </c>
    </row>
    <row r="345" spans="1:68" x14ac:dyDescent="0.2">
      <c r="A345" s="566"/>
      <c r="B345" s="560"/>
      <c r="C345" s="560"/>
      <c r="D345" s="560"/>
      <c r="E345" s="560"/>
      <c r="F345" s="560"/>
      <c r="G345" s="560"/>
      <c r="H345" s="560"/>
      <c r="I345" s="560"/>
      <c r="J345" s="560"/>
      <c r="K345" s="560"/>
      <c r="L345" s="560"/>
      <c r="M345" s="560"/>
      <c r="N345" s="560"/>
      <c r="O345" s="567"/>
      <c r="P345" s="563" t="s">
        <v>75</v>
      </c>
      <c r="Q345" s="564"/>
      <c r="R345" s="564"/>
      <c r="S345" s="564"/>
      <c r="T345" s="564"/>
      <c r="U345" s="564"/>
      <c r="V345" s="565"/>
      <c r="W345" s="37" t="s">
        <v>76</v>
      </c>
      <c r="X345" s="555">
        <f>IFERROR(X342/H342,"0")+IFERROR(X343/H343,"0")+IFERROR(X344/H344,"0")</f>
        <v>366.66666666666663</v>
      </c>
      <c r="Y345" s="555">
        <f>IFERROR(Y342/H342,"0")+IFERROR(Y343/H343,"0")+IFERROR(Y344/H344,"0")</f>
        <v>367</v>
      </c>
      <c r="Z345" s="555">
        <f>IFERROR(IF(Z342="",0,Z342),"0")+IFERROR(IF(Z343="",0,Z343),"0")+IFERROR(IF(Z344="",0,Z344),"0")</f>
        <v>2.38917</v>
      </c>
      <c r="AA345" s="556"/>
      <c r="AB345" s="556"/>
      <c r="AC345" s="556"/>
    </row>
    <row r="346" spans="1:68" x14ac:dyDescent="0.2">
      <c r="A346" s="560"/>
      <c r="B346" s="560"/>
      <c r="C346" s="560"/>
      <c r="D346" s="560"/>
      <c r="E346" s="560"/>
      <c r="F346" s="560"/>
      <c r="G346" s="560"/>
      <c r="H346" s="560"/>
      <c r="I346" s="560"/>
      <c r="J346" s="560"/>
      <c r="K346" s="560"/>
      <c r="L346" s="560"/>
      <c r="M346" s="560"/>
      <c r="N346" s="560"/>
      <c r="O346" s="567"/>
      <c r="P346" s="563" t="s">
        <v>75</v>
      </c>
      <c r="Q346" s="564"/>
      <c r="R346" s="564"/>
      <c r="S346" s="564"/>
      <c r="T346" s="564"/>
      <c r="U346" s="564"/>
      <c r="V346" s="565"/>
      <c r="W346" s="37" t="s">
        <v>69</v>
      </c>
      <c r="X346" s="555">
        <f>IFERROR(SUM(X342:X344),"0")</f>
        <v>770</v>
      </c>
      <c r="Y346" s="555">
        <f>IFERROR(SUM(Y342:Y344),"0")</f>
        <v>770.7</v>
      </c>
      <c r="Z346" s="37"/>
      <c r="AA346" s="556"/>
      <c r="AB346" s="556"/>
      <c r="AC346" s="556"/>
    </row>
    <row r="347" spans="1:68" ht="27.75" hidden="1" customHeight="1" x14ac:dyDescent="0.2">
      <c r="A347" s="582" t="s">
        <v>559</v>
      </c>
      <c r="B347" s="583"/>
      <c r="C347" s="583"/>
      <c r="D347" s="583"/>
      <c r="E347" s="583"/>
      <c r="F347" s="583"/>
      <c r="G347" s="583"/>
      <c r="H347" s="583"/>
      <c r="I347" s="583"/>
      <c r="J347" s="583"/>
      <c r="K347" s="583"/>
      <c r="L347" s="583"/>
      <c r="M347" s="583"/>
      <c r="N347" s="583"/>
      <c r="O347" s="583"/>
      <c r="P347" s="583"/>
      <c r="Q347" s="583"/>
      <c r="R347" s="583"/>
      <c r="S347" s="583"/>
      <c r="T347" s="583"/>
      <c r="U347" s="583"/>
      <c r="V347" s="583"/>
      <c r="W347" s="583"/>
      <c r="X347" s="583"/>
      <c r="Y347" s="583"/>
      <c r="Z347" s="583"/>
      <c r="AA347" s="48"/>
      <c r="AB347" s="48"/>
      <c r="AC347" s="48"/>
    </row>
    <row r="348" spans="1:68" ht="16.5" hidden="1" customHeight="1" x14ac:dyDescent="0.25">
      <c r="A348" s="592" t="s">
        <v>560</v>
      </c>
      <c r="B348" s="560"/>
      <c r="C348" s="560"/>
      <c r="D348" s="560"/>
      <c r="E348" s="560"/>
      <c r="F348" s="560"/>
      <c r="G348" s="560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48"/>
      <c r="AB348" s="548"/>
      <c r="AC348" s="548"/>
    </row>
    <row r="349" spans="1:68" ht="14.25" hidden="1" customHeight="1" x14ac:dyDescent="0.25">
      <c r="A349" s="559" t="s">
        <v>101</v>
      </c>
      <c r="B349" s="560"/>
      <c r="C349" s="560"/>
      <c r="D349" s="560"/>
      <c r="E349" s="560"/>
      <c r="F349" s="560"/>
      <c r="G349" s="560"/>
      <c r="H349" s="560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1">
        <v>4680115884847</v>
      </c>
      <c r="E350" s="562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9"/>
      <c r="R350" s="569"/>
      <c r="S350" s="569"/>
      <c r="T350" s="570"/>
      <c r="U350" s="34"/>
      <c r="V350" s="34"/>
      <c r="W350" s="35" t="s">
        <v>69</v>
      </c>
      <c r="X350" s="553">
        <v>2300</v>
      </c>
      <c r="Y350" s="554">
        <f t="shared" ref="Y350:Y356" si="36">IFERROR(IF(X350="",0,CEILING((X350/$H350),1)*$H350),"")</f>
        <v>2310</v>
      </c>
      <c r="Z350" s="36">
        <f>IFERROR(IF(Y350=0,"",ROUNDUP(Y350/H350,0)*0.02175),"")</f>
        <v>3.3494999999999999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2372.0666666666666</v>
      </c>
      <c r="BN350" s="64">
        <f t="shared" ref="BN350:BN356" si="38">IFERROR(Y350*I350/H350,"0")</f>
        <v>2382.38</v>
      </c>
      <c r="BO350" s="64">
        <f t="shared" ref="BO350:BO356" si="39">IFERROR(1/J350*(X350/H350),"0")</f>
        <v>3.1944444444444446</v>
      </c>
      <c r="BP350" s="64">
        <f t="shared" ref="BP350:BP356" si="40">IFERROR(1/J350*(Y350/H350),"0")</f>
        <v>3.208333333333333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1">
        <v>4680115884854</v>
      </c>
      <c r="E351" s="562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9"/>
      <c r="R351" s="569"/>
      <c r="S351" s="569"/>
      <c r="T351" s="570"/>
      <c r="U351" s="34"/>
      <c r="V351" s="34"/>
      <c r="W351" s="35" t="s">
        <v>69</v>
      </c>
      <c r="X351" s="553">
        <v>900</v>
      </c>
      <c r="Y351" s="554">
        <f t="shared" si="36"/>
        <v>900</v>
      </c>
      <c r="Z351" s="36">
        <f>IFERROR(IF(Y351=0,"",ROUNDUP(Y351/H351,0)*0.02175),"")</f>
        <v>1.3049999999999999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928.2</v>
      </c>
      <c r="BN351" s="64">
        <f t="shared" si="38"/>
        <v>928.2</v>
      </c>
      <c r="BO351" s="64">
        <f t="shared" si="39"/>
        <v>1.25</v>
      </c>
      <c r="BP351" s="64">
        <f t="shared" si="40"/>
        <v>1.25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1">
        <v>4680115884830</v>
      </c>
      <c r="E352" s="562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78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9"/>
      <c r="R352" s="569"/>
      <c r="S352" s="569"/>
      <c r="T352" s="570"/>
      <c r="U352" s="34"/>
      <c r="V352" s="34"/>
      <c r="W352" s="35" t="s">
        <v>69</v>
      </c>
      <c r="X352" s="553">
        <v>2500</v>
      </c>
      <c r="Y352" s="554">
        <f t="shared" si="36"/>
        <v>2505</v>
      </c>
      <c r="Z352" s="36">
        <f>IFERROR(IF(Y352=0,"",ROUNDUP(Y352/H352,0)*0.02175),"")</f>
        <v>3.6322499999999995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2578.3333333333335</v>
      </c>
      <c r="BN352" s="64">
        <f t="shared" si="38"/>
        <v>2583.4899999999998</v>
      </c>
      <c r="BO352" s="64">
        <f t="shared" si="39"/>
        <v>3.4722222222222219</v>
      </c>
      <c r="BP352" s="64">
        <f t="shared" si="40"/>
        <v>3.4791666666666665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1">
        <v>4680115887046</v>
      </c>
      <c r="E353" s="562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8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9"/>
      <c r="R353" s="569"/>
      <c r="S353" s="569"/>
      <c r="T353" s="570"/>
      <c r="U353" s="34"/>
      <c r="V353" s="34"/>
      <c r="W353" s="35" t="s">
        <v>69</v>
      </c>
      <c r="X353" s="553">
        <v>650</v>
      </c>
      <c r="Y353" s="554">
        <f t="shared" si="36"/>
        <v>660</v>
      </c>
      <c r="Z353" s="36">
        <f>IFERROR(IF(Y353=0,"",ROUNDUP(Y353/H353,0)*0.02175),"")</f>
        <v>0.95699999999999996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670.36666666666667</v>
      </c>
      <c r="BN353" s="64">
        <f t="shared" si="38"/>
        <v>680.68000000000006</v>
      </c>
      <c r="BO353" s="64">
        <f t="shared" si="39"/>
        <v>0.90277777777777779</v>
      </c>
      <c r="BP353" s="64">
        <f t="shared" si="40"/>
        <v>0.91666666666666663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1">
        <v>4680115882638</v>
      </c>
      <c r="E354" s="562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5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9"/>
      <c r="R354" s="569"/>
      <c r="S354" s="569"/>
      <c r="T354" s="570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1">
        <v>4680115884922</v>
      </c>
      <c r="E355" s="562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6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9"/>
      <c r="R355" s="569"/>
      <c r="S355" s="569"/>
      <c r="T355" s="570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1">
        <v>4680115884861</v>
      </c>
      <c r="E356" s="562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9"/>
      <c r="R356" s="569"/>
      <c r="S356" s="569"/>
      <c r="T356" s="570"/>
      <c r="U356" s="34"/>
      <c r="V356" s="34"/>
      <c r="W356" s="35" t="s">
        <v>69</v>
      </c>
      <c r="X356" s="553">
        <v>15</v>
      </c>
      <c r="Y356" s="554">
        <f t="shared" si="36"/>
        <v>15</v>
      </c>
      <c r="Z356" s="36">
        <f>IFERROR(IF(Y356=0,"",ROUNDUP(Y356/H356,0)*0.00902),"")</f>
        <v>2.7060000000000001E-2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15.570000000000002</v>
      </c>
      <c r="BN356" s="64">
        <f t="shared" si="38"/>
        <v>15.570000000000002</v>
      </c>
      <c r="BO356" s="64">
        <f t="shared" si="39"/>
        <v>2.2727272727272728E-2</v>
      </c>
      <c r="BP356" s="64">
        <f t="shared" si="40"/>
        <v>2.2727272727272728E-2</v>
      </c>
    </row>
    <row r="357" spans="1:68" x14ac:dyDescent="0.2">
      <c r="A357" s="566"/>
      <c r="B357" s="560"/>
      <c r="C357" s="560"/>
      <c r="D357" s="560"/>
      <c r="E357" s="560"/>
      <c r="F357" s="560"/>
      <c r="G357" s="560"/>
      <c r="H357" s="560"/>
      <c r="I357" s="560"/>
      <c r="J357" s="560"/>
      <c r="K357" s="560"/>
      <c r="L357" s="560"/>
      <c r="M357" s="560"/>
      <c r="N357" s="560"/>
      <c r="O357" s="567"/>
      <c r="P357" s="563" t="s">
        <v>75</v>
      </c>
      <c r="Q357" s="564"/>
      <c r="R357" s="564"/>
      <c r="S357" s="564"/>
      <c r="T357" s="564"/>
      <c r="U357" s="564"/>
      <c r="V357" s="565"/>
      <c r="W357" s="37" t="s">
        <v>76</v>
      </c>
      <c r="X357" s="555">
        <f>IFERROR(X350/H350,"0")+IFERROR(X351/H351,"0")+IFERROR(X352/H352,"0")+IFERROR(X353/H353,"0")+IFERROR(X354/H354,"0")+IFERROR(X355/H355,"0")+IFERROR(X356/H356,"0")</f>
        <v>426.33333333333331</v>
      </c>
      <c r="Y357" s="555">
        <f>IFERROR(Y350/H350,"0")+IFERROR(Y351/H351,"0")+IFERROR(Y352/H352,"0")+IFERROR(Y353/H353,"0")+IFERROR(Y354/H354,"0")+IFERROR(Y355/H355,"0")+IFERROR(Y356/H356,"0")</f>
        <v>428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9.2708100000000009</v>
      </c>
      <c r="AA357" s="556"/>
      <c r="AB357" s="556"/>
      <c r="AC357" s="556"/>
    </row>
    <row r="358" spans="1:68" x14ac:dyDescent="0.2">
      <c r="A358" s="560"/>
      <c r="B358" s="560"/>
      <c r="C358" s="560"/>
      <c r="D358" s="560"/>
      <c r="E358" s="560"/>
      <c r="F358" s="560"/>
      <c r="G358" s="560"/>
      <c r="H358" s="560"/>
      <c r="I358" s="560"/>
      <c r="J358" s="560"/>
      <c r="K358" s="560"/>
      <c r="L358" s="560"/>
      <c r="M358" s="560"/>
      <c r="N358" s="560"/>
      <c r="O358" s="567"/>
      <c r="P358" s="563" t="s">
        <v>75</v>
      </c>
      <c r="Q358" s="564"/>
      <c r="R358" s="564"/>
      <c r="S358" s="564"/>
      <c r="T358" s="564"/>
      <c r="U358" s="564"/>
      <c r="V358" s="565"/>
      <c r="W358" s="37" t="s">
        <v>69</v>
      </c>
      <c r="X358" s="555">
        <f>IFERROR(SUM(X350:X356),"0")</f>
        <v>6365</v>
      </c>
      <c r="Y358" s="555">
        <f>IFERROR(SUM(Y350:Y356),"0")</f>
        <v>6390</v>
      </c>
      <c r="Z358" s="37"/>
      <c r="AA358" s="556"/>
      <c r="AB358" s="556"/>
      <c r="AC358" s="556"/>
    </row>
    <row r="359" spans="1:68" ht="14.25" hidden="1" customHeight="1" x14ac:dyDescent="0.25">
      <c r="A359" s="559" t="s">
        <v>137</v>
      </c>
      <c r="B359" s="560"/>
      <c r="C359" s="560"/>
      <c r="D359" s="560"/>
      <c r="E359" s="560"/>
      <c r="F359" s="560"/>
      <c r="G359" s="560"/>
      <c r="H359" s="560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1">
        <v>4607091383980</v>
      </c>
      <c r="E360" s="562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5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9"/>
      <c r="R360" s="569"/>
      <c r="S360" s="569"/>
      <c r="T360" s="570"/>
      <c r="U360" s="34"/>
      <c r="V360" s="34"/>
      <c r="W360" s="35" t="s">
        <v>69</v>
      </c>
      <c r="X360" s="553">
        <v>1500</v>
      </c>
      <c r="Y360" s="554">
        <f>IFERROR(IF(X360="",0,CEILING((X360/$H360),1)*$H360),"")</f>
        <v>1500</v>
      </c>
      <c r="Z360" s="36">
        <f>IFERROR(IF(Y360=0,"",ROUNDUP(Y360/H360,0)*0.02175),"")</f>
        <v>2.1749999999999998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1547</v>
      </c>
      <c r="BN360" s="64">
        <f>IFERROR(Y360*I360/H360,"0")</f>
        <v>1547</v>
      </c>
      <c r="BO360" s="64">
        <f>IFERROR(1/J360*(X360/H360),"0")</f>
        <v>2.083333333333333</v>
      </c>
      <c r="BP360" s="64">
        <f>IFERROR(1/J360*(Y360/H360),"0")</f>
        <v>2.083333333333333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1">
        <v>4607091384178</v>
      </c>
      <c r="E361" s="562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9"/>
      <c r="R361" s="569"/>
      <c r="S361" s="569"/>
      <c r="T361" s="570"/>
      <c r="U361" s="34"/>
      <c r="V361" s="34"/>
      <c r="W361" s="35" t="s">
        <v>69</v>
      </c>
      <c r="X361" s="553">
        <v>8</v>
      </c>
      <c r="Y361" s="554">
        <f>IFERROR(IF(X361="",0,CEILING((X361/$H361),1)*$H361),"")</f>
        <v>8</v>
      </c>
      <c r="Z361" s="36">
        <f>IFERROR(IF(Y361=0,"",ROUNDUP(Y361/H361,0)*0.00902),"")</f>
        <v>1.804E-2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8.3800000000000008</v>
      </c>
      <c r="BN361" s="64">
        <f>IFERROR(Y361*I361/H361,"0")</f>
        <v>8.3800000000000008</v>
      </c>
      <c r="BO361" s="64">
        <f>IFERROR(1/J361*(X361/H361),"0")</f>
        <v>1.5151515151515152E-2</v>
      </c>
      <c r="BP361" s="64">
        <f>IFERROR(1/J361*(Y361/H361),"0")</f>
        <v>1.5151515151515152E-2</v>
      </c>
    </row>
    <row r="362" spans="1:68" x14ac:dyDescent="0.2">
      <c r="A362" s="566"/>
      <c r="B362" s="560"/>
      <c r="C362" s="560"/>
      <c r="D362" s="560"/>
      <c r="E362" s="560"/>
      <c r="F362" s="560"/>
      <c r="G362" s="560"/>
      <c r="H362" s="560"/>
      <c r="I362" s="560"/>
      <c r="J362" s="560"/>
      <c r="K362" s="560"/>
      <c r="L362" s="560"/>
      <c r="M362" s="560"/>
      <c r="N362" s="560"/>
      <c r="O362" s="567"/>
      <c r="P362" s="563" t="s">
        <v>75</v>
      </c>
      <c r="Q362" s="564"/>
      <c r="R362" s="564"/>
      <c r="S362" s="564"/>
      <c r="T362" s="564"/>
      <c r="U362" s="564"/>
      <c r="V362" s="565"/>
      <c r="W362" s="37" t="s">
        <v>76</v>
      </c>
      <c r="X362" s="555">
        <f>IFERROR(X360/H360,"0")+IFERROR(X361/H361,"0")</f>
        <v>102</v>
      </c>
      <c r="Y362" s="555">
        <f>IFERROR(Y360/H360,"0")+IFERROR(Y361/H361,"0")</f>
        <v>102</v>
      </c>
      <c r="Z362" s="555">
        <f>IFERROR(IF(Z360="",0,Z360),"0")+IFERROR(IF(Z361="",0,Z361),"0")</f>
        <v>2.1930399999999999</v>
      </c>
      <c r="AA362" s="556"/>
      <c r="AB362" s="556"/>
      <c r="AC362" s="556"/>
    </row>
    <row r="363" spans="1:68" x14ac:dyDescent="0.2">
      <c r="A363" s="560"/>
      <c r="B363" s="560"/>
      <c r="C363" s="560"/>
      <c r="D363" s="560"/>
      <c r="E363" s="560"/>
      <c r="F363" s="560"/>
      <c r="G363" s="560"/>
      <c r="H363" s="560"/>
      <c r="I363" s="560"/>
      <c r="J363" s="560"/>
      <c r="K363" s="560"/>
      <c r="L363" s="560"/>
      <c r="M363" s="560"/>
      <c r="N363" s="560"/>
      <c r="O363" s="567"/>
      <c r="P363" s="563" t="s">
        <v>75</v>
      </c>
      <c r="Q363" s="564"/>
      <c r="R363" s="564"/>
      <c r="S363" s="564"/>
      <c r="T363" s="564"/>
      <c r="U363" s="564"/>
      <c r="V363" s="565"/>
      <c r="W363" s="37" t="s">
        <v>69</v>
      </c>
      <c r="X363" s="555">
        <f>IFERROR(SUM(X360:X361),"0")</f>
        <v>1508</v>
      </c>
      <c r="Y363" s="555">
        <f>IFERROR(SUM(Y360:Y361),"0")</f>
        <v>1508</v>
      </c>
      <c r="Z363" s="37"/>
      <c r="AA363" s="556"/>
      <c r="AB363" s="556"/>
      <c r="AC363" s="556"/>
    </row>
    <row r="364" spans="1:68" ht="14.25" hidden="1" customHeight="1" x14ac:dyDescent="0.25">
      <c r="A364" s="559" t="s">
        <v>77</v>
      </c>
      <c r="B364" s="560"/>
      <c r="C364" s="560"/>
      <c r="D364" s="560"/>
      <c r="E364" s="560"/>
      <c r="F364" s="560"/>
      <c r="G364" s="560"/>
      <c r="H364" s="560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1">
        <v>4607091383928</v>
      </c>
      <c r="E365" s="562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57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9"/>
      <c r="R365" s="569"/>
      <c r="S365" s="569"/>
      <c r="T365" s="570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1">
        <v>4607091384260</v>
      </c>
      <c r="E366" s="562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85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9"/>
      <c r="R366" s="569"/>
      <c r="S366" s="569"/>
      <c r="T366" s="570"/>
      <c r="U366" s="34"/>
      <c r="V366" s="34"/>
      <c r="W366" s="35" t="s">
        <v>69</v>
      </c>
      <c r="X366" s="553">
        <v>10</v>
      </c>
      <c r="Y366" s="554">
        <f>IFERROR(IF(X366="",0,CEILING((X366/$H366),1)*$H366),"")</f>
        <v>18</v>
      </c>
      <c r="Z366" s="36">
        <f>IFERROR(IF(Y366=0,"",ROUNDUP(Y366/H366,0)*0.01898),"")</f>
        <v>3.7960000000000001E-2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10.548888888888889</v>
      </c>
      <c r="BN366" s="64">
        <f>IFERROR(Y366*I366/H366,"0")</f>
        <v>18.988</v>
      </c>
      <c r="BO366" s="64">
        <f>IFERROR(1/J366*(X366/H366),"0")</f>
        <v>1.7361111111111112E-2</v>
      </c>
      <c r="BP366" s="64">
        <f>IFERROR(1/J366*(Y366/H366),"0")</f>
        <v>3.125E-2</v>
      </c>
    </row>
    <row r="367" spans="1:68" x14ac:dyDescent="0.2">
      <c r="A367" s="566"/>
      <c r="B367" s="560"/>
      <c r="C367" s="560"/>
      <c r="D367" s="560"/>
      <c r="E367" s="560"/>
      <c r="F367" s="560"/>
      <c r="G367" s="560"/>
      <c r="H367" s="560"/>
      <c r="I367" s="560"/>
      <c r="J367" s="560"/>
      <c r="K367" s="560"/>
      <c r="L367" s="560"/>
      <c r="M367" s="560"/>
      <c r="N367" s="560"/>
      <c r="O367" s="567"/>
      <c r="P367" s="563" t="s">
        <v>75</v>
      </c>
      <c r="Q367" s="564"/>
      <c r="R367" s="564"/>
      <c r="S367" s="564"/>
      <c r="T367" s="564"/>
      <c r="U367" s="564"/>
      <c r="V367" s="565"/>
      <c r="W367" s="37" t="s">
        <v>76</v>
      </c>
      <c r="X367" s="555">
        <f>IFERROR(X365/H365,"0")+IFERROR(X366/H366,"0")</f>
        <v>1.1111111111111112</v>
      </c>
      <c r="Y367" s="555">
        <f>IFERROR(Y365/H365,"0")+IFERROR(Y366/H366,"0")</f>
        <v>2</v>
      </c>
      <c r="Z367" s="555">
        <f>IFERROR(IF(Z365="",0,Z365),"0")+IFERROR(IF(Z366="",0,Z366),"0")</f>
        <v>3.7960000000000001E-2</v>
      </c>
      <c r="AA367" s="556"/>
      <c r="AB367" s="556"/>
      <c r="AC367" s="556"/>
    </row>
    <row r="368" spans="1:68" x14ac:dyDescent="0.2">
      <c r="A368" s="560"/>
      <c r="B368" s="560"/>
      <c r="C368" s="560"/>
      <c r="D368" s="560"/>
      <c r="E368" s="560"/>
      <c r="F368" s="560"/>
      <c r="G368" s="560"/>
      <c r="H368" s="560"/>
      <c r="I368" s="560"/>
      <c r="J368" s="560"/>
      <c r="K368" s="560"/>
      <c r="L368" s="560"/>
      <c r="M368" s="560"/>
      <c r="N368" s="560"/>
      <c r="O368" s="567"/>
      <c r="P368" s="563" t="s">
        <v>75</v>
      </c>
      <c r="Q368" s="564"/>
      <c r="R368" s="564"/>
      <c r="S368" s="564"/>
      <c r="T368" s="564"/>
      <c r="U368" s="564"/>
      <c r="V368" s="565"/>
      <c r="W368" s="37" t="s">
        <v>69</v>
      </c>
      <c r="X368" s="555">
        <f>IFERROR(SUM(X365:X366),"0")</f>
        <v>10</v>
      </c>
      <c r="Y368" s="555">
        <f>IFERROR(SUM(Y365:Y366),"0")</f>
        <v>18</v>
      </c>
      <c r="Z368" s="37"/>
      <c r="AA368" s="556"/>
      <c r="AB368" s="556"/>
      <c r="AC368" s="556"/>
    </row>
    <row r="369" spans="1:68" ht="14.25" hidden="1" customHeight="1" x14ac:dyDescent="0.25">
      <c r="A369" s="559" t="s">
        <v>162</v>
      </c>
      <c r="B369" s="560"/>
      <c r="C369" s="560"/>
      <c r="D369" s="560"/>
      <c r="E369" s="560"/>
      <c r="F369" s="560"/>
      <c r="G369" s="560"/>
      <c r="H369" s="560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1">
        <v>4607091384673</v>
      </c>
      <c r="E370" s="562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5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9"/>
      <c r="R370" s="569"/>
      <c r="S370" s="569"/>
      <c r="T370" s="570"/>
      <c r="U370" s="34"/>
      <c r="V370" s="34"/>
      <c r="W370" s="35" t="s">
        <v>69</v>
      </c>
      <c r="X370" s="553">
        <v>30</v>
      </c>
      <c r="Y370" s="554">
        <f>IFERROR(IF(X370="",0,CEILING((X370/$H370),1)*$H370),"")</f>
        <v>36</v>
      </c>
      <c r="Z370" s="36">
        <f>IFERROR(IF(Y370=0,"",ROUNDUP(Y370/H370,0)*0.01898),"")</f>
        <v>7.5920000000000001E-2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31.646666666666665</v>
      </c>
      <c r="BN370" s="64">
        <f>IFERROR(Y370*I370/H370,"0")</f>
        <v>37.975999999999999</v>
      </c>
      <c r="BO370" s="64">
        <f>IFERROR(1/J370*(X370/H370),"0")</f>
        <v>5.2083333333333336E-2</v>
      </c>
      <c r="BP370" s="64">
        <f>IFERROR(1/J370*(Y370/H370),"0")</f>
        <v>6.25E-2</v>
      </c>
    </row>
    <row r="371" spans="1:68" x14ac:dyDescent="0.2">
      <c r="A371" s="566"/>
      <c r="B371" s="560"/>
      <c r="C371" s="560"/>
      <c r="D371" s="560"/>
      <c r="E371" s="560"/>
      <c r="F371" s="560"/>
      <c r="G371" s="560"/>
      <c r="H371" s="560"/>
      <c r="I371" s="560"/>
      <c r="J371" s="560"/>
      <c r="K371" s="560"/>
      <c r="L371" s="560"/>
      <c r="M371" s="560"/>
      <c r="N371" s="560"/>
      <c r="O371" s="567"/>
      <c r="P371" s="563" t="s">
        <v>75</v>
      </c>
      <c r="Q371" s="564"/>
      <c r="R371" s="564"/>
      <c r="S371" s="564"/>
      <c r="T371" s="564"/>
      <c r="U371" s="564"/>
      <c r="V371" s="565"/>
      <c r="W371" s="37" t="s">
        <v>76</v>
      </c>
      <c r="X371" s="555">
        <f>IFERROR(X370/H370,"0")</f>
        <v>3.3333333333333335</v>
      </c>
      <c r="Y371" s="555">
        <f>IFERROR(Y370/H370,"0")</f>
        <v>4</v>
      </c>
      <c r="Z371" s="555">
        <f>IFERROR(IF(Z370="",0,Z370),"0")</f>
        <v>7.5920000000000001E-2</v>
      </c>
      <c r="AA371" s="556"/>
      <c r="AB371" s="556"/>
      <c r="AC371" s="556"/>
    </row>
    <row r="372" spans="1:68" x14ac:dyDescent="0.2">
      <c r="A372" s="560"/>
      <c r="B372" s="560"/>
      <c r="C372" s="560"/>
      <c r="D372" s="560"/>
      <c r="E372" s="560"/>
      <c r="F372" s="560"/>
      <c r="G372" s="560"/>
      <c r="H372" s="560"/>
      <c r="I372" s="560"/>
      <c r="J372" s="560"/>
      <c r="K372" s="560"/>
      <c r="L372" s="560"/>
      <c r="M372" s="560"/>
      <c r="N372" s="560"/>
      <c r="O372" s="567"/>
      <c r="P372" s="563" t="s">
        <v>75</v>
      </c>
      <c r="Q372" s="564"/>
      <c r="R372" s="564"/>
      <c r="S372" s="564"/>
      <c r="T372" s="564"/>
      <c r="U372" s="564"/>
      <c r="V372" s="565"/>
      <c r="W372" s="37" t="s">
        <v>69</v>
      </c>
      <c r="X372" s="555">
        <f>IFERROR(SUM(X370:X370),"0")</f>
        <v>30</v>
      </c>
      <c r="Y372" s="555">
        <f>IFERROR(SUM(Y370:Y370),"0")</f>
        <v>36</v>
      </c>
      <c r="Z372" s="37"/>
      <c r="AA372" s="556"/>
      <c r="AB372" s="556"/>
      <c r="AC372" s="556"/>
    </row>
    <row r="373" spans="1:68" ht="16.5" hidden="1" customHeight="1" x14ac:dyDescent="0.25">
      <c r="A373" s="592" t="s">
        <v>595</v>
      </c>
      <c r="B373" s="560"/>
      <c r="C373" s="560"/>
      <c r="D373" s="560"/>
      <c r="E373" s="560"/>
      <c r="F373" s="560"/>
      <c r="G373" s="560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48"/>
      <c r="AB373" s="548"/>
      <c r="AC373" s="548"/>
    </row>
    <row r="374" spans="1:68" ht="14.25" hidden="1" customHeight="1" x14ac:dyDescent="0.25">
      <c r="A374" s="559" t="s">
        <v>101</v>
      </c>
      <c r="B374" s="560"/>
      <c r="C374" s="560"/>
      <c r="D374" s="560"/>
      <c r="E374" s="560"/>
      <c r="F374" s="560"/>
      <c r="G374" s="560"/>
      <c r="H374" s="560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1">
        <v>4680115884885</v>
      </c>
      <c r="E375" s="562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9"/>
      <c r="R375" s="569"/>
      <c r="S375" s="569"/>
      <c r="T375" s="570"/>
      <c r="U375" s="34"/>
      <c r="V375" s="34"/>
      <c r="W375" s="35" t="s">
        <v>69</v>
      </c>
      <c r="X375" s="553">
        <v>40</v>
      </c>
      <c r="Y375" s="554">
        <f>IFERROR(IF(X375="",0,CEILING((X375/$H375),1)*$H375),"")</f>
        <v>48</v>
      </c>
      <c r="Z375" s="36">
        <f>IFERROR(IF(Y375=0,"",ROUNDUP(Y375/H375,0)*0.01898),"")</f>
        <v>7.5920000000000001E-2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41.366666666666667</v>
      </c>
      <c r="BN375" s="64">
        <f>IFERROR(Y375*I375/H375,"0")</f>
        <v>49.640000000000008</v>
      </c>
      <c r="BO375" s="64">
        <f>IFERROR(1/J375*(X375/H375),"0")</f>
        <v>5.2083333333333336E-2</v>
      </c>
      <c r="BP375" s="64">
        <f>IFERROR(1/J375*(Y375/H375),"0")</f>
        <v>6.25E-2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1">
        <v>4680115884908</v>
      </c>
      <c r="E376" s="562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7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9"/>
      <c r="R376" s="569"/>
      <c r="S376" s="569"/>
      <c r="T376" s="570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66"/>
      <c r="B377" s="560"/>
      <c r="C377" s="560"/>
      <c r="D377" s="560"/>
      <c r="E377" s="560"/>
      <c r="F377" s="560"/>
      <c r="G377" s="560"/>
      <c r="H377" s="560"/>
      <c r="I377" s="560"/>
      <c r="J377" s="560"/>
      <c r="K377" s="560"/>
      <c r="L377" s="560"/>
      <c r="M377" s="560"/>
      <c r="N377" s="560"/>
      <c r="O377" s="567"/>
      <c r="P377" s="563" t="s">
        <v>75</v>
      </c>
      <c r="Q377" s="564"/>
      <c r="R377" s="564"/>
      <c r="S377" s="564"/>
      <c r="T377" s="564"/>
      <c r="U377" s="564"/>
      <c r="V377" s="565"/>
      <c r="W377" s="37" t="s">
        <v>76</v>
      </c>
      <c r="X377" s="555">
        <f>IFERROR(X375/H375,"0")+IFERROR(X376/H376,"0")</f>
        <v>3.3333333333333335</v>
      </c>
      <c r="Y377" s="555">
        <f>IFERROR(Y375/H375,"0")+IFERROR(Y376/H376,"0")</f>
        <v>4</v>
      </c>
      <c r="Z377" s="555">
        <f>IFERROR(IF(Z375="",0,Z375),"0")+IFERROR(IF(Z376="",0,Z376),"0")</f>
        <v>7.5920000000000001E-2</v>
      </c>
      <c r="AA377" s="556"/>
      <c r="AB377" s="556"/>
      <c r="AC377" s="556"/>
    </row>
    <row r="378" spans="1:68" x14ac:dyDescent="0.2">
      <c r="A378" s="560"/>
      <c r="B378" s="560"/>
      <c r="C378" s="560"/>
      <c r="D378" s="560"/>
      <c r="E378" s="560"/>
      <c r="F378" s="560"/>
      <c r="G378" s="560"/>
      <c r="H378" s="560"/>
      <c r="I378" s="560"/>
      <c r="J378" s="560"/>
      <c r="K378" s="560"/>
      <c r="L378" s="560"/>
      <c r="M378" s="560"/>
      <c r="N378" s="560"/>
      <c r="O378" s="567"/>
      <c r="P378" s="563" t="s">
        <v>75</v>
      </c>
      <c r="Q378" s="564"/>
      <c r="R378" s="564"/>
      <c r="S378" s="564"/>
      <c r="T378" s="564"/>
      <c r="U378" s="564"/>
      <c r="V378" s="565"/>
      <c r="W378" s="37" t="s">
        <v>69</v>
      </c>
      <c r="X378" s="555">
        <f>IFERROR(SUM(X375:X376),"0")</f>
        <v>40</v>
      </c>
      <c r="Y378" s="555">
        <f>IFERROR(SUM(Y375:Y376),"0")</f>
        <v>48</v>
      </c>
      <c r="Z378" s="37"/>
      <c r="AA378" s="556"/>
      <c r="AB378" s="556"/>
      <c r="AC378" s="556"/>
    </row>
    <row r="379" spans="1:68" ht="14.25" hidden="1" customHeight="1" x14ac:dyDescent="0.25">
      <c r="A379" s="559" t="s">
        <v>64</v>
      </c>
      <c r="B379" s="560"/>
      <c r="C379" s="560"/>
      <c r="D379" s="560"/>
      <c r="E379" s="560"/>
      <c r="F379" s="560"/>
      <c r="G379" s="560"/>
      <c r="H379" s="560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1">
        <v>4607091384802</v>
      </c>
      <c r="E380" s="562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82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9"/>
      <c r="R380" s="569"/>
      <c r="S380" s="569"/>
      <c r="T380" s="570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1">
        <v>4607091384802</v>
      </c>
      <c r="E381" s="562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69"/>
      <c r="R381" s="569"/>
      <c r="S381" s="569"/>
      <c r="T381" s="570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6"/>
      <c r="B382" s="560"/>
      <c r="C382" s="560"/>
      <c r="D382" s="560"/>
      <c r="E382" s="560"/>
      <c r="F382" s="560"/>
      <c r="G382" s="560"/>
      <c r="H382" s="560"/>
      <c r="I382" s="560"/>
      <c r="J382" s="560"/>
      <c r="K382" s="560"/>
      <c r="L382" s="560"/>
      <c r="M382" s="560"/>
      <c r="N382" s="560"/>
      <c r="O382" s="567"/>
      <c r="P382" s="563" t="s">
        <v>75</v>
      </c>
      <c r="Q382" s="564"/>
      <c r="R382" s="564"/>
      <c r="S382" s="564"/>
      <c r="T382" s="564"/>
      <c r="U382" s="564"/>
      <c r="V382" s="565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0"/>
      <c r="B383" s="560"/>
      <c r="C383" s="560"/>
      <c r="D383" s="560"/>
      <c r="E383" s="560"/>
      <c r="F383" s="560"/>
      <c r="G383" s="560"/>
      <c r="H383" s="560"/>
      <c r="I383" s="560"/>
      <c r="J383" s="560"/>
      <c r="K383" s="560"/>
      <c r="L383" s="560"/>
      <c r="M383" s="560"/>
      <c r="N383" s="560"/>
      <c r="O383" s="567"/>
      <c r="P383" s="563" t="s">
        <v>75</v>
      </c>
      <c r="Q383" s="564"/>
      <c r="R383" s="564"/>
      <c r="S383" s="564"/>
      <c r="T383" s="564"/>
      <c r="U383" s="564"/>
      <c r="V383" s="565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59" t="s">
        <v>77</v>
      </c>
      <c r="B384" s="560"/>
      <c r="C384" s="560"/>
      <c r="D384" s="560"/>
      <c r="E384" s="560"/>
      <c r="F384" s="560"/>
      <c r="G384" s="560"/>
      <c r="H384" s="560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1">
        <v>4607091384246</v>
      </c>
      <c r="E385" s="562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5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69"/>
      <c r="R385" s="569"/>
      <c r="S385" s="569"/>
      <c r="T385" s="570"/>
      <c r="U385" s="34"/>
      <c r="V385" s="34"/>
      <c r="W385" s="35" t="s">
        <v>69</v>
      </c>
      <c r="X385" s="553">
        <v>10</v>
      </c>
      <c r="Y385" s="554">
        <f>IFERROR(IF(X385="",0,CEILING((X385/$H385),1)*$H385),"")</f>
        <v>18</v>
      </c>
      <c r="Z385" s="36">
        <f>IFERROR(IF(Y385=0,"",ROUNDUP(Y385/H385,0)*0.01898),"")</f>
        <v>3.7960000000000001E-2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10.548888888888889</v>
      </c>
      <c r="BN385" s="64">
        <f>IFERROR(Y385*I385/H385,"0")</f>
        <v>18.988</v>
      </c>
      <c r="BO385" s="64">
        <f>IFERROR(1/J385*(X385/H385),"0")</f>
        <v>1.7361111111111112E-2</v>
      </c>
      <c r="BP385" s="64">
        <f>IFERROR(1/J385*(Y385/H385),"0")</f>
        <v>3.125E-2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1">
        <v>4607091384253</v>
      </c>
      <c r="E386" s="562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69"/>
      <c r="R386" s="569"/>
      <c r="S386" s="569"/>
      <c r="T386" s="570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1">
        <v>4607091384253</v>
      </c>
      <c r="E387" s="562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69"/>
      <c r="R387" s="569"/>
      <c r="S387" s="569"/>
      <c r="T387" s="570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6"/>
      <c r="B388" s="560"/>
      <c r="C388" s="560"/>
      <c r="D388" s="560"/>
      <c r="E388" s="560"/>
      <c r="F388" s="560"/>
      <c r="G388" s="560"/>
      <c r="H388" s="560"/>
      <c r="I388" s="560"/>
      <c r="J388" s="560"/>
      <c r="K388" s="560"/>
      <c r="L388" s="560"/>
      <c r="M388" s="560"/>
      <c r="N388" s="560"/>
      <c r="O388" s="567"/>
      <c r="P388" s="563" t="s">
        <v>75</v>
      </c>
      <c r="Q388" s="564"/>
      <c r="R388" s="564"/>
      <c r="S388" s="564"/>
      <c r="T388" s="564"/>
      <c r="U388" s="564"/>
      <c r="V388" s="565"/>
      <c r="W388" s="37" t="s">
        <v>76</v>
      </c>
      <c r="X388" s="555">
        <f>IFERROR(X385/H385,"0")+IFERROR(X386/H386,"0")+IFERROR(X387/H387,"0")</f>
        <v>1.1111111111111112</v>
      </c>
      <c r="Y388" s="555">
        <f>IFERROR(Y385/H385,"0")+IFERROR(Y386/H386,"0")+IFERROR(Y387/H387,"0")</f>
        <v>2</v>
      </c>
      <c r="Z388" s="555">
        <f>IFERROR(IF(Z385="",0,Z385),"0")+IFERROR(IF(Z386="",0,Z386),"0")+IFERROR(IF(Z387="",0,Z387),"0")</f>
        <v>3.7960000000000001E-2</v>
      </c>
      <c r="AA388" s="556"/>
      <c r="AB388" s="556"/>
      <c r="AC388" s="556"/>
    </row>
    <row r="389" spans="1:68" x14ac:dyDescent="0.2">
      <c r="A389" s="560"/>
      <c r="B389" s="560"/>
      <c r="C389" s="560"/>
      <c r="D389" s="560"/>
      <c r="E389" s="560"/>
      <c r="F389" s="560"/>
      <c r="G389" s="560"/>
      <c r="H389" s="560"/>
      <c r="I389" s="560"/>
      <c r="J389" s="560"/>
      <c r="K389" s="560"/>
      <c r="L389" s="560"/>
      <c r="M389" s="560"/>
      <c r="N389" s="560"/>
      <c r="O389" s="567"/>
      <c r="P389" s="563" t="s">
        <v>75</v>
      </c>
      <c r="Q389" s="564"/>
      <c r="R389" s="564"/>
      <c r="S389" s="564"/>
      <c r="T389" s="564"/>
      <c r="U389" s="564"/>
      <c r="V389" s="565"/>
      <c r="W389" s="37" t="s">
        <v>69</v>
      </c>
      <c r="X389" s="555">
        <f>IFERROR(SUM(X385:X387),"0")</f>
        <v>10</v>
      </c>
      <c r="Y389" s="555">
        <f>IFERROR(SUM(Y385:Y387),"0")</f>
        <v>18</v>
      </c>
      <c r="Z389" s="37"/>
      <c r="AA389" s="556"/>
      <c r="AB389" s="556"/>
      <c r="AC389" s="556"/>
    </row>
    <row r="390" spans="1:68" ht="27.75" hidden="1" customHeight="1" x14ac:dyDescent="0.2">
      <c r="A390" s="582" t="s">
        <v>613</v>
      </c>
      <c r="B390" s="583"/>
      <c r="C390" s="583"/>
      <c r="D390" s="583"/>
      <c r="E390" s="583"/>
      <c r="F390" s="583"/>
      <c r="G390" s="583"/>
      <c r="H390" s="583"/>
      <c r="I390" s="583"/>
      <c r="J390" s="583"/>
      <c r="K390" s="583"/>
      <c r="L390" s="583"/>
      <c r="M390" s="583"/>
      <c r="N390" s="583"/>
      <c r="O390" s="583"/>
      <c r="P390" s="583"/>
      <c r="Q390" s="583"/>
      <c r="R390" s="583"/>
      <c r="S390" s="583"/>
      <c r="T390" s="583"/>
      <c r="U390" s="583"/>
      <c r="V390" s="583"/>
      <c r="W390" s="583"/>
      <c r="X390" s="583"/>
      <c r="Y390" s="583"/>
      <c r="Z390" s="583"/>
      <c r="AA390" s="48"/>
      <c r="AB390" s="48"/>
      <c r="AC390" s="48"/>
    </row>
    <row r="391" spans="1:68" ht="16.5" hidden="1" customHeight="1" x14ac:dyDescent="0.25">
      <c r="A391" s="592" t="s">
        <v>614</v>
      </c>
      <c r="B391" s="560"/>
      <c r="C391" s="560"/>
      <c r="D391" s="560"/>
      <c r="E391" s="560"/>
      <c r="F391" s="560"/>
      <c r="G391" s="560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48"/>
      <c r="AB391" s="548"/>
      <c r="AC391" s="548"/>
    </row>
    <row r="392" spans="1:68" ht="14.25" hidden="1" customHeight="1" x14ac:dyDescent="0.25">
      <c r="A392" s="559" t="s">
        <v>64</v>
      </c>
      <c r="B392" s="560"/>
      <c r="C392" s="560"/>
      <c r="D392" s="560"/>
      <c r="E392" s="560"/>
      <c r="F392" s="560"/>
      <c r="G392" s="560"/>
      <c r="H392" s="560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1">
        <v>4680115886100</v>
      </c>
      <c r="E393" s="562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82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69"/>
      <c r="R393" s="569"/>
      <c r="S393" s="569"/>
      <c r="T393" s="570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1">
        <v>4680115886117</v>
      </c>
      <c r="E394" s="562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84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69"/>
      <c r="R394" s="569"/>
      <c r="S394" s="569"/>
      <c r="T394" s="570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1">
        <v>4680115886124</v>
      </c>
      <c r="E395" s="562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88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69"/>
      <c r="R395" s="569"/>
      <c r="S395" s="569"/>
      <c r="T395" s="570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1">
        <v>4680115883147</v>
      </c>
      <c r="E396" s="562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69"/>
      <c r="R396" s="569"/>
      <c r="S396" s="569"/>
      <c r="T396" s="570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1">
        <v>4607091384338</v>
      </c>
      <c r="E397" s="562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3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69"/>
      <c r="R397" s="569"/>
      <c r="S397" s="569"/>
      <c r="T397" s="570"/>
      <c r="U397" s="34"/>
      <c r="V397" s="34"/>
      <c r="W397" s="35" t="s">
        <v>69</v>
      </c>
      <c r="X397" s="553">
        <v>35</v>
      </c>
      <c r="Y397" s="554">
        <f t="shared" si="41"/>
        <v>35.700000000000003</v>
      </c>
      <c r="Z397" s="36">
        <f t="shared" si="46"/>
        <v>8.5339999999999999E-2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37.166666666666664</v>
      </c>
      <c r="BN397" s="64">
        <f t="shared" si="43"/>
        <v>37.910000000000004</v>
      </c>
      <c r="BO397" s="64">
        <f t="shared" si="44"/>
        <v>7.1225071225071226E-2</v>
      </c>
      <c r="BP397" s="64">
        <f t="shared" si="45"/>
        <v>7.2649572649572655E-2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1">
        <v>4607091389524</v>
      </c>
      <c r="E398" s="562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69"/>
      <c r="R398" s="569"/>
      <c r="S398" s="569"/>
      <c r="T398" s="570"/>
      <c r="U398" s="34"/>
      <c r="V398" s="34"/>
      <c r="W398" s="35" t="s">
        <v>69</v>
      </c>
      <c r="X398" s="553">
        <v>10.5</v>
      </c>
      <c r="Y398" s="554">
        <f t="shared" si="41"/>
        <v>10.5</v>
      </c>
      <c r="Z398" s="36">
        <f t="shared" si="46"/>
        <v>2.5100000000000001E-2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11.149999999999999</v>
      </c>
      <c r="BN398" s="64">
        <f t="shared" si="43"/>
        <v>11.149999999999999</v>
      </c>
      <c r="BO398" s="64">
        <f t="shared" si="44"/>
        <v>2.1367521367521368E-2</v>
      </c>
      <c r="BP398" s="64">
        <f t="shared" si="45"/>
        <v>2.1367521367521368E-2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1">
        <v>4680115883161</v>
      </c>
      <c r="E399" s="562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69"/>
      <c r="R399" s="569"/>
      <c r="S399" s="569"/>
      <c r="T399" s="570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1">
        <v>4607091389531</v>
      </c>
      <c r="E400" s="562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8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69"/>
      <c r="R400" s="569"/>
      <c r="S400" s="569"/>
      <c r="T400" s="570"/>
      <c r="U400" s="34"/>
      <c r="V400" s="34"/>
      <c r="W400" s="35" t="s">
        <v>69</v>
      </c>
      <c r="X400" s="553">
        <v>52.5</v>
      </c>
      <c r="Y400" s="554">
        <f t="shared" si="41"/>
        <v>52.5</v>
      </c>
      <c r="Z400" s="36">
        <f t="shared" si="46"/>
        <v>0.1255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55.75</v>
      </c>
      <c r="BN400" s="64">
        <f t="shared" si="43"/>
        <v>55.75</v>
      </c>
      <c r="BO400" s="64">
        <f t="shared" si="44"/>
        <v>0.10683760683760685</v>
      </c>
      <c r="BP400" s="64">
        <f t="shared" si="45"/>
        <v>0.10683760683760685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1">
        <v>4607091384345</v>
      </c>
      <c r="E401" s="562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8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69"/>
      <c r="R401" s="569"/>
      <c r="S401" s="569"/>
      <c r="T401" s="570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6"/>
      <c r="B402" s="560"/>
      <c r="C402" s="560"/>
      <c r="D402" s="560"/>
      <c r="E402" s="560"/>
      <c r="F402" s="560"/>
      <c r="G402" s="560"/>
      <c r="H402" s="560"/>
      <c r="I402" s="560"/>
      <c r="J402" s="560"/>
      <c r="K402" s="560"/>
      <c r="L402" s="560"/>
      <c r="M402" s="560"/>
      <c r="N402" s="560"/>
      <c r="O402" s="567"/>
      <c r="P402" s="563" t="s">
        <v>75</v>
      </c>
      <c r="Q402" s="564"/>
      <c r="R402" s="564"/>
      <c r="S402" s="564"/>
      <c r="T402" s="564"/>
      <c r="U402" s="564"/>
      <c r="V402" s="565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46.666666666666664</v>
      </c>
      <c r="Y402" s="555">
        <f>IFERROR(Y393/H393,"0")+IFERROR(Y394/H394,"0")+IFERROR(Y395/H395,"0")+IFERROR(Y396/H396,"0")+IFERROR(Y397/H397,"0")+IFERROR(Y398/H398,"0")+IFERROR(Y399/H399,"0")+IFERROR(Y400/H400,"0")+IFERROR(Y401/H401,"0")</f>
        <v>47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0.23593999999999998</v>
      </c>
      <c r="AA402" s="556"/>
      <c r="AB402" s="556"/>
      <c r="AC402" s="556"/>
    </row>
    <row r="403" spans="1:68" x14ac:dyDescent="0.2">
      <c r="A403" s="560"/>
      <c r="B403" s="560"/>
      <c r="C403" s="560"/>
      <c r="D403" s="560"/>
      <c r="E403" s="560"/>
      <c r="F403" s="560"/>
      <c r="G403" s="560"/>
      <c r="H403" s="560"/>
      <c r="I403" s="560"/>
      <c r="J403" s="560"/>
      <c r="K403" s="560"/>
      <c r="L403" s="560"/>
      <c r="M403" s="560"/>
      <c r="N403" s="560"/>
      <c r="O403" s="567"/>
      <c r="P403" s="563" t="s">
        <v>75</v>
      </c>
      <c r="Q403" s="564"/>
      <c r="R403" s="564"/>
      <c r="S403" s="564"/>
      <c r="T403" s="564"/>
      <c r="U403" s="564"/>
      <c r="V403" s="565"/>
      <c r="W403" s="37" t="s">
        <v>69</v>
      </c>
      <c r="X403" s="555">
        <f>IFERROR(SUM(X393:X401),"0")</f>
        <v>98</v>
      </c>
      <c r="Y403" s="555">
        <f>IFERROR(SUM(Y393:Y401),"0")</f>
        <v>98.7</v>
      </c>
      <c r="Z403" s="37"/>
      <c r="AA403" s="556"/>
      <c r="AB403" s="556"/>
      <c r="AC403" s="556"/>
    </row>
    <row r="404" spans="1:68" ht="14.25" hidden="1" customHeight="1" x14ac:dyDescent="0.25">
      <c r="A404" s="559" t="s">
        <v>77</v>
      </c>
      <c r="B404" s="560"/>
      <c r="C404" s="560"/>
      <c r="D404" s="560"/>
      <c r="E404" s="560"/>
      <c r="F404" s="560"/>
      <c r="G404" s="560"/>
      <c r="H404" s="560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1">
        <v>4607091384352</v>
      </c>
      <c r="E405" s="562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8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69"/>
      <c r="R405" s="569"/>
      <c r="S405" s="569"/>
      <c r="T405" s="570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1">
        <v>4607091389654</v>
      </c>
      <c r="E406" s="562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69"/>
      <c r="R406" s="569"/>
      <c r="S406" s="569"/>
      <c r="T406" s="570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6"/>
      <c r="B407" s="560"/>
      <c r="C407" s="560"/>
      <c r="D407" s="560"/>
      <c r="E407" s="560"/>
      <c r="F407" s="560"/>
      <c r="G407" s="560"/>
      <c r="H407" s="560"/>
      <c r="I407" s="560"/>
      <c r="J407" s="560"/>
      <c r="K407" s="560"/>
      <c r="L407" s="560"/>
      <c r="M407" s="560"/>
      <c r="N407" s="560"/>
      <c r="O407" s="567"/>
      <c r="P407" s="563" t="s">
        <v>75</v>
      </c>
      <c r="Q407" s="564"/>
      <c r="R407" s="564"/>
      <c r="S407" s="564"/>
      <c r="T407" s="564"/>
      <c r="U407" s="564"/>
      <c r="V407" s="565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0"/>
      <c r="B408" s="560"/>
      <c r="C408" s="560"/>
      <c r="D408" s="560"/>
      <c r="E408" s="560"/>
      <c r="F408" s="560"/>
      <c r="G408" s="560"/>
      <c r="H408" s="560"/>
      <c r="I408" s="560"/>
      <c r="J408" s="560"/>
      <c r="K408" s="560"/>
      <c r="L408" s="560"/>
      <c r="M408" s="560"/>
      <c r="N408" s="560"/>
      <c r="O408" s="567"/>
      <c r="P408" s="563" t="s">
        <v>75</v>
      </c>
      <c r="Q408" s="564"/>
      <c r="R408" s="564"/>
      <c r="S408" s="564"/>
      <c r="T408" s="564"/>
      <c r="U408" s="564"/>
      <c r="V408" s="565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92" t="s">
        <v>645</v>
      </c>
      <c r="B409" s="560"/>
      <c r="C409" s="560"/>
      <c r="D409" s="560"/>
      <c r="E409" s="560"/>
      <c r="F409" s="560"/>
      <c r="G409" s="560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48"/>
      <c r="AB409" s="548"/>
      <c r="AC409" s="548"/>
    </row>
    <row r="410" spans="1:68" ht="14.25" hidden="1" customHeight="1" x14ac:dyDescent="0.25">
      <c r="A410" s="559" t="s">
        <v>137</v>
      </c>
      <c r="B410" s="560"/>
      <c r="C410" s="560"/>
      <c r="D410" s="560"/>
      <c r="E410" s="560"/>
      <c r="F410" s="560"/>
      <c r="G410" s="560"/>
      <c r="H410" s="560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1">
        <v>4680115885240</v>
      </c>
      <c r="E411" s="562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69"/>
      <c r="R411" s="569"/>
      <c r="S411" s="569"/>
      <c r="T411" s="570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6"/>
      <c r="B412" s="560"/>
      <c r="C412" s="560"/>
      <c r="D412" s="560"/>
      <c r="E412" s="560"/>
      <c r="F412" s="560"/>
      <c r="G412" s="560"/>
      <c r="H412" s="560"/>
      <c r="I412" s="560"/>
      <c r="J412" s="560"/>
      <c r="K412" s="560"/>
      <c r="L412" s="560"/>
      <c r="M412" s="560"/>
      <c r="N412" s="560"/>
      <c r="O412" s="567"/>
      <c r="P412" s="563" t="s">
        <v>75</v>
      </c>
      <c r="Q412" s="564"/>
      <c r="R412" s="564"/>
      <c r="S412" s="564"/>
      <c r="T412" s="564"/>
      <c r="U412" s="564"/>
      <c r="V412" s="565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0"/>
      <c r="B413" s="560"/>
      <c r="C413" s="560"/>
      <c r="D413" s="560"/>
      <c r="E413" s="560"/>
      <c r="F413" s="560"/>
      <c r="G413" s="560"/>
      <c r="H413" s="560"/>
      <c r="I413" s="560"/>
      <c r="J413" s="560"/>
      <c r="K413" s="560"/>
      <c r="L413" s="560"/>
      <c r="M413" s="560"/>
      <c r="N413" s="560"/>
      <c r="O413" s="567"/>
      <c r="P413" s="563" t="s">
        <v>75</v>
      </c>
      <c r="Q413" s="564"/>
      <c r="R413" s="564"/>
      <c r="S413" s="564"/>
      <c r="T413" s="564"/>
      <c r="U413" s="564"/>
      <c r="V413" s="565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59" t="s">
        <v>64</v>
      </c>
      <c r="B414" s="560"/>
      <c r="C414" s="560"/>
      <c r="D414" s="560"/>
      <c r="E414" s="560"/>
      <c r="F414" s="560"/>
      <c r="G414" s="560"/>
      <c r="H414" s="560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1">
        <v>4680115886094</v>
      </c>
      <c r="E415" s="562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65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69"/>
      <c r="R415" s="569"/>
      <c r="S415" s="569"/>
      <c r="T415" s="570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1">
        <v>4607091389425</v>
      </c>
      <c r="E416" s="562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69"/>
      <c r="R416" s="569"/>
      <c r="S416" s="569"/>
      <c r="T416" s="570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1">
        <v>4680115880771</v>
      </c>
      <c r="E417" s="562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2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69"/>
      <c r="R417" s="569"/>
      <c r="S417" s="569"/>
      <c r="T417" s="570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1">
        <v>4607091389500</v>
      </c>
      <c r="E418" s="562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6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69"/>
      <c r="R418" s="569"/>
      <c r="S418" s="569"/>
      <c r="T418" s="570"/>
      <c r="U418" s="34"/>
      <c r="V418" s="34"/>
      <c r="W418" s="35" t="s">
        <v>69</v>
      </c>
      <c r="X418" s="553">
        <v>10.5</v>
      </c>
      <c r="Y418" s="554">
        <f>IFERROR(IF(X418="",0,CEILING((X418/$H418),1)*$H418),"")</f>
        <v>10.5</v>
      </c>
      <c r="Z418" s="36">
        <f>IFERROR(IF(Y418=0,"",ROUNDUP(Y418/H418,0)*0.00502),"")</f>
        <v>2.5100000000000001E-2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11.149999999999999</v>
      </c>
      <c r="BN418" s="64">
        <f>IFERROR(Y418*I418/H418,"0")</f>
        <v>11.149999999999999</v>
      </c>
      <c r="BO418" s="64">
        <f>IFERROR(1/J418*(X418/H418),"0")</f>
        <v>2.1367521367521368E-2</v>
      </c>
      <c r="BP418" s="64">
        <f>IFERROR(1/J418*(Y418/H418),"0")</f>
        <v>2.1367521367521368E-2</v>
      </c>
    </row>
    <row r="419" spans="1:68" x14ac:dyDescent="0.2">
      <c r="A419" s="566"/>
      <c r="B419" s="560"/>
      <c r="C419" s="560"/>
      <c r="D419" s="560"/>
      <c r="E419" s="560"/>
      <c r="F419" s="560"/>
      <c r="G419" s="560"/>
      <c r="H419" s="560"/>
      <c r="I419" s="560"/>
      <c r="J419" s="560"/>
      <c r="K419" s="560"/>
      <c r="L419" s="560"/>
      <c r="M419" s="560"/>
      <c r="N419" s="560"/>
      <c r="O419" s="567"/>
      <c r="P419" s="563" t="s">
        <v>75</v>
      </c>
      <c r="Q419" s="564"/>
      <c r="R419" s="564"/>
      <c r="S419" s="564"/>
      <c r="T419" s="564"/>
      <c r="U419" s="564"/>
      <c r="V419" s="565"/>
      <c r="W419" s="37" t="s">
        <v>76</v>
      </c>
      <c r="X419" s="555">
        <f>IFERROR(X415/H415,"0")+IFERROR(X416/H416,"0")+IFERROR(X417/H417,"0")+IFERROR(X418/H418,"0")</f>
        <v>5</v>
      </c>
      <c r="Y419" s="555">
        <f>IFERROR(Y415/H415,"0")+IFERROR(Y416/H416,"0")+IFERROR(Y417/H417,"0")+IFERROR(Y418/H418,"0")</f>
        <v>5</v>
      </c>
      <c r="Z419" s="555">
        <f>IFERROR(IF(Z415="",0,Z415),"0")+IFERROR(IF(Z416="",0,Z416),"0")+IFERROR(IF(Z417="",0,Z417),"0")+IFERROR(IF(Z418="",0,Z418),"0")</f>
        <v>2.5100000000000001E-2</v>
      </c>
      <c r="AA419" s="556"/>
      <c r="AB419" s="556"/>
      <c r="AC419" s="556"/>
    </row>
    <row r="420" spans="1:68" x14ac:dyDescent="0.2">
      <c r="A420" s="560"/>
      <c r="B420" s="560"/>
      <c r="C420" s="560"/>
      <c r="D420" s="560"/>
      <c r="E420" s="560"/>
      <c r="F420" s="560"/>
      <c r="G420" s="560"/>
      <c r="H420" s="560"/>
      <c r="I420" s="560"/>
      <c r="J420" s="560"/>
      <c r="K420" s="560"/>
      <c r="L420" s="560"/>
      <c r="M420" s="560"/>
      <c r="N420" s="560"/>
      <c r="O420" s="567"/>
      <c r="P420" s="563" t="s">
        <v>75</v>
      </c>
      <c r="Q420" s="564"/>
      <c r="R420" s="564"/>
      <c r="S420" s="564"/>
      <c r="T420" s="564"/>
      <c r="U420" s="564"/>
      <c r="V420" s="565"/>
      <c r="W420" s="37" t="s">
        <v>69</v>
      </c>
      <c r="X420" s="555">
        <f>IFERROR(SUM(X415:X418),"0")</f>
        <v>10.5</v>
      </c>
      <c r="Y420" s="555">
        <f>IFERROR(SUM(Y415:Y418),"0")</f>
        <v>10.5</v>
      </c>
      <c r="Z420" s="37"/>
      <c r="AA420" s="556"/>
      <c r="AB420" s="556"/>
      <c r="AC420" s="556"/>
    </row>
    <row r="421" spans="1:68" ht="16.5" hidden="1" customHeight="1" x14ac:dyDescent="0.25">
      <c r="A421" s="592" t="s">
        <v>660</v>
      </c>
      <c r="B421" s="560"/>
      <c r="C421" s="560"/>
      <c r="D421" s="560"/>
      <c r="E421" s="560"/>
      <c r="F421" s="560"/>
      <c r="G421" s="560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48"/>
      <c r="AB421" s="548"/>
      <c r="AC421" s="548"/>
    </row>
    <row r="422" spans="1:68" ht="14.25" hidden="1" customHeight="1" x14ac:dyDescent="0.25">
      <c r="A422" s="559" t="s">
        <v>64</v>
      </c>
      <c r="B422" s="560"/>
      <c r="C422" s="560"/>
      <c r="D422" s="560"/>
      <c r="E422" s="560"/>
      <c r="F422" s="560"/>
      <c r="G422" s="560"/>
      <c r="H422" s="560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1">
        <v>4680115885110</v>
      </c>
      <c r="E423" s="562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79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69"/>
      <c r="R423" s="569"/>
      <c r="S423" s="569"/>
      <c r="T423" s="570"/>
      <c r="U423" s="34"/>
      <c r="V423" s="34"/>
      <c r="W423" s="35" t="s">
        <v>69</v>
      </c>
      <c r="X423" s="553">
        <v>24</v>
      </c>
      <c r="Y423" s="554">
        <f>IFERROR(IF(X423="",0,CEILING((X423/$H423),1)*$H423),"")</f>
        <v>24</v>
      </c>
      <c r="Z423" s="36">
        <f>IFERROR(IF(Y423=0,"",ROUNDUP(Y423/H423,0)*0.00651),"")</f>
        <v>0.13020000000000001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42.000000000000007</v>
      </c>
      <c r="BN423" s="64">
        <f>IFERROR(Y423*I423/H423,"0")</f>
        <v>42.000000000000007</v>
      </c>
      <c r="BO423" s="64">
        <f>IFERROR(1/J423*(X423/H423),"0")</f>
        <v>0.1098901098901099</v>
      </c>
      <c r="BP423" s="64">
        <f>IFERROR(1/J423*(Y423/H423),"0")</f>
        <v>0.1098901098901099</v>
      </c>
    </row>
    <row r="424" spans="1:68" x14ac:dyDescent="0.2">
      <c r="A424" s="566"/>
      <c r="B424" s="560"/>
      <c r="C424" s="560"/>
      <c r="D424" s="560"/>
      <c r="E424" s="560"/>
      <c r="F424" s="560"/>
      <c r="G424" s="560"/>
      <c r="H424" s="560"/>
      <c r="I424" s="560"/>
      <c r="J424" s="560"/>
      <c r="K424" s="560"/>
      <c r="L424" s="560"/>
      <c r="M424" s="560"/>
      <c r="N424" s="560"/>
      <c r="O424" s="567"/>
      <c r="P424" s="563" t="s">
        <v>75</v>
      </c>
      <c r="Q424" s="564"/>
      <c r="R424" s="564"/>
      <c r="S424" s="564"/>
      <c r="T424" s="564"/>
      <c r="U424" s="564"/>
      <c r="V424" s="565"/>
      <c r="W424" s="37" t="s">
        <v>76</v>
      </c>
      <c r="X424" s="555">
        <f>IFERROR(X423/H423,"0")</f>
        <v>20</v>
      </c>
      <c r="Y424" s="555">
        <f>IFERROR(Y423/H423,"0")</f>
        <v>20</v>
      </c>
      <c r="Z424" s="555">
        <f>IFERROR(IF(Z423="",0,Z423),"0")</f>
        <v>0.13020000000000001</v>
      </c>
      <c r="AA424" s="556"/>
      <c r="AB424" s="556"/>
      <c r="AC424" s="556"/>
    </row>
    <row r="425" spans="1:68" x14ac:dyDescent="0.2">
      <c r="A425" s="560"/>
      <c r="B425" s="560"/>
      <c r="C425" s="560"/>
      <c r="D425" s="560"/>
      <c r="E425" s="560"/>
      <c r="F425" s="560"/>
      <c r="G425" s="560"/>
      <c r="H425" s="560"/>
      <c r="I425" s="560"/>
      <c r="J425" s="560"/>
      <c r="K425" s="560"/>
      <c r="L425" s="560"/>
      <c r="M425" s="560"/>
      <c r="N425" s="560"/>
      <c r="O425" s="567"/>
      <c r="P425" s="563" t="s">
        <v>75</v>
      </c>
      <c r="Q425" s="564"/>
      <c r="R425" s="564"/>
      <c r="S425" s="564"/>
      <c r="T425" s="564"/>
      <c r="U425" s="564"/>
      <c r="V425" s="565"/>
      <c r="W425" s="37" t="s">
        <v>69</v>
      </c>
      <c r="X425" s="555">
        <f>IFERROR(SUM(X423:X423),"0")</f>
        <v>24</v>
      </c>
      <c r="Y425" s="555">
        <f>IFERROR(SUM(Y423:Y423),"0")</f>
        <v>24</v>
      </c>
      <c r="Z425" s="37"/>
      <c r="AA425" s="556"/>
      <c r="AB425" s="556"/>
      <c r="AC425" s="556"/>
    </row>
    <row r="426" spans="1:68" ht="27.75" hidden="1" customHeight="1" x14ac:dyDescent="0.2">
      <c r="A426" s="582" t="s">
        <v>664</v>
      </c>
      <c r="B426" s="583"/>
      <c r="C426" s="583"/>
      <c r="D426" s="583"/>
      <c r="E426" s="583"/>
      <c r="F426" s="583"/>
      <c r="G426" s="583"/>
      <c r="H426" s="583"/>
      <c r="I426" s="583"/>
      <c r="J426" s="583"/>
      <c r="K426" s="583"/>
      <c r="L426" s="583"/>
      <c r="M426" s="583"/>
      <c r="N426" s="583"/>
      <c r="O426" s="583"/>
      <c r="P426" s="583"/>
      <c r="Q426" s="583"/>
      <c r="R426" s="583"/>
      <c r="S426" s="583"/>
      <c r="T426" s="583"/>
      <c r="U426" s="583"/>
      <c r="V426" s="583"/>
      <c r="W426" s="583"/>
      <c r="X426" s="583"/>
      <c r="Y426" s="583"/>
      <c r="Z426" s="583"/>
      <c r="AA426" s="48"/>
      <c r="AB426" s="48"/>
      <c r="AC426" s="48"/>
    </row>
    <row r="427" spans="1:68" ht="16.5" hidden="1" customHeight="1" x14ac:dyDescent="0.25">
      <c r="A427" s="592" t="s">
        <v>664</v>
      </c>
      <c r="B427" s="560"/>
      <c r="C427" s="560"/>
      <c r="D427" s="560"/>
      <c r="E427" s="560"/>
      <c r="F427" s="560"/>
      <c r="G427" s="560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48"/>
      <c r="AB427" s="548"/>
      <c r="AC427" s="548"/>
    </row>
    <row r="428" spans="1:68" ht="14.25" hidden="1" customHeight="1" x14ac:dyDescent="0.25">
      <c r="A428" s="559" t="s">
        <v>101</v>
      </c>
      <c r="B428" s="560"/>
      <c r="C428" s="560"/>
      <c r="D428" s="560"/>
      <c r="E428" s="560"/>
      <c r="F428" s="560"/>
      <c r="G428" s="560"/>
      <c r="H428" s="560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1">
        <v>4607091389067</v>
      </c>
      <c r="E429" s="562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7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69"/>
      <c r="R429" s="569"/>
      <c r="S429" s="569"/>
      <c r="T429" s="570"/>
      <c r="U429" s="34"/>
      <c r="V429" s="34"/>
      <c r="W429" s="35" t="s">
        <v>69</v>
      </c>
      <c r="X429" s="553">
        <v>70</v>
      </c>
      <c r="Y429" s="554">
        <f t="shared" ref="Y429:Y440" si="47">IFERROR(IF(X429="",0,CEILING((X429/$H429),1)*$H429),"")</f>
        <v>73.92</v>
      </c>
      <c r="Z429" s="36">
        <f t="shared" ref="Z429:Z435" si="48">IFERROR(IF(Y429=0,"",ROUNDUP(Y429/H429,0)*0.01196),"")</f>
        <v>0.16744000000000001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74.640151515151501</v>
      </c>
      <c r="BN429" s="64">
        <f t="shared" ref="BN429:BN440" si="50">IFERROR(Y429*I429/H429,"0")</f>
        <v>78.819999999999993</v>
      </c>
      <c r="BO429" s="64">
        <f t="shared" ref="BO429:BO440" si="51">IFERROR(1/J429*(X429/H429),"0")</f>
        <v>0.12747668997668998</v>
      </c>
      <c r="BP429" s="64">
        <f t="shared" ref="BP429:BP440" si="52">IFERROR(1/J429*(Y429/H429),"0")</f>
        <v>0.13461538461538464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1">
        <v>4607091383522</v>
      </c>
      <c r="E430" s="562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62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9"/>
      <c r="R430" s="569"/>
      <c r="S430" s="569"/>
      <c r="T430" s="570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1">
        <v>4607091383522</v>
      </c>
      <c r="E431" s="562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9"/>
      <c r="R431" s="569"/>
      <c r="S431" s="569"/>
      <c r="T431" s="570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1">
        <v>4680115885271</v>
      </c>
      <c r="E432" s="562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86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69"/>
      <c r="R432" s="569"/>
      <c r="S432" s="569"/>
      <c r="T432" s="570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1">
        <v>4680115885226</v>
      </c>
      <c r="E433" s="562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8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69"/>
      <c r="R433" s="569"/>
      <c r="S433" s="569"/>
      <c r="T433" s="570"/>
      <c r="U433" s="34"/>
      <c r="V433" s="34"/>
      <c r="W433" s="35" t="s">
        <v>69</v>
      </c>
      <c r="X433" s="553">
        <v>120</v>
      </c>
      <c r="Y433" s="554">
        <f t="shared" si="47"/>
        <v>121.44000000000001</v>
      </c>
      <c r="Z433" s="36">
        <f t="shared" si="48"/>
        <v>0.27507999999999999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127.95454545454545</v>
      </c>
      <c r="BN433" s="64">
        <f t="shared" si="50"/>
        <v>129.49</v>
      </c>
      <c r="BO433" s="64">
        <f t="shared" si="51"/>
        <v>0.21853146853146854</v>
      </c>
      <c r="BP433" s="64">
        <f t="shared" si="52"/>
        <v>0.22115384615384617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1">
        <v>4680115884502</v>
      </c>
      <c r="E434" s="562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60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69"/>
      <c r="R434" s="569"/>
      <c r="S434" s="569"/>
      <c r="T434" s="570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1">
        <v>4607091389104</v>
      </c>
      <c r="E435" s="562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6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69"/>
      <c r="R435" s="569"/>
      <c r="S435" s="569"/>
      <c r="T435" s="570"/>
      <c r="U435" s="34"/>
      <c r="V435" s="34"/>
      <c r="W435" s="35" t="s">
        <v>69</v>
      </c>
      <c r="X435" s="553">
        <v>120</v>
      </c>
      <c r="Y435" s="554">
        <f t="shared" si="47"/>
        <v>121.44000000000001</v>
      </c>
      <c r="Z435" s="36">
        <f t="shared" si="48"/>
        <v>0.27507999999999999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127.95454545454545</v>
      </c>
      <c r="BN435" s="64">
        <f t="shared" si="50"/>
        <v>129.49</v>
      </c>
      <c r="BO435" s="64">
        <f t="shared" si="51"/>
        <v>0.21853146853146854</v>
      </c>
      <c r="BP435" s="64">
        <f t="shared" si="52"/>
        <v>0.22115384615384617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1">
        <v>4680115886391</v>
      </c>
      <c r="E436" s="562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6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69"/>
      <c r="R436" s="569"/>
      <c r="S436" s="569"/>
      <c r="T436" s="570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1">
        <v>4680115880603</v>
      </c>
      <c r="E437" s="562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8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69"/>
      <c r="R437" s="569"/>
      <c r="S437" s="569"/>
      <c r="T437" s="570"/>
      <c r="U437" s="34"/>
      <c r="V437" s="34"/>
      <c r="W437" s="35" t="s">
        <v>69</v>
      </c>
      <c r="X437" s="553">
        <v>102</v>
      </c>
      <c r="Y437" s="554">
        <f t="shared" si="47"/>
        <v>105.6</v>
      </c>
      <c r="Z437" s="36">
        <f>IFERROR(IF(Y437=0,"",ROUNDUP(Y437/H437,0)*0.00902),"")</f>
        <v>0.19844000000000001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146.83750000000001</v>
      </c>
      <c r="BN437" s="64">
        <f t="shared" si="50"/>
        <v>152.02000000000001</v>
      </c>
      <c r="BO437" s="64">
        <f t="shared" si="51"/>
        <v>0.16098484848484848</v>
      </c>
      <c r="BP437" s="64">
        <f t="shared" si="52"/>
        <v>0.16666666666666669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1">
        <v>4680115882782</v>
      </c>
      <c r="E438" s="562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69"/>
      <c r="R438" s="569"/>
      <c r="S438" s="569"/>
      <c r="T438" s="570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1">
        <v>4680115885479</v>
      </c>
      <c r="E439" s="562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8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69"/>
      <c r="R439" s="569"/>
      <c r="S439" s="569"/>
      <c r="T439" s="570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1">
        <v>4607091389982</v>
      </c>
      <c r="E440" s="562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2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69"/>
      <c r="R440" s="569"/>
      <c r="S440" s="569"/>
      <c r="T440" s="570"/>
      <c r="U440" s="34"/>
      <c r="V440" s="34"/>
      <c r="W440" s="35" t="s">
        <v>69</v>
      </c>
      <c r="X440" s="553">
        <v>108</v>
      </c>
      <c r="Y440" s="554">
        <f t="shared" si="47"/>
        <v>110.39999999999999</v>
      </c>
      <c r="Z440" s="36">
        <f>IFERROR(IF(Y440=0,"",ROUNDUP(Y440/H440,0)*0.00902),"")</f>
        <v>0.20746000000000001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155.47499999999999</v>
      </c>
      <c r="BN440" s="64">
        <f t="shared" si="50"/>
        <v>158.92999999999998</v>
      </c>
      <c r="BO440" s="64">
        <f t="shared" si="51"/>
        <v>0.17045454545454547</v>
      </c>
      <c r="BP440" s="64">
        <f t="shared" si="52"/>
        <v>0.17424242424242425</v>
      </c>
    </row>
    <row r="441" spans="1:68" x14ac:dyDescent="0.2">
      <c r="A441" s="566"/>
      <c r="B441" s="560"/>
      <c r="C441" s="560"/>
      <c r="D441" s="560"/>
      <c r="E441" s="560"/>
      <c r="F441" s="560"/>
      <c r="G441" s="560"/>
      <c r="H441" s="560"/>
      <c r="I441" s="560"/>
      <c r="J441" s="560"/>
      <c r="K441" s="560"/>
      <c r="L441" s="560"/>
      <c r="M441" s="560"/>
      <c r="N441" s="560"/>
      <c r="O441" s="567"/>
      <c r="P441" s="563" t="s">
        <v>75</v>
      </c>
      <c r="Q441" s="564"/>
      <c r="R441" s="564"/>
      <c r="S441" s="564"/>
      <c r="T441" s="564"/>
      <c r="U441" s="564"/>
      <c r="V441" s="565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102.46212121212122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105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1.1234999999999999</v>
      </c>
      <c r="AA441" s="556"/>
      <c r="AB441" s="556"/>
      <c r="AC441" s="556"/>
    </row>
    <row r="442" spans="1:68" x14ac:dyDescent="0.2">
      <c r="A442" s="560"/>
      <c r="B442" s="560"/>
      <c r="C442" s="560"/>
      <c r="D442" s="560"/>
      <c r="E442" s="560"/>
      <c r="F442" s="560"/>
      <c r="G442" s="560"/>
      <c r="H442" s="560"/>
      <c r="I442" s="560"/>
      <c r="J442" s="560"/>
      <c r="K442" s="560"/>
      <c r="L442" s="560"/>
      <c r="M442" s="560"/>
      <c r="N442" s="560"/>
      <c r="O442" s="567"/>
      <c r="P442" s="563" t="s">
        <v>75</v>
      </c>
      <c r="Q442" s="564"/>
      <c r="R442" s="564"/>
      <c r="S442" s="564"/>
      <c r="T442" s="564"/>
      <c r="U442" s="564"/>
      <c r="V442" s="565"/>
      <c r="W442" s="37" t="s">
        <v>69</v>
      </c>
      <c r="X442" s="555">
        <f>IFERROR(SUM(X429:X440),"0")</f>
        <v>520</v>
      </c>
      <c r="Y442" s="555">
        <f>IFERROR(SUM(Y429:Y440),"0")</f>
        <v>532.79999999999995</v>
      </c>
      <c r="Z442" s="37"/>
      <c r="AA442" s="556"/>
      <c r="AB442" s="556"/>
      <c r="AC442" s="556"/>
    </row>
    <row r="443" spans="1:68" ht="14.25" hidden="1" customHeight="1" x14ac:dyDescent="0.25">
      <c r="A443" s="559" t="s">
        <v>137</v>
      </c>
      <c r="B443" s="560"/>
      <c r="C443" s="560"/>
      <c r="D443" s="560"/>
      <c r="E443" s="560"/>
      <c r="F443" s="560"/>
      <c r="G443" s="560"/>
      <c r="H443" s="560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1">
        <v>4607091388930</v>
      </c>
      <c r="E444" s="562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5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69"/>
      <c r="R444" s="569"/>
      <c r="S444" s="569"/>
      <c r="T444" s="570"/>
      <c r="U444" s="34"/>
      <c r="V444" s="34"/>
      <c r="W444" s="35" t="s">
        <v>69</v>
      </c>
      <c r="X444" s="553">
        <v>120</v>
      </c>
      <c r="Y444" s="554">
        <f>IFERROR(IF(X444="",0,CEILING((X444/$H444),1)*$H444),"")</f>
        <v>121.44000000000001</v>
      </c>
      <c r="Z444" s="36">
        <f>IFERROR(IF(Y444=0,"",ROUNDUP(Y444/H444,0)*0.01196),"")</f>
        <v>0.27507999999999999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127.95454545454545</v>
      </c>
      <c r="BN444" s="64">
        <f>IFERROR(Y444*I444/H444,"0")</f>
        <v>129.49</v>
      </c>
      <c r="BO444" s="64">
        <f>IFERROR(1/J444*(X444/H444),"0")</f>
        <v>0.21853146853146854</v>
      </c>
      <c r="BP444" s="64">
        <f>IFERROR(1/J444*(Y444/H444),"0")</f>
        <v>0.22115384615384617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1">
        <v>4680115886407</v>
      </c>
      <c r="E445" s="562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8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69"/>
      <c r="R445" s="569"/>
      <c r="S445" s="569"/>
      <c r="T445" s="570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1">
        <v>4680115880054</v>
      </c>
      <c r="E446" s="562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1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69"/>
      <c r="R446" s="569"/>
      <c r="S446" s="569"/>
      <c r="T446" s="570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6"/>
      <c r="B447" s="560"/>
      <c r="C447" s="560"/>
      <c r="D447" s="560"/>
      <c r="E447" s="560"/>
      <c r="F447" s="560"/>
      <c r="G447" s="560"/>
      <c r="H447" s="560"/>
      <c r="I447" s="560"/>
      <c r="J447" s="560"/>
      <c r="K447" s="560"/>
      <c r="L447" s="560"/>
      <c r="M447" s="560"/>
      <c r="N447" s="560"/>
      <c r="O447" s="567"/>
      <c r="P447" s="563" t="s">
        <v>75</v>
      </c>
      <c r="Q447" s="564"/>
      <c r="R447" s="564"/>
      <c r="S447" s="564"/>
      <c r="T447" s="564"/>
      <c r="U447" s="564"/>
      <c r="V447" s="565"/>
      <c r="W447" s="37" t="s">
        <v>76</v>
      </c>
      <c r="X447" s="555">
        <f>IFERROR(X444/H444,"0")+IFERROR(X445/H445,"0")+IFERROR(X446/H446,"0")</f>
        <v>22.727272727272727</v>
      </c>
      <c r="Y447" s="555">
        <f>IFERROR(Y444/H444,"0")+IFERROR(Y445/H445,"0")+IFERROR(Y446/H446,"0")</f>
        <v>23</v>
      </c>
      <c r="Z447" s="555">
        <f>IFERROR(IF(Z444="",0,Z444),"0")+IFERROR(IF(Z445="",0,Z445),"0")+IFERROR(IF(Z446="",0,Z446),"0")</f>
        <v>0.27507999999999999</v>
      </c>
      <c r="AA447" s="556"/>
      <c r="AB447" s="556"/>
      <c r="AC447" s="556"/>
    </row>
    <row r="448" spans="1:68" x14ac:dyDescent="0.2">
      <c r="A448" s="560"/>
      <c r="B448" s="560"/>
      <c r="C448" s="560"/>
      <c r="D448" s="560"/>
      <c r="E448" s="560"/>
      <c r="F448" s="560"/>
      <c r="G448" s="560"/>
      <c r="H448" s="560"/>
      <c r="I448" s="560"/>
      <c r="J448" s="560"/>
      <c r="K448" s="560"/>
      <c r="L448" s="560"/>
      <c r="M448" s="560"/>
      <c r="N448" s="560"/>
      <c r="O448" s="567"/>
      <c r="P448" s="563" t="s">
        <v>75</v>
      </c>
      <c r="Q448" s="564"/>
      <c r="R448" s="564"/>
      <c r="S448" s="564"/>
      <c r="T448" s="564"/>
      <c r="U448" s="564"/>
      <c r="V448" s="565"/>
      <c r="W448" s="37" t="s">
        <v>69</v>
      </c>
      <c r="X448" s="555">
        <f>IFERROR(SUM(X444:X446),"0")</f>
        <v>120</v>
      </c>
      <c r="Y448" s="555">
        <f>IFERROR(SUM(Y444:Y446),"0")</f>
        <v>121.44000000000001</v>
      </c>
      <c r="Z448" s="37"/>
      <c r="AA448" s="556"/>
      <c r="AB448" s="556"/>
      <c r="AC448" s="556"/>
    </row>
    <row r="449" spans="1:68" ht="14.25" hidden="1" customHeight="1" x14ac:dyDescent="0.25">
      <c r="A449" s="559" t="s">
        <v>64</v>
      </c>
      <c r="B449" s="560"/>
      <c r="C449" s="560"/>
      <c r="D449" s="560"/>
      <c r="E449" s="560"/>
      <c r="F449" s="560"/>
      <c r="G449" s="560"/>
      <c r="H449" s="560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1">
        <v>4680115883116</v>
      </c>
      <c r="E450" s="562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69"/>
      <c r="R450" s="569"/>
      <c r="S450" s="569"/>
      <c r="T450" s="570"/>
      <c r="U450" s="34"/>
      <c r="V450" s="34"/>
      <c r="W450" s="35" t="s">
        <v>69</v>
      </c>
      <c r="X450" s="553">
        <v>40</v>
      </c>
      <c r="Y450" s="554">
        <f t="shared" ref="Y450:Y455" si="53">IFERROR(IF(X450="",0,CEILING((X450/$H450),1)*$H450),"")</f>
        <v>42.24</v>
      </c>
      <c r="Z450" s="36">
        <f>IFERROR(IF(Y450=0,"",ROUNDUP(Y450/H450,0)*0.01196),"")</f>
        <v>9.5680000000000001E-2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42.651515151515149</v>
      </c>
      <c r="BN450" s="64">
        <f t="shared" ref="BN450:BN455" si="55">IFERROR(Y450*I450/H450,"0")</f>
        <v>45.04</v>
      </c>
      <c r="BO450" s="64">
        <f t="shared" ref="BO450:BO455" si="56">IFERROR(1/J450*(X450/H450),"0")</f>
        <v>7.2843822843822847E-2</v>
      </c>
      <c r="BP450" s="64">
        <f t="shared" ref="BP450:BP455" si="57">IFERROR(1/J450*(Y450/H450),"0")</f>
        <v>7.6923076923076927E-2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1">
        <v>4680115883093</v>
      </c>
      <c r="E451" s="562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5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69"/>
      <c r="R451" s="569"/>
      <c r="S451" s="569"/>
      <c r="T451" s="570"/>
      <c r="U451" s="34"/>
      <c r="V451" s="34"/>
      <c r="W451" s="35" t="s">
        <v>69</v>
      </c>
      <c r="X451" s="553">
        <v>60</v>
      </c>
      <c r="Y451" s="554">
        <f t="shared" si="53"/>
        <v>63.36</v>
      </c>
      <c r="Z451" s="36">
        <f>IFERROR(IF(Y451=0,"",ROUNDUP(Y451/H451,0)*0.01196),"")</f>
        <v>0.14352000000000001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63.977272727272727</v>
      </c>
      <c r="BN451" s="64">
        <f t="shared" si="55"/>
        <v>67.559999999999988</v>
      </c>
      <c r="BO451" s="64">
        <f t="shared" si="56"/>
        <v>0.10926573426573427</v>
      </c>
      <c r="BP451" s="64">
        <f t="shared" si="57"/>
        <v>0.11538461538461539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1">
        <v>4680115883109</v>
      </c>
      <c r="E452" s="562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81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69"/>
      <c r="R452" s="569"/>
      <c r="S452" s="569"/>
      <c r="T452" s="570"/>
      <c r="U452" s="34"/>
      <c r="V452" s="34"/>
      <c r="W452" s="35" t="s">
        <v>69</v>
      </c>
      <c r="X452" s="553">
        <v>70</v>
      </c>
      <c r="Y452" s="554">
        <f t="shared" si="53"/>
        <v>73.92</v>
      </c>
      <c r="Z452" s="36">
        <f>IFERROR(IF(Y452=0,"",ROUNDUP(Y452/H452,0)*0.01196),"")</f>
        <v>0.16744000000000001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74.640151515151501</v>
      </c>
      <c r="BN452" s="64">
        <f t="shared" si="55"/>
        <v>78.819999999999993</v>
      </c>
      <c r="BO452" s="64">
        <f t="shared" si="56"/>
        <v>0.12747668997668998</v>
      </c>
      <c r="BP452" s="64">
        <f t="shared" si="57"/>
        <v>0.13461538461538464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1">
        <v>4680115882072</v>
      </c>
      <c r="E453" s="562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69"/>
      <c r="R453" s="569"/>
      <c r="S453" s="569"/>
      <c r="T453" s="570"/>
      <c r="U453" s="34"/>
      <c r="V453" s="34"/>
      <c r="W453" s="35" t="s">
        <v>69</v>
      </c>
      <c r="X453" s="553">
        <v>42</v>
      </c>
      <c r="Y453" s="554">
        <f t="shared" si="53"/>
        <v>43.199999999999996</v>
      </c>
      <c r="Z453" s="36">
        <f>IFERROR(IF(Y453=0,"",ROUNDUP(Y453/H453,0)*0.00902),"")</f>
        <v>8.1180000000000002E-2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60.462500000000006</v>
      </c>
      <c r="BN453" s="64">
        <f t="shared" si="55"/>
        <v>62.190000000000005</v>
      </c>
      <c r="BO453" s="64">
        <f t="shared" si="56"/>
        <v>6.6287878787878785E-2</v>
      </c>
      <c r="BP453" s="64">
        <f t="shared" si="57"/>
        <v>6.8181818181818177E-2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1">
        <v>4680115882102</v>
      </c>
      <c r="E454" s="562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8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69"/>
      <c r="R454" s="569"/>
      <c r="S454" s="569"/>
      <c r="T454" s="570"/>
      <c r="U454" s="34"/>
      <c r="V454" s="34"/>
      <c r="W454" s="35" t="s">
        <v>69</v>
      </c>
      <c r="X454" s="553">
        <v>18</v>
      </c>
      <c r="Y454" s="554">
        <f t="shared" si="53"/>
        <v>19.2</v>
      </c>
      <c r="Z454" s="36">
        <f>IFERROR(IF(Y454=0,"",ROUNDUP(Y454/H454,0)*0.00902),"")</f>
        <v>3.6080000000000001E-2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25.012500000000003</v>
      </c>
      <c r="BN454" s="64">
        <f t="shared" si="55"/>
        <v>26.68</v>
      </c>
      <c r="BO454" s="64">
        <f t="shared" si="56"/>
        <v>2.8409090909090912E-2</v>
      </c>
      <c r="BP454" s="64">
        <f t="shared" si="57"/>
        <v>3.0303030303030304E-2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1">
        <v>4680115882096</v>
      </c>
      <c r="E455" s="562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8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69"/>
      <c r="R455" s="569"/>
      <c r="S455" s="569"/>
      <c r="T455" s="570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66"/>
      <c r="B456" s="560"/>
      <c r="C456" s="560"/>
      <c r="D456" s="560"/>
      <c r="E456" s="560"/>
      <c r="F456" s="560"/>
      <c r="G456" s="560"/>
      <c r="H456" s="560"/>
      <c r="I456" s="560"/>
      <c r="J456" s="560"/>
      <c r="K456" s="560"/>
      <c r="L456" s="560"/>
      <c r="M456" s="560"/>
      <c r="N456" s="560"/>
      <c r="O456" s="567"/>
      <c r="P456" s="563" t="s">
        <v>75</v>
      </c>
      <c r="Q456" s="564"/>
      <c r="R456" s="564"/>
      <c r="S456" s="564"/>
      <c r="T456" s="564"/>
      <c r="U456" s="564"/>
      <c r="V456" s="565"/>
      <c r="W456" s="37" t="s">
        <v>76</v>
      </c>
      <c r="X456" s="555">
        <f>IFERROR(X450/H450,"0")+IFERROR(X451/H451,"0")+IFERROR(X452/H452,"0")+IFERROR(X453/H453,"0")+IFERROR(X454/H454,"0")+IFERROR(X455/H455,"0")</f>
        <v>57.196969696969695</v>
      </c>
      <c r="Y456" s="555">
        <f>IFERROR(Y450/H450,"0")+IFERROR(Y451/H451,"0")+IFERROR(Y452/H452,"0")+IFERROR(Y453/H453,"0")+IFERROR(Y454/H454,"0")+IFERROR(Y455/H455,"0")</f>
        <v>60</v>
      </c>
      <c r="Z456" s="555">
        <f>IFERROR(IF(Z450="",0,Z450),"0")+IFERROR(IF(Z451="",0,Z451),"0")+IFERROR(IF(Z452="",0,Z452),"0")+IFERROR(IF(Z453="",0,Z453),"0")+IFERROR(IF(Z454="",0,Z454),"0")+IFERROR(IF(Z455="",0,Z455),"0")</f>
        <v>0.64116000000000006</v>
      </c>
      <c r="AA456" s="556"/>
      <c r="AB456" s="556"/>
      <c r="AC456" s="556"/>
    </row>
    <row r="457" spans="1:68" x14ac:dyDescent="0.2">
      <c r="A457" s="560"/>
      <c r="B457" s="560"/>
      <c r="C457" s="560"/>
      <c r="D457" s="560"/>
      <c r="E457" s="560"/>
      <c r="F457" s="560"/>
      <c r="G457" s="560"/>
      <c r="H457" s="560"/>
      <c r="I457" s="560"/>
      <c r="J457" s="560"/>
      <c r="K457" s="560"/>
      <c r="L457" s="560"/>
      <c r="M457" s="560"/>
      <c r="N457" s="560"/>
      <c r="O457" s="567"/>
      <c r="P457" s="563" t="s">
        <v>75</v>
      </c>
      <c r="Q457" s="564"/>
      <c r="R457" s="564"/>
      <c r="S457" s="564"/>
      <c r="T457" s="564"/>
      <c r="U457" s="564"/>
      <c r="V457" s="565"/>
      <c r="W457" s="37" t="s">
        <v>69</v>
      </c>
      <c r="X457" s="555">
        <f>IFERROR(SUM(X450:X455),"0")</f>
        <v>290</v>
      </c>
      <c r="Y457" s="555">
        <f>IFERROR(SUM(Y450:Y455),"0")</f>
        <v>304.31999999999994</v>
      </c>
      <c r="Z457" s="37"/>
      <c r="AA457" s="556"/>
      <c r="AB457" s="556"/>
      <c r="AC457" s="556"/>
    </row>
    <row r="458" spans="1:68" ht="14.25" hidden="1" customHeight="1" x14ac:dyDescent="0.25">
      <c r="A458" s="559" t="s">
        <v>77</v>
      </c>
      <c r="B458" s="560"/>
      <c r="C458" s="560"/>
      <c r="D458" s="560"/>
      <c r="E458" s="560"/>
      <c r="F458" s="560"/>
      <c r="G458" s="560"/>
      <c r="H458" s="560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1">
        <v>4680115883536</v>
      </c>
      <c r="E459" s="562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0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69"/>
      <c r="R459" s="569"/>
      <c r="S459" s="569"/>
      <c r="T459" s="570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6"/>
      <c r="B460" s="560"/>
      <c r="C460" s="560"/>
      <c r="D460" s="560"/>
      <c r="E460" s="560"/>
      <c r="F460" s="560"/>
      <c r="G460" s="560"/>
      <c r="H460" s="560"/>
      <c r="I460" s="560"/>
      <c r="J460" s="560"/>
      <c r="K460" s="560"/>
      <c r="L460" s="560"/>
      <c r="M460" s="560"/>
      <c r="N460" s="560"/>
      <c r="O460" s="567"/>
      <c r="P460" s="563" t="s">
        <v>75</v>
      </c>
      <c r="Q460" s="564"/>
      <c r="R460" s="564"/>
      <c r="S460" s="564"/>
      <c r="T460" s="564"/>
      <c r="U460" s="564"/>
      <c r="V460" s="565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0"/>
      <c r="B461" s="560"/>
      <c r="C461" s="560"/>
      <c r="D461" s="560"/>
      <c r="E461" s="560"/>
      <c r="F461" s="560"/>
      <c r="G461" s="560"/>
      <c r="H461" s="560"/>
      <c r="I461" s="560"/>
      <c r="J461" s="560"/>
      <c r="K461" s="560"/>
      <c r="L461" s="560"/>
      <c r="M461" s="560"/>
      <c r="N461" s="560"/>
      <c r="O461" s="567"/>
      <c r="P461" s="563" t="s">
        <v>75</v>
      </c>
      <c r="Q461" s="564"/>
      <c r="R461" s="564"/>
      <c r="S461" s="564"/>
      <c r="T461" s="564"/>
      <c r="U461" s="564"/>
      <c r="V461" s="565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82" t="s">
        <v>719</v>
      </c>
      <c r="B462" s="583"/>
      <c r="C462" s="583"/>
      <c r="D462" s="583"/>
      <c r="E462" s="583"/>
      <c r="F462" s="583"/>
      <c r="G462" s="583"/>
      <c r="H462" s="583"/>
      <c r="I462" s="583"/>
      <c r="J462" s="583"/>
      <c r="K462" s="583"/>
      <c r="L462" s="583"/>
      <c r="M462" s="583"/>
      <c r="N462" s="583"/>
      <c r="O462" s="583"/>
      <c r="P462" s="583"/>
      <c r="Q462" s="583"/>
      <c r="R462" s="583"/>
      <c r="S462" s="583"/>
      <c r="T462" s="583"/>
      <c r="U462" s="583"/>
      <c r="V462" s="583"/>
      <c r="W462" s="583"/>
      <c r="X462" s="583"/>
      <c r="Y462" s="583"/>
      <c r="Z462" s="583"/>
      <c r="AA462" s="48"/>
      <c r="AB462" s="48"/>
      <c r="AC462" s="48"/>
    </row>
    <row r="463" spans="1:68" ht="16.5" hidden="1" customHeight="1" x14ac:dyDescent="0.25">
      <c r="A463" s="592" t="s">
        <v>719</v>
      </c>
      <c r="B463" s="560"/>
      <c r="C463" s="560"/>
      <c r="D463" s="560"/>
      <c r="E463" s="560"/>
      <c r="F463" s="560"/>
      <c r="G463" s="560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48"/>
      <c r="AB463" s="548"/>
      <c r="AC463" s="548"/>
    </row>
    <row r="464" spans="1:68" ht="14.25" hidden="1" customHeight="1" x14ac:dyDescent="0.25">
      <c r="A464" s="559" t="s">
        <v>101</v>
      </c>
      <c r="B464" s="560"/>
      <c r="C464" s="560"/>
      <c r="D464" s="560"/>
      <c r="E464" s="560"/>
      <c r="F464" s="560"/>
      <c r="G464" s="560"/>
      <c r="H464" s="560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1">
        <v>4640242181011</v>
      </c>
      <c r="E465" s="562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65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69"/>
      <c r="R465" s="569"/>
      <c r="S465" s="569"/>
      <c r="T465" s="570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1">
        <v>4640242180441</v>
      </c>
      <c r="E466" s="562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8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69"/>
      <c r="R466" s="569"/>
      <c r="S466" s="569"/>
      <c r="T466" s="570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1">
        <v>4640242180564</v>
      </c>
      <c r="E467" s="562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5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69"/>
      <c r="R467" s="569"/>
      <c r="S467" s="569"/>
      <c r="T467" s="570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1">
        <v>4640242181189</v>
      </c>
      <c r="E468" s="562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85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69"/>
      <c r="R468" s="569"/>
      <c r="S468" s="569"/>
      <c r="T468" s="570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6"/>
      <c r="B469" s="560"/>
      <c r="C469" s="560"/>
      <c r="D469" s="560"/>
      <c r="E469" s="560"/>
      <c r="F469" s="560"/>
      <c r="G469" s="560"/>
      <c r="H469" s="560"/>
      <c r="I469" s="560"/>
      <c r="J469" s="560"/>
      <c r="K469" s="560"/>
      <c r="L469" s="560"/>
      <c r="M469" s="560"/>
      <c r="N469" s="560"/>
      <c r="O469" s="567"/>
      <c r="P469" s="563" t="s">
        <v>75</v>
      </c>
      <c r="Q469" s="564"/>
      <c r="R469" s="564"/>
      <c r="S469" s="564"/>
      <c r="T469" s="564"/>
      <c r="U469" s="564"/>
      <c r="V469" s="565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0"/>
      <c r="B470" s="560"/>
      <c r="C470" s="560"/>
      <c r="D470" s="560"/>
      <c r="E470" s="560"/>
      <c r="F470" s="560"/>
      <c r="G470" s="560"/>
      <c r="H470" s="560"/>
      <c r="I470" s="560"/>
      <c r="J470" s="560"/>
      <c r="K470" s="560"/>
      <c r="L470" s="560"/>
      <c r="M470" s="560"/>
      <c r="N470" s="560"/>
      <c r="O470" s="567"/>
      <c r="P470" s="563" t="s">
        <v>75</v>
      </c>
      <c r="Q470" s="564"/>
      <c r="R470" s="564"/>
      <c r="S470" s="564"/>
      <c r="T470" s="564"/>
      <c r="U470" s="564"/>
      <c r="V470" s="565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59" t="s">
        <v>137</v>
      </c>
      <c r="B471" s="560"/>
      <c r="C471" s="560"/>
      <c r="D471" s="560"/>
      <c r="E471" s="560"/>
      <c r="F471" s="560"/>
      <c r="G471" s="560"/>
      <c r="H471" s="560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1">
        <v>4640242180519</v>
      </c>
      <c r="E472" s="562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6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69"/>
      <c r="R472" s="569"/>
      <c r="S472" s="569"/>
      <c r="T472" s="570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1">
        <v>4640242180526</v>
      </c>
      <c r="E473" s="562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8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69"/>
      <c r="R473" s="569"/>
      <c r="S473" s="569"/>
      <c r="T473" s="570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6"/>
      <c r="B474" s="560"/>
      <c r="C474" s="560"/>
      <c r="D474" s="560"/>
      <c r="E474" s="560"/>
      <c r="F474" s="560"/>
      <c r="G474" s="560"/>
      <c r="H474" s="560"/>
      <c r="I474" s="560"/>
      <c r="J474" s="560"/>
      <c r="K474" s="560"/>
      <c r="L474" s="560"/>
      <c r="M474" s="560"/>
      <c r="N474" s="560"/>
      <c r="O474" s="567"/>
      <c r="P474" s="563" t="s">
        <v>75</v>
      </c>
      <c r="Q474" s="564"/>
      <c r="R474" s="564"/>
      <c r="S474" s="564"/>
      <c r="T474" s="564"/>
      <c r="U474" s="564"/>
      <c r="V474" s="565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0"/>
      <c r="B475" s="560"/>
      <c r="C475" s="560"/>
      <c r="D475" s="560"/>
      <c r="E475" s="560"/>
      <c r="F475" s="560"/>
      <c r="G475" s="560"/>
      <c r="H475" s="560"/>
      <c r="I475" s="560"/>
      <c r="J475" s="560"/>
      <c r="K475" s="560"/>
      <c r="L475" s="560"/>
      <c r="M475" s="560"/>
      <c r="N475" s="560"/>
      <c r="O475" s="567"/>
      <c r="P475" s="563" t="s">
        <v>75</v>
      </c>
      <c r="Q475" s="564"/>
      <c r="R475" s="564"/>
      <c r="S475" s="564"/>
      <c r="T475" s="564"/>
      <c r="U475" s="564"/>
      <c r="V475" s="565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59" t="s">
        <v>64</v>
      </c>
      <c r="B476" s="560"/>
      <c r="C476" s="560"/>
      <c r="D476" s="560"/>
      <c r="E476" s="560"/>
      <c r="F476" s="560"/>
      <c r="G476" s="560"/>
      <c r="H476" s="560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1">
        <v>4640242180595</v>
      </c>
      <c r="E477" s="562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2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69"/>
      <c r="R477" s="569"/>
      <c r="S477" s="569"/>
      <c r="T477" s="570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1">
        <v>4640242180595</v>
      </c>
      <c r="E478" s="562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65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69"/>
      <c r="R478" s="569"/>
      <c r="S478" s="569"/>
      <c r="T478" s="570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6"/>
      <c r="B479" s="560"/>
      <c r="C479" s="560"/>
      <c r="D479" s="560"/>
      <c r="E479" s="560"/>
      <c r="F479" s="560"/>
      <c r="G479" s="560"/>
      <c r="H479" s="560"/>
      <c r="I479" s="560"/>
      <c r="J479" s="560"/>
      <c r="K479" s="560"/>
      <c r="L479" s="560"/>
      <c r="M479" s="560"/>
      <c r="N479" s="560"/>
      <c r="O479" s="567"/>
      <c r="P479" s="563" t="s">
        <v>75</v>
      </c>
      <c r="Q479" s="564"/>
      <c r="R479" s="564"/>
      <c r="S479" s="564"/>
      <c r="T479" s="564"/>
      <c r="U479" s="564"/>
      <c r="V479" s="565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0"/>
      <c r="B480" s="560"/>
      <c r="C480" s="560"/>
      <c r="D480" s="560"/>
      <c r="E480" s="560"/>
      <c r="F480" s="560"/>
      <c r="G480" s="560"/>
      <c r="H480" s="560"/>
      <c r="I480" s="560"/>
      <c r="J480" s="560"/>
      <c r="K480" s="560"/>
      <c r="L480" s="560"/>
      <c r="M480" s="560"/>
      <c r="N480" s="560"/>
      <c r="O480" s="567"/>
      <c r="P480" s="563" t="s">
        <v>75</v>
      </c>
      <c r="Q480" s="564"/>
      <c r="R480" s="564"/>
      <c r="S480" s="564"/>
      <c r="T480" s="564"/>
      <c r="U480" s="564"/>
      <c r="V480" s="565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59" t="s">
        <v>77</v>
      </c>
      <c r="B481" s="560"/>
      <c r="C481" s="560"/>
      <c r="D481" s="560"/>
      <c r="E481" s="560"/>
      <c r="F481" s="560"/>
      <c r="G481" s="560"/>
      <c r="H481" s="560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1">
        <v>4640242180533</v>
      </c>
      <c r="E482" s="562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83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69"/>
      <c r="R482" s="569"/>
      <c r="S482" s="569"/>
      <c r="T482" s="570"/>
      <c r="U482" s="34"/>
      <c r="V482" s="34"/>
      <c r="W482" s="35" t="s">
        <v>69</v>
      </c>
      <c r="X482" s="553">
        <v>1000</v>
      </c>
      <c r="Y482" s="554">
        <f>IFERROR(IF(X482="",0,CEILING((X482/$H482),1)*$H482),"")</f>
        <v>1008</v>
      </c>
      <c r="Z482" s="36">
        <f>IFERROR(IF(Y482=0,"",ROUNDUP(Y482/H482,0)*0.01898),"")</f>
        <v>2.1257600000000001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1054.8888888888889</v>
      </c>
      <c r="BN482" s="64">
        <f>IFERROR(Y482*I482/H482,"0")</f>
        <v>1063.328</v>
      </c>
      <c r="BO482" s="64">
        <f>IFERROR(1/J482*(X482/H482),"0")</f>
        <v>1.7361111111111112</v>
      </c>
      <c r="BP482" s="64">
        <f>IFERROR(1/J482*(Y482/H482),"0")</f>
        <v>1.75</v>
      </c>
    </row>
    <row r="483" spans="1:68" x14ac:dyDescent="0.2">
      <c r="A483" s="566"/>
      <c r="B483" s="560"/>
      <c r="C483" s="560"/>
      <c r="D483" s="560"/>
      <c r="E483" s="560"/>
      <c r="F483" s="560"/>
      <c r="G483" s="560"/>
      <c r="H483" s="560"/>
      <c r="I483" s="560"/>
      <c r="J483" s="560"/>
      <c r="K483" s="560"/>
      <c r="L483" s="560"/>
      <c r="M483" s="560"/>
      <c r="N483" s="560"/>
      <c r="O483" s="567"/>
      <c r="P483" s="563" t="s">
        <v>75</v>
      </c>
      <c r="Q483" s="564"/>
      <c r="R483" s="564"/>
      <c r="S483" s="564"/>
      <c r="T483" s="564"/>
      <c r="U483" s="564"/>
      <c r="V483" s="565"/>
      <c r="W483" s="37" t="s">
        <v>76</v>
      </c>
      <c r="X483" s="555">
        <f>IFERROR(X482/H482,"0")</f>
        <v>111.11111111111111</v>
      </c>
      <c r="Y483" s="555">
        <f>IFERROR(Y482/H482,"0")</f>
        <v>112</v>
      </c>
      <c r="Z483" s="555">
        <f>IFERROR(IF(Z482="",0,Z482),"0")</f>
        <v>2.1257600000000001</v>
      </c>
      <c r="AA483" s="556"/>
      <c r="AB483" s="556"/>
      <c r="AC483" s="556"/>
    </row>
    <row r="484" spans="1:68" x14ac:dyDescent="0.2">
      <c r="A484" s="560"/>
      <c r="B484" s="560"/>
      <c r="C484" s="560"/>
      <c r="D484" s="560"/>
      <c r="E484" s="560"/>
      <c r="F484" s="560"/>
      <c r="G484" s="560"/>
      <c r="H484" s="560"/>
      <c r="I484" s="560"/>
      <c r="J484" s="560"/>
      <c r="K484" s="560"/>
      <c r="L484" s="560"/>
      <c r="M484" s="560"/>
      <c r="N484" s="560"/>
      <c r="O484" s="567"/>
      <c r="P484" s="563" t="s">
        <v>75</v>
      </c>
      <c r="Q484" s="564"/>
      <c r="R484" s="564"/>
      <c r="S484" s="564"/>
      <c r="T484" s="564"/>
      <c r="U484" s="564"/>
      <c r="V484" s="565"/>
      <c r="W484" s="37" t="s">
        <v>69</v>
      </c>
      <c r="X484" s="555">
        <f>IFERROR(SUM(X482:X482),"0")</f>
        <v>1000</v>
      </c>
      <c r="Y484" s="555">
        <f>IFERROR(SUM(Y482:Y482),"0")</f>
        <v>1008</v>
      </c>
      <c r="Z484" s="37"/>
      <c r="AA484" s="556"/>
      <c r="AB484" s="556"/>
      <c r="AC484" s="556"/>
    </row>
    <row r="485" spans="1:68" ht="14.25" hidden="1" customHeight="1" x14ac:dyDescent="0.25">
      <c r="A485" s="559" t="s">
        <v>162</v>
      </c>
      <c r="B485" s="560"/>
      <c r="C485" s="560"/>
      <c r="D485" s="560"/>
      <c r="E485" s="560"/>
      <c r="F485" s="560"/>
      <c r="G485" s="560"/>
      <c r="H485" s="560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1">
        <v>4640242180120</v>
      </c>
      <c r="E486" s="562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63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69"/>
      <c r="R486" s="569"/>
      <c r="S486" s="569"/>
      <c r="T486" s="570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1">
        <v>4640242180137</v>
      </c>
      <c r="E487" s="562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69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69"/>
      <c r="R487" s="569"/>
      <c r="S487" s="569"/>
      <c r="T487" s="570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6"/>
      <c r="B488" s="560"/>
      <c r="C488" s="560"/>
      <c r="D488" s="560"/>
      <c r="E488" s="560"/>
      <c r="F488" s="560"/>
      <c r="G488" s="560"/>
      <c r="H488" s="560"/>
      <c r="I488" s="560"/>
      <c r="J488" s="560"/>
      <c r="K488" s="560"/>
      <c r="L488" s="560"/>
      <c r="M488" s="560"/>
      <c r="N488" s="560"/>
      <c r="O488" s="567"/>
      <c r="P488" s="563" t="s">
        <v>75</v>
      </c>
      <c r="Q488" s="564"/>
      <c r="R488" s="564"/>
      <c r="S488" s="564"/>
      <c r="T488" s="564"/>
      <c r="U488" s="564"/>
      <c r="V488" s="565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0"/>
      <c r="B489" s="560"/>
      <c r="C489" s="560"/>
      <c r="D489" s="560"/>
      <c r="E489" s="560"/>
      <c r="F489" s="560"/>
      <c r="G489" s="560"/>
      <c r="H489" s="560"/>
      <c r="I489" s="560"/>
      <c r="J489" s="560"/>
      <c r="K489" s="560"/>
      <c r="L489" s="560"/>
      <c r="M489" s="560"/>
      <c r="N489" s="560"/>
      <c r="O489" s="567"/>
      <c r="P489" s="563" t="s">
        <v>75</v>
      </c>
      <c r="Q489" s="564"/>
      <c r="R489" s="564"/>
      <c r="S489" s="564"/>
      <c r="T489" s="564"/>
      <c r="U489" s="564"/>
      <c r="V489" s="565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92" t="s">
        <v>751</v>
      </c>
      <c r="B490" s="560"/>
      <c r="C490" s="560"/>
      <c r="D490" s="560"/>
      <c r="E490" s="560"/>
      <c r="F490" s="560"/>
      <c r="G490" s="560"/>
      <c r="H490" s="560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48"/>
      <c r="AB490" s="548"/>
      <c r="AC490" s="548"/>
    </row>
    <row r="491" spans="1:68" ht="14.25" hidden="1" customHeight="1" x14ac:dyDescent="0.25">
      <c r="A491" s="559" t="s">
        <v>137</v>
      </c>
      <c r="B491" s="560"/>
      <c r="C491" s="560"/>
      <c r="D491" s="560"/>
      <c r="E491" s="560"/>
      <c r="F491" s="560"/>
      <c r="G491" s="560"/>
      <c r="H491" s="560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1">
        <v>4640242180090</v>
      </c>
      <c r="E492" s="562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79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69"/>
      <c r="R492" s="569"/>
      <c r="S492" s="569"/>
      <c r="T492" s="570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6"/>
      <c r="B493" s="560"/>
      <c r="C493" s="560"/>
      <c r="D493" s="560"/>
      <c r="E493" s="560"/>
      <c r="F493" s="560"/>
      <c r="G493" s="560"/>
      <c r="H493" s="560"/>
      <c r="I493" s="560"/>
      <c r="J493" s="560"/>
      <c r="K493" s="560"/>
      <c r="L493" s="560"/>
      <c r="M493" s="560"/>
      <c r="N493" s="560"/>
      <c r="O493" s="567"/>
      <c r="P493" s="563" t="s">
        <v>75</v>
      </c>
      <c r="Q493" s="564"/>
      <c r="R493" s="564"/>
      <c r="S493" s="564"/>
      <c r="T493" s="564"/>
      <c r="U493" s="564"/>
      <c r="V493" s="565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0"/>
      <c r="B494" s="560"/>
      <c r="C494" s="560"/>
      <c r="D494" s="560"/>
      <c r="E494" s="560"/>
      <c r="F494" s="560"/>
      <c r="G494" s="560"/>
      <c r="H494" s="560"/>
      <c r="I494" s="560"/>
      <c r="J494" s="560"/>
      <c r="K494" s="560"/>
      <c r="L494" s="560"/>
      <c r="M494" s="560"/>
      <c r="N494" s="560"/>
      <c r="O494" s="567"/>
      <c r="P494" s="563" t="s">
        <v>75</v>
      </c>
      <c r="Q494" s="564"/>
      <c r="R494" s="564"/>
      <c r="S494" s="564"/>
      <c r="T494" s="564"/>
      <c r="U494" s="564"/>
      <c r="V494" s="565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647"/>
      <c r="B495" s="560"/>
      <c r="C495" s="560"/>
      <c r="D495" s="560"/>
      <c r="E495" s="560"/>
      <c r="F495" s="560"/>
      <c r="G495" s="560"/>
      <c r="H495" s="560"/>
      <c r="I495" s="560"/>
      <c r="J495" s="560"/>
      <c r="K495" s="560"/>
      <c r="L495" s="560"/>
      <c r="M495" s="560"/>
      <c r="N495" s="560"/>
      <c r="O495" s="648"/>
      <c r="P495" s="579" t="s">
        <v>755</v>
      </c>
      <c r="Q495" s="580"/>
      <c r="R495" s="580"/>
      <c r="S495" s="580"/>
      <c r="T495" s="580"/>
      <c r="U495" s="580"/>
      <c r="V495" s="581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17461.900000000001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17660.150000000001</v>
      </c>
      <c r="Z495" s="37"/>
      <c r="AA495" s="556"/>
      <c r="AB495" s="556"/>
      <c r="AC495" s="556"/>
    </row>
    <row r="496" spans="1:68" x14ac:dyDescent="0.2">
      <c r="A496" s="560"/>
      <c r="B496" s="560"/>
      <c r="C496" s="560"/>
      <c r="D496" s="560"/>
      <c r="E496" s="560"/>
      <c r="F496" s="560"/>
      <c r="G496" s="560"/>
      <c r="H496" s="560"/>
      <c r="I496" s="560"/>
      <c r="J496" s="560"/>
      <c r="K496" s="560"/>
      <c r="L496" s="560"/>
      <c r="M496" s="560"/>
      <c r="N496" s="560"/>
      <c r="O496" s="648"/>
      <c r="P496" s="579" t="s">
        <v>756</v>
      </c>
      <c r="Q496" s="580"/>
      <c r="R496" s="580"/>
      <c r="S496" s="580"/>
      <c r="T496" s="580"/>
      <c r="U496" s="580"/>
      <c r="V496" s="581"/>
      <c r="W496" s="37" t="s">
        <v>69</v>
      </c>
      <c r="X496" s="555">
        <f>IFERROR(SUM(BM22:BM492),"0")</f>
        <v>18479.099063321733</v>
      </c>
      <c r="Y496" s="555">
        <f>IFERROR(SUM(BN22:BN492),"0")</f>
        <v>18691.730000000007</v>
      </c>
      <c r="Z496" s="37"/>
      <c r="AA496" s="556"/>
      <c r="AB496" s="556"/>
      <c r="AC496" s="556"/>
    </row>
    <row r="497" spans="1:32" x14ac:dyDescent="0.2">
      <c r="A497" s="560"/>
      <c r="B497" s="560"/>
      <c r="C497" s="560"/>
      <c r="D497" s="560"/>
      <c r="E497" s="560"/>
      <c r="F497" s="560"/>
      <c r="G497" s="560"/>
      <c r="H497" s="560"/>
      <c r="I497" s="560"/>
      <c r="J497" s="560"/>
      <c r="K497" s="560"/>
      <c r="L497" s="560"/>
      <c r="M497" s="560"/>
      <c r="N497" s="560"/>
      <c r="O497" s="648"/>
      <c r="P497" s="579" t="s">
        <v>757</v>
      </c>
      <c r="Q497" s="580"/>
      <c r="R497" s="580"/>
      <c r="S497" s="580"/>
      <c r="T497" s="580"/>
      <c r="U497" s="580"/>
      <c r="V497" s="581"/>
      <c r="W497" s="37" t="s">
        <v>758</v>
      </c>
      <c r="X497" s="38">
        <f>ROUNDUP(SUM(BO22:BO492),0)</f>
        <v>30</v>
      </c>
      <c r="Y497" s="38">
        <f>ROUNDUP(SUM(BP22:BP492),0)</f>
        <v>30</v>
      </c>
      <c r="Z497" s="37"/>
      <c r="AA497" s="556"/>
      <c r="AB497" s="556"/>
      <c r="AC497" s="556"/>
    </row>
    <row r="498" spans="1:32" x14ac:dyDescent="0.2">
      <c r="A498" s="560"/>
      <c r="B498" s="560"/>
      <c r="C498" s="560"/>
      <c r="D498" s="560"/>
      <c r="E498" s="560"/>
      <c r="F498" s="560"/>
      <c r="G498" s="560"/>
      <c r="H498" s="560"/>
      <c r="I498" s="560"/>
      <c r="J498" s="560"/>
      <c r="K498" s="560"/>
      <c r="L498" s="560"/>
      <c r="M498" s="560"/>
      <c r="N498" s="560"/>
      <c r="O498" s="648"/>
      <c r="P498" s="579" t="s">
        <v>759</v>
      </c>
      <c r="Q498" s="580"/>
      <c r="R498" s="580"/>
      <c r="S498" s="580"/>
      <c r="T498" s="580"/>
      <c r="U498" s="580"/>
      <c r="V498" s="581"/>
      <c r="W498" s="37" t="s">
        <v>69</v>
      </c>
      <c r="X498" s="555">
        <f>GrossWeightTotal+PalletQtyTotal*25</f>
        <v>19229.099063321733</v>
      </c>
      <c r="Y498" s="555">
        <f>GrossWeightTotalR+PalletQtyTotalR*25</f>
        <v>19441.730000000007</v>
      </c>
      <c r="Z498" s="37"/>
      <c r="AA498" s="556"/>
      <c r="AB498" s="556"/>
      <c r="AC498" s="556"/>
    </row>
    <row r="499" spans="1:32" x14ac:dyDescent="0.2">
      <c r="A499" s="560"/>
      <c r="B499" s="560"/>
      <c r="C499" s="560"/>
      <c r="D499" s="560"/>
      <c r="E499" s="560"/>
      <c r="F499" s="560"/>
      <c r="G499" s="560"/>
      <c r="H499" s="560"/>
      <c r="I499" s="560"/>
      <c r="J499" s="560"/>
      <c r="K499" s="560"/>
      <c r="L499" s="560"/>
      <c r="M499" s="560"/>
      <c r="N499" s="560"/>
      <c r="O499" s="648"/>
      <c r="P499" s="579" t="s">
        <v>760</v>
      </c>
      <c r="Q499" s="580"/>
      <c r="R499" s="580"/>
      <c r="S499" s="580"/>
      <c r="T499" s="580"/>
      <c r="U499" s="580"/>
      <c r="V499" s="581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3070.6557207160658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3103</v>
      </c>
      <c r="Z499" s="37"/>
      <c r="AA499" s="556"/>
      <c r="AB499" s="556"/>
      <c r="AC499" s="556"/>
    </row>
    <row r="500" spans="1:32" ht="14.25" hidden="1" customHeight="1" x14ac:dyDescent="0.2">
      <c r="A500" s="560"/>
      <c r="B500" s="560"/>
      <c r="C500" s="560"/>
      <c r="D500" s="560"/>
      <c r="E500" s="560"/>
      <c r="F500" s="560"/>
      <c r="G500" s="560"/>
      <c r="H500" s="560"/>
      <c r="I500" s="560"/>
      <c r="J500" s="560"/>
      <c r="K500" s="560"/>
      <c r="L500" s="560"/>
      <c r="M500" s="560"/>
      <c r="N500" s="560"/>
      <c r="O500" s="648"/>
      <c r="P500" s="579" t="s">
        <v>761</v>
      </c>
      <c r="Q500" s="580"/>
      <c r="R500" s="580"/>
      <c r="S500" s="580"/>
      <c r="T500" s="580"/>
      <c r="U500" s="580"/>
      <c r="V500" s="581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33.812930000000001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57" t="s">
        <v>99</v>
      </c>
      <c r="D502" s="617"/>
      <c r="E502" s="617"/>
      <c r="F502" s="617"/>
      <c r="G502" s="617"/>
      <c r="H502" s="618"/>
      <c r="I502" s="557" t="s">
        <v>268</v>
      </c>
      <c r="J502" s="617"/>
      <c r="K502" s="617"/>
      <c r="L502" s="617"/>
      <c r="M502" s="617"/>
      <c r="N502" s="617"/>
      <c r="O502" s="617"/>
      <c r="P502" s="617"/>
      <c r="Q502" s="617"/>
      <c r="R502" s="618"/>
      <c r="S502" s="557" t="s">
        <v>559</v>
      </c>
      <c r="T502" s="618"/>
      <c r="U502" s="557" t="s">
        <v>613</v>
      </c>
      <c r="V502" s="617"/>
      <c r="W502" s="618"/>
      <c r="X502" s="550" t="s">
        <v>664</v>
      </c>
      <c r="Y502" s="557" t="s">
        <v>719</v>
      </c>
      <c r="Z502" s="618"/>
      <c r="AB502" s="52"/>
      <c r="AC502" s="52"/>
      <c r="AF502" s="551"/>
    </row>
    <row r="503" spans="1:32" ht="14.25" customHeight="1" thickTop="1" x14ac:dyDescent="0.2">
      <c r="A503" s="856" t="s">
        <v>764</v>
      </c>
      <c r="B503" s="557" t="s">
        <v>63</v>
      </c>
      <c r="C503" s="557" t="s">
        <v>100</v>
      </c>
      <c r="D503" s="557" t="s">
        <v>118</v>
      </c>
      <c r="E503" s="557" t="s">
        <v>169</v>
      </c>
      <c r="F503" s="557" t="s">
        <v>191</v>
      </c>
      <c r="G503" s="557" t="s">
        <v>229</v>
      </c>
      <c r="H503" s="557" t="s">
        <v>99</v>
      </c>
      <c r="I503" s="557" t="s">
        <v>269</v>
      </c>
      <c r="J503" s="557" t="s">
        <v>327</v>
      </c>
      <c r="K503" s="557" t="s">
        <v>387</v>
      </c>
      <c r="L503" s="557" t="s">
        <v>428</v>
      </c>
      <c r="M503" s="557" t="s">
        <v>444</v>
      </c>
      <c r="N503" s="551"/>
      <c r="O503" s="557" t="s">
        <v>455</v>
      </c>
      <c r="P503" s="557" t="s">
        <v>464</v>
      </c>
      <c r="Q503" s="557" t="s">
        <v>477</v>
      </c>
      <c r="R503" s="557" t="s">
        <v>549</v>
      </c>
      <c r="S503" s="557" t="s">
        <v>560</v>
      </c>
      <c r="T503" s="557" t="s">
        <v>595</v>
      </c>
      <c r="U503" s="557" t="s">
        <v>614</v>
      </c>
      <c r="V503" s="557" t="s">
        <v>645</v>
      </c>
      <c r="W503" s="557" t="s">
        <v>660</v>
      </c>
      <c r="X503" s="557" t="s">
        <v>664</v>
      </c>
      <c r="Y503" s="557" t="s">
        <v>719</v>
      </c>
      <c r="Z503" s="557" t="s">
        <v>751</v>
      </c>
      <c r="AB503" s="52"/>
      <c r="AC503" s="52"/>
      <c r="AF503" s="551"/>
    </row>
    <row r="504" spans="1:32" ht="13.5" customHeight="1" thickBot="1" x14ac:dyDescent="0.25">
      <c r="A504" s="857"/>
      <c r="B504" s="558"/>
      <c r="C504" s="558"/>
      <c r="D504" s="558"/>
      <c r="E504" s="558"/>
      <c r="F504" s="558"/>
      <c r="G504" s="558"/>
      <c r="H504" s="558"/>
      <c r="I504" s="558"/>
      <c r="J504" s="558"/>
      <c r="K504" s="558"/>
      <c r="L504" s="558"/>
      <c r="M504" s="558"/>
      <c r="N504" s="551"/>
      <c r="O504" s="558"/>
      <c r="P504" s="558"/>
      <c r="Q504" s="558"/>
      <c r="R504" s="558"/>
      <c r="S504" s="558"/>
      <c r="T504" s="558"/>
      <c r="U504" s="558"/>
      <c r="V504" s="558"/>
      <c r="W504" s="558"/>
      <c r="X504" s="558"/>
      <c r="Y504" s="558"/>
      <c r="Z504" s="558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371.20000000000005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1029.3000000000002</v>
      </c>
      <c r="E505" s="46">
        <f>IFERROR(Y85*1,"0")+IFERROR(Y86*1,"0")+IFERROR(Y87*1,"0")+IFERROR(Y88*1,"0")+IFERROR(Y92*1,"0")+IFERROR(Y93*1,"0")+IFERROR(Y94*1,"0")+IFERROR(Y95*1,"0")</f>
        <v>1189.8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1071</v>
      </c>
      <c r="G505" s="46">
        <f>IFERROR(Y127*1,"0")+IFERROR(Y128*1,"0")+IFERROR(Y132*1,"0")+IFERROR(Y133*1,"0")+IFERROR(Y137*1,"0")+IFERROR(Y138*1,"0")</f>
        <v>110.80000000000001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506.94000000000005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1551.6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144.09999999999997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160.80000000000001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636.15000000000009</v>
      </c>
      <c r="R505" s="46">
        <f>IFERROR(Y342*1,"0")+IFERROR(Y343*1,"0")+IFERROR(Y344*1,"0")</f>
        <v>770.7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7952</v>
      </c>
      <c r="T505" s="46">
        <f>IFERROR(Y375*1,"0")+IFERROR(Y376*1,"0")+IFERROR(Y380*1,"0")+IFERROR(Y381*1,"0")+IFERROR(Y385*1,"0")+IFERROR(Y386*1,"0")+IFERROR(Y387*1,"0")</f>
        <v>66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98.7</v>
      </c>
      <c r="V505" s="46">
        <f>IFERROR(Y411*1,"0")+IFERROR(Y415*1,"0")+IFERROR(Y416*1,"0")+IFERROR(Y417*1,"0")+IFERROR(Y418*1,"0")</f>
        <v>10.5</v>
      </c>
      <c r="W505" s="46">
        <f>IFERROR(Y423*1,"0")</f>
        <v>24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958.56000000000006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1008</v>
      </c>
      <c r="Z505" s="46">
        <f>IFERROR(Y492*1,"0")</f>
        <v>0</v>
      </c>
      <c r="AB505" s="52"/>
      <c r="AC505" s="52"/>
      <c r="AF505" s="551"/>
    </row>
  </sheetData>
  <sheetProtection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 508,00"/>
        <filter val="1,11"/>
        <filter val="10,00"/>
        <filter val="10,50"/>
        <filter val="100,00"/>
        <filter val="102,00"/>
        <filter val="102,46"/>
        <filter val="108,00"/>
        <filter val="110,00"/>
        <filter val="111,11"/>
        <filter val="112,00"/>
        <filter val="113,89"/>
        <filter val="12,00"/>
        <filter val="12,50"/>
        <filter val="120,00"/>
        <filter val="122,50"/>
        <filter val="123,15"/>
        <filter val="14,50"/>
        <filter val="140,50"/>
        <filter val="15,00"/>
        <filter val="150,00"/>
        <filter val="157,50"/>
        <filter val="160,00"/>
        <filter val="160,49"/>
        <filter val="17 461,90"/>
        <filter val="17,00"/>
        <filter val="178,57"/>
        <filter val="18 479,10"/>
        <filter val="18,00"/>
        <filter val="18,17"/>
        <filter val="18,89"/>
        <filter val="181,54"/>
        <filter val="19 229,10"/>
        <filter val="19,80"/>
        <filter val="2 300,00"/>
        <filter val="2 500,00"/>
        <filter val="2,50"/>
        <filter val="20,00"/>
        <filter val="200,00"/>
        <filter val="22,73"/>
        <filter val="220,00"/>
        <filter val="23,80"/>
        <filter val="24,00"/>
        <filter val="245,74"/>
        <filter val="247,41"/>
        <filter val="250,00"/>
        <filter val="26,40"/>
        <filter val="26,67"/>
        <filter val="270,00"/>
        <filter val="277,50"/>
        <filter val="28,00"/>
        <filter val="290,00"/>
        <filter val="3 070,66"/>
        <filter val="3,33"/>
        <filter val="3,85"/>
        <filter val="3,89"/>
        <filter val="30"/>
        <filter val="30,00"/>
        <filter val="320,00"/>
        <filter val="35,00"/>
        <filter val="350,00"/>
        <filter val="36,00"/>
        <filter val="360,00"/>
        <filter val="366,67"/>
        <filter val="370,00"/>
        <filter val="4,90"/>
        <filter val="40,00"/>
        <filter val="410,00"/>
        <filter val="42,00"/>
        <filter val="420,00"/>
        <filter val="426,33"/>
        <filter val="45,00"/>
        <filter val="450,00"/>
        <filter val="46,67"/>
        <filter val="470,00"/>
        <filter val="48,00"/>
        <filter val="5,00"/>
        <filter val="50,00"/>
        <filter val="51,00"/>
        <filter val="51,10"/>
        <filter val="52,50"/>
        <filter val="520,00"/>
        <filter val="54,00"/>
        <filter val="57,20"/>
        <filter val="580,00"/>
        <filter val="6 365,00"/>
        <filter val="6,00"/>
        <filter val="60,00"/>
        <filter val="600,00"/>
        <filter val="630,00"/>
        <filter val="64,63"/>
        <filter val="650,00"/>
        <filter val="66,67"/>
        <filter val="68,00"/>
        <filter val="68,33"/>
        <filter val="68,89"/>
        <filter val="69,44"/>
        <filter val="7,00"/>
        <filter val="70,00"/>
        <filter val="700,00"/>
        <filter val="719,00"/>
        <filter val="72,00"/>
        <filter val="770,00"/>
        <filter val="8,00"/>
        <filter val="8,40"/>
        <filter val="829,00"/>
        <filter val="87,50"/>
        <filter val="9,00"/>
        <filter val="9,44"/>
        <filter val="90,00"/>
        <filter val="900,00"/>
        <filter val="98,00"/>
      </filters>
    </filterColumn>
    <filterColumn colId="29" showButton="0"/>
    <filterColumn colId="30" showButton="0"/>
  </autoFilter>
  <mergeCells count="886"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D172:E172"/>
    <mergeCell ref="P202:V202"/>
    <mergeCell ref="P395:T395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315:T315"/>
    <mergeCell ref="P144:T144"/>
    <mergeCell ref="D423:E423"/>
    <mergeCell ref="P302:T302"/>
    <mergeCell ref="D174:E174"/>
    <mergeCell ref="A83:Z83"/>
    <mergeCell ref="P88:T88"/>
    <mergeCell ref="P401:T401"/>
    <mergeCell ref="D211:E211"/>
    <mergeCell ref="P168:T168"/>
    <mergeCell ref="P130:V130"/>
    <mergeCell ref="A123:O124"/>
    <mergeCell ref="P153:T153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A34:Z34"/>
    <mergeCell ref="A270:Z270"/>
    <mergeCell ref="P24:V24"/>
    <mergeCell ref="D281:E281"/>
    <mergeCell ref="P260:V260"/>
    <mergeCell ref="P89:V89"/>
    <mergeCell ref="A334:Z334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P454:T454"/>
    <mergeCell ref="P259:V259"/>
    <mergeCell ref="A78:Z78"/>
    <mergeCell ref="D263:E263"/>
    <mergeCell ref="P220:T220"/>
    <mergeCell ref="D238:E238"/>
    <mergeCell ref="A50:Z50"/>
    <mergeCell ref="P437:T437"/>
    <mergeCell ref="D472:E472"/>
    <mergeCell ref="A469:O470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H9:I9"/>
    <mergeCell ref="P28:T28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D473:E473"/>
    <mergeCell ref="D352:E352"/>
    <mergeCell ref="P219:T219"/>
    <mergeCell ref="D328:E328"/>
    <mergeCell ref="D436:E436"/>
    <mergeCell ref="A340:Z340"/>
    <mergeCell ref="A373:Z373"/>
    <mergeCell ref="D365:E365"/>
    <mergeCell ref="P236:T236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D221:E221"/>
    <mergeCell ref="P469:V469"/>
    <mergeCell ref="P486:T486"/>
    <mergeCell ref="P75:T75"/>
    <mergeCell ref="P342:T342"/>
    <mergeCell ref="P317:T317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A36:O37"/>
    <mergeCell ref="V11:W11"/>
    <mergeCell ref="P57:T57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01:T10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A262:Z262"/>
    <mergeCell ref="P283:V283"/>
    <mergeCell ref="P252:V252"/>
    <mergeCell ref="P105:V105"/>
    <mergeCell ref="A464:Z464"/>
    <mergeCell ref="A160:Z160"/>
    <mergeCell ref="A71:Z71"/>
    <mergeCell ref="P79:T79"/>
    <mergeCell ref="D116:E116"/>
    <mergeCell ref="D67:E67"/>
    <mergeCell ref="D79:E79"/>
    <mergeCell ref="P92:T92"/>
    <mergeCell ref="P394:T394"/>
    <mergeCell ref="D315:E315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A51:Z5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2025-12-26T12:10:47Z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