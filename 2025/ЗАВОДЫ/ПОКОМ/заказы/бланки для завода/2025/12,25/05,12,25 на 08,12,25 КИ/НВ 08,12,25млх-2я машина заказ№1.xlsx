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7B184A8-EAAE-40E7-BD12-4C623A4E0C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Y144" i="1" s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54" i="1" l="1"/>
  <c r="BN54" i="1"/>
  <c r="Z54" i="1"/>
  <c r="BP92" i="1"/>
  <c r="BN92" i="1"/>
  <c r="Z92" i="1"/>
  <c r="BP126" i="1"/>
  <c r="BN126" i="1"/>
  <c r="Z126" i="1"/>
  <c r="BP171" i="1"/>
  <c r="BN171" i="1"/>
  <c r="Z171" i="1"/>
  <c r="BP208" i="1"/>
  <c r="BN208" i="1"/>
  <c r="Z208" i="1"/>
  <c r="BP231" i="1"/>
  <c r="BN231" i="1"/>
  <c r="Z231" i="1"/>
  <c r="Y275" i="1"/>
  <c r="BP272" i="1"/>
  <c r="BN272" i="1"/>
  <c r="Z272" i="1"/>
  <c r="BP302" i="1"/>
  <c r="BN302" i="1"/>
  <c r="Z302" i="1"/>
  <c r="BP343" i="1"/>
  <c r="BN343" i="1"/>
  <c r="Z343" i="1"/>
  <c r="BP388" i="1"/>
  <c r="BN388" i="1"/>
  <c r="Z388" i="1"/>
  <c r="BP425" i="1"/>
  <c r="BN425" i="1"/>
  <c r="Z425" i="1"/>
  <c r="BP451" i="1"/>
  <c r="BN451" i="1"/>
  <c r="Z451" i="1"/>
  <c r="BP31" i="1"/>
  <c r="BN31" i="1"/>
  <c r="Z31" i="1"/>
  <c r="BP74" i="1"/>
  <c r="BN74" i="1"/>
  <c r="Z74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20" i="1"/>
  <c r="BN220" i="1"/>
  <c r="Z220" i="1"/>
  <c r="BP256" i="1"/>
  <c r="BN256" i="1"/>
  <c r="Z256" i="1"/>
  <c r="BP292" i="1"/>
  <c r="BN292" i="1"/>
  <c r="Z292" i="1"/>
  <c r="BP316" i="1"/>
  <c r="BN316" i="1"/>
  <c r="Z316" i="1"/>
  <c r="BP320" i="1"/>
  <c r="BN320" i="1"/>
  <c r="Z320" i="1"/>
  <c r="BP357" i="1"/>
  <c r="BN357" i="1"/>
  <c r="Z357" i="1"/>
  <c r="BP409" i="1"/>
  <c r="BN409" i="1"/>
  <c r="Z409" i="1"/>
  <c r="BP437" i="1"/>
  <c r="BN437" i="1"/>
  <c r="Z437" i="1"/>
  <c r="BP473" i="1"/>
  <c r="BN473" i="1"/>
  <c r="Z473" i="1"/>
  <c r="B500" i="1"/>
  <c r="X492" i="1"/>
  <c r="BP88" i="1"/>
  <c r="BN88" i="1"/>
  <c r="Z88" i="1"/>
  <c r="BP103" i="1"/>
  <c r="BN103" i="1"/>
  <c r="Z103" i="1"/>
  <c r="BP115" i="1"/>
  <c r="BN115" i="1"/>
  <c r="Z115" i="1"/>
  <c r="BP147" i="1"/>
  <c r="BN147" i="1"/>
  <c r="Z147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2" i="1"/>
  <c r="BN202" i="1"/>
  <c r="Z202" i="1"/>
  <c r="BP214" i="1"/>
  <c r="BN214" i="1"/>
  <c r="Z214" i="1"/>
  <c r="BP229" i="1"/>
  <c r="BN229" i="1"/>
  <c r="Z229" i="1"/>
  <c r="BP249" i="1"/>
  <c r="BN249" i="1"/>
  <c r="Z249" i="1"/>
  <c r="BP267" i="1"/>
  <c r="BN267" i="1"/>
  <c r="Z267" i="1"/>
  <c r="Q500" i="1"/>
  <c r="BP290" i="1"/>
  <c r="BN290" i="1"/>
  <c r="Z290" i="1"/>
  <c r="J9" i="1"/>
  <c r="X491" i="1"/>
  <c r="X493" i="1" s="1"/>
  <c r="Z23" i="1"/>
  <c r="BN23" i="1"/>
  <c r="X490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Y78" i="1"/>
  <c r="Z76" i="1"/>
  <c r="BN76" i="1"/>
  <c r="Y82" i="1"/>
  <c r="BP80" i="1"/>
  <c r="BP94" i="1"/>
  <c r="BN94" i="1"/>
  <c r="Z94" i="1"/>
  <c r="BP109" i="1"/>
  <c r="BN109" i="1"/>
  <c r="Z109" i="1"/>
  <c r="Y132" i="1"/>
  <c r="BP130" i="1"/>
  <c r="BN130" i="1"/>
  <c r="Z130" i="1"/>
  <c r="BP165" i="1"/>
  <c r="BN165" i="1"/>
  <c r="Z165" i="1"/>
  <c r="BP175" i="1"/>
  <c r="BN175" i="1"/>
  <c r="Z175" i="1"/>
  <c r="BP198" i="1"/>
  <c r="BN198" i="1"/>
  <c r="Z198" i="1"/>
  <c r="BP210" i="1"/>
  <c r="BN210" i="1"/>
  <c r="Z210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79" i="1"/>
  <c r="BN279" i="1"/>
  <c r="Z279" i="1"/>
  <c r="BP294" i="1"/>
  <c r="BN294" i="1"/>
  <c r="Z294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90" i="1"/>
  <c r="BN390" i="1"/>
  <c r="Z390" i="1"/>
  <c r="BP422" i="1"/>
  <c r="BN422" i="1"/>
  <c r="Z422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96" i="1"/>
  <c r="Y117" i="1"/>
  <c r="Y118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04" i="1"/>
  <c r="Y455" i="1"/>
  <c r="Y454" i="1"/>
  <c r="Y24" i="1"/>
  <c r="Y65" i="1"/>
  <c r="E500" i="1"/>
  <c r="Y90" i="1"/>
  <c r="BP95" i="1"/>
  <c r="BN95" i="1"/>
  <c r="Z95" i="1"/>
  <c r="F500" i="1"/>
  <c r="Y105" i="1"/>
  <c r="BP100" i="1"/>
  <c r="BN100" i="1"/>
  <c r="Z100" i="1"/>
  <c r="G500" i="1"/>
  <c r="Y128" i="1"/>
  <c r="BP125" i="1"/>
  <c r="BN125" i="1"/>
  <c r="Z125" i="1"/>
  <c r="Z127" i="1" s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9" i="1"/>
  <c r="BN209" i="1"/>
  <c r="Z209" i="1"/>
  <c r="BP228" i="1"/>
  <c r="BN228" i="1"/>
  <c r="Z228" i="1"/>
  <c r="BP266" i="1"/>
  <c r="BN266" i="1"/>
  <c r="Z266" i="1"/>
  <c r="Y32" i="1"/>
  <c r="Y44" i="1"/>
  <c r="Y59" i="1"/>
  <c r="Y71" i="1"/>
  <c r="Y77" i="1"/>
  <c r="Y83" i="1"/>
  <c r="Y97" i="1"/>
  <c r="Y104" i="1"/>
  <c r="BP108" i="1"/>
  <c r="BN108" i="1"/>
  <c r="Z108" i="1"/>
  <c r="BP116" i="1"/>
  <c r="BN116" i="1"/>
  <c r="Z116" i="1"/>
  <c r="Y121" i="1"/>
  <c r="BP120" i="1"/>
  <c r="BN120" i="1"/>
  <c r="Z120" i="1"/>
  <c r="Z121" i="1" s="1"/>
  <c r="Y122" i="1"/>
  <c r="BP142" i="1"/>
  <c r="BN142" i="1"/>
  <c r="Z142" i="1"/>
  <c r="Z143" i="1" s="1"/>
  <c r="Y149" i="1"/>
  <c r="BP146" i="1"/>
  <c r="BN146" i="1"/>
  <c r="Z146" i="1"/>
  <c r="BP201" i="1"/>
  <c r="BN201" i="1"/>
  <c r="Z201" i="1"/>
  <c r="BP213" i="1"/>
  <c r="BN213" i="1"/>
  <c r="Z213" i="1"/>
  <c r="BP232" i="1"/>
  <c r="BN232" i="1"/>
  <c r="Z232" i="1"/>
  <c r="BP248" i="1"/>
  <c r="BN248" i="1"/>
  <c r="Z248" i="1"/>
  <c r="BP257" i="1"/>
  <c r="BN257" i="1"/>
  <c r="Z257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Y474" i="1"/>
  <c r="U500" i="1"/>
  <c r="H500" i="1"/>
  <c r="Y143" i="1"/>
  <c r="J500" i="1"/>
  <c r="Y188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Z275" i="1"/>
  <c r="BP273" i="1"/>
  <c r="BN273" i="1"/>
  <c r="Z273" i="1"/>
  <c r="Z295" i="1"/>
  <c r="BP291" i="1"/>
  <c r="BN291" i="1"/>
  <c r="Z291" i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11" i="1" l="1"/>
  <c r="Z474" i="1"/>
  <c r="Z221" i="1"/>
  <c r="Z193" i="1"/>
  <c r="Z110" i="1"/>
  <c r="Z235" i="1"/>
  <c r="Z58" i="1"/>
  <c r="Z32" i="1"/>
  <c r="Z439" i="1"/>
  <c r="Z349" i="1"/>
  <c r="Z311" i="1"/>
  <c r="Z304" i="1"/>
  <c r="Z463" i="1"/>
  <c r="Z374" i="1"/>
  <c r="Z117" i="1"/>
  <c r="Z96" i="1"/>
  <c r="Z324" i="1"/>
  <c r="Z204" i="1"/>
  <c r="Z394" i="1"/>
  <c r="Z260" i="1"/>
  <c r="Z251" i="1"/>
  <c r="Z380" i="1"/>
  <c r="Z216" i="1"/>
  <c r="Z172" i="1"/>
  <c r="Z70" i="1"/>
  <c r="Y490" i="1"/>
  <c r="Y492" i="1"/>
  <c r="Z337" i="1"/>
  <c r="Z104" i="1"/>
  <c r="Z448" i="1"/>
  <c r="Z433" i="1"/>
  <c r="Z77" i="1"/>
  <c r="Z64" i="1"/>
  <c r="Y491" i="1"/>
  <c r="Z149" i="1"/>
  <c r="Y494" i="1"/>
  <c r="Z495" i="1" l="1"/>
  <c r="Y493" i="1"/>
</calcChain>
</file>

<file path=xl/sharedStrings.xml><?xml version="1.0" encoding="utf-8"?>
<sst xmlns="http://schemas.openxmlformats.org/spreadsheetml/2006/main" count="2326" uniqueCount="766">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</sst>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45999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0.41666666666666669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6</v>
      </c>
      <c r="Y41" s="544">
        <f>IFERROR(IF(X41="",0,CEILING((X41/$H41),1)*$H41),"")</f>
        <v>10.8</v>
      </c>
      <c r="Z41" s="36">
        <f>IFERROR(IF(Y41=0,"",ROUNDUP(Y41/H41,0)*0.01898),"")</f>
        <v>1.898E-2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6.2277777777777779</v>
      </c>
      <c r="BN41" s="64">
        <f>IFERROR(Y41*I41/H41,"0")</f>
        <v>11.21</v>
      </c>
      <c r="BO41" s="64">
        <f>IFERROR(1/J41*(X41/H41),"0")</f>
        <v>8.6805555555555542E-3</v>
      </c>
      <c r="BP41" s="64">
        <f>IFERROR(1/J41*(Y41/H41),"0")</f>
        <v>1.5625E-2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114</v>
      </c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44</v>
      </c>
      <c r="Y43" s="544">
        <f>IFERROR(IF(X43="",0,CEILING((X43/$H43),1)*$H43),"")</f>
        <v>44.400000000000006</v>
      </c>
      <c r="Z43" s="36">
        <f>IFERROR(IF(Y43=0,"",ROUNDUP(Y43/H43,0)*0.00902),"")</f>
        <v>0.10824</v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46.259459459459457</v>
      </c>
      <c r="BN43" s="64">
        <f>IFERROR(Y43*I43/H43,"0")</f>
        <v>46.680000000000007</v>
      </c>
      <c r="BO43" s="64">
        <f>IFERROR(1/J43*(X43/H43),"0")</f>
        <v>9.0090090090090086E-2</v>
      </c>
      <c r="BP43" s="64">
        <f>IFERROR(1/J43*(Y43/H43),"0")</f>
        <v>9.0909090909090925E-2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12.447447447447447</v>
      </c>
      <c r="Y44" s="545">
        <f>IFERROR(Y41/H41,"0")+IFERROR(Y42/H42,"0")+IFERROR(Y43/H43,"0")</f>
        <v>13.000000000000002</v>
      </c>
      <c r="Z44" s="545">
        <f>IFERROR(IF(Z41="",0,Z41),"0")+IFERROR(IF(Z42="",0,Z42),"0")+IFERROR(IF(Z43="",0,Z43),"0")</f>
        <v>0.12722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50</v>
      </c>
      <c r="Y45" s="545">
        <f>IFERROR(SUM(Y41:Y43),"0")</f>
        <v>55.2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114</v>
      </c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 t="s">
        <v>114</v>
      </c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 t="s">
        <v>110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0</v>
      </c>
      <c r="Y58" s="545">
        <f>IFERROR(Y52/H52,"0")+IFERROR(Y53/H53,"0")+IFERROR(Y54/H54,"0")+IFERROR(Y55/H55,"0")+IFERROR(Y56/H56,"0")+IFERROR(Y57/H57,"0")</f>
        <v>0</v>
      </c>
      <c r="Z58" s="545">
        <f>IFERROR(IF(Z52="",0,Z52),"0")+IFERROR(IF(Z53="",0,Z53),"0")+IFERROR(IF(Z54="",0,Z54),"0")+IFERROR(IF(Z55="",0,Z55),"0")+IFERROR(IF(Z56="",0,Z56),"0")+IFERROR(IF(Z57="",0,Z57),"0")</f>
        <v>0</v>
      </c>
      <c r="AA58" s="546"/>
      <c r="AB58" s="546"/>
      <c r="AC58" s="546"/>
    </row>
    <row r="59" spans="1:68" hidden="1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0</v>
      </c>
      <c r="Y59" s="545">
        <f>IFERROR(SUM(Y52:Y57),"0")</f>
        <v>0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5</v>
      </c>
      <c r="Y61" s="544">
        <f>IFERROR(IF(X61="",0,CEILING((X61/$H61),1)*$H61),"")</f>
        <v>10.8</v>
      </c>
      <c r="Z61" s="36">
        <f>IFERROR(IF(Y61=0,"",ROUNDUP(Y61/H61,0)*0.01898),"")</f>
        <v>1.898E-2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5.1898148148148149</v>
      </c>
      <c r="BN61" s="64">
        <f>IFERROR(Y61*I61/H61,"0")</f>
        <v>11.21</v>
      </c>
      <c r="BO61" s="64">
        <f>IFERROR(1/J61*(X61/H61),"0")</f>
        <v>7.2337962962962955E-3</v>
      </c>
      <c r="BP61" s="64">
        <f>IFERROR(1/J61*(Y61/H61),"0")</f>
        <v>1.5625E-2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0.46296296296296291</v>
      </c>
      <c r="Y64" s="545">
        <f>IFERROR(Y61/H61,"0")+IFERROR(Y62/H62,"0")+IFERROR(Y63/H63,"0")</f>
        <v>1</v>
      </c>
      <c r="Z64" s="545">
        <f>IFERROR(IF(Z61="",0,Z61),"0")+IFERROR(IF(Z62="",0,Z62),"0")+IFERROR(IF(Z63="",0,Z63),"0")</f>
        <v>1.898E-2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5</v>
      </c>
      <c r="Y65" s="545">
        <f>IFERROR(SUM(Y61:Y63),"0")</f>
        <v>10.8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4</v>
      </c>
      <c r="Y80" s="544">
        <f>IFERROR(IF(X80="",0,CEILING((X80/$H80),1)*$H80),"")</f>
        <v>7.8</v>
      </c>
      <c r="Z80" s="36">
        <f>IFERROR(IF(Y80=0,"",ROUNDUP(Y80/H80,0)*0.01898),"")</f>
        <v>1.898E-2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4.2102564102564104</v>
      </c>
      <c r="BN80" s="64">
        <f>IFERROR(Y80*I80/H80,"0")</f>
        <v>8.2100000000000009</v>
      </c>
      <c r="BO80" s="64">
        <f>IFERROR(1/J80*(X80/H80),"0")</f>
        <v>8.0128205128205138E-3</v>
      </c>
      <c r="BP80" s="64">
        <f>IFERROR(1/J80*(Y80/H80),"0")</f>
        <v>1.5625E-2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0.51282051282051289</v>
      </c>
      <c r="Y82" s="545">
        <f>IFERROR(Y80/H80,"0")+IFERROR(Y81/H81,"0")</f>
        <v>1</v>
      </c>
      <c r="Z82" s="545">
        <f>IFERROR(IF(Z80="",0,Z80),"0")+IFERROR(IF(Z81="",0,Z81),"0")</f>
        <v>1.898E-2</v>
      </c>
      <c r="AA82" s="546"/>
      <c r="AB82" s="546"/>
      <c r="AC82" s="546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4</v>
      </c>
      <c r="Y83" s="545">
        <f>IFERROR(SUM(Y80:Y81),"0")</f>
        <v>7.8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23</v>
      </c>
      <c r="Y86" s="544">
        <f>IFERROR(IF(X86="",0,CEILING((X86/$H86),1)*$H86),"")</f>
        <v>32.400000000000006</v>
      </c>
      <c r="Z86" s="36">
        <f>IFERROR(IF(Y86=0,"",ROUNDUP(Y86/H86,0)*0.01898),"")</f>
        <v>5.6940000000000004E-2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23.87314814814815</v>
      </c>
      <c r="BN86" s="64">
        <f>IFERROR(Y86*I86/H86,"0")</f>
        <v>33.630000000000003</v>
      </c>
      <c r="BO86" s="64">
        <f>IFERROR(1/J86*(X86/H86),"0")</f>
        <v>3.3275462962962958E-2</v>
      </c>
      <c r="BP86" s="64">
        <f>IFERROR(1/J86*(Y86/H86),"0")</f>
        <v>4.6875000000000007E-2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114</v>
      </c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81</v>
      </c>
      <c r="Y88" s="544">
        <f>IFERROR(IF(X88="",0,CEILING((X88/$H88),1)*$H88),"")</f>
        <v>81</v>
      </c>
      <c r="Z88" s="36">
        <f>IFERROR(IF(Y88=0,"",ROUNDUP(Y88/H88,0)*0.00902),"")</f>
        <v>0.16236</v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84.420000000000016</v>
      </c>
      <c r="BN88" s="64">
        <f>IFERROR(Y88*I88/H88,"0")</f>
        <v>84.420000000000016</v>
      </c>
      <c r="BO88" s="64">
        <f>IFERROR(1/J88*(X88/H88),"0")</f>
        <v>0.13636363636363635</v>
      </c>
      <c r="BP88" s="64">
        <f>IFERROR(1/J88*(Y88/H88),"0")</f>
        <v>0.13636363636363635</v>
      </c>
    </row>
    <row r="89" spans="1:68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20.12962962962963</v>
      </c>
      <c r="Y89" s="545">
        <f>IFERROR(Y86/H86,"0")+IFERROR(Y87/H87,"0")+IFERROR(Y88/H88,"0")</f>
        <v>21</v>
      </c>
      <c r="Z89" s="545">
        <f>IFERROR(IF(Z86="",0,Z86),"0")+IFERROR(IF(Z87="",0,Z87),"0")+IFERROR(IF(Z88="",0,Z88),"0")</f>
        <v>0.21929999999999999</v>
      </c>
      <c r="AA89" s="546"/>
      <c r="AB89" s="546"/>
      <c r="AC89" s="546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104</v>
      </c>
      <c r="Y90" s="545">
        <f>IFERROR(SUM(Y86:Y88),"0")</f>
        <v>113.4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170</v>
      </c>
      <c r="Y92" s="544">
        <f>IFERROR(IF(X92="",0,CEILING((X92/$H92),1)*$H92),"")</f>
        <v>170.1</v>
      </c>
      <c r="Z92" s="36">
        <f>IFERROR(IF(Y92=0,"",ROUNDUP(Y92/H92,0)*0.01898),"")</f>
        <v>0.39857999999999999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180.36790123456788</v>
      </c>
      <c r="BN92" s="64">
        <f>IFERROR(Y92*I92/H92,"0")</f>
        <v>180.47399999999999</v>
      </c>
      <c r="BO92" s="64">
        <f>IFERROR(1/J92*(X92/H92),"0")</f>
        <v>0.32793209876543211</v>
      </c>
      <c r="BP92" s="64">
        <f>IFERROR(1/J92*(Y92/H92),"0")</f>
        <v>0.328125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 t="s">
        <v>190</v>
      </c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 t="s">
        <v>110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 t="s">
        <v>190</v>
      </c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110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20.987654320987655</v>
      </c>
      <c r="Y96" s="545">
        <f>IFERROR(Y92/H92,"0")+IFERROR(Y93/H93,"0")+IFERROR(Y94/H94,"0")+IFERROR(Y95/H95,"0")</f>
        <v>21</v>
      </c>
      <c r="Z96" s="545">
        <f>IFERROR(IF(Z92="",0,Z92),"0")+IFERROR(IF(Z93="",0,Z93),"0")+IFERROR(IF(Z94="",0,Z94),"0")+IFERROR(IF(Z95="",0,Z95),"0")</f>
        <v>0.39857999999999999</v>
      </c>
      <c r="AA96" s="546"/>
      <c r="AB96" s="546"/>
      <c r="AC96" s="546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170</v>
      </c>
      <c r="Y97" s="545">
        <f>IFERROR(SUM(Y92:Y95),"0")</f>
        <v>170.1</v>
      </c>
      <c r="Z97" s="37"/>
      <c r="AA97" s="546"/>
      <c r="AB97" s="546"/>
      <c r="AC97" s="546"/>
    </row>
    <row r="98" spans="1:68" ht="16.5" hidden="1" customHeight="1" x14ac:dyDescent="0.25">
      <c r="A98" s="555" t="s">
        <v>194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 t="s">
        <v>114</v>
      </c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110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68</v>
      </c>
      <c r="Y102" s="544">
        <f>IFERROR(IF(X102="",0,CEILING((X102/$H102),1)*$H102),"")</f>
        <v>72</v>
      </c>
      <c r="Z102" s="36">
        <f>IFERROR(IF(Y102=0,"",ROUNDUP(Y102/H102,0)*0.00902),"")</f>
        <v>0.14432</v>
      </c>
      <c r="AA102" s="56"/>
      <c r="AB102" s="57"/>
      <c r="AC102" s="147" t="s">
        <v>197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70.871111111111119</v>
      </c>
      <c r="BN102" s="64">
        <f>IFERROR(Y102*I102/H102,"0")</f>
        <v>75.040000000000006</v>
      </c>
      <c r="BO102" s="64">
        <f>IFERROR(1/J102*(X102/H102),"0")</f>
        <v>0.11447811447811448</v>
      </c>
      <c r="BP102" s="64">
        <f>IFERROR(1/J102*(Y102/H102),"0")</f>
        <v>0.12121212121212122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15.111111111111111</v>
      </c>
      <c r="Y104" s="545">
        <f>IFERROR(Y100/H100,"0")+IFERROR(Y101/H101,"0")+IFERROR(Y102/H102,"0")+IFERROR(Y103/H103,"0")</f>
        <v>16</v>
      </c>
      <c r="Z104" s="545">
        <f>IFERROR(IF(Z100="",0,Z100),"0")+IFERROR(IF(Z101="",0,Z101),"0")+IFERROR(IF(Z102="",0,Z102),"0")+IFERROR(IF(Z103="",0,Z103),"0")</f>
        <v>0.14432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68</v>
      </c>
      <c r="Y105" s="545">
        <f>IFERROR(SUM(Y100:Y103),"0")</f>
        <v>72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190</v>
      </c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68</v>
      </c>
      <c r="Y113" s="544">
        <f>IFERROR(IF(X113="",0,CEILING((X113/$H113),1)*$H113),"")</f>
        <v>72.899999999999991</v>
      </c>
      <c r="Z113" s="36">
        <f>IFERROR(IF(Y113=0,"",ROUNDUP(Y113/H113,0)*0.01898),"")</f>
        <v>0.17082</v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72.096790123456785</v>
      </c>
      <c r="BN113" s="64">
        <f>IFERROR(Y113*I113/H113,"0")</f>
        <v>77.291999999999987</v>
      </c>
      <c r="BO113" s="64">
        <f>IFERROR(1/J113*(X113/H113),"0")</f>
        <v>0.13117283950617284</v>
      </c>
      <c r="BP113" s="64">
        <f>IFERROR(1/J113*(Y113/H113),"0")</f>
        <v>0.140625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190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8.3950617283950617</v>
      </c>
      <c r="Y117" s="545">
        <f>IFERROR(Y113/H113,"0")+IFERROR(Y114/H114,"0")+IFERROR(Y115/H115,"0")+IFERROR(Y116/H116,"0")</f>
        <v>9</v>
      </c>
      <c r="Z117" s="545">
        <f>IFERROR(IF(Z113="",0,Z113),"0")+IFERROR(IF(Z114="",0,Z114),"0")+IFERROR(IF(Z115="",0,Z115),"0")+IFERROR(IF(Z116="",0,Z116),"0")</f>
        <v>0.17082</v>
      </c>
      <c r="AA117" s="546"/>
      <c r="AB117" s="546"/>
      <c r="AC117" s="546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68</v>
      </c>
      <c r="Y118" s="545">
        <f>IFERROR(SUM(Y113:Y116),"0")</f>
        <v>72.899999999999991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190</v>
      </c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 t="s">
        <v>190</v>
      </c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110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190</v>
      </c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18</v>
      </c>
      <c r="Y162" s="544">
        <f t="shared" ref="Y162:Y171" si="5">IFERROR(IF(X162="",0,CEILING((X162/$H162),1)*$H162),"")</f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19.071428571428573</v>
      </c>
      <c r="BN162" s="64">
        <f t="shared" ref="BN162:BN171" si="7">IFERROR(Y162*I162/H162,"0")</f>
        <v>22.25</v>
      </c>
      <c r="BO162" s="64">
        <f t="shared" ref="BO162:BO171" si="8">IFERROR(1/J162*(X162/H162),"0")</f>
        <v>3.2467532467532464E-2</v>
      </c>
      <c r="BP162" s="64">
        <f t="shared" ref="BP162:BP171" si="9">IFERROR(1/J162*(Y162/H162),"0")</f>
        <v>3.787878787878788E-2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23</v>
      </c>
      <c r="Y164" s="544">
        <f t="shared" si="5"/>
        <v>25.200000000000003</v>
      </c>
      <c r="Z164" s="36">
        <f>IFERROR(IF(Y164=0,"",ROUNDUP(Y164/H164,0)*0.00902),"")</f>
        <v>5.4120000000000001E-2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24.040476190476188</v>
      </c>
      <c r="BN164" s="64">
        <f t="shared" si="7"/>
        <v>26.34</v>
      </c>
      <c r="BO164" s="64">
        <f t="shared" si="8"/>
        <v>4.1486291486291488E-2</v>
      </c>
      <c r="BP164" s="64">
        <f t="shared" si="9"/>
        <v>4.5454545454545456E-2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28</v>
      </c>
      <c r="Y165" s="544">
        <f t="shared" si="5"/>
        <v>29.400000000000002</v>
      </c>
      <c r="Z165" s="36">
        <f>IFERROR(IF(Y165=0,"",ROUNDUP(Y165/H165,0)*0.00502),"")</f>
        <v>7.0280000000000009E-2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29.733333333333331</v>
      </c>
      <c r="BN165" s="64">
        <f t="shared" si="7"/>
        <v>31.22</v>
      </c>
      <c r="BO165" s="64">
        <f t="shared" si="8"/>
        <v>5.6980056980056981E-2</v>
      </c>
      <c r="BP165" s="64">
        <f t="shared" si="9"/>
        <v>5.9829059829059839E-2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10</v>
      </c>
      <c r="Y168" s="544">
        <f t="shared" si="5"/>
        <v>10.8</v>
      </c>
      <c r="Z168" s="36">
        <f>IFERROR(IF(Y168=0,"",ROUNDUP(Y168/H168,0)*0.00502),"")</f>
        <v>3.0120000000000001E-2</v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10.722222222222223</v>
      </c>
      <c r="BN168" s="64">
        <f t="shared" si="7"/>
        <v>11.58</v>
      </c>
      <c r="BO168" s="64">
        <f t="shared" si="8"/>
        <v>2.3741690408357077E-2</v>
      </c>
      <c r="BP168" s="64">
        <f t="shared" si="9"/>
        <v>2.5641025641025644E-2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35</v>
      </c>
      <c r="Y169" s="544">
        <f t="shared" si="5"/>
        <v>35.700000000000003</v>
      </c>
      <c r="Z169" s="36">
        <f>IFERROR(IF(Y169=0,"",ROUNDUP(Y169/H169,0)*0.00502),"")</f>
        <v>8.5339999999999999E-2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36.666666666666664</v>
      </c>
      <c r="BN169" s="64">
        <f t="shared" si="7"/>
        <v>37.4</v>
      </c>
      <c r="BO169" s="64">
        <f t="shared" si="8"/>
        <v>7.1225071225071226E-2</v>
      </c>
      <c r="BP169" s="64">
        <f t="shared" si="9"/>
        <v>7.2649572649572655E-2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45.317460317460316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48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0.28495999999999999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114</v>
      </c>
      <c r="Y173" s="545">
        <f>IFERROR(SUM(Y162:Y171),"0")</f>
        <v>122.10000000000001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2</v>
      </c>
      <c r="Y176" s="544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1</v>
      </c>
      <c r="Y177" s="544">
        <f>IFERROR(IF(X177="",0,CEILING((X177/$H177),1)*$H177),"")</f>
        <v>1.26</v>
      </c>
      <c r="Z177" s="36">
        <f>IFERROR(IF(Y177=0,"",ROUNDUP(Y177/H177,0)*0.0059),"")</f>
        <v>5.8999999999999999E-3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1.1507936507936507</v>
      </c>
      <c r="BN177" s="64">
        <f>IFERROR(Y177*I177/H177,"0")</f>
        <v>1.45</v>
      </c>
      <c r="BO177" s="64">
        <f>IFERROR(1/J177*(X177/H177),"0")</f>
        <v>3.6743092298647849E-3</v>
      </c>
      <c r="BP177" s="64">
        <f>IFERROR(1/J177*(Y177/H177),"0")</f>
        <v>4.6296296296296294E-3</v>
      </c>
    </row>
    <row r="178" spans="1:68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2.3809523809523809</v>
      </c>
      <c r="Y178" s="545">
        <f>IFERROR(Y175/H175,"0")+IFERROR(Y176/H176,"0")+IFERROR(Y177/H177,"0")</f>
        <v>3</v>
      </c>
      <c r="Z178" s="545">
        <f>IFERROR(IF(Z175="",0,Z175),"0")+IFERROR(IF(Z176="",0,Z176),"0")+IFERROR(IF(Z177="",0,Z177),"0")</f>
        <v>1.77E-2</v>
      </c>
      <c r="AA178" s="546"/>
      <c r="AB178" s="546"/>
      <c r="AC178" s="546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3</v>
      </c>
      <c r="Y179" s="545">
        <f>IFERROR(SUM(Y175:Y177),"0")</f>
        <v>3.7800000000000002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190</v>
      </c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41</v>
      </c>
      <c r="Y196" s="544">
        <f t="shared" ref="Y196:Y203" si="10">IFERROR(IF(X196="",0,CEILING((X196/$H196),1)*$H196),"")</f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42.44259259259259</v>
      </c>
      <c r="BN196" s="64">
        <f t="shared" ref="BN196:BN203" si="12">IFERROR(Y196*I196/H196,"0")</f>
        <v>44.72</v>
      </c>
      <c r="BO196" s="64">
        <f t="shared" ref="BO196:BO203" si="13">IFERROR(1/J196*(X196/H196),"0")</f>
        <v>5.7519640852974181E-2</v>
      </c>
      <c r="BP196" s="64">
        <f t="shared" ref="BP196:BP203" si="14">IFERROR(1/J196*(Y196/H196),"0")</f>
        <v>6.0606060606060608E-2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195</v>
      </c>
      <c r="Y199" s="544">
        <f t="shared" si="10"/>
        <v>199.8</v>
      </c>
      <c r="Z199" s="36">
        <f>IFERROR(IF(Y199=0,"",ROUNDUP(Y199/H199,0)*0.00902),"")</f>
        <v>0.33374000000000004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201.86111111111109</v>
      </c>
      <c r="BN199" s="64">
        <f t="shared" si="12"/>
        <v>206.82999999999998</v>
      </c>
      <c r="BO199" s="64">
        <f t="shared" si="13"/>
        <v>0.27356902356902357</v>
      </c>
      <c r="BP199" s="64">
        <f t="shared" si="14"/>
        <v>0.28030303030303033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5</v>
      </c>
      <c r="Y201" s="544">
        <f t="shared" si="10"/>
        <v>5.4</v>
      </c>
      <c r="Z201" s="36">
        <f>IFERROR(IF(Y201=0,"",ROUNDUP(Y201/H201,0)*0.00502),"")</f>
        <v>1.506E-2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5.2777777777777777</v>
      </c>
      <c r="BN201" s="64">
        <f t="shared" si="12"/>
        <v>5.7</v>
      </c>
      <c r="BO201" s="64">
        <f t="shared" si="13"/>
        <v>1.1870845204178538E-2</v>
      </c>
      <c r="BP201" s="64">
        <f t="shared" si="14"/>
        <v>1.2820512820512822E-2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17</v>
      </c>
      <c r="Y203" s="544">
        <f t="shared" si="10"/>
        <v>18</v>
      </c>
      <c r="Z203" s="36">
        <f>IFERROR(IF(Y203=0,"",ROUNDUP(Y203/H203,0)*0.00502),"")</f>
        <v>5.0200000000000002E-2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17.944444444444443</v>
      </c>
      <c r="BN203" s="64">
        <f t="shared" si="12"/>
        <v>18.999999999999996</v>
      </c>
      <c r="BO203" s="64">
        <f t="shared" si="13"/>
        <v>4.0360873694207031E-2</v>
      </c>
      <c r="BP203" s="64">
        <f t="shared" si="14"/>
        <v>4.2735042735042736E-2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55.925925925925917</v>
      </c>
      <c r="Y204" s="545">
        <f>IFERROR(Y196/H196,"0")+IFERROR(Y197/H197,"0")+IFERROR(Y198/H198,"0")+IFERROR(Y199/H199,"0")+IFERROR(Y200/H200,"0")+IFERROR(Y201/H201,"0")+IFERROR(Y202/H202,"0")+IFERROR(Y203/H203,"0")</f>
        <v>58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0.47116000000000008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258</v>
      </c>
      <c r="Y205" s="545">
        <f>IFERROR(SUM(Y196:Y203),"0")</f>
        <v>266.39999999999998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 t="s">
        <v>107</v>
      </c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110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 t="s">
        <v>107</v>
      </c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110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190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46</v>
      </c>
      <c r="Y210" s="544">
        <f t="shared" si="15"/>
        <v>48</v>
      </c>
      <c r="Z210" s="36">
        <f t="shared" ref="Z210:Z215" si="20">IFERROR(IF(Y210=0,"",ROUNDUP(Y210/H210,0)*0.00651),"")</f>
        <v>0.13020000000000001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51.174999999999997</v>
      </c>
      <c r="BN210" s="64">
        <f t="shared" si="17"/>
        <v>53.4</v>
      </c>
      <c r="BO210" s="64">
        <f t="shared" si="18"/>
        <v>0.10531135531135533</v>
      </c>
      <c r="BP210" s="64">
        <f t="shared" si="19"/>
        <v>0.1098901098901099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190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190</v>
      </c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190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102</v>
      </c>
      <c r="Y214" s="544">
        <f t="shared" si="15"/>
        <v>103.2</v>
      </c>
      <c r="Z214" s="36">
        <f t="shared" si="20"/>
        <v>0.27993000000000001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112.71000000000001</v>
      </c>
      <c r="BN214" s="64">
        <f t="shared" si="17"/>
        <v>114.03600000000003</v>
      </c>
      <c r="BO214" s="64">
        <f t="shared" si="18"/>
        <v>0.23351648351648355</v>
      </c>
      <c r="BP214" s="64">
        <f t="shared" si="19"/>
        <v>0.23626373626373628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190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93</v>
      </c>
      <c r="Y215" s="544">
        <f t="shared" si="15"/>
        <v>93.6</v>
      </c>
      <c r="Z215" s="36">
        <f t="shared" si="20"/>
        <v>0.25389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102.9975</v>
      </c>
      <c r="BN215" s="64">
        <f t="shared" si="17"/>
        <v>103.66199999999999</v>
      </c>
      <c r="BO215" s="64">
        <f t="shared" si="18"/>
        <v>0.21291208791208793</v>
      </c>
      <c r="BP215" s="64">
        <f t="shared" si="19"/>
        <v>0.2142857142857143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100.41666666666667</v>
      </c>
      <c r="Y216" s="545">
        <f>IFERROR(Y207/H207,"0")+IFERROR(Y208/H208,"0")+IFERROR(Y209/H209,"0")+IFERROR(Y210/H210,"0")+IFERROR(Y211/H211,"0")+IFERROR(Y212/H212,"0")+IFERROR(Y213/H213,"0")+IFERROR(Y214/H214,"0")+IFERROR(Y215/H215,"0")</f>
        <v>102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0.66402000000000005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241</v>
      </c>
      <c r="Y217" s="545">
        <f>IFERROR(SUM(Y207:Y215),"0")</f>
        <v>244.79999999999998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190</v>
      </c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190</v>
      </c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1</v>
      </c>
      <c r="Y242" s="544">
        <f>IFERROR(IF(X242="",0,CEILING((X242/$H242),1)*$H242),"")</f>
        <v>1.8</v>
      </c>
      <c r="Z242" s="36">
        <f>IFERROR(IF(Y242=0,"",ROUNDUP(Y242/H242,0)*0.0059),"")</f>
        <v>5.8999999999999999E-3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1.0972222222222223</v>
      </c>
      <c r="BN242" s="64">
        <f>IFERROR(Y242*I242/H242,"0")</f>
        <v>1.9750000000000001</v>
      </c>
      <c r="BO242" s="64">
        <f>IFERROR(1/J242*(X242/H242),"0")</f>
        <v>2.5720164609053498E-3</v>
      </c>
      <c r="BP242" s="64">
        <f>IFERROR(1/J242*(Y242/H242),"0")</f>
        <v>4.6296296296296294E-3</v>
      </c>
    </row>
    <row r="243" spans="1:68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0.55555555555555558</v>
      </c>
      <c r="Y243" s="545">
        <f>IFERROR(Y242/H242,"0")</f>
        <v>1</v>
      </c>
      <c r="Z243" s="545">
        <f>IFERROR(IF(Z242="",0,Z242),"0")</f>
        <v>5.8999999999999999E-3</v>
      </c>
      <c r="AA243" s="546"/>
      <c r="AB243" s="546"/>
      <c r="AC243" s="546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1</v>
      </c>
      <c r="Y244" s="545">
        <f>IFERROR(SUM(Y242:Y242),"0")</f>
        <v>1.8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1</v>
      </c>
      <c r="Y250" s="544">
        <f>IFERROR(IF(X250="",0,CEILING((X250/$H250),1)*$H250),"")</f>
        <v>1.98</v>
      </c>
      <c r="Z250" s="36">
        <f>IFERROR(IF(Y250=0,"",ROUNDUP(Y250/H250,0)*0.0059),"")</f>
        <v>1.18E-2</v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1.1919191919191918</v>
      </c>
      <c r="BN250" s="64">
        <f>IFERROR(Y250*I250/H250,"0")</f>
        <v>2.36</v>
      </c>
      <c r="BO250" s="64">
        <f>IFERROR(1/J250*(X250/H250),"0")</f>
        <v>4.6763935652824546E-3</v>
      </c>
      <c r="BP250" s="64">
        <f>IFERROR(1/J250*(Y250/H250),"0")</f>
        <v>9.2592592592592587E-3</v>
      </c>
    </row>
    <row r="251" spans="1:68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1.0101010101010102</v>
      </c>
      <c r="Y251" s="545">
        <f>IFERROR(Y246/H246,"0")+IFERROR(Y247/H247,"0")+IFERROR(Y248/H248,"0")+IFERROR(Y249/H249,"0")+IFERROR(Y250/H250,"0")</f>
        <v>2</v>
      </c>
      <c r="Z251" s="545">
        <f>IFERROR(IF(Z246="",0,Z246),"0")+IFERROR(IF(Z247="",0,Z247),"0")+IFERROR(IF(Z248="",0,Z248),"0")+IFERROR(IF(Z249="",0,Z249),"0")+IFERROR(IF(Z250="",0,Z250),"0")</f>
        <v>1.18E-2</v>
      </c>
      <c r="AA251" s="546"/>
      <c r="AB251" s="546"/>
      <c r="AC251" s="546"/>
    </row>
    <row r="252" spans="1:68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1</v>
      </c>
      <c r="Y252" s="545">
        <f>IFERROR(SUM(Y246:Y250),"0")</f>
        <v>1.98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 t="s">
        <v>107</v>
      </c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110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190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10</v>
      </c>
      <c r="Y273" s="544">
        <f>IFERROR(IF(X273="",0,CEILING((X273/$H273),1)*$H273),"")</f>
        <v>12</v>
      </c>
      <c r="Z273" s="36">
        <f>IFERROR(IF(Y273=0,"",ROUNDUP(Y273/H273,0)*0.00651),"")</f>
        <v>3.2550000000000003E-2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11.050000000000002</v>
      </c>
      <c r="BN273" s="64">
        <f>IFERROR(Y273*I273/H273,"0")</f>
        <v>13.260000000000002</v>
      </c>
      <c r="BO273" s="64">
        <f>IFERROR(1/J273*(X273/H273),"0")</f>
        <v>2.2893772893772896E-2</v>
      </c>
      <c r="BP273" s="64">
        <f>IFERROR(1/J273*(Y273/H273),"0")</f>
        <v>2.7472527472527476E-2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190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4.166666666666667</v>
      </c>
      <c r="Y275" s="545">
        <f>IFERROR(Y272/H272,"0")+IFERROR(Y273/H273,"0")+IFERROR(Y274/H274,"0")</f>
        <v>5</v>
      </c>
      <c r="Z275" s="545">
        <f>IFERROR(IF(Z272="",0,Z272),"0")+IFERROR(IF(Z273="",0,Z273),"0")+IFERROR(IF(Z274="",0,Z274),"0")</f>
        <v>3.2550000000000003E-2</v>
      </c>
      <c r="AA275" s="546"/>
      <c r="AB275" s="546"/>
      <c r="AC275" s="546"/>
    </row>
    <row r="276" spans="1:68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10</v>
      </c>
      <c r="Y276" s="545">
        <f>IFERROR(SUM(Y272:Y274),"0")</f>
        <v>12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 t="s">
        <v>114</v>
      </c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110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0</v>
      </c>
      <c r="Y303" s="544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0</v>
      </c>
      <c r="Y304" s="545">
        <f>IFERROR(Y298/H298,"0")+IFERROR(Y299/H299,"0")+IFERROR(Y300/H300,"0")+IFERROR(Y301/H301,"0")+IFERROR(Y302/H302,"0")+IFERROR(Y303/H303,"0")</f>
        <v>0</v>
      </c>
      <c r="Z304" s="545">
        <f>IFERROR(IF(Z298="",0,Z298),"0")+IFERROR(IF(Z299="",0,Z299),"0")+IFERROR(IF(Z300="",0,Z300),"0")+IFERROR(IF(Z301="",0,Z301),"0")+IFERROR(IF(Z302="",0,Z302),"0")+IFERROR(IF(Z303="",0,Z303),"0")</f>
        <v>0</v>
      </c>
      <c r="AA304" s="546"/>
      <c r="AB304" s="546"/>
      <c r="AC304" s="546"/>
    </row>
    <row r="305" spans="1:68" hidden="1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0</v>
      </c>
      <c r="Y305" s="545">
        <f>IFERROR(SUM(Y298:Y303),"0")</f>
        <v>0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 t="s">
        <v>107</v>
      </c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110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81</v>
      </c>
      <c r="Y315" s="544">
        <f>IFERROR(IF(X315="",0,CEILING((X315/$H315),1)*$H315),"")</f>
        <v>85.8</v>
      </c>
      <c r="Z315" s="36">
        <f>IFERROR(IF(Y315=0,"",ROUNDUP(Y315/H315,0)*0.01898),"")</f>
        <v>0.20877999999999999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86.13000000000001</v>
      </c>
      <c r="BN315" s="64">
        <f>IFERROR(Y315*I315/H315,"0")</f>
        <v>91.234000000000009</v>
      </c>
      <c r="BO315" s="64">
        <f>IFERROR(1/J315*(X315/H315),"0")</f>
        <v>0.16225961538461539</v>
      </c>
      <c r="BP315" s="64">
        <f>IFERROR(1/J315*(Y315/H315),"0")</f>
        <v>0.171875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10.384615384615385</v>
      </c>
      <c r="Y317" s="545">
        <f>IFERROR(Y314/H314,"0")+IFERROR(Y315/H315,"0")+IFERROR(Y316/H316,"0")</f>
        <v>11</v>
      </c>
      <c r="Z317" s="545">
        <f>IFERROR(IF(Z314="",0,Z314),"0")+IFERROR(IF(Z315="",0,Z315),"0")+IFERROR(IF(Z316="",0,Z316),"0")</f>
        <v>0.20877999999999999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81</v>
      </c>
      <c r="Y318" s="545">
        <f>IFERROR(SUM(Y314:Y316),"0")</f>
        <v>85.8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4</v>
      </c>
      <c r="Y320" s="544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12</v>
      </c>
      <c r="Y321" s="544">
        <f>IFERROR(IF(X321="",0,CEILING((X321/$H321),1)*$H321),"")</f>
        <v>12.16</v>
      </c>
      <c r="Z321" s="36">
        <f>IFERROR(IF(Y321=0,"",ROUNDUP(Y321/H321,0)*0.00902),"")</f>
        <v>3.6080000000000001E-2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12.907894736842106</v>
      </c>
      <c r="BN321" s="64">
        <f>IFERROR(Y321*I321/H321,"0")</f>
        <v>13.079999999999998</v>
      </c>
      <c r="BO321" s="64">
        <f>IFERROR(1/J321*(X321/H321),"0")</f>
        <v>2.9904306220095694E-2</v>
      </c>
      <c r="BP321" s="64">
        <f>IFERROR(1/J321*(Y321/H321),"0")</f>
        <v>3.0303030303030304E-2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190</v>
      </c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190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7</v>
      </c>
      <c r="Y323" s="544">
        <f>IFERROR(IF(X323="",0,CEILING((X323/$H323),1)*$H323),"")</f>
        <v>7.6499999999999995</v>
      </c>
      <c r="Z323" s="36">
        <f>IFERROR(IF(Y323=0,"",ROUNDUP(Y323/H323,0)*0.00651),"")</f>
        <v>1.9529999999999999E-2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7.9058823529411768</v>
      </c>
      <c r="BN323" s="64">
        <f>IFERROR(Y323*I323/H323,"0")</f>
        <v>8.6399999999999988</v>
      </c>
      <c r="BO323" s="64">
        <f>IFERROR(1/J323*(X323/H323),"0")</f>
        <v>1.508295625942685E-2</v>
      </c>
      <c r="BP323" s="64">
        <f>IFERROR(1/J323*(Y323/H323),"0")</f>
        <v>1.6483516483516484E-2</v>
      </c>
    </row>
    <row r="324" spans="1:68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8.0082559339525297</v>
      </c>
      <c r="Y324" s="545">
        <f>IFERROR(Y320/H320,"0")+IFERROR(Y321/H321,"0")+IFERROR(Y322/H322,"0")+IFERROR(Y323/H323,"0")</f>
        <v>9</v>
      </c>
      <c r="Z324" s="545">
        <f>IFERROR(IF(Z320="",0,Z320),"0")+IFERROR(IF(Z321="",0,Z321),"0")+IFERROR(IF(Z322="",0,Z322),"0")+IFERROR(IF(Z323="",0,Z323),"0")</f>
        <v>7.3649999999999993E-2</v>
      </c>
      <c r="AA324" s="546"/>
      <c r="AB324" s="546"/>
      <c r="AC324" s="546"/>
    </row>
    <row r="325" spans="1:68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23</v>
      </c>
      <c r="Y325" s="545">
        <f>IFERROR(SUM(Y320:Y323),"0")</f>
        <v>25.89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190</v>
      </c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5</v>
      </c>
      <c r="Y327" s="544">
        <f>IFERROR(IF(X327="",0,CEILING((X327/$H327),1)*$H327),"")</f>
        <v>6</v>
      </c>
      <c r="Z327" s="36">
        <f>IFERROR(IF(Y327=0,"",ROUNDUP(Y327/H327,0)*0.00474),"")</f>
        <v>1.422E-2</v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5.6000000000000005</v>
      </c>
      <c r="BN327" s="64">
        <f>IFERROR(Y327*I327/H327,"0")</f>
        <v>6.7200000000000006</v>
      </c>
      <c r="BO327" s="64">
        <f>IFERROR(1/J327*(X327/H327),"0")</f>
        <v>1.0504201680672268E-2</v>
      </c>
      <c r="BP327" s="64">
        <f>IFERROR(1/J327*(Y327/H327),"0")</f>
        <v>1.2605042016806723E-2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 t="s">
        <v>190</v>
      </c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4</v>
      </c>
      <c r="Y328" s="544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516</v>
      </c>
      <c r="AG328" s="64"/>
      <c r="AJ328" s="68" t="s">
        <v>110</v>
      </c>
      <c r="AK328" s="68">
        <v>28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190</v>
      </c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5</v>
      </c>
      <c r="Y329" s="544">
        <f>IFERROR(IF(X329="",0,CEILING((X329/$H329),1)*$H329),"")</f>
        <v>6</v>
      </c>
      <c r="Z329" s="36">
        <f>IFERROR(IF(Y329=0,"",ROUNDUP(Y329/H329,0)*0.00474),"")</f>
        <v>1.422E-2</v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5.6000000000000005</v>
      </c>
      <c r="BN329" s="64">
        <f>IFERROR(Y329*I329/H329,"0")</f>
        <v>6.7200000000000006</v>
      </c>
      <c r="BO329" s="64">
        <f>IFERROR(1/J329*(X329/H329),"0")</f>
        <v>1.0504201680672268E-2</v>
      </c>
      <c r="BP329" s="64">
        <f>IFERROR(1/J329*(Y329/H329),"0")</f>
        <v>1.2605042016806723E-2</v>
      </c>
    </row>
    <row r="330" spans="1:68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7</v>
      </c>
      <c r="Y330" s="545">
        <f>IFERROR(Y327/H327,"0")+IFERROR(Y328/H328,"0")+IFERROR(Y329/H329,"0")</f>
        <v>8</v>
      </c>
      <c r="Z330" s="545">
        <f>IFERROR(IF(Z327="",0,Z327),"0")+IFERROR(IF(Z328="",0,Z328),"0")+IFERROR(IF(Z329="",0,Z329),"0")</f>
        <v>3.7919999999999995E-2</v>
      </c>
      <c r="AA330" s="546"/>
      <c r="AB330" s="546"/>
      <c r="AC330" s="546"/>
    </row>
    <row r="331" spans="1:68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14</v>
      </c>
      <c r="Y331" s="545">
        <f>IFERROR(SUM(Y327:Y329),"0")</f>
        <v>16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190</v>
      </c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190</v>
      </c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hidden="1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422</v>
      </c>
      <c r="Y342" s="544">
        <f t="shared" ref="Y342:Y348" si="31">IFERROR(IF(X342="",0,CEILING((X342/$H342),1)*$H342),"")</f>
        <v>435</v>
      </c>
      <c r="Z342" s="36">
        <f>IFERROR(IF(Y342=0,"",ROUNDUP(Y342/H342,0)*0.02175),"")</f>
        <v>0.63074999999999992</v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435.22266666666667</v>
      </c>
      <c r="BN342" s="64">
        <f t="shared" ref="BN342:BN348" si="33">IFERROR(Y342*I342/H342,"0")</f>
        <v>448.63000000000005</v>
      </c>
      <c r="BO342" s="64">
        <f t="shared" ref="BO342:BO348" si="34">IFERROR(1/J342*(X342/H342),"0")</f>
        <v>0.58611111111111103</v>
      </c>
      <c r="BP342" s="64">
        <f t="shared" ref="BP342:BP348" si="35">IFERROR(1/J342*(Y342/H342),"0")</f>
        <v>0.60416666666666663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193</v>
      </c>
      <c r="Y343" s="544">
        <f t="shared" si="31"/>
        <v>195</v>
      </c>
      <c r="Z343" s="36">
        <f>IFERROR(IF(Y343=0,"",ROUNDUP(Y343/H343,0)*0.02175),"")</f>
        <v>0.28275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199.04733333333334</v>
      </c>
      <c r="BN343" s="64">
        <f t="shared" si="33"/>
        <v>201.11</v>
      </c>
      <c r="BO343" s="64">
        <f t="shared" si="34"/>
        <v>0.26805555555555555</v>
      </c>
      <c r="BP343" s="64">
        <f t="shared" si="35"/>
        <v>0.27083333333333331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215</v>
      </c>
      <c r="Y344" s="544">
        <f t="shared" si="31"/>
        <v>225</v>
      </c>
      <c r="Z344" s="36">
        <f>IFERROR(IF(Y344=0,"",ROUNDUP(Y344/H344,0)*0.02175),"")</f>
        <v>0.32624999999999998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221.73666666666668</v>
      </c>
      <c r="BN344" s="64">
        <f t="shared" si="33"/>
        <v>232.05</v>
      </c>
      <c r="BO344" s="64">
        <f t="shared" si="34"/>
        <v>0.2986111111111111</v>
      </c>
      <c r="BP344" s="64">
        <f t="shared" si="35"/>
        <v>0.3125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227</v>
      </c>
      <c r="Y345" s="544">
        <f t="shared" si="31"/>
        <v>240</v>
      </c>
      <c r="Z345" s="36">
        <f>IFERROR(IF(Y345=0,"",ROUNDUP(Y345/H345,0)*0.02175),"")</f>
        <v>0.34799999999999998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234.11266666666668</v>
      </c>
      <c r="BN345" s="64">
        <f t="shared" si="33"/>
        <v>247.52</v>
      </c>
      <c r="BO345" s="64">
        <f t="shared" si="34"/>
        <v>0.31527777777777777</v>
      </c>
      <c r="BP345" s="64">
        <f t="shared" si="35"/>
        <v>0.33333333333333331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70.466666666666669</v>
      </c>
      <c r="Y349" s="545">
        <f>IFERROR(Y342/H342,"0")+IFERROR(Y343/H343,"0")+IFERROR(Y344/H344,"0")+IFERROR(Y345/H345,"0")+IFERROR(Y346/H346,"0")+IFERROR(Y347/H347,"0")+IFERROR(Y348/H348,"0")</f>
        <v>73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1.5877499999999998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1057</v>
      </c>
      <c r="Y350" s="545">
        <f>IFERROR(SUM(Y342:Y348),"0")</f>
        <v>1095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289</v>
      </c>
      <c r="Y352" s="544">
        <f>IFERROR(IF(X352="",0,CEILING((X352/$H352),1)*$H352),"")</f>
        <v>300</v>
      </c>
      <c r="Z352" s="36">
        <f>IFERROR(IF(Y352=0,"",ROUNDUP(Y352/H352,0)*0.02175),"")</f>
        <v>0.43499999999999994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298.05533333333335</v>
      </c>
      <c r="BN352" s="64">
        <f>IFERROR(Y352*I352/H352,"0")</f>
        <v>309.39999999999998</v>
      </c>
      <c r="BO352" s="64">
        <f>IFERROR(1/J352*(X352/H352),"0")</f>
        <v>0.40138888888888885</v>
      </c>
      <c r="BP352" s="64">
        <f>IFERROR(1/J352*(Y352/H352),"0")</f>
        <v>0.41666666666666663</v>
      </c>
    </row>
    <row r="353" spans="1:68" ht="27" hidden="1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19.266666666666666</v>
      </c>
      <c r="Y354" s="545">
        <f>IFERROR(Y352/H352,"0")+IFERROR(Y353/H353,"0")</f>
        <v>20</v>
      </c>
      <c r="Z354" s="545">
        <f>IFERROR(IF(Z352="",0,Z352),"0")+IFERROR(IF(Z353="",0,Z353),"0")</f>
        <v>0.43499999999999994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289</v>
      </c>
      <c r="Y355" s="545">
        <f>IFERROR(SUM(Y352:Y353),"0")</f>
        <v>300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83</v>
      </c>
      <c r="Y358" s="544">
        <f>IFERROR(IF(X358="",0,CEILING((X358/$H358),1)*$H358),"")</f>
        <v>90</v>
      </c>
      <c r="Z358" s="36">
        <f>IFERROR(IF(Y358=0,"",ROUNDUP(Y358/H358,0)*0.01898),"")</f>
        <v>0.1898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87.555777777777777</v>
      </c>
      <c r="BN358" s="64">
        <f>IFERROR(Y358*I358/H358,"0")</f>
        <v>94.94</v>
      </c>
      <c r="BO358" s="64">
        <f>IFERROR(1/J358*(X358/H358),"0")</f>
        <v>0.14409722222222221</v>
      </c>
      <c r="BP358" s="64">
        <f>IFERROR(1/J358*(Y358/H358),"0")</f>
        <v>0.15625</v>
      </c>
    </row>
    <row r="359" spans="1:68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9.2222222222222214</v>
      </c>
      <c r="Y359" s="545">
        <f>IFERROR(Y357/H357,"0")+IFERROR(Y358/H358,"0")</f>
        <v>10</v>
      </c>
      <c r="Z359" s="545">
        <f>IFERROR(IF(Z357="",0,Z357),"0")+IFERROR(IF(Z358="",0,Z358),"0")</f>
        <v>0.1898</v>
      </c>
      <c r="AA359" s="546"/>
      <c r="AB359" s="546"/>
      <c r="AC359" s="546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83</v>
      </c>
      <c r="Y360" s="545">
        <f>IFERROR(SUM(Y357:Y358),"0")</f>
        <v>90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38</v>
      </c>
      <c r="Y362" s="544">
        <f>IFERROR(IF(X362="",0,CEILING((X362/$H362),1)*$H362),"")</f>
        <v>45</v>
      </c>
      <c r="Z362" s="36">
        <f>IFERROR(IF(Y362=0,"",ROUNDUP(Y362/H362,0)*0.01898),"")</f>
        <v>9.4899999999999998E-2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40.085777777777778</v>
      </c>
      <c r="BN362" s="64">
        <f>IFERROR(Y362*I362/H362,"0")</f>
        <v>47.47</v>
      </c>
      <c r="BO362" s="64">
        <f>IFERROR(1/J362*(X362/H362),"0")</f>
        <v>6.5972222222222224E-2</v>
      </c>
      <c r="BP362" s="64">
        <f>IFERROR(1/J362*(Y362/H362),"0")</f>
        <v>7.8125E-2</v>
      </c>
    </row>
    <row r="363" spans="1:68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4.2222222222222223</v>
      </c>
      <c r="Y363" s="545">
        <f>IFERROR(Y362/H362,"0")</f>
        <v>5</v>
      </c>
      <c r="Z363" s="545">
        <f>IFERROR(IF(Z362="",0,Z362),"0")</f>
        <v>9.4899999999999998E-2</v>
      </c>
      <c r="AA363" s="546"/>
      <c r="AB363" s="546"/>
      <c r="AC363" s="546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38</v>
      </c>
      <c r="Y364" s="545">
        <f>IFERROR(SUM(Y362:Y362),"0")</f>
        <v>45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 t="s">
        <v>114</v>
      </c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 t="s">
        <v>110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136</v>
      </c>
      <c r="Y377" s="544">
        <f>IFERROR(IF(X377="",0,CEILING((X377/$H377),1)*$H377),"")</f>
        <v>144</v>
      </c>
      <c r="Z377" s="36">
        <f>IFERROR(IF(Y377=0,"",ROUNDUP(Y377/H377,0)*0.01898),"")</f>
        <v>0.30368000000000001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143.46488888888888</v>
      </c>
      <c r="BN377" s="64">
        <f>IFERROR(Y377*I377/H377,"0")</f>
        <v>151.904</v>
      </c>
      <c r="BO377" s="64">
        <f>IFERROR(1/J377*(X377/H377),"0")</f>
        <v>0.2361111111111111</v>
      </c>
      <c r="BP377" s="64">
        <f>IFERROR(1/J377*(Y377/H377),"0")</f>
        <v>0.25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190</v>
      </c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15.111111111111111</v>
      </c>
      <c r="Y380" s="545">
        <f>IFERROR(Y377/H377,"0")+IFERROR(Y378/H378,"0")+IFERROR(Y379/H379,"0")</f>
        <v>16</v>
      </c>
      <c r="Z380" s="545">
        <f>IFERROR(IF(Z377="",0,Z377),"0")+IFERROR(IF(Z378="",0,Z378),"0")+IFERROR(IF(Z379="",0,Z379),"0")</f>
        <v>0.30368000000000001</v>
      </c>
      <c r="AA380" s="546"/>
      <c r="AB380" s="546"/>
      <c r="AC380" s="546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136</v>
      </c>
      <c r="Y381" s="545">
        <f>IFERROR(SUM(Y377:Y379),"0")</f>
        <v>144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 t="s">
        <v>114</v>
      </c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110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 t="s">
        <v>114</v>
      </c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110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hidden="1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 t="s">
        <v>114</v>
      </c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110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hidden="1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hidden="1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105</v>
      </c>
      <c r="Y421" s="544">
        <f t="shared" ref="Y421:Y432" si="42">IFERROR(IF(X421="",0,CEILING((X421/$H421),1)*$H421),"")</f>
        <v>105.60000000000001</v>
      </c>
      <c r="Z421" s="36">
        <f t="shared" ref="Z421:Z427" si="43">IFERROR(IF(Y421=0,"",ROUNDUP(Y421/H421,0)*0.01196),"")</f>
        <v>0.2392</v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111.96022727272727</v>
      </c>
      <c r="BN421" s="64">
        <f t="shared" ref="BN421:BN432" si="45">IFERROR(Y421*I421/H421,"0")</f>
        <v>112.6</v>
      </c>
      <c r="BO421" s="64">
        <f t="shared" ref="BO421:BO432" si="46">IFERROR(1/J421*(X421/H421),"0")</f>
        <v>0.19121503496503497</v>
      </c>
      <c r="BP421" s="64">
        <f t="shared" ref="BP421:BP432" si="47">IFERROR(1/J421*(Y421/H421),"0")</f>
        <v>0.19230769230769232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43</v>
      </c>
      <c r="Y425" s="544">
        <f t="shared" si="42"/>
        <v>47.52</v>
      </c>
      <c r="Z425" s="36">
        <f t="shared" si="43"/>
        <v>0.10764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45.850378787878789</v>
      </c>
      <c r="BN425" s="64">
        <f t="shared" si="45"/>
        <v>50.669999999999995</v>
      </c>
      <c r="BO425" s="64">
        <f t="shared" si="46"/>
        <v>7.8307109557109553E-2</v>
      </c>
      <c r="BP425" s="64">
        <f t="shared" si="47"/>
        <v>8.6538461538461536E-2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221</v>
      </c>
      <c r="Y427" s="544">
        <f t="shared" si="42"/>
        <v>221.76000000000002</v>
      </c>
      <c r="Z427" s="36">
        <f t="shared" si="43"/>
        <v>0.50231999999999999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235.64962121212122</v>
      </c>
      <c r="BN427" s="64">
        <f t="shared" si="45"/>
        <v>236.46</v>
      </c>
      <c r="BO427" s="64">
        <f t="shared" si="46"/>
        <v>0.40246212121212122</v>
      </c>
      <c r="BP427" s="64">
        <f t="shared" si="47"/>
        <v>0.40384615384615385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0</v>
      </c>
      <c r="Y429" s="544">
        <f t="shared" si="42"/>
        <v>0</v>
      </c>
      <c r="Z429" s="36" t="str">
        <f>IFERROR(IF(Y429=0,"",ROUNDUP(Y429/H429,0)*0.00902),"")</f>
        <v/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 t="s">
        <v>114</v>
      </c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 t="s">
        <v>110</v>
      </c>
      <c r="AK432" s="68">
        <v>57.6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69.886363636363626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71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0.84915999999999991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369</v>
      </c>
      <c r="Y434" s="545">
        <f>IFERROR(SUM(Y421:Y432),"0")</f>
        <v>374.88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187</v>
      </c>
      <c r="Y436" s="544">
        <f>IFERROR(IF(X436="",0,CEILING((X436/$H436),1)*$H436),"")</f>
        <v>190.08</v>
      </c>
      <c r="Z436" s="36">
        <f>IFERROR(IF(Y436=0,"",ROUNDUP(Y436/H436,0)*0.01196),"")</f>
        <v>0.43056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199.39583333333331</v>
      </c>
      <c r="BN436" s="64">
        <f>IFERROR(Y436*I436/H436,"0")</f>
        <v>202.67999999999998</v>
      </c>
      <c r="BO436" s="64">
        <f>IFERROR(1/J436*(X436/H436),"0")</f>
        <v>0.34054487179487181</v>
      </c>
      <c r="BP436" s="64">
        <f>IFERROR(1/J436*(Y436/H436),"0")</f>
        <v>0.34615384615384615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114</v>
      </c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35.416666666666664</v>
      </c>
      <c r="Y439" s="545">
        <f>IFERROR(Y436/H436,"0")+IFERROR(Y437/H437,"0")+IFERROR(Y438/H438,"0")</f>
        <v>36</v>
      </c>
      <c r="Z439" s="545">
        <f>IFERROR(IF(Z436="",0,Z436),"0")+IFERROR(IF(Z437="",0,Z437),"0")+IFERROR(IF(Z438="",0,Z438),"0")</f>
        <v>0.43056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187</v>
      </c>
      <c r="Y440" s="545">
        <f>IFERROR(SUM(Y436:Y438),"0")</f>
        <v>190.08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hidden="1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0</v>
      </c>
      <c r="Y442" s="544">
        <f t="shared" ref="Y442:Y447" si="48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0</v>
      </c>
      <c r="BN442" s="64">
        <f t="shared" ref="BN442:BN447" si="50">IFERROR(Y442*I442/H442,"0")</f>
        <v>0</v>
      </c>
      <c r="BO442" s="64">
        <f t="shared" ref="BO442:BO447" si="51">IFERROR(1/J442*(X442/H442),"0")</f>
        <v>0</v>
      </c>
      <c r="BP442" s="64">
        <f t="shared" ref="BP442:BP447" si="52">IFERROR(1/J442*(Y442/H442),"0")</f>
        <v>0</v>
      </c>
    </row>
    <row r="443" spans="1:68" ht="27" hidden="1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0</v>
      </c>
      <c r="Y443" s="544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101</v>
      </c>
      <c r="Y444" s="544">
        <f t="shared" si="48"/>
        <v>105.60000000000001</v>
      </c>
      <c r="Z444" s="36">
        <f>IFERROR(IF(Y444=0,"",ROUNDUP(Y444/H444,0)*0.01196),"")</f>
        <v>0.2392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107.69507575757575</v>
      </c>
      <c r="BN444" s="64">
        <f t="shared" si="50"/>
        <v>112.6</v>
      </c>
      <c r="BO444" s="64">
        <f t="shared" si="51"/>
        <v>0.1839306526806527</v>
      </c>
      <c r="BP444" s="64">
        <f t="shared" si="52"/>
        <v>0.19230769230769232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hidden="1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19.128787878787879</v>
      </c>
      <c r="Y448" s="545">
        <f>IFERROR(Y442/H442,"0")+IFERROR(Y443/H443,"0")+IFERROR(Y444/H444,"0")+IFERROR(Y445/H445,"0")+IFERROR(Y446/H446,"0")+IFERROR(Y447/H447,"0")</f>
        <v>20</v>
      </c>
      <c r="Z448" s="545">
        <f>IFERROR(IF(Z442="",0,Z442),"0")+IFERROR(IF(Z443="",0,Z443),"0")+IFERROR(IF(Z444="",0,Z444),"0")+IFERROR(IF(Z445="",0,Z445),"0")+IFERROR(IF(Z446="",0,Z446),"0")+IFERROR(IF(Z447="",0,Z447),"0")</f>
        <v>0.2392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101</v>
      </c>
      <c r="Y449" s="545">
        <f>IFERROR(SUM(Y442:Y447),"0")</f>
        <v>105.60000000000001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 t="s">
        <v>107</v>
      </c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110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114</v>
      </c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114</v>
      </c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54</v>
      </c>
      <c r="Y477" s="544">
        <f>IFERROR(IF(X477="",0,CEILING((X477/$H477),1)*$H477),"")</f>
        <v>54</v>
      </c>
      <c r="Z477" s="36">
        <f>IFERROR(IF(Y477=0,"",ROUNDUP(Y477/H477,0)*0.01898),"")</f>
        <v>0.11388000000000001</v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56.963999999999992</v>
      </c>
      <c r="BN477" s="64">
        <f>IFERROR(Y477*I477/H477,"0")</f>
        <v>56.963999999999992</v>
      </c>
      <c r="BO477" s="64">
        <f>IFERROR(1/J477*(X477/H477),"0")</f>
        <v>9.375E-2</v>
      </c>
      <c r="BP477" s="64">
        <f>IFERROR(1/J477*(Y477/H477),"0")</f>
        <v>9.375E-2</v>
      </c>
    </row>
    <row r="478" spans="1:68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6</v>
      </c>
      <c r="Y478" s="545">
        <f>IFERROR(Y477/H477,"0")</f>
        <v>6</v>
      </c>
      <c r="Z478" s="545">
        <f>IFERROR(IF(Z477="",0,Z477),"0")</f>
        <v>0.11388000000000001</v>
      </c>
      <c r="AA478" s="546"/>
      <c r="AB478" s="546"/>
      <c r="AC478" s="546"/>
    </row>
    <row r="479" spans="1:68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54</v>
      </c>
      <c r="Y479" s="545">
        <f>IFERROR(SUM(Y477:Y477),"0")</f>
        <v>54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3529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3681.31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3708.725622078593</v>
      </c>
      <c r="Y491" s="545">
        <f>IFERROR(SUM(BN22:BN487),"0")</f>
        <v>3868.741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6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3858.725622078593</v>
      </c>
      <c r="Y493" s="545">
        <f>GrossWeightTotalR+PalletQtyTotalR*25</f>
        <v>4043.741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561.93359462595777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586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7.1505700000000001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194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55.2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18.600000000000001</v>
      </c>
      <c r="E500" s="46">
        <f>IFERROR(Y86*1,"0")+IFERROR(Y87*1,"0")+IFERROR(Y88*1,"0")+IFERROR(Y92*1,"0")+IFERROR(Y93*1,"0")+IFERROR(Y94*1,"0")+IFERROR(Y95*1,"0")</f>
        <v>283.5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144.89999999999998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125.88000000000001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511.19999999999993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3.7800000000000002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12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127.69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1530</v>
      </c>
      <c r="T500" s="46">
        <f>IFERROR(Y367*1,"0")+IFERROR(Y368*1,"0")+IFERROR(Y372*1,"0")+IFERROR(Y373*1,"0")+IFERROR(Y377*1,"0")+IFERROR(Y378*1,"0")+IFERROR(Y379*1,"0")</f>
        <v>144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670.56000000000006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54</v>
      </c>
      <c r="Z500" s="46">
        <f>IFERROR(Y487*1,"0")</f>
        <v>0</v>
      </c>
      <c r="AB500" s="52"/>
      <c r="AC500" s="52"/>
      <c r="AF500" s="541"/>
    </row>
  </sheetData>
  <sheetProtection algorithmName="SHA-512" hashValue="K8H38M6e/rtPsru/P5ie1WwA5WAbFl+0x87fR02vyfd4EQtdN7GsiZ75/zS1BMlHhxRKVdja9VdOzOFLpXR7fw==" saltValue="bawqZUTgi3fS86wPevibf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6"/>
        <filter val="0,51"/>
        <filter val="0,56"/>
        <filter val="1 057,00"/>
        <filter val="1,00"/>
        <filter val="1,01"/>
        <filter val="10,00"/>
        <filter val="10,38"/>
        <filter val="100,42"/>
        <filter val="101,00"/>
        <filter val="102,00"/>
        <filter val="104,00"/>
        <filter val="105,00"/>
        <filter val="114,00"/>
        <filter val="12,00"/>
        <filter val="12,45"/>
        <filter val="136,00"/>
        <filter val="14,00"/>
        <filter val="15,11"/>
        <filter val="17,00"/>
        <filter val="170,00"/>
        <filter val="18,00"/>
        <filter val="187,00"/>
        <filter val="19,13"/>
        <filter val="19,27"/>
        <filter val="193,00"/>
        <filter val="195,00"/>
        <filter val="2,00"/>
        <filter val="2,38"/>
        <filter val="20,13"/>
        <filter val="20,99"/>
        <filter val="215,00"/>
        <filter val="221,00"/>
        <filter val="227,00"/>
        <filter val="23,00"/>
        <filter val="241,00"/>
        <filter val="258,00"/>
        <filter val="28,00"/>
        <filter val="289,00"/>
        <filter val="3 529,00"/>
        <filter val="3 708,73"/>
        <filter val="3 858,73"/>
        <filter val="3,00"/>
        <filter val="35,00"/>
        <filter val="35,42"/>
        <filter val="369,00"/>
        <filter val="38,00"/>
        <filter val="4,00"/>
        <filter val="4,17"/>
        <filter val="4,22"/>
        <filter val="41,00"/>
        <filter val="422,00"/>
        <filter val="43,00"/>
        <filter val="44,00"/>
        <filter val="45,32"/>
        <filter val="46,00"/>
        <filter val="5,00"/>
        <filter val="50,00"/>
        <filter val="54,00"/>
        <filter val="55,93"/>
        <filter val="561,93"/>
        <filter val="6"/>
        <filter val="6,00"/>
        <filter val="68,00"/>
        <filter val="69,89"/>
        <filter val="7,00"/>
        <filter val="70,47"/>
        <filter val="8,01"/>
        <filter val="8,40"/>
        <filter val="81,00"/>
        <filter val="83,00"/>
        <filter val="9,22"/>
        <filter val="93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8 X92 X94:X95 X100:X102 X107 X109 X113 X115 X125:X126 X131 X162 X164:X165 X168:X169 X192 X196:X201 X203 X207:X210 X212:X215 X219:X220 X225 X255 X273:X274 X299 X302 X307 X314:X316 X322:X323 X327:X329 X334:X336 X342:X344 X352 X358 X367 X372 X377:X378 X385 X387 X392 X407 X421 X424:X425 X427 X432 X436 X438 X442:X444 X461 X472:X473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pnx4eOU9ASk1TzuWLkMo6YnS8Xnc0twgxN8MfVYl8/pCnuIuYKpQBf4QaTwJLfrqP2S2Tajx4LWKfiNuivSArw==" saltValue="31q+XHHhP4tC7//N6H5cV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