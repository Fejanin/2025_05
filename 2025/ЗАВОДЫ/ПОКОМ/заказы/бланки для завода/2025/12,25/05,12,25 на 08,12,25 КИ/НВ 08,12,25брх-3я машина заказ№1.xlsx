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EA5898-E7E2-41E9-87C5-B3E206C2F4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Z87" i="1" s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31" i="1" l="1"/>
  <c r="BN31" i="1"/>
  <c r="Z31" i="1"/>
  <c r="BP74" i="1"/>
  <c r="BN74" i="1"/>
  <c r="Z74" i="1"/>
  <c r="BP103" i="1"/>
  <c r="BN103" i="1"/>
  <c r="Z103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4" i="1"/>
  <c r="BN214" i="1"/>
  <c r="Z214" i="1"/>
  <c r="BP249" i="1"/>
  <c r="BN249" i="1"/>
  <c r="Z249" i="1"/>
  <c r="BP279" i="1"/>
  <c r="BN279" i="1"/>
  <c r="Z279" i="1"/>
  <c r="BP310" i="1"/>
  <c r="BN310" i="1"/>
  <c r="Z310" i="1"/>
  <c r="BP343" i="1"/>
  <c r="BN343" i="1"/>
  <c r="Z343" i="1"/>
  <c r="BP388" i="1"/>
  <c r="BN388" i="1"/>
  <c r="Z388" i="1"/>
  <c r="BP425" i="1"/>
  <c r="BN425" i="1"/>
  <c r="Z425" i="1"/>
  <c r="BP451" i="1"/>
  <c r="BN451" i="1"/>
  <c r="Z451" i="1"/>
  <c r="BP54" i="1"/>
  <c r="BN54" i="1"/>
  <c r="Z54" i="1"/>
  <c r="BP88" i="1"/>
  <c r="BN88" i="1"/>
  <c r="Z88" i="1"/>
  <c r="BP115" i="1"/>
  <c r="BN115" i="1"/>
  <c r="Z115" i="1"/>
  <c r="BP169" i="1"/>
  <c r="BN169" i="1"/>
  <c r="Z169" i="1"/>
  <c r="BP202" i="1"/>
  <c r="BN202" i="1"/>
  <c r="Z202" i="1"/>
  <c r="BP229" i="1"/>
  <c r="BN229" i="1"/>
  <c r="Z229" i="1"/>
  <c r="BP267" i="1"/>
  <c r="BN267" i="1"/>
  <c r="Z267" i="1"/>
  <c r="BP298" i="1"/>
  <c r="BN298" i="1"/>
  <c r="Z298" i="1"/>
  <c r="BP320" i="1"/>
  <c r="BN320" i="1"/>
  <c r="Z320" i="1"/>
  <c r="BP357" i="1"/>
  <c r="BN357" i="1"/>
  <c r="Z357" i="1"/>
  <c r="BP409" i="1"/>
  <c r="BN409" i="1"/>
  <c r="Z409" i="1"/>
  <c r="BP437" i="1"/>
  <c r="BN437" i="1"/>
  <c r="Z437" i="1"/>
  <c r="BP473" i="1"/>
  <c r="BN473" i="1"/>
  <c r="Z473" i="1"/>
  <c r="B500" i="1"/>
  <c r="X492" i="1"/>
  <c r="Y96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98" i="1"/>
  <c r="BN398" i="1"/>
  <c r="Z398" i="1"/>
  <c r="Y404" i="1"/>
  <c r="BP403" i="1"/>
  <c r="BN403" i="1"/>
  <c r="Z403" i="1"/>
  <c r="Z404" i="1" s="1"/>
  <c r="BP407" i="1"/>
  <c r="BN407" i="1"/>
  <c r="Z407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275" i="1"/>
  <c r="BP386" i="1"/>
  <c r="BN386" i="1"/>
  <c r="Z386" i="1"/>
  <c r="J9" i="1"/>
  <c r="X491" i="1"/>
  <c r="X493" i="1" s="1"/>
  <c r="Z23" i="1"/>
  <c r="BN23" i="1"/>
  <c r="X490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Y78" i="1"/>
  <c r="Z76" i="1"/>
  <c r="BN76" i="1"/>
  <c r="Y82" i="1"/>
  <c r="Z92" i="1"/>
  <c r="BN92" i="1"/>
  <c r="BP92" i="1"/>
  <c r="Z101" i="1"/>
  <c r="BN101" i="1"/>
  <c r="Z107" i="1"/>
  <c r="BN107" i="1"/>
  <c r="Z113" i="1"/>
  <c r="BN113" i="1"/>
  <c r="BP113" i="1"/>
  <c r="Z126" i="1"/>
  <c r="BN126" i="1"/>
  <c r="Y132" i="1"/>
  <c r="Z136" i="1"/>
  <c r="BN136" i="1"/>
  <c r="Z141" i="1"/>
  <c r="BN141" i="1"/>
  <c r="Z163" i="1"/>
  <c r="BN163" i="1"/>
  <c r="Z167" i="1"/>
  <c r="BN167" i="1"/>
  <c r="Z171" i="1"/>
  <c r="BN171" i="1"/>
  <c r="Z177" i="1"/>
  <c r="BN177" i="1"/>
  <c r="Z192" i="1"/>
  <c r="BN192" i="1"/>
  <c r="Z196" i="1"/>
  <c r="BN196" i="1"/>
  <c r="Z200" i="1"/>
  <c r="BN200" i="1"/>
  <c r="Z208" i="1"/>
  <c r="BN208" i="1"/>
  <c r="Z212" i="1"/>
  <c r="BN212" i="1"/>
  <c r="Z220" i="1"/>
  <c r="BN220" i="1"/>
  <c r="Z227" i="1"/>
  <c r="BN227" i="1"/>
  <c r="Z231" i="1"/>
  <c r="BN231" i="1"/>
  <c r="Z247" i="1"/>
  <c r="BN247" i="1"/>
  <c r="Z256" i="1"/>
  <c r="BN256" i="1"/>
  <c r="Z265" i="1"/>
  <c r="BN265" i="1"/>
  <c r="Z272" i="1"/>
  <c r="BN272" i="1"/>
  <c r="Z285" i="1"/>
  <c r="BN285" i="1"/>
  <c r="Q500" i="1"/>
  <c r="Z292" i="1"/>
  <c r="BN292" i="1"/>
  <c r="BP294" i="1"/>
  <c r="BN294" i="1"/>
  <c r="Z294" i="1"/>
  <c r="BP308" i="1"/>
  <c r="BN308" i="1"/>
  <c r="Z308" i="1"/>
  <c r="Y317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90" i="1"/>
  <c r="BN390" i="1"/>
  <c r="Z390" i="1"/>
  <c r="BP422" i="1"/>
  <c r="BN422" i="1"/>
  <c r="Z422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304" i="1"/>
  <c r="Y455" i="1"/>
  <c r="Y454" i="1"/>
  <c r="Y24" i="1"/>
  <c r="Y32" i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BN28" i="1"/>
  <c r="Z30" i="1"/>
  <c r="BN30" i="1"/>
  <c r="C500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Y268" i="1"/>
  <c r="BP273" i="1"/>
  <c r="BN273" i="1"/>
  <c r="Z273" i="1"/>
  <c r="Z275" i="1" s="1"/>
  <c r="BP291" i="1"/>
  <c r="BN291" i="1"/>
  <c r="Z291" i="1"/>
  <c r="Z295" i="1" s="1"/>
  <c r="Y295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Z411" i="1" s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63" i="1" l="1"/>
  <c r="Z454" i="1"/>
  <c r="Z399" i="1"/>
  <c r="Z268" i="1"/>
  <c r="Z188" i="1"/>
  <c r="Z127" i="1"/>
  <c r="Z235" i="1"/>
  <c r="Z58" i="1"/>
  <c r="Z32" i="1"/>
  <c r="Z304" i="1"/>
  <c r="Z260" i="1"/>
  <c r="Z251" i="1"/>
  <c r="Z70" i="1"/>
  <c r="Z204" i="1"/>
  <c r="Z394" i="1"/>
  <c r="Z380" i="1"/>
  <c r="Z216" i="1"/>
  <c r="Z172" i="1"/>
  <c r="Y490" i="1"/>
  <c r="Y492" i="1"/>
  <c r="Z337" i="1"/>
  <c r="Z149" i="1"/>
  <c r="Z439" i="1"/>
  <c r="Z448" i="1"/>
  <c r="Z433" i="1"/>
  <c r="Z349" i="1"/>
  <c r="Z77" i="1"/>
  <c r="Z64" i="1"/>
  <c r="Y491" i="1"/>
  <c r="Z104" i="1"/>
  <c r="Y494" i="1"/>
  <c r="Y493" i="1" l="1"/>
  <c r="Z495" i="1"/>
</calcChain>
</file>

<file path=xl/sharedStrings.xml><?xml version="1.0" encoding="utf-8"?>
<sst xmlns="http://schemas.openxmlformats.org/spreadsheetml/2006/main" count="2210" uniqueCount="766">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</sst>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3" sqref="AA43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45999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0.45833333333333331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0</v>
      </c>
      <c r="Y41" s="54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/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37</v>
      </c>
      <c r="Y43" s="544">
        <f>IFERROR(IF(X43="",0,CEILING((X43/$H43),1)*$H43),"")</f>
        <v>37</v>
      </c>
      <c r="Z43" s="36">
        <f>IFERROR(IF(Y43=0,"",ROUNDUP(Y43/H43,0)*0.00902),"")</f>
        <v>9.0200000000000002E-2</v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38.9</v>
      </c>
      <c r="BN43" s="64">
        <f>IFERROR(Y43*I43/H43,"0")</f>
        <v>38.9</v>
      </c>
      <c r="BO43" s="64">
        <f>IFERROR(1/J43*(X43/H43),"0")</f>
        <v>7.575757575757576E-2</v>
      </c>
      <c r="BP43" s="64">
        <f>IFERROR(1/J43*(Y43/H43),"0")</f>
        <v>7.575757575757576E-2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10</v>
      </c>
      <c r="Y44" s="545">
        <f>IFERROR(Y41/H41,"0")+IFERROR(Y42/H42,"0")+IFERROR(Y43/H43,"0")</f>
        <v>10</v>
      </c>
      <c r="Z44" s="545">
        <f>IFERROR(IF(Z41="",0,Z41),"0")+IFERROR(IF(Z42="",0,Z42),"0")+IFERROR(IF(Z43="",0,Z43),"0")</f>
        <v>9.0200000000000002E-2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37</v>
      </c>
      <c r="Y45" s="545">
        <f>IFERROR(SUM(Y41:Y43),"0")</f>
        <v>37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119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16</v>
      </c>
      <c r="Y52" s="544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16.585714285714285</v>
      </c>
      <c r="BN52" s="64">
        <f t="shared" ref="BN52:BN57" si="2">IFERROR(Y52*I52/H52,"0")</f>
        <v>23.22</v>
      </c>
      <c r="BO52" s="64">
        <f t="shared" ref="BO52:BO57" si="3">IFERROR(1/J52*(X52/H52),"0")</f>
        <v>2.2321428571428572E-2</v>
      </c>
      <c r="BP52" s="64">
        <f t="shared" ref="BP52:BP57" si="4">IFERROR(1/J52*(Y52/H52),"0")</f>
        <v>3.125E-2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/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12</v>
      </c>
      <c r="Y55" s="544">
        <f t="shared" si="0"/>
        <v>12</v>
      </c>
      <c r="Z55" s="36">
        <f>IFERROR(IF(Y55=0,"",ROUNDUP(Y55/H55,0)*0.00902),"")</f>
        <v>2.7060000000000001E-2</v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12.57</v>
      </c>
      <c r="BN55" s="64">
        <f t="shared" si="2"/>
        <v>12.57</v>
      </c>
      <c r="BO55" s="64">
        <f t="shared" si="3"/>
        <v>2.2727272727272728E-2</v>
      </c>
      <c r="BP55" s="64">
        <f t="shared" si="4"/>
        <v>2.2727272727272728E-2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4.4285714285714288</v>
      </c>
      <c r="Y58" s="545">
        <f>IFERROR(Y52/H52,"0")+IFERROR(Y53/H53,"0")+IFERROR(Y54/H54,"0")+IFERROR(Y55/H55,"0")+IFERROR(Y56/H56,"0")+IFERROR(Y57/H57,"0")</f>
        <v>5</v>
      </c>
      <c r="Z58" s="545">
        <f>IFERROR(IF(Z52="",0,Z52),"0")+IFERROR(IF(Z53="",0,Z53),"0")+IFERROR(IF(Z54="",0,Z54),"0")+IFERROR(IF(Z55="",0,Z55),"0")+IFERROR(IF(Z56="",0,Z56),"0")+IFERROR(IF(Z57="",0,Z57),"0")</f>
        <v>6.5019999999999994E-2</v>
      </c>
      <c r="AA58" s="546"/>
      <c r="AB58" s="546"/>
      <c r="AC58" s="546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28</v>
      </c>
      <c r="Y59" s="545">
        <f>IFERROR(SUM(Y52:Y57),"0")</f>
        <v>34.4</v>
      </c>
      <c r="Z59" s="37"/>
      <c r="AA59" s="546"/>
      <c r="AB59" s="546"/>
      <c r="AC59" s="546"/>
    </row>
    <row r="60" spans="1:68" ht="14.25" hidden="1" customHeight="1" x14ac:dyDescent="0.25">
      <c r="A60" s="587" t="s">
        <v>138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/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128</v>
      </c>
      <c r="Y61" s="54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141</v>
      </c>
      <c r="AG61" s="64"/>
      <c r="AJ61" s="68"/>
      <c r="AK61" s="68">
        <v>0</v>
      </c>
      <c r="BB61" s="106" t="s">
        <v>1</v>
      </c>
      <c r="BM61" s="64">
        <f>IFERROR(X61*I61/H61,"0")</f>
        <v>132.85925925925926</v>
      </c>
      <c r="BN61" s="64">
        <f>IFERROR(Y61*I61/H61,"0")</f>
        <v>134.52000000000001</v>
      </c>
      <c r="BO61" s="64">
        <f>IFERROR(1/J61*(X61/H61),"0")</f>
        <v>0.18518518518518517</v>
      </c>
      <c r="BP61" s="64">
        <f>IFERROR(1/J61*(Y61/H61),"0")</f>
        <v>0.18750000000000003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11.851851851851851</v>
      </c>
      <c r="Y64" s="545">
        <f>IFERROR(Y61/H61,"0")+IFERROR(Y62/H62,"0")+IFERROR(Y63/H63,"0")</f>
        <v>12.000000000000002</v>
      </c>
      <c r="Z64" s="545">
        <f>IFERROR(IF(Z61="",0,Z61),"0")+IFERROR(IF(Z62="",0,Z62),"0")+IFERROR(IF(Z63="",0,Z63),"0")</f>
        <v>0.22776000000000002</v>
      </c>
      <c r="AA64" s="546"/>
      <c r="AB64" s="546"/>
      <c r="AC64" s="546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128</v>
      </c>
      <c r="Y65" s="545">
        <f>IFERROR(SUM(Y61:Y63),"0")</f>
        <v>129.60000000000002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166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/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5" t="s">
        <v>173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99</v>
      </c>
      <c r="Y86" s="544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102.75833333333334</v>
      </c>
      <c r="BN86" s="64">
        <f>IFERROR(Y86*I86/H86,"0")</f>
        <v>112.1</v>
      </c>
      <c r="BO86" s="64">
        <f>IFERROR(1/J86*(X86/H86),"0")</f>
        <v>0.14322916666666666</v>
      </c>
      <c r="BP86" s="64">
        <f>IFERROR(1/J86*(Y86/H86),"0")</f>
        <v>0.15625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/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49</v>
      </c>
      <c r="Y88" s="544">
        <f>IFERROR(IF(X88="",0,CEILING((X88/$H88),1)*$H88),"")</f>
        <v>49.5</v>
      </c>
      <c r="Z88" s="36">
        <f>IFERROR(IF(Y88=0,"",ROUNDUP(Y88/H88,0)*0.00902),"")</f>
        <v>9.9220000000000003E-2</v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51.068888888888893</v>
      </c>
      <c r="BN88" s="64">
        <f>IFERROR(Y88*I88/H88,"0")</f>
        <v>51.59</v>
      </c>
      <c r="BO88" s="64">
        <f>IFERROR(1/J88*(X88/H88),"0")</f>
        <v>8.2491582491582491E-2</v>
      </c>
      <c r="BP88" s="64">
        <f>IFERROR(1/J88*(Y88/H88),"0")</f>
        <v>8.3333333333333343E-2</v>
      </c>
    </row>
    <row r="89" spans="1:68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20.055555555555557</v>
      </c>
      <c r="Y89" s="545">
        <f>IFERROR(Y86/H86,"0")+IFERROR(Y87/H87,"0")+IFERROR(Y88/H88,"0")</f>
        <v>21</v>
      </c>
      <c r="Z89" s="545">
        <f>IFERROR(IF(Z86="",0,Z86),"0")+IFERROR(IF(Z87="",0,Z87),"0")+IFERROR(IF(Z88="",0,Z88),"0")</f>
        <v>0.28902</v>
      </c>
      <c r="AA89" s="546"/>
      <c r="AB89" s="546"/>
      <c r="AC89" s="546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148</v>
      </c>
      <c r="Y90" s="545">
        <f>IFERROR(SUM(Y86:Y88),"0")</f>
        <v>157.5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4</v>
      </c>
      <c r="Y92" s="544">
        <f>IFERROR(IF(X92="",0,CEILING((X92/$H92),1)*$H92),"")</f>
        <v>8.1</v>
      </c>
      <c r="Z92" s="36">
        <f>IFERROR(IF(Y92=0,"",ROUNDUP(Y92/H92,0)*0.01898),"")</f>
        <v>1.898E-2</v>
      </c>
      <c r="AA92" s="56"/>
      <c r="AB92" s="57"/>
      <c r="AC92" s="135" t="s">
        <v>183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4.243950617283951</v>
      </c>
      <c r="BN92" s="64">
        <f>IFERROR(Y92*I92/H92,"0")</f>
        <v>8.5939999999999994</v>
      </c>
      <c r="BO92" s="64">
        <f>IFERROR(1/J92*(X92/H92),"0")</f>
        <v>7.7160493827160498E-3</v>
      </c>
      <c r="BP92" s="64">
        <f>IFERROR(1/J92*(Y92/H92),"0")</f>
        <v>1.5625E-2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87</v>
      </c>
      <c r="Y94" s="544">
        <f>IFERROR(IF(X94="",0,CEILING((X94/$H94),1)*$H94),"")</f>
        <v>89.100000000000009</v>
      </c>
      <c r="Z94" s="36">
        <f>IFERROR(IF(Y94=0,"",ROUNDUP(Y94/H94,0)*0.00651),"")</f>
        <v>0.21482999999999999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95.12</v>
      </c>
      <c r="BN94" s="64">
        <f>IFERROR(Y94*I94/H94,"0")</f>
        <v>97.416000000000011</v>
      </c>
      <c r="BO94" s="64">
        <f>IFERROR(1/J94*(X94/H94),"0")</f>
        <v>0.17704517704517705</v>
      </c>
      <c r="BP94" s="64">
        <f>IFERROR(1/J94*(Y94/H94),"0")</f>
        <v>0.18131868131868134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32.716049382716051</v>
      </c>
      <c r="Y96" s="545">
        <f>IFERROR(Y92/H92,"0")+IFERROR(Y93/H93,"0")+IFERROR(Y94/H94,"0")+IFERROR(Y95/H95,"0")</f>
        <v>34</v>
      </c>
      <c r="Z96" s="545">
        <f>IFERROR(IF(Z92="",0,Z92),"0")+IFERROR(IF(Z93="",0,Z93),"0")+IFERROR(IF(Z94="",0,Z94),"0")+IFERROR(IF(Z95="",0,Z95),"0")</f>
        <v>0.23380999999999999</v>
      </c>
      <c r="AA96" s="546"/>
      <c r="AB96" s="546"/>
      <c r="AC96" s="546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91</v>
      </c>
      <c r="Y97" s="545">
        <f>IFERROR(SUM(Y92:Y95),"0")</f>
        <v>97.2</v>
      </c>
      <c r="Z97" s="37"/>
      <c r="AA97" s="546"/>
      <c r="AB97" s="546"/>
      <c r="AC97" s="546"/>
    </row>
    <row r="98" spans="1:68" ht="16.5" hidden="1" customHeight="1" x14ac:dyDescent="0.25">
      <c r="A98" s="555" t="s">
        <v>192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4</v>
      </c>
      <c r="Y100" s="544">
        <f>IFERROR(IF(X100="",0,CEILING((X100/$H100),1)*$H100),"")</f>
        <v>10.8</v>
      </c>
      <c r="Z100" s="36">
        <f>IFERROR(IF(Y100=0,"",ROUNDUP(Y100/H100,0)*0.01898),"")</f>
        <v>1.898E-2</v>
      </c>
      <c r="AA100" s="56"/>
      <c r="AB100" s="57"/>
      <c r="AC100" s="143" t="s">
        <v>195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4.1518518518518519</v>
      </c>
      <c r="BN100" s="64">
        <f>IFERROR(Y100*I100/H100,"0")</f>
        <v>11.21</v>
      </c>
      <c r="BO100" s="64">
        <f>IFERROR(1/J100*(X100/H100),"0")</f>
        <v>5.7870370370370367E-3</v>
      </c>
      <c r="BP100" s="64">
        <f>IFERROR(1/J100*(Y100/H100),"0")</f>
        <v>1.5625E-2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200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45</v>
      </c>
      <c r="Y102" s="544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195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46.900000000000006</v>
      </c>
      <c r="BN102" s="64">
        <f>IFERROR(Y102*I102/H102,"0")</f>
        <v>46.900000000000006</v>
      </c>
      <c r="BO102" s="64">
        <f>IFERROR(1/J102*(X102/H102),"0")</f>
        <v>7.575757575757576E-2</v>
      </c>
      <c r="BP102" s="64">
        <f>IFERROR(1/J102*(Y102/H102),"0")</f>
        <v>7.575757575757576E-2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10.37037037037037</v>
      </c>
      <c r="Y104" s="545">
        <f>IFERROR(Y100/H100,"0")+IFERROR(Y101/H101,"0")+IFERROR(Y102/H102,"0")+IFERROR(Y103/H103,"0")</f>
        <v>11</v>
      </c>
      <c r="Z104" s="545">
        <f>IFERROR(IF(Z100="",0,Z100),"0")+IFERROR(IF(Z101="",0,Z101),"0")+IFERROR(IF(Z102="",0,Z102),"0")+IFERROR(IF(Z103="",0,Z103),"0")</f>
        <v>0.10918</v>
      </c>
      <c r="AA104" s="546"/>
      <c r="AB104" s="546"/>
      <c r="AC104" s="546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49</v>
      </c>
      <c r="Y105" s="545">
        <f>IFERROR(SUM(Y100:Y103),"0")</f>
        <v>55.8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138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/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206</v>
      </c>
      <c r="B108" s="54" t="s">
        <v>207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208</v>
      </c>
      <c r="B109" s="54" t="s">
        <v>209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13</v>
      </c>
      <c r="Y113" s="544">
        <f>IFERROR(IF(X113="",0,CEILING((X113/$H113),1)*$H113),"")</f>
        <v>16.2</v>
      </c>
      <c r="Z113" s="36">
        <f>IFERROR(IF(Y113=0,"",ROUNDUP(Y113/H113,0)*0.01898),"")</f>
        <v>3.7960000000000001E-2</v>
      </c>
      <c r="AA113" s="56"/>
      <c r="AB113" s="57"/>
      <c r="AC113" s="157" t="s">
        <v>212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13.783209876543209</v>
      </c>
      <c r="BN113" s="64">
        <f>IFERROR(Y113*I113/H113,"0")</f>
        <v>17.175999999999998</v>
      </c>
      <c r="BO113" s="64">
        <f>IFERROR(1/J113*(X113/H113),"0")</f>
        <v>2.5077160493827161E-2</v>
      </c>
      <c r="BP113" s="64">
        <f>IFERROR(1/J113*(Y113/H113),"0")</f>
        <v>3.125E-2</v>
      </c>
    </row>
    <row r="114" spans="1:68" ht="27" hidden="1" customHeight="1" x14ac:dyDescent="0.25">
      <c r="A114" s="54" t="s">
        <v>213</v>
      </c>
      <c r="B114" s="54" t="s">
        <v>214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215</v>
      </c>
      <c r="B115" s="54" t="s">
        <v>216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217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212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1.6049382716049383</v>
      </c>
      <c r="Y117" s="545">
        <f>IFERROR(Y113/H113,"0")+IFERROR(Y114/H114,"0")+IFERROR(Y115/H115,"0")+IFERROR(Y116/H116,"0")</f>
        <v>2</v>
      </c>
      <c r="Z117" s="545">
        <f>IFERROR(IF(Z113="",0,Z113),"0")+IFERROR(IF(Z114="",0,Z114),"0")+IFERROR(IF(Z115="",0,Z115),"0")+IFERROR(IF(Z116="",0,Z116),"0")</f>
        <v>3.7960000000000001E-2</v>
      </c>
      <c r="AA117" s="546"/>
      <c r="AB117" s="546"/>
      <c r="AC117" s="546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13</v>
      </c>
      <c r="Y118" s="545">
        <f>IFERROR(SUM(Y113:Y116),"0")</f>
        <v>16.2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166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138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200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200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37</v>
      </c>
      <c r="Y164" s="544">
        <f t="shared" si="5"/>
        <v>37.800000000000004</v>
      </c>
      <c r="Z164" s="36">
        <f>IFERROR(IF(Y164=0,"",ROUNDUP(Y164/H164,0)*0.00902),"")</f>
        <v>8.1180000000000002E-2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38.673809523809517</v>
      </c>
      <c r="BN164" s="64">
        <f t="shared" si="7"/>
        <v>39.51</v>
      </c>
      <c r="BO164" s="64">
        <f t="shared" si="8"/>
        <v>6.6738816738816736E-2</v>
      </c>
      <c r="BP164" s="64">
        <f t="shared" si="9"/>
        <v>6.8181818181818177E-2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23</v>
      </c>
      <c r="Y165" s="544">
        <f t="shared" si="5"/>
        <v>23.1</v>
      </c>
      <c r="Z165" s="36">
        <f>IFERROR(IF(Y165=0,"",ROUNDUP(Y165/H165,0)*0.00502),"")</f>
        <v>5.5220000000000005E-2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24.423809523809524</v>
      </c>
      <c r="BN165" s="64">
        <f t="shared" si="7"/>
        <v>24.53</v>
      </c>
      <c r="BO165" s="64">
        <f t="shared" si="8"/>
        <v>4.680504680504681E-2</v>
      </c>
      <c r="BP165" s="64">
        <f t="shared" si="9"/>
        <v>4.7008547008547015E-2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9</v>
      </c>
      <c r="Y168" s="544">
        <f t="shared" si="5"/>
        <v>9</v>
      </c>
      <c r="Z168" s="36">
        <f>IFERROR(IF(Y168=0,"",ROUNDUP(Y168/H168,0)*0.00502),"")</f>
        <v>2.5100000000000001E-2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9.65</v>
      </c>
      <c r="BN168" s="64">
        <f t="shared" si="7"/>
        <v>9.65</v>
      </c>
      <c r="BO168" s="64">
        <f t="shared" si="8"/>
        <v>2.1367521367521368E-2</v>
      </c>
      <c r="BP168" s="64">
        <f t="shared" si="9"/>
        <v>2.1367521367521368E-2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/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24.761904761904759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25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0.16150000000000003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69</v>
      </c>
      <c r="Y173" s="545">
        <f>IFERROR(SUM(Y162:Y171),"0")</f>
        <v>69.900000000000006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1</v>
      </c>
      <c r="Y177" s="544">
        <f>IFERROR(IF(X177="",0,CEILING((X177/$H177),1)*$H177),"")</f>
        <v>1.26</v>
      </c>
      <c r="Z177" s="36">
        <f>IFERROR(IF(Y177=0,"",ROUNDUP(Y177/H177,0)*0.0059),"")</f>
        <v>5.8999999999999999E-3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1.1507936507936507</v>
      </c>
      <c r="BN177" s="64">
        <f>IFERROR(Y177*I177/H177,"0")</f>
        <v>1.45</v>
      </c>
      <c r="BO177" s="64">
        <f>IFERROR(1/J177*(X177/H177),"0")</f>
        <v>3.6743092298647849E-3</v>
      </c>
      <c r="BP177" s="64">
        <f>IFERROR(1/J177*(Y177/H177),"0")</f>
        <v>4.6296296296296294E-3</v>
      </c>
    </row>
    <row r="178" spans="1:68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0.79365079365079361</v>
      </c>
      <c r="Y178" s="545">
        <f>IFERROR(Y175/H175,"0")+IFERROR(Y176/H176,"0")+IFERROR(Y177/H177,"0")</f>
        <v>1</v>
      </c>
      <c r="Z178" s="545">
        <f>IFERROR(IF(Z175="",0,Z175),"0")+IFERROR(IF(Z176="",0,Z176),"0")+IFERROR(IF(Z177="",0,Z177),"0")</f>
        <v>5.8999999999999999E-3</v>
      </c>
      <c r="AA178" s="546"/>
      <c r="AB178" s="546"/>
      <c r="AC178" s="546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1</v>
      </c>
      <c r="Y179" s="545">
        <f>IFERROR(SUM(Y175:Y177),"0")</f>
        <v>1.26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138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200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76</v>
      </c>
      <c r="Y196" s="544">
        <f t="shared" ref="Y196:Y203" si="10">IFERROR(IF(X196="",0,CEILING((X196/$H196),1)*$H196),"")</f>
        <v>81</v>
      </c>
      <c r="Z196" s="36">
        <f>IFERROR(IF(Y196=0,"",ROUNDUP(Y196/H196,0)*0.00902),"")</f>
        <v>0.1353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78.67407407407407</v>
      </c>
      <c r="BN196" s="64">
        <f t="shared" ref="BN196:BN203" si="12">IFERROR(Y196*I196/H196,"0")</f>
        <v>83.85</v>
      </c>
      <c r="BO196" s="64">
        <f t="shared" ref="BO196:BO203" si="13">IFERROR(1/J196*(X196/H196),"0")</f>
        <v>0.10662177328843994</v>
      </c>
      <c r="BP196" s="64">
        <f t="shared" ref="BP196:BP203" si="14">IFERROR(1/J196*(Y196/H196),"0")</f>
        <v>0.11363636363636363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200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126</v>
      </c>
      <c r="Y197" s="544">
        <f t="shared" si="10"/>
        <v>129.60000000000002</v>
      </c>
      <c r="Z197" s="36">
        <f>IFERROR(IF(Y197=0,"",ROUNDUP(Y197/H197,0)*0.00902),"")</f>
        <v>0.21648000000000001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130.43333333333334</v>
      </c>
      <c r="BN197" s="64">
        <f t="shared" si="12"/>
        <v>134.16</v>
      </c>
      <c r="BO197" s="64">
        <f t="shared" si="13"/>
        <v>0.17676767676767677</v>
      </c>
      <c r="BP197" s="64">
        <f t="shared" si="14"/>
        <v>0.18181818181818185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/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200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47</v>
      </c>
      <c r="Y199" s="544">
        <f t="shared" si="10"/>
        <v>48.6</v>
      </c>
      <c r="Z199" s="36">
        <f>IFERROR(IF(Y199=0,"",ROUNDUP(Y199/H199,0)*0.00902),"")</f>
        <v>8.1180000000000002E-2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48.653703703703705</v>
      </c>
      <c r="BN199" s="64">
        <f t="shared" si="12"/>
        <v>50.309999999999995</v>
      </c>
      <c r="BO199" s="64">
        <f t="shared" si="13"/>
        <v>6.5937149270482595E-2</v>
      </c>
      <c r="BP199" s="64">
        <f t="shared" si="14"/>
        <v>6.8181818181818177E-2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/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10</v>
      </c>
      <c r="Y200" s="544">
        <f t="shared" si="10"/>
        <v>10.8</v>
      </c>
      <c r="Z200" s="36">
        <f>IFERROR(IF(Y200=0,"",ROUNDUP(Y200/H200,0)*0.00502),"")</f>
        <v>3.0120000000000001E-2</v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10.722222222222223</v>
      </c>
      <c r="BN200" s="64">
        <f t="shared" si="12"/>
        <v>11.58</v>
      </c>
      <c r="BO200" s="64">
        <f t="shared" si="13"/>
        <v>2.3741690408357077E-2</v>
      </c>
      <c r="BP200" s="64">
        <f t="shared" si="14"/>
        <v>2.5641025641025644E-2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/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4</v>
      </c>
      <c r="Y201" s="544">
        <f t="shared" si="10"/>
        <v>5.4</v>
      </c>
      <c r="Z201" s="36">
        <f>IFERROR(IF(Y201=0,"",ROUNDUP(Y201/H201,0)*0.00502),"")</f>
        <v>1.506E-2</v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4.2222222222222223</v>
      </c>
      <c r="BN201" s="64">
        <f t="shared" si="12"/>
        <v>5.7</v>
      </c>
      <c r="BO201" s="64">
        <f t="shared" si="13"/>
        <v>9.4966761633428314E-3</v>
      </c>
      <c r="BP201" s="64">
        <f t="shared" si="14"/>
        <v>1.2820512820512822E-2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/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14</v>
      </c>
      <c r="Y203" s="544">
        <f t="shared" si="10"/>
        <v>14.4</v>
      </c>
      <c r="Z203" s="36">
        <f>IFERROR(IF(Y203=0,"",ROUNDUP(Y203/H203,0)*0.00502),"")</f>
        <v>4.0160000000000001E-2</v>
      </c>
      <c r="AA203" s="56"/>
      <c r="AB203" s="57"/>
      <c r="AC203" s="243" t="s">
        <v>321</v>
      </c>
      <c r="AG203" s="64"/>
      <c r="AJ203" s="68"/>
      <c r="AK203" s="68">
        <v>0</v>
      </c>
      <c r="BB203" s="244" t="s">
        <v>1</v>
      </c>
      <c r="BM203" s="64">
        <f t="shared" si="11"/>
        <v>14.777777777777777</v>
      </c>
      <c r="BN203" s="64">
        <f t="shared" si="12"/>
        <v>15.2</v>
      </c>
      <c r="BO203" s="64">
        <f t="shared" si="13"/>
        <v>3.3238366571699908E-2</v>
      </c>
      <c r="BP203" s="64">
        <f t="shared" si="14"/>
        <v>3.4188034188034191E-2</v>
      </c>
    </row>
    <row r="204" spans="1:68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61.666666666666664</v>
      </c>
      <c r="Y204" s="545">
        <f>IFERROR(Y196/H196,"0")+IFERROR(Y197/H197,"0")+IFERROR(Y198/H198,"0")+IFERROR(Y199/H199,"0")+IFERROR(Y200/H200,"0")+IFERROR(Y201/H201,"0")+IFERROR(Y202/H202,"0")+IFERROR(Y203/H203,"0")</f>
        <v>65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0.51829999999999998</v>
      </c>
      <c r="AA204" s="546"/>
      <c r="AB204" s="546"/>
      <c r="AC204" s="546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277</v>
      </c>
      <c r="Y205" s="545">
        <f>IFERROR(SUM(Y196:Y203),"0")</f>
        <v>289.8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78</v>
      </c>
      <c r="Y207" s="544">
        <f t="shared" ref="Y207:Y215" si="15">IFERROR(IF(X207="",0,CEILING((X207/$H207),1)*$H207),"")</f>
        <v>81</v>
      </c>
      <c r="Z207" s="36">
        <f>IFERROR(IF(Y207=0,"",ROUNDUP(Y207/H207,0)*0.01898),"")</f>
        <v>0.1898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82.757037037037037</v>
      </c>
      <c r="BN207" s="64">
        <f t="shared" ref="BN207:BN215" si="17">IFERROR(Y207*I207/H207,"0")</f>
        <v>85.94</v>
      </c>
      <c r="BO207" s="64">
        <f t="shared" ref="BO207:BO215" si="18">IFERROR(1/J207*(X207/H207),"0")</f>
        <v>0.15046296296296297</v>
      </c>
      <c r="BP207" s="64">
        <f t="shared" ref="BP207:BP215" si="19">IFERROR(1/J207*(Y207/H207),"0")</f>
        <v>0.15625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18</v>
      </c>
      <c r="Y208" s="544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19.05777777777778</v>
      </c>
      <c r="BN208" s="64">
        <f t="shared" si="17"/>
        <v>25.727999999999998</v>
      </c>
      <c r="BO208" s="64">
        <f t="shared" si="18"/>
        <v>3.4722222222222224E-2</v>
      </c>
      <c r="BP208" s="64">
        <f t="shared" si="19"/>
        <v>4.6875E-2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/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4</v>
      </c>
      <c r="Y209" s="544">
        <f t="shared" si="15"/>
        <v>8.6999999999999993</v>
      </c>
      <c r="Z209" s="36">
        <f>IFERROR(IF(Y209=0,"",ROUNDUP(Y209/H209,0)*0.01898),"")</f>
        <v>1.898E-2</v>
      </c>
      <c r="AA209" s="56"/>
      <c r="AB209" s="57"/>
      <c r="AC209" s="249" t="s">
        <v>338</v>
      </c>
      <c r="AG209" s="64"/>
      <c r="AJ209" s="68"/>
      <c r="AK209" s="68">
        <v>0</v>
      </c>
      <c r="BB209" s="250" t="s">
        <v>1</v>
      </c>
      <c r="BM209" s="64">
        <f t="shared" si="16"/>
        <v>4.2271264367816102</v>
      </c>
      <c r="BN209" s="64">
        <f t="shared" si="17"/>
        <v>9.1940000000000008</v>
      </c>
      <c r="BO209" s="64">
        <f t="shared" si="18"/>
        <v>7.1839080459770123E-3</v>
      </c>
      <c r="BP209" s="64">
        <f t="shared" si="19"/>
        <v>1.5625E-2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217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134</v>
      </c>
      <c r="Y210" s="544">
        <f t="shared" si="15"/>
        <v>134.4</v>
      </c>
      <c r="Z210" s="36">
        <f t="shared" ref="Z210:Z215" si="20">IFERROR(IF(Y210=0,"",ROUNDUP(Y210/H210,0)*0.00651),"")</f>
        <v>0.36456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149.07499999999999</v>
      </c>
      <c r="BN210" s="64">
        <f t="shared" si="17"/>
        <v>149.52000000000001</v>
      </c>
      <c r="BO210" s="64">
        <f t="shared" si="18"/>
        <v>0.3067765567765568</v>
      </c>
      <c r="BP210" s="64">
        <f t="shared" si="19"/>
        <v>0.30769230769230776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217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217</v>
      </c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217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135</v>
      </c>
      <c r="Y214" s="544">
        <f t="shared" si="15"/>
        <v>136.79999999999998</v>
      </c>
      <c r="Z214" s="36">
        <f t="shared" si="20"/>
        <v>0.37107000000000001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149.17500000000001</v>
      </c>
      <c r="BN214" s="64">
        <f t="shared" si="17"/>
        <v>151.16399999999999</v>
      </c>
      <c r="BO214" s="64">
        <f t="shared" si="18"/>
        <v>0.30906593406593408</v>
      </c>
      <c r="BP214" s="64">
        <f t="shared" si="19"/>
        <v>0.31318681318681318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217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61</v>
      </c>
      <c r="Y215" s="544">
        <f t="shared" si="15"/>
        <v>62.4</v>
      </c>
      <c r="Z215" s="36">
        <f t="shared" si="20"/>
        <v>0.16925999999999999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67.557500000000005</v>
      </c>
      <c r="BN215" s="64">
        <f t="shared" si="17"/>
        <v>69.108000000000004</v>
      </c>
      <c r="BO215" s="64">
        <f t="shared" si="18"/>
        <v>0.13965201465201468</v>
      </c>
      <c r="BP215" s="64">
        <f t="shared" si="19"/>
        <v>0.14285714285714288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149.81162196679438</v>
      </c>
      <c r="Y216" s="545">
        <f>IFERROR(Y207/H207,"0")+IFERROR(Y208/H208,"0")+IFERROR(Y209/H209,"0")+IFERROR(Y210/H210,"0")+IFERROR(Y211/H211,"0")+IFERROR(Y212/H212,"0")+IFERROR(Y213/H213,"0")+IFERROR(Y214/H214,"0")+IFERROR(Y215/H215,"0")</f>
        <v>153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1.1706099999999999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430</v>
      </c>
      <c r="Y217" s="545">
        <f>IFERROR(SUM(Y207:Y215),"0")</f>
        <v>447.59999999999997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166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29</v>
      </c>
      <c r="Y219" s="544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32.045000000000002</v>
      </c>
      <c r="BN219" s="64">
        <f>IFERROR(Y219*I219/H219,"0")</f>
        <v>34.476000000000006</v>
      </c>
      <c r="BO219" s="64">
        <f>IFERROR(1/J219*(X219/H219),"0")</f>
        <v>6.6391941391941406E-2</v>
      </c>
      <c r="BP219" s="64">
        <f>IFERROR(1/J219*(Y219/H219),"0")</f>
        <v>7.1428571428571438E-2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12.083333333333334</v>
      </c>
      <c r="Y221" s="545">
        <f>IFERROR(Y219/H219,"0")+IFERROR(Y220/H220,"0")</f>
        <v>13</v>
      </c>
      <c r="Z221" s="545">
        <f>IFERROR(IF(Z219="",0,Z219),"0")+IFERROR(IF(Z220="",0,Z220),"0")</f>
        <v>8.4629999999999997E-2</v>
      </c>
      <c r="AA221" s="546"/>
      <c r="AB221" s="546"/>
      <c r="AC221" s="546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29</v>
      </c>
      <c r="Y222" s="545">
        <f>IFERROR(SUM(Y219:Y220),"0")</f>
        <v>31.2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/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138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8</v>
      </c>
      <c r="Y242" s="544">
        <f>IFERROR(IF(X242="",0,CEILING((X242/$H242),1)*$H242),"")</f>
        <v>9</v>
      </c>
      <c r="Z242" s="36">
        <f>IFERROR(IF(Y242=0,"",ROUNDUP(Y242/H242,0)*0.0059),"")</f>
        <v>2.9499999999999998E-2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8.7777777777777786</v>
      </c>
      <c r="BN242" s="64">
        <f>IFERROR(Y242*I242/H242,"0")</f>
        <v>9.8750000000000018</v>
      </c>
      <c r="BO242" s="64">
        <f>IFERROR(1/J242*(X242/H242),"0")</f>
        <v>2.0576131687242798E-2</v>
      </c>
      <c r="BP242" s="64">
        <f>IFERROR(1/J242*(Y242/H242),"0")</f>
        <v>2.3148148148148147E-2</v>
      </c>
    </row>
    <row r="243" spans="1:68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4.4444444444444446</v>
      </c>
      <c r="Y243" s="545">
        <f>IFERROR(Y242/H242,"0")</f>
        <v>5</v>
      </c>
      <c r="Z243" s="545">
        <f>IFERROR(IF(Z242="",0,Z242),"0")</f>
        <v>2.9499999999999998E-2</v>
      </c>
      <c r="AA243" s="546"/>
      <c r="AB243" s="546"/>
      <c r="AC243" s="546"/>
    </row>
    <row r="244" spans="1:68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8</v>
      </c>
      <c r="Y244" s="545">
        <f>IFERROR(SUM(Y242:Y242),"0")</f>
        <v>9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1</v>
      </c>
      <c r="Y248" s="544">
        <f>IFERROR(IF(X248="",0,CEILING((X248/$H248),1)*$H248),"")</f>
        <v>1.8</v>
      </c>
      <c r="Z248" s="36">
        <f>IFERROR(IF(Y248=0,"",ROUNDUP(Y248/H248,0)*0.0059),"")</f>
        <v>1.18E-2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1.2111111111111112</v>
      </c>
      <c r="BN248" s="64">
        <f>IFERROR(Y248*I248/H248,"0")</f>
        <v>2.1800000000000002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1.1111111111111112</v>
      </c>
      <c r="Y251" s="545">
        <f>IFERROR(Y246/H246,"0")+IFERROR(Y247/H247,"0")+IFERROR(Y248/H248,"0")+IFERROR(Y249/H249,"0")+IFERROR(Y250/H250,"0")</f>
        <v>2</v>
      </c>
      <c r="Z251" s="545">
        <f>IFERROR(IF(Z246="",0,Z246),"0")+IFERROR(IF(Z247="",0,Z247),"0")+IFERROR(IF(Z248="",0,Z248),"0")+IFERROR(IF(Z249="",0,Z249),"0")+IFERROR(IF(Z250="",0,Z250),"0")</f>
        <v>1.18E-2</v>
      </c>
      <c r="AA251" s="546"/>
      <c r="AB251" s="546"/>
      <c r="AC251" s="546"/>
    </row>
    <row r="252" spans="1:68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1</v>
      </c>
      <c r="Y252" s="545">
        <f>IFERROR(SUM(Y246:Y250),"0")</f>
        <v>1.8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217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217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7</v>
      </c>
      <c r="Y303" s="544">
        <f t="shared" si="26"/>
        <v>7.2</v>
      </c>
      <c r="Z303" s="36">
        <f>IFERROR(IF(Y303=0,"",ROUNDUP(Y303/H303,0)*0.00651),"")</f>
        <v>2.6040000000000001E-2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7.8866666666666667</v>
      </c>
      <c r="BN303" s="64">
        <f t="shared" si="28"/>
        <v>8.1120000000000001</v>
      </c>
      <c r="BO303" s="64">
        <f t="shared" si="29"/>
        <v>2.1367521367521368E-2</v>
      </c>
      <c r="BP303" s="64">
        <f t="shared" si="30"/>
        <v>2.197802197802198E-2</v>
      </c>
    </row>
    <row r="304" spans="1:68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3.8888888888888888</v>
      </c>
      <c r="Y304" s="545">
        <f>IFERROR(Y298/H298,"0")+IFERROR(Y299/H299,"0")+IFERROR(Y300/H300,"0")+IFERROR(Y301/H301,"0")+IFERROR(Y302/H302,"0")+IFERROR(Y303/H303,"0")</f>
        <v>4</v>
      </c>
      <c r="Z304" s="545">
        <f>IFERROR(IF(Z298="",0,Z298),"0")+IFERROR(IF(Z299="",0,Z299),"0")+IFERROR(IF(Z300="",0,Z300),"0")+IFERROR(IF(Z301="",0,Z301),"0")+IFERROR(IF(Z302="",0,Z302),"0")+IFERROR(IF(Z303="",0,Z303),"0")</f>
        <v>2.6040000000000001E-2</v>
      </c>
      <c r="AA304" s="546"/>
      <c r="AB304" s="546"/>
      <c r="AC304" s="546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7</v>
      </c>
      <c r="Y305" s="545">
        <f>IFERROR(SUM(Y298:Y303),"0")</f>
        <v>7.2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166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/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59</v>
      </c>
      <c r="Y315" s="544">
        <f>IFERROR(IF(X315="",0,CEILING((X315/$H315),1)*$H315),"")</f>
        <v>62.4</v>
      </c>
      <c r="Z315" s="36">
        <f>IFERROR(IF(Y315=0,"",ROUNDUP(Y315/H315,0)*0.01898),"")</f>
        <v>0.15184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62.736666666666672</v>
      </c>
      <c r="BN315" s="64">
        <f>IFERROR(Y315*I315/H315,"0")</f>
        <v>66.352000000000004</v>
      </c>
      <c r="BO315" s="64">
        <f>IFERROR(1/J315*(X315/H315),"0")</f>
        <v>0.11818910256410256</v>
      </c>
      <c r="BP315" s="64">
        <f>IFERROR(1/J315*(Y315/H315),"0")</f>
        <v>0.125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/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59</v>
      </c>
      <c r="Y316" s="544">
        <f>IFERROR(IF(X316="",0,CEILING((X316/$H316),1)*$H316),"")</f>
        <v>67.2</v>
      </c>
      <c r="Z316" s="36">
        <f>IFERROR(IF(Y316=0,"",ROUNDUP(Y316/H316,0)*0.01898),"")</f>
        <v>0.15184</v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62.469761904761903</v>
      </c>
      <c r="BN316" s="64">
        <f>IFERROR(Y316*I316/H316,"0")</f>
        <v>71.152000000000001</v>
      </c>
      <c r="BO316" s="64">
        <f>IFERROR(1/J316*(X316/H316),"0")</f>
        <v>0.10974702380952381</v>
      </c>
      <c r="BP316" s="64">
        <f>IFERROR(1/J316*(Y316/H316),"0")</f>
        <v>0.125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14.587912087912088</v>
      </c>
      <c r="Y317" s="545">
        <f>IFERROR(Y314/H314,"0")+IFERROR(Y315/H315,"0")+IFERROR(Y316/H316,"0")</f>
        <v>16</v>
      </c>
      <c r="Z317" s="545">
        <f>IFERROR(IF(Z314="",0,Z314),"0")+IFERROR(IF(Z315="",0,Z315),"0")+IFERROR(IF(Z316="",0,Z316),"0")</f>
        <v>0.30368000000000001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118</v>
      </c>
      <c r="Y318" s="545">
        <f>IFERROR(SUM(Y314:Y316),"0")</f>
        <v>129.6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/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6</v>
      </c>
      <c r="Y322" s="544">
        <f>IFERROR(IF(X322="",0,CEILING((X322/$H322),1)*$H322),"")</f>
        <v>7.6499999999999995</v>
      </c>
      <c r="Z322" s="36">
        <f>IFERROR(IF(Y322=0,"",ROUNDUP(Y322/H322,0)*0.00651),"")</f>
        <v>1.9529999999999999E-2</v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6.9529411764705893</v>
      </c>
      <c r="BN322" s="64">
        <f>IFERROR(Y322*I322/H322,"0")</f>
        <v>8.8650000000000002</v>
      </c>
      <c r="BO322" s="64">
        <f>IFERROR(1/J322*(X322/H322),"0")</f>
        <v>1.292824822236587E-2</v>
      </c>
      <c r="BP322" s="64">
        <f>IFERROR(1/J322*(Y322/H322),"0")</f>
        <v>1.6483516483516484E-2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/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20</v>
      </c>
      <c r="Y323" s="544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22.588235294117645</v>
      </c>
      <c r="BN323" s="64">
        <f>IFERROR(Y323*I323/H323,"0")</f>
        <v>23.04</v>
      </c>
      <c r="BO323" s="64">
        <f>IFERROR(1/J323*(X323/H323),"0")</f>
        <v>4.3094160741219571E-2</v>
      </c>
      <c r="BP323" s="64">
        <f>IFERROR(1/J323*(Y323/H323),"0")</f>
        <v>4.3956043956043959E-2</v>
      </c>
    </row>
    <row r="324" spans="1:68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10.19607843137255</v>
      </c>
      <c r="Y324" s="545">
        <f>IFERROR(Y320/H320,"0")+IFERROR(Y321/H321,"0")+IFERROR(Y322/H322,"0")+IFERROR(Y323/H323,"0")</f>
        <v>11</v>
      </c>
      <c r="Z324" s="545">
        <f>IFERROR(IF(Z320="",0,Z320),"0")+IFERROR(IF(Z321="",0,Z321),"0")+IFERROR(IF(Z322="",0,Z322),"0")+IFERROR(IF(Z323="",0,Z323),"0")</f>
        <v>7.1610000000000007E-2</v>
      </c>
      <c r="AA324" s="546"/>
      <c r="AB324" s="546"/>
      <c r="AC324" s="546"/>
    </row>
    <row r="325" spans="1:68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26</v>
      </c>
      <c r="Y325" s="545">
        <f>IFERROR(SUM(Y320:Y323),"0")</f>
        <v>28.049999999999997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hidden="1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/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/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hidden="1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505</v>
      </c>
      <c r="Y342" s="544">
        <f t="shared" ref="Y342:Y348" si="31">IFERROR(IF(X342="",0,CEILING((X342/$H342),1)*$H342),"")</f>
        <v>510</v>
      </c>
      <c r="Z342" s="36">
        <f>IFERROR(IF(Y342=0,"",ROUNDUP(Y342/H342,0)*0.02175),"")</f>
        <v>0.73949999999999994</v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520.82333333333338</v>
      </c>
      <c r="BN342" s="64">
        <f t="shared" ref="BN342:BN348" si="33">IFERROR(Y342*I342/H342,"0")</f>
        <v>525.98</v>
      </c>
      <c r="BO342" s="64">
        <f t="shared" ref="BO342:BO348" si="34">IFERROR(1/J342*(X342/H342),"0")</f>
        <v>0.70138888888888884</v>
      </c>
      <c r="BP342" s="64">
        <f t="shared" ref="BP342:BP348" si="35">IFERROR(1/J342*(Y342/H342),"0")</f>
        <v>0.70833333333333326</v>
      </c>
    </row>
    <row r="343" spans="1:68" ht="27" hidden="1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0</v>
      </c>
      <c r="Y343" s="544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0</v>
      </c>
      <c r="Y344" s="544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435</v>
      </c>
      <c r="Y345" s="544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448.63000000000005</v>
      </c>
      <c r="BN345" s="64">
        <f t="shared" si="33"/>
        <v>448.63000000000005</v>
      </c>
      <c r="BO345" s="64">
        <f t="shared" si="34"/>
        <v>0.60416666666666663</v>
      </c>
      <c r="BP345" s="64">
        <f t="shared" si="35"/>
        <v>0.60416666666666663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62.666666666666664</v>
      </c>
      <c r="Y349" s="545">
        <f>IFERROR(Y342/H342,"0")+IFERROR(Y343/H343,"0")+IFERROR(Y344/H344,"0")+IFERROR(Y345/H345,"0")+IFERROR(Y346/H346,"0")+IFERROR(Y347/H347,"0")+IFERROR(Y348/H348,"0")</f>
        <v>63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1.37025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940</v>
      </c>
      <c r="Y350" s="545">
        <f>IFERROR(SUM(Y342:Y348),"0")</f>
        <v>945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138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469</v>
      </c>
      <c r="Y352" s="544">
        <f>IFERROR(IF(X352="",0,CEILING((X352/$H352),1)*$H352),"")</f>
        <v>480</v>
      </c>
      <c r="Z352" s="36">
        <f>IFERROR(IF(Y352=0,"",ROUNDUP(Y352/H352,0)*0.02175),"")</f>
        <v>0.69599999999999995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483.69533333333334</v>
      </c>
      <c r="BN352" s="64">
        <f>IFERROR(Y352*I352/H352,"0")</f>
        <v>495.04</v>
      </c>
      <c r="BO352" s="64">
        <f>IFERROR(1/J352*(X352/H352),"0")</f>
        <v>0.6513888888888888</v>
      </c>
      <c r="BP352" s="64">
        <f>IFERROR(1/J352*(Y352/H352),"0")</f>
        <v>0.66666666666666663</v>
      </c>
    </row>
    <row r="353" spans="1:68" ht="27" hidden="1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31.266666666666666</v>
      </c>
      <c r="Y354" s="545">
        <f>IFERROR(Y352/H352,"0")+IFERROR(Y353/H353,"0")</f>
        <v>32</v>
      </c>
      <c r="Z354" s="545">
        <f>IFERROR(IF(Z352="",0,Z352),"0")+IFERROR(IF(Z353="",0,Z353),"0")</f>
        <v>0.69599999999999995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469</v>
      </c>
      <c r="Y355" s="545">
        <f>IFERROR(SUM(Y352:Y353),"0")</f>
        <v>480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hidden="1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166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25</v>
      </c>
      <c r="Y362" s="544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26.37222222222222</v>
      </c>
      <c r="BN362" s="64">
        <f>IFERROR(Y362*I362/H362,"0")</f>
        <v>28.481999999999996</v>
      </c>
      <c r="BO362" s="64">
        <f>IFERROR(1/J362*(X362/H362),"0")</f>
        <v>4.3402777777777776E-2</v>
      </c>
      <c r="BP362" s="64">
        <f>IFERROR(1/J362*(Y362/H362),"0")</f>
        <v>4.6875E-2</v>
      </c>
    </row>
    <row r="363" spans="1:68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2.7777777777777777</v>
      </c>
      <c r="Y363" s="545">
        <f>IFERROR(Y362/H362,"0")</f>
        <v>3</v>
      </c>
      <c r="Z363" s="545">
        <f>IFERROR(IF(Z362="",0,Z362),"0")</f>
        <v>5.6940000000000004E-2</v>
      </c>
      <c r="AA363" s="546"/>
      <c r="AB363" s="546"/>
      <c r="AC363" s="546"/>
    </row>
    <row r="364" spans="1:68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25</v>
      </c>
      <c r="Y364" s="545">
        <f>IFERROR(SUM(Y362:Y362),"0")</f>
        <v>27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/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222</v>
      </c>
      <c r="Y377" s="544">
        <f>IFERROR(IF(X377="",0,CEILING((X377/$H377),1)*$H377),"")</f>
        <v>225</v>
      </c>
      <c r="Z377" s="36">
        <f>IFERROR(IF(Y377=0,"",ROUNDUP(Y377/H377,0)*0.01898),"")</f>
        <v>0.47450000000000003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234.18533333333335</v>
      </c>
      <c r="BN377" s="64">
        <f>IFERROR(Y377*I377/H377,"0")</f>
        <v>237.35000000000002</v>
      </c>
      <c r="BO377" s="64">
        <f>IFERROR(1/J377*(X377/H377),"0")</f>
        <v>0.38541666666666669</v>
      </c>
      <c r="BP377" s="64">
        <f>IFERROR(1/J377*(Y377/H377),"0")</f>
        <v>0.390625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/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24.666666666666668</v>
      </c>
      <c r="Y380" s="545">
        <f>IFERROR(Y377/H377,"0")+IFERROR(Y378/H378,"0")+IFERROR(Y379/H379,"0")</f>
        <v>25</v>
      </c>
      <c r="Z380" s="545">
        <f>IFERROR(IF(Z377="",0,Z377),"0")+IFERROR(IF(Z378="",0,Z378),"0")+IFERROR(IF(Z379="",0,Z379),"0")</f>
        <v>0.47450000000000003</v>
      </c>
      <c r="AA380" s="546"/>
      <c r="AB380" s="546"/>
      <c r="AC380" s="546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222</v>
      </c>
      <c r="Y381" s="545">
        <f>IFERROR(SUM(Y377:Y379),"0")</f>
        <v>225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 t="s">
        <v>200</v>
      </c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50</v>
      </c>
      <c r="Y385" s="544">
        <f t="shared" ref="Y385:Y393" si="36">IFERROR(IF(X385="",0,CEILING((X385/$H385),1)*$H385),"")</f>
        <v>54</v>
      </c>
      <c r="Z385" s="36">
        <f>IFERROR(IF(Y385=0,"",ROUNDUP(Y385/H385,0)*0.00902),"")</f>
        <v>9.0200000000000002E-2</v>
      </c>
      <c r="AA385" s="56"/>
      <c r="AB385" s="57"/>
      <c r="AC385" s="427" t="s">
        <v>589</v>
      </c>
      <c r="AG385" s="64"/>
      <c r="AJ385" s="68" t="s">
        <v>110</v>
      </c>
      <c r="AK385" s="68">
        <v>64.8</v>
      </c>
      <c r="BB385" s="428" t="s">
        <v>1</v>
      </c>
      <c r="BM385" s="64">
        <f t="shared" ref="BM385:BM393" si="37">IFERROR(X385*I385/H385,"0")</f>
        <v>51.759259259259252</v>
      </c>
      <c r="BN385" s="64">
        <f t="shared" ref="BN385:BN393" si="38">IFERROR(Y385*I385/H385,"0")</f>
        <v>55.9</v>
      </c>
      <c r="BO385" s="64">
        <f t="shared" ref="BO385:BO393" si="39">IFERROR(1/J385*(X385/H385),"0")</f>
        <v>7.0145903479236812E-2</v>
      </c>
      <c r="BP385" s="64">
        <f t="shared" ref="BP385:BP393" si="40">IFERROR(1/J385*(Y385/H385),"0")</f>
        <v>7.575757575757576E-2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9.2592592592592595</v>
      </c>
      <c r="Y394" s="545">
        <f>IFERROR(Y385/H385,"0")+IFERROR(Y386/H386,"0")+IFERROR(Y387/H387,"0")+IFERROR(Y388/H388,"0")+IFERROR(Y389/H389,"0")+IFERROR(Y390/H390,"0")+IFERROR(Y391/H391,"0")+IFERROR(Y392/H392,"0")+IFERROR(Y393/H393,"0")</f>
        <v>10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9.0200000000000002E-2</v>
      </c>
      <c r="AA394" s="546"/>
      <c r="AB394" s="546"/>
      <c r="AC394" s="546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50</v>
      </c>
      <c r="Y395" s="545">
        <f>IFERROR(SUM(Y385:Y393),"0")</f>
        <v>54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138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 t="s">
        <v>200</v>
      </c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58</v>
      </c>
      <c r="Y407" s="544">
        <f>IFERROR(IF(X407="",0,CEILING((X407/$H407),1)*$H407),"")</f>
        <v>59.400000000000006</v>
      </c>
      <c r="Z407" s="36">
        <f>IFERROR(IF(Y407=0,"",ROUNDUP(Y407/H407,0)*0.00902),"")</f>
        <v>9.9220000000000003E-2</v>
      </c>
      <c r="AA407" s="56"/>
      <c r="AB407" s="57"/>
      <c r="AC407" s="451" t="s">
        <v>623</v>
      </c>
      <c r="AG407" s="64"/>
      <c r="AJ407" s="68" t="s">
        <v>110</v>
      </c>
      <c r="AK407" s="68">
        <v>64.8</v>
      </c>
      <c r="BB407" s="452" t="s">
        <v>1</v>
      </c>
      <c r="BM407" s="64">
        <f>IFERROR(X407*I407/H407,"0")</f>
        <v>60.040740740740731</v>
      </c>
      <c r="BN407" s="64">
        <f>IFERROR(Y407*I407/H407,"0")</f>
        <v>61.49</v>
      </c>
      <c r="BO407" s="64">
        <f>IFERROR(1/J407*(X407/H407),"0")</f>
        <v>8.1369248035914707E-2</v>
      </c>
      <c r="BP407" s="64">
        <f>IFERROR(1/J407*(Y407/H407),"0")</f>
        <v>8.3333333333333343E-2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10.74074074074074</v>
      </c>
      <c r="Y411" s="545">
        <f>IFERROR(Y407/H407,"0")+IFERROR(Y408/H408,"0")+IFERROR(Y409/H409,"0")+IFERROR(Y410/H410,"0")</f>
        <v>11</v>
      </c>
      <c r="Z411" s="545">
        <f>IFERROR(IF(Z407="",0,Z407),"0")+IFERROR(IF(Z408="",0,Z408),"0")+IFERROR(IF(Z409="",0,Z409),"0")+IFERROR(IF(Z410="",0,Z410),"0")</f>
        <v>9.9220000000000003E-2</v>
      </c>
      <c r="AA411" s="546"/>
      <c r="AB411" s="546"/>
      <c r="AC411" s="546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58</v>
      </c>
      <c r="Y412" s="545">
        <f>IFERROR(SUM(Y407:Y410),"0")</f>
        <v>59.400000000000006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hidden="1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/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/>
      <c r="AK421" s="68">
        <v>0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/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114</v>
      </c>
      <c r="Y425" s="544">
        <f t="shared" si="42"/>
        <v>116.16000000000001</v>
      </c>
      <c r="Z425" s="36">
        <f t="shared" si="43"/>
        <v>0.26312000000000002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121.55681818181816</v>
      </c>
      <c r="BN425" s="64">
        <f t="shared" si="45"/>
        <v>123.86</v>
      </c>
      <c r="BO425" s="64">
        <f t="shared" si="46"/>
        <v>0.2076048951048951</v>
      </c>
      <c r="BP425" s="64">
        <f t="shared" si="47"/>
        <v>0.21153846153846156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48</v>
      </c>
      <c r="Y429" s="544">
        <f t="shared" si="42"/>
        <v>48</v>
      </c>
      <c r="Z429" s="36">
        <f>IFERROR(IF(Y429=0,"",ROUNDUP(Y429/H429,0)*0.00902),"")</f>
        <v>9.0200000000000002E-2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69.100000000000009</v>
      </c>
      <c r="BN429" s="64">
        <f t="shared" si="45"/>
        <v>69.100000000000009</v>
      </c>
      <c r="BO429" s="64">
        <f t="shared" si="46"/>
        <v>7.575757575757576E-2</v>
      </c>
      <c r="BP429" s="64">
        <f t="shared" si="47"/>
        <v>7.575757575757576E-2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31.59090909090909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32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0.35332000000000002</v>
      </c>
      <c r="AA433" s="546"/>
      <c r="AB433" s="546"/>
      <c r="AC433" s="546"/>
    </row>
    <row r="434" spans="1:68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162</v>
      </c>
      <c r="Y434" s="545">
        <f>IFERROR(SUM(Y421:Y432),"0")</f>
        <v>164.16000000000003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138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164</v>
      </c>
      <c r="Y436" s="544">
        <f>IFERROR(IF(X436="",0,CEILING((X436/$H436),1)*$H436),"")</f>
        <v>168.96</v>
      </c>
      <c r="Z436" s="36">
        <f>IFERROR(IF(Y436=0,"",ROUNDUP(Y436/H436,0)*0.01196),"")</f>
        <v>0.38272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174.8712121212121</v>
      </c>
      <c r="BN436" s="64">
        <f>IFERROR(Y436*I436/H436,"0")</f>
        <v>180.16</v>
      </c>
      <c r="BO436" s="64">
        <f>IFERROR(1/J436*(X436/H436),"0")</f>
        <v>0.29865967365967366</v>
      </c>
      <c r="BP436" s="64">
        <f>IFERROR(1/J436*(Y436/H436),"0")</f>
        <v>0.30769230769230771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/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48</v>
      </c>
      <c r="Y438" s="544">
        <f>IFERROR(IF(X438="",0,CEILING((X438/$H438),1)*$H438),"")</f>
        <v>48</v>
      </c>
      <c r="Z438" s="36">
        <f>IFERROR(IF(Y438=0,"",ROUNDUP(Y438/H438,0)*0.00902),"")</f>
        <v>9.0200000000000002E-2</v>
      </c>
      <c r="AA438" s="56"/>
      <c r="AB438" s="57"/>
      <c r="AC438" s="489" t="s">
        <v>669</v>
      </c>
      <c r="AG438" s="64"/>
      <c r="AJ438" s="68"/>
      <c r="AK438" s="68">
        <v>0</v>
      </c>
      <c r="BB438" s="490" t="s">
        <v>1</v>
      </c>
      <c r="BM438" s="64">
        <f>IFERROR(X438*I438/H438,"0")</f>
        <v>69.100000000000009</v>
      </c>
      <c r="BN438" s="64">
        <f>IFERROR(Y438*I438/H438,"0")</f>
        <v>69.100000000000009</v>
      </c>
      <c r="BO438" s="64">
        <f>IFERROR(1/J438*(X438/H438),"0")</f>
        <v>7.575757575757576E-2</v>
      </c>
      <c r="BP438" s="64">
        <f>IFERROR(1/J438*(Y438/H438),"0")</f>
        <v>7.575757575757576E-2</v>
      </c>
    </row>
    <row r="439" spans="1:68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41.060606060606062</v>
      </c>
      <c r="Y439" s="545">
        <f>IFERROR(Y436/H436,"0")+IFERROR(Y437/H437,"0")+IFERROR(Y438/H438,"0")</f>
        <v>42</v>
      </c>
      <c r="Z439" s="545">
        <f>IFERROR(IF(Z436="",0,Z436),"0")+IFERROR(IF(Z437="",0,Z437),"0")+IFERROR(IF(Z438="",0,Z438),"0")</f>
        <v>0.47292000000000001</v>
      </c>
      <c r="AA439" s="546"/>
      <c r="AB439" s="546"/>
      <c r="AC439" s="546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212</v>
      </c>
      <c r="Y440" s="545">
        <f>IFERROR(SUM(Y436:Y438),"0")</f>
        <v>216.96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54</v>
      </c>
      <c r="Y442" s="544">
        <f t="shared" ref="Y442:Y447" si="48">IFERROR(IF(X442="",0,CEILING((X442/$H442),1)*$H442),"")</f>
        <v>58.080000000000005</v>
      </c>
      <c r="Z442" s="36">
        <f>IFERROR(IF(Y442=0,"",ROUNDUP(Y442/H442,0)*0.01196),"")</f>
        <v>0.13156000000000001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57.579545454545446</v>
      </c>
      <c r="BN442" s="64">
        <f t="shared" ref="BN442:BN447" si="50">IFERROR(Y442*I442/H442,"0")</f>
        <v>61.93</v>
      </c>
      <c r="BO442" s="64">
        <f t="shared" ref="BO442:BO447" si="51">IFERROR(1/J442*(X442/H442),"0")</f>
        <v>9.8339160839160833E-2</v>
      </c>
      <c r="BP442" s="64">
        <f t="shared" ref="BP442:BP447" si="52">IFERROR(1/J442*(Y442/H442),"0")</f>
        <v>0.10576923076923078</v>
      </c>
    </row>
    <row r="443" spans="1:68" ht="27" hidden="1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0</v>
      </c>
      <c r="Y443" s="544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39</v>
      </c>
      <c r="Y444" s="544">
        <f t="shared" si="48"/>
        <v>42.24</v>
      </c>
      <c r="Z444" s="36">
        <f>IFERROR(IF(Y444=0,"",ROUNDUP(Y444/H444,0)*0.01196),"")</f>
        <v>9.5680000000000001E-2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41.585227272727266</v>
      </c>
      <c r="BN444" s="64">
        <f t="shared" si="50"/>
        <v>45.04</v>
      </c>
      <c r="BO444" s="64">
        <f t="shared" si="51"/>
        <v>7.1022727272727265E-2</v>
      </c>
      <c r="BP444" s="64">
        <f t="shared" si="52"/>
        <v>7.6923076923076927E-2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hidden="1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17.613636363636363</v>
      </c>
      <c r="Y448" s="545">
        <f>IFERROR(Y442/H442,"0")+IFERROR(Y443/H443,"0")+IFERROR(Y444/H444,"0")+IFERROR(Y445/H445,"0")+IFERROR(Y446/H446,"0")+IFERROR(Y447/H447,"0")</f>
        <v>19</v>
      </c>
      <c r="Z448" s="545">
        <f>IFERROR(IF(Z442="",0,Z442),"0")+IFERROR(IF(Z443="",0,Z443),"0")+IFERROR(IF(Z444="",0,Z444),"0")+IFERROR(IF(Z445="",0,Z445),"0")+IFERROR(IF(Z446="",0,Z446),"0")+IFERROR(IF(Z447="",0,Z447),"0")</f>
        <v>0.22724</v>
      </c>
      <c r="AA448" s="546"/>
      <c r="AB448" s="546"/>
      <c r="AC448" s="546"/>
    </row>
    <row r="449" spans="1:68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93</v>
      </c>
      <c r="Y449" s="545">
        <f>IFERROR(SUM(Y442:Y447),"0")</f>
        <v>100.32000000000001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138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166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138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3691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3814.95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3916.1395812463143</v>
      </c>
      <c r="Y491" s="545">
        <f>IFERROR(SUM(BN22:BN487),"0")</f>
        <v>4046.9039999999995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7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4091.1395812463143</v>
      </c>
      <c r="Y493" s="545">
        <f>GrossWeightTotalR+PalletQtyTotalR*25</f>
        <v>4221.9039999999995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606.01587863967859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627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7.2771100000000004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119</v>
      </c>
      <c r="E498" s="597" t="s">
        <v>173</v>
      </c>
      <c r="F498" s="597" t="s">
        <v>192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37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164.00000000000003</v>
      </c>
      <c r="E500" s="46">
        <f>IFERROR(Y86*1,"0")+IFERROR(Y87*1,"0")+IFERROR(Y88*1,"0")+IFERROR(Y92*1,"0")+IFERROR(Y93*1,"0")+IFERROR(Y94*1,"0")+IFERROR(Y95*1,"0")</f>
        <v>254.7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71.160000000000011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768.6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10.8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164.85000000000002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1452</v>
      </c>
      <c r="T500" s="46">
        <f>IFERROR(Y367*1,"0")+IFERROR(Y368*1,"0")+IFERROR(Y372*1,"0")+IFERROR(Y373*1,"0")+IFERROR(Y377*1,"0")+IFERROR(Y378*1,"0")+IFERROR(Y379*1,"0")</f>
        <v>225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54</v>
      </c>
      <c r="V500" s="46">
        <f>IFERROR(Y403*1,"0")+IFERROR(Y407*1,"0")+IFERROR(Y408*1,"0")+IFERROR(Y409*1,"0")+IFERROR(Y410*1,"0")</f>
        <v>59.400000000000006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481.44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YfEERwXIYb0Si3RybtWSnZ6DhpLgYAg6L0pmALk58MEaf8J+pru1nF8JSbc7FZBUvLdTZEbFhXNOmoHeavq+SQ==" saltValue="KLPNSskDW7CxckvvriSmv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,00"/>
        <filter val="1,11"/>
        <filter val="1,60"/>
        <filter val="10,00"/>
        <filter val="10,20"/>
        <filter val="10,37"/>
        <filter val="10,74"/>
        <filter val="11,85"/>
        <filter val="114,00"/>
        <filter val="118,00"/>
        <filter val="12,00"/>
        <filter val="12,08"/>
        <filter val="126,00"/>
        <filter val="128,00"/>
        <filter val="13,00"/>
        <filter val="134,00"/>
        <filter val="135,00"/>
        <filter val="14,00"/>
        <filter val="14,59"/>
        <filter val="148,00"/>
        <filter val="149,81"/>
        <filter val="16,00"/>
        <filter val="162,00"/>
        <filter val="164,00"/>
        <filter val="17,61"/>
        <filter val="18,00"/>
        <filter val="2,78"/>
        <filter val="20,00"/>
        <filter val="20,06"/>
        <filter val="212,00"/>
        <filter val="222,00"/>
        <filter val="23,00"/>
        <filter val="24,67"/>
        <filter val="24,76"/>
        <filter val="25,00"/>
        <filter val="26,00"/>
        <filter val="277,00"/>
        <filter val="28,00"/>
        <filter val="29,00"/>
        <filter val="3 691,00"/>
        <filter val="3 916,14"/>
        <filter val="3,89"/>
        <filter val="31,27"/>
        <filter val="31,59"/>
        <filter val="32,72"/>
        <filter val="37,00"/>
        <filter val="39,00"/>
        <filter val="4 091,14"/>
        <filter val="4,00"/>
        <filter val="4,43"/>
        <filter val="4,44"/>
        <filter val="41,06"/>
        <filter val="430,00"/>
        <filter val="435,00"/>
        <filter val="45,00"/>
        <filter val="469,00"/>
        <filter val="47,00"/>
        <filter val="48,00"/>
        <filter val="49,00"/>
        <filter val="50,00"/>
        <filter val="505,00"/>
        <filter val="54,00"/>
        <filter val="58,00"/>
        <filter val="59,00"/>
        <filter val="6,00"/>
        <filter val="606,02"/>
        <filter val="61,00"/>
        <filter val="61,67"/>
        <filter val="62,67"/>
        <filter val="69,00"/>
        <filter val="7"/>
        <filter val="7,00"/>
        <filter val="76,00"/>
        <filter val="78,00"/>
        <filter val="8,00"/>
        <filter val="87,00"/>
        <filter val="9,00"/>
        <filter val="9,26"/>
        <filter val="91,00"/>
        <filter val="93,00"/>
        <filter val="940,00"/>
        <filter val="99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2 X100 X102 X113 X115 X162 X164:X165 X196:X197 X199 X210 X212:X215 X273:X274 X315 X342:X344 X352 X377 X385 X407 X425 X427 X436 X442:X444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SS2VmVA7xVw3+ZIbbgiPt2kRaZOlpmL7eFNkq8+RmhQQl8cpMbZKaGvubMji/r5azOxqQJR5aXvCSj+d9BxF+g==" saltValue="0mURfuixAAwr/Ay//Z0Z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