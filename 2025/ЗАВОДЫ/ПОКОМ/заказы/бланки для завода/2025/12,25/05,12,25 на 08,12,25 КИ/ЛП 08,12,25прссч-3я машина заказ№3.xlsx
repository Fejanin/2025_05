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1441F4D-DF76-4A96-A869-7D1BE6DBA19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H10" i="1"/>
  <c r="F10" i="1"/>
  <c r="F9" i="1"/>
  <c r="A9" i="1"/>
  <c r="A10" i="1" s="1"/>
  <c r="D7" i="1"/>
  <c r="Q6" i="1"/>
  <c r="P2" i="1"/>
  <c r="BP92" i="1" l="1"/>
  <c r="BN92" i="1"/>
  <c r="Z92" i="1"/>
  <c r="BP126" i="1"/>
  <c r="BN126" i="1"/>
  <c r="Z126" i="1"/>
  <c r="BP171" i="1"/>
  <c r="BN171" i="1"/>
  <c r="Z171" i="1"/>
  <c r="BP209" i="1"/>
  <c r="BN209" i="1"/>
  <c r="Z209" i="1"/>
  <c r="BP232" i="1"/>
  <c r="BN232" i="1"/>
  <c r="Z232" i="1"/>
  <c r="BP264" i="1"/>
  <c r="BN264" i="1"/>
  <c r="Z264" i="1"/>
  <c r="BP299" i="1"/>
  <c r="BN299" i="1"/>
  <c r="Z299" i="1"/>
  <c r="BP323" i="1"/>
  <c r="BN323" i="1"/>
  <c r="Z323" i="1"/>
  <c r="BP373" i="1"/>
  <c r="BN373" i="1"/>
  <c r="Z373" i="1"/>
  <c r="BP410" i="1"/>
  <c r="BN410" i="1"/>
  <c r="Z410" i="1"/>
  <c r="BP432" i="1"/>
  <c r="BN432" i="1"/>
  <c r="Z432" i="1"/>
  <c r="BP460" i="1"/>
  <c r="BN460" i="1"/>
  <c r="Z460" i="1"/>
  <c r="B501" i="1"/>
  <c r="X493" i="1"/>
  <c r="Z31" i="1"/>
  <c r="BN31" i="1"/>
  <c r="Z54" i="1"/>
  <c r="BN54" i="1"/>
  <c r="BP73" i="1"/>
  <c r="BN73" i="1"/>
  <c r="Z73" i="1"/>
  <c r="BP107" i="1"/>
  <c r="BN107" i="1"/>
  <c r="Z107" i="1"/>
  <c r="BP163" i="1"/>
  <c r="BN163" i="1"/>
  <c r="Z163" i="1"/>
  <c r="BP192" i="1"/>
  <c r="BN192" i="1"/>
  <c r="Z192" i="1"/>
  <c r="BP196" i="1"/>
  <c r="BN196" i="1"/>
  <c r="Z196" i="1"/>
  <c r="BP219" i="1"/>
  <c r="BN219" i="1"/>
  <c r="Z219" i="1"/>
  <c r="BP250" i="1"/>
  <c r="BN250" i="1"/>
  <c r="Z250" i="1"/>
  <c r="BP284" i="1"/>
  <c r="BN284" i="1"/>
  <c r="Z284" i="1"/>
  <c r="BP311" i="1"/>
  <c r="BN311" i="1"/>
  <c r="Z311" i="1"/>
  <c r="BP346" i="1"/>
  <c r="BN346" i="1"/>
  <c r="Z346" i="1"/>
  <c r="BP391" i="1"/>
  <c r="BN391" i="1"/>
  <c r="Z391" i="1"/>
  <c r="BP424" i="1"/>
  <c r="BN424" i="1"/>
  <c r="Z424" i="1"/>
  <c r="BP448" i="1"/>
  <c r="BN448" i="1"/>
  <c r="Z448" i="1"/>
  <c r="Y480" i="1"/>
  <c r="Y479" i="1"/>
  <c r="BP478" i="1"/>
  <c r="BN478" i="1"/>
  <c r="Z478" i="1"/>
  <c r="Z479" i="1" s="1"/>
  <c r="BP482" i="1"/>
  <c r="BN482" i="1"/>
  <c r="Z482" i="1"/>
  <c r="U501" i="1"/>
  <c r="BP248" i="1"/>
  <c r="BN248" i="1"/>
  <c r="BP266" i="1"/>
  <c r="BN266" i="1"/>
  <c r="Z266" i="1"/>
  <c r="BP291" i="1"/>
  <c r="BN291" i="1"/>
  <c r="Z291" i="1"/>
  <c r="BP315" i="1"/>
  <c r="BN315" i="1"/>
  <c r="Z315" i="1"/>
  <c r="BP348" i="1"/>
  <c r="BN348" i="1"/>
  <c r="Z348" i="1"/>
  <c r="BP379" i="1"/>
  <c r="BN379" i="1"/>
  <c r="Z379" i="1"/>
  <c r="BP438" i="1"/>
  <c r="BN438" i="1"/>
  <c r="Z438" i="1"/>
  <c r="Y456" i="1"/>
  <c r="BP452" i="1"/>
  <c r="BN452" i="1"/>
  <c r="Z452" i="1"/>
  <c r="BP474" i="1"/>
  <c r="BN474" i="1"/>
  <c r="Z474" i="1"/>
  <c r="BP255" i="1"/>
  <c r="BN255" i="1"/>
  <c r="Z255" i="1"/>
  <c r="BP301" i="1"/>
  <c r="BN301" i="1"/>
  <c r="Z301" i="1"/>
  <c r="BP329" i="1"/>
  <c r="BN329" i="1"/>
  <c r="Z329" i="1"/>
  <c r="BP393" i="1"/>
  <c r="BN393" i="1"/>
  <c r="Z393" i="1"/>
  <c r="BP426" i="1"/>
  <c r="BN426" i="1"/>
  <c r="Z426" i="1"/>
  <c r="J9" i="1"/>
  <c r="X492" i="1"/>
  <c r="X494" i="1" s="1"/>
  <c r="Z23" i="1"/>
  <c r="BN23" i="1"/>
  <c r="X491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9" i="1"/>
  <c r="BN69" i="1"/>
  <c r="Z75" i="1"/>
  <c r="BN75" i="1"/>
  <c r="Z88" i="1"/>
  <c r="BN88" i="1"/>
  <c r="Y96" i="1"/>
  <c r="Z94" i="1"/>
  <c r="BN94" i="1"/>
  <c r="Z103" i="1"/>
  <c r="BN103" i="1"/>
  <c r="Z109" i="1"/>
  <c r="BN109" i="1"/>
  <c r="Y117" i="1"/>
  <c r="Z115" i="1"/>
  <c r="BN115" i="1"/>
  <c r="Z130" i="1"/>
  <c r="BN130" i="1"/>
  <c r="BP130" i="1"/>
  <c r="Z147" i="1"/>
  <c r="BN147" i="1"/>
  <c r="Z165" i="1"/>
  <c r="BN165" i="1"/>
  <c r="Z169" i="1"/>
  <c r="BN169" i="1"/>
  <c r="Z175" i="1"/>
  <c r="BN175" i="1"/>
  <c r="Z181" i="1"/>
  <c r="Z182" i="1" s="1"/>
  <c r="BN181" i="1"/>
  <c r="BP181" i="1"/>
  <c r="Y182" i="1"/>
  <c r="Z186" i="1"/>
  <c r="BN186" i="1"/>
  <c r="Z198" i="1"/>
  <c r="BN198" i="1"/>
  <c r="Z202" i="1"/>
  <c r="BN202" i="1"/>
  <c r="Z211" i="1"/>
  <c r="BN211" i="1"/>
  <c r="Z215" i="1"/>
  <c r="BN215" i="1"/>
  <c r="Y221" i="1"/>
  <c r="Z226" i="1"/>
  <c r="BN226" i="1"/>
  <c r="Z230" i="1"/>
  <c r="BN230" i="1"/>
  <c r="Z234" i="1"/>
  <c r="BN234" i="1"/>
  <c r="Z248" i="1"/>
  <c r="BP259" i="1"/>
  <c r="BN259" i="1"/>
  <c r="Z259" i="1"/>
  <c r="BP280" i="1"/>
  <c r="BN280" i="1"/>
  <c r="Z280" i="1"/>
  <c r="BP295" i="1"/>
  <c r="BN295" i="1"/>
  <c r="Z295" i="1"/>
  <c r="BP309" i="1"/>
  <c r="BN309" i="1"/>
  <c r="Z309" i="1"/>
  <c r="Y325" i="1"/>
  <c r="BP321" i="1"/>
  <c r="BN321" i="1"/>
  <c r="Z321" i="1"/>
  <c r="BP344" i="1"/>
  <c r="BN344" i="1"/>
  <c r="Z344" i="1"/>
  <c r="BP369" i="1"/>
  <c r="BN369" i="1"/>
  <c r="Z369" i="1"/>
  <c r="BP389" i="1"/>
  <c r="BN389" i="1"/>
  <c r="Z389" i="1"/>
  <c r="Y405" i="1"/>
  <c r="BP404" i="1"/>
  <c r="BN404" i="1"/>
  <c r="Z404" i="1"/>
  <c r="Z405" i="1" s="1"/>
  <c r="Y412" i="1"/>
  <c r="BP408" i="1"/>
  <c r="BN408" i="1"/>
  <c r="Z408" i="1"/>
  <c r="BP430" i="1"/>
  <c r="BN430" i="1"/>
  <c r="Z430" i="1"/>
  <c r="BP446" i="1"/>
  <c r="BN446" i="1"/>
  <c r="Z446" i="1"/>
  <c r="Y455" i="1"/>
  <c r="BP462" i="1"/>
  <c r="BN462" i="1"/>
  <c r="Z462" i="1"/>
  <c r="Y286" i="1"/>
  <c r="Y375" i="1"/>
  <c r="Y484" i="1"/>
  <c r="Y24" i="1"/>
  <c r="Y32" i="1"/>
  <c r="Y44" i="1"/>
  <c r="Y59" i="1"/>
  <c r="Y65" i="1"/>
  <c r="Y70" i="1"/>
  <c r="BP74" i="1"/>
  <c r="BN74" i="1"/>
  <c r="Z74" i="1"/>
  <c r="BP87" i="1"/>
  <c r="BN87" i="1"/>
  <c r="Z87" i="1"/>
  <c r="Z89" i="1" s="1"/>
  <c r="BP95" i="1"/>
  <c r="BN95" i="1"/>
  <c r="Z95" i="1"/>
  <c r="Y97" i="1"/>
  <c r="F501" i="1"/>
  <c r="Y105" i="1"/>
  <c r="BP100" i="1"/>
  <c r="BN100" i="1"/>
  <c r="Z100" i="1"/>
  <c r="Y104" i="1"/>
  <c r="BP108" i="1"/>
  <c r="BN108" i="1"/>
  <c r="Z108" i="1"/>
  <c r="Z110" i="1" s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D501" i="1"/>
  <c r="H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Y78" i="1"/>
  <c r="Y83" i="1"/>
  <c r="BP80" i="1"/>
  <c r="BN80" i="1"/>
  <c r="Z80" i="1"/>
  <c r="Z82" i="1" s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L501" i="1"/>
  <c r="Y260" i="1"/>
  <c r="BP265" i="1"/>
  <c r="BN265" i="1"/>
  <c r="Z265" i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BP445" i="1"/>
  <c r="BN445" i="1"/>
  <c r="Z445" i="1"/>
  <c r="BP453" i="1"/>
  <c r="BN453" i="1"/>
  <c r="Z453" i="1"/>
  <c r="Z455" i="1" s="1"/>
  <c r="Y464" i="1"/>
  <c r="BP463" i="1"/>
  <c r="BN463" i="1"/>
  <c r="Z463" i="1"/>
  <c r="Z464" i="1" s="1"/>
  <c r="Y470" i="1"/>
  <c r="BP467" i="1"/>
  <c r="BN467" i="1"/>
  <c r="Z467" i="1"/>
  <c r="Z470" i="1" s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412" i="1" l="1"/>
  <c r="Z325" i="1"/>
  <c r="Z286" i="1"/>
  <c r="Z188" i="1"/>
  <c r="Z64" i="1"/>
  <c r="Z440" i="1"/>
  <c r="Z268" i="1"/>
  <c r="Z305" i="1"/>
  <c r="Z204" i="1"/>
  <c r="Z77" i="1"/>
  <c r="Z260" i="1"/>
  <c r="Z251" i="1"/>
  <c r="Z58" i="1"/>
  <c r="Z32" i="1"/>
  <c r="Z449" i="1"/>
  <c r="Z395" i="1"/>
  <c r="Z235" i="1"/>
  <c r="Z434" i="1"/>
  <c r="Z350" i="1"/>
  <c r="Z331" i="1"/>
  <c r="Z216" i="1"/>
  <c r="Y492" i="1"/>
  <c r="Z312" i="1"/>
  <c r="Z104" i="1"/>
  <c r="Z296" i="1"/>
  <c r="Z172" i="1"/>
  <c r="Z70" i="1"/>
  <c r="Y491" i="1"/>
  <c r="Y493" i="1"/>
  <c r="Z496" i="1"/>
  <c r="Z149" i="1"/>
  <c r="Y495" i="1"/>
  <c r="Y494" i="1" l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<sst xmlns="http://schemas.openxmlformats.org/spreadsheetml/2006/main" count="2353" uniqueCount="769">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</sst>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6" t="s">
        <v>0</v>
      </c>
      <c r="E1" s="582"/>
      <c r="F1" s="582"/>
      <c r="G1" s="12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58"/>
      <c r="P5" s="24" t="s">
        <v>10</v>
      </c>
      <c r="Q5" s="851">
        <v>45999</v>
      </c>
      <c r="R5" s="678"/>
      <c r="T5" s="717" t="s">
        <v>11</v>
      </c>
      <c r="U5" s="718"/>
      <c r="V5" s="723" t="s">
        <v>12</v>
      </c>
      <c r="W5" s="678"/>
      <c r="AB5" s="51"/>
      <c r="AC5" s="51"/>
      <c r="AD5" s="51"/>
      <c r="AE5" s="51"/>
    </row>
    <row r="6" spans="1:32" s="539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Понедельник</v>
      </c>
      <c r="R6" s="550"/>
      <c r="T6" s="731" t="s">
        <v>16</v>
      </c>
      <c r="U6" s="718"/>
      <c r="V6" s="769" t="s">
        <v>17</v>
      </c>
      <c r="W6" s="594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60"/>
      <c r="P7" s="24"/>
      <c r="Q7" s="42"/>
      <c r="R7" s="42"/>
      <c r="T7" s="559"/>
      <c r="U7" s="718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61"/>
      <c r="P8" s="24" t="s">
        <v>20</v>
      </c>
      <c r="Q8" s="685">
        <v>0.45833333333333331</v>
      </c>
      <c r="R8" s="622"/>
      <c r="T8" s="559"/>
      <c r="U8" s="718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7"/>
      <c r="P9" s="26" t="s">
        <v>21</v>
      </c>
      <c r="Q9" s="675"/>
      <c r="R9" s="676"/>
      <c r="T9" s="559"/>
      <c r="U9" s="71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0"/>
      <c r="R10" s="721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7"/>
      <c r="R11" s="678"/>
      <c r="U11" s="24" t="s">
        <v>27</v>
      </c>
      <c r="V11" s="766" t="s">
        <v>28</v>
      </c>
      <c r="W11" s="67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5"/>
      <c r="R12" s="62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766"/>
      <c r="R13" s="6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69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67" t="s">
        <v>61</v>
      </c>
      <c r="V18" s="67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90</v>
      </c>
      <c r="Y30" s="546">
        <f>IFERROR(IF(X30="",0,CEILING((X30/$H30),1)*$H30),"")</f>
        <v>90</v>
      </c>
      <c r="Z30" s="36">
        <f>IFERROR(IF(Y30=0,"",ROUNDUP(Y30/H30,0)*0.00651),"")</f>
        <v>0.32550000000000001</v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159</v>
      </c>
      <c r="BN30" s="64">
        <f>IFERROR(Y30*I30/H30,"0")</f>
        <v>159</v>
      </c>
      <c r="BO30" s="64">
        <f>IFERROR(1/J30*(X30/H30),"0")</f>
        <v>0.27472527472527475</v>
      </c>
      <c r="BP30" s="64">
        <f>IFERROR(1/J30*(Y30/H30),"0")</f>
        <v>0.27472527472527475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50</v>
      </c>
      <c r="Y32" s="547">
        <f>IFERROR(Y27/H27,"0")+IFERROR(Y28/H28,"0")+IFERROR(Y29/H29,"0")+IFERROR(Y30/H30,"0")+IFERROR(Y31/H31,"0")</f>
        <v>50</v>
      </c>
      <c r="Z32" s="547">
        <f>IFERROR(IF(Z27="",0,Z27),"0")+IFERROR(IF(Z28="",0,Z28),"0")+IFERROR(IF(Z29="",0,Z29),"0")+IFERROR(IF(Z30="",0,Z30),"0")+IFERROR(IF(Z31="",0,Z31),"0")</f>
        <v>0.32550000000000001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90</v>
      </c>
      <c r="Y33" s="547">
        <f>IFERROR(SUM(Y27:Y31),"0")</f>
        <v>90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hidden="1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140</v>
      </c>
      <c r="Y42" s="546">
        <f>IFERROR(IF(X42="",0,CEILING((X42/$H42),1)*$H42),"")</f>
        <v>140</v>
      </c>
      <c r="Z42" s="36">
        <f>IFERROR(IF(Y42=0,"",ROUNDUP(Y42/H42,0)*0.00902),"")</f>
        <v>0.31569999999999998</v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146.65</v>
      </c>
      <c r="BN42" s="64">
        <f>IFERROR(Y42*I42/H42,"0")</f>
        <v>146.65</v>
      </c>
      <c r="BO42" s="64">
        <f>IFERROR(1/J42*(X42/H42),"0")</f>
        <v>0.26515151515151514</v>
      </c>
      <c r="BP42" s="64">
        <f>IFERROR(1/J42*(Y42/H42),"0")</f>
        <v>0.26515151515151514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35</v>
      </c>
      <c r="Y44" s="547">
        <f>IFERROR(Y41/H41,"0")+IFERROR(Y42/H42,"0")+IFERROR(Y43/H43,"0")</f>
        <v>35</v>
      </c>
      <c r="Z44" s="547">
        <f>IFERROR(IF(Z41="",0,Z41),"0")+IFERROR(IF(Z42="",0,Z42),"0")+IFERROR(IF(Z43="",0,Z43),"0")</f>
        <v>0.31569999999999998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140</v>
      </c>
      <c r="Y45" s="547">
        <f>IFERROR(SUM(Y41:Y43),"0")</f>
        <v>140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105</v>
      </c>
      <c r="Y47" s="546">
        <f>IFERROR(IF(X47="",0,CEILING((X47/$H47),1)*$H47),"")</f>
        <v>106.2</v>
      </c>
      <c r="Z47" s="36">
        <f>IFERROR(IF(Y47=0,"",ROUNDUP(Y47/H47,0)*0.00651),"")</f>
        <v>0.38408999999999999</v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115.5</v>
      </c>
      <c r="BN47" s="64">
        <f>IFERROR(Y47*I47/H47,"0")</f>
        <v>116.82000000000001</v>
      </c>
      <c r="BO47" s="64">
        <f>IFERROR(1/J47*(X47/H47),"0")</f>
        <v>0.32051282051282048</v>
      </c>
      <c r="BP47" s="64">
        <f>IFERROR(1/J47*(Y47/H47),"0")</f>
        <v>0.32417582417582419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58.333333333333329</v>
      </c>
      <c r="Y48" s="547">
        <f>IFERROR(Y47/H47,"0")</f>
        <v>59</v>
      </c>
      <c r="Z48" s="547">
        <f>IFERROR(IF(Z47="",0,Z47),"0")</f>
        <v>0.38408999999999999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105</v>
      </c>
      <c r="Y49" s="547">
        <f>IFERROR(SUM(Y47:Y47),"0")</f>
        <v>106.2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hidden="1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157.5</v>
      </c>
      <c r="Y63" s="546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58.333333333333329</v>
      </c>
      <c r="Y64" s="547">
        <f>IFERROR(Y61/H61,"0")+IFERROR(Y62/H62,"0")+IFERROR(Y63/H63,"0")</f>
        <v>59</v>
      </c>
      <c r="Z64" s="547">
        <f>IFERROR(IF(Z61="",0,Z61),"0")+IFERROR(IF(Z62="",0,Z62),"0")+IFERROR(IF(Z63="",0,Z63),"0")</f>
        <v>0.38408999999999999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157.5</v>
      </c>
      <c r="Y65" s="547">
        <f>IFERROR(SUM(Y61:Y63),"0")</f>
        <v>159.30000000000001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90</v>
      </c>
      <c r="Y74" s="546">
        <f>IFERROR(IF(X74="",0,CEILING((X74/$H74),1)*$H74),"")</f>
        <v>90</v>
      </c>
      <c r="Z74" s="36">
        <f>IFERROR(IF(Y74=0,"",ROUNDUP(Y74/H74,0)*0.00651),"")</f>
        <v>0.32550000000000001</v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102.29999999999998</v>
      </c>
      <c r="BN74" s="64">
        <f>IFERROR(Y74*I74/H74,"0")</f>
        <v>102.29999999999998</v>
      </c>
      <c r="BO74" s="64">
        <f>IFERROR(1/J74*(X74/H74),"0")</f>
        <v>0.27472527472527475</v>
      </c>
      <c r="BP74" s="64">
        <f>IFERROR(1/J74*(Y74/H74),"0")</f>
        <v>0.27472527472527475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90</v>
      </c>
      <c r="Y76" s="546">
        <f>IFERROR(IF(X76="",0,CEILING((X76/$H76),1)*$H76),"")</f>
        <v>90</v>
      </c>
      <c r="Z76" s="36">
        <f>IFERROR(IF(Y76=0,"",ROUNDUP(Y76/H76,0)*0.00651),"")</f>
        <v>0.32550000000000001</v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98.999999999999986</v>
      </c>
      <c r="BN76" s="64">
        <f>IFERROR(Y76*I76/H76,"0")</f>
        <v>98.999999999999986</v>
      </c>
      <c r="BO76" s="64">
        <f>IFERROR(1/J76*(X76/H76),"0")</f>
        <v>0.27472527472527475</v>
      </c>
      <c r="BP76" s="64">
        <f>IFERROR(1/J76*(Y76/H76),"0")</f>
        <v>0.27472527472527475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100</v>
      </c>
      <c r="Y77" s="547">
        <f>IFERROR(Y73/H73,"0")+IFERROR(Y74/H74,"0")+IFERROR(Y75/H75,"0")+IFERROR(Y76/H76,"0")</f>
        <v>100</v>
      </c>
      <c r="Z77" s="547">
        <f>IFERROR(IF(Z73="",0,Z73),"0")+IFERROR(IF(Z74="",0,Z74),"0")+IFERROR(IF(Z75="",0,Z75),"0")+IFERROR(IF(Z76="",0,Z76),"0")</f>
        <v>0.65100000000000002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180</v>
      </c>
      <c r="Y78" s="547">
        <f>IFERROR(SUM(Y73:Y76),"0")</f>
        <v>180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hidden="1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120</v>
      </c>
      <c r="Y81" s="546">
        <f>IFERROR(IF(X81="",0,CEILING((X81/$H81),1)*$H81),"")</f>
        <v>120</v>
      </c>
      <c r="Z81" s="36">
        <f>IFERROR(IF(Y81=0,"",ROUNDUP(Y81/H81,0)*0.00902),"")</f>
        <v>0.45100000000000001</v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129.5</v>
      </c>
      <c r="BN81" s="64">
        <f>IFERROR(Y81*I81/H81,"0")</f>
        <v>129.5</v>
      </c>
      <c r="BO81" s="64">
        <f>IFERROR(1/J81*(X81/H81),"0")</f>
        <v>0.37878787878787878</v>
      </c>
      <c r="BP81" s="64">
        <f>IFERROR(1/J81*(Y81/H81),"0")</f>
        <v>0.37878787878787878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50</v>
      </c>
      <c r="Y82" s="547">
        <f>IFERROR(Y80/H80,"0")+IFERROR(Y81/H81,"0")</f>
        <v>50</v>
      </c>
      <c r="Z82" s="547">
        <f>IFERROR(IF(Z80="",0,Z80),"0")+IFERROR(IF(Z81="",0,Z81),"0")</f>
        <v>0.45100000000000001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120</v>
      </c>
      <c r="Y83" s="547">
        <f>IFERROR(SUM(Y80:Y81),"0")</f>
        <v>120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hidden="1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hidden="1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hidden="1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hidden="1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hidden="1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hidden="1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hidden="1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0</v>
      </c>
      <c r="Y113" s="54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105</v>
      </c>
      <c r="Y116" s="546">
        <f>IFERROR(IF(X116="",0,CEILING((X116/$H116),1)*$H116),"")</f>
        <v>106.2</v>
      </c>
      <c r="Z116" s="36">
        <f>IFERROR(IF(Y116=0,"",ROUNDUP(Y116/H116,0)*0.00651),"")</f>
        <v>0.38408999999999999</v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115.5</v>
      </c>
      <c r="BN116" s="64">
        <f>IFERROR(Y116*I116/H116,"0")</f>
        <v>116.82000000000001</v>
      </c>
      <c r="BO116" s="64">
        <f>IFERROR(1/J116*(X116/H116),"0")</f>
        <v>0.32051282051282048</v>
      </c>
      <c r="BP116" s="64">
        <f>IFERROR(1/J116*(Y116/H116),"0")</f>
        <v>0.32417582417582419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58.333333333333329</v>
      </c>
      <c r="Y117" s="547">
        <f>IFERROR(Y113/H113,"0")+IFERROR(Y114/H114,"0")+IFERROR(Y115/H115,"0")+IFERROR(Y116/H116,"0")</f>
        <v>59</v>
      </c>
      <c r="Z117" s="547">
        <f>IFERROR(IF(Z113="",0,Z113),"0")+IFERROR(IF(Z114="",0,Z114),"0")+IFERROR(IF(Z115="",0,Z115),"0")+IFERROR(IF(Z116="",0,Z116),"0")</f>
        <v>0.38408999999999999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105</v>
      </c>
      <c r="Y118" s="547">
        <f>IFERROR(SUM(Y113:Y116),"0")</f>
        <v>106.2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125.4</v>
      </c>
      <c r="Y120" s="546">
        <f>IFERROR(IF(X120="",0,CEILING((X120/$H120),1)*$H120),"")</f>
        <v>126.72</v>
      </c>
      <c r="Z120" s="36">
        <f>IFERROR(IF(Y120=0,"",ROUNDUP(Y120/H120,0)*0.00651),"")</f>
        <v>0.41664000000000001</v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141.74</v>
      </c>
      <c r="BN120" s="64">
        <f>IFERROR(Y120*I120/H120,"0")</f>
        <v>143.232</v>
      </c>
      <c r="BO120" s="64">
        <f>IFERROR(1/J120*(X120/H120),"0")</f>
        <v>0.34798534798534803</v>
      </c>
      <c r="BP120" s="64">
        <f>IFERROR(1/J120*(Y120/H120),"0")</f>
        <v>0.35164835164835168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63.333333333333336</v>
      </c>
      <c r="Y121" s="547">
        <f>IFERROR(Y120/H120,"0")</f>
        <v>64</v>
      </c>
      <c r="Z121" s="547">
        <f>IFERROR(IF(Z120="",0,Z120),"0")</f>
        <v>0.41664000000000001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125.4</v>
      </c>
      <c r="Y122" s="547">
        <f>IFERROR(SUM(Y120:Y120),"0")</f>
        <v>126.72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hidden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hidden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hidden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hidden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hidden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hidden="1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160</v>
      </c>
      <c r="Y212" s="546">
        <f t="shared" si="15"/>
        <v>160.79999999999998</v>
      </c>
      <c r="Z212" s="36">
        <f t="shared" si="20"/>
        <v>0.43617</v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176.80000000000004</v>
      </c>
      <c r="BN212" s="64">
        <f t="shared" si="17"/>
        <v>177.684</v>
      </c>
      <c r="BO212" s="64">
        <f t="shared" si="18"/>
        <v>0.36630036630036633</v>
      </c>
      <c r="BP212" s="64">
        <f t="shared" si="19"/>
        <v>0.36813186813186816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140</v>
      </c>
      <c r="Y213" s="546">
        <f t="shared" si="15"/>
        <v>141.6</v>
      </c>
      <c r="Z213" s="36">
        <f t="shared" si="20"/>
        <v>0.38408999999999999</v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154.70000000000002</v>
      </c>
      <c r="BN213" s="64">
        <f t="shared" si="17"/>
        <v>156.46800000000002</v>
      </c>
      <c r="BO213" s="64">
        <f t="shared" si="18"/>
        <v>0.32051282051282054</v>
      </c>
      <c r="BP213" s="64">
        <f t="shared" si="19"/>
        <v>0.32417582417582419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125</v>
      </c>
      <c r="Y216" s="547">
        <f>IFERROR(Y207/H207,"0")+IFERROR(Y208/H208,"0")+IFERROR(Y209/H209,"0")+IFERROR(Y210/H210,"0")+IFERROR(Y211/H211,"0")+IFERROR(Y212/H212,"0")+IFERROR(Y213/H213,"0")+IFERROR(Y214/H214,"0")+IFERROR(Y215/H215,"0")</f>
        <v>126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0.82025999999999999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300</v>
      </c>
      <c r="Y217" s="547">
        <f>IFERROR(SUM(Y207:Y215),"0")</f>
        <v>302.39999999999998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120</v>
      </c>
      <c r="Y228" s="546">
        <f t="shared" si="21"/>
        <v>120</v>
      </c>
      <c r="Z228" s="36">
        <f>IFERROR(IF(Y228=0,"",ROUNDUP(Y228/H228,0)*0.00902),"")</f>
        <v>0.27060000000000001</v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125.70000000000002</v>
      </c>
      <c r="BN228" s="64">
        <f t="shared" si="23"/>
        <v>125.70000000000002</v>
      </c>
      <c r="BO228" s="64">
        <f t="shared" si="24"/>
        <v>0.22727272727272729</v>
      </c>
      <c r="BP228" s="64">
        <f t="shared" si="25"/>
        <v>0.22727272727272729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120</v>
      </c>
      <c r="Y233" s="546">
        <f t="shared" si="21"/>
        <v>120</v>
      </c>
      <c r="Z233" s="36">
        <f>IFERROR(IF(Y233=0,"",ROUNDUP(Y233/H233,0)*0.00902),"")</f>
        <v>0.27060000000000001</v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125.70000000000002</v>
      </c>
      <c r="BN233" s="64">
        <f t="shared" si="23"/>
        <v>125.70000000000002</v>
      </c>
      <c r="BO233" s="64">
        <f t="shared" si="24"/>
        <v>0.22727272727272729</v>
      </c>
      <c r="BP233" s="64">
        <f t="shared" si="25"/>
        <v>0.22727272727272729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60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60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0.54120000000000001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240</v>
      </c>
      <c r="Y236" s="547">
        <f>IFERROR(SUM(Y225:Y234),"0")</f>
        <v>240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120</v>
      </c>
      <c r="Y259" s="546">
        <f>IFERROR(IF(X259="",0,CEILING((X259/$H259),1)*$H259),"")</f>
        <v>120</v>
      </c>
      <c r="Z259" s="36">
        <f>IFERROR(IF(Y259=0,"",ROUNDUP(Y259/H259,0)*0.00902),"")</f>
        <v>0.27060000000000001</v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125.70000000000002</v>
      </c>
      <c r="BN259" s="64">
        <f>IFERROR(Y259*I259/H259,"0")</f>
        <v>125.70000000000002</v>
      </c>
      <c r="BO259" s="64">
        <f>IFERROR(1/J259*(X259/H259),"0")</f>
        <v>0.22727272727272729</v>
      </c>
      <c r="BP259" s="64">
        <f>IFERROR(1/J259*(Y259/H259),"0")</f>
        <v>0.22727272727272729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30</v>
      </c>
      <c r="Y260" s="547">
        <f>IFERROR(Y255/H255,"0")+IFERROR(Y256/H256,"0")+IFERROR(Y257/H257,"0")+IFERROR(Y258/H258,"0")+IFERROR(Y259/H259,"0")</f>
        <v>30</v>
      </c>
      <c r="Z260" s="547">
        <f>IFERROR(IF(Z255="",0,Z255),"0")+IFERROR(IF(Z256="",0,Z256),"0")+IFERROR(IF(Z257="",0,Z257),"0")+IFERROR(IF(Z258="",0,Z258),"0")+IFERROR(IF(Z259="",0,Z259),"0")</f>
        <v>0.27060000000000001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120</v>
      </c>
      <c r="Y261" s="547">
        <f>IFERROR(SUM(Y255:Y259),"0")</f>
        <v>120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120</v>
      </c>
      <c r="Y273" s="546">
        <f>IFERROR(IF(X273="",0,CEILING((X273/$H273),1)*$H273),"")</f>
        <v>120</v>
      </c>
      <c r="Z273" s="36">
        <f>IFERROR(IF(Y273=0,"",ROUNDUP(Y273/H273,0)*0.00651),"")</f>
        <v>0.32550000000000001</v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132.60000000000002</v>
      </c>
      <c r="BN273" s="64">
        <f>IFERROR(Y273*I273/H273,"0")</f>
        <v>132.60000000000002</v>
      </c>
      <c r="BO273" s="64">
        <f>IFERROR(1/J273*(X273/H273),"0")</f>
        <v>0.27472527472527475</v>
      </c>
      <c r="BP273" s="64">
        <f>IFERROR(1/J273*(Y273/H273),"0")</f>
        <v>0.27472527472527475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140</v>
      </c>
      <c r="Y274" s="546">
        <f>IFERROR(IF(X274="",0,CEILING((X274/$H274),1)*$H274),"")</f>
        <v>141.6</v>
      </c>
      <c r="Z274" s="36">
        <f>IFERROR(IF(Y274=0,"",ROUNDUP(Y274/H274,0)*0.00651),"")</f>
        <v>0.38408999999999999</v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150.5</v>
      </c>
      <c r="BN274" s="64">
        <f>IFERROR(Y274*I274/H274,"0")</f>
        <v>152.22</v>
      </c>
      <c r="BO274" s="64">
        <f>IFERROR(1/J274*(X274/H274),"0")</f>
        <v>0.32051282051282054</v>
      </c>
      <c r="BP274" s="64">
        <f>IFERROR(1/J274*(Y274/H274),"0")</f>
        <v>0.32417582417582419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108.33333333333334</v>
      </c>
      <c r="Y275" s="547">
        <f>IFERROR(Y272/H272,"0")+IFERROR(Y273/H273,"0")+IFERROR(Y274/H274,"0")</f>
        <v>109</v>
      </c>
      <c r="Z275" s="547">
        <f>IFERROR(IF(Z272="",0,Z272),"0")+IFERROR(IF(Z273="",0,Z273),"0")+IFERROR(IF(Z274="",0,Z274),"0")</f>
        <v>0.70958999999999994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260</v>
      </c>
      <c r="Y276" s="547">
        <f>IFERROR(SUM(Y272:Y274),"0")</f>
        <v>261.60000000000002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210</v>
      </c>
      <c r="Y284" s="546">
        <f>IFERROR(IF(X284="",0,CEILING((X284/$H284),1)*$H284),"")</f>
        <v>212.4</v>
      </c>
      <c r="Z284" s="36">
        <f>IFERROR(IF(Y284=0,"",ROUNDUP(Y284/H284,0)*0.00902),"")</f>
        <v>0.53217999999999999</v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221.08333333333331</v>
      </c>
      <c r="BN284" s="64">
        <f>IFERROR(Y284*I284/H284,"0")</f>
        <v>223.60999999999999</v>
      </c>
      <c r="BO284" s="64">
        <f>IFERROR(1/J284*(X284/H284),"0")</f>
        <v>0.44191919191919188</v>
      </c>
      <c r="BP284" s="64">
        <f>IFERROR(1/J284*(Y284/H284),"0")</f>
        <v>0.44696969696969696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58.333333333333329</v>
      </c>
      <c r="Y286" s="547">
        <f>IFERROR(Y284/H284,"0")+IFERROR(Y285/H285,"0")</f>
        <v>59</v>
      </c>
      <c r="Z286" s="547">
        <f>IFERROR(IF(Z284="",0,Z284),"0")+IFERROR(IF(Z285="",0,Z285),"0")</f>
        <v>0.53217999999999999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210</v>
      </c>
      <c r="Y287" s="547">
        <f>IFERROR(SUM(Y284:Y285),"0")</f>
        <v>212.4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120</v>
      </c>
      <c r="Y295" s="546">
        <f t="shared" si="26"/>
        <v>120</v>
      </c>
      <c r="Z295" s="36">
        <f>IFERROR(IF(Y295=0,"",ROUNDUP(Y295/H295,0)*0.00902),"")</f>
        <v>0.27060000000000001</v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125.70000000000002</v>
      </c>
      <c r="BN295" s="64">
        <f t="shared" si="28"/>
        <v>125.70000000000002</v>
      </c>
      <c r="BO295" s="64">
        <f t="shared" si="29"/>
        <v>0.22727272727272729</v>
      </c>
      <c r="BP295" s="64">
        <f t="shared" si="30"/>
        <v>0.22727272727272729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30</v>
      </c>
      <c r="Y296" s="547">
        <f>IFERROR(Y290/H290,"0")+IFERROR(Y291/H291,"0")+IFERROR(Y292/H292,"0")+IFERROR(Y293/H293,"0")+IFERROR(Y294/H294,"0")+IFERROR(Y295/H295,"0")</f>
        <v>30</v>
      </c>
      <c r="Z296" s="547">
        <f>IFERROR(IF(Z290="",0,Z290),"0")+IFERROR(IF(Z291="",0,Z291),"0")+IFERROR(IF(Z292="",0,Z292),"0")+IFERROR(IF(Z293="",0,Z293),"0")+IFERROR(IF(Z294="",0,Z294),"0")+IFERROR(IF(Z295="",0,Z295),"0")</f>
        <v>0.27060000000000001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120</v>
      </c>
      <c r="Y297" s="547">
        <f>IFERROR(SUM(Y290:Y295),"0")</f>
        <v>120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hidden="1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105</v>
      </c>
      <c r="Y303" s="546">
        <f t="shared" si="31"/>
        <v>105</v>
      </c>
      <c r="Z303" s="36">
        <f>IFERROR(IF(Y303=0,"",ROUNDUP(Y303/H303,0)*0.00502),"")</f>
        <v>0.251</v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110.00000000000001</v>
      </c>
      <c r="BN303" s="64">
        <f t="shared" si="33"/>
        <v>110.00000000000001</v>
      </c>
      <c r="BO303" s="64">
        <f t="shared" si="34"/>
        <v>0.21367521367521369</v>
      </c>
      <c r="BP303" s="64">
        <f t="shared" si="35"/>
        <v>0.21367521367521369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90</v>
      </c>
      <c r="Y304" s="546">
        <f t="shared" si="31"/>
        <v>90</v>
      </c>
      <c r="Z304" s="36">
        <f>IFERROR(IF(Y304=0,"",ROUNDUP(Y304/H304,0)*0.00651),"")</f>
        <v>0.32550000000000001</v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101.4</v>
      </c>
      <c r="BN304" s="64">
        <f t="shared" si="33"/>
        <v>101.4</v>
      </c>
      <c r="BO304" s="64">
        <f t="shared" si="34"/>
        <v>0.27472527472527475</v>
      </c>
      <c r="BP304" s="64">
        <f t="shared" si="35"/>
        <v>0.27472527472527475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100</v>
      </c>
      <c r="Y305" s="547">
        <f>IFERROR(Y299/H299,"0")+IFERROR(Y300/H300,"0")+IFERROR(Y301/H301,"0")+IFERROR(Y302/H302,"0")+IFERROR(Y303/H303,"0")+IFERROR(Y304/H304,"0")</f>
        <v>100</v>
      </c>
      <c r="Z305" s="547">
        <f>IFERROR(IF(Z299="",0,Z299),"0")+IFERROR(IF(Z300="",0,Z300),"0")+IFERROR(IF(Z301="",0,Z301),"0")+IFERROR(IF(Z302="",0,Z302),"0")+IFERROR(IF(Z303="",0,Z303),"0")+IFERROR(IF(Z304="",0,Z304),"0")</f>
        <v>0.57650000000000001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195</v>
      </c>
      <c r="Y306" s="547">
        <f>IFERROR(SUM(Y299:Y304),"0")</f>
        <v>195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hidden="1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0</v>
      </c>
      <c r="Y308" s="546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0</v>
      </c>
      <c r="Y312" s="547">
        <f>IFERROR(Y308/H308,"0")+IFERROR(Y309/H309,"0")+IFERROR(Y310/H310,"0")+IFERROR(Y311/H311,"0")</f>
        <v>0</v>
      </c>
      <c r="Z312" s="547">
        <f>IFERROR(IF(Z308="",0,Z308),"0")+IFERROR(IF(Z309="",0,Z309),"0")+IFERROR(IF(Z310="",0,Z310),"0")+IFERROR(IF(Z311="",0,Z311),"0")</f>
        <v>0</v>
      </c>
      <c r="AA312" s="548"/>
      <c r="AB312" s="548"/>
      <c r="AC312" s="548"/>
    </row>
    <row r="313" spans="1:68" hidden="1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0</v>
      </c>
      <c r="Y313" s="547">
        <f>IFERROR(SUM(Y308:Y311),"0")</f>
        <v>0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hidden="1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hidden="1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30</v>
      </c>
      <c r="Y330" s="546">
        <f>IFERROR(IF(X330="",0,CEILING((X330/$H330),1)*$H330),"")</f>
        <v>30</v>
      </c>
      <c r="Z330" s="36">
        <f>IFERROR(IF(Y330=0,"",ROUNDUP(Y330/H330,0)*0.00474),"")</f>
        <v>7.110000000000001E-2</v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33.6</v>
      </c>
      <c r="BN330" s="64">
        <f>IFERROR(Y330*I330/H330,"0")</f>
        <v>33.6</v>
      </c>
      <c r="BO330" s="64">
        <f>IFERROR(1/J330*(X330/H330),"0")</f>
        <v>6.3025210084033612E-2</v>
      </c>
      <c r="BP330" s="64">
        <f>IFERROR(1/J330*(Y330/H330),"0")</f>
        <v>6.3025210084033612E-2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15</v>
      </c>
      <c r="Y331" s="547">
        <f>IFERROR(Y328/H328,"0")+IFERROR(Y329/H329,"0")+IFERROR(Y330/H330,"0")</f>
        <v>15</v>
      </c>
      <c r="Z331" s="547">
        <f>IFERROR(IF(Z328="",0,Z328),"0")+IFERROR(IF(Z329="",0,Z329),"0")+IFERROR(IF(Z330="",0,Z330),"0")</f>
        <v>7.110000000000001E-2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30</v>
      </c>
      <c r="Y332" s="547">
        <f>IFERROR(SUM(Y328:Y330),"0")</f>
        <v>30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hidden="1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105</v>
      </c>
      <c r="Y336" s="546">
        <f>IFERROR(IF(X336="",0,CEILING((X336/$H336),1)*$H336),"")</f>
        <v>105</v>
      </c>
      <c r="Z336" s="36">
        <f>IFERROR(IF(Y336=0,"",ROUNDUP(Y336/H336,0)*0.00651),"")</f>
        <v>0.32550000000000001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117.59999999999998</v>
      </c>
      <c r="BN336" s="64">
        <f>IFERROR(Y336*I336/H336,"0")</f>
        <v>117.59999999999998</v>
      </c>
      <c r="BO336" s="64">
        <f>IFERROR(1/J336*(X336/H336),"0")</f>
        <v>0.27472527472527475</v>
      </c>
      <c r="BP336" s="64">
        <f>IFERROR(1/J336*(Y336/H336),"0")</f>
        <v>0.27472527472527475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122.5</v>
      </c>
      <c r="Y337" s="546">
        <f>IFERROR(IF(X337="",0,CEILING((X337/$H337),1)*$H337),"")</f>
        <v>123.9</v>
      </c>
      <c r="Z337" s="36">
        <f>IFERROR(IF(Y337=0,"",ROUNDUP(Y337/H337,0)*0.00651),"")</f>
        <v>0.38408999999999999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136.49999999999997</v>
      </c>
      <c r="BN337" s="64">
        <f>IFERROR(Y337*I337/H337,"0")</f>
        <v>138.06</v>
      </c>
      <c r="BO337" s="64">
        <f>IFERROR(1/J337*(X337/H337),"0")</f>
        <v>0.32051282051282048</v>
      </c>
      <c r="BP337" s="64">
        <f>IFERROR(1/J337*(Y337/H337),"0")</f>
        <v>0.32417582417582419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108.33333333333333</v>
      </c>
      <c r="Y338" s="547">
        <f>IFERROR(Y335/H335,"0")+IFERROR(Y336/H336,"0")+IFERROR(Y337/H337,"0")</f>
        <v>109</v>
      </c>
      <c r="Z338" s="547">
        <f>IFERROR(IF(Z335="",0,Z335),"0")+IFERROR(IF(Z336="",0,Z336),"0")+IFERROR(IF(Z337="",0,Z337),"0")</f>
        <v>0.70958999999999994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227.5</v>
      </c>
      <c r="Y339" s="547">
        <f>IFERROR(SUM(Y335:Y337),"0")</f>
        <v>228.9</v>
      </c>
      <c r="Z339" s="37"/>
      <c r="AA339" s="548"/>
      <c r="AB339" s="548"/>
      <c r="AC339" s="548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hidden="1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0</v>
      </c>
      <c r="Y343" s="546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hidden="1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0</v>
      </c>
      <c r="Y346" s="546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175</v>
      </c>
      <c r="Y349" s="546">
        <f t="shared" si="36"/>
        <v>175</v>
      </c>
      <c r="Z349" s="36">
        <f>IFERROR(IF(Y349=0,"",ROUNDUP(Y349/H349,0)*0.00902),"")</f>
        <v>0.31569999999999998</v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181.65000000000003</v>
      </c>
      <c r="BN349" s="64">
        <f t="shared" si="38"/>
        <v>181.65000000000003</v>
      </c>
      <c r="BO349" s="64">
        <f t="shared" si="39"/>
        <v>0.26515151515151514</v>
      </c>
      <c r="BP349" s="64">
        <f t="shared" si="40"/>
        <v>0.26515151515151514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35</v>
      </c>
      <c r="Y350" s="547">
        <f>IFERROR(Y343/H343,"0")+IFERROR(Y344/H344,"0")+IFERROR(Y345/H345,"0")+IFERROR(Y346/H346,"0")+IFERROR(Y347/H347,"0")+IFERROR(Y348/H348,"0")+IFERROR(Y349/H349,"0")</f>
        <v>35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0.31569999999999998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175</v>
      </c>
      <c r="Y351" s="547">
        <f>IFERROR(SUM(Y343:Y349),"0")</f>
        <v>175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hidden="1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0</v>
      </c>
      <c r="Y353" s="546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120</v>
      </c>
      <c r="Y354" s="546">
        <f>IFERROR(IF(X354="",0,CEILING((X354/$H354),1)*$H354),"")</f>
        <v>120</v>
      </c>
      <c r="Z354" s="36">
        <f>IFERROR(IF(Y354=0,"",ROUNDUP(Y354/H354,0)*0.00902),"")</f>
        <v>0.27060000000000001</v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125.70000000000002</v>
      </c>
      <c r="BN354" s="64">
        <f>IFERROR(Y354*I354/H354,"0")</f>
        <v>125.70000000000002</v>
      </c>
      <c r="BO354" s="64">
        <f>IFERROR(1/J354*(X354/H354),"0")</f>
        <v>0.22727272727272729</v>
      </c>
      <c r="BP354" s="64">
        <f>IFERROR(1/J354*(Y354/H354),"0")</f>
        <v>0.22727272727272729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30</v>
      </c>
      <c r="Y355" s="547">
        <f>IFERROR(Y353/H353,"0")+IFERROR(Y354/H354,"0")</f>
        <v>30</v>
      </c>
      <c r="Z355" s="547">
        <f>IFERROR(IF(Z353="",0,Z353),"0")+IFERROR(IF(Z354="",0,Z354),"0")</f>
        <v>0.27060000000000001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120</v>
      </c>
      <c r="Y356" s="547">
        <f>IFERROR(SUM(Y353:Y354),"0")</f>
        <v>120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hidden="1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105</v>
      </c>
      <c r="Y390" s="546">
        <f t="shared" si="41"/>
        <v>105</v>
      </c>
      <c r="Z390" s="36">
        <f t="shared" si="46"/>
        <v>0.251</v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111.5</v>
      </c>
      <c r="BN390" s="64">
        <f t="shared" si="43"/>
        <v>111.5</v>
      </c>
      <c r="BO390" s="64">
        <f t="shared" si="44"/>
        <v>0.21367521367521369</v>
      </c>
      <c r="BP390" s="64">
        <f t="shared" si="45"/>
        <v>0.21367521367521369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105</v>
      </c>
      <c r="Y391" s="546">
        <f t="shared" si="41"/>
        <v>105</v>
      </c>
      <c r="Z391" s="36">
        <f t="shared" si="46"/>
        <v>0.251</v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111.5</v>
      </c>
      <c r="BN391" s="64">
        <f t="shared" si="43"/>
        <v>111.5</v>
      </c>
      <c r="BO391" s="64">
        <f t="shared" si="44"/>
        <v>0.21367521367521369</v>
      </c>
      <c r="BP391" s="64">
        <f t="shared" si="45"/>
        <v>0.21367521367521369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122.5</v>
      </c>
      <c r="Y393" s="546">
        <f t="shared" si="41"/>
        <v>123.9</v>
      </c>
      <c r="Z393" s="36">
        <f t="shared" si="46"/>
        <v>0.29618</v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130.08333333333334</v>
      </c>
      <c r="BN393" s="64">
        <f t="shared" si="43"/>
        <v>131.57</v>
      </c>
      <c r="BO393" s="64">
        <f t="shared" si="44"/>
        <v>0.2492877492877493</v>
      </c>
      <c r="BP393" s="64">
        <f t="shared" si="45"/>
        <v>0.25213675213675218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140</v>
      </c>
      <c r="Y394" s="546">
        <f t="shared" si="41"/>
        <v>140.70000000000002</v>
      </c>
      <c r="Z394" s="36">
        <f t="shared" si="46"/>
        <v>0.33634000000000003</v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148.66666666666666</v>
      </c>
      <c r="BN394" s="64">
        <f t="shared" si="43"/>
        <v>149.41</v>
      </c>
      <c r="BO394" s="64">
        <f t="shared" si="44"/>
        <v>0.28490028490028491</v>
      </c>
      <c r="BP394" s="64">
        <f t="shared" si="45"/>
        <v>0.28632478632478636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224.99999999999997</v>
      </c>
      <c r="Y395" s="547">
        <f>IFERROR(Y386/H386,"0")+IFERROR(Y387/H387,"0")+IFERROR(Y388/H388,"0")+IFERROR(Y389/H389,"0")+IFERROR(Y390/H390,"0")+IFERROR(Y391/H391,"0")+IFERROR(Y392/H392,"0")+IFERROR(Y393/H393,"0")+IFERROR(Y394/H394,"0")</f>
        <v>226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1.13452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472.5</v>
      </c>
      <c r="Y396" s="547">
        <f>IFERROR(SUM(Y386:Y394),"0")</f>
        <v>474.6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240</v>
      </c>
      <c r="Y398" s="546">
        <f>IFERROR(IF(X398="",0,CEILING((X398/$H398),1)*$H398),"")</f>
        <v>240</v>
      </c>
      <c r="Z398" s="36">
        <f>IFERROR(IF(Y398=0,"",ROUNDUP(Y398/H398,0)*0.00902),"")</f>
        <v>0.90200000000000002</v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262.60000000000002</v>
      </c>
      <c r="BN398" s="64">
        <f>IFERROR(Y398*I398/H398,"0")</f>
        <v>262.60000000000002</v>
      </c>
      <c r="BO398" s="64">
        <f>IFERROR(1/J398*(X398/H398),"0")</f>
        <v>0.75757575757575757</v>
      </c>
      <c r="BP398" s="64">
        <f>IFERROR(1/J398*(Y398/H398),"0")</f>
        <v>0.75757575757575757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132</v>
      </c>
      <c r="Y399" s="546">
        <f>IFERROR(IF(X399="",0,CEILING((X399/$H399),1)*$H399),"")</f>
        <v>132.66</v>
      </c>
      <c r="Z399" s="36">
        <f>IFERROR(IF(Y399=0,"",ROUNDUP(Y399/H399,0)*0.00651),"")</f>
        <v>0.43617</v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149.19999999999999</v>
      </c>
      <c r="BN399" s="64">
        <f>IFERROR(Y399*I399/H399,"0")</f>
        <v>149.946</v>
      </c>
      <c r="BO399" s="64">
        <f>IFERROR(1/J399*(X399/H399),"0")</f>
        <v>0.36630036630036633</v>
      </c>
      <c r="BP399" s="64">
        <f>IFERROR(1/J399*(Y399/H399),"0")</f>
        <v>0.36813186813186816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166.66666666666669</v>
      </c>
      <c r="Y400" s="547">
        <f>IFERROR(Y398/H398,"0")+IFERROR(Y399/H399,"0")</f>
        <v>167</v>
      </c>
      <c r="Z400" s="547">
        <f>IFERROR(IF(Z398="",0,Z398),"0")+IFERROR(IF(Z399="",0,Z399),"0")</f>
        <v>1.3381700000000001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372</v>
      </c>
      <c r="Y401" s="547">
        <f>IFERROR(SUM(Y398:Y399),"0")</f>
        <v>372.65999999999997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hidden="1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2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210</v>
      </c>
      <c r="Y433" s="546">
        <f t="shared" si="47"/>
        <v>211.2</v>
      </c>
      <c r="Z433" s="36">
        <f>IFERROR(IF(Y433=0,"",ROUNDUP(Y433/H433,0)*0.00902),"")</f>
        <v>0.39688000000000001</v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302.31250000000006</v>
      </c>
      <c r="BN433" s="64">
        <f t="shared" si="50"/>
        <v>304.04000000000002</v>
      </c>
      <c r="BO433" s="64">
        <f t="shared" si="51"/>
        <v>0.33143939393939392</v>
      </c>
      <c r="BP433" s="64">
        <f t="shared" si="52"/>
        <v>0.33333333333333337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43.75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44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0.39688000000000001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210</v>
      </c>
      <c r="Y435" s="547">
        <f>IFERROR(SUM(Y422:Y433),"0")</f>
        <v>211.2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hidden="1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0</v>
      </c>
      <c r="Y437" s="546">
        <f>IFERROR(IF(X437="",0,CEILING((X437/$H437),1)*$H437),"")</f>
        <v>0</v>
      </c>
      <c r="Z437" s="36" t="str">
        <f>IFERROR(IF(Y437=0,"",ROUNDUP(Y437/H437,0)*0.01196),"")</f>
        <v/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0</v>
      </c>
      <c r="Y440" s="547">
        <f>IFERROR(Y437/H437,"0")+IFERROR(Y438/H438,"0")+IFERROR(Y439/H439,"0")</f>
        <v>0</v>
      </c>
      <c r="Z440" s="547">
        <f>IFERROR(IF(Z437="",0,Z437),"0")+IFERROR(IF(Z438="",0,Z438),"0")+IFERROR(IF(Z439="",0,Z439),"0")</f>
        <v>0</v>
      </c>
      <c r="AA440" s="548"/>
      <c r="AB440" s="548"/>
      <c r="AC440" s="548"/>
    </row>
    <row r="441" spans="1:68" hidden="1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0</v>
      </c>
      <c r="Y441" s="547">
        <f>IFERROR(SUM(Y437:Y439),"0")</f>
        <v>0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hidden="1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idden="1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hidden="1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hidden="1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hidden="1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hidden="1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4074.9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4092.18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37" t="s">
        <v>70</v>
      </c>
      <c r="X492" s="547">
        <f>IFERROR(SUM(BM22:BM488),"0")</f>
        <v>4537.9858333333332</v>
      </c>
      <c r="Y492" s="547">
        <f>IFERROR(SUM(BN22:BN488),"0")</f>
        <v>4557.2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37" t="s">
        <v>745</v>
      </c>
      <c r="X493" s="38">
        <f>ROUNDUP(SUM(BO22:BO488),0)</f>
        <v>10</v>
      </c>
      <c r="Y493" s="38">
        <f>ROUNDUP(SUM(BP22:BP488),0)</f>
        <v>10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37" t="s">
        <v>70</v>
      </c>
      <c r="X494" s="547">
        <f>GrossWeightTotal+PalletQtyTotal*25</f>
        <v>4787.9858333333332</v>
      </c>
      <c r="Y494" s="547">
        <f>GrossWeightTotalR+PalletQtyTotalR*25</f>
        <v>4807.2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1608.75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1616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11.269600000000001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43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90</v>
      </c>
      <c r="C501" s="46">
        <f>IFERROR(Y41*1,"0")+IFERROR(Y42*1,"0")+IFERROR(Y43*1,"0")+IFERROR(Y47*1,"0")</f>
        <v>246.2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459.3</v>
      </c>
      <c r="E501" s="46">
        <f>IFERROR(Y86*1,"0")+IFERROR(Y87*1,"0")+IFERROR(Y88*1,"0")+IFERROR(Y92*1,"0")+IFERROR(Y93*1,"0")+IFERROR(Y94*1,"0")+IFERROR(Y95*1,"0")</f>
        <v>0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232.92000000000002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302.39999999999998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240</v>
      </c>
      <c r="L501" s="46">
        <f>IFERROR(Y255*1,"0")+IFERROR(Y256*1,"0")+IFERROR(Y257*1,"0")+IFERROR(Y258*1,"0")+IFERROR(Y259*1,"0")</f>
        <v>120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261.60000000000002</v>
      </c>
      <c r="P501" s="46">
        <f>IFERROR(Y279*1,"0")+IFERROR(Y280*1,"0")+IFERROR(Y284*1,"0")+IFERROR(Y285*1,"0")</f>
        <v>212.4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345</v>
      </c>
      <c r="R501" s="46">
        <f>IFERROR(Y335*1,"0")+IFERROR(Y336*1,"0")+IFERROR(Y337*1,"0")</f>
        <v>228.9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295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847.26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211.2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8,75"/>
        <filter val="10"/>
        <filter val="100,00"/>
        <filter val="105,00"/>
        <filter val="108,33"/>
        <filter val="120,00"/>
        <filter val="122,50"/>
        <filter val="125,00"/>
        <filter val="125,40"/>
        <filter val="132,00"/>
        <filter val="140,00"/>
        <filter val="15,00"/>
        <filter val="157,50"/>
        <filter val="160,00"/>
        <filter val="166,67"/>
        <filter val="175,00"/>
        <filter val="180,00"/>
        <filter val="195,00"/>
        <filter val="210,00"/>
        <filter val="225,00"/>
        <filter val="227,50"/>
        <filter val="240,00"/>
        <filter val="260,00"/>
        <filter val="30,00"/>
        <filter val="300,00"/>
        <filter val="35,00"/>
        <filter val="372,00"/>
        <filter val="4 074,90"/>
        <filter val="4 537,99"/>
        <filter val="4 787,99"/>
        <filter val="43,75"/>
        <filter val="472,50"/>
        <filter val="50,00"/>
        <filter val="58,33"/>
        <filter val="60,00"/>
        <filter val="63,33"/>
        <filter val="90,00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2025-12-05T10:50:18Z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