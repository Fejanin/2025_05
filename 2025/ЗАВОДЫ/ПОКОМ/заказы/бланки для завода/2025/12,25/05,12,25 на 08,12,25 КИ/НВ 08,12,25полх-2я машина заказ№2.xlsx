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948A20-1127-4A12-A870-0B7D456A4C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Z424" i="1" s="1"/>
  <c r="P424" i="1"/>
  <c r="BO423" i="1"/>
  <c r="BM423" i="1"/>
  <c r="Y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Z292" i="1" s="1"/>
  <c r="P292" i="1"/>
  <c r="BO291" i="1"/>
  <c r="BM291" i="1"/>
  <c r="Y291" i="1"/>
  <c r="P291" i="1"/>
  <c r="BO290" i="1"/>
  <c r="BM290" i="1"/>
  <c r="Y290" i="1"/>
  <c r="BP290" i="1" s="1"/>
  <c r="P290" i="1"/>
  <c r="X287" i="1"/>
  <c r="X286" i="1"/>
  <c r="BO285" i="1"/>
  <c r="BM285" i="1"/>
  <c r="Y285" i="1"/>
  <c r="BP285" i="1" s="1"/>
  <c r="P285" i="1"/>
  <c r="BO284" i="1"/>
  <c r="BM284" i="1"/>
  <c r="Y284" i="1"/>
  <c r="Y286" i="1" s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Y173" i="1" s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H500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A9" i="1"/>
  <c r="F10" i="1" s="1"/>
  <c r="D7" i="1"/>
  <c r="Q6" i="1"/>
  <c r="P2" i="1"/>
  <c r="BP87" i="1" l="1"/>
  <c r="BN87" i="1"/>
  <c r="Z87" i="1"/>
  <c r="Y122" i="1"/>
  <c r="Y121" i="1"/>
  <c r="BP120" i="1"/>
  <c r="BN120" i="1"/>
  <c r="Z120" i="1"/>
  <c r="Z121" i="1" s="1"/>
  <c r="BP125" i="1"/>
  <c r="BN125" i="1"/>
  <c r="Z125" i="1"/>
  <c r="BP166" i="1"/>
  <c r="BN166" i="1"/>
  <c r="Z166" i="1"/>
  <c r="BP202" i="1"/>
  <c r="BN202" i="1"/>
  <c r="Z202" i="1"/>
  <c r="BP231" i="1"/>
  <c r="BN231" i="1"/>
  <c r="Z231" i="1"/>
  <c r="BP272" i="1"/>
  <c r="BN272" i="1"/>
  <c r="Z272" i="1"/>
  <c r="BP300" i="1"/>
  <c r="BN300" i="1"/>
  <c r="Z300" i="1"/>
  <c r="BP328" i="1"/>
  <c r="BN328" i="1"/>
  <c r="Z328" i="1"/>
  <c r="BP373" i="1"/>
  <c r="BN373" i="1"/>
  <c r="Z373" i="1"/>
  <c r="BP393" i="1"/>
  <c r="BN393" i="1"/>
  <c r="Z393" i="1"/>
  <c r="BP447" i="1"/>
  <c r="BN447" i="1"/>
  <c r="Z447" i="1"/>
  <c r="X491" i="1"/>
  <c r="Z23" i="1"/>
  <c r="BN23" i="1"/>
  <c r="X490" i="1"/>
  <c r="Y32" i="1"/>
  <c r="Z35" i="1"/>
  <c r="Z36" i="1" s="1"/>
  <c r="BN35" i="1"/>
  <c r="BP35" i="1"/>
  <c r="Y36" i="1"/>
  <c r="Z41" i="1"/>
  <c r="BN41" i="1"/>
  <c r="Y44" i="1"/>
  <c r="BP52" i="1"/>
  <c r="BN52" i="1"/>
  <c r="BP68" i="1"/>
  <c r="BN68" i="1"/>
  <c r="Z68" i="1"/>
  <c r="BP102" i="1"/>
  <c r="BN102" i="1"/>
  <c r="Z102" i="1"/>
  <c r="BP146" i="1"/>
  <c r="BN146" i="1"/>
  <c r="Z146" i="1"/>
  <c r="BP187" i="1"/>
  <c r="BN187" i="1"/>
  <c r="Z187" i="1"/>
  <c r="BP214" i="1"/>
  <c r="BN214" i="1"/>
  <c r="Z214" i="1"/>
  <c r="BP256" i="1"/>
  <c r="BN256" i="1"/>
  <c r="Z256" i="1"/>
  <c r="BP314" i="1"/>
  <c r="BN314" i="1"/>
  <c r="Z314" i="1"/>
  <c r="BP346" i="1"/>
  <c r="BN346" i="1"/>
  <c r="Z346" i="1"/>
  <c r="BP385" i="1"/>
  <c r="BN385" i="1"/>
  <c r="Z385" i="1"/>
  <c r="W500" i="1"/>
  <c r="Y416" i="1"/>
  <c r="BP415" i="1"/>
  <c r="BN415" i="1"/>
  <c r="Z415" i="1"/>
  <c r="Z416" i="1" s="1"/>
  <c r="BP421" i="1"/>
  <c r="BN421" i="1"/>
  <c r="Z421" i="1"/>
  <c r="BP431" i="1"/>
  <c r="BN431" i="1"/>
  <c r="Z431" i="1"/>
  <c r="BP467" i="1"/>
  <c r="BN467" i="1"/>
  <c r="Z467" i="1"/>
  <c r="Y128" i="1"/>
  <c r="Y149" i="1"/>
  <c r="Y275" i="1"/>
  <c r="Y317" i="1"/>
  <c r="X493" i="1"/>
  <c r="BP302" i="1"/>
  <c r="BN302" i="1"/>
  <c r="Z302" i="1"/>
  <c r="BP316" i="1"/>
  <c r="BN316" i="1"/>
  <c r="Z316" i="1"/>
  <c r="BP335" i="1"/>
  <c r="BN335" i="1"/>
  <c r="Z335" i="1"/>
  <c r="BP348" i="1"/>
  <c r="BN348" i="1"/>
  <c r="Z348" i="1"/>
  <c r="Y381" i="1"/>
  <c r="BP377" i="1"/>
  <c r="BN377" i="1"/>
  <c r="Z377" i="1"/>
  <c r="BP391" i="1"/>
  <c r="BN391" i="1"/>
  <c r="Z391" i="1"/>
  <c r="BP410" i="1"/>
  <c r="BN410" i="1"/>
  <c r="Z410" i="1"/>
  <c r="BP429" i="1"/>
  <c r="BN429" i="1"/>
  <c r="Z429" i="1"/>
  <c r="BP445" i="1"/>
  <c r="BN445" i="1"/>
  <c r="Z445" i="1"/>
  <c r="BP461" i="1"/>
  <c r="BN461" i="1"/>
  <c r="Z461" i="1"/>
  <c r="B500" i="1"/>
  <c r="X492" i="1"/>
  <c r="X494" i="1"/>
  <c r="Z27" i="1"/>
  <c r="BN27" i="1"/>
  <c r="BP27" i="1"/>
  <c r="Z31" i="1"/>
  <c r="BN31" i="1"/>
  <c r="Z43" i="1"/>
  <c r="BN43" i="1"/>
  <c r="Z54" i="1"/>
  <c r="BN54" i="1"/>
  <c r="Z62" i="1"/>
  <c r="BN62" i="1"/>
  <c r="Y71" i="1"/>
  <c r="Z74" i="1"/>
  <c r="BN74" i="1"/>
  <c r="Z80" i="1"/>
  <c r="BN80" i="1"/>
  <c r="BP80" i="1"/>
  <c r="Z93" i="1"/>
  <c r="BN93" i="1"/>
  <c r="Z100" i="1"/>
  <c r="BN100" i="1"/>
  <c r="Y105" i="1"/>
  <c r="Z108" i="1"/>
  <c r="BN108" i="1"/>
  <c r="Y117" i="1"/>
  <c r="Z116" i="1"/>
  <c r="BN116" i="1"/>
  <c r="Z131" i="1"/>
  <c r="BN131" i="1"/>
  <c r="Y137" i="1"/>
  <c r="Z142" i="1"/>
  <c r="BN142" i="1"/>
  <c r="Y150" i="1"/>
  <c r="Z148" i="1"/>
  <c r="BN148" i="1"/>
  <c r="Y172" i="1"/>
  <c r="Z164" i="1"/>
  <c r="BN164" i="1"/>
  <c r="Z168" i="1"/>
  <c r="BN168" i="1"/>
  <c r="Z176" i="1"/>
  <c r="BN176" i="1"/>
  <c r="J500" i="1"/>
  <c r="Z192" i="1"/>
  <c r="BN192" i="1"/>
  <c r="Z196" i="1"/>
  <c r="BN196" i="1"/>
  <c r="Y205" i="1"/>
  <c r="Z200" i="1"/>
  <c r="BN200" i="1"/>
  <c r="Z208" i="1"/>
  <c r="BN208" i="1"/>
  <c r="Z212" i="1"/>
  <c r="BN212" i="1"/>
  <c r="Z220" i="1"/>
  <c r="BN220" i="1"/>
  <c r="Z225" i="1"/>
  <c r="BN225" i="1"/>
  <c r="Z229" i="1"/>
  <c r="BN229" i="1"/>
  <c r="Z233" i="1"/>
  <c r="BN233" i="1"/>
  <c r="Z249" i="1"/>
  <c r="BN249" i="1"/>
  <c r="Z258" i="1"/>
  <c r="BN258" i="1"/>
  <c r="Z267" i="1"/>
  <c r="BN267" i="1"/>
  <c r="Z274" i="1"/>
  <c r="BN274" i="1"/>
  <c r="Z285" i="1"/>
  <c r="BN285" i="1"/>
  <c r="Z290" i="1"/>
  <c r="BN290" i="1"/>
  <c r="BP292" i="1"/>
  <c r="BN292" i="1"/>
  <c r="BP298" i="1"/>
  <c r="BN298" i="1"/>
  <c r="Z298" i="1"/>
  <c r="BP310" i="1"/>
  <c r="BN310" i="1"/>
  <c r="Z310" i="1"/>
  <c r="BP322" i="1"/>
  <c r="BN322" i="1"/>
  <c r="Z322" i="1"/>
  <c r="BP344" i="1"/>
  <c r="BN344" i="1"/>
  <c r="Z344" i="1"/>
  <c r="BP358" i="1"/>
  <c r="BN358" i="1"/>
  <c r="Z358" i="1"/>
  <c r="Y364" i="1"/>
  <c r="Y363" i="1"/>
  <c r="BP362" i="1"/>
  <c r="BN362" i="1"/>
  <c r="Z362" i="1"/>
  <c r="Z363" i="1" s="1"/>
  <c r="BP367" i="1"/>
  <c r="BN367" i="1"/>
  <c r="Z367" i="1"/>
  <c r="Y380" i="1"/>
  <c r="BP387" i="1"/>
  <c r="BN387" i="1"/>
  <c r="Z387" i="1"/>
  <c r="BP397" i="1"/>
  <c r="BN397" i="1"/>
  <c r="Z397" i="1"/>
  <c r="BP425" i="1"/>
  <c r="BN425" i="1"/>
  <c r="Z425" i="1"/>
  <c r="BP437" i="1"/>
  <c r="BN437" i="1"/>
  <c r="Z437" i="1"/>
  <c r="Y455" i="1"/>
  <c r="BP451" i="1"/>
  <c r="BN451" i="1"/>
  <c r="Z451" i="1"/>
  <c r="Z454" i="1" s="1"/>
  <c r="BP473" i="1"/>
  <c r="BN473" i="1"/>
  <c r="Z473" i="1"/>
  <c r="Y479" i="1"/>
  <c r="Y478" i="1"/>
  <c r="BP477" i="1"/>
  <c r="BN477" i="1"/>
  <c r="Z477" i="1"/>
  <c r="Z478" i="1" s="1"/>
  <c r="Y483" i="1"/>
  <c r="BP481" i="1"/>
  <c r="BN481" i="1"/>
  <c r="Z481" i="1"/>
  <c r="Z483" i="1" s="1"/>
  <c r="Y324" i="1"/>
  <c r="Y331" i="1"/>
  <c r="Y354" i="1"/>
  <c r="Y470" i="1"/>
  <c r="H9" i="1"/>
  <c r="A10" i="1"/>
  <c r="Z22" i="1"/>
  <c r="BN22" i="1"/>
  <c r="BP22" i="1"/>
  <c r="Y25" i="1"/>
  <c r="Z28" i="1"/>
  <c r="BN28" i="1"/>
  <c r="Z30" i="1"/>
  <c r="BN30" i="1"/>
  <c r="Y33" i="1"/>
  <c r="BP53" i="1"/>
  <c r="BN53" i="1"/>
  <c r="Z53" i="1"/>
  <c r="BP57" i="1"/>
  <c r="BN57" i="1"/>
  <c r="Z57" i="1"/>
  <c r="Y59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0" i="1"/>
  <c r="Y89" i="1"/>
  <c r="BP86" i="1"/>
  <c r="BN86" i="1"/>
  <c r="Z86" i="1"/>
  <c r="F9" i="1"/>
  <c r="J9" i="1"/>
  <c r="Y24" i="1"/>
  <c r="BP42" i="1"/>
  <c r="BN42" i="1"/>
  <c r="Z42" i="1"/>
  <c r="BP55" i="1"/>
  <c r="BN55" i="1"/>
  <c r="Z5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8" i="1"/>
  <c r="BN88" i="1"/>
  <c r="Z88" i="1"/>
  <c r="Y90" i="1"/>
  <c r="Y96" i="1"/>
  <c r="Y97" i="1"/>
  <c r="BP92" i="1"/>
  <c r="BN92" i="1"/>
  <c r="Z92" i="1"/>
  <c r="C500" i="1"/>
  <c r="Y45" i="1"/>
  <c r="D500" i="1"/>
  <c r="Y58" i="1"/>
  <c r="Z94" i="1"/>
  <c r="BN94" i="1"/>
  <c r="F500" i="1"/>
  <c r="Z101" i="1"/>
  <c r="BN101" i="1"/>
  <c r="BP101" i="1"/>
  <c r="Z103" i="1"/>
  <c r="BN103" i="1"/>
  <c r="Y104" i="1"/>
  <c r="Z107" i="1"/>
  <c r="BN107" i="1"/>
  <c r="BP107" i="1"/>
  <c r="Z109" i="1"/>
  <c r="BN109" i="1"/>
  <c r="Y110" i="1"/>
  <c r="Z113" i="1"/>
  <c r="BN113" i="1"/>
  <c r="BP113" i="1"/>
  <c r="Z115" i="1"/>
  <c r="BN115" i="1"/>
  <c r="Y118" i="1"/>
  <c r="G500" i="1"/>
  <c r="Z126" i="1"/>
  <c r="Z127" i="1" s="1"/>
  <c r="BN126" i="1"/>
  <c r="BP126" i="1"/>
  <c r="Y127" i="1"/>
  <c r="Z130" i="1"/>
  <c r="BN130" i="1"/>
  <c r="BP130" i="1"/>
  <c r="Y133" i="1"/>
  <c r="Z136" i="1"/>
  <c r="Z137" i="1" s="1"/>
  <c r="BN136" i="1"/>
  <c r="BP136" i="1"/>
  <c r="Z141" i="1"/>
  <c r="Z143" i="1" s="1"/>
  <c r="BN141" i="1"/>
  <c r="BP141" i="1"/>
  <c r="Y144" i="1"/>
  <c r="Z147" i="1"/>
  <c r="BN147" i="1"/>
  <c r="BP147" i="1"/>
  <c r="I500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BN186" i="1"/>
  <c r="BP186" i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7" i="1"/>
  <c r="BP284" i="1"/>
  <c r="BN284" i="1"/>
  <c r="Z284" i="1"/>
  <c r="Z286" i="1" s="1"/>
  <c r="BP293" i="1"/>
  <c r="BN293" i="1"/>
  <c r="Z293" i="1"/>
  <c r="Y304" i="1"/>
  <c r="BP301" i="1"/>
  <c r="BN301" i="1"/>
  <c r="Z301" i="1"/>
  <c r="BP309" i="1"/>
  <c r="BN309" i="1"/>
  <c r="Z309" i="1"/>
  <c r="Y318" i="1"/>
  <c r="BP321" i="1"/>
  <c r="BN321" i="1"/>
  <c r="Z321" i="1"/>
  <c r="BP329" i="1"/>
  <c r="BN329" i="1"/>
  <c r="Z329" i="1"/>
  <c r="R500" i="1"/>
  <c r="Y338" i="1"/>
  <c r="Y337" i="1"/>
  <c r="BP334" i="1"/>
  <c r="BN334" i="1"/>
  <c r="Z334" i="1"/>
  <c r="BP368" i="1"/>
  <c r="BN368" i="1"/>
  <c r="Z368" i="1"/>
  <c r="Z369" i="1" s="1"/>
  <c r="Y370" i="1"/>
  <c r="Y375" i="1"/>
  <c r="BP372" i="1"/>
  <c r="BN372" i="1"/>
  <c r="Z372" i="1"/>
  <c r="Z374" i="1" s="1"/>
  <c r="Y374" i="1"/>
  <c r="Y143" i="1"/>
  <c r="Y188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500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BP343" i="1"/>
  <c r="BN343" i="1"/>
  <c r="Z343" i="1"/>
  <c r="Y349" i="1"/>
  <c r="BP347" i="1"/>
  <c r="BN347" i="1"/>
  <c r="Z347" i="1"/>
  <c r="BP386" i="1"/>
  <c r="BN386" i="1"/>
  <c r="Z386" i="1"/>
  <c r="BP390" i="1"/>
  <c r="BN390" i="1"/>
  <c r="Z390" i="1"/>
  <c r="Y394" i="1"/>
  <c r="BP398" i="1"/>
  <c r="BN398" i="1"/>
  <c r="Z398" i="1"/>
  <c r="Y400" i="1"/>
  <c r="V500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4" i="1"/>
  <c r="BP428" i="1"/>
  <c r="BN428" i="1"/>
  <c r="Z428" i="1"/>
  <c r="BP432" i="1"/>
  <c r="BN432" i="1"/>
  <c r="Z432" i="1"/>
  <c r="Y439" i="1"/>
  <c r="BP436" i="1"/>
  <c r="BN436" i="1"/>
  <c r="Z436" i="1"/>
  <c r="Y440" i="1"/>
  <c r="K500" i="1"/>
  <c r="Y235" i="1"/>
  <c r="O500" i="1"/>
  <c r="Y276" i="1"/>
  <c r="P500" i="1"/>
  <c r="Y281" i="1"/>
  <c r="Q500" i="1"/>
  <c r="Y296" i="1"/>
  <c r="BP345" i="1"/>
  <c r="BN345" i="1"/>
  <c r="Z345" i="1"/>
  <c r="BP353" i="1"/>
  <c r="BN353" i="1"/>
  <c r="Z353" i="1"/>
  <c r="Z354" i="1" s="1"/>
  <c r="Y355" i="1"/>
  <c r="Y360" i="1"/>
  <c r="BP357" i="1"/>
  <c r="BN357" i="1"/>
  <c r="Z357" i="1"/>
  <c r="Z359" i="1" s="1"/>
  <c r="BP378" i="1"/>
  <c r="BN378" i="1"/>
  <c r="Z378" i="1"/>
  <c r="BP388" i="1"/>
  <c r="BN388" i="1"/>
  <c r="Z388" i="1"/>
  <c r="BP392" i="1"/>
  <c r="BN392" i="1"/>
  <c r="Z392" i="1"/>
  <c r="Y399" i="1"/>
  <c r="BP409" i="1"/>
  <c r="BN409" i="1"/>
  <c r="Z409" i="1"/>
  <c r="BP423" i="1"/>
  <c r="BN423" i="1"/>
  <c r="Z423" i="1"/>
  <c r="S500" i="1"/>
  <c r="Y350" i="1"/>
  <c r="T500" i="1"/>
  <c r="Y369" i="1"/>
  <c r="U500" i="1"/>
  <c r="Y395" i="1"/>
  <c r="Y417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BP446" i="1"/>
  <c r="BN446" i="1"/>
  <c r="Z446" i="1"/>
  <c r="BP460" i="1"/>
  <c r="BN460" i="1"/>
  <c r="Z460" i="1"/>
  <c r="BP468" i="1"/>
  <c r="BN468" i="1"/>
  <c r="Z468" i="1"/>
  <c r="Y475" i="1"/>
  <c r="BP472" i="1"/>
  <c r="BN472" i="1"/>
  <c r="Z472" i="1"/>
  <c r="Z474" i="1" s="1"/>
  <c r="BP444" i="1"/>
  <c r="BN444" i="1"/>
  <c r="Z444" i="1"/>
  <c r="Y448" i="1"/>
  <c r="BP452" i="1"/>
  <c r="BN452" i="1"/>
  <c r="Z452" i="1"/>
  <c r="Y463" i="1"/>
  <c r="BP462" i="1"/>
  <c r="BN462" i="1"/>
  <c r="Z462" i="1"/>
  <c r="Y464" i="1"/>
  <c r="Y469" i="1"/>
  <c r="BP466" i="1"/>
  <c r="BN466" i="1"/>
  <c r="Z466" i="1"/>
  <c r="BP482" i="1"/>
  <c r="BN482" i="1"/>
  <c r="Z482" i="1"/>
  <c r="Y484" i="1"/>
  <c r="Y489" i="1"/>
  <c r="Y500" i="1"/>
  <c r="Z487" i="1"/>
  <c r="Z488" i="1" s="1"/>
  <c r="BN487" i="1"/>
  <c r="BP487" i="1"/>
  <c r="Y488" i="1"/>
  <c r="Z58" i="1" l="1"/>
  <c r="Z349" i="1"/>
  <c r="Z399" i="1"/>
  <c r="Z251" i="1"/>
  <c r="Z188" i="1"/>
  <c r="Z178" i="1"/>
  <c r="Z149" i="1"/>
  <c r="Z117" i="1"/>
  <c r="Z110" i="1"/>
  <c r="Z104" i="1"/>
  <c r="Z44" i="1"/>
  <c r="Z24" i="1"/>
  <c r="Z172" i="1"/>
  <c r="Z469" i="1"/>
  <c r="Z463" i="1"/>
  <c r="Z380" i="1"/>
  <c r="Z433" i="1"/>
  <c r="Z394" i="1"/>
  <c r="Z317" i="1"/>
  <c r="Z311" i="1"/>
  <c r="Z304" i="1"/>
  <c r="Z235" i="1"/>
  <c r="Z204" i="1"/>
  <c r="Z193" i="1"/>
  <c r="Z132" i="1"/>
  <c r="Z96" i="1"/>
  <c r="Z77" i="1"/>
  <c r="Z32" i="1"/>
  <c r="Z411" i="1"/>
  <c r="Z324" i="1"/>
  <c r="Z216" i="1"/>
  <c r="Z89" i="1"/>
  <c r="Y492" i="1"/>
  <c r="Z448" i="1"/>
  <c r="Z439" i="1"/>
  <c r="Z260" i="1"/>
  <c r="Z337" i="1"/>
  <c r="Y494" i="1"/>
  <c r="Z64" i="1"/>
  <c r="Y490" i="1"/>
  <c r="Y491" i="1"/>
  <c r="Y493" i="1" s="1"/>
  <c r="Z495" i="1" l="1"/>
</calcChain>
</file>

<file path=xl/sharedStrings.xml><?xml version="1.0" encoding="utf-8"?>
<sst xmlns="http://schemas.openxmlformats.org/spreadsheetml/2006/main" count="2326" uniqueCount="766">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</sst>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45999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0.41666666666666669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150</v>
      </c>
      <c r="Y41" s="54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115</v>
      </c>
      <c r="B43" s="54" t="s">
        <v>116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114</v>
      </c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13.888888888888888</v>
      </c>
      <c r="Y44" s="545">
        <f>IFERROR(Y41/H41,"0")+IFERROR(Y42/H42,"0")+IFERROR(Y43/H43,"0")</f>
        <v>14</v>
      </c>
      <c r="Z44" s="545">
        <f>IFERROR(IF(Z41="",0,Z41),"0")+IFERROR(IF(Z42="",0,Z42),"0")+IFERROR(IF(Z43="",0,Z43),"0")</f>
        <v>0.26572000000000001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150</v>
      </c>
      <c r="Y45" s="545">
        <f>IFERROR(SUM(Y41:Y43),"0")</f>
        <v>151.20000000000002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114</v>
      </c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 t="s">
        <v>114</v>
      </c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22.5</v>
      </c>
      <c r="Y57" s="544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138</v>
      </c>
      <c r="AG57" s="64"/>
      <c r="AJ57" s="68" t="s">
        <v>110</v>
      </c>
      <c r="AK57" s="68">
        <v>54</v>
      </c>
      <c r="BB57" s="104" t="s">
        <v>1</v>
      </c>
      <c r="BM57" s="64">
        <f t="shared" si="1"/>
        <v>23.450000000000003</v>
      </c>
      <c r="BN57" s="64">
        <f t="shared" si="2"/>
        <v>23.450000000000003</v>
      </c>
      <c r="BO57" s="64">
        <f t="shared" si="3"/>
        <v>3.787878787878788E-2</v>
      </c>
      <c r="BP57" s="64">
        <f t="shared" si="4"/>
        <v>3.787878787878788E-2</v>
      </c>
    </row>
    <row r="58" spans="1:68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5</v>
      </c>
      <c r="Y58" s="545">
        <f>IFERROR(Y52/H52,"0")+IFERROR(Y53/H53,"0")+IFERROR(Y54/H54,"0")+IFERROR(Y55/H55,"0")+IFERROR(Y56/H56,"0")+IFERROR(Y57/H57,"0")</f>
        <v>5</v>
      </c>
      <c r="Z58" s="545">
        <f>IFERROR(IF(Z52="",0,Z52),"0")+IFERROR(IF(Z53="",0,Z53),"0")+IFERROR(IF(Z54="",0,Z54),"0")+IFERROR(IF(Z55="",0,Z55),"0")+IFERROR(IF(Z56="",0,Z56),"0")+IFERROR(IF(Z57="",0,Z57),"0")</f>
        <v>4.5100000000000001E-2</v>
      </c>
      <c r="AA58" s="546"/>
      <c r="AB58" s="546"/>
      <c r="AC58" s="546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22.5</v>
      </c>
      <c r="Y59" s="545">
        <f>IFERROR(SUM(Y52:Y57),"0")</f>
        <v>22.5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170</v>
      </c>
      <c r="Y61" s="544">
        <f>IFERROR(IF(X61="",0,CEILING((X61/$H61),1)*$H61),"")</f>
        <v>172.8</v>
      </c>
      <c r="Z61" s="36">
        <f>IFERROR(IF(Y61=0,"",ROUNDUP(Y61/H61,0)*0.01898),"")</f>
        <v>0.30368000000000001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176.4537037037037</v>
      </c>
      <c r="BN61" s="64">
        <f>IFERROR(Y61*I61/H61,"0")</f>
        <v>179.36</v>
      </c>
      <c r="BO61" s="64">
        <f>IFERROR(1/J61*(X61/H61),"0")</f>
        <v>0.24594907407407407</v>
      </c>
      <c r="BP61" s="64">
        <f>IFERROR(1/J61*(Y61/H61),"0")</f>
        <v>0.25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15.74074074074074</v>
      </c>
      <c r="Y64" s="545">
        <f>IFERROR(Y61/H61,"0")+IFERROR(Y62/H62,"0")+IFERROR(Y63/H63,"0")</f>
        <v>16</v>
      </c>
      <c r="Z64" s="545">
        <f>IFERROR(IF(Z61="",0,Z61),"0")+IFERROR(IF(Z62="",0,Z62),"0")+IFERROR(IF(Z63="",0,Z63),"0")</f>
        <v>0.30368000000000001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170</v>
      </c>
      <c r="Y65" s="545">
        <f>IFERROR(SUM(Y61:Y63),"0")</f>
        <v>172.8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114</v>
      </c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100</v>
      </c>
      <c r="Y92" s="544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 t="s">
        <v>190</v>
      </c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54</v>
      </c>
      <c r="Y94" s="544">
        <f>IFERROR(IF(X94="",0,CEILING((X94/$H94),1)*$H94),"")</f>
        <v>54</v>
      </c>
      <c r="Z94" s="36">
        <f>IFERROR(IF(Y94=0,"",ROUNDUP(Y94/H94,0)*0.00651),"")</f>
        <v>0.13020000000000001</v>
      </c>
      <c r="AA94" s="56"/>
      <c r="AB94" s="57"/>
      <c r="AC94" s="139" t="s">
        <v>184</v>
      </c>
      <c r="AG94" s="64"/>
      <c r="AJ94" s="68" t="s">
        <v>110</v>
      </c>
      <c r="AK94" s="68">
        <v>37.799999999999997</v>
      </c>
      <c r="BB94" s="140" t="s">
        <v>1</v>
      </c>
      <c r="BM94" s="64">
        <f>IFERROR(X94*I94/H94,"0")</f>
        <v>59.039999999999992</v>
      </c>
      <c r="BN94" s="64">
        <f>IFERROR(Y94*I94/H94,"0")</f>
        <v>59.039999999999992</v>
      </c>
      <c r="BO94" s="64">
        <f>IFERROR(1/J94*(X94/H94),"0")</f>
        <v>0.1098901098901099</v>
      </c>
      <c r="BP94" s="64">
        <f>IFERROR(1/J94*(Y94/H94),"0")</f>
        <v>0.1098901098901099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 t="s">
        <v>190</v>
      </c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110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32.345679012345677</v>
      </c>
      <c r="Y96" s="545">
        <f>IFERROR(Y92/H92,"0")+IFERROR(Y93/H93,"0")+IFERROR(Y94/H94,"0")+IFERROR(Y95/H95,"0")</f>
        <v>33</v>
      </c>
      <c r="Z96" s="545">
        <f>IFERROR(IF(Z92="",0,Z92),"0")+IFERROR(IF(Z93="",0,Z93),"0")+IFERROR(IF(Z94="",0,Z94),"0")+IFERROR(IF(Z95="",0,Z95),"0")</f>
        <v>0.37694000000000005</v>
      </c>
      <c r="AA96" s="546"/>
      <c r="AB96" s="546"/>
      <c r="AC96" s="546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154</v>
      </c>
      <c r="Y97" s="545">
        <f>IFERROR(SUM(Y92:Y95),"0")</f>
        <v>159.30000000000001</v>
      </c>
      <c r="Z97" s="37"/>
      <c r="AA97" s="546"/>
      <c r="AB97" s="546"/>
      <c r="AC97" s="546"/>
    </row>
    <row r="98" spans="1:68" ht="16.5" hidden="1" customHeight="1" x14ac:dyDescent="0.25">
      <c r="A98" s="555" t="s">
        <v>194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150</v>
      </c>
      <c r="Y100" s="544">
        <f>IFERROR(IF(X100="",0,CEILING((X100/$H100),1)*$H100),"")</f>
        <v>151.20000000000002</v>
      </c>
      <c r="Z100" s="36">
        <f>IFERROR(IF(Y100=0,"",ROUNDUP(Y100/H100,0)*0.01898),"")</f>
        <v>0.26572000000000001</v>
      </c>
      <c r="AA100" s="56"/>
      <c r="AB100" s="57"/>
      <c r="AC100" s="143" t="s">
        <v>197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155.69444444444446</v>
      </c>
      <c r="BN100" s="64">
        <f>IFERROR(Y100*I100/H100,"0")</f>
        <v>156.94</v>
      </c>
      <c r="BO100" s="64">
        <f>IFERROR(1/J100*(X100/H100),"0")</f>
        <v>0.21701388888888887</v>
      </c>
      <c r="BP100" s="64">
        <f>IFERROR(1/J100*(Y100/H100),"0")</f>
        <v>0.21875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 t="s">
        <v>114</v>
      </c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110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13.888888888888888</v>
      </c>
      <c r="Y104" s="545">
        <f>IFERROR(Y100/H100,"0")+IFERROR(Y101/H101,"0")+IFERROR(Y102/H102,"0")+IFERROR(Y103/H103,"0")</f>
        <v>14</v>
      </c>
      <c r="Z104" s="545">
        <f>IFERROR(IF(Z100="",0,Z100),"0")+IFERROR(IF(Z101="",0,Z101),"0")+IFERROR(IF(Z102="",0,Z102),"0")+IFERROR(IF(Z103="",0,Z103),"0")</f>
        <v>0.26572000000000001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150</v>
      </c>
      <c r="Y105" s="545">
        <f>IFERROR(SUM(Y100:Y103),"0")</f>
        <v>151.20000000000002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190</v>
      </c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190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hidden="1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190</v>
      </c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 t="s">
        <v>190</v>
      </c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110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190</v>
      </c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150</v>
      </c>
      <c r="Y162" s="544">
        <f t="shared" ref="Y162:Y171" si="5">IFERROR(IF(X162="",0,CEILING((X162/$H162),1)*$H162),"")</f>
        <v>151.20000000000002</v>
      </c>
      <c r="Z162" s="36">
        <f>IFERROR(IF(Y162=0,"",ROUNDUP(Y162/H162,0)*0.00902),"")</f>
        <v>0.32472000000000001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158.92857142857142</v>
      </c>
      <c r="BN162" s="64">
        <f t="shared" ref="BN162:BN171" si="7">IFERROR(Y162*I162/H162,"0")</f>
        <v>160.20000000000002</v>
      </c>
      <c r="BO162" s="64">
        <f t="shared" ref="BO162:BO171" si="8">IFERROR(1/J162*(X162/H162),"0")</f>
        <v>0.27056277056277056</v>
      </c>
      <c r="BP162" s="64">
        <f t="shared" ref="BP162:BP171" si="9">IFERROR(1/J162*(Y162/H162),"0")</f>
        <v>0.27272727272727271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35.714285714285715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36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0.32472000000000001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150</v>
      </c>
      <c r="Y173" s="545">
        <f>IFERROR(SUM(Y162:Y171),"0")</f>
        <v>151.20000000000002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190</v>
      </c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 t="s">
        <v>107</v>
      </c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110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 t="s">
        <v>107</v>
      </c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110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190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190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80</v>
      </c>
      <c r="Y212" s="544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88.40000000000002</v>
      </c>
      <c r="BN212" s="64">
        <f t="shared" si="17"/>
        <v>90.168000000000006</v>
      </c>
      <c r="BO212" s="64">
        <f t="shared" si="18"/>
        <v>0.18315018315018317</v>
      </c>
      <c r="BP212" s="64">
        <f t="shared" si="19"/>
        <v>0.18681318681318682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190</v>
      </c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190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190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33.333333333333336</v>
      </c>
      <c r="Y216" s="545">
        <f>IFERROR(Y207/H207,"0")+IFERROR(Y208/H208,"0")+IFERROR(Y209/H209,"0")+IFERROR(Y210/H210,"0")+IFERROR(Y211/H211,"0")+IFERROR(Y212/H212,"0")+IFERROR(Y213/H213,"0")+IFERROR(Y214/H214,"0")+IFERROR(Y215/H215,"0")</f>
        <v>34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0.22134000000000001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80</v>
      </c>
      <c r="Y217" s="545">
        <f>IFERROR(SUM(Y207:Y215),"0")</f>
        <v>81.599999999999994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190</v>
      </c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190</v>
      </c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 t="s">
        <v>107</v>
      </c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110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190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190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130</v>
      </c>
      <c r="Y298" s="544">
        <f t="shared" ref="Y298:Y303" si="26">IFERROR(IF(X298="",0,CEILING((X298/$H298),1)*$H298),"")</f>
        <v>130.20000000000002</v>
      </c>
      <c r="Z298" s="36">
        <f>IFERROR(IF(Y298=0,"",ROUNDUP(Y298/H298,0)*0.00902),"")</f>
        <v>0.27961999999999998</v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137.73809523809524</v>
      </c>
      <c r="BN298" s="64">
        <f t="shared" ref="BN298:BN303" si="28">IFERROR(Y298*I298/H298,"0")</f>
        <v>137.95000000000002</v>
      </c>
      <c r="BO298" s="64">
        <f t="shared" ref="BO298:BO303" si="29">IFERROR(1/J298*(X298/H298),"0")</f>
        <v>0.23448773448773449</v>
      </c>
      <c r="BP298" s="64">
        <f t="shared" ref="BP298:BP303" si="30">IFERROR(1/J298*(Y298/H298),"0")</f>
        <v>0.23484848484848489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 t="s">
        <v>114</v>
      </c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110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0</v>
      </c>
      <c r="Y303" s="544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30.952380952380953</v>
      </c>
      <c r="Y304" s="545">
        <f>IFERROR(Y298/H298,"0")+IFERROR(Y299/H299,"0")+IFERROR(Y300/H300,"0")+IFERROR(Y301/H301,"0")+IFERROR(Y302/H302,"0")+IFERROR(Y303/H303,"0")</f>
        <v>31.000000000000004</v>
      </c>
      <c r="Z304" s="545">
        <f>IFERROR(IF(Z298="",0,Z298),"0")+IFERROR(IF(Z299="",0,Z299),"0")+IFERROR(IF(Z300="",0,Z300),"0")+IFERROR(IF(Z301="",0,Z301),"0")+IFERROR(IF(Z302="",0,Z302),"0")+IFERROR(IF(Z303="",0,Z303),"0")</f>
        <v>0.27961999999999998</v>
      </c>
      <c r="AA304" s="546"/>
      <c r="AB304" s="546"/>
      <c r="AC304" s="546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130</v>
      </c>
      <c r="Y305" s="545">
        <f>IFERROR(SUM(Y298:Y303),"0")</f>
        <v>130.20000000000002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 t="s">
        <v>107</v>
      </c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110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200</v>
      </c>
      <c r="Y314" s="544">
        <f>IFERROR(IF(X314="",0,CEILING((X314/$H314),1)*$H314),"")</f>
        <v>201.60000000000002</v>
      </c>
      <c r="Z314" s="36">
        <f>IFERROR(IF(Y314=0,"",ROUNDUP(Y314/H314,0)*0.01898),"")</f>
        <v>0.45552000000000004</v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211.76190476190476</v>
      </c>
      <c r="BN314" s="64">
        <f>IFERROR(Y314*I314/H314,"0")</f>
        <v>213.45600000000002</v>
      </c>
      <c r="BO314" s="64">
        <f>IFERROR(1/J314*(X314/H314),"0")</f>
        <v>0.37202380952380953</v>
      </c>
      <c r="BP314" s="64">
        <f>IFERROR(1/J314*(Y314/H314),"0")</f>
        <v>0.375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23.80952380952381</v>
      </c>
      <c r="Y317" s="545">
        <f>IFERROR(Y314/H314,"0")+IFERROR(Y315/H315,"0")+IFERROR(Y316/H316,"0")</f>
        <v>24</v>
      </c>
      <c r="Z317" s="545">
        <f>IFERROR(IF(Z314="",0,Z314),"0")+IFERROR(IF(Z315="",0,Z315),"0")+IFERROR(IF(Z316="",0,Z316),"0")</f>
        <v>0.45552000000000004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200</v>
      </c>
      <c r="Y318" s="545">
        <f>IFERROR(SUM(Y314:Y316),"0")</f>
        <v>201.60000000000002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190</v>
      </c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190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0</v>
      </c>
      <c r="Y324" s="545">
        <f>IFERROR(Y320/H320,"0")+IFERROR(Y321/H321,"0")+IFERROR(Y322/H322,"0")+IFERROR(Y323/H323,"0")</f>
        <v>0</v>
      </c>
      <c r="Z324" s="545">
        <f>IFERROR(IF(Z320="",0,Z320),"0")+IFERROR(IF(Z321="",0,Z321),"0")+IFERROR(IF(Z322="",0,Z322),"0")+IFERROR(IF(Z323="",0,Z323),"0")</f>
        <v>0</v>
      </c>
      <c r="AA324" s="546"/>
      <c r="AB324" s="546"/>
      <c r="AC324" s="546"/>
    </row>
    <row r="325" spans="1:68" hidden="1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0</v>
      </c>
      <c r="Y325" s="545">
        <f>IFERROR(SUM(Y320:Y323),"0")</f>
        <v>0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190</v>
      </c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 t="s">
        <v>190</v>
      </c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110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190</v>
      </c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190</v>
      </c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190</v>
      </c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hidden="1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500</v>
      </c>
      <c r="Y342" s="544">
        <f t="shared" ref="Y342:Y348" si="31">IFERROR(IF(X342="",0,CEILING((X342/$H342),1)*$H342),"")</f>
        <v>510</v>
      </c>
      <c r="Z342" s="36">
        <f>IFERROR(IF(Y342=0,"",ROUNDUP(Y342/H342,0)*0.02175),"")</f>
        <v>0.73949999999999994</v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515.66666666666663</v>
      </c>
      <c r="BN342" s="64">
        <f t="shared" ref="BN342:BN348" si="33">IFERROR(Y342*I342/H342,"0")</f>
        <v>525.98</v>
      </c>
      <c r="BO342" s="64">
        <f t="shared" ref="BO342:BO348" si="34">IFERROR(1/J342*(X342/H342),"0")</f>
        <v>0.69444444444444442</v>
      </c>
      <c r="BP342" s="64">
        <f t="shared" ref="BP342:BP348" si="35">IFERROR(1/J342*(Y342/H342),"0")</f>
        <v>0.70833333333333326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500</v>
      </c>
      <c r="Y343" s="544">
        <f t="shared" si="31"/>
        <v>510</v>
      </c>
      <c r="Z343" s="36">
        <f>IFERROR(IF(Y343=0,"",ROUNDUP(Y343/H343,0)*0.02175),"")</f>
        <v>0.73949999999999994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515.66666666666663</v>
      </c>
      <c r="BN343" s="64">
        <f t="shared" si="33"/>
        <v>525.98</v>
      </c>
      <c r="BO343" s="64">
        <f t="shared" si="34"/>
        <v>0.69444444444444442</v>
      </c>
      <c r="BP343" s="64">
        <f t="shared" si="35"/>
        <v>0.70833333333333326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1000</v>
      </c>
      <c r="Y344" s="544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0</v>
      </c>
      <c r="Y345" s="544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133.33333333333334</v>
      </c>
      <c r="Y349" s="545">
        <f>IFERROR(Y342/H342,"0")+IFERROR(Y343/H343,"0")+IFERROR(Y344/H344,"0")+IFERROR(Y345/H345,"0")+IFERROR(Y346/H346,"0")+IFERROR(Y347/H347,"0")+IFERROR(Y348/H348,"0")</f>
        <v>135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2.9362499999999998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2000</v>
      </c>
      <c r="Y350" s="545">
        <f>IFERROR(SUM(Y342:Y348),"0")</f>
        <v>2025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2000</v>
      </c>
      <c r="Y352" s="544">
        <f>IFERROR(IF(X352="",0,CEILING((X352/$H352),1)*$H352),"")</f>
        <v>2010</v>
      </c>
      <c r="Z352" s="36">
        <f>IFERROR(IF(Y352=0,"",ROUNDUP(Y352/H352,0)*0.02175),"")</f>
        <v>2.9144999999999999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2062.6666666666665</v>
      </c>
      <c r="BN352" s="64">
        <f>IFERROR(Y352*I352/H352,"0")</f>
        <v>2072.98</v>
      </c>
      <c r="BO352" s="64">
        <f>IFERROR(1/J352*(X352/H352),"0")</f>
        <v>2.7777777777777777</v>
      </c>
      <c r="BP352" s="64">
        <f>IFERROR(1/J352*(Y352/H352),"0")</f>
        <v>2.7916666666666665</v>
      </c>
    </row>
    <row r="353" spans="1:68" ht="27" hidden="1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133.33333333333334</v>
      </c>
      <c r="Y354" s="545">
        <f>IFERROR(Y352/H352,"0")+IFERROR(Y353/H353,"0")</f>
        <v>134</v>
      </c>
      <c r="Z354" s="545">
        <f>IFERROR(IF(Z352="",0,Z352),"0")+IFERROR(IF(Z353="",0,Z353),"0")</f>
        <v>2.9144999999999999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2000</v>
      </c>
      <c r="Y355" s="545">
        <f>IFERROR(SUM(Y352:Y353),"0")</f>
        <v>2010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220</v>
      </c>
      <c r="Y358" s="544">
        <f>IFERROR(IF(X358="",0,CEILING((X358/$H358),1)*$H358),"")</f>
        <v>225</v>
      </c>
      <c r="Z358" s="36">
        <f>IFERROR(IF(Y358=0,"",ROUNDUP(Y358/H358,0)*0.01898),"")</f>
        <v>0.47450000000000003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232.07555555555552</v>
      </c>
      <c r="BN358" s="64">
        <f>IFERROR(Y358*I358/H358,"0")</f>
        <v>237.35000000000002</v>
      </c>
      <c r="BO358" s="64">
        <f>IFERROR(1/J358*(X358/H358),"0")</f>
        <v>0.38194444444444442</v>
      </c>
      <c r="BP358" s="64">
        <f>IFERROR(1/J358*(Y358/H358),"0")</f>
        <v>0.390625</v>
      </c>
    </row>
    <row r="359" spans="1:68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24.444444444444443</v>
      </c>
      <c r="Y359" s="545">
        <f>IFERROR(Y357/H357,"0")+IFERROR(Y358/H358,"0")</f>
        <v>25</v>
      </c>
      <c r="Z359" s="545">
        <f>IFERROR(IF(Z357="",0,Z357),"0")+IFERROR(IF(Z358="",0,Z358),"0")</f>
        <v>0.47450000000000003</v>
      </c>
      <c r="AA359" s="546"/>
      <c r="AB359" s="546"/>
      <c r="AC359" s="546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220</v>
      </c>
      <c r="Y360" s="545">
        <f>IFERROR(SUM(Y357:Y358),"0")</f>
        <v>225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300</v>
      </c>
      <c r="Y362" s="544">
        <f>IFERROR(IF(X362="",0,CEILING((X362/$H362),1)*$H362),"")</f>
        <v>306</v>
      </c>
      <c r="Z362" s="36">
        <f>IFERROR(IF(Y362=0,"",ROUNDUP(Y362/H362,0)*0.01898),"")</f>
        <v>0.64532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316.46666666666664</v>
      </c>
      <c r="BN362" s="64">
        <f>IFERROR(Y362*I362/H362,"0")</f>
        <v>322.79599999999999</v>
      </c>
      <c r="BO362" s="64">
        <f>IFERROR(1/J362*(X362/H362),"0")</f>
        <v>0.52083333333333337</v>
      </c>
      <c r="BP362" s="64">
        <f>IFERROR(1/J362*(Y362/H362),"0")</f>
        <v>0.53125</v>
      </c>
    </row>
    <row r="363" spans="1:68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33.333333333333336</v>
      </c>
      <c r="Y363" s="545">
        <f>IFERROR(Y362/H362,"0")</f>
        <v>34</v>
      </c>
      <c r="Z363" s="545">
        <f>IFERROR(IF(Z362="",0,Z362),"0")</f>
        <v>0.64532</v>
      </c>
      <c r="AA363" s="546"/>
      <c r="AB363" s="546"/>
      <c r="AC363" s="546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300</v>
      </c>
      <c r="Y364" s="545">
        <f>IFERROR(SUM(Y362:Y362),"0")</f>
        <v>306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 t="s">
        <v>114</v>
      </c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 t="s">
        <v>110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hidden="1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0</v>
      </c>
      <c r="Y377" s="544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190</v>
      </c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0</v>
      </c>
      <c r="Y380" s="545">
        <f>IFERROR(Y377/H377,"0")+IFERROR(Y378/H378,"0")+IFERROR(Y379/H379,"0")</f>
        <v>0</v>
      </c>
      <c r="Z380" s="545">
        <f>IFERROR(IF(Z377="",0,Z377),"0")+IFERROR(IF(Z378="",0,Z378),"0")+IFERROR(IF(Z379="",0,Z379),"0")</f>
        <v>0</v>
      </c>
      <c r="AA380" s="546"/>
      <c r="AB380" s="546"/>
      <c r="AC380" s="546"/>
    </row>
    <row r="381" spans="1:68" hidden="1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0</v>
      </c>
      <c r="Y381" s="545">
        <f>IFERROR(SUM(Y377:Y379),"0")</f>
        <v>0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 t="s">
        <v>114</v>
      </c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100</v>
      </c>
      <c r="Y385" s="544">
        <f t="shared" ref="Y385:Y393" si="36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589</v>
      </c>
      <c r="AG385" s="64"/>
      <c r="AJ385" s="68" t="s">
        <v>110</v>
      </c>
      <c r="AK385" s="68">
        <v>64.8</v>
      </c>
      <c r="BB385" s="428" t="s">
        <v>1</v>
      </c>
      <c r="BM385" s="64">
        <f t="shared" ref="BM385:BM393" si="37">IFERROR(X385*I385/H385,"0")</f>
        <v>103.5185185185185</v>
      </c>
      <c r="BN385" s="64">
        <f t="shared" ref="BN385:BN393" si="38">IFERROR(Y385*I385/H385,"0")</f>
        <v>106.21</v>
      </c>
      <c r="BO385" s="64">
        <f t="shared" ref="BO385:BO393" si="39">IFERROR(1/J385*(X385/H385),"0")</f>
        <v>0.14029180695847362</v>
      </c>
      <c r="BP385" s="64">
        <f t="shared" ref="BP385:BP393" si="40">IFERROR(1/J385*(Y385/H385),"0")</f>
        <v>0.14393939393939395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50</v>
      </c>
      <c r="Y386" s="544">
        <f t="shared" si="36"/>
        <v>54</v>
      </c>
      <c r="Z386" s="36">
        <f>IFERROR(IF(Y386=0,"",ROUNDUP(Y386/H386,0)*0.00902),"")</f>
        <v>9.0200000000000002E-2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51.759259259259252</v>
      </c>
      <c r="BN386" s="64">
        <f t="shared" si="38"/>
        <v>55.9</v>
      </c>
      <c r="BO386" s="64">
        <f t="shared" si="39"/>
        <v>7.0145903479236812E-2</v>
      </c>
      <c r="BP386" s="64">
        <f t="shared" si="40"/>
        <v>7.575757575757576E-2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 t="s">
        <v>114</v>
      </c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110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8.3999999999999986</v>
      </c>
      <c r="Y390" s="544">
        <f t="shared" si="36"/>
        <v>8.4</v>
      </c>
      <c r="Z390" s="36">
        <f t="shared" si="41"/>
        <v>2.0080000000000001E-2</v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8.9199999999999982</v>
      </c>
      <c r="BN390" s="64">
        <f t="shared" si="38"/>
        <v>8.92</v>
      </c>
      <c r="BO390" s="64">
        <f t="shared" si="39"/>
        <v>1.7094017094017092E-2</v>
      </c>
      <c r="BP390" s="64">
        <f t="shared" si="40"/>
        <v>1.7094017094017096E-2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21</v>
      </c>
      <c r="Y393" s="544">
        <f t="shared" si="36"/>
        <v>21</v>
      </c>
      <c r="Z393" s="36">
        <f t="shared" si="41"/>
        <v>5.0200000000000002E-2</v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22.299999999999997</v>
      </c>
      <c r="BN393" s="64">
        <f t="shared" si="38"/>
        <v>22.299999999999997</v>
      </c>
      <c r="BO393" s="64">
        <f t="shared" si="39"/>
        <v>4.2735042735042736E-2</v>
      </c>
      <c r="BP393" s="64">
        <f t="shared" si="40"/>
        <v>4.2735042735042736E-2</v>
      </c>
    </row>
    <row r="394" spans="1:68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41.777777777777779</v>
      </c>
      <c r="Y394" s="545">
        <f>IFERROR(Y385/H385,"0")+IFERROR(Y386/H386,"0")+IFERROR(Y387/H387,"0")+IFERROR(Y388/H388,"0")+IFERROR(Y389/H389,"0")+IFERROR(Y390/H390,"0")+IFERROR(Y391/H391,"0")+IFERROR(Y392/H392,"0")+IFERROR(Y393/H393,"0")</f>
        <v>43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0.33186000000000004</v>
      </c>
      <c r="AA394" s="546"/>
      <c r="AB394" s="546"/>
      <c r="AC394" s="546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179.4</v>
      </c>
      <c r="Y395" s="545">
        <f>IFERROR(SUM(Y385:Y393),"0")</f>
        <v>186.00000000000003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 t="s">
        <v>114</v>
      </c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300</v>
      </c>
      <c r="Y407" s="544">
        <f>IFERROR(IF(X407="",0,CEILING((X407/$H407),1)*$H407),"")</f>
        <v>302.40000000000003</v>
      </c>
      <c r="Z407" s="36">
        <f>IFERROR(IF(Y407=0,"",ROUNDUP(Y407/H407,0)*0.00902),"")</f>
        <v>0.50512000000000001</v>
      </c>
      <c r="AA407" s="56"/>
      <c r="AB407" s="57"/>
      <c r="AC407" s="451" t="s">
        <v>623</v>
      </c>
      <c r="AG407" s="64"/>
      <c r="AJ407" s="68" t="s">
        <v>110</v>
      </c>
      <c r="AK407" s="68">
        <v>64.8</v>
      </c>
      <c r="BB407" s="452" t="s">
        <v>1</v>
      </c>
      <c r="BM407" s="64">
        <f>IFERROR(X407*I407/H407,"0")</f>
        <v>310.55555555555554</v>
      </c>
      <c r="BN407" s="64">
        <f>IFERROR(Y407*I407/H407,"0")</f>
        <v>313.04000000000002</v>
      </c>
      <c r="BO407" s="64">
        <f>IFERROR(1/J407*(X407/H407),"0")</f>
        <v>0.42087542087542085</v>
      </c>
      <c r="BP407" s="64">
        <f>IFERROR(1/J407*(Y407/H407),"0")</f>
        <v>0.42424242424242425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55.55555555555555</v>
      </c>
      <c r="Y411" s="545">
        <f>IFERROR(Y407/H407,"0")+IFERROR(Y408/H408,"0")+IFERROR(Y409/H409,"0")+IFERROR(Y410/H410,"0")</f>
        <v>56</v>
      </c>
      <c r="Z411" s="545">
        <f>IFERROR(IF(Z407="",0,Z407),"0")+IFERROR(IF(Z408="",0,Z408),"0")+IFERROR(IF(Z409="",0,Z409),"0")+IFERROR(IF(Z410="",0,Z410),"0")</f>
        <v>0.50512000000000001</v>
      </c>
      <c r="AA411" s="546"/>
      <c r="AB411" s="546"/>
      <c r="AC411" s="546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300</v>
      </c>
      <c r="Y412" s="545">
        <f>IFERROR(SUM(Y407:Y410),"0")</f>
        <v>302.40000000000003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hidden="1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200</v>
      </c>
      <c r="Y427" s="544">
        <f t="shared" si="42"/>
        <v>200.64000000000001</v>
      </c>
      <c r="Z427" s="36">
        <f t="shared" si="43"/>
        <v>0.45448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213.25757575757575</v>
      </c>
      <c r="BN427" s="64">
        <f t="shared" si="45"/>
        <v>213.94</v>
      </c>
      <c r="BO427" s="64">
        <f t="shared" si="46"/>
        <v>0.36421911421911418</v>
      </c>
      <c r="BP427" s="64">
        <f t="shared" si="47"/>
        <v>0.36538461538461542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0</v>
      </c>
      <c r="Y429" s="544">
        <f t="shared" si="42"/>
        <v>0</v>
      </c>
      <c r="Z429" s="36" t="str">
        <f>IFERROR(IF(Y429=0,"",ROUNDUP(Y429/H429,0)*0.00902),"")</f>
        <v/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 t="s">
        <v>114</v>
      </c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 t="s">
        <v>110</v>
      </c>
      <c r="AK432" s="68">
        <v>57.6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37.878787878787875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38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0.45448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200</v>
      </c>
      <c r="Y434" s="545">
        <f>IFERROR(SUM(Y421:Y432),"0")</f>
        <v>200.64000000000001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650</v>
      </c>
      <c r="Y436" s="544">
        <f>IFERROR(IF(X436="",0,CEILING((X436/$H436),1)*$H436),"")</f>
        <v>654.72</v>
      </c>
      <c r="Z436" s="36">
        <f>IFERROR(IF(Y436=0,"",ROUNDUP(Y436/H436,0)*0.01196),"")</f>
        <v>1.4830399999999999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693.08712121212113</v>
      </c>
      <c r="BN436" s="64">
        <f>IFERROR(Y436*I436/H436,"0")</f>
        <v>698.12</v>
      </c>
      <c r="BO436" s="64">
        <f>IFERROR(1/J436*(X436/H436),"0")</f>
        <v>1.1837121212121211</v>
      </c>
      <c r="BP436" s="64">
        <f>IFERROR(1/J436*(Y436/H436),"0")</f>
        <v>1.1923076923076923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114</v>
      </c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123.10606060606059</v>
      </c>
      <c r="Y439" s="545">
        <f>IFERROR(Y436/H436,"0")+IFERROR(Y437/H437,"0")+IFERROR(Y438/H438,"0")</f>
        <v>124</v>
      </c>
      <c r="Z439" s="545">
        <f>IFERROR(IF(Z436="",0,Z436),"0")+IFERROR(IF(Z437="",0,Z437),"0")+IFERROR(IF(Z438="",0,Z438),"0")</f>
        <v>1.4830399999999999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650</v>
      </c>
      <c r="Y440" s="545">
        <f>IFERROR(SUM(Y436:Y438),"0")</f>
        <v>654.72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100</v>
      </c>
      <c r="Y442" s="544">
        <f t="shared" ref="Y442:Y447" si="48"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106.62878787878788</v>
      </c>
      <c r="BN442" s="64">
        <f t="shared" ref="BN442:BN447" si="50">IFERROR(Y442*I442/H442,"0")</f>
        <v>106.97</v>
      </c>
      <c r="BO442" s="64">
        <f t="shared" ref="BO442:BO447" si="51">IFERROR(1/J442*(X442/H442),"0")</f>
        <v>0.18210955710955709</v>
      </c>
      <c r="BP442" s="64">
        <f t="shared" ref="BP442:BP447" si="52">IFERROR(1/J442*(Y442/H442),"0")</f>
        <v>0.18269230769230771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80</v>
      </c>
      <c r="Y443" s="544">
        <f t="shared" si="48"/>
        <v>84.48</v>
      </c>
      <c r="Z443" s="36">
        <f>IFERROR(IF(Y443=0,"",ROUNDUP(Y443/H443,0)*0.01196),"")</f>
        <v>0.19136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85.303030303030297</v>
      </c>
      <c r="BN443" s="64">
        <f t="shared" si="50"/>
        <v>90.08</v>
      </c>
      <c r="BO443" s="64">
        <f t="shared" si="51"/>
        <v>0.14568764568764569</v>
      </c>
      <c r="BP443" s="64">
        <f t="shared" si="52"/>
        <v>0.15384615384615385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100</v>
      </c>
      <c r="Y444" s="544">
        <f t="shared" si="48"/>
        <v>100.32000000000001</v>
      </c>
      <c r="Z444" s="36">
        <f>IFERROR(IF(Y444=0,"",ROUNDUP(Y444/H444,0)*0.01196),"")</f>
        <v>0.22724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106.62878787878788</v>
      </c>
      <c r="BN444" s="64">
        <f t="shared" si="50"/>
        <v>106.97</v>
      </c>
      <c r="BO444" s="64">
        <f t="shared" si="51"/>
        <v>0.18210955710955709</v>
      </c>
      <c r="BP444" s="64">
        <f t="shared" si="52"/>
        <v>0.18269230769230771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hidden="1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53.030303030303024</v>
      </c>
      <c r="Y448" s="545">
        <f>IFERROR(Y442/H442,"0")+IFERROR(Y443/H443,"0")+IFERROR(Y444/H444,"0")+IFERROR(Y445/H445,"0")+IFERROR(Y446/H446,"0")+IFERROR(Y447/H447,"0")</f>
        <v>54</v>
      </c>
      <c r="Z448" s="545">
        <f>IFERROR(IF(Z442="",0,Z442),"0")+IFERROR(IF(Z443="",0,Z443),"0")+IFERROR(IF(Z444="",0,Z444),"0")+IFERROR(IF(Z445="",0,Z445),"0")+IFERROR(IF(Z446="",0,Z446),"0")+IFERROR(IF(Z447="",0,Z447),"0")</f>
        <v>0.64583999999999997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280</v>
      </c>
      <c r="Y449" s="545">
        <f>IFERROR(SUM(Y442:Y447),"0")</f>
        <v>285.12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 t="s">
        <v>107</v>
      </c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110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114</v>
      </c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100</v>
      </c>
      <c r="Y472" s="544">
        <f>IFERROR(IF(X472="",0,CEILING((X472/$H472),1)*$H472),"")</f>
        <v>100.80000000000001</v>
      </c>
      <c r="Z472" s="36">
        <f>IFERROR(IF(Y472=0,"",ROUNDUP(Y472/H472,0)*0.00902),"")</f>
        <v>0.21648000000000001</v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105.95238095238095</v>
      </c>
      <c r="BN472" s="64">
        <f>IFERROR(Y472*I472/H472,"0")</f>
        <v>106.80000000000001</v>
      </c>
      <c r="BO472" s="64">
        <f>IFERROR(1/J472*(X472/H472),"0")</f>
        <v>0.18037518037518038</v>
      </c>
      <c r="BP472" s="64">
        <f>IFERROR(1/J472*(Y472/H472),"0")</f>
        <v>0.18181818181818182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114</v>
      </c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23.80952380952381</v>
      </c>
      <c r="Y474" s="545">
        <f>IFERROR(Y472/H472,"0")+IFERROR(Y473/H473,"0")</f>
        <v>24</v>
      </c>
      <c r="Z474" s="545">
        <f>IFERROR(IF(Z472="",0,Z472),"0")+IFERROR(IF(Z473="",0,Z473),"0")</f>
        <v>0.21648000000000001</v>
      </c>
      <c r="AA474" s="546"/>
      <c r="AB474" s="546"/>
      <c r="AC474" s="546"/>
    </row>
    <row r="475" spans="1:68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100</v>
      </c>
      <c r="Y475" s="545">
        <f>IFERROR(SUM(Y472:Y473),"0")</f>
        <v>100.80000000000001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7435.9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7517.2800000000007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7755.0465023248335</v>
      </c>
      <c r="Y491" s="545">
        <f>IFERROR(SUM(BN22:BN487),"0")</f>
        <v>7840.0520000000015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12</v>
      </c>
      <c r="Y492" s="38">
        <f>ROUNDUP(SUM(BP22:BP487),0)</f>
        <v>12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8055.0465023248335</v>
      </c>
      <c r="Y493" s="545">
        <f>GrossWeightTotalR+PalletQtyTotalR*25</f>
        <v>8140.0520000000015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864.27617444284124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874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13.145750000000003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194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151.20000000000002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195.3</v>
      </c>
      <c r="E500" s="46">
        <f>IFERROR(Y86*1,"0")+IFERROR(Y87*1,"0")+IFERROR(Y88*1,"0")+IFERROR(Y92*1,"0")+IFERROR(Y93*1,"0")+IFERROR(Y94*1,"0")+IFERROR(Y95*1,"0")</f>
        <v>159.30000000000001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151.20000000000002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151.20000000000002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81.599999999999994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331.80000000000007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4566</v>
      </c>
      <c r="T500" s="46">
        <f>IFERROR(Y367*1,"0")+IFERROR(Y368*1,"0")+IFERROR(Y372*1,"0")+IFERROR(Y373*1,"0")+IFERROR(Y377*1,"0")+IFERROR(Y378*1,"0")+IFERROR(Y379*1,"0")</f>
        <v>0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186.00000000000003</v>
      </c>
      <c r="V500" s="46">
        <f>IFERROR(Y403*1,"0")+IFERROR(Y407*1,"0")+IFERROR(Y408*1,"0")+IFERROR(Y409*1,"0")+IFERROR(Y410*1,"0")</f>
        <v>302.40000000000003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1140.48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100.80000000000001</v>
      </c>
      <c r="Z500" s="46">
        <f>IFERROR(Y487*1,"0")</f>
        <v>0</v>
      </c>
      <c r="AB500" s="52"/>
      <c r="AC500" s="52"/>
      <c r="AF500" s="541"/>
    </row>
  </sheetData>
  <sheetProtection algorithmName="SHA-512" hashValue="K8H38M6e/rtPsru/P5ie1WwA5WAbFl+0x87fR02vyfd4EQtdN7GsiZ75/zS1BMlHhxRKVdja9VdOzOFLpXR7fw==" saltValue="bawqZUTgi3fS86wPevibf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2"/>
        <filter val="123,11"/>
        <filter val="13,89"/>
        <filter val="130,00"/>
        <filter val="133,33"/>
        <filter val="15,74"/>
        <filter val="150,00"/>
        <filter val="154,00"/>
        <filter val="170,00"/>
        <filter val="179,40"/>
        <filter val="2 000,00"/>
        <filter val="200,00"/>
        <filter val="21,00"/>
        <filter val="22,50"/>
        <filter val="220,00"/>
        <filter val="23,81"/>
        <filter val="24,44"/>
        <filter val="280,00"/>
        <filter val="30,95"/>
        <filter val="300,00"/>
        <filter val="32,35"/>
        <filter val="33,33"/>
        <filter val="35,71"/>
        <filter val="37,88"/>
        <filter val="41,78"/>
        <filter val="5,00"/>
        <filter val="50,00"/>
        <filter val="500,00"/>
        <filter val="53,03"/>
        <filter val="54,00"/>
        <filter val="55,56"/>
        <filter val="650,00"/>
        <filter val="7 435,90"/>
        <filter val="7 755,05"/>
        <filter val="8 055,05"/>
        <filter val="8,40"/>
        <filter val="80,00"/>
        <filter val="864,28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8 X92 X94:X95 X100:X102 X107 X109 X113 X115 X125:X126 X131 X162 X164:X165 X168:X169 X192 X196:X201 X203 X207:X210 X212:X215 X219:X220 X225 X255 X273:X274 X299 X302 X307 X314:X316 X322:X323 X327:X329 X334:X336 X342:X344 X352 X358 X367 X372 X377:X378 X385 X387 X392 X407 X421 X424:X425 X427 X432 X436 X438 X442:X444 X461 X472:X473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pnx4eOU9ASk1TzuWLkMo6YnS8Xnc0twgxN8MfVYl8/pCnuIuYKpQBf4QaTwJLfrqP2S2Tajx4LWKfiNuivSArw==" saltValue="31q+XHHhP4tC7//N6H5cV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