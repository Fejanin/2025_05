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983B49-91CB-4812-8D7E-4FC50A304B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Z503" i="1" s="1"/>
  <c r="P490" i="1"/>
  <c r="X487" i="1"/>
  <c r="X486" i="1"/>
  <c r="BO485" i="1"/>
  <c r="BM485" i="1"/>
  <c r="Y485" i="1"/>
  <c r="BP485" i="1" s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O466" i="1"/>
  <c r="BM466" i="1"/>
  <c r="Y466" i="1"/>
  <c r="P466" i="1"/>
  <c r="BO465" i="1"/>
  <c r="BM465" i="1"/>
  <c r="Y465" i="1"/>
  <c r="BP465" i="1" s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Y376" i="1" s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P63" i="1"/>
  <c r="BO62" i="1"/>
  <c r="BM62" i="1"/>
  <c r="Y62" i="1"/>
  <c r="P62" i="1"/>
  <c r="BO61" i="1"/>
  <c r="BM61" i="1"/>
  <c r="Y61" i="1"/>
  <c r="Y64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P55" i="1"/>
  <c r="BO54" i="1"/>
  <c r="BM54" i="1"/>
  <c r="Y54" i="1"/>
  <c r="P54" i="1"/>
  <c r="BO53" i="1"/>
  <c r="BN53" i="1"/>
  <c r="BM53" i="1"/>
  <c r="Z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63" i="1" l="1"/>
  <c r="BN63" i="1"/>
  <c r="Z63" i="1"/>
  <c r="BP92" i="1"/>
  <c r="BN92" i="1"/>
  <c r="Z92" i="1"/>
  <c r="BP128" i="1"/>
  <c r="BN128" i="1"/>
  <c r="Z128" i="1"/>
  <c r="BP176" i="1"/>
  <c r="BN176" i="1"/>
  <c r="Z176" i="1"/>
  <c r="BP210" i="1"/>
  <c r="BN210" i="1"/>
  <c r="Z210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75" i="1"/>
  <c r="BN375" i="1"/>
  <c r="Z375" i="1"/>
  <c r="BP379" i="1"/>
  <c r="BN379" i="1"/>
  <c r="Z379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B503" i="1"/>
  <c r="X495" i="1"/>
  <c r="Z31" i="1"/>
  <c r="BN31" i="1"/>
  <c r="BP75" i="1"/>
  <c r="BN75" i="1"/>
  <c r="Z75" i="1"/>
  <c r="BP109" i="1"/>
  <c r="BN109" i="1"/>
  <c r="Z109" i="1"/>
  <c r="BP168" i="1"/>
  <c r="BN168" i="1"/>
  <c r="Z168" i="1"/>
  <c r="BP198" i="1"/>
  <c r="BN198" i="1"/>
  <c r="Z198" i="1"/>
  <c r="BP220" i="1"/>
  <c r="BN220" i="1"/>
  <c r="Z220" i="1"/>
  <c r="BP255" i="1"/>
  <c r="BN255" i="1"/>
  <c r="Z255" i="1"/>
  <c r="BP291" i="1"/>
  <c r="BN291" i="1"/>
  <c r="Z291" i="1"/>
  <c r="BP296" i="1"/>
  <c r="BN296" i="1"/>
  <c r="Z296" i="1"/>
  <c r="BP322" i="1"/>
  <c r="BN322" i="1"/>
  <c r="Z322" i="1"/>
  <c r="BP352" i="1"/>
  <c r="BN352" i="1"/>
  <c r="Z352" i="1"/>
  <c r="BP397" i="1"/>
  <c r="BN397" i="1"/>
  <c r="Z397" i="1"/>
  <c r="BP436" i="1"/>
  <c r="BN436" i="1"/>
  <c r="Z436" i="1"/>
  <c r="BP472" i="1"/>
  <c r="BN472" i="1"/>
  <c r="Z472" i="1"/>
  <c r="BP94" i="1"/>
  <c r="BN94" i="1"/>
  <c r="Z94" i="1"/>
  <c r="Y134" i="1"/>
  <c r="BP132" i="1"/>
  <c r="BN132" i="1"/>
  <c r="Z132" i="1"/>
  <c r="X494" i="1"/>
  <c r="Z23" i="1"/>
  <c r="BN23" i="1"/>
  <c r="X493" i="1"/>
  <c r="Y33" i="1"/>
  <c r="Z29" i="1"/>
  <c r="BN29" i="1"/>
  <c r="Z35" i="1"/>
  <c r="Z36" i="1" s="1"/>
  <c r="BN35" i="1"/>
  <c r="BP35" i="1"/>
  <c r="Y36" i="1"/>
  <c r="Z41" i="1"/>
  <c r="Z42" i="1"/>
  <c r="BN42" i="1"/>
  <c r="BP55" i="1"/>
  <c r="BN55" i="1"/>
  <c r="Z55" i="1"/>
  <c r="BP73" i="1"/>
  <c r="BN73" i="1"/>
  <c r="Z73" i="1"/>
  <c r="BP88" i="1"/>
  <c r="BN88" i="1"/>
  <c r="Z88" i="1"/>
  <c r="BP103" i="1"/>
  <c r="BN103" i="1"/>
  <c r="Z103" i="1"/>
  <c r="BP117" i="1"/>
  <c r="BN117" i="1"/>
  <c r="Z117" i="1"/>
  <c r="BP152" i="1"/>
  <c r="BN152" i="1"/>
  <c r="Z152" i="1"/>
  <c r="BP174" i="1"/>
  <c r="BN174" i="1"/>
  <c r="Z174" i="1"/>
  <c r="BP184" i="1"/>
  <c r="BN184" i="1"/>
  <c r="Z184" i="1"/>
  <c r="Y190" i="1"/>
  <c r="Y189" i="1"/>
  <c r="BP188" i="1"/>
  <c r="BN188" i="1"/>
  <c r="Z188" i="1"/>
  <c r="Z189" i="1" s="1"/>
  <c r="BP193" i="1"/>
  <c r="BN193" i="1"/>
  <c r="Z193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Y65" i="1"/>
  <c r="BP61" i="1"/>
  <c r="BN61" i="1"/>
  <c r="Z61" i="1"/>
  <c r="BP79" i="1"/>
  <c r="BN79" i="1"/>
  <c r="Z79" i="1"/>
  <c r="BP111" i="1"/>
  <c r="BN111" i="1"/>
  <c r="Z111" i="1"/>
  <c r="BP170" i="1"/>
  <c r="BN170" i="1"/>
  <c r="Z170" i="1"/>
  <c r="BP178" i="1"/>
  <c r="BN178" i="1"/>
  <c r="Z178" i="1"/>
  <c r="BP204" i="1"/>
  <c r="BN204" i="1"/>
  <c r="Z204" i="1"/>
  <c r="BP214" i="1"/>
  <c r="BN214" i="1"/>
  <c r="Z214" i="1"/>
  <c r="BP222" i="1"/>
  <c r="BN222" i="1"/>
  <c r="Z222" i="1"/>
  <c r="BP237" i="1"/>
  <c r="BN237" i="1"/>
  <c r="Z237" i="1"/>
  <c r="BP262" i="1"/>
  <c r="BN262" i="1"/>
  <c r="Z262" i="1"/>
  <c r="BP278" i="1"/>
  <c r="BN278" i="1"/>
  <c r="Z278" i="1"/>
  <c r="BP298" i="1"/>
  <c r="BN298" i="1"/>
  <c r="Z298" i="1"/>
  <c r="BP310" i="1"/>
  <c r="BN310" i="1"/>
  <c r="Z310" i="1"/>
  <c r="BP328" i="1"/>
  <c r="BN328" i="1"/>
  <c r="Z328" i="1"/>
  <c r="BP354" i="1"/>
  <c r="BN354" i="1"/>
  <c r="Z354" i="1"/>
  <c r="BP385" i="1"/>
  <c r="BN385" i="1"/>
  <c r="Z385" i="1"/>
  <c r="BP399" i="1"/>
  <c r="BN399" i="1"/>
  <c r="Z399" i="1"/>
  <c r="BP430" i="1"/>
  <c r="BN430" i="1"/>
  <c r="Z430" i="1"/>
  <c r="BP438" i="1"/>
  <c r="BN438" i="1"/>
  <c r="Z438" i="1"/>
  <c r="BP454" i="1"/>
  <c r="BN454" i="1"/>
  <c r="Z454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Y486" i="1"/>
  <c r="BP484" i="1"/>
  <c r="BN484" i="1"/>
  <c r="Z484" i="1"/>
  <c r="Y119" i="1"/>
  <c r="Y186" i="1"/>
  <c r="Y185" i="1"/>
  <c r="BP271" i="1"/>
  <c r="BN271" i="1"/>
  <c r="Z271" i="1"/>
  <c r="BP285" i="1"/>
  <c r="BN285" i="1"/>
  <c r="Z285" i="1"/>
  <c r="BP306" i="1"/>
  <c r="BN306" i="1"/>
  <c r="Z306" i="1"/>
  <c r="BP316" i="1"/>
  <c r="BN316" i="1"/>
  <c r="Z316" i="1"/>
  <c r="Y338" i="1"/>
  <c r="BP334" i="1"/>
  <c r="BN334" i="1"/>
  <c r="Z334" i="1"/>
  <c r="BP350" i="1"/>
  <c r="BN350" i="1"/>
  <c r="Z350" i="1"/>
  <c r="Y366" i="1"/>
  <c r="BP364" i="1"/>
  <c r="BN364" i="1"/>
  <c r="Z364" i="1"/>
  <c r="BP395" i="1"/>
  <c r="BN395" i="1"/>
  <c r="Z395" i="1"/>
  <c r="BP416" i="1"/>
  <c r="BN416" i="1"/>
  <c r="Z416" i="1"/>
  <c r="BP434" i="1"/>
  <c r="BN434" i="1"/>
  <c r="Z434" i="1"/>
  <c r="Y456" i="1"/>
  <c r="BP450" i="1"/>
  <c r="BN450" i="1"/>
  <c r="Z450" i="1"/>
  <c r="BP466" i="1"/>
  <c r="BN466" i="1"/>
  <c r="Z466" i="1"/>
  <c r="Y318" i="1"/>
  <c r="X503" i="1"/>
  <c r="Y446" i="1"/>
  <c r="Y468" i="1"/>
  <c r="H9" i="1"/>
  <c r="A10" i="1"/>
  <c r="Y24" i="1"/>
  <c r="Y32" i="1"/>
  <c r="BP43" i="1"/>
  <c r="BN43" i="1"/>
  <c r="Z43" i="1"/>
  <c r="Z44" i="1" s="1"/>
  <c r="Y45" i="1"/>
  <c r="Y48" i="1"/>
  <c r="BP47" i="1"/>
  <c r="BN47" i="1"/>
  <c r="Z47" i="1"/>
  <c r="Z48" i="1" s="1"/>
  <c r="Y49" i="1"/>
  <c r="D503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3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3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BP199" i="1"/>
  <c r="BN199" i="1"/>
  <c r="Z199" i="1"/>
  <c r="Z200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3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3" i="1"/>
  <c r="Y266" i="1"/>
  <c r="BP261" i="1"/>
  <c r="BN261" i="1"/>
  <c r="Z261" i="1"/>
  <c r="BP265" i="1"/>
  <c r="BN265" i="1"/>
  <c r="Z265" i="1"/>
  <c r="Y267" i="1"/>
  <c r="M503" i="1"/>
  <c r="Y275" i="1"/>
  <c r="BP270" i="1"/>
  <c r="BN270" i="1"/>
  <c r="Z270" i="1"/>
  <c r="Y274" i="1"/>
  <c r="BP279" i="1"/>
  <c r="BN279" i="1"/>
  <c r="Z279" i="1"/>
  <c r="Z281" i="1" s="1"/>
  <c r="Y281" i="1"/>
  <c r="BP317" i="1"/>
  <c r="BN317" i="1"/>
  <c r="Z317" i="1"/>
  <c r="Y319" i="1"/>
  <c r="Y324" i="1"/>
  <c r="BP321" i="1"/>
  <c r="BN321" i="1"/>
  <c r="Z321" i="1"/>
  <c r="Y325" i="1"/>
  <c r="BP329" i="1"/>
  <c r="BN329" i="1"/>
  <c r="Z329" i="1"/>
  <c r="F9" i="1"/>
  <c r="J9" i="1"/>
  <c r="Z22" i="1"/>
  <c r="Z24" i="1" s="1"/>
  <c r="BN22" i="1"/>
  <c r="BP22" i="1"/>
  <c r="X497" i="1"/>
  <c r="Y25" i="1"/>
  <c r="Z28" i="1"/>
  <c r="BN28" i="1"/>
  <c r="Z30" i="1"/>
  <c r="BN30" i="1"/>
  <c r="C503" i="1"/>
  <c r="Y44" i="1"/>
  <c r="BP41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3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54" i="1"/>
  <c r="BP153" i="1"/>
  <c r="BN153" i="1"/>
  <c r="Z153" i="1"/>
  <c r="Y155" i="1"/>
  <c r="Y158" i="1"/>
  <c r="BP157" i="1"/>
  <c r="BN157" i="1"/>
  <c r="Z157" i="1"/>
  <c r="Z158" i="1" s="1"/>
  <c r="Y159" i="1"/>
  <c r="I503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BP297" i="1"/>
  <c r="BN297" i="1"/>
  <c r="Z297" i="1"/>
  <c r="BP301" i="1"/>
  <c r="BN301" i="1"/>
  <c r="Z301" i="1"/>
  <c r="Y303" i="1"/>
  <c r="Y312" i="1"/>
  <c r="BP305" i="1"/>
  <c r="BN305" i="1"/>
  <c r="Z305" i="1"/>
  <c r="Y311" i="1"/>
  <c r="BP309" i="1"/>
  <c r="BN309" i="1"/>
  <c r="Z309" i="1"/>
  <c r="R503" i="1"/>
  <c r="Y344" i="1"/>
  <c r="BP341" i="1"/>
  <c r="BN341" i="1"/>
  <c r="Z341" i="1"/>
  <c r="Y345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Y361" i="1"/>
  <c r="H503" i="1"/>
  <c r="Y145" i="1"/>
  <c r="J503" i="1"/>
  <c r="Y196" i="1"/>
  <c r="Y195" i="1"/>
  <c r="Y200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Z302" i="1" s="1"/>
  <c r="BP307" i="1"/>
  <c r="BN307" i="1"/>
  <c r="Z307" i="1"/>
  <c r="BP315" i="1"/>
  <c r="BN315" i="1"/>
  <c r="Z315" i="1"/>
  <c r="Z318" i="1" s="1"/>
  <c r="BP323" i="1"/>
  <c r="BN323" i="1"/>
  <c r="Z323" i="1"/>
  <c r="Y332" i="1"/>
  <c r="BP327" i="1"/>
  <c r="BN327" i="1"/>
  <c r="Z327" i="1"/>
  <c r="Z331" i="1" s="1"/>
  <c r="Y331" i="1"/>
  <c r="BP335" i="1"/>
  <c r="BN335" i="1"/>
  <c r="Z335" i="1"/>
  <c r="BP380" i="1"/>
  <c r="BN380" i="1"/>
  <c r="Z380" i="1"/>
  <c r="Z381" i="1" s="1"/>
  <c r="Y382" i="1"/>
  <c r="Y387" i="1"/>
  <c r="BP384" i="1"/>
  <c r="BN384" i="1"/>
  <c r="Z384" i="1"/>
  <c r="Y388" i="1"/>
  <c r="BP394" i="1"/>
  <c r="BN394" i="1"/>
  <c r="Z394" i="1"/>
  <c r="BP398" i="1"/>
  <c r="BN398" i="1"/>
  <c r="Z398" i="1"/>
  <c r="BP415" i="1"/>
  <c r="BN415" i="1"/>
  <c r="Z415" i="1"/>
  <c r="O503" i="1"/>
  <c r="Y282" i="1"/>
  <c r="P503" i="1"/>
  <c r="Y287" i="1"/>
  <c r="Q503" i="1"/>
  <c r="Y302" i="1"/>
  <c r="Y337" i="1"/>
  <c r="BP343" i="1"/>
  <c r="BN343" i="1"/>
  <c r="Z343" i="1"/>
  <c r="S503" i="1"/>
  <c r="Y356" i="1"/>
  <c r="BP349" i="1"/>
  <c r="BN349" i="1"/>
  <c r="Z349" i="1"/>
  <c r="BP353" i="1"/>
  <c r="BN353" i="1"/>
  <c r="Z353" i="1"/>
  <c r="BP365" i="1"/>
  <c r="BN365" i="1"/>
  <c r="Z365" i="1"/>
  <c r="Z366" i="1" s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Y381" i="1"/>
  <c r="BP386" i="1"/>
  <c r="BN386" i="1"/>
  <c r="Z386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BP431" i="1"/>
  <c r="BN431" i="1"/>
  <c r="Z431" i="1"/>
  <c r="BP435" i="1"/>
  <c r="BN435" i="1"/>
  <c r="Z435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Y441" i="1"/>
  <c r="Y447" i="1"/>
  <c r="Y455" i="1"/>
  <c r="Y469" i="1"/>
  <c r="Y473" i="1"/>
  <c r="Y487" i="1"/>
  <c r="Y492" i="1"/>
  <c r="W503" i="1"/>
  <c r="Y503" i="1"/>
  <c r="Z439" i="1"/>
  <c r="BN439" i="1"/>
  <c r="Y440" i="1"/>
  <c r="Z443" i="1"/>
  <c r="Z446" i="1" s="1"/>
  <c r="BN443" i="1"/>
  <c r="BP443" i="1"/>
  <c r="Z445" i="1"/>
  <c r="BN445" i="1"/>
  <c r="Z449" i="1"/>
  <c r="BN449" i="1"/>
  <c r="BP449" i="1"/>
  <c r="Z451" i="1"/>
  <c r="BN451" i="1"/>
  <c r="Z453" i="1"/>
  <c r="BN453" i="1"/>
  <c r="Z465" i="1"/>
  <c r="BN465" i="1"/>
  <c r="Z467" i="1"/>
  <c r="BN467" i="1"/>
  <c r="Z471" i="1"/>
  <c r="Z473" i="1" s="1"/>
  <c r="BN471" i="1"/>
  <c r="BP471" i="1"/>
  <c r="Z485" i="1"/>
  <c r="Z486" i="1" s="1"/>
  <c r="BN485" i="1"/>
  <c r="Z490" i="1"/>
  <c r="Z491" i="1" s="1"/>
  <c r="BN490" i="1"/>
  <c r="BP490" i="1"/>
  <c r="Y491" i="1"/>
  <c r="Z468" i="1" l="1"/>
  <c r="Z376" i="1"/>
  <c r="Z337" i="1"/>
  <c r="Z185" i="1"/>
  <c r="Z195" i="1"/>
  <c r="X496" i="1"/>
  <c r="Z418" i="1"/>
  <c r="Z105" i="1"/>
  <c r="Z154" i="1"/>
  <c r="Z58" i="1"/>
  <c r="Z440" i="1"/>
  <c r="Z32" i="1"/>
  <c r="Z274" i="1"/>
  <c r="Z257" i="1"/>
  <c r="Z223" i="1"/>
  <c r="Z96" i="1"/>
  <c r="Z344" i="1"/>
  <c r="Y494" i="1"/>
  <c r="Z211" i="1"/>
  <c r="Z455" i="1"/>
  <c r="Z401" i="1"/>
  <c r="Z356" i="1"/>
  <c r="Z387" i="1"/>
  <c r="Z311" i="1"/>
  <c r="Z179" i="1"/>
  <c r="Y493" i="1"/>
  <c r="Y495" i="1"/>
  <c r="Z324" i="1"/>
  <c r="Z266" i="1"/>
  <c r="Z241" i="1"/>
  <c r="Z89" i="1"/>
  <c r="Z76" i="1"/>
  <c r="Y497" i="1"/>
  <c r="Z498" i="1" l="1"/>
  <c r="Y496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<sst xmlns="http://schemas.openxmlformats.org/spreadsheetml/2006/main" count="2367" uniqueCount="778">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</sst>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6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07" t="s">
        <v>0</v>
      </c>
      <c r="E1" s="576"/>
      <c r="F1" s="576"/>
      <c r="G1" s="12" t="s">
        <v>1</v>
      </c>
      <c r="H1" s="80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866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1" t="s">
        <v>8</v>
      </c>
      <c r="B5" s="569"/>
      <c r="C5" s="570"/>
      <c r="D5" s="657"/>
      <c r="E5" s="659"/>
      <c r="F5" s="613" t="s">
        <v>9</v>
      </c>
      <c r="G5" s="570"/>
      <c r="H5" s="657" t="s">
        <v>777</v>
      </c>
      <c r="I5" s="658"/>
      <c r="J5" s="658"/>
      <c r="K5" s="658"/>
      <c r="L5" s="658"/>
      <c r="M5" s="659"/>
      <c r="N5" s="58"/>
      <c r="P5" s="24" t="s">
        <v>10</v>
      </c>
      <c r="Q5" s="585">
        <v>46015</v>
      </c>
      <c r="R5" s="586"/>
      <c r="T5" s="727" t="s">
        <v>11</v>
      </c>
      <c r="U5" s="716"/>
      <c r="V5" s="728" t="s">
        <v>12</v>
      </c>
      <c r="W5" s="586"/>
      <c r="AB5" s="51"/>
      <c r="AC5" s="51"/>
      <c r="AD5" s="51"/>
      <c r="AE5" s="51"/>
    </row>
    <row r="6" spans="1:32" s="543" customFormat="1" ht="24" customHeight="1" x14ac:dyDescent="0.2">
      <c r="A6" s="761" t="s">
        <v>13</v>
      </c>
      <c r="B6" s="569"/>
      <c r="C6" s="570"/>
      <c r="D6" s="661" t="s">
        <v>14</v>
      </c>
      <c r="E6" s="662"/>
      <c r="F6" s="662"/>
      <c r="G6" s="662"/>
      <c r="H6" s="662"/>
      <c r="I6" s="662"/>
      <c r="J6" s="662"/>
      <c r="K6" s="662"/>
      <c r="L6" s="662"/>
      <c r="M6" s="586"/>
      <c r="N6" s="59"/>
      <c r="P6" s="24" t="s">
        <v>15</v>
      </c>
      <c r="Q6" s="594" t="str">
        <f>IF(Q5=0," ",CHOOSE(WEEKDAY(Q5,2),"Понедельник","Вторник","Среда","Четверг","Пятница","Суббота","Воскресенье"))</f>
        <v>Среда</v>
      </c>
      <c r="R6" s="566"/>
      <c r="T6" s="734" t="s">
        <v>16</v>
      </c>
      <c r="U6" s="716"/>
      <c r="V6" s="667" t="s">
        <v>17</v>
      </c>
      <c r="W6" s="66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34" t="str">
        <f>IFERROR(VLOOKUP(DeliveryAddress,Table,3,0),1)</f>
        <v>1</v>
      </c>
      <c r="E7" s="835"/>
      <c r="F7" s="835"/>
      <c r="G7" s="835"/>
      <c r="H7" s="835"/>
      <c r="I7" s="835"/>
      <c r="J7" s="835"/>
      <c r="K7" s="835"/>
      <c r="L7" s="835"/>
      <c r="M7" s="732"/>
      <c r="N7" s="60"/>
      <c r="P7" s="24"/>
      <c r="Q7" s="42"/>
      <c r="R7" s="42"/>
      <c r="T7" s="560"/>
      <c r="U7" s="716"/>
      <c r="V7" s="669"/>
      <c r="W7" s="670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37" t="s">
        <v>19</v>
      </c>
      <c r="E8" s="838"/>
      <c r="F8" s="838"/>
      <c r="G8" s="838"/>
      <c r="H8" s="838"/>
      <c r="I8" s="838"/>
      <c r="J8" s="838"/>
      <c r="K8" s="838"/>
      <c r="L8" s="838"/>
      <c r="M8" s="839"/>
      <c r="N8" s="61"/>
      <c r="P8" s="24" t="s">
        <v>20</v>
      </c>
      <c r="Q8" s="731">
        <v>0.5</v>
      </c>
      <c r="R8" s="732"/>
      <c r="T8" s="560"/>
      <c r="U8" s="716"/>
      <c r="V8" s="669"/>
      <c r="W8" s="670"/>
      <c r="AB8" s="51"/>
      <c r="AC8" s="51"/>
      <c r="AD8" s="51"/>
      <c r="AE8" s="51"/>
    </row>
    <row r="9" spans="1:32" s="543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30"/>
      <c r="E9" s="631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80" t="str">
        <f>IF(AND($A$9="Тип доверенности/получателя при получении в адресе перегруза:",$D$9="Разовая доверенность"),"Введите ФИО","")</f>
        <v/>
      </c>
      <c r="I9" s="631"/>
      <c r="J9" s="7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1"/>
      <c r="L9" s="631"/>
      <c r="M9" s="631"/>
      <c r="N9" s="541"/>
      <c r="P9" s="26" t="s">
        <v>21</v>
      </c>
      <c r="Q9" s="785"/>
      <c r="R9" s="617"/>
      <c r="T9" s="560"/>
      <c r="U9" s="716"/>
      <c r="V9" s="671"/>
      <c r="W9" s="6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30"/>
      <c r="E10" s="631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83" t="str">
        <f>IFERROR(VLOOKUP($D$10,Proxy,2,FALSE),"")</f>
        <v/>
      </c>
      <c r="I10" s="560"/>
      <c r="J10" s="560"/>
      <c r="K10" s="560"/>
      <c r="L10" s="560"/>
      <c r="M10" s="560"/>
      <c r="N10" s="542"/>
      <c r="P10" s="26" t="s">
        <v>22</v>
      </c>
      <c r="Q10" s="735"/>
      <c r="R10" s="736"/>
      <c r="U10" s="24" t="s">
        <v>23</v>
      </c>
      <c r="V10" s="872" t="s">
        <v>24</v>
      </c>
      <c r="W10" s="66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6"/>
      <c r="R11" s="586"/>
      <c r="U11" s="24" t="s">
        <v>27</v>
      </c>
      <c r="V11" s="616" t="s">
        <v>28</v>
      </c>
      <c r="W11" s="61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7" t="s">
        <v>29</v>
      </c>
      <c r="B12" s="569"/>
      <c r="C12" s="569"/>
      <c r="D12" s="569"/>
      <c r="E12" s="569"/>
      <c r="F12" s="569"/>
      <c r="G12" s="569"/>
      <c r="H12" s="569"/>
      <c r="I12" s="569"/>
      <c r="J12" s="569"/>
      <c r="K12" s="569"/>
      <c r="L12" s="569"/>
      <c r="M12" s="570"/>
      <c r="N12" s="62"/>
      <c r="P12" s="24" t="s">
        <v>30</v>
      </c>
      <c r="Q12" s="731"/>
      <c r="R12" s="732"/>
      <c r="S12" s="23"/>
      <c r="U12" s="24"/>
      <c r="V12" s="576"/>
      <c r="W12" s="560"/>
      <c r="AB12" s="51"/>
      <c r="AC12" s="51"/>
      <c r="AD12" s="51"/>
      <c r="AE12" s="51"/>
    </row>
    <row r="13" spans="1:32" s="543" customFormat="1" ht="23.25" customHeight="1" x14ac:dyDescent="0.2">
      <c r="A13" s="737" t="s">
        <v>31</v>
      </c>
      <c r="B13" s="569"/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70"/>
      <c r="N13" s="62"/>
      <c r="O13" s="26"/>
      <c r="P13" s="26" t="s">
        <v>32</v>
      </c>
      <c r="Q13" s="616"/>
      <c r="R13" s="61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7" t="s">
        <v>33</v>
      </c>
      <c r="B14" s="569"/>
      <c r="C14" s="569"/>
      <c r="D14" s="569"/>
      <c r="E14" s="569"/>
      <c r="F14" s="569"/>
      <c r="G14" s="569"/>
      <c r="H14" s="569"/>
      <c r="I14" s="569"/>
      <c r="J14" s="569"/>
      <c r="K14" s="569"/>
      <c r="L14" s="569"/>
      <c r="M14" s="5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20" t="s">
        <v>34</v>
      </c>
      <c r="B15" s="569"/>
      <c r="C15" s="569"/>
      <c r="D15" s="569"/>
      <c r="E15" s="569"/>
      <c r="F15" s="569"/>
      <c r="G15" s="569"/>
      <c r="H15" s="569"/>
      <c r="I15" s="569"/>
      <c r="J15" s="569"/>
      <c r="K15" s="569"/>
      <c r="L15" s="569"/>
      <c r="M15" s="570"/>
      <c r="N15" s="63"/>
      <c r="P15" s="76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5"/>
      <c r="Q16" s="765"/>
      <c r="R16" s="765"/>
      <c r="S16" s="765"/>
      <c r="T16" s="7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3" t="s">
        <v>36</v>
      </c>
      <c r="B17" s="633" t="s">
        <v>37</v>
      </c>
      <c r="C17" s="752" t="s">
        <v>38</v>
      </c>
      <c r="D17" s="633" t="s">
        <v>39</v>
      </c>
      <c r="E17" s="635"/>
      <c r="F17" s="633" t="s">
        <v>40</v>
      </c>
      <c r="G17" s="633" t="s">
        <v>41</v>
      </c>
      <c r="H17" s="633" t="s">
        <v>42</v>
      </c>
      <c r="I17" s="633" t="s">
        <v>43</v>
      </c>
      <c r="J17" s="633" t="s">
        <v>44</v>
      </c>
      <c r="K17" s="633" t="s">
        <v>45</v>
      </c>
      <c r="L17" s="633" t="s">
        <v>46</v>
      </c>
      <c r="M17" s="633" t="s">
        <v>47</v>
      </c>
      <c r="N17" s="633" t="s">
        <v>48</v>
      </c>
      <c r="O17" s="633" t="s">
        <v>49</v>
      </c>
      <c r="P17" s="633" t="s">
        <v>50</v>
      </c>
      <c r="Q17" s="811"/>
      <c r="R17" s="811"/>
      <c r="S17" s="811"/>
      <c r="T17" s="635"/>
      <c r="U17" s="580" t="s">
        <v>51</v>
      </c>
      <c r="V17" s="570"/>
      <c r="W17" s="633" t="s">
        <v>52</v>
      </c>
      <c r="X17" s="633" t="s">
        <v>53</v>
      </c>
      <c r="Y17" s="583" t="s">
        <v>54</v>
      </c>
      <c r="Z17" s="679" t="s">
        <v>55</v>
      </c>
      <c r="AA17" s="607" t="s">
        <v>56</v>
      </c>
      <c r="AB17" s="607" t="s">
        <v>57</v>
      </c>
      <c r="AC17" s="607" t="s">
        <v>58</v>
      </c>
      <c r="AD17" s="607" t="s">
        <v>59</v>
      </c>
      <c r="AE17" s="608"/>
      <c r="AF17" s="609"/>
      <c r="AG17" s="66"/>
      <c r="BD17" s="65" t="s">
        <v>60</v>
      </c>
    </row>
    <row r="18" spans="1:68" ht="14.25" customHeight="1" x14ac:dyDescent="0.2">
      <c r="A18" s="634"/>
      <c r="B18" s="634"/>
      <c r="C18" s="634"/>
      <c r="D18" s="636"/>
      <c r="E18" s="637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36"/>
      <c r="Q18" s="812"/>
      <c r="R18" s="812"/>
      <c r="S18" s="812"/>
      <c r="T18" s="637"/>
      <c r="U18" s="67" t="s">
        <v>61</v>
      </c>
      <c r="V18" s="67" t="s">
        <v>62</v>
      </c>
      <c r="W18" s="634"/>
      <c r="X18" s="634"/>
      <c r="Y18" s="584"/>
      <c r="Z18" s="680"/>
      <c r="AA18" s="682"/>
      <c r="AB18" s="682"/>
      <c r="AC18" s="682"/>
      <c r="AD18" s="610"/>
      <c r="AE18" s="611"/>
      <c r="AF18" s="612"/>
      <c r="AG18" s="66"/>
      <c r="BD18" s="65"/>
    </row>
    <row r="19" spans="1:68" ht="27.75" hidden="1" customHeight="1" x14ac:dyDescent="0.2">
      <c r="A19" s="596" t="s">
        <v>63</v>
      </c>
      <c r="B19" s="597"/>
      <c r="C19" s="597"/>
      <c r="D19" s="597"/>
      <c r="E19" s="597"/>
      <c r="F19" s="59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48"/>
      <c r="AB19" s="48"/>
      <c r="AC19" s="48"/>
    </row>
    <row r="20" spans="1:68" ht="16.5" hidden="1" customHeight="1" x14ac:dyDescent="0.25">
      <c r="A20" s="571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4"/>
      <c r="AB20" s="544"/>
      <c r="AC20" s="544"/>
    </row>
    <row r="21" spans="1:68" ht="14.25" hidden="1" customHeight="1" x14ac:dyDescent="0.25">
      <c r="A21" s="574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5">
        <v>4680115887510</v>
      </c>
      <c r="E22" s="566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5">
        <v>4680115886643</v>
      </c>
      <c r="E23" s="566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1"/>
      <c r="P24" s="572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1"/>
      <c r="P25" s="572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4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5">
        <v>4680115885912</v>
      </c>
      <c r="E27" s="566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5">
        <v>4607091388237</v>
      </c>
      <c r="E28" s="566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5">
        <v>4680115887350</v>
      </c>
      <c r="E29" s="566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5">
        <v>4680115885905</v>
      </c>
      <c r="E30" s="566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7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5">
        <v>4607091388244</v>
      </c>
      <c r="E31" s="566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7"/>
      <c r="R31" s="557"/>
      <c r="S31" s="557"/>
      <c r="T31" s="558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1"/>
      <c r="P32" s="572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1"/>
      <c r="P33" s="572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74" t="s">
        <v>95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5">
        <v>4607091388503</v>
      </c>
      <c r="E35" s="566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7"/>
      <c r="R35" s="557"/>
      <c r="S35" s="557"/>
      <c r="T35" s="558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1"/>
      <c r="P36" s="572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1"/>
      <c r="P37" s="572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596" t="s">
        <v>101</v>
      </c>
      <c r="B38" s="597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  <c r="AA38" s="48"/>
      <c r="AB38" s="48"/>
      <c r="AC38" s="48"/>
    </row>
    <row r="39" spans="1:68" ht="16.5" hidden="1" customHeight="1" x14ac:dyDescent="0.25">
      <c r="A39" s="571" t="s">
        <v>102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4"/>
      <c r="AB39" s="544"/>
      <c r="AC39" s="544"/>
    </row>
    <row r="40" spans="1:68" ht="14.25" hidden="1" customHeight="1" x14ac:dyDescent="0.25">
      <c r="A40" s="574" t="s">
        <v>103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5">
        <v>4607091385670</v>
      </c>
      <c r="E41" s="566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9">
        <v>20</v>
      </c>
      <c r="Y41" s="550">
        <f>IFERROR(IF(X41="",0,CEILING((X41/$H41),1)*$H41),"")</f>
        <v>21.6</v>
      </c>
      <c r="Z41" s="36">
        <f>IFERROR(IF(Y41=0,"",ROUNDUP(Y41/H41,0)*0.01898),"")</f>
        <v>3.7960000000000001E-2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20.75925925925926</v>
      </c>
      <c r="BN41" s="64">
        <f>IFERROR(Y41*I41/H41,"0")</f>
        <v>22.42</v>
      </c>
      <c r="BO41" s="64">
        <f>IFERROR(1/J41*(X41/H41),"0")</f>
        <v>2.8935185185185182E-2</v>
      </c>
      <c r="BP41" s="64">
        <f>IFERROR(1/J41*(Y41/H41),"0")</f>
        <v>3.125E-2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5">
        <v>4680115882539</v>
      </c>
      <c r="E42" s="566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5">
        <v>4607091385687</v>
      </c>
      <c r="E43" s="566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7"/>
      <c r="R43" s="557"/>
      <c r="S43" s="557"/>
      <c r="T43" s="558"/>
      <c r="U43" s="34"/>
      <c r="V43" s="34"/>
      <c r="W43" s="35" t="s">
        <v>69</v>
      </c>
      <c r="X43" s="549">
        <v>12</v>
      </c>
      <c r="Y43" s="550">
        <f>IFERROR(IF(X43="",0,CEILING((X43/$H43),1)*$H43),"")</f>
        <v>12</v>
      </c>
      <c r="Z43" s="36">
        <f>IFERROR(IF(Y43=0,"",ROUNDUP(Y43/H43,0)*0.00902),"")</f>
        <v>2.7060000000000001E-2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12.57</v>
      </c>
      <c r="BN43" s="64">
        <f>IFERROR(Y43*I43/H43,"0")</f>
        <v>12.57</v>
      </c>
      <c r="BO43" s="64">
        <f>IFERROR(1/J43*(X43/H43),"0")</f>
        <v>2.2727272727272728E-2</v>
      </c>
      <c r="BP43" s="64">
        <f>IFERROR(1/J43*(Y43/H43),"0")</f>
        <v>2.2727272727272728E-2</v>
      </c>
    </row>
    <row r="44" spans="1:68" x14ac:dyDescent="0.2">
      <c r="A44" s="559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1"/>
      <c r="P44" s="572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51">
        <f>IFERROR(X41/H41,"0")+IFERROR(X42/H42,"0")+IFERROR(X43/H43,"0")</f>
        <v>4.8518518518518512</v>
      </c>
      <c r="Y44" s="551">
        <f>IFERROR(Y41/H41,"0")+IFERROR(Y42/H42,"0")+IFERROR(Y43/H43,"0")</f>
        <v>5</v>
      </c>
      <c r="Z44" s="551">
        <f>IFERROR(IF(Z41="",0,Z41),"0")+IFERROR(IF(Z42="",0,Z42),"0")+IFERROR(IF(Z43="",0,Z43),"0")</f>
        <v>6.5019999999999994E-2</v>
      </c>
      <c r="AA44" s="552"/>
      <c r="AB44" s="552"/>
      <c r="AC44" s="552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1"/>
      <c r="P45" s="572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51">
        <f>IFERROR(SUM(X41:X43),"0")</f>
        <v>32</v>
      </c>
      <c r="Y45" s="551">
        <f>IFERROR(SUM(Y41:Y43),"0")</f>
        <v>33.6</v>
      </c>
      <c r="Z45" s="37"/>
      <c r="AA45" s="552"/>
      <c r="AB45" s="552"/>
      <c r="AC45" s="552"/>
    </row>
    <row r="46" spans="1:68" ht="14.25" hidden="1" customHeight="1" x14ac:dyDescent="0.25">
      <c r="A46" s="574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5">
        <v>4680115884915</v>
      </c>
      <c r="E47" s="566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0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7"/>
      <c r="R47" s="557"/>
      <c r="S47" s="557"/>
      <c r="T47" s="558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1"/>
      <c r="P48" s="572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1"/>
      <c r="P49" s="572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71" t="s">
        <v>119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4"/>
      <c r="AB50" s="544"/>
      <c r="AC50" s="544"/>
    </row>
    <row r="51" spans="1:68" ht="14.25" hidden="1" customHeight="1" x14ac:dyDescent="0.25">
      <c r="A51" s="574" t="s">
        <v>103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5">
        <v>4680115885882</v>
      </c>
      <c r="E52" s="566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79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5">
        <v>4680115881426</v>
      </c>
      <c r="E53" s="566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7"/>
      <c r="R53" s="557"/>
      <c r="S53" s="557"/>
      <c r="T53" s="558"/>
      <c r="U53" s="34"/>
      <c r="V53" s="34"/>
      <c r="W53" s="35" t="s">
        <v>69</v>
      </c>
      <c r="X53" s="549">
        <v>200</v>
      </c>
      <c r="Y53" s="550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5">
        <v>4680115880283</v>
      </c>
      <c r="E54" s="566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7"/>
      <c r="R54" s="557"/>
      <c r="S54" s="557"/>
      <c r="T54" s="558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5">
        <v>4680115881525</v>
      </c>
      <c r="E55" s="566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7"/>
      <c r="R55" s="557"/>
      <c r="S55" s="557"/>
      <c r="T55" s="558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5">
        <v>4680115885899</v>
      </c>
      <c r="E56" s="566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5">
        <v>4680115881419</v>
      </c>
      <c r="E57" s="566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7"/>
      <c r="R57" s="557"/>
      <c r="S57" s="557"/>
      <c r="T57" s="558"/>
      <c r="U57" s="34"/>
      <c r="V57" s="34"/>
      <c r="W57" s="35" t="s">
        <v>69</v>
      </c>
      <c r="X57" s="549">
        <v>90</v>
      </c>
      <c r="Y57" s="550">
        <f t="shared" si="0"/>
        <v>90</v>
      </c>
      <c r="Z57" s="36">
        <f>IFERROR(IF(Y57=0,"",ROUNDUP(Y57/H57,0)*0.00902),"")</f>
        <v>0.1804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93.800000000000011</v>
      </c>
      <c r="BN57" s="64">
        <f t="shared" si="2"/>
        <v>93.800000000000011</v>
      </c>
      <c r="BO57" s="64">
        <f t="shared" si="3"/>
        <v>0.15151515151515152</v>
      </c>
      <c r="BP57" s="64">
        <f t="shared" si="4"/>
        <v>0.15151515151515152</v>
      </c>
    </row>
    <row r="58" spans="1:68" x14ac:dyDescent="0.2">
      <c r="A58" s="559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1"/>
      <c r="P58" s="572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51">
        <f>IFERROR(X52/H52,"0")+IFERROR(X53/H53,"0")+IFERROR(X54/H54,"0")+IFERROR(X55/H55,"0")+IFERROR(X56/H56,"0")+IFERROR(X57/H57,"0")</f>
        <v>38.518518518518519</v>
      </c>
      <c r="Y58" s="551">
        <f>IFERROR(Y52/H52,"0")+IFERROR(Y53/H53,"0")+IFERROR(Y54/H54,"0")+IFERROR(Y55/H55,"0")+IFERROR(Y56/H56,"0")+IFERROR(Y57/H57,"0")</f>
        <v>39</v>
      </c>
      <c r="Z58" s="551">
        <f>IFERROR(IF(Z52="",0,Z52),"0")+IFERROR(IF(Z53="",0,Z53),"0")+IFERROR(IF(Z54="",0,Z54),"0")+IFERROR(IF(Z55="",0,Z55),"0")+IFERROR(IF(Z56="",0,Z56),"0")+IFERROR(IF(Z57="",0,Z57),"0")</f>
        <v>0.54102000000000006</v>
      </c>
      <c r="AA58" s="552"/>
      <c r="AB58" s="552"/>
      <c r="AC58" s="552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1"/>
      <c r="P59" s="572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51">
        <f>IFERROR(SUM(X52:X57),"0")</f>
        <v>290</v>
      </c>
      <c r="Y59" s="551">
        <f>IFERROR(SUM(Y52:Y57),"0")</f>
        <v>295.20000000000005</v>
      </c>
      <c r="Z59" s="37"/>
      <c r="AA59" s="552"/>
      <c r="AB59" s="552"/>
      <c r="AC59" s="552"/>
    </row>
    <row r="60" spans="1:68" ht="14.25" hidden="1" customHeight="1" x14ac:dyDescent="0.25">
      <c r="A60" s="574" t="s">
        <v>138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5">
        <v>4680115881440</v>
      </c>
      <c r="E61" s="566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6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9">
        <v>200</v>
      </c>
      <c r="Y61" s="550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5">
        <v>4680115885950</v>
      </c>
      <c r="E62" s="566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5">
        <v>4680115881433</v>
      </c>
      <c r="E63" s="566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7"/>
      <c r="R63" s="557"/>
      <c r="S63" s="557"/>
      <c r="T63" s="558"/>
      <c r="U63" s="34"/>
      <c r="V63" s="34"/>
      <c r="W63" s="35" t="s">
        <v>69</v>
      </c>
      <c r="X63" s="549">
        <v>45</v>
      </c>
      <c r="Y63" s="550">
        <f>IFERROR(IF(X63="",0,CEILING((X63/$H63),1)*$H63),"")</f>
        <v>45.900000000000006</v>
      </c>
      <c r="Z63" s="36">
        <f>IFERROR(IF(Y63=0,"",ROUNDUP(Y63/H63,0)*0.00651),"")</f>
        <v>0.11067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47.999999999999993</v>
      </c>
      <c r="BN63" s="64">
        <f>IFERROR(Y63*I63/H63,"0")</f>
        <v>48.96</v>
      </c>
      <c r="BO63" s="64">
        <f>IFERROR(1/J63*(X63/H63),"0")</f>
        <v>9.1575091575091569E-2</v>
      </c>
      <c r="BP63" s="64">
        <f>IFERROR(1/J63*(Y63/H63),"0")</f>
        <v>9.3406593406593408E-2</v>
      </c>
    </row>
    <row r="64" spans="1:68" x14ac:dyDescent="0.2">
      <c r="A64" s="559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1"/>
      <c r="P64" s="572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51">
        <f>IFERROR(X61/H61,"0")+IFERROR(X62/H62,"0")+IFERROR(X63/H63,"0")</f>
        <v>35.185185185185183</v>
      </c>
      <c r="Y64" s="551">
        <f>IFERROR(Y61/H61,"0")+IFERROR(Y62/H62,"0")+IFERROR(Y63/H63,"0")</f>
        <v>36</v>
      </c>
      <c r="Z64" s="551">
        <f>IFERROR(IF(Z61="",0,Z61),"0")+IFERROR(IF(Z62="",0,Z62),"0")+IFERROR(IF(Z63="",0,Z63),"0")</f>
        <v>0.47128999999999999</v>
      </c>
      <c r="AA64" s="552"/>
      <c r="AB64" s="552"/>
      <c r="AC64" s="552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1"/>
      <c r="P65" s="572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51">
        <f>IFERROR(SUM(X61:X63),"0")</f>
        <v>245</v>
      </c>
      <c r="Y65" s="551">
        <f>IFERROR(SUM(Y61:Y63),"0")</f>
        <v>251.10000000000002</v>
      </c>
      <c r="Z65" s="37"/>
      <c r="AA65" s="552"/>
      <c r="AB65" s="552"/>
      <c r="AC65" s="552"/>
    </row>
    <row r="66" spans="1:68" ht="14.25" hidden="1" customHeight="1" x14ac:dyDescent="0.25">
      <c r="A66" s="574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5">
        <v>4680115885073</v>
      </c>
      <c r="E67" s="566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5">
        <v>4680115885097</v>
      </c>
      <c r="E68" s="566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9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1"/>
      <c r="P69" s="572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1"/>
      <c r="P70" s="572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74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5">
        <v>4680115885769</v>
      </c>
      <c r="E72" s="566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5">
        <v>4680115884311</v>
      </c>
      <c r="E73" s="566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5">
        <v>4680115885929</v>
      </c>
      <c r="E74" s="566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5">
        <v>4680115884403</v>
      </c>
      <c r="E75" s="566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9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1"/>
      <c r="P76" s="572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1"/>
      <c r="P77" s="572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74" t="s">
        <v>163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5">
        <v>4680115881532</v>
      </c>
      <c r="E79" s="566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7"/>
      <c r="R79" s="557"/>
      <c r="S79" s="557"/>
      <c r="T79" s="558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5">
        <v>4680115881464</v>
      </c>
      <c r="E80" s="566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9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1"/>
      <c r="P81" s="572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1"/>
      <c r="P82" s="572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71" t="s">
        <v>170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4"/>
      <c r="AB83" s="544"/>
      <c r="AC83" s="544"/>
    </row>
    <row r="84" spans="1:68" ht="14.25" hidden="1" customHeight="1" x14ac:dyDescent="0.25">
      <c r="A84" s="574" t="s">
        <v>103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5">
        <v>4680115881327</v>
      </c>
      <c r="E85" s="566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5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7"/>
      <c r="R85" s="557"/>
      <c r="S85" s="557"/>
      <c r="T85" s="558"/>
      <c r="U85" s="34"/>
      <c r="V85" s="34"/>
      <c r="W85" s="35" t="s">
        <v>69</v>
      </c>
      <c r="X85" s="549">
        <v>30</v>
      </c>
      <c r="Y85" s="550">
        <f>IFERROR(IF(X85="",0,CEILING((X85/$H85),1)*$H85),"")</f>
        <v>32.400000000000006</v>
      </c>
      <c r="Z85" s="36">
        <f>IFERROR(IF(Y85=0,"",ROUNDUP(Y85/H85,0)*0.01898),"")</f>
        <v>5.6940000000000004E-2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31.138888888888889</v>
      </c>
      <c r="BN85" s="64">
        <f>IFERROR(Y85*I85/H85,"0")</f>
        <v>33.630000000000003</v>
      </c>
      <c r="BO85" s="64">
        <f>IFERROR(1/J85*(X85/H85),"0")</f>
        <v>4.3402777777777776E-2</v>
      </c>
      <c r="BP85" s="64">
        <f>IFERROR(1/J85*(Y85/H85),"0")</f>
        <v>4.6875000000000007E-2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5">
        <v>4680115887732</v>
      </c>
      <c r="E86" s="566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7"/>
      <c r="R86" s="557"/>
      <c r="S86" s="557"/>
      <c r="T86" s="558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5">
        <v>4680115881518</v>
      </c>
      <c r="E87" s="566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6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5">
        <v>4680115881303</v>
      </c>
      <c r="E88" s="566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6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9">
        <v>9</v>
      </c>
      <c r="Y88" s="550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9.3800000000000008</v>
      </c>
      <c r="BN88" s="64">
        <f>IFERROR(Y88*I88/H88,"0")</f>
        <v>9.3800000000000008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559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1"/>
      <c r="P89" s="572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51">
        <f>IFERROR(X85/H85,"0")+IFERROR(X86/H86,"0")+IFERROR(X87/H87,"0")+IFERROR(X88/H88,"0")</f>
        <v>4.7777777777777777</v>
      </c>
      <c r="Y89" s="551">
        <f>IFERROR(Y85/H85,"0")+IFERROR(Y86/H86,"0")+IFERROR(Y87/H87,"0")+IFERROR(Y88/H88,"0")</f>
        <v>5</v>
      </c>
      <c r="Z89" s="551">
        <f>IFERROR(IF(Z85="",0,Z85),"0")+IFERROR(IF(Z86="",0,Z86),"0")+IFERROR(IF(Z87="",0,Z87),"0")+IFERROR(IF(Z88="",0,Z88),"0")</f>
        <v>7.4980000000000005E-2</v>
      </c>
      <c r="AA89" s="552"/>
      <c r="AB89" s="552"/>
      <c r="AC89" s="552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1"/>
      <c r="P90" s="572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51">
        <f>IFERROR(SUM(X85:X88),"0")</f>
        <v>39</v>
      </c>
      <c r="Y90" s="551">
        <f>IFERROR(SUM(Y85:Y88),"0")</f>
        <v>41.400000000000006</v>
      </c>
      <c r="Z90" s="37"/>
      <c r="AA90" s="552"/>
      <c r="AB90" s="552"/>
      <c r="AC90" s="552"/>
    </row>
    <row r="91" spans="1:68" ht="14.25" hidden="1" customHeight="1" x14ac:dyDescent="0.25">
      <c r="A91" s="574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5">
        <v>4607091386967</v>
      </c>
      <c r="E92" s="566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5">
        <v>4680115884953</v>
      </c>
      <c r="E93" s="566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5">
        <v>4607091385731</v>
      </c>
      <c r="E94" s="566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0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5">
        <v>4680115880894</v>
      </c>
      <c r="E95" s="566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8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59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1"/>
      <c r="P96" s="572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1"/>
      <c r="P97" s="572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71" t="s">
        <v>193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4"/>
      <c r="AB98" s="544"/>
      <c r="AC98" s="544"/>
    </row>
    <row r="99" spans="1:68" ht="14.25" hidden="1" customHeight="1" x14ac:dyDescent="0.25">
      <c r="A99" s="574" t="s">
        <v>103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5"/>
      <c r="AB99" s="545"/>
      <c r="AC99" s="545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5">
        <v>4680115882133</v>
      </c>
      <c r="E100" s="566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5">
        <v>4680115887718</v>
      </c>
      <c r="E101" s="566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2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7"/>
      <c r="R101" s="557"/>
      <c r="S101" s="557"/>
      <c r="T101" s="558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5">
        <v>4680115880269</v>
      </c>
      <c r="E102" s="566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9">
        <v>7.5</v>
      </c>
      <c r="Y102" s="550">
        <f>IFERROR(IF(X102="",0,CEILING((X102/$H102),1)*$H102),"")</f>
        <v>7.5</v>
      </c>
      <c r="Z102" s="36">
        <f>IFERROR(IF(Y102=0,"",ROUNDUP(Y102/H102,0)*0.00902),"")</f>
        <v>1.804E-2</v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7.88</v>
      </c>
      <c r="BN102" s="64">
        <f>IFERROR(Y102*I102/H102,"0")</f>
        <v>7.88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5">
        <v>4680115880429</v>
      </c>
      <c r="E103" s="566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5">
        <v>4680115881457</v>
      </c>
      <c r="E104" s="566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7"/>
      <c r="R104" s="557"/>
      <c r="S104" s="557"/>
      <c r="T104" s="558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59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1"/>
      <c r="P105" s="572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51">
        <f>IFERROR(X100/H100,"0")+IFERROR(X101/H101,"0")+IFERROR(X102/H102,"0")+IFERROR(X103/H103,"0")+IFERROR(X104/H104,"0")</f>
        <v>2</v>
      </c>
      <c r="Y105" s="551">
        <f>IFERROR(Y100/H100,"0")+IFERROR(Y101/H101,"0")+IFERROR(Y102/H102,"0")+IFERROR(Y103/H103,"0")+IFERROR(Y104/H104,"0")</f>
        <v>2</v>
      </c>
      <c r="Z105" s="551">
        <f>IFERROR(IF(Z100="",0,Z100),"0")+IFERROR(IF(Z101="",0,Z101),"0")+IFERROR(IF(Z102="",0,Z102),"0")+IFERROR(IF(Z103="",0,Z103),"0")+IFERROR(IF(Z104="",0,Z104),"0")</f>
        <v>1.804E-2</v>
      </c>
      <c r="AA105" s="552"/>
      <c r="AB105" s="552"/>
      <c r="AC105" s="552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1"/>
      <c r="P106" s="572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51">
        <f>IFERROR(SUM(X100:X104),"0")</f>
        <v>7.5</v>
      </c>
      <c r="Y106" s="551">
        <f>IFERROR(SUM(Y100:Y104),"0")</f>
        <v>7.5</v>
      </c>
      <c r="Z106" s="37"/>
      <c r="AA106" s="552"/>
      <c r="AB106" s="552"/>
      <c r="AC106" s="552"/>
    </row>
    <row r="107" spans="1:68" ht="14.25" hidden="1" customHeight="1" x14ac:dyDescent="0.25">
      <c r="A107" s="574" t="s">
        <v>138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5">
        <v>4680115881488</v>
      </c>
      <c r="E108" s="566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5">
        <v>4680115887664</v>
      </c>
      <c r="E109" s="566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5">
        <v>4680115882775</v>
      </c>
      <c r="E110" s="566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7"/>
      <c r="R110" s="557"/>
      <c r="S110" s="557"/>
      <c r="T110" s="558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5">
        <v>4680115880658</v>
      </c>
      <c r="E111" s="566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6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7"/>
      <c r="R111" s="557"/>
      <c r="S111" s="557"/>
      <c r="T111" s="558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59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1"/>
      <c r="P112" s="572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1"/>
      <c r="P113" s="572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74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5"/>
      <c r="AB114" s="545"/>
      <c r="AC114" s="545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65">
        <v>4607091385168</v>
      </c>
      <c r="E115" s="566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5">
        <v>4607091383256</v>
      </c>
      <c r="E116" s="566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5">
        <v>4607091385748</v>
      </c>
      <c r="E117" s="566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7"/>
      <c r="R117" s="557"/>
      <c r="S117" s="557"/>
      <c r="T117" s="558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5">
        <v>4680115884533</v>
      </c>
      <c r="E118" s="566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7"/>
      <c r="R118" s="557"/>
      <c r="S118" s="557"/>
      <c r="T118" s="558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59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1"/>
      <c r="P119" s="572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hidden="1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1"/>
      <c r="P120" s="572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hidden="1" customHeight="1" x14ac:dyDescent="0.25">
      <c r="A121" s="574" t="s">
        <v>163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5">
        <v>4680115880238</v>
      </c>
      <c r="E122" s="566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3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7"/>
      <c r="R122" s="557"/>
      <c r="S122" s="557"/>
      <c r="T122" s="558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59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1"/>
      <c r="P123" s="572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1"/>
      <c r="P124" s="572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71" t="s">
        <v>230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4"/>
      <c r="AB125" s="544"/>
      <c r="AC125" s="544"/>
    </row>
    <row r="126" spans="1:68" ht="14.25" hidden="1" customHeight="1" x14ac:dyDescent="0.25">
      <c r="A126" s="574" t="s">
        <v>103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5">
        <v>4680115882577</v>
      </c>
      <c r="E127" s="566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7"/>
      <c r="R127" s="557"/>
      <c r="S127" s="557"/>
      <c r="T127" s="558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5">
        <v>4680115882577</v>
      </c>
      <c r="E128" s="566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59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1"/>
      <c r="P129" s="572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1"/>
      <c r="P130" s="572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74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5">
        <v>4680115883444</v>
      </c>
      <c r="E132" s="566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7"/>
      <c r="R132" s="557"/>
      <c r="S132" s="557"/>
      <c r="T132" s="558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5">
        <v>4680115883444</v>
      </c>
      <c r="E133" s="566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59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1"/>
      <c r="P134" s="572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1"/>
      <c r="P135" s="572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74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5">
        <v>4680115882584</v>
      </c>
      <c r="E137" s="566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7"/>
      <c r="R137" s="557"/>
      <c r="S137" s="557"/>
      <c r="T137" s="558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5">
        <v>4680115882584</v>
      </c>
      <c r="E138" s="566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7"/>
      <c r="R138" s="557"/>
      <c r="S138" s="557"/>
      <c r="T138" s="558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59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1"/>
      <c r="P139" s="572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1"/>
      <c r="P140" s="572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71" t="s">
        <v>101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4"/>
      <c r="AB141" s="544"/>
      <c r="AC141" s="544"/>
    </row>
    <row r="142" spans="1:68" ht="14.25" hidden="1" customHeight="1" x14ac:dyDescent="0.25">
      <c r="A142" s="574" t="s">
        <v>103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5">
        <v>4680115887374</v>
      </c>
      <c r="E143" s="566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5">
        <v>4607091384604</v>
      </c>
      <c r="E144" s="566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7"/>
      <c r="R144" s="557"/>
      <c r="S144" s="557"/>
      <c r="T144" s="558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59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1"/>
      <c r="P145" s="572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1"/>
      <c r="P146" s="572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74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5">
        <v>4680115887428</v>
      </c>
      <c r="E148" s="566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828" t="s">
        <v>250</v>
      </c>
      <c r="Q148" s="557"/>
      <c r="R148" s="557"/>
      <c r="S148" s="557"/>
      <c r="T148" s="558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5">
        <v>4680115887336</v>
      </c>
      <c r="E149" s="566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79" t="s">
        <v>255</v>
      </c>
      <c r="Q149" s="557"/>
      <c r="R149" s="557"/>
      <c r="S149" s="557"/>
      <c r="T149" s="558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5">
        <v>4680115887398</v>
      </c>
      <c r="E150" s="566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805" t="s">
        <v>259</v>
      </c>
      <c r="Q150" s="557"/>
      <c r="R150" s="557"/>
      <c r="S150" s="557"/>
      <c r="T150" s="558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5">
        <v>4607091387667</v>
      </c>
      <c r="E151" s="566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5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7"/>
      <c r="R151" s="557"/>
      <c r="S151" s="557"/>
      <c r="T151" s="558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5">
        <v>4607091387636</v>
      </c>
      <c r="E152" s="566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7"/>
      <c r="R152" s="557"/>
      <c r="S152" s="557"/>
      <c r="T152" s="558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5">
        <v>4607091382426</v>
      </c>
      <c r="E153" s="566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7"/>
      <c r="R153" s="557"/>
      <c r="S153" s="557"/>
      <c r="T153" s="558"/>
      <c r="U153" s="34"/>
      <c r="V153" s="34"/>
      <c r="W153" s="35" t="s">
        <v>69</v>
      </c>
      <c r="X153" s="549">
        <v>8</v>
      </c>
      <c r="Y153" s="550">
        <f t="shared" si="5"/>
        <v>9</v>
      </c>
      <c r="Z153" s="36">
        <f>IFERROR(IF(Y153=0,"",ROUNDUP(Y153/H153,0)*0.01898),"")</f>
        <v>1.898E-2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8.4977777777777774</v>
      </c>
      <c r="BN153" s="64">
        <f t="shared" si="7"/>
        <v>9.56</v>
      </c>
      <c r="BO153" s="64">
        <f t="shared" si="8"/>
        <v>1.3888888888888888E-2</v>
      </c>
      <c r="BP153" s="64">
        <f t="shared" si="9"/>
        <v>1.5625E-2</v>
      </c>
    </row>
    <row r="154" spans="1:68" x14ac:dyDescent="0.2">
      <c r="A154" s="559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1"/>
      <c r="P154" s="572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51">
        <f>IFERROR(X148/H148,"0")+IFERROR(X149/H149,"0")+IFERROR(X150/H150,"0")+IFERROR(X151/H151,"0")+IFERROR(X152/H152,"0")+IFERROR(X153/H153,"0")</f>
        <v>0.88888888888888884</v>
      </c>
      <c r="Y154" s="551">
        <f>IFERROR(Y148/H148,"0")+IFERROR(Y149/H149,"0")+IFERROR(Y150/H150,"0")+IFERROR(Y151/H151,"0")+IFERROR(Y152/H152,"0")+IFERROR(Y153/H153,"0")</f>
        <v>1</v>
      </c>
      <c r="Z154" s="551">
        <f>IFERROR(IF(Z148="",0,Z148),"0")+IFERROR(IF(Z149="",0,Z149),"0")+IFERROR(IF(Z150="",0,Z150),"0")+IFERROR(IF(Z151="",0,Z151),"0")+IFERROR(IF(Z152="",0,Z152),"0")+IFERROR(IF(Z153="",0,Z153),"0")</f>
        <v>1.898E-2</v>
      </c>
      <c r="AA154" s="552"/>
      <c r="AB154" s="552"/>
      <c r="AC154" s="552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1"/>
      <c r="P155" s="572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51">
        <f>IFERROR(SUM(X148:X153),"0")</f>
        <v>8</v>
      </c>
      <c r="Y155" s="551">
        <f>IFERROR(SUM(Y148:Y153),"0")</f>
        <v>9</v>
      </c>
      <c r="Z155" s="37"/>
      <c r="AA155" s="552"/>
      <c r="AB155" s="552"/>
      <c r="AC155" s="552"/>
    </row>
    <row r="156" spans="1:68" ht="14.25" hidden="1" customHeight="1" x14ac:dyDescent="0.25">
      <c r="A156" s="574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5">
        <v>4680115887459</v>
      </c>
      <c r="E157" s="566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9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1"/>
      <c r="P158" s="572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1"/>
      <c r="P159" s="572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596" t="s">
        <v>273</v>
      </c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  <c r="N160" s="597"/>
      <c r="O160" s="597"/>
      <c r="P160" s="597"/>
      <c r="Q160" s="597"/>
      <c r="R160" s="597"/>
      <c r="S160" s="597"/>
      <c r="T160" s="597"/>
      <c r="U160" s="597"/>
      <c r="V160" s="597"/>
      <c r="W160" s="597"/>
      <c r="X160" s="597"/>
      <c r="Y160" s="597"/>
      <c r="Z160" s="597"/>
      <c r="AA160" s="48"/>
      <c r="AB160" s="48"/>
      <c r="AC160" s="48"/>
    </row>
    <row r="161" spans="1:68" ht="16.5" hidden="1" customHeight="1" x14ac:dyDescent="0.25">
      <c r="A161" s="571" t="s">
        <v>274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4"/>
      <c r="AB161" s="544"/>
      <c r="AC161" s="544"/>
    </row>
    <row r="162" spans="1:68" ht="14.25" hidden="1" customHeight="1" x14ac:dyDescent="0.25">
      <c r="A162" s="574" t="s">
        <v>138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5">
        <v>4680115886223</v>
      </c>
      <c r="E163" s="566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59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1"/>
      <c r="P164" s="572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1"/>
      <c r="P165" s="572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74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5">
        <v>4680115880993</v>
      </c>
      <c r="E167" s="566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4"/>
      <c r="V167" s="34"/>
      <c r="W167" s="35" t="s">
        <v>69</v>
      </c>
      <c r="X167" s="549">
        <v>8</v>
      </c>
      <c r="Y167" s="550">
        <f t="shared" ref="Y167:Y178" si="10">IFERROR(IF(X167="",0,CEILING((X167/$H167),1)*$H167),"")</f>
        <v>8.4</v>
      </c>
      <c r="Z167" s="36">
        <f>IFERROR(IF(Y167=0,"",ROUNDUP(Y167/H167,0)*0.00902),"")</f>
        <v>1.804E-2</v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8.4761904761904763</v>
      </c>
      <c r="BN167" s="64">
        <f t="shared" ref="BN167:BN178" si="12">IFERROR(Y167*I167/H167,"0")</f>
        <v>8.9</v>
      </c>
      <c r="BO167" s="64">
        <f t="shared" ref="BO167:BO178" si="13">IFERROR(1/J167*(X167/H167),"0")</f>
        <v>1.443001443001443E-2</v>
      </c>
      <c r="BP167" s="64">
        <f t="shared" ref="BP167:BP178" si="14">IFERROR(1/J167*(Y167/H167),"0")</f>
        <v>1.5151515151515152E-2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5">
        <v>4680115881761</v>
      </c>
      <c r="E168" s="566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5">
        <v>4680115881563</v>
      </c>
      <c r="E169" s="566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6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5">
        <v>4680115887565</v>
      </c>
      <c r="E170" s="566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5">
        <v>4680115880986</v>
      </c>
      <c r="E171" s="566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5">
        <v>4680115887213</v>
      </c>
      <c r="E172" s="566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5">
        <v>4680115881785</v>
      </c>
      <c r="E173" s="566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5">
        <v>4680115886537</v>
      </c>
      <c r="E174" s="566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7"/>
      <c r="R174" s="557"/>
      <c r="S174" s="557"/>
      <c r="T174" s="558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5">
        <v>4680115887596</v>
      </c>
      <c r="E175" s="566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6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5">
        <v>4680115881679</v>
      </c>
      <c r="E176" s="566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7"/>
      <c r="R176" s="557"/>
      <c r="S176" s="557"/>
      <c r="T176" s="558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5">
        <v>4680115880191</v>
      </c>
      <c r="E177" s="566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7"/>
      <c r="R177" s="557"/>
      <c r="S177" s="557"/>
      <c r="T177" s="558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5">
        <v>4680115883963</v>
      </c>
      <c r="E178" s="566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7"/>
      <c r="R178" s="557"/>
      <c r="S178" s="557"/>
      <c r="T178" s="558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59"/>
      <c r="B179" s="560"/>
      <c r="C179" s="560"/>
      <c r="D179" s="560"/>
      <c r="E179" s="560"/>
      <c r="F179" s="560"/>
      <c r="G179" s="560"/>
      <c r="H179" s="560"/>
      <c r="I179" s="560"/>
      <c r="J179" s="560"/>
      <c r="K179" s="560"/>
      <c r="L179" s="560"/>
      <c r="M179" s="560"/>
      <c r="N179" s="560"/>
      <c r="O179" s="561"/>
      <c r="P179" s="572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1.9047619047619047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1.804E-2</v>
      </c>
      <c r="AA179" s="552"/>
      <c r="AB179" s="552"/>
      <c r="AC179" s="552"/>
    </row>
    <row r="180" spans="1:68" x14ac:dyDescent="0.2">
      <c r="A180" s="560"/>
      <c r="B180" s="560"/>
      <c r="C180" s="560"/>
      <c r="D180" s="560"/>
      <c r="E180" s="560"/>
      <c r="F180" s="560"/>
      <c r="G180" s="560"/>
      <c r="H180" s="560"/>
      <c r="I180" s="560"/>
      <c r="J180" s="560"/>
      <c r="K180" s="560"/>
      <c r="L180" s="560"/>
      <c r="M180" s="560"/>
      <c r="N180" s="560"/>
      <c r="O180" s="561"/>
      <c r="P180" s="572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51">
        <f>IFERROR(SUM(X167:X178),"0")</f>
        <v>8</v>
      </c>
      <c r="Y180" s="551">
        <f>IFERROR(SUM(Y167:Y178),"0")</f>
        <v>8.4</v>
      </c>
      <c r="Z180" s="37"/>
      <c r="AA180" s="552"/>
      <c r="AB180" s="552"/>
      <c r="AC180" s="552"/>
    </row>
    <row r="181" spans="1:68" ht="14.25" hidden="1" customHeight="1" x14ac:dyDescent="0.25">
      <c r="A181" s="574" t="s">
        <v>95</v>
      </c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5">
        <v>4680115886780</v>
      </c>
      <c r="E182" s="566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7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7"/>
      <c r="R182" s="557"/>
      <c r="S182" s="557"/>
      <c r="T182" s="558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5">
        <v>4680115886742</v>
      </c>
      <c r="E183" s="566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7"/>
      <c r="R183" s="557"/>
      <c r="S183" s="557"/>
      <c r="T183" s="558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5">
        <v>4680115886766</v>
      </c>
      <c r="E184" s="566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7"/>
      <c r="R184" s="557"/>
      <c r="S184" s="557"/>
      <c r="T184" s="558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9"/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  <c r="L185" s="560"/>
      <c r="M185" s="560"/>
      <c r="N185" s="560"/>
      <c r="O185" s="561"/>
      <c r="P185" s="572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60"/>
      <c r="B186" s="560"/>
      <c r="C186" s="560"/>
      <c r="D186" s="560"/>
      <c r="E186" s="560"/>
      <c r="F186" s="560"/>
      <c r="G186" s="560"/>
      <c r="H186" s="560"/>
      <c r="I186" s="560"/>
      <c r="J186" s="560"/>
      <c r="K186" s="560"/>
      <c r="L186" s="560"/>
      <c r="M186" s="560"/>
      <c r="N186" s="560"/>
      <c r="O186" s="561"/>
      <c r="P186" s="572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74" t="s">
        <v>321</v>
      </c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5">
        <v>4680115886797</v>
      </c>
      <c r="E188" s="566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7"/>
      <c r="R188" s="557"/>
      <c r="S188" s="557"/>
      <c r="T188" s="558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9"/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1"/>
      <c r="P189" s="572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60"/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1"/>
      <c r="P190" s="572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71" t="s">
        <v>324</v>
      </c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44"/>
      <c r="AB191" s="544"/>
      <c r="AC191" s="544"/>
    </row>
    <row r="192" spans="1:68" ht="14.25" hidden="1" customHeight="1" x14ac:dyDescent="0.25">
      <c r="A192" s="574" t="s">
        <v>103</v>
      </c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5">
        <v>4680115881402</v>
      </c>
      <c r="E193" s="566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6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7"/>
      <c r="R193" s="557"/>
      <c r="S193" s="557"/>
      <c r="T193" s="558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5">
        <v>4680115881396</v>
      </c>
      <c r="E194" s="566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7"/>
      <c r="R194" s="557"/>
      <c r="S194" s="557"/>
      <c r="T194" s="558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9"/>
      <c r="B195" s="560"/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1"/>
      <c r="P195" s="572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60"/>
      <c r="B196" s="560"/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1"/>
      <c r="P196" s="572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74" t="s">
        <v>138</v>
      </c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5">
        <v>4680115882935</v>
      </c>
      <c r="E198" s="566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6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5">
        <v>4680115880764</v>
      </c>
      <c r="E199" s="566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6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7"/>
      <c r="R199" s="557"/>
      <c r="S199" s="557"/>
      <c r="T199" s="558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9"/>
      <c r="B200" s="560"/>
      <c r="C200" s="560"/>
      <c r="D200" s="560"/>
      <c r="E200" s="560"/>
      <c r="F200" s="560"/>
      <c r="G200" s="560"/>
      <c r="H200" s="560"/>
      <c r="I200" s="560"/>
      <c r="J200" s="560"/>
      <c r="K200" s="560"/>
      <c r="L200" s="560"/>
      <c r="M200" s="560"/>
      <c r="N200" s="560"/>
      <c r="O200" s="561"/>
      <c r="P200" s="572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60"/>
      <c r="B201" s="560"/>
      <c r="C201" s="560"/>
      <c r="D201" s="560"/>
      <c r="E201" s="560"/>
      <c r="F201" s="560"/>
      <c r="G201" s="560"/>
      <c r="H201" s="560"/>
      <c r="I201" s="560"/>
      <c r="J201" s="560"/>
      <c r="K201" s="560"/>
      <c r="L201" s="560"/>
      <c r="M201" s="560"/>
      <c r="N201" s="560"/>
      <c r="O201" s="561"/>
      <c r="P201" s="572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74" t="s">
        <v>64</v>
      </c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45"/>
      <c r="AB202" s="545"/>
      <c r="AC202" s="545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65">
        <v>4680115882683</v>
      </c>
      <c r="E203" s="566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65">
        <v>4680115882690</v>
      </c>
      <c r="E204" s="566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7"/>
      <c r="R204" s="557"/>
      <c r="S204" s="557"/>
      <c r="T204" s="558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65">
        <v>4680115882669</v>
      </c>
      <c r="E205" s="566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8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7"/>
      <c r="R205" s="557"/>
      <c r="S205" s="557"/>
      <c r="T205" s="558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65">
        <v>4680115882676</v>
      </c>
      <c r="E206" s="566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7"/>
      <c r="R206" s="557"/>
      <c r="S206" s="557"/>
      <c r="T206" s="558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5">
        <v>4680115884014</v>
      </c>
      <c r="E207" s="566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5">
        <v>4680115884007</v>
      </c>
      <c r="E208" s="566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7"/>
      <c r="R208" s="557"/>
      <c r="S208" s="557"/>
      <c r="T208" s="558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5">
        <v>4680115884038</v>
      </c>
      <c r="E209" s="566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5">
        <v>4680115884021</v>
      </c>
      <c r="E210" s="566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59"/>
      <c r="B211" s="560"/>
      <c r="C211" s="560"/>
      <c r="D211" s="560"/>
      <c r="E211" s="560"/>
      <c r="F211" s="560"/>
      <c r="G211" s="560"/>
      <c r="H211" s="560"/>
      <c r="I211" s="560"/>
      <c r="J211" s="560"/>
      <c r="K211" s="560"/>
      <c r="L211" s="560"/>
      <c r="M211" s="560"/>
      <c r="N211" s="560"/>
      <c r="O211" s="561"/>
      <c r="P211" s="572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hidden="1" x14ac:dyDescent="0.2">
      <c r="A212" s="560"/>
      <c r="B212" s="560"/>
      <c r="C212" s="560"/>
      <c r="D212" s="560"/>
      <c r="E212" s="560"/>
      <c r="F212" s="560"/>
      <c r="G212" s="560"/>
      <c r="H212" s="560"/>
      <c r="I212" s="560"/>
      <c r="J212" s="560"/>
      <c r="K212" s="560"/>
      <c r="L212" s="560"/>
      <c r="M212" s="560"/>
      <c r="N212" s="560"/>
      <c r="O212" s="561"/>
      <c r="P212" s="572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hidden="1" customHeight="1" x14ac:dyDescent="0.25">
      <c r="A213" s="574" t="s">
        <v>77</v>
      </c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5">
        <v>4680115881594</v>
      </c>
      <c r="E214" s="566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7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7"/>
      <c r="R214" s="557"/>
      <c r="S214" s="557"/>
      <c r="T214" s="558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5">
        <v>4680115881617</v>
      </c>
      <c r="E215" s="566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86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7"/>
      <c r="R215" s="557"/>
      <c r="S215" s="557"/>
      <c r="T215" s="558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5">
        <v>4680115880573</v>
      </c>
      <c r="E216" s="566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7"/>
      <c r="R216" s="557"/>
      <c r="S216" s="557"/>
      <c r="T216" s="558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5">
        <v>4680115882195</v>
      </c>
      <c r="E217" s="566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7"/>
      <c r="R217" s="557"/>
      <c r="S217" s="557"/>
      <c r="T217" s="558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5">
        <v>4680115882607</v>
      </c>
      <c r="E218" s="566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7"/>
      <c r="R218" s="557"/>
      <c r="S218" s="557"/>
      <c r="T218" s="558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5">
        <v>4680115880092</v>
      </c>
      <c r="E219" s="566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5">
        <v>4680115880221</v>
      </c>
      <c r="E220" s="566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5">
        <v>4680115880504</v>
      </c>
      <c r="E221" s="566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6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7"/>
      <c r="R221" s="557"/>
      <c r="S221" s="557"/>
      <c r="T221" s="558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5">
        <v>4680115882164</v>
      </c>
      <c r="E222" s="566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7"/>
      <c r="R222" s="557"/>
      <c r="S222" s="557"/>
      <c r="T222" s="558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59"/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1"/>
      <c r="P223" s="572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hidden="1" x14ac:dyDescent="0.2">
      <c r="A224" s="560"/>
      <c r="B224" s="560"/>
      <c r="C224" s="560"/>
      <c r="D224" s="560"/>
      <c r="E224" s="560"/>
      <c r="F224" s="560"/>
      <c r="G224" s="560"/>
      <c r="H224" s="560"/>
      <c r="I224" s="560"/>
      <c r="J224" s="560"/>
      <c r="K224" s="560"/>
      <c r="L224" s="560"/>
      <c r="M224" s="560"/>
      <c r="N224" s="560"/>
      <c r="O224" s="561"/>
      <c r="P224" s="572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hidden="1" customHeight="1" x14ac:dyDescent="0.25">
      <c r="A225" s="574" t="s">
        <v>163</v>
      </c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5">
        <v>4680115880818</v>
      </c>
      <c r="E226" s="566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5">
        <v>4680115880801</v>
      </c>
      <c r="E227" s="566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59"/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1"/>
      <c r="P228" s="572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60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1"/>
      <c r="P229" s="572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71" t="s">
        <v>383</v>
      </c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44"/>
      <c r="AB230" s="544"/>
      <c r="AC230" s="544"/>
    </row>
    <row r="231" spans="1:68" ht="14.25" hidden="1" customHeight="1" x14ac:dyDescent="0.25">
      <c r="A231" s="574" t="s">
        <v>103</v>
      </c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5">
        <v>4680115884137</v>
      </c>
      <c r="E232" s="566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5">
        <v>4680115884236</v>
      </c>
      <c r="E233" s="566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5">
        <v>4680115884175</v>
      </c>
      <c r="E234" s="566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5">
        <v>4680115884144</v>
      </c>
      <c r="E235" s="566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7"/>
      <c r="R235" s="557"/>
      <c r="S235" s="557"/>
      <c r="T235" s="558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5">
        <v>4680115884144</v>
      </c>
      <c r="E236" s="566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81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7"/>
      <c r="R236" s="557"/>
      <c r="S236" s="557"/>
      <c r="T236" s="558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5">
        <v>4680115886551</v>
      </c>
      <c r="E237" s="566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8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7"/>
      <c r="R237" s="557"/>
      <c r="S237" s="557"/>
      <c r="T237" s="558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5">
        <v>4680115887282</v>
      </c>
      <c r="E238" s="566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5">
        <v>4680115884205</v>
      </c>
      <c r="E239" s="566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7"/>
      <c r="R239" s="557"/>
      <c r="S239" s="557"/>
      <c r="T239" s="558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5">
        <v>4680115884205</v>
      </c>
      <c r="E240" s="566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7"/>
      <c r="R240" s="557"/>
      <c r="S240" s="557"/>
      <c r="T240" s="558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59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1"/>
      <c r="P241" s="572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1"/>
      <c r="P242" s="572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74" t="s">
        <v>138</v>
      </c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5">
        <v>4680115885981</v>
      </c>
      <c r="E244" s="566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7"/>
      <c r="R244" s="557"/>
      <c r="S244" s="557"/>
      <c r="T244" s="558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9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1"/>
      <c r="P245" s="572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1"/>
      <c r="P246" s="572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74" t="s">
        <v>407</v>
      </c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5">
        <v>4680115886803</v>
      </c>
      <c r="E248" s="566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9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1"/>
      <c r="P249" s="572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1"/>
      <c r="P250" s="572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74" t="s">
        <v>411</v>
      </c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5">
        <v>4680115886704</v>
      </c>
      <c r="E252" s="566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7"/>
      <c r="R252" s="557"/>
      <c r="S252" s="557"/>
      <c r="T252" s="558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5">
        <v>4680115886681</v>
      </c>
      <c r="E253" s="566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7"/>
      <c r="R253" s="557"/>
      <c r="S253" s="557"/>
      <c r="T253" s="558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5">
        <v>4680115886735</v>
      </c>
      <c r="E254" s="566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6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7"/>
      <c r="R254" s="557"/>
      <c r="S254" s="557"/>
      <c r="T254" s="558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5">
        <v>4680115886728</v>
      </c>
      <c r="E255" s="566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80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5">
        <v>4680115886711</v>
      </c>
      <c r="E256" s="566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6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9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1"/>
      <c r="P257" s="572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1"/>
      <c r="P258" s="572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71" t="s">
        <v>423</v>
      </c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44"/>
      <c r="AB259" s="544"/>
      <c r="AC259" s="544"/>
    </row>
    <row r="260" spans="1:68" ht="14.25" hidden="1" customHeight="1" x14ac:dyDescent="0.25">
      <c r="A260" s="574" t="s">
        <v>103</v>
      </c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5">
        <v>4680115885837</v>
      </c>
      <c r="E261" s="566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9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7"/>
      <c r="R261" s="557"/>
      <c r="S261" s="557"/>
      <c r="T261" s="558"/>
      <c r="U261" s="34"/>
      <c r="V261" s="34"/>
      <c r="W261" s="35" t="s">
        <v>69</v>
      </c>
      <c r="X261" s="549">
        <v>20</v>
      </c>
      <c r="Y261" s="550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5">
        <v>4680115885851</v>
      </c>
      <c r="E262" s="566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6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7"/>
      <c r="R262" s="557"/>
      <c r="S262" s="557"/>
      <c r="T262" s="558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5">
        <v>4680115885806</v>
      </c>
      <c r="E263" s="566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5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7"/>
      <c r="R263" s="557"/>
      <c r="S263" s="557"/>
      <c r="T263" s="558"/>
      <c r="U263" s="34"/>
      <c r="V263" s="34"/>
      <c r="W263" s="35" t="s">
        <v>69</v>
      </c>
      <c r="X263" s="549">
        <v>40</v>
      </c>
      <c r="Y263" s="550">
        <f>IFERROR(IF(X263="",0,CEILING((X263/$H263),1)*$H263),"")</f>
        <v>43.2</v>
      </c>
      <c r="Z263" s="36">
        <f>IFERROR(IF(Y263=0,"",ROUNDUP(Y263/H263,0)*0.01898),"")</f>
        <v>7.5920000000000001E-2</v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41.518518518518519</v>
      </c>
      <c r="BN263" s="64">
        <f>IFERROR(Y263*I263/H263,"0")</f>
        <v>44.84</v>
      </c>
      <c r="BO263" s="64">
        <f>IFERROR(1/J263*(X263/H263),"0")</f>
        <v>5.7870370370370364E-2</v>
      </c>
      <c r="BP263" s="64">
        <f>IFERROR(1/J263*(Y263/H263),"0")</f>
        <v>6.25E-2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5">
        <v>4680115885844</v>
      </c>
      <c r="E264" s="566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7"/>
      <c r="R264" s="557"/>
      <c r="S264" s="557"/>
      <c r="T264" s="558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5">
        <v>4680115885820</v>
      </c>
      <c r="E265" s="566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8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59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1"/>
      <c r="P266" s="572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51">
        <f>IFERROR(X261/H261,"0")+IFERROR(X262/H262,"0")+IFERROR(X263/H263,"0")+IFERROR(X264/H264,"0")+IFERROR(X265/H265,"0")</f>
        <v>5.5555555555555554</v>
      </c>
      <c r="Y266" s="551">
        <f>IFERROR(Y261/H261,"0")+IFERROR(Y262/H262,"0")+IFERROR(Y263/H263,"0")+IFERROR(Y264/H264,"0")+IFERROR(Y265/H265,"0")</f>
        <v>6</v>
      </c>
      <c r="Z266" s="551">
        <f>IFERROR(IF(Z261="",0,Z261),"0")+IFERROR(IF(Z262="",0,Z262),"0")+IFERROR(IF(Z263="",0,Z263),"0")+IFERROR(IF(Z264="",0,Z264),"0")+IFERROR(IF(Z265="",0,Z265),"0")</f>
        <v>0.11388000000000001</v>
      </c>
      <c r="AA266" s="552"/>
      <c r="AB266" s="552"/>
      <c r="AC266" s="552"/>
    </row>
    <row r="267" spans="1:68" x14ac:dyDescent="0.2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1"/>
      <c r="P267" s="572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51">
        <f>IFERROR(SUM(X261:X265),"0")</f>
        <v>60</v>
      </c>
      <c r="Y267" s="551">
        <f>IFERROR(SUM(Y261:Y265),"0")</f>
        <v>64.800000000000011</v>
      </c>
      <c r="Z267" s="37"/>
      <c r="AA267" s="552"/>
      <c r="AB267" s="552"/>
      <c r="AC267" s="552"/>
    </row>
    <row r="268" spans="1:68" ht="16.5" hidden="1" customHeight="1" x14ac:dyDescent="0.25">
      <c r="A268" s="571" t="s">
        <v>439</v>
      </c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44"/>
      <c r="AB268" s="544"/>
      <c r="AC268" s="544"/>
    </row>
    <row r="269" spans="1:68" ht="14.25" hidden="1" customHeight="1" x14ac:dyDescent="0.25">
      <c r="A269" s="574" t="s">
        <v>103</v>
      </c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5">
        <v>4607091383423</v>
      </c>
      <c r="E270" s="566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7"/>
      <c r="R270" s="557"/>
      <c r="S270" s="557"/>
      <c r="T270" s="558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5">
        <v>4680115886957</v>
      </c>
      <c r="E271" s="566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8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7"/>
      <c r="R271" s="557"/>
      <c r="S271" s="557"/>
      <c r="T271" s="558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5">
        <v>4680115885660</v>
      </c>
      <c r="E272" s="566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5">
        <v>4680115886773</v>
      </c>
      <c r="E273" s="566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8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9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1"/>
      <c r="P274" s="572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1"/>
      <c r="P275" s="572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71" t="s">
        <v>450</v>
      </c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44"/>
      <c r="AB276" s="544"/>
      <c r="AC276" s="544"/>
    </row>
    <row r="277" spans="1:68" ht="14.25" hidden="1" customHeight="1" x14ac:dyDescent="0.25">
      <c r="A277" s="574" t="s">
        <v>77</v>
      </c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5">
        <v>4680115886186</v>
      </c>
      <c r="E278" s="566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7"/>
      <c r="R278" s="557"/>
      <c r="S278" s="557"/>
      <c r="T278" s="558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5">
        <v>4680115881228</v>
      </c>
      <c r="E279" s="566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7"/>
      <c r="R279" s="557"/>
      <c r="S279" s="557"/>
      <c r="T279" s="558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5">
        <v>4680115881211</v>
      </c>
      <c r="E280" s="566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7"/>
      <c r="R280" s="557"/>
      <c r="S280" s="557"/>
      <c r="T280" s="558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1"/>
      <c r="P281" s="572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1"/>
      <c r="P282" s="572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71" t="s">
        <v>459</v>
      </c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44"/>
      <c r="AB283" s="544"/>
      <c r="AC283" s="544"/>
    </row>
    <row r="284" spans="1:68" ht="14.25" hidden="1" customHeight="1" x14ac:dyDescent="0.25">
      <c r="A284" s="574" t="s">
        <v>64</v>
      </c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5">
        <v>4680115880344</v>
      </c>
      <c r="E285" s="566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7"/>
      <c r="R285" s="557"/>
      <c r="S285" s="557"/>
      <c r="T285" s="558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5">
        <v>4680115886919</v>
      </c>
      <c r="E286" s="566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9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7"/>
      <c r="R286" s="557"/>
      <c r="S286" s="557"/>
      <c r="T286" s="558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9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1"/>
      <c r="P287" s="572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1"/>
      <c r="P288" s="572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74" t="s">
        <v>77</v>
      </c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5">
        <v>4680115884618</v>
      </c>
      <c r="E290" s="566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5">
        <v>4680115887114</v>
      </c>
      <c r="E291" s="566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5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9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1"/>
      <c r="P292" s="572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1"/>
      <c r="P293" s="572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71" t="s">
        <v>472</v>
      </c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44"/>
      <c r="AB294" s="544"/>
      <c r="AC294" s="544"/>
    </row>
    <row r="295" spans="1:68" ht="14.25" hidden="1" customHeight="1" x14ac:dyDescent="0.25">
      <c r="A295" s="574" t="s">
        <v>103</v>
      </c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5">
        <v>4607091386004</v>
      </c>
      <c r="E296" s="566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6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7"/>
      <c r="R296" s="557"/>
      <c r="S296" s="557"/>
      <c r="T296" s="558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5">
        <v>4680115885615</v>
      </c>
      <c r="E297" s="566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58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4"/>
      <c r="V297" s="34"/>
      <c r="W297" s="35" t="s">
        <v>69</v>
      </c>
      <c r="X297" s="549">
        <v>50</v>
      </c>
      <c r="Y297" s="550">
        <f t="shared" si="31"/>
        <v>54</v>
      </c>
      <c r="Z297" s="36">
        <f>IFERROR(IF(Y297=0,"",ROUNDUP(Y297/H297,0)*0.01898),"")</f>
        <v>9.4899999999999998E-2</v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51.898148148148145</v>
      </c>
      <c r="BN297" s="64">
        <f t="shared" si="33"/>
        <v>56.05</v>
      </c>
      <c r="BO297" s="64">
        <f t="shared" si="34"/>
        <v>7.2337962962962965E-2</v>
      </c>
      <c r="BP297" s="64">
        <f t="shared" si="35"/>
        <v>7.8125E-2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5">
        <v>4680115885646</v>
      </c>
      <c r="E298" s="566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4"/>
      <c r="V298" s="34"/>
      <c r="W298" s="35" t="s">
        <v>69</v>
      </c>
      <c r="X298" s="549">
        <v>30</v>
      </c>
      <c r="Y298" s="550">
        <f t="shared" si="31"/>
        <v>32.400000000000006</v>
      </c>
      <c r="Z298" s="36">
        <f>IFERROR(IF(Y298=0,"",ROUNDUP(Y298/H298,0)*0.01898),"")</f>
        <v>5.6940000000000004E-2</v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31.138888888888889</v>
      </c>
      <c r="BN298" s="64">
        <f t="shared" si="33"/>
        <v>33.630000000000003</v>
      </c>
      <c r="BO298" s="64">
        <f t="shared" si="34"/>
        <v>4.3402777777777776E-2</v>
      </c>
      <c r="BP298" s="64">
        <f t="shared" si="35"/>
        <v>4.6875000000000007E-2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5">
        <v>4680115885554</v>
      </c>
      <c r="E299" s="566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8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4"/>
      <c r="V299" s="34"/>
      <c r="W299" s="35" t="s">
        <v>69</v>
      </c>
      <c r="X299" s="549">
        <v>200</v>
      </c>
      <c r="Y299" s="550">
        <f t="shared" si="31"/>
        <v>205.20000000000002</v>
      </c>
      <c r="Z299" s="36">
        <f>IFERROR(IF(Y299=0,"",ROUNDUP(Y299/H299,0)*0.01898),"")</f>
        <v>0.36062</v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207.59259259259258</v>
      </c>
      <c r="BN299" s="64">
        <f t="shared" si="33"/>
        <v>212.99</v>
      </c>
      <c r="BO299" s="64">
        <f t="shared" si="34"/>
        <v>0.28935185185185186</v>
      </c>
      <c r="BP299" s="64">
        <f t="shared" si="35"/>
        <v>0.296875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5">
        <v>4680115885622</v>
      </c>
      <c r="E300" s="566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4"/>
      <c r="V300" s="34"/>
      <c r="W300" s="35" t="s">
        <v>69</v>
      </c>
      <c r="X300" s="549">
        <v>8</v>
      </c>
      <c r="Y300" s="550">
        <f t="shared" si="31"/>
        <v>8</v>
      </c>
      <c r="Z300" s="36">
        <f>IFERROR(IF(Y300=0,"",ROUNDUP(Y300/H300,0)*0.00902),"")</f>
        <v>1.804E-2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8.3800000000000008</v>
      </c>
      <c r="BN300" s="64">
        <f t="shared" si="33"/>
        <v>8.3800000000000008</v>
      </c>
      <c r="BO300" s="64">
        <f t="shared" si="34"/>
        <v>1.5151515151515152E-2</v>
      </c>
      <c r="BP300" s="64">
        <f t="shared" si="35"/>
        <v>1.5151515151515152E-2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5">
        <v>4680115885608</v>
      </c>
      <c r="E301" s="566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4"/>
      <c r="V301" s="34"/>
      <c r="W301" s="35" t="s">
        <v>69</v>
      </c>
      <c r="X301" s="549">
        <v>60</v>
      </c>
      <c r="Y301" s="550">
        <f t="shared" si="31"/>
        <v>60</v>
      </c>
      <c r="Z301" s="36">
        <f>IFERROR(IF(Y301=0,"",ROUNDUP(Y301/H301,0)*0.00902),"")</f>
        <v>0.1353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62.850000000000009</v>
      </c>
      <c r="BN301" s="64">
        <f t="shared" si="33"/>
        <v>62.850000000000009</v>
      </c>
      <c r="BO301" s="64">
        <f t="shared" si="34"/>
        <v>0.11363636363636365</v>
      </c>
      <c r="BP301" s="64">
        <f t="shared" si="35"/>
        <v>0.11363636363636365</v>
      </c>
    </row>
    <row r="302" spans="1:68" x14ac:dyDescent="0.2">
      <c r="A302" s="559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1"/>
      <c r="P302" s="572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IFERROR(X296/H296,"0")+IFERROR(X297/H297,"0")+IFERROR(X298/H298,"0")+IFERROR(X299/H299,"0")+IFERROR(X300/H300,"0")+IFERROR(X301/H301,"0")</f>
        <v>42.925925925925924</v>
      </c>
      <c r="Y302" s="551">
        <f>IFERROR(Y296/H296,"0")+IFERROR(Y297/H297,"0")+IFERROR(Y298/H298,"0")+IFERROR(Y299/H299,"0")+IFERROR(Y300/H300,"0")+IFERROR(Y301/H301,"0")</f>
        <v>44</v>
      </c>
      <c r="Z302" s="551">
        <f>IFERROR(IF(Z296="",0,Z296),"0")+IFERROR(IF(Z297="",0,Z297),"0")+IFERROR(IF(Z298="",0,Z298),"0")+IFERROR(IF(Z299="",0,Z299),"0")+IFERROR(IF(Z300="",0,Z300),"0")+IFERROR(IF(Z301="",0,Z301),"0")</f>
        <v>0.66579999999999995</v>
      </c>
      <c r="AA302" s="552"/>
      <c r="AB302" s="552"/>
      <c r="AC302" s="552"/>
    </row>
    <row r="303" spans="1:68" x14ac:dyDescent="0.2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1"/>
      <c r="P303" s="572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IFERROR(SUM(X296:X301),"0")</f>
        <v>348</v>
      </c>
      <c r="Y303" s="551">
        <f>IFERROR(SUM(Y296:Y301),"0")</f>
        <v>359.6</v>
      </c>
      <c r="Z303" s="37"/>
      <c r="AA303" s="552"/>
      <c r="AB303" s="552"/>
      <c r="AC303" s="552"/>
    </row>
    <row r="304" spans="1:68" ht="14.25" hidden="1" customHeight="1" x14ac:dyDescent="0.25">
      <c r="A304" s="574" t="s">
        <v>64</v>
      </c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5">
        <v>4607091387193</v>
      </c>
      <c r="E305" s="566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4"/>
      <c r="V305" s="34"/>
      <c r="W305" s="35" t="s">
        <v>69</v>
      </c>
      <c r="X305" s="549">
        <v>40</v>
      </c>
      <c r="Y305" s="550">
        <f t="shared" ref="Y305:Y310" si="36">IFERROR(IF(X305="",0,CEILING((X305/$H305),1)*$H305),"")</f>
        <v>42</v>
      </c>
      <c r="Z305" s="36">
        <f>IFERROR(IF(Y305=0,"",ROUNDUP(Y305/H305,0)*0.00902),"")</f>
        <v>9.0200000000000002E-2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42.38095238095238</v>
      </c>
      <c r="BN305" s="64">
        <f t="shared" ref="BN305:BN310" si="38">IFERROR(Y305*I305/H305,"0")</f>
        <v>44.5</v>
      </c>
      <c r="BO305" s="64">
        <f t="shared" ref="BO305:BO310" si="39">IFERROR(1/J305*(X305/H305),"0")</f>
        <v>7.2150072150072145E-2</v>
      </c>
      <c r="BP305" s="64">
        <f t="shared" ref="BP305:BP310" si="40">IFERROR(1/J305*(Y305/H305),"0")</f>
        <v>7.575757575757576E-2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5">
        <v>4607091387230</v>
      </c>
      <c r="E306" s="566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4"/>
      <c r="V306" s="34"/>
      <c r="W306" s="35" t="s">
        <v>69</v>
      </c>
      <c r="X306" s="549">
        <v>70</v>
      </c>
      <c r="Y306" s="550">
        <f t="shared" si="36"/>
        <v>71.400000000000006</v>
      </c>
      <c r="Z306" s="36">
        <f>IFERROR(IF(Y306=0,"",ROUNDUP(Y306/H306,0)*0.00902),"")</f>
        <v>0.15334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74.166666666666657</v>
      </c>
      <c r="BN306" s="64">
        <f t="shared" si="38"/>
        <v>75.650000000000006</v>
      </c>
      <c r="BO306" s="64">
        <f t="shared" si="39"/>
        <v>0.12626262626262624</v>
      </c>
      <c r="BP306" s="64">
        <f t="shared" si="40"/>
        <v>0.12878787878787878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5">
        <v>4607091387292</v>
      </c>
      <c r="E307" s="566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6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5">
        <v>4607091387285</v>
      </c>
      <c r="E308" s="566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9">
        <v>10.5</v>
      </c>
      <c r="Y308" s="550">
        <f t="shared" si="36"/>
        <v>10.5</v>
      </c>
      <c r="Z308" s="36">
        <f>IFERROR(IF(Y308=0,"",ROUNDUP(Y308/H308,0)*0.00502),"")</f>
        <v>2.5100000000000001E-2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11.149999999999999</v>
      </c>
      <c r="BN308" s="64">
        <f t="shared" si="38"/>
        <v>11.149999999999999</v>
      </c>
      <c r="BO308" s="64">
        <f t="shared" si="39"/>
        <v>2.1367521367521368E-2</v>
      </c>
      <c r="BP308" s="64">
        <f t="shared" si="40"/>
        <v>2.1367521367521368E-2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5">
        <v>4607091389845</v>
      </c>
      <c r="E309" s="566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0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5">
        <v>4607091383836</v>
      </c>
      <c r="E310" s="566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7"/>
      <c r="R310" s="557"/>
      <c r="S310" s="557"/>
      <c r="T310" s="558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59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1"/>
      <c r="P311" s="572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31.19047619047619</v>
      </c>
      <c r="Y311" s="551">
        <f>IFERROR(Y305/H305,"0")+IFERROR(Y306/H306,"0")+IFERROR(Y307/H307,"0")+IFERROR(Y308/H308,"0")+IFERROR(Y309/H309,"0")+IFERROR(Y310/H310,"0")</f>
        <v>32</v>
      </c>
      <c r="Z311" s="551">
        <f>IFERROR(IF(Z305="",0,Z305),"0")+IFERROR(IF(Z306="",0,Z306),"0")+IFERROR(IF(Z307="",0,Z307),"0")+IFERROR(IF(Z308="",0,Z308),"0")+IFERROR(IF(Z309="",0,Z309),"0")+IFERROR(IF(Z310="",0,Z310),"0")</f>
        <v>0.26863999999999999</v>
      </c>
      <c r="AA311" s="552"/>
      <c r="AB311" s="552"/>
      <c r="AC311" s="552"/>
    </row>
    <row r="312" spans="1:68" x14ac:dyDescent="0.2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1"/>
      <c r="P312" s="572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120.5</v>
      </c>
      <c r="Y312" s="551">
        <f>IFERROR(SUM(Y305:Y310),"0")</f>
        <v>123.9</v>
      </c>
      <c r="Z312" s="37"/>
      <c r="AA312" s="552"/>
      <c r="AB312" s="552"/>
      <c r="AC312" s="552"/>
    </row>
    <row r="313" spans="1:68" ht="14.25" hidden="1" customHeight="1" x14ac:dyDescent="0.25">
      <c r="A313" s="574" t="s">
        <v>77</v>
      </c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5">
        <v>4607091387766</v>
      </c>
      <c r="E314" s="566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6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7"/>
      <c r="R314" s="557"/>
      <c r="S314" s="557"/>
      <c r="T314" s="558"/>
      <c r="U314" s="34"/>
      <c r="V314" s="34"/>
      <c r="W314" s="35" t="s">
        <v>69</v>
      </c>
      <c r="X314" s="549">
        <v>700</v>
      </c>
      <c r="Y314" s="550">
        <f>IFERROR(IF(X314="",0,CEILING((X314/$H314),1)*$H314),"")</f>
        <v>702</v>
      </c>
      <c r="Z314" s="36">
        <f>IFERROR(IF(Y314=0,"",ROUNDUP(Y314/H314,0)*0.01898),"")</f>
        <v>1.7081999999999999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743.79487179487182</v>
      </c>
      <c r="BN314" s="64">
        <f>IFERROR(Y314*I314/H314,"0")</f>
        <v>745.92000000000007</v>
      </c>
      <c r="BO314" s="64">
        <f>IFERROR(1/J314*(X314/H314),"0")</f>
        <v>1.4022435897435899</v>
      </c>
      <c r="BP314" s="64">
        <f>IFERROR(1/J314*(Y314/H314),"0")</f>
        <v>1.40625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5">
        <v>4607091387957</v>
      </c>
      <c r="E315" s="566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7"/>
      <c r="R315" s="557"/>
      <c r="S315" s="557"/>
      <c r="T315" s="558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5">
        <v>4607091387964</v>
      </c>
      <c r="E316" s="566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8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7"/>
      <c r="R316" s="557"/>
      <c r="S316" s="557"/>
      <c r="T316" s="558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5">
        <v>4680115884588</v>
      </c>
      <c r="E317" s="566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9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1"/>
      <c r="P318" s="572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89.743589743589752</v>
      </c>
      <c r="Y318" s="551">
        <f>IFERROR(Y314/H314,"0")+IFERROR(Y315/H315,"0")+IFERROR(Y316/H316,"0")+IFERROR(Y317/H317,"0")</f>
        <v>90</v>
      </c>
      <c r="Z318" s="551">
        <f>IFERROR(IF(Z314="",0,Z314),"0")+IFERROR(IF(Z315="",0,Z315),"0")+IFERROR(IF(Z316="",0,Z316),"0")+IFERROR(IF(Z317="",0,Z317),"0")</f>
        <v>1.7081999999999999</v>
      </c>
      <c r="AA318" s="552"/>
      <c r="AB318" s="552"/>
      <c r="AC318" s="552"/>
    </row>
    <row r="319" spans="1:68" x14ac:dyDescent="0.2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1"/>
      <c r="P319" s="572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700</v>
      </c>
      <c r="Y319" s="551">
        <f>IFERROR(SUM(Y314:Y317),"0")</f>
        <v>702</v>
      </c>
      <c r="Z319" s="37"/>
      <c r="AA319" s="552"/>
      <c r="AB319" s="552"/>
      <c r="AC319" s="552"/>
    </row>
    <row r="320" spans="1:68" ht="14.25" hidden="1" customHeight="1" x14ac:dyDescent="0.25">
      <c r="A320" s="574" t="s">
        <v>163</v>
      </c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5">
        <v>4607091380880</v>
      </c>
      <c r="E321" s="566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6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7"/>
      <c r="R321" s="557"/>
      <c r="S321" s="557"/>
      <c r="T321" s="558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5">
        <v>4607091384482</v>
      </c>
      <c r="E322" s="566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7"/>
      <c r="R322" s="557"/>
      <c r="S322" s="557"/>
      <c r="T322" s="558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5">
        <v>4607091380897</v>
      </c>
      <c r="E323" s="566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6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7"/>
      <c r="R323" s="557"/>
      <c r="S323" s="557"/>
      <c r="T323" s="558"/>
      <c r="U323" s="34"/>
      <c r="V323" s="34"/>
      <c r="W323" s="35" t="s">
        <v>69</v>
      </c>
      <c r="X323" s="549">
        <v>20</v>
      </c>
      <c r="Y323" s="550">
        <f>IFERROR(IF(X323="",0,CEILING((X323/$H323),1)*$H323),"")</f>
        <v>25.200000000000003</v>
      </c>
      <c r="Z323" s="36">
        <f>IFERROR(IF(Y323=0,"",ROUNDUP(Y323/H323,0)*0.01898),"")</f>
        <v>5.6940000000000004E-2</v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21.176190476190474</v>
      </c>
      <c r="BN323" s="64">
        <f>IFERROR(Y323*I323/H323,"0")</f>
        <v>26.682000000000002</v>
      </c>
      <c r="BO323" s="64">
        <f>IFERROR(1/J323*(X323/H323),"0")</f>
        <v>3.7202380952380952E-2</v>
      </c>
      <c r="BP323" s="64">
        <f>IFERROR(1/J323*(Y323/H323),"0")</f>
        <v>4.6875E-2</v>
      </c>
    </row>
    <row r="324" spans="1:68" x14ac:dyDescent="0.2">
      <c r="A324" s="559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1"/>
      <c r="P324" s="572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2.3809523809523809</v>
      </c>
      <c r="Y324" s="551">
        <f>IFERROR(Y321/H321,"0")+IFERROR(Y322/H322,"0")+IFERROR(Y323/H323,"0")</f>
        <v>3</v>
      </c>
      <c r="Z324" s="551">
        <f>IFERROR(IF(Z321="",0,Z321),"0")+IFERROR(IF(Z322="",0,Z322),"0")+IFERROR(IF(Z323="",0,Z323),"0")</f>
        <v>5.6940000000000004E-2</v>
      </c>
      <c r="AA324" s="552"/>
      <c r="AB324" s="552"/>
      <c r="AC324" s="552"/>
    </row>
    <row r="325" spans="1:68" x14ac:dyDescent="0.2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1"/>
      <c r="P325" s="572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20</v>
      </c>
      <c r="Y325" s="551">
        <f>IFERROR(SUM(Y321:Y323),"0")</f>
        <v>25.200000000000003</v>
      </c>
      <c r="Z325" s="37"/>
      <c r="AA325" s="552"/>
      <c r="AB325" s="552"/>
      <c r="AC325" s="552"/>
    </row>
    <row r="326" spans="1:68" ht="14.25" hidden="1" customHeight="1" x14ac:dyDescent="0.25">
      <c r="A326" s="574" t="s">
        <v>95</v>
      </c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5">
        <v>4607091388381</v>
      </c>
      <c r="E327" s="566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6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7"/>
      <c r="R327" s="557"/>
      <c r="S327" s="557"/>
      <c r="T327" s="558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5">
        <v>4607091388374</v>
      </c>
      <c r="E328" s="566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87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7"/>
      <c r="R328" s="557"/>
      <c r="S328" s="557"/>
      <c r="T328" s="558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5">
        <v>4607091383102</v>
      </c>
      <c r="E329" s="566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8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7"/>
      <c r="R329" s="557"/>
      <c r="S329" s="557"/>
      <c r="T329" s="558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5">
        <v>4607091388404</v>
      </c>
      <c r="E330" s="566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9">
        <v>2.5499999999999998</v>
      </c>
      <c r="Y330" s="550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2.88</v>
      </c>
      <c r="BN330" s="64">
        <f>IFERROR(Y330*I330/H330,"0")</f>
        <v>2.88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x14ac:dyDescent="0.2">
      <c r="A331" s="559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1"/>
      <c r="P331" s="572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1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1"/>
      <c r="P332" s="572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2.5499999999999998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hidden="1" customHeight="1" x14ac:dyDescent="0.25">
      <c r="A333" s="574" t="s">
        <v>538</v>
      </c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5">
        <v>4680115881808</v>
      </c>
      <c r="E334" s="566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7"/>
      <c r="R334" s="557"/>
      <c r="S334" s="557"/>
      <c r="T334" s="558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5">
        <v>4680115881822</v>
      </c>
      <c r="E335" s="566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7"/>
      <c r="R335" s="557"/>
      <c r="S335" s="557"/>
      <c r="T335" s="558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5">
        <v>4680115880016</v>
      </c>
      <c r="E336" s="566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6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7"/>
      <c r="R336" s="557"/>
      <c r="S336" s="557"/>
      <c r="T336" s="558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1"/>
      <c r="P337" s="572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1"/>
      <c r="P338" s="572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1" t="s">
        <v>547</v>
      </c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44"/>
      <c r="AB339" s="544"/>
      <c r="AC339" s="544"/>
    </row>
    <row r="340" spans="1:68" ht="14.25" hidden="1" customHeight="1" x14ac:dyDescent="0.25">
      <c r="A340" s="574" t="s">
        <v>77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5">
        <v>4607091387919</v>
      </c>
      <c r="E341" s="566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6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7"/>
      <c r="R341" s="557"/>
      <c r="S341" s="557"/>
      <c r="T341" s="558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5">
        <v>4680115883604</v>
      </c>
      <c r="E342" s="566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7"/>
      <c r="R342" s="557"/>
      <c r="S342" s="557"/>
      <c r="T342" s="558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5">
        <v>4680115883567</v>
      </c>
      <c r="E343" s="566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6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7"/>
      <c r="R343" s="557"/>
      <c r="S343" s="557"/>
      <c r="T343" s="558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59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1"/>
      <c r="P344" s="572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1"/>
      <c r="P345" s="572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596" t="s">
        <v>557</v>
      </c>
      <c r="B346" s="597"/>
      <c r="C346" s="597"/>
      <c r="D346" s="597"/>
      <c r="E346" s="597"/>
      <c r="F346" s="597"/>
      <c r="G346" s="597"/>
      <c r="H346" s="597"/>
      <c r="I346" s="597"/>
      <c r="J346" s="597"/>
      <c r="K346" s="597"/>
      <c r="L346" s="597"/>
      <c r="M346" s="597"/>
      <c r="N346" s="597"/>
      <c r="O346" s="597"/>
      <c r="P346" s="597"/>
      <c r="Q346" s="597"/>
      <c r="R346" s="597"/>
      <c r="S346" s="597"/>
      <c r="T346" s="597"/>
      <c r="U346" s="597"/>
      <c r="V346" s="597"/>
      <c r="W346" s="597"/>
      <c r="X346" s="597"/>
      <c r="Y346" s="597"/>
      <c r="Z346" s="597"/>
      <c r="AA346" s="48"/>
      <c r="AB346" s="48"/>
      <c r="AC346" s="48"/>
    </row>
    <row r="347" spans="1:68" ht="16.5" hidden="1" customHeight="1" x14ac:dyDescent="0.25">
      <c r="A347" s="571" t="s">
        <v>558</v>
      </c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44"/>
      <c r="AB347" s="544"/>
      <c r="AC347" s="544"/>
    </row>
    <row r="348" spans="1:68" ht="14.25" hidden="1" customHeight="1" x14ac:dyDescent="0.25">
      <c r="A348" s="574" t="s">
        <v>103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5">
        <v>4680115884847</v>
      </c>
      <c r="E349" s="566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6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9">
        <v>15</v>
      </c>
      <c r="Y349" s="550">
        <f t="shared" ref="Y349:Y355" si="41">IFERROR(IF(X349="",0,CEILING((X349/$H349),1)*$H349),"")</f>
        <v>15</v>
      </c>
      <c r="Z349" s="36">
        <f>IFERROR(IF(Y349=0,"",ROUNDUP(Y349/H349,0)*0.02175),"")</f>
        <v>2.1749999999999999E-2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15.47</v>
      </c>
      <c r="BN349" s="64">
        <f t="shared" ref="BN349:BN355" si="43">IFERROR(Y349*I349/H349,"0")</f>
        <v>15.47</v>
      </c>
      <c r="BO349" s="64">
        <f t="shared" ref="BO349:BO355" si="44">IFERROR(1/J349*(X349/H349),"0")</f>
        <v>2.0833333333333332E-2</v>
      </c>
      <c r="BP349" s="64">
        <f t="shared" ref="BP349:BP355" si="45">IFERROR(1/J349*(Y349/H349),"0")</f>
        <v>2.0833333333333332E-2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5">
        <v>4680115884854</v>
      </c>
      <c r="E350" s="566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7"/>
      <c r="R350" s="557"/>
      <c r="S350" s="557"/>
      <c r="T350" s="558"/>
      <c r="U350" s="34"/>
      <c r="V350" s="34"/>
      <c r="W350" s="35" t="s">
        <v>69</v>
      </c>
      <c r="X350" s="549">
        <v>150</v>
      </c>
      <c r="Y350" s="550">
        <f t="shared" si="41"/>
        <v>150</v>
      </c>
      <c r="Z350" s="36">
        <f>IFERROR(IF(Y350=0,"",ROUNDUP(Y350/H350,0)*0.02175),"")</f>
        <v>0.21749999999999997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154.69999999999999</v>
      </c>
      <c r="BN350" s="64">
        <f t="shared" si="43"/>
        <v>154.69999999999999</v>
      </c>
      <c r="BO350" s="64">
        <f t="shared" si="44"/>
        <v>0.20833333333333331</v>
      </c>
      <c r="BP350" s="64">
        <f t="shared" si="45"/>
        <v>0.20833333333333331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5">
        <v>4680115887046</v>
      </c>
      <c r="E351" s="566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7"/>
      <c r="R351" s="557"/>
      <c r="S351" s="557"/>
      <c r="T351" s="558"/>
      <c r="U351" s="34"/>
      <c r="V351" s="34"/>
      <c r="W351" s="35" t="s">
        <v>69</v>
      </c>
      <c r="X351" s="549">
        <v>250</v>
      </c>
      <c r="Y351" s="550">
        <f t="shared" si="41"/>
        <v>255</v>
      </c>
      <c r="Z351" s="36">
        <f>IFERROR(IF(Y351=0,"",ROUNDUP(Y351/H351,0)*0.02175),"")</f>
        <v>0.36974999999999997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257.83333333333331</v>
      </c>
      <c r="BN351" s="64">
        <f t="shared" si="43"/>
        <v>262.99</v>
      </c>
      <c r="BO351" s="64">
        <f t="shared" si="44"/>
        <v>0.34722222222222221</v>
      </c>
      <c r="BP351" s="64">
        <f t="shared" si="45"/>
        <v>0.35416666666666663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5">
        <v>4680115884830</v>
      </c>
      <c r="E352" s="566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5">
        <v>4680115882638</v>
      </c>
      <c r="E353" s="566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7"/>
      <c r="R353" s="557"/>
      <c r="S353" s="557"/>
      <c r="T353" s="558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5">
        <v>4680115884922</v>
      </c>
      <c r="E354" s="566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6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7"/>
      <c r="R354" s="557"/>
      <c r="S354" s="557"/>
      <c r="T354" s="558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5">
        <v>4680115884861</v>
      </c>
      <c r="E355" s="566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5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7"/>
      <c r="R355" s="557"/>
      <c r="S355" s="557"/>
      <c r="T355" s="558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59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1"/>
      <c r="P356" s="572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27.666666666666668</v>
      </c>
      <c r="Y356" s="551">
        <f>IFERROR(Y349/H349,"0")+IFERROR(Y350/H350,"0")+IFERROR(Y351/H351,"0")+IFERROR(Y352/H352,"0")+IFERROR(Y353/H353,"0")+IFERROR(Y354/H354,"0")+IFERROR(Y355/H355,"0")</f>
        <v>28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0.60899999999999999</v>
      </c>
      <c r="AA356" s="552"/>
      <c r="AB356" s="552"/>
      <c r="AC356" s="552"/>
    </row>
    <row r="357" spans="1:68" x14ac:dyDescent="0.2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1"/>
      <c r="P357" s="572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415</v>
      </c>
      <c r="Y357" s="551">
        <f>IFERROR(SUM(Y349:Y355),"0")</f>
        <v>420</v>
      </c>
      <c r="Z357" s="37"/>
      <c r="AA357" s="552"/>
      <c r="AB357" s="552"/>
      <c r="AC357" s="552"/>
    </row>
    <row r="358" spans="1:68" ht="14.25" hidden="1" customHeight="1" x14ac:dyDescent="0.25">
      <c r="A358" s="574" t="s">
        <v>138</v>
      </c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5">
        <v>4607091383980</v>
      </c>
      <c r="E359" s="566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7"/>
      <c r="R359" s="557"/>
      <c r="S359" s="557"/>
      <c r="T359" s="558"/>
      <c r="U359" s="34"/>
      <c r="V359" s="34"/>
      <c r="W359" s="35" t="s">
        <v>69</v>
      </c>
      <c r="X359" s="549">
        <v>350</v>
      </c>
      <c r="Y359" s="550">
        <f>IFERROR(IF(X359="",0,CEILING((X359/$H359),1)*$H359),"")</f>
        <v>360</v>
      </c>
      <c r="Z359" s="36">
        <f>IFERROR(IF(Y359=0,"",ROUNDUP(Y359/H359,0)*0.02175),"")</f>
        <v>0.52200000000000002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360.96666666666664</v>
      </c>
      <c r="BN359" s="64">
        <f>IFERROR(Y359*I359/H359,"0")</f>
        <v>371.28</v>
      </c>
      <c r="BO359" s="64">
        <f>IFERROR(1/J359*(X359/H359),"0")</f>
        <v>0.48611111111111105</v>
      </c>
      <c r="BP359" s="64">
        <f>IFERROR(1/J359*(Y359/H359),"0")</f>
        <v>0.5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5">
        <v>4607091384178</v>
      </c>
      <c r="E360" s="566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55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7"/>
      <c r="R360" s="557"/>
      <c r="S360" s="557"/>
      <c r="T360" s="558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9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1"/>
      <c r="P361" s="572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23.333333333333332</v>
      </c>
      <c r="Y361" s="551">
        <f>IFERROR(Y359/H359,"0")+IFERROR(Y360/H360,"0")</f>
        <v>24</v>
      </c>
      <c r="Z361" s="551">
        <f>IFERROR(IF(Z359="",0,Z359),"0")+IFERROR(IF(Z360="",0,Z360),"0")</f>
        <v>0.52200000000000002</v>
      </c>
      <c r="AA361" s="552"/>
      <c r="AB361" s="552"/>
      <c r="AC361" s="552"/>
    </row>
    <row r="362" spans="1:68" x14ac:dyDescent="0.2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1"/>
      <c r="P362" s="572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350</v>
      </c>
      <c r="Y362" s="551">
        <f>IFERROR(SUM(Y359:Y360),"0")</f>
        <v>360</v>
      </c>
      <c r="Z362" s="37"/>
      <c r="AA362" s="552"/>
      <c r="AB362" s="552"/>
      <c r="AC362" s="552"/>
    </row>
    <row r="363" spans="1:68" ht="14.25" hidden="1" customHeight="1" x14ac:dyDescent="0.25">
      <c r="A363" s="574" t="s">
        <v>77</v>
      </c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5">
        <v>4607091383928</v>
      </c>
      <c r="E364" s="566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6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7"/>
      <c r="R364" s="557"/>
      <c r="S364" s="557"/>
      <c r="T364" s="558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5">
        <v>4607091384260</v>
      </c>
      <c r="E365" s="566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6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7"/>
      <c r="R365" s="557"/>
      <c r="S365" s="557"/>
      <c r="T365" s="558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59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1"/>
      <c r="P366" s="572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1"/>
      <c r="P367" s="572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74" t="s">
        <v>163</v>
      </c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5">
        <v>4607091384673</v>
      </c>
      <c r="E369" s="566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9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1"/>
      <c r="P370" s="572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1"/>
      <c r="P371" s="572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1" t="s">
        <v>593</v>
      </c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44"/>
      <c r="AB372" s="544"/>
      <c r="AC372" s="544"/>
    </row>
    <row r="373" spans="1:68" ht="14.25" hidden="1" customHeight="1" x14ac:dyDescent="0.25">
      <c r="A373" s="574" t="s">
        <v>103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5">
        <v>4680115884885</v>
      </c>
      <c r="E374" s="566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5">
        <v>4680115884908</v>
      </c>
      <c r="E375" s="566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7"/>
      <c r="R375" s="557"/>
      <c r="S375" s="557"/>
      <c r="T375" s="558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9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1"/>
      <c r="P376" s="572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1"/>
      <c r="P377" s="572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4" t="s">
        <v>64</v>
      </c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5">
        <v>4607091384802</v>
      </c>
      <c r="E379" s="566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8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5">
        <v>4607091384802</v>
      </c>
      <c r="E380" s="566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7"/>
      <c r="R380" s="557"/>
      <c r="S380" s="557"/>
      <c r="T380" s="558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9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1"/>
      <c r="P381" s="572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1"/>
      <c r="P382" s="572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4" t="s">
        <v>77</v>
      </c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5">
        <v>4607091384246</v>
      </c>
      <c r="E384" s="566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84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5">
        <v>4607091384253</v>
      </c>
      <c r="E385" s="566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5">
        <v>4607091384253</v>
      </c>
      <c r="E386" s="566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9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1"/>
      <c r="P387" s="572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1"/>
      <c r="P388" s="572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596" t="s">
        <v>611</v>
      </c>
      <c r="B389" s="597"/>
      <c r="C389" s="597"/>
      <c r="D389" s="597"/>
      <c r="E389" s="597"/>
      <c r="F389" s="597"/>
      <c r="G389" s="597"/>
      <c r="H389" s="597"/>
      <c r="I389" s="597"/>
      <c r="J389" s="597"/>
      <c r="K389" s="597"/>
      <c r="L389" s="597"/>
      <c r="M389" s="597"/>
      <c r="N389" s="597"/>
      <c r="O389" s="597"/>
      <c r="P389" s="597"/>
      <c r="Q389" s="597"/>
      <c r="R389" s="597"/>
      <c r="S389" s="597"/>
      <c r="T389" s="597"/>
      <c r="U389" s="597"/>
      <c r="V389" s="597"/>
      <c r="W389" s="597"/>
      <c r="X389" s="597"/>
      <c r="Y389" s="597"/>
      <c r="Z389" s="597"/>
      <c r="AA389" s="48"/>
      <c r="AB389" s="48"/>
      <c r="AC389" s="48"/>
    </row>
    <row r="390" spans="1:68" ht="16.5" hidden="1" customHeight="1" x14ac:dyDescent="0.25">
      <c r="A390" s="571" t="s">
        <v>612</v>
      </c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44"/>
      <c r="AB390" s="544"/>
      <c r="AC390" s="544"/>
    </row>
    <row r="391" spans="1:68" ht="14.25" hidden="1" customHeight="1" x14ac:dyDescent="0.25">
      <c r="A391" s="574" t="s">
        <v>64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5">
        <v>4680115886100</v>
      </c>
      <c r="E392" s="566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5">
        <v>4680115886117</v>
      </c>
      <c r="E393" s="566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9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5">
        <v>4680115886124</v>
      </c>
      <c r="E394" s="566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5">
        <v>4680115883147</v>
      </c>
      <c r="E395" s="566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9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5">
        <v>4607091384338</v>
      </c>
      <c r="E396" s="566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5">
        <v>4607091389524</v>
      </c>
      <c r="E397" s="566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5">
        <v>4680115883161</v>
      </c>
      <c r="E398" s="566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5">
        <v>4607091389531</v>
      </c>
      <c r="E399" s="566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5">
        <v>4607091384345</v>
      </c>
      <c r="E400" s="566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idden="1" x14ac:dyDescent="0.2">
      <c r="A401" s="559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1"/>
      <c r="P401" s="572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1"/>
      <c r="P402" s="572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74" t="s">
        <v>77</v>
      </c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5">
        <v>4607091384352</v>
      </c>
      <c r="E404" s="566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8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5">
        <v>4607091389654</v>
      </c>
      <c r="E405" s="566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9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1"/>
      <c r="P406" s="572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1"/>
      <c r="P407" s="572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1" t="s">
        <v>643</v>
      </c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44"/>
      <c r="AB408" s="544"/>
      <c r="AC408" s="544"/>
    </row>
    <row r="409" spans="1:68" ht="14.25" hidden="1" customHeight="1" x14ac:dyDescent="0.25">
      <c r="A409" s="574" t="s">
        <v>138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5">
        <v>4680115885240</v>
      </c>
      <c r="E410" s="566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9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1"/>
      <c r="P411" s="572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1"/>
      <c r="P412" s="572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4" t="s">
        <v>64</v>
      </c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5">
        <v>4680115886094</v>
      </c>
      <c r="E414" s="566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7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5">
        <v>4607091389425</v>
      </c>
      <c r="E415" s="566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5">
        <v>4680115880771</v>
      </c>
      <c r="E416" s="566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7"/>
      <c r="R416" s="557"/>
      <c r="S416" s="557"/>
      <c r="T416" s="558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5">
        <v>4607091389500</v>
      </c>
      <c r="E417" s="566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7"/>
      <c r="R417" s="557"/>
      <c r="S417" s="557"/>
      <c r="T417" s="558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59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1"/>
      <c r="P418" s="572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1"/>
      <c r="P419" s="572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1" t="s">
        <v>658</v>
      </c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44"/>
      <c r="AB420" s="544"/>
      <c r="AC420" s="544"/>
    </row>
    <row r="421" spans="1:68" ht="14.25" hidden="1" customHeight="1" x14ac:dyDescent="0.25">
      <c r="A421" s="574" t="s">
        <v>64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5">
        <v>4680115885110</v>
      </c>
      <c r="E422" s="566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5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7"/>
      <c r="R422" s="557"/>
      <c r="S422" s="557"/>
      <c r="T422" s="558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59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1"/>
      <c r="P423" s="572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1"/>
      <c r="P424" s="572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596" t="s">
        <v>662</v>
      </c>
      <c r="B425" s="597"/>
      <c r="C425" s="597"/>
      <c r="D425" s="597"/>
      <c r="E425" s="597"/>
      <c r="F425" s="597"/>
      <c r="G425" s="597"/>
      <c r="H425" s="597"/>
      <c r="I425" s="597"/>
      <c r="J425" s="597"/>
      <c r="K425" s="597"/>
      <c r="L425" s="597"/>
      <c r="M425" s="597"/>
      <c r="N425" s="597"/>
      <c r="O425" s="597"/>
      <c r="P425" s="597"/>
      <c r="Q425" s="597"/>
      <c r="R425" s="597"/>
      <c r="S425" s="597"/>
      <c r="T425" s="597"/>
      <c r="U425" s="597"/>
      <c r="V425" s="597"/>
      <c r="W425" s="597"/>
      <c r="X425" s="597"/>
      <c r="Y425" s="597"/>
      <c r="Z425" s="597"/>
      <c r="AA425" s="48"/>
      <c r="AB425" s="48"/>
      <c r="AC425" s="48"/>
    </row>
    <row r="426" spans="1:68" ht="16.5" hidden="1" customHeight="1" x14ac:dyDescent="0.25">
      <c r="A426" s="571" t="s">
        <v>662</v>
      </c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44"/>
      <c r="AB426" s="544"/>
      <c r="AC426" s="544"/>
    </row>
    <row r="427" spans="1:68" ht="14.25" hidden="1" customHeight="1" x14ac:dyDescent="0.25">
      <c r="A427" s="574" t="s">
        <v>103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5">
        <v>4607091389067</v>
      </c>
      <c r="E428" s="566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7"/>
      <c r="R428" s="557"/>
      <c r="S428" s="557"/>
      <c r="T428" s="558"/>
      <c r="U428" s="34"/>
      <c r="V428" s="34"/>
      <c r="W428" s="35" t="s">
        <v>69</v>
      </c>
      <c r="X428" s="549">
        <v>15</v>
      </c>
      <c r="Y428" s="550">
        <f t="shared" ref="Y428:Y439" si="52">IFERROR(IF(X428="",0,CEILING((X428/$H428),1)*$H428),"")</f>
        <v>15.84</v>
      </c>
      <c r="Z428" s="36">
        <f t="shared" ref="Z428:Z434" si="53">IFERROR(IF(Y428=0,"",ROUNDUP(Y428/H428,0)*0.01196),"")</f>
        <v>3.5880000000000002E-2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15.994318181818182</v>
      </c>
      <c r="BN428" s="64">
        <f t="shared" ref="BN428:BN439" si="55">IFERROR(Y428*I428/H428,"0")</f>
        <v>16.889999999999997</v>
      </c>
      <c r="BO428" s="64">
        <f t="shared" ref="BO428:BO439" si="56">IFERROR(1/J428*(X428/H428),"0")</f>
        <v>2.7316433566433568E-2</v>
      </c>
      <c r="BP428" s="64">
        <f t="shared" ref="BP428:BP439" si="57">IFERROR(1/J428*(Y428/H428),"0")</f>
        <v>2.8846153846153848E-2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5">
        <v>4607091383522</v>
      </c>
      <c r="E429" s="566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7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7"/>
      <c r="R429" s="557"/>
      <c r="S429" s="557"/>
      <c r="T429" s="558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5">
        <v>4607091383522</v>
      </c>
      <c r="E430" s="566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6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7"/>
      <c r="R430" s="557"/>
      <c r="S430" s="557"/>
      <c r="T430" s="558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5">
        <v>4680115885271</v>
      </c>
      <c r="E431" s="566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672</v>
      </c>
      <c r="B432" s="54" t="s">
        <v>673</v>
      </c>
      <c r="C432" s="31">
        <v>4301011376</v>
      </c>
      <c r="D432" s="565">
        <v>4680115885226</v>
      </c>
      <c r="E432" s="566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8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7"/>
      <c r="R432" s="557"/>
      <c r="S432" s="557"/>
      <c r="T432" s="558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5">
        <v>4680115884502</v>
      </c>
      <c r="E433" s="566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5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7"/>
      <c r="R433" s="557"/>
      <c r="S433" s="557"/>
      <c r="T433" s="558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4301011771</v>
      </c>
      <c r="D434" s="565">
        <v>4607091389104</v>
      </c>
      <c r="E434" s="566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7"/>
      <c r="R434" s="557"/>
      <c r="S434" s="557"/>
      <c r="T434" s="558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5">
        <v>4680115886391</v>
      </c>
      <c r="E435" s="566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7"/>
      <c r="R435" s="557"/>
      <c r="S435" s="557"/>
      <c r="T435" s="558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5">
        <v>4680115880603</v>
      </c>
      <c r="E436" s="566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7"/>
      <c r="R436" s="557"/>
      <c r="S436" s="557"/>
      <c r="T436" s="558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5">
        <v>4680115882782</v>
      </c>
      <c r="E437" s="566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86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5">
        <v>4680115885479</v>
      </c>
      <c r="E438" s="566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7"/>
      <c r="R438" s="557"/>
      <c r="S438" s="557"/>
      <c r="T438" s="558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5">
        <v>4607091389982</v>
      </c>
      <c r="E439" s="566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5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7"/>
      <c r="R439" s="557"/>
      <c r="S439" s="557"/>
      <c r="T439" s="558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59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1"/>
      <c r="P440" s="572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2.8409090909090908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3.5880000000000002E-2</v>
      </c>
      <c r="AA440" s="552"/>
      <c r="AB440" s="552"/>
      <c r="AC440" s="552"/>
    </row>
    <row r="441" spans="1:68" x14ac:dyDescent="0.2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1"/>
      <c r="P441" s="572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15</v>
      </c>
      <c r="Y441" s="551">
        <f>IFERROR(SUM(Y428:Y439),"0")</f>
        <v>15.84</v>
      </c>
      <c r="Z441" s="37"/>
      <c r="AA441" s="552"/>
      <c r="AB441" s="552"/>
      <c r="AC441" s="552"/>
    </row>
    <row r="442" spans="1:68" ht="14.25" hidden="1" customHeight="1" x14ac:dyDescent="0.25">
      <c r="A442" s="574" t="s">
        <v>138</v>
      </c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5">
        <v>4607091388930</v>
      </c>
      <c r="E443" s="566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8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7"/>
      <c r="R443" s="557"/>
      <c r="S443" s="557"/>
      <c r="T443" s="558"/>
      <c r="U443" s="34"/>
      <c r="V443" s="34"/>
      <c r="W443" s="35" t="s">
        <v>69</v>
      </c>
      <c r="X443" s="549">
        <v>16</v>
      </c>
      <c r="Y443" s="550">
        <f>IFERROR(IF(X443="",0,CEILING((X443/$H443),1)*$H443),"")</f>
        <v>21.12</v>
      </c>
      <c r="Z443" s="36">
        <f>IFERROR(IF(Y443=0,"",ROUNDUP(Y443/H443,0)*0.01196),"")</f>
        <v>4.7840000000000001E-2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17.060606060606059</v>
      </c>
      <c r="BN443" s="64">
        <f>IFERROR(Y443*I443/H443,"0")</f>
        <v>22.52</v>
      </c>
      <c r="BO443" s="64">
        <f>IFERROR(1/J443*(X443/H443),"0")</f>
        <v>2.913752913752914E-2</v>
      </c>
      <c r="BP443" s="64">
        <f>IFERROR(1/J443*(Y443/H443),"0")</f>
        <v>3.8461538461538464E-2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5">
        <v>4680115886407</v>
      </c>
      <c r="E444" s="566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7"/>
      <c r="R444" s="557"/>
      <c r="S444" s="557"/>
      <c r="T444" s="558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5">
        <v>4680115880054</v>
      </c>
      <c r="E445" s="566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7"/>
      <c r="R445" s="557"/>
      <c r="S445" s="557"/>
      <c r="T445" s="558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9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1"/>
      <c r="P446" s="572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3.0303030303030303</v>
      </c>
      <c r="Y446" s="551">
        <f>IFERROR(Y443/H443,"0")+IFERROR(Y444/H444,"0")+IFERROR(Y445/H445,"0")</f>
        <v>4</v>
      </c>
      <c r="Z446" s="551">
        <f>IFERROR(IF(Z443="",0,Z443),"0")+IFERROR(IF(Z444="",0,Z444),"0")+IFERROR(IF(Z445="",0,Z445),"0")</f>
        <v>4.7840000000000001E-2</v>
      </c>
      <c r="AA446" s="552"/>
      <c r="AB446" s="552"/>
      <c r="AC446" s="552"/>
    </row>
    <row r="447" spans="1:68" x14ac:dyDescent="0.2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1"/>
      <c r="P447" s="572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16</v>
      </c>
      <c r="Y447" s="551">
        <f>IFERROR(SUM(Y443:Y445),"0")</f>
        <v>21.12</v>
      </c>
      <c r="Z447" s="37"/>
      <c r="AA447" s="552"/>
      <c r="AB447" s="552"/>
      <c r="AC447" s="552"/>
    </row>
    <row r="448" spans="1:68" ht="14.25" hidden="1" customHeight="1" x14ac:dyDescent="0.25">
      <c r="A448" s="574" t="s">
        <v>64</v>
      </c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45"/>
      <c r="AB448" s="545"/>
      <c r="AC448" s="545"/>
    </row>
    <row r="449" spans="1:68" ht="27" hidden="1" customHeight="1" x14ac:dyDescent="0.25">
      <c r="A449" s="54" t="s">
        <v>699</v>
      </c>
      <c r="B449" s="54" t="s">
        <v>700</v>
      </c>
      <c r="C449" s="31">
        <v>4301031349</v>
      </c>
      <c r="D449" s="565">
        <v>4680115883116</v>
      </c>
      <c r="E449" s="566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5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7"/>
      <c r="R449" s="557"/>
      <c r="S449" s="557"/>
      <c r="T449" s="558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4301031350</v>
      </c>
      <c r="D450" s="565">
        <v>4680115883093</v>
      </c>
      <c r="E450" s="566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5">
        <v>4680115883109</v>
      </c>
      <c r="E451" s="566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9">
        <v>10</v>
      </c>
      <c r="Y451" s="550">
        <f t="shared" si="58"/>
        <v>10.56</v>
      </c>
      <c r="Z451" s="36">
        <f>IFERROR(IF(Y451=0,"",ROUNDUP(Y451/H451,0)*0.01196),"")</f>
        <v>2.392E-2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10.662878787878787</v>
      </c>
      <c r="BN451" s="64">
        <f t="shared" si="60"/>
        <v>11.26</v>
      </c>
      <c r="BO451" s="64">
        <f t="shared" si="61"/>
        <v>1.8210955710955712E-2</v>
      </c>
      <c r="BP451" s="64">
        <f t="shared" si="62"/>
        <v>1.9230769230769232E-2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5">
        <v>4680115882072</v>
      </c>
      <c r="E452" s="566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84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5">
        <v>4680115882102</v>
      </c>
      <c r="E453" s="566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8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5">
        <v>4680115882096</v>
      </c>
      <c r="E454" s="566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59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1"/>
      <c r="P455" s="572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1.8939393939393938</v>
      </c>
      <c r="Y455" s="551">
        <f>IFERROR(Y449/H449,"0")+IFERROR(Y450/H450,"0")+IFERROR(Y451/H451,"0")+IFERROR(Y452/H452,"0")+IFERROR(Y453/H453,"0")+IFERROR(Y454/H454,"0")</f>
        <v>2</v>
      </c>
      <c r="Z455" s="551">
        <f>IFERROR(IF(Z449="",0,Z449),"0")+IFERROR(IF(Z450="",0,Z450),"0")+IFERROR(IF(Z451="",0,Z451),"0")+IFERROR(IF(Z452="",0,Z452),"0")+IFERROR(IF(Z453="",0,Z453),"0")+IFERROR(IF(Z454="",0,Z454),"0")</f>
        <v>2.392E-2</v>
      </c>
      <c r="AA455" s="552"/>
      <c r="AB455" s="552"/>
      <c r="AC455" s="552"/>
    </row>
    <row r="456" spans="1:68" x14ac:dyDescent="0.2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1"/>
      <c r="P456" s="572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10</v>
      </c>
      <c r="Y456" s="551">
        <f>IFERROR(SUM(Y449:Y454),"0")</f>
        <v>10.56</v>
      </c>
      <c r="Z456" s="37"/>
      <c r="AA456" s="552"/>
      <c r="AB456" s="552"/>
      <c r="AC456" s="552"/>
    </row>
    <row r="457" spans="1:68" ht="14.25" hidden="1" customHeight="1" x14ac:dyDescent="0.25">
      <c r="A457" s="574" t="s">
        <v>77</v>
      </c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5">
        <v>4680115883536</v>
      </c>
      <c r="E458" s="566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2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7"/>
      <c r="R458" s="557"/>
      <c r="S458" s="557"/>
      <c r="T458" s="558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59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  <c r="L459" s="560"/>
      <c r="M459" s="560"/>
      <c r="N459" s="560"/>
      <c r="O459" s="561"/>
      <c r="P459" s="572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1"/>
      <c r="P460" s="572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596" t="s">
        <v>717</v>
      </c>
      <c r="B461" s="597"/>
      <c r="C461" s="597"/>
      <c r="D461" s="597"/>
      <c r="E461" s="597"/>
      <c r="F461" s="597"/>
      <c r="G461" s="597"/>
      <c r="H461" s="597"/>
      <c r="I461" s="597"/>
      <c r="J461" s="597"/>
      <c r="K461" s="597"/>
      <c r="L461" s="597"/>
      <c r="M461" s="597"/>
      <c r="N461" s="597"/>
      <c r="O461" s="597"/>
      <c r="P461" s="597"/>
      <c r="Q461" s="597"/>
      <c r="R461" s="597"/>
      <c r="S461" s="597"/>
      <c r="T461" s="597"/>
      <c r="U461" s="597"/>
      <c r="V461" s="597"/>
      <c r="W461" s="597"/>
      <c r="X461" s="597"/>
      <c r="Y461" s="597"/>
      <c r="Z461" s="597"/>
      <c r="AA461" s="48"/>
      <c r="AB461" s="48"/>
      <c r="AC461" s="48"/>
    </row>
    <row r="462" spans="1:68" ht="16.5" hidden="1" customHeight="1" x14ac:dyDescent="0.25">
      <c r="A462" s="571" t="s">
        <v>717</v>
      </c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44"/>
      <c r="AB462" s="544"/>
      <c r="AC462" s="544"/>
    </row>
    <row r="463" spans="1:68" ht="14.25" hidden="1" customHeight="1" x14ac:dyDescent="0.25">
      <c r="A463" s="574" t="s">
        <v>103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5">
        <v>4640242181011</v>
      </c>
      <c r="E464" s="566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81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7"/>
      <c r="R464" s="557"/>
      <c r="S464" s="557"/>
      <c r="T464" s="558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5">
        <v>4640242180441</v>
      </c>
      <c r="E465" s="566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1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7"/>
      <c r="R465" s="557"/>
      <c r="S465" s="557"/>
      <c r="T465" s="558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5">
        <v>4640242180564</v>
      </c>
      <c r="E466" s="566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8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7"/>
      <c r="R466" s="557"/>
      <c r="S466" s="557"/>
      <c r="T466" s="558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5">
        <v>4640242181189</v>
      </c>
      <c r="E467" s="566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9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1"/>
      <c r="P468" s="572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1"/>
      <c r="P469" s="572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4" t="s">
        <v>138</v>
      </c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5">
        <v>4640242180519</v>
      </c>
      <c r="E471" s="566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8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7"/>
      <c r="R471" s="557"/>
      <c r="S471" s="557"/>
      <c r="T471" s="558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5">
        <v>4640242180526</v>
      </c>
      <c r="E472" s="566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68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7"/>
      <c r="R472" s="557"/>
      <c r="S472" s="557"/>
      <c r="T472" s="558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9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1"/>
      <c r="P473" s="572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1"/>
      <c r="P474" s="572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4" t="s">
        <v>64</v>
      </c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5">
        <v>4640242180595</v>
      </c>
      <c r="E476" s="566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7"/>
      <c r="R476" s="557"/>
      <c r="S476" s="557"/>
      <c r="T476" s="558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9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1"/>
      <c r="P477" s="572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1"/>
      <c r="P478" s="572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4" t="s">
        <v>77</v>
      </c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5">
        <v>4640242180533</v>
      </c>
      <c r="E480" s="566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7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9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1"/>
      <c r="P481" s="572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1"/>
      <c r="P482" s="572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74" t="s">
        <v>163</v>
      </c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5">
        <v>4640242180120</v>
      </c>
      <c r="E484" s="566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59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7"/>
      <c r="R484" s="557"/>
      <c r="S484" s="557"/>
      <c r="T484" s="558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5">
        <v>4640242180137</v>
      </c>
      <c r="E485" s="566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68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7"/>
      <c r="R485" s="557"/>
      <c r="S485" s="557"/>
      <c r="T485" s="558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9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1"/>
      <c r="P486" s="572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1"/>
      <c r="P487" s="572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1" t="s">
        <v>747</v>
      </c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44"/>
      <c r="AB488" s="544"/>
      <c r="AC488" s="544"/>
    </row>
    <row r="489" spans="1:68" ht="14.25" hidden="1" customHeight="1" x14ac:dyDescent="0.25">
      <c r="A489" s="574" t="s">
        <v>138</v>
      </c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5">
        <v>4640242180090</v>
      </c>
      <c r="E490" s="566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64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7"/>
      <c r="R490" s="557"/>
      <c r="S490" s="557"/>
      <c r="T490" s="558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9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1"/>
      <c r="P491" s="572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1"/>
      <c r="P492" s="572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15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716"/>
      <c r="P493" s="568" t="s">
        <v>751</v>
      </c>
      <c r="Q493" s="569"/>
      <c r="R493" s="569"/>
      <c r="S493" s="569"/>
      <c r="T493" s="569"/>
      <c r="U493" s="569"/>
      <c r="V493" s="570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2686.55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2751.77</v>
      </c>
      <c r="Z493" s="37"/>
      <c r="AA493" s="552"/>
      <c r="AB493" s="552"/>
      <c r="AC493" s="552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716"/>
      <c r="P494" s="568" t="s">
        <v>752</v>
      </c>
      <c r="Q494" s="569"/>
      <c r="R494" s="569"/>
      <c r="S494" s="569"/>
      <c r="T494" s="569"/>
      <c r="U494" s="569"/>
      <c r="V494" s="570"/>
      <c r="W494" s="37" t="s">
        <v>69</v>
      </c>
      <c r="X494" s="551">
        <f>IFERROR(SUM(BM22:BM490),"0")</f>
        <v>2808.0611933436935</v>
      </c>
      <c r="Y494" s="551">
        <f>IFERROR(SUM(BN22:BN490),"0")</f>
        <v>2876.1319999999996</v>
      </c>
      <c r="Z494" s="37"/>
      <c r="AA494" s="552"/>
      <c r="AB494" s="552"/>
      <c r="AC494" s="552"/>
    </row>
    <row r="495" spans="1:68" x14ac:dyDescent="0.2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716"/>
      <c r="P495" s="568" t="s">
        <v>753</v>
      </c>
      <c r="Q495" s="569"/>
      <c r="R495" s="569"/>
      <c r="S495" s="569"/>
      <c r="T495" s="569"/>
      <c r="U495" s="569"/>
      <c r="V495" s="570"/>
      <c r="W495" s="37" t="s">
        <v>754</v>
      </c>
      <c r="X495" s="38">
        <f>ROUNDUP(SUM(BO22:BO490),0)</f>
        <v>5</v>
      </c>
      <c r="Y495" s="38">
        <f>ROUNDUP(SUM(BP22:BP490),0)</f>
        <v>5</v>
      </c>
      <c r="Z495" s="37"/>
      <c r="AA495" s="552"/>
      <c r="AB495" s="552"/>
      <c r="AC495" s="552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716"/>
      <c r="P496" s="568" t="s">
        <v>755</v>
      </c>
      <c r="Q496" s="569"/>
      <c r="R496" s="569"/>
      <c r="S496" s="569"/>
      <c r="T496" s="569"/>
      <c r="U496" s="569"/>
      <c r="V496" s="570"/>
      <c r="W496" s="37" t="s">
        <v>69</v>
      </c>
      <c r="X496" s="551">
        <f>GrossWeightTotal+PalletQtyTotal*25</f>
        <v>2933.0611933436935</v>
      </c>
      <c r="Y496" s="551">
        <f>GrossWeightTotalR+PalletQtyTotalR*25</f>
        <v>3001.1319999999996</v>
      </c>
      <c r="Z496" s="37"/>
      <c r="AA496" s="552"/>
      <c r="AB496" s="552"/>
      <c r="AC496" s="552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716"/>
      <c r="P497" s="568" t="s">
        <v>756</v>
      </c>
      <c r="Q497" s="569"/>
      <c r="R497" s="569"/>
      <c r="S497" s="569"/>
      <c r="T497" s="569"/>
      <c r="U497" s="569"/>
      <c r="V497" s="570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319.68863543863534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327</v>
      </c>
      <c r="Z497" s="37"/>
      <c r="AA497" s="552"/>
      <c r="AB497" s="552"/>
      <c r="AC497" s="552"/>
    </row>
    <row r="498" spans="1:32" ht="14.25" hidden="1" customHeight="1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716"/>
      <c r="P498" s="568" t="s">
        <v>757</v>
      </c>
      <c r="Q498" s="569"/>
      <c r="R498" s="569"/>
      <c r="S498" s="569"/>
      <c r="T498" s="569"/>
      <c r="U498" s="569"/>
      <c r="V498" s="570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5.2659799999999999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63" t="s">
        <v>101</v>
      </c>
      <c r="D500" s="621"/>
      <c r="E500" s="621"/>
      <c r="F500" s="621"/>
      <c r="G500" s="621"/>
      <c r="H500" s="622"/>
      <c r="I500" s="563" t="s">
        <v>273</v>
      </c>
      <c r="J500" s="621"/>
      <c r="K500" s="621"/>
      <c r="L500" s="621"/>
      <c r="M500" s="621"/>
      <c r="N500" s="621"/>
      <c r="O500" s="621"/>
      <c r="P500" s="621"/>
      <c r="Q500" s="621"/>
      <c r="R500" s="622"/>
      <c r="S500" s="563" t="s">
        <v>557</v>
      </c>
      <c r="T500" s="622"/>
      <c r="U500" s="563" t="s">
        <v>611</v>
      </c>
      <c r="V500" s="621"/>
      <c r="W500" s="622"/>
      <c r="X500" s="546" t="s">
        <v>662</v>
      </c>
      <c r="Y500" s="563" t="s">
        <v>717</v>
      </c>
      <c r="Z500" s="622"/>
      <c r="AB500" s="52"/>
      <c r="AC500" s="52"/>
      <c r="AF500" s="547"/>
    </row>
    <row r="501" spans="1:32" ht="14.25" customHeight="1" thickTop="1" x14ac:dyDescent="0.2">
      <c r="A501" s="717" t="s">
        <v>760</v>
      </c>
      <c r="B501" s="563" t="s">
        <v>63</v>
      </c>
      <c r="C501" s="563" t="s">
        <v>102</v>
      </c>
      <c r="D501" s="563" t="s">
        <v>119</v>
      </c>
      <c r="E501" s="563" t="s">
        <v>170</v>
      </c>
      <c r="F501" s="563" t="s">
        <v>193</v>
      </c>
      <c r="G501" s="563" t="s">
        <v>230</v>
      </c>
      <c r="H501" s="563" t="s">
        <v>101</v>
      </c>
      <c r="I501" s="563" t="s">
        <v>274</v>
      </c>
      <c r="J501" s="563" t="s">
        <v>324</v>
      </c>
      <c r="K501" s="563" t="s">
        <v>383</v>
      </c>
      <c r="L501" s="563" t="s">
        <v>423</v>
      </c>
      <c r="M501" s="563" t="s">
        <v>439</v>
      </c>
      <c r="N501" s="547"/>
      <c r="O501" s="563" t="s">
        <v>450</v>
      </c>
      <c r="P501" s="563" t="s">
        <v>459</v>
      </c>
      <c r="Q501" s="563" t="s">
        <v>472</v>
      </c>
      <c r="R501" s="563" t="s">
        <v>547</v>
      </c>
      <c r="S501" s="563" t="s">
        <v>558</v>
      </c>
      <c r="T501" s="563" t="s">
        <v>593</v>
      </c>
      <c r="U501" s="563" t="s">
        <v>612</v>
      </c>
      <c r="V501" s="563" t="s">
        <v>643</v>
      </c>
      <c r="W501" s="563" t="s">
        <v>658</v>
      </c>
      <c r="X501" s="563" t="s">
        <v>662</v>
      </c>
      <c r="Y501" s="563" t="s">
        <v>717</v>
      </c>
      <c r="Z501" s="563" t="s">
        <v>747</v>
      </c>
      <c r="AB501" s="52"/>
      <c r="AC501" s="52"/>
      <c r="AF501" s="547"/>
    </row>
    <row r="502" spans="1:32" ht="13.5" customHeight="1" thickBot="1" x14ac:dyDescent="0.25">
      <c r="A502" s="718"/>
      <c r="B502" s="564"/>
      <c r="C502" s="564"/>
      <c r="D502" s="564"/>
      <c r="E502" s="564"/>
      <c r="F502" s="564"/>
      <c r="G502" s="564"/>
      <c r="H502" s="564"/>
      <c r="I502" s="564"/>
      <c r="J502" s="564"/>
      <c r="K502" s="564"/>
      <c r="L502" s="564"/>
      <c r="M502" s="564"/>
      <c r="N502" s="547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33.6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546.30000000000007</v>
      </c>
      <c r="E503" s="46">
        <f>IFERROR(Y85*1,"0")+IFERROR(Y86*1,"0")+IFERROR(Y87*1,"0")+IFERROR(Y88*1,"0")+IFERROR(Y92*1,"0")+IFERROR(Y93*1,"0")+IFERROR(Y94*1,"0")+IFERROR(Y95*1,"0")</f>
        <v>41.400000000000006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7.5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9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8.4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64.800000000000011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1213.25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780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47.52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9"/>
        <filter val="1,00"/>
        <filter val="1,89"/>
        <filter val="1,90"/>
        <filter val="10,00"/>
        <filter val="10,50"/>
        <filter val="12,00"/>
        <filter val="120,50"/>
        <filter val="15,00"/>
        <filter val="150,00"/>
        <filter val="16,00"/>
        <filter val="2 686,55"/>
        <filter val="2 808,06"/>
        <filter val="2 933,06"/>
        <filter val="2,00"/>
        <filter val="2,38"/>
        <filter val="2,55"/>
        <filter val="2,84"/>
        <filter val="20,00"/>
        <filter val="200,00"/>
        <filter val="23,33"/>
        <filter val="245,00"/>
        <filter val="250,00"/>
        <filter val="27,67"/>
        <filter val="290,00"/>
        <filter val="3,03"/>
        <filter val="30,00"/>
        <filter val="31,19"/>
        <filter val="319,69"/>
        <filter val="32,00"/>
        <filter val="348,00"/>
        <filter val="35,19"/>
        <filter val="350,00"/>
        <filter val="38,52"/>
        <filter val="39,00"/>
        <filter val="4,78"/>
        <filter val="4,85"/>
        <filter val="40,00"/>
        <filter val="415,00"/>
        <filter val="42,93"/>
        <filter val="45,00"/>
        <filter val="5"/>
        <filter val="5,56"/>
        <filter val="50,00"/>
        <filter val="60,00"/>
        <filter val="7,50"/>
        <filter val="70,00"/>
        <filter val="700,00"/>
        <filter val="8,00"/>
        <filter val="89,74"/>
        <filter val="9,00"/>
        <filter val="90,00"/>
      </filters>
    </filterColumn>
    <filterColumn colId="29" showButton="0"/>
    <filterColumn colId="30" showButton="0"/>
  </autoFilter>
  <mergeCells count="882"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P453:T453"/>
    <mergeCell ref="D290:E290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462:Z462"/>
    <mergeCell ref="P180:V180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106:V106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178:T178"/>
    <mergeCell ref="P214:T214"/>
    <mergeCell ref="P270:T270"/>
    <mergeCell ref="D299:E299"/>
    <mergeCell ref="P130:V130"/>
    <mergeCell ref="P190:V190"/>
    <mergeCell ref="D301:E301"/>
    <mergeCell ref="D92:E92"/>
    <mergeCell ref="D94:E94"/>
    <mergeCell ref="A96:O97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D206:E206"/>
    <mergeCell ref="P241:V241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P35:T35"/>
    <mergeCell ref="P27:T27"/>
    <mergeCell ref="D75:E75"/>
    <mergeCell ref="A66:Z66"/>
    <mergeCell ref="P29:T29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2025-12-22T11:23:56Z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