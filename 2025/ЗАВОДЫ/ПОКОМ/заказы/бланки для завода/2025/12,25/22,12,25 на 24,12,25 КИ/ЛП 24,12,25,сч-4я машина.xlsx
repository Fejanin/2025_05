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F26D74-8A08-4F0F-AF38-CAA0004C1FF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Y419" i="1" s="1"/>
  <c r="P414" i="1"/>
  <c r="X412" i="1"/>
  <c r="X411" i="1"/>
  <c r="BO410" i="1"/>
  <c r="BM410" i="1"/>
  <c r="Y410" i="1"/>
  <c r="V503" i="1" s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Y325" i="1" s="1"/>
  <c r="P321" i="1"/>
  <c r="X319" i="1"/>
  <c r="X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M503" i="1" s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L503" i="1" s="1"/>
  <c r="P261" i="1"/>
  <c r="X258" i="1"/>
  <c r="X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P198" i="1"/>
  <c r="BO198" i="1"/>
  <c r="BN198" i="1"/>
  <c r="BM198" i="1"/>
  <c r="Z198" i="1"/>
  <c r="Y198" i="1"/>
  <c r="P198" i="1"/>
  <c r="X196" i="1"/>
  <c r="Y195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H503" i="1" s="1"/>
  <c r="P143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P27" i="1"/>
  <c r="BO27" i="1"/>
  <c r="BN27" i="1"/>
  <c r="BM27" i="1"/>
  <c r="Z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69" i="1" l="1"/>
  <c r="BN169" i="1"/>
  <c r="Z169" i="1"/>
  <c r="BP206" i="1"/>
  <c r="BN206" i="1"/>
  <c r="Z206" i="1"/>
  <c r="BP226" i="1"/>
  <c r="BN226" i="1"/>
  <c r="Z226" i="1"/>
  <c r="BP264" i="1"/>
  <c r="BN264" i="1"/>
  <c r="Z264" i="1"/>
  <c r="BP298" i="1"/>
  <c r="BN298" i="1"/>
  <c r="Z298" i="1"/>
  <c r="BP328" i="1"/>
  <c r="BN328" i="1"/>
  <c r="Z328" i="1"/>
  <c r="BP353" i="1"/>
  <c r="BN353" i="1"/>
  <c r="Z353" i="1"/>
  <c r="BP394" i="1"/>
  <c r="BN394" i="1"/>
  <c r="Z394" i="1"/>
  <c r="BP430" i="1"/>
  <c r="BN430" i="1"/>
  <c r="Z430" i="1"/>
  <c r="BP454" i="1"/>
  <c r="BN454" i="1"/>
  <c r="Z454" i="1"/>
  <c r="B503" i="1"/>
  <c r="X495" i="1"/>
  <c r="Z31" i="1"/>
  <c r="BN31" i="1"/>
  <c r="Z54" i="1"/>
  <c r="BN54" i="1"/>
  <c r="Z72" i="1"/>
  <c r="BN72" i="1"/>
  <c r="Y77" i="1"/>
  <c r="Z87" i="1"/>
  <c r="BN87" i="1"/>
  <c r="Z102" i="1"/>
  <c r="BN102" i="1"/>
  <c r="Y124" i="1"/>
  <c r="Y123" i="1"/>
  <c r="BP122" i="1"/>
  <c r="BN122" i="1"/>
  <c r="Z122" i="1"/>
  <c r="Z123" i="1" s="1"/>
  <c r="BP127" i="1"/>
  <c r="BN127" i="1"/>
  <c r="Z127" i="1"/>
  <c r="BP177" i="1"/>
  <c r="BN177" i="1"/>
  <c r="Z177" i="1"/>
  <c r="BP216" i="1"/>
  <c r="BN216" i="1"/>
  <c r="Z216" i="1"/>
  <c r="BP239" i="1"/>
  <c r="BN239" i="1"/>
  <c r="Z239" i="1"/>
  <c r="BP280" i="1"/>
  <c r="BN280" i="1"/>
  <c r="Z280" i="1"/>
  <c r="BP310" i="1"/>
  <c r="BN310" i="1"/>
  <c r="Z310" i="1"/>
  <c r="BP341" i="1"/>
  <c r="BN341" i="1"/>
  <c r="Z341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13" i="1"/>
  <c r="Y130" i="1"/>
  <c r="Y154" i="1"/>
  <c r="Y229" i="1"/>
  <c r="Y344" i="1"/>
  <c r="Y407" i="1"/>
  <c r="BP118" i="1"/>
  <c r="BN118" i="1"/>
  <c r="Z118" i="1"/>
  <c r="BP144" i="1"/>
  <c r="BN144" i="1"/>
  <c r="Z144" i="1"/>
  <c r="Y159" i="1"/>
  <c r="Y158" i="1"/>
  <c r="BP157" i="1"/>
  <c r="BN157" i="1"/>
  <c r="Z157" i="1"/>
  <c r="Z158" i="1" s="1"/>
  <c r="Y164" i="1"/>
  <c r="BP163" i="1"/>
  <c r="BN163" i="1"/>
  <c r="Z163" i="1"/>
  <c r="Z164" i="1" s="1"/>
  <c r="Y180" i="1"/>
  <c r="BP167" i="1"/>
  <c r="BN167" i="1"/>
  <c r="Z167" i="1"/>
  <c r="BP175" i="1"/>
  <c r="BN175" i="1"/>
  <c r="Z175" i="1"/>
  <c r="BP204" i="1"/>
  <c r="BN204" i="1"/>
  <c r="Z204" i="1"/>
  <c r="BP214" i="1"/>
  <c r="BN214" i="1"/>
  <c r="Z214" i="1"/>
  <c r="BP222" i="1"/>
  <c r="BN222" i="1"/>
  <c r="Z222" i="1"/>
  <c r="BP237" i="1"/>
  <c r="BN237" i="1"/>
  <c r="Z237" i="1"/>
  <c r="BP262" i="1"/>
  <c r="BN262" i="1"/>
  <c r="Z262" i="1"/>
  <c r="BP278" i="1"/>
  <c r="BN278" i="1"/>
  <c r="Z278" i="1"/>
  <c r="BP296" i="1"/>
  <c r="BN296" i="1"/>
  <c r="Z296" i="1"/>
  <c r="BP308" i="1"/>
  <c r="BN308" i="1"/>
  <c r="Z308" i="1"/>
  <c r="X494" i="1"/>
  <c r="Z23" i="1"/>
  <c r="BN23" i="1"/>
  <c r="X493" i="1"/>
  <c r="Y33" i="1"/>
  <c r="Z29" i="1"/>
  <c r="BN29" i="1"/>
  <c r="Z35" i="1"/>
  <c r="Z36" i="1" s="1"/>
  <c r="BN35" i="1"/>
  <c r="BP35" i="1"/>
  <c r="Y36" i="1"/>
  <c r="Z41" i="1"/>
  <c r="BN41" i="1"/>
  <c r="Y44" i="1"/>
  <c r="Z47" i="1"/>
  <c r="Z48" i="1" s="1"/>
  <c r="BN47" i="1"/>
  <c r="BP47" i="1"/>
  <c r="Y48" i="1"/>
  <c r="Z52" i="1"/>
  <c r="BN52" i="1"/>
  <c r="Y59" i="1"/>
  <c r="Z56" i="1"/>
  <c r="BN56" i="1"/>
  <c r="Y65" i="1"/>
  <c r="Z68" i="1"/>
  <c r="BN68" i="1"/>
  <c r="Y76" i="1"/>
  <c r="Z74" i="1"/>
  <c r="BN74" i="1"/>
  <c r="Z85" i="1"/>
  <c r="BN85" i="1"/>
  <c r="Y90" i="1"/>
  <c r="Z93" i="1"/>
  <c r="BN93" i="1"/>
  <c r="Z100" i="1"/>
  <c r="BN100" i="1"/>
  <c r="Y105" i="1"/>
  <c r="Z104" i="1"/>
  <c r="BN104" i="1"/>
  <c r="Y112" i="1"/>
  <c r="Z110" i="1"/>
  <c r="BN110" i="1"/>
  <c r="Y119" i="1"/>
  <c r="BP133" i="1"/>
  <c r="BN133" i="1"/>
  <c r="Z133" i="1"/>
  <c r="BP151" i="1"/>
  <c r="BN151" i="1"/>
  <c r="Z151" i="1"/>
  <c r="BP171" i="1"/>
  <c r="BN171" i="1"/>
  <c r="Z171" i="1"/>
  <c r="BP183" i="1"/>
  <c r="BN183" i="1"/>
  <c r="Z183" i="1"/>
  <c r="BP208" i="1"/>
  <c r="BN208" i="1"/>
  <c r="Z208" i="1"/>
  <c r="BP218" i="1"/>
  <c r="BN218" i="1"/>
  <c r="Z218" i="1"/>
  <c r="K503" i="1"/>
  <c r="BP233" i="1"/>
  <c r="BN233" i="1"/>
  <c r="Z233" i="1"/>
  <c r="Y258" i="1"/>
  <c r="BP253" i="1"/>
  <c r="BN253" i="1"/>
  <c r="Z253" i="1"/>
  <c r="BP271" i="1"/>
  <c r="BN271" i="1"/>
  <c r="Z271" i="1"/>
  <c r="BP285" i="1"/>
  <c r="BN285" i="1"/>
  <c r="Z285" i="1"/>
  <c r="BP300" i="1"/>
  <c r="BN300" i="1"/>
  <c r="Z300" i="1"/>
  <c r="Y318" i="1"/>
  <c r="BP314" i="1"/>
  <c r="BN314" i="1"/>
  <c r="Z314" i="1"/>
  <c r="BP330" i="1"/>
  <c r="BN330" i="1"/>
  <c r="Z330" i="1"/>
  <c r="BP343" i="1"/>
  <c r="BN343" i="1"/>
  <c r="Z343" i="1"/>
  <c r="BP355" i="1"/>
  <c r="BN355" i="1"/>
  <c r="Z355" i="1"/>
  <c r="BP380" i="1"/>
  <c r="BN380" i="1"/>
  <c r="Z380" i="1"/>
  <c r="Y388" i="1"/>
  <c r="BP384" i="1"/>
  <c r="BN384" i="1"/>
  <c r="Z384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39" i="1"/>
  <c r="Y228" i="1"/>
  <c r="Y281" i="1"/>
  <c r="Y288" i="1"/>
  <c r="Y303" i="1"/>
  <c r="Y311" i="1"/>
  <c r="BP322" i="1"/>
  <c r="BN322" i="1"/>
  <c r="Z322" i="1"/>
  <c r="BP336" i="1"/>
  <c r="BN336" i="1"/>
  <c r="Z336" i="1"/>
  <c r="BP351" i="1"/>
  <c r="BN351" i="1"/>
  <c r="Z351" i="1"/>
  <c r="BP365" i="1"/>
  <c r="BN365" i="1"/>
  <c r="Z365" i="1"/>
  <c r="U503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19" i="1"/>
  <c r="Y331" i="1"/>
  <c r="Y338" i="1"/>
  <c r="S503" i="1"/>
  <c r="Y361" i="1"/>
  <c r="Y401" i="1"/>
  <c r="Y406" i="1"/>
  <c r="Y441" i="1"/>
  <c r="Y455" i="1"/>
  <c r="Y486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03" i="1"/>
  <c r="Z42" i="1"/>
  <c r="Z44" i="1" s="1"/>
  <c r="BN42" i="1"/>
  <c r="BP42" i="1"/>
  <c r="Y45" i="1"/>
  <c r="D503" i="1"/>
  <c r="Z53" i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BN73" i="1"/>
  <c r="BP73" i="1"/>
  <c r="Z75" i="1"/>
  <c r="BN75" i="1"/>
  <c r="Z79" i="1"/>
  <c r="Z81" i="1" s="1"/>
  <c r="BN79" i="1"/>
  <c r="BP79" i="1"/>
  <c r="Y82" i="1"/>
  <c r="E503" i="1"/>
  <c r="Z86" i="1"/>
  <c r="BN86" i="1"/>
  <c r="BP86" i="1"/>
  <c r="Z88" i="1"/>
  <c r="BN88" i="1"/>
  <c r="Y89" i="1"/>
  <c r="Z92" i="1"/>
  <c r="BN92" i="1"/>
  <c r="BP92" i="1"/>
  <c r="Z94" i="1"/>
  <c r="BN94" i="1"/>
  <c r="Y97" i="1"/>
  <c r="F503" i="1"/>
  <c r="Z101" i="1"/>
  <c r="BN101" i="1"/>
  <c r="BP101" i="1"/>
  <c r="Z103" i="1"/>
  <c r="BN103" i="1"/>
  <c r="Y106" i="1"/>
  <c r="Z109" i="1"/>
  <c r="BN109" i="1"/>
  <c r="BP109" i="1"/>
  <c r="Z111" i="1"/>
  <c r="BN111" i="1"/>
  <c r="Z115" i="1"/>
  <c r="BN115" i="1"/>
  <c r="BP115" i="1"/>
  <c r="Z117" i="1"/>
  <c r="BN117" i="1"/>
  <c r="Y120" i="1"/>
  <c r="G503" i="1"/>
  <c r="Z128" i="1"/>
  <c r="Z129" i="1" s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Y155" i="1"/>
  <c r="I503" i="1"/>
  <c r="Y165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79" i="1"/>
  <c r="Z182" i="1"/>
  <c r="BN182" i="1"/>
  <c r="BP182" i="1"/>
  <c r="Z184" i="1"/>
  <c r="BN184" i="1"/>
  <c r="Y185" i="1"/>
  <c r="Z188" i="1"/>
  <c r="Z189" i="1" s="1"/>
  <c r="BN188" i="1"/>
  <c r="BP188" i="1"/>
  <c r="Y190" i="1"/>
  <c r="J503" i="1"/>
  <c r="Y196" i="1"/>
  <c r="BP193" i="1"/>
  <c r="BN193" i="1"/>
  <c r="Z193" i="1"/>
  <c r="Z195" i="1" s="1"/>
  <c r="Y200" i="1"/>
  <c r="BP205" i="1"/>
  <c r="BN205" i="1"/>
  <c r="Z205" i="1"/>
  <c r="BP209" i="1"/>
  <c r="BN209" i="1"/>
  <c r="Z209" i="1"/>
  <c r="Y224" i="1"/>
  <c r="H9" i="1"/>
  <c r="Y24" i="1"/>
  <c r="Y145" i="1"/>
  <c r="BP199" i="1"/>
  <c r="BN199" i="1"/>
  <c r="Z199" i="1"/>
  <c r="Z200" i="1" s="1"/>
  <c r="Y201" i="1"/>
  <c r="Y212" i="1"/>
  <c r="BP203" i="1"/>
  <c r="BN203" i="1"/>
  <c r="Z203" i="1"/>
  <c r="BP207" i="1"/>
  <c r="BN207" i="1"/>
  <c r="Z207" i="1"/>
  <c r="Y211" i="1"/>
  <c r="Y223" i="1"/>
  <c r="BP215" i="1"/>
  <c r="BN215" i="1"/>
  <c r="Z215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Z256" i="1"/>
  <c r="BN256" i="1"/>
  <c r="Y257" i="1"/>
  <c r="Z261" i="1"/>
  <c r="BN261" i="1"/>
  <c r="BP261" i="1"/>
  <c r="Z263" i="1"/>
  <c r="BN263" i="1"/>
  <c r="Z265" i="1"/>
  <c r="BN265" i="1"/>
  <c r="Y266" i="1"/>
  <c r="Z270" i="1"/>
  <c r="BN270" i="1"/>
  <c r="BP270" i="1"/>
  <c r="Z272" i="1"/>
  <c r="BN272" i="1"/>
  <c r="Y275" i="1"/>
  <c r="O503" i="1"/>
  <c r="Z279" i="1"/>
  <c r="Z281" i="1" s="1"/>
  <c r="BN279" i="1"/>
  <c r="BP279" i="1"/>
  <c r="Y282" i="1"/>
  <c r="P503" i="1"/>
  <c r="Z286" i="1"/>
  <c r="Z287" i="1" s="1"/>
  <c r="BN286" i="1"/>
  <c r="BP286" i="1"/>
  <c r="Y287" i="1"/>
  <c r="Z290" i="1"/>
  <c r="Z292" i="1" s="1"/>
  <c r="BN290" i="1"/>
  <c r="BP290" i="1"/>
  <c r="Y293" i="1"/>
  <c r="Q503" i="1"/>
  <c r="Z297" i="1"/>
  <c r="BN297" i="1"/>
  <c r="BP297" i="1"/>
  <c r="Z299" i="1"/>
  <c r="BN299" i="1"/>
  <c r="Z301" i="1"/>
  <c r="BN301" i="1"/>
  <c r="Y302" i="1"/>
  <c r="Z305" i="1"/>
  <c r="BN305" i="1"/>
  <c r="BP305" i="1"/>
  <c r="Z307" i="1"/>
  <c r="BN307" i="1"/>
  <c r="Z309" i="1"/>
  <c r="BN309" i="1"/>
  <c r="Y312" i="1"/>
  <c r="Z315" i="1"/>
  <c r="BN315" i="1"/>
  <c r="BP315" i="1"/>
  <c r="Z317" i="1"/>
  <c r="BN317" i="1"/>
  <c r="Z321" i="1"/>
  <c r="BN321" i="1"/>
  <c r="BP321" i="1"/>
  <c r="Z323" i="1"/>
  <c r="BN323" i="1"/>
  <c r="Y324" i="1"/>
  <c r="Z327" i="1"/>
  <c r="BN327" i="1"/>
  <c r="BP327" i="1"/>
  <c r="Z329" i="1"/>
  <c r="BN329" i="1"/>
  <c r="Y332" i="1"/>
  <c r="Z335" i="1"/>
  <c r="Z337" i="1" s="1"/>
  <c r="BN335" i="1"/>
  <c r="BP335" i="1"/>
  <c r="R503" i="1"/>
  <c r="Y345" i="1"/>
  <c r="Z342" i="1"/>
  <c r="Z344" i="1" s="1"/>
  <c r="BN342" i="1"/>
  <c r="BP342" i="1"/>
  <c r="BP350" i="1"/>
  <c r="BN350" i="1"/>
  <c r="Z350" i="1"/>
  <c r="BP354" i="1"/>
  <c r="BN354" i="1"/>
  <c r="Z354" i="1"/>
  <c r="BP375" i="1"/>
  <c r="BN375" i="1"/>
  <c r="Z375" i="1"/>
  <c r="Z376" i="1" s="1"/>
  <c r="Y377" i="1"/>
  <c r="Y382" i="1"/>
  <c r="BP379" i="1"/>
  <c r="BN379" i="1"/>
  <c r="Z379" i="1"/>
  <c r="Z381" i="1" s="1"/>
  <c r="Y242" i="1"/>
  <c r="Y267" i="1"/>
  <c r="Y274" i="1"/>
  <c r="BP352" i="1"/>
  <c r="BN352" i="1"/>
  <c r="Z352" i="1"/>
  <c r="Y356" i="1"/>
  <c r="BP360" i="1"/>
  <c r="BN360" i="1"/>
  <c r="Z360" i="1"/>
  <c r="Z361" i="1" s="1"/>
  <c r="Y362" i="1"/>
  <c r="Y367" i="1"/>
  <c r="BP364" i="1"/>
  <c r="BN364" i="1"/>
  <c r="Z364" i="1"/>
  <c r="Z366" i="1" s="1"/>
  <c r="Y387" i="1"/>
  <c r="BP385" i="1"/>
  <c r="BN385" i="1"/>
  <c r="Z385" i="1"/>
  <c r="Y357" i="1"/>
  <c r="T503" i="1"/>
  <c r="Y376" i="1"/>
  <c r="Z393" i="1"/>
  <c r="BN393" i="1"/>
  <c r="BP393" i="1"/>
  <c r="Z395" i="1"/>
  <c r="BN395" i="1"/>
  <c r="Z397" i="1"/>
  <c r="BN397" i="1"/>
  <c r="Z399" i="1"/>
  <c r="BN399" i="1"/>
  <c r="Y402" i="1"/>
  <c r="Z405" i="1"/>
  <c r="BN405" i="1"/>
  <c r="BP405" i="1"/>
  <c r="Z410" i="1"/>
  <c r="Z411" i="1" s="1"/>
  <c r="BN410" i="1"/>
  <c r="BP410" i="1"/>
  <c r="Y411" i="1"/>
  <c r="Z414" i="1"/>
  <c r="BN414" i="1"/>
  <c r="BP414" i="1"/>
  <c r="Z416" i="1"/>
  <c r="BN41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12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BP453" i="1"/>
  <c r="BN453" i="1"/>
  <c r="Z453" i="1"/>
  <c r="BP467" i="1"/>
  <c r="BN467" i="1"/>
  <c r="Z467" i="1"/>
  <c r="Y469" i="1"/>
  <c r="Y474" i="1"/>
  <c r="BP471" i="1"/>
  <c r="BN471" i="1"/>
  <c r="Z471" i="1"/>
  <c r="Z473" i="1" s="1"/>
  <c r="Y503" i="1"/>
  <c r="Y440" i="1"/>
  <c r="Z486" i="1" l="1"/>
  <c r="Z406" i="1"/>
  <c r="Z387" i="1"/>
  <c r="Z356" i="1"/>
  <c r="Z223" i="1"/>
  <c r="Z211" i="1"/>
  <c r="Z145" i="1"/>
  <c r="Z89" i="1"/>
  <c r="Z76" i="1"/>
  <c r="Z58" i="1"/>
  <c r="X496" i="1"/>
  <c r="Z440" i="1"/>
  <c r="Z179" i="1"/>
  <c r="Z418" i="1"/>
  <c r="Z401" i="1"/>
  <c r="Z318" i="1"/>
  <c r="Z311" i="1"/>
  <c r="Z302" i="1"/>
  <c r="Z112" i="1"/>
  <c r="Z105" i="1"/>
  <c r="Z32" i="1"/>
  <c r="Z455" i="1"/>
  <c r="Z331" i="1"/>
  <c r="Z324" i="1"/>
  <c r="Z274" i="1"/>
  <c r="Z266" i="1"/>
  <c r="Z257" i="1"/>
  <c r="Z241" i="1"/>
  <c r="Y497" i="1"/>
  <c r="Z154" i="1"/>
  <c r="Z119" i="1"/>
  <c r="Z96" i="1"/>
  <c r="Z64" i="1"/>
  <c r="Y493" i="1"/>
  <c r="Y494" i="1"/>
  <c r="Z468" i="1"/>
  <c r="Z446" i="1"/>
  <c r="Z185" i="1"/>
  <c r="Y495" i="1"/>
  <c r="Z498" i="1" l="1"/>
  <c r="Y496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<sst xmlns="http://schemas.openxmlformats.org/spreadsheetml/2006/main" count="2367" uniqueCount="778">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</sst>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314" sqref="AA314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46015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Среда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0.375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hidden="1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hidden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hidden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idden="1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hidden="1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idden="1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800</v>
      </c>
      <c r="Y314" s="550">
        <f>IFERROR(IF(X314="",0,CEILING((X314/$H314),1)*$H314),"")</f>
        <v>803.4</v>
      </c>
      <c r="Z314" s="36">
        <f>IFERROR(IF(Y314=0,"",ROUNDUP(Y314/H314,0)*0.01898),"")</f>
        <v>1.9549400000000001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850.0512820512821</v>
      </c>
      <c r="BN314" s="64">
        <f>IFERROR(Y314*I314/H314,"0")</f>
        <v>853.66399999999999</v>
      </c>
      <c r="BO314" s="64">
        <f>IFERROR(1/J314*(X314/H314),"0")</f>
        <v>1.6025641025641026</v>
      </c>
      <c r="BP314" s="64">
        <f>IFERROR(1/J314*(Y314/H314),"0")</f>
        <v>1.609375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102.56410256410257</v>
      </c>
      <c r="Y318" s="551">
        <f>IFERROR(Y314/H314,"0")+IFERROR(Y315/H315,"0")+IFERROR(Y316/H316,"0")+IFERROR(Y317/H317,"0")</f>
        <v>103</v>
      </c>
      <c r="Z318" s="551">
        <f>IFERROR(IF(Z314="",0,Z314),"0")+IFERROR(IF(Z315="",0,Z315),"0")+IFERROR(IF(Z316="",0,Z316),"0")+IFERROR(IF(Z317="",0,Z317),"0")</f>
        <v>1.9549400000000001</v>
      </c>
      <c r="AA318" s="552"/>
      <c r="AB318" s="552"/>
      <c r="AC318" s="552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800</v>
      </c>
      <c r="Y319" s="551">
        <f>IFERROR(SUM(Y314:Y317),"0")</f>
        <v>803.4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hidden="1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250</v>
      </c>
      <c r="Y351" s="550">
        <f t="shared" si="41"/>
        <v>255</v>
      </c>
      <c r="Z351" s="36">
        <f>IFERROR(IF(Y351=0,"",ROUNDUP(Y351/H351,0)*0.02175),"")</f>
        <v>0.36974999999999997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257.83333333333331</v>
      </c>
      <c r="BN351" s="64">
        <f t="shared" si="43"/>
        <v>262.99</v>
      </c>
      <c r="BO351" s="64">
        <f t="shared" si="44"/>
        <v>0.34722222222222221</v>
      </c>
      <c r="BP351" s="64">
        <f t="shared" si="45"/>
        <v>0.35416666666666663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16.666666666666668</v>
      </c>
      <c r="Y356" s="551">
        <f>IFERROR(Y349/H349,"0")+IFERROR(Y350/H350,"0")+IFERROR(Y351/H351,"0")+IFERROR(Y352/H352,"0")+IFERROR(Y353/H353,"0")+IFERROR(Y354/H354,"0")+IFERROR(Y355/H355,"0")</f>
        <v>17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0.36974999999999997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250</v>
      </c>
      <c r="Y357" s="551">
        <f>IFERROR(SUM(Y349:Y355),"0")</f>
        <v>255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350</v>
      </c>
      <c r="Y359" s="550">
        <f>IFERROR(IF(X359="",0,CEILING((X359/$H359),1)*$H359),"")</f>
        <v>360</v>
      </c>
      <c r="Z359" s="36">
        <f>IFERROR(IF(Y359=0,"",ROUNDUP(Y359/H359,0)*0.02175),"")</f>
        <v>0.52200000000000002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360.96666666666664</v>
      </c>
      <c r="BN359" s="64">
        <f>IFERROR(Y359*I359/H359,"0")</f>
        <v>371.28</v>
      </c>
      <c r="BO359" s="64">
        <f>IFERROR(1/J359*(X359/H359),"0")</f>
        <v>0.48611111111111105</v>
      </c>
      <c r="BP359" s="64">
        <f>IFERROR(1/J359*(Y359/H359),"0")</f>
        <v>0.5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23.333333333333332</v>
      </c>
      <c r="Y361" s="551">
        <f>IFERROR(Y359/H359,"0")+IFERROR(Y360/H360,"0")</f>
        <v>24</v>
      </c>
      <c r="Z361" s="551">
        <f>IFERROR(IF(Z359="",0,Z359),"0")+IFERROR(IF(Z360="",0,Z360),"0")</f>
        <v>0.52200000000000002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350</v>
      </c>
      <c r="Y362" s="551">
        <f>IFERROR(SUM(Y359:Y360),"0")</f>
        <v>360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idden="1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hidden="1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idden="1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hidden="1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hidden="1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idden="1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1400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1418.4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1468.8512820512822</v>
      </c>
      <c r="Y494" s="551">
        <f>IFERROR(SUM(BN22:BN490),"0")</f>
        <v>1487.934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3</v>
      </c>
      <c r="Y495" s="38">
        <f>ROUNDUP(SUM(BP22:BP490),0)</f>
        <v>3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1543.8512820512822</v>
      </c>
      <c r="Y496" s="551">
        <f>GrossWeightTotalR+PalletQtyTotalR*25</f>
        <v>1562.934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142.56410256410257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144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2.8466899999999997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803.4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615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468,85"/>
        <filter val="1 543,85"/>
        <filter val="102,56"/>
        <filter val="142,56"/>
        <filter val="16,67"/>
        <filter val="23,33"/>
        <filter val="250,00"/>
        <filter val="3"/>
        <filter val="350,00"/>
        <filter val="800,00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