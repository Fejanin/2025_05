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DDB0803-9AAA-47AC-94F1-069D7264EEF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X277" i="1"/>
  <c r="X276" i="1"/>
  <c r="BO275" i="1"/>
  <c r="BM275" i="1"/>
  <c r="Y275" i="1"/>
  <c r="Y277" i="1" s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O229" i="1"/>
  <c r="BM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O200" i="1"/>
  <c r="BM200" i="1"/>
  <c r="Y200" i="1"/>
  <c r="P200" i="1"/>
  <c r="X198" i="1"/>
  <c r="X197" i="1"/>
  <c r="BO196" i="1"/>
  <c r="BM196" i="1"/>
  <c r="Y196" i="1"/>
  <c r="P196" i="1"/>
  <c r="BO195" i="1"/>
  <c r="BM195" i="1"/>
  <c r="Y195" i="1"/>
  <c r="P195" i="1"/>
  <c r="X192" i="1"/>
  <c r="X191" i="1"/>
  <c r="BO190" i="1"/>
  <c r="BM190" i="1"/>
  <c r="Y190" i="1"/>
  <c r="Y192" i="1" s="1"/>
  <c r="P190" i="1"/>
  <c r="X188" i="1"/>
  <c r="X187" i="1"/>
  <c r="BO186" i="1"/>
  <c r="BM186" i="1"/>
  <c r="Y186" i="1"/>
  <c r="Y188" i="1" s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BO167" i="1"/>
  <c r="BM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O143" i="1"/>
  <c r="BM143" i="1"/>
  <c r="Y143" i="1"/>
  <c r="P143" i="1"/>
  <c r="X140" i="1"/>
  <c r="X139" i="1"/>
  <c r="BO138" i="1"/>
  <c r="BM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P93" i="1"/>
  <c r="BO92" i="1"/>
  <c r="BM92" i="1"/>
  <c r="Y92" i="1"/>
  <c r="BP92" i="1" s="1"/>
  <c r="P92" i="1"/>
  <c r="X90" i="1"/>
  <c r="X89" i="1"/>
  <c r="BO88" i="1"/>
  <c r="BM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499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115" i="1" l="1"/>
  <c r="BN115" i="1"/>
  <c r="Z115" i="1"/>
  <c r="Y159" i="1"/>
  <c r="Y158" i="1"/>
  <c r="BP157" i="1"/>
  <c r="BN157" i="1"/>
  <c r="Z157" i="1"/>
  <c r="Z158" i="1" s="1"/>
  <c r="Y164" i="1"/>
  <c r="BP163" i="1"/>
  <c r="BN163" i="1"/>
  <c r="Z163" i="1"/>
  <c r="Z164" i="1" s="1"/>
  <c r="BP169" i="1"/>
  <c r="BN169" i="1"/>
  <c r="Z169" i="1"/>
  <c r="BP196" i="1"/>
  <c r="BN196" i="1"/>
  <c r="Z196" i="1"/>
  <c r="BP223" i="1"/>
  <c r="BN223" i="1"/>
  <c r="Z223" i="1"/>
  <c r="BP256" i="1"/>
  <c r="BN256" i="1"/>
  <c r="Z256" i="1"/>
  <c r="BP288" i="1"/>
  <c r="BN288" i="1"/>
  <c r="Z288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Z42" i="1"/>
  <c r="BN42" i="1"/>
  <c r="Y59" i="1"/>
  <c r="Z61" i="1"/>
  <c r="BN61" i="1"/>
  <c r="Z75" i="1"/>
  <c r="BN75" i="1"/>
  <c r="Z92" i="1"/>
  <c r="BN92" i="1"/>
  <c r="BP101" i="1"/>
  <c r="BN101" i="1"/>
  <c r="Z101" i="1"/>
  <c r="BP143" i="1"/>
  <c r="BN143" i="1"/>
  <c r="Z143" i="1"/>
  <c r="BP177" i="1"/>
  <c r="BN177" i="1"/>
  <c r="Z177" i="1"/>
  <c r="BP211" i="1"/>
  <c r="BN211" i="1"/>
  <c r="Z211" i="1"/>
  <c r="BP238" i="1"/>
  <c r="BN238" i="1"/>
  <c r="Z238" i="1"/>
  <c r="BP267" i="1"/>
  <c r="BN267" i="1"/>
  <c r="Z267" i="1"/>
  <c r="BP307" i="1"/>
  <c r="BN307" i="1"/>
  <c r="Z307" i="1"/>
  <c r="BP335" i="1"/>
  <c r="BN335" i="1"/>
  <c r="Z335" i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J9" i="1"/>
  <c r="BP88" i="1"/>
  <c r="BN88" i="1"/>
  <c r="BP94" i="1"/>
  <c r="BN94" i="1"/>
  <c r="Z94" i="1"/>
  <c r="BP111" i="1"/>
  <c r="BN111" i="1"/>
  <c r="Z111" i="1"/>
  <c r="BP138" i="1"/>
  <c r="BN138" i="1"/>
  <c r="Z138" i="1"/>
  <c r="BP153" i="1"/>
  <c r="BN153" i="1"/>
  <c r="Z153" i="1"/>
  <c r="BP175" i="1"/>
  <c r="BN175" i="1"/>
  <c r="Z175" i="1"/>
  <c r="BP209" i="1"/>
  <c r="BN209" i="1"/>
  <c r="Z209" i="1"/>
  <c r="BP221" i="1"/>
  <c r="BN221" i="1"/>
  <c r="Z221" i="1"/>
  <c r="BP236" i="1"/>
  <c r="BN236" i="1"/>
  <c r="Z236" i="1"/>
  <c r="Y248" i="1"/>
  <c r="Y247" i="1"/>
  <c r="BP246" i="1"/>
  <c r="BN246" i="1"/>
  <c r="Z246" i="1"/>
  <c r="Z247" i="1" s="1"/>
  <c r="Y252" i="1"/>
  <c r="Y251" i="1"/>
  <c r="BP250" i="1"/>
  <c r="BN250" i="1"/>
  <c r="Z250" i="1"/>
  <c r="Z251" i="1" s="1"/>
  <c r="Y260" i="1"/>
  <c r="BP254" i="1"/>
  <c r="BN254" i="1"/>
  <c r="Z254" i="1"/>
  <c r="BP265" i="1"/>
  <c r="BN265" i="1"/>
  <c r="Z265" i="1"/>
  <c r="BP281" i="1"/>
  <c r="BN281" i="1"/>
  <c r="Z281" i="1"/>
  <c r="F9" i="1"/>
  <c r="F10" i="1"/>
  <c r="Z22" i="1"/>
  <c r="BN22" i="1"/>
  <c r="Y32" i="1"/>
  <c r="Z30" i="1"/>
  <c r="BN30" i="1"/>
  <c r="C505" i="1"/>
  <c r="Z53" i="1"/>
  <c r="BN53" i="1"/>
  <c r="Z57" i="1"/>
  <c r="BN57" i="1"/>
  <c r="Y65" i="1"/>
  <c r="Z63" i="1"/>
  <c r="BN63" i="1"/>
  <c r="Z73" i="1"/>
  <c r="BN73" i="1"/>
  <c r="Z79" i="1"/>
  <c r="BN79" i="1"/>
  <c r="BP79" i="1"/>
  <c r="Z88" i="1"/>
  <c r="BP103" i="1"/>
  <c r="BN103" i="1"/>
  <c r="Z103" i="1"/>
  <c r="BP117" i="1"/>
  <c r="BN117" i="1"/>
  <c r="Z117" i="1"/>
  <c r="BP149" i="1"/>
  <c r="BN149" i="1"/>
  <c r="Z149" i="1"/>
  <c r="BP171" i="1"/>
  <c r="BN171" i="1"/>
  <c r="Z171" i="1"/>
  <c r="BP179" i="1"/>
  <c r="BN179" i="1"/>
  <c r="Z179" i="1"/>
  <c r="Y202" i="1"/>
  <c r="BP200" i="1"/>
  <c r="BN200" i="1"/>
  <c r="Z200" i="1"/>
  <c r="BP217" i="1"/>
  <c r="BN217" i="1"/>
  <c r="Z217" i="1"/>
  <c r="BP229" i="1"/>
  <c r="BN229" i="1"/>
  <c r="Z229" i="1"/>
  <c r="BP240" i="1"/>
  <c r="BN240" i="1"/>
  <c r="Z240" i="1"/>
  <c r="BP258" i="1"/>
  <c r="BN258" i="1"/>
  <c r="Z258" i="1"/>
  <c r="BP272" i="1"/>
  <c r="BN272" i="1"/>
  <c r="Z272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50" i="1"/>
  <c r="BN450" i="1"/>
  <c r="Z450" i="1"/>
  <c r="BP468" i="1"/>
  <c r="BN468" i="1"/>
  <c r="Z468" i="1"/>
  <c r="Y96" i="1"/>
  <c r="Y112" i="1"/>
  <c r="Y269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U50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4" i="1"/>
  <c r="BN454" i="1"/>
  <c r="Z454" i="1"/>
  <c r="BP478" i="1"/>
  <c r="BN478" i="1"/>
  <c r="Z478" i="1"/>
  <c r="Y304" i="1"/>
  <c r="Y339" i="1"/>
  <c r="Y338" i="1"/>
  <c r="Y419" i="1"/>
  <c r="Y448" i="1"/>
  <c r="Y447" i="1"/>
  <c r="Y488" i="1"/>
  <c r="Y25" i="1"/>
  <c r="Y33" i="1"/>
  <c r="Y37" i="1"/>
  <c r="Y45" i="1"/>
  <c r="Y64" i="1"/>
  <c r="BP87" i="1"/>
  <c r="BN87" i="1"/>
  <c r="Z87" i="1"/>
  <c r="F505" i="1"/>
  <c r="Y105" i="1"/>
  <c r="BP100" i="1"/>
  <c r="BN100" i="1"/>
  <c r="Z100" i="1"/>
  <c r="BP116" i="1"/>
  <c r="BN116" i="1"/>
  <c r="Z116" i="1"/>
  <c r="Z119" i="1" s="1"/>
  <c r="Y140" i="1"/>
  <c r="BP137" i="1"/>
  <c r="BN137" i="1"/>
  <c r="Z137" i="1"/>
  <c r="Z139" i="1" s="1"/>
  <c r="Y181" i="1"/>
  <c r="BP167" i="1"/>
  <c r="BN167" i="1"/>
  <c r="Z167" i="1"/>
  <c r="Y191" i="1"/>
  <c r="BP190" i="1"/>
  <c r="BN190" i="1"/>
  <c r="Z190" i="1"/>
  <c r="Z191" i="1" s="1"/>
  <c r="J505" i="1"/>
  <c r="Y198" i="1"/>
  <c r="BP195" i="1"/>
  <c r="BN195" i="1"/>
  <c r="Z195" i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31" i="1"/>
  <c r="BP228" i="1"/>
  <c r="BN228" i="1"/>
  <c r="Z228" i="1"/>
  <c r="Z230" i="1" s="1"/>
  <c r="Y230" i="1"/>
  <c r="BP257" i="1"/>
  <c r="BN257" i="1"/>
  <c r="Z257" i="1"/>
  <c r="BP302" i="1"/>
  <c r="BN302" i="1"/>
  <c r="Z302" i="1"/>
  <c r="BP310" i="1"/>
  <c r="BN310" i="1"/>
  <c r="Z310" i="1"/>
  <c r="BP343" i="1"/>
  <c r="BN343" i="1"/>
  <c r="Z343" i="1"/>
  <c r="Y345" i="1"/>
  <c r="Y49" i="1"/>
  <c r="Y58" i="1"/>
  <c r="BP74" i="1"/>
  <c r="BN74" i="1"/>
  <c r="Z74" i="1"/>
  <c r="BP95" i="1"/>
  <c r="BN95" i="1"/>
  <c r="Z95" i="1"/>
  <c r="Y97" i="1"/>
  <c r="BP104" i="1"/>
  <c r="BN104" i="1"/>
  <c r="Z104" i="1"/>
  <c r="Y106" i="1"/>
  <c r="Y113" i="1"/>
  <c r="BP108" i="1"/>
  <c r="BN108" i="1"/>
  <c r="Z108" i="1"/>
  <c r="BP133" i="1"/>
  <c r="BN133" i="1"/>
  <c r="Z133" i="1"/>
  <c r="Z134" i="1" s="1"/>
  <c r="Y135" i="1"/>
  <c r="BP150" i="1"/>
  <c r="BN150" i="1"/>
  <c r="Z150" i="1"/>
  <c r="Y154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226" i="1"/>
  <c r="BP275" i="1"/>
  <c r="BN275" i="1"/>
  <c r="Z275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Y313" i="1"/>
  <c r="BP306" i="1"/>
  <c r="BN306" i="1"/>
  <c r="Z306" i="1"/>
  <c r="Y312" i="1"/>
  <c r="Z345" i="1"/>
  <c r="D505" i="1"/>
  <c r="H9" i="1"/>
  <c r="B505" i="1"/>
  <c r="X496" i="1"/>
  <c r="X497" i="1"/>
  <c r="Z23" i="1"/>
  <c r="Z24" i="1" s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Z62" i="1"/>
  <c r="Z64" i="1" s="1"/>
  <c r="BN62" i="1"/>
  <c r="Y69" i="1"/>
  <c r="Z68" i="1"/>
  <c r="Z69" i="1" s="1"/>
  <c r="BN68" i="1"/>
  <c r="Y70" i="1"/>
  <c r="Y77" i="1"/>
  <c r="BP72" i="1"/>
  <c r="BN72" i="1"/>
  <c r="Z72" i="1"/>
  <c r="Y76" i="1"/>
  <c r="BP80" i="1"/>
  <c r="BN80" i="1"/>
  <c r="Z80" i="1"/>
  <c r="Z81" i="1" s="1"/>
  <c r="Y82" i="1"/>
  <c r="E505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7" i="1" s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Y259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Y332" i="1"/>
  <c r="BP336" i="1"/>
  <c r="BN336" i="1"/>
  <c r="Z336" i="1"/>
  <c r="Z338" i="1" s="1"/>
  <c r="BP351" i="1"/>
  <c r="BN351" i="1"/>
  <c r="Z351" i="1"/>
  <c r="BP355" i="1"/>
  <c r="BN355" i="1"/>
  <c r="Z355" i="1"/>
  <c r="Z357" i="1" s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319" i="1" l="1"/>
  <c r="Z276" i="1"/>
  <c r="Z268" i="1"/>
  <c r="Z76" i="1"/>
  <c r="Z197" i="1"/>
  <c r="Y497" i="1"/>
  <c r="Z447" i="1"/>
  <c r="Z419" i="1"/>
  <c r="Z382" i="1"/>
  <c r="Z332" i="1"/>
  <c r="Z259" i="1"/>
  <c r="Z367" i="1"/>
  <c r="Z96" i="1"/>
  <c r="Z89" i="1"/>
  <c r="Z58" i="1"/>
  <c r="Y496" i="1"/>
  <c r="Y498" i="1" s="1"/>
  <c r="Z441" i="1"/>
  <c r="Z469" i="1"/>
  <c r="Z325" i="1"/>
  <c r="Z154" i="1"/>
  <c r="Z44" i="1"/>
  <c r="Z32" i="1"/>
  <c r="Y499" i="1"/>
  <c r="X498" i="1"/>
  <c r="Z312" i="1"/>
  <c r="Z303" i="1"/>
  <c r="Z283" i="1"/>
  <c r="Z225" i="1"/>
  <c r="Z181" i="1"/>
  <c r="Z402" i="1"/>
  <c r="Z213" i="1"/>
  <c r="Z112" i="1"/>
  <c r="Z105" i="1"/>
  <c r="Y495" i="1"/>
  <c r="Z500" i="1" l="1"/>
</calcChain>
</file>

<file path=xl/sharedStrings.xml><?xml version="1.0" encoding="utf-8"?>
<sst xmlns="http://schemas.openxmlformats.org/spreadsheetml/2006/main" count="2319" uniqueCount="782">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</sst>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46027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Понедельник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0.375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270</v>
      </c>
      <c r="Y41" s="554">
        <f>IFERROR(IF(X41="",0,CEILING((X41/$H41),1)*$H41),"")</f>
        <v>270</v>
      </c>
      <c r="Z41" s="36">
        <f>IFERROR(IF(Y41=0,"",ROUNDUP(Y41/H41,0)*0.01898),"")</f>
        <v>0.47450000000000003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280.25</v>
      </c>
      <c r="BN41" s="64">
        <f>IFERROR(Y41*I41/H41,"0")</f>
        <v>280.25</v>
      </c>
      <c r="BO41" s="64">
        <f>IFERROR(1/J41*(X41/H41),"0")</f>
        <v>0.390625</v>
      </c>
      <c r="BP41" s="64">
        <f>IFERROR(1/J41*(Y41/H41),"0")</f>
        <v>0.390625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480</v>
      </c>
      <c r="Y43" s="554">
        <f>IFERROR(IF(X43="",0,CEILING((X43/$H43),1)*$H43),"")</f>
        <v>480</v>
      </c>
      <c r="Z43" s="36">
        <f>IFERROR(IF(Y43=0,"",ROUNDUP(Y43/H43,0)*0.00902),"")</f>
        <v>1.0824</v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502.80000000000007</v>
      </c>
      <c r="BN43" s="64">
        <f>IFERROR(Y43*I43/H43,"0")</f>
        <v>502.80000000000007</v>
      </c>
      <c r="BO43" s="64">
        <f>IFERROR(1/J43*(X43/H43),"0")</f>
        <v>0.90909090909090917</v>
      </c>
      <c r="BP43" s="64">
        <f>IFERROR(1/J43*(Y43/H43),"0")</f>
        <v>0.90909090909090917</v>
      </c>
    </row>
    <row r="44" spans="1:68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145</v>
      </c>
      <c r="Y44" s="555">
        <f>IFERROR(Y41/H41,"0")+IFERROR(Y42/H42,"0")+IFERROR(Y43/H43,"0")</f>
        <v>145</v>
      </c>
      <c r="Z44" s="555">
        <f>IFERROR(IF(Z41="",0,Z41),"0")+IFERROR(IF(Z42="",0,Z42),"0")+IFERROR(IF(Z43="",0,Z43),"0")</f>
        <v>1.5569000000000002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750</v>
      </c>
      <c r="Y45" s="555">
        <f>IFERROR(SUM(Y41:Y43),"0")</f>
        <v>750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450</v>
      </c>
      <c r="Y53" s="554">
        <f t="shared" si="0"/>
        <v>453.6</v>
      </c>
      <c r="Z53" s="36">
        <f>IFERROR(IF(Y53=0,"",ROUNDUP(Y53/H53,0)*0.01898),"")</f>
        <v>0.79715999999999998</v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467.08333333333331</v>
      </c>
      <c r="BN53" s="64">
        <f t="shared" si="2"/>
        <v>470.82000000000005</v>
      </c>
      <c r="BO53" s="64">
        <f t="shared" si="3"/>
        <v>0.65104166666666663</v>
      </c>
      <c r="BP53" s="64">
        <f t="shared" si="4"/>
        <v>0.65625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675</v>
      </c>
      <c r="Y57" s="554">
        <f t="shared" si="0"/>
        <v>675</v>
      </c>
      <c r="Z57" s="36">
        <f>IFERROR(IF(Y57=0,"",ROUNDUP(Y57/H57,0)*0.00902),"")</f>
        <v>1.353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703.50000000000011</v>
      </c>
      <c r="BN57" s="64">
        <f t="shared" si="2"/>
        <v>703.50000000000011</v>
      </c>
      <c r="BO57" s="64">
        <f t="shared" si="3"/>
        <v>1.1363636363636365</v>
      </c>
      <c r="BP57" s="64">
        <f t="shared" si="4"/>
        <v>1.1363636363636365</v>
      </c>
    </row>
    <row r="58" spans="1:68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191.66666666666666</v>
      </c>
      <c r="Y58" s="555">
        <f>IFERROR(Y52/H52,"0")+IFERROR(Y53/H53,"0")+IFERROR(Y54/H54,"0")+IFERROR(Y55/H55,"0")+IFERROR(Y56/H56,"0")+IFERROR(Y57/H57,"0")</f>
        <v>192</v>
      </c>
      <c r="Z58" s="555">
        <f>IFERROR(IF(Z52="",0,Z52),"0")+IFERROR(IF(Z53="",0,Z53),"0")+IFERROR(IF(Z54="",0,Z54),"0")+IFERROR(IF(Z55="",0,Z55),"0")+IFERROR(IF(Z56="",0,Z56),"0")+IFERROR(IF(Z57="",0,Z57),"0")</f>
        <v>2.1501600000000001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1125</v>
      </c>
      <c r="Y59" s="555">
        <f>IFERROR(SUM(Y52:Y57),"0")</f>
        <v>1128.5999999999999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200</v>
      </c>
      <c r="Y61" s="554">
        <f>IFERROR(IF(X61="",0,CEILING((X61/$H61),1)*$H61),"")</f>
        <v>205.20000000000002</v>
      </c>
      <c r="Z61" s="36">
        <f>IFERROR(IF(Y61=0,"",ROUNDUP(Y61/H61,0)*0.01898),"")</f>
        <v>0.36062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207.59259259259258</v>
      </c>
      <c r="BN61" s="64">
        <f>IFERROR(Y61*I61/H61,"0")</f>
        <v>212.99</v>
      </c>
      <c r="BO61" s="64">
        <f>IFERROR(1/J61*(X61/H61),"0")</f>
        <v>0.28935185185185186</v>
      </c>
      <c r="BP61" s="64">
        <f>IFERROR(1/J61*(Y61/H61),"0")</f>
        <v>0.296875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180</v>
      </c>
      <c r="Y63" s="554">
        <f>IFERROR(IF(X63="",0,CEILING((X63/$H63),1)*$H63),"")</f>
        <v>180.9</v>
      </c>
      <c r="Z63" s="36">
        <f>IFERROR(IF(Y63=0,"",ROUNDUP(Y63/H63,0)*0.00651),"")</f>
        <v>0.43617</v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191.99999999999997</v>
      </c>
      <c r="BN63" s="64">
        <f>IFERROR(Y63*I63/H63,"0")</f>
        <v>192.95999999999998</v>
      </c>
      <c r="BO63" s="64">
        <f>IFERROR(1/J63*(X63/H63),"0")</f>
        <v>0.36630036630036628</v>
      </c>
      <c r="BP63" s="64">
        <f>IFERROR(1/J63*(Y63/H63),"0")</f>
        <v>0.36813186813186816</v>
      </c>
    </row>
    <row r="64" spans="1:68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85.185185185185176</v>
      </c>
      <c r="Y64" s="555">
        <f>IFERROR(Y61/H61,"0")+IFERROR(Y62/H62,"0")+IFERROR(Y63/H63,"0")</f>
        <v>86</v>
      </c>
      <c r="Z64" s="555">
        <f>IFERROR(IF(Z61="",0,Z61),"0")+IFERROR(IF(Z62="",0,Z62),"0")+IFERROR(IF(Z63="",0,Z63),"0")</f>
        <v>0.79679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380</v>
      </c>
      <c r="Y65" s="555">
        <f>IFERROR(SUM(Y61:Y63),"0")</f>
        <v>386.1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60</v>
      </c>
      <c r="Y79" s="554">
        <f>IFERROR(IF(X79="",0,CEILING((X79/$H79),1)*$H79),"")</f>
        <v>62.4</v>
      </c>
      <c r="Z79" s="36">
        <f>IFERROR(IF(Y79=0,"",ROUNDUP(Y79/H79,0)*0.01898),"")</f>
        <v>0.15184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63.15384615384616</v>
      </c>
      <c r="BN79" s="64">
        <f>IFERROR(Y79*I79/H79,"0")</f>
        <v>65.680000000000007</v>
      </c>
      <c r="BO79" s="64">
        <f>IFERROR(1/J79*(X79/H79),"0")</f>
        <v>0.1201923076923077</v>
      </c>
      <c r="BP79" s="64">
        <f>IFERROR(1/J79*(Y79/H79),"0")</f>
        <v>0.125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7.6923076923076925</v>
      </c>
      <c r="Y81" s="555">
        <f>IFERROR(Y79/H79,"0")+IFERROR(Y80/H80,"0")</f>
        <v>8</v>
      </c>
      <c r="Z81" s="555">
        <f>IFERROR(IF(Z79="",0,Z79),"0")+IFERROR(IF(Z80="",0,Z80),"0")</f>
        <v>0.15184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60</v>
      </c>
      <c r="Y82" s="555">
        <f>IFERROR(SUM(Y79:Y80),"0")</f>
        <v>62.4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300</v>
      </c>
      <c r="Y85" s="554">
        <f>IFERROR(IF(X85="",0,CEILING((X85/$H85),1)*$H85),"")</f>
        <v>302.40000000000003</v>
      </c>
      <c r="Z85" s="36">
        <f>IFERROR(IF(Y85=0,"",ROUNDUP(Y85/H85,0)*0.01898),"")</f>
        <v>0.53144000000000002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311.38888888888891</v>
      </c>
      <c r="BN85" s="64">
        <f>IFERROR(Y85*I85/H85,"0")</f>
        <v>313.88</v>
      </c>
      <c r="BO85" s="64">
        <f>IFERROR(1/J85*(X85/H85),"0")</f>
        <v>0.43402777777777773</v>
      </c>
      <c r="BP85" s="64">
        <f>IFERROR(1/J85*(Y85/H85),"0")</f>
        <v>0.4375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675</v>
      </c>
      <c r="Y88" s="554">
        <f>IFERROR(IF(X88="",0,CEILING((X88/$H88),1)*$H88),"")</f>
        <v>675</v>
      </c>
      <c r="Z88" s="36">
        <f>IFERROR(IF(Y88=0,"",ROUNDUP(Y88/H88,0)*0.00902),"")</f>
        <v>1.353</v>
      </c>
      <c r="AA88" s="56"/>
      <c r="AB88" s="57"/>
      <c r="AC88" s="133" t="s">
        <v>172</v>
      </c>
      <c r="AG88" s="64"/>
      <c r="AJ88" s="68"/>
      <c r="AK88" s="68">
        <v>0</v>
      </c>
      <c r="BB88" s="134" t="s">
        <v>1</v>
      </c>
      <c r="BM88" s="64">
        <f>IFERROR(X88*I88/H88,"0")</f>
        <v>703.50000000000011</v>
      </c>
      <c r="BN88" s="64">
        <f>IFERROR(Y88*I88/H88,"0")</f>
        <v>703.50000000000011</v>
      </c>
      <c r="BO88" s="64">
        <f>IFERROR(1/J88*(X88/H88),"0")</f>
        <v>1.1363636363636365</v>
      </c>
      <c r="BP88" s="64">
        <f>IFERROR(1/J88*(Y88/H88),"0")</f>
        <v>1.1363636363636365</v>
      </c>
    </row>
    <row r="89" spans="1:68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177.77777777777777</v>
      </c>
      <c r="Y89" s="555">
        <f>IFERROR(Y85/H85,"0")+IFERROR(Y86/H86,"0")+IFERROR(Y87/H87,"0")+IFERROR(Y88/H88,"0")</f>
        <v>178</v>
      </c>
      <c r="Z89" s="555">
        <f>IFERROR(IF(Z85="",0,Z85),"0")+IFERROR(IF(Z86="",0,Z86),"0")+IFERROR(IF(Z87="",0,Z87),"0")+IFERROR(IF(Z88="",0,Z88),"0")</f>
        <v>1.8844400000000001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975</v>
      </c>
      <c r="Y90" s="555">
        <f>IFERROR(SUM(Y85:Y88),"0")</f>
        <v>977.40000000000009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200</v>
      </c>
      <c r="Y92" s="554">
        <f>IFERROR(IF(X92="",0,CEILING((X92/$H92),1)*$H92),"")</f>
        <v>202.5</v>
      </c>
      <c r="Z92" s="36">
        <f>IFERROR(IF(Y92=0,"",ROUNDUP(Y92/H92,0)*0.01898),"")</f>
        <v>0.47450000000000003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212.19753086419755</v>
      </c>
      <c r="BN92" s="64">
        <f>IFERROR(Y92*I92/H92,"0")</f>
        <v>214.85</v>
      </c>
      <c r="BO92" s="64">
        <f>IFERROR(1/J92*(X92/H92),"0")</f>
        <v>0.38580246913580246</v>
      </c>
      <c r="BP92" s="64">
        <f>IFERROR(1/J92*(Y92/H92),"0")</f>
        <v>0.390625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585</v>
      </c>
      <c r="Y94" s="554">
        <f>IFERROR(IF(X94="",0,CEILING((X94/$H94),1)*$H94),"")</f>
        <v>585.90000000000009</v>
      </c>
      <c r="Z94" s="36">
        <f>IFERROR(IF(Y94=0,"",ROUNDUP(Y94/H94,0)*0.00651),"")</f>
        <v>1.4126700000000001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639.6</v>
      </c>
      <c r="BN94" s="64">
        <f>IFERROR(Y94*I94/H94,"0")</f>
        <v>640.58400000000006</v>
      </c>
      <c r="BO94" s="64">
        <f>IFERROR(1/J94*(X94/H94),"0")</f>
        <v>1.1904761904761905</v>
      </c>
      <c r="BP94" s="64">
        <f>IFERROR(1/J94*(Y94/H94),"0")</f>
        <v>1.1923076923076925</v>
      </c>
    </row>
    <row r="95" spans="1:68" ht="16.5" hidden="1" customHeight="1" x14ac:dyDescent="0.25">
      <c r="A95" s="54" t="s">
        <v>188</v>
      </c>
      <c r="B95" s="54" t="s">
        <v>189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241.35802469135803</v>
      </c>
      <c r="Y96" s="555">
        <f>IFERROR(Y92/H92,"0")+IFERROR(Y93/H93,"0")+IFERROR(Y94/H94,"0")+IFERROR(Y95/H95,"0")</f>
        <v>242.00000000000003</v>
      </c>
      <c r="Z96" s="555">
        <f>IFERROR(IF(Z92="",0,Z92),"0")+IFERROR(IF(Z93="",0,Z93),"0")+IFERROR(IF(Z94="",0,Z94),"0")+IFERROR(IF(Z95="",0,Z95),"0")</f>
        <v>1.8871700000000002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785</v>
      </c>
      <c r="Y97" s="555">
        <f>IFERROR(SUM(Y92:Y95),"0")</f>
        <v>788.40000000000009</v>
      </c>
      <c r="Z97" s="37"/>
      <c r="AA97" s="556"/>
      <c r="AB97" s="556"/>
      <c r="AC97" s="556"/>
    </row>
    <row r="98" spans="1:68" ht="16.5" hidden="1" customHeight="1" x14ac:dyDescent="0.25">
      <c r="A98" s="578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60</v>
      </c>
      <c r="Y100" s="554">
        <f>IFERROR(IF(X100="",0,CEILING((X100/$H100),1)*$H100),"")</f>
        <v>64.800000000000011</v>
      </c>
      <c r="Z100" s="36">
        <f>IFERROR(IF(Y100=0,"",ROUNDUP(Y100/H100,0)*0.01898),"")</f>
        <v>0.11388000000000001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62.277777777777779</v>
      </c>
      <c r="BN100" s="64">
        <f>IFERROR(Y100*I100/H100,"0")</f>
        <v>67.260000000000005</v>
      </c>
      <c r="BO100" s="64">
        <f>IFERROR(1/J100*(X100/H100),"0")</f>
        <v>8.6805555555555552E-2</v>
      </c>
      <c r="BP100" s="64">
        <f>IFERROR(1/J100*(Y100/H100),"0")</f>
        <v>9.3750000000000014E-2</v>
      </c>
    </row>
    <row r="101" spans="1:68" ht="27" customHeight="1" x14ac:dyDescent="0.25">
      <c r="A101" s="54" t="s">
        <v>195</v>
      </c>
      <c r="B101" s="54" t="s">
        <v>196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5.5</v>
      </c>
      <c r="Y101" s="554">
        <f>IFERROR(IF(X101="",0,CEILING((X101/$H101),1)*$H101),"")</f>
        <v>5.5</v>
      </c>
      <c r="Z101" s="36">
        <f>IFERROR(IF(Y101=0,"",ROUNDUP(Y101/H101,0)*0.00726),"")</f>
        <v>3.6299999999999999E-2</v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6.55</v>
      </c>
      <c r="BN101" s="64">
        <f>IFERROR(Y101*I101/H101,"0")</f>
        <v>6.55</v>
      </c>
      <c r="BO101" s="64">
        <f>IFERROR(1/J101*(X101/H101),"0")</f>
        <v>2.6041666666666664E-2</v>
      </c>
      <c r="BP101" s="64">
        <f>IFERROR(1/J101*(Y101/H101),"0")</f>
        <v>2.6041666666666664E-2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540</v>
      </c>
      <c r="Y103" s="554">
        <f>IFERROR(IF(X103="",0,CEILING((X103/$H103),1)*$H103),"")</f>
        <v>540</v>
      </c>
      <c r="Z103" s="36">
        <f>IFERROR(IF(Y103=0,"",ROUNDUP(Y103/H103,0)*0.00902),"")</f>
        <v>1.0824</v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562.80000000000007</v>
      </c>
      <c r="BN103" s="64">
        <f>IFERROR(Y103*I103/H103,"0")</f>
        <v>562.80000000000007</v>
      </c>
      <c r="BO103" s="64">
        <f>IFERROR(1/J103*(X103/H103),"0")</f>
        <v>0.90909090909090917</v>
      </c>
      <c r="BP103" s="64">
        <f>IFERROR(1/J103*(Y103/H103),"0")</f>
        <v>0.90909090909090917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130.55555555555554</v>
      </c>
      <c r="Y105" s="555">
        <f>IFERROR(Y100/H100,"0")+IFERROR(Y101/H101,"0")+IFERROR(Y102/H102,"0")+IFERROR(Y103/H103,"0")+IFERROR(Y104/H104,"0")</f>
        <v>131</v>
      </c>
      <c r="Z105" s="555">
        <f>IFERROR(IF(Z100="",0,Z100),"0")+IFERROR(IF(Z101="",0,Z101),"0")+IFERROR(IF(Z102="",0,Z102),"0")+IFERROR(IF(Z103="",0,Z103),"0")+IFERROR(IF(Z104="",0,Z104),"0")</f>
        <v>1.23258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605.5</v>
      </c>
      <c r="Y106" s="555">
        <f>IFERROR(SUM(Y100:Y104),"0")</f>
        <v>610.29999999999995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204</v>
      </c>
      <c r="B108" s="54" t="s">
        <v>205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207</v>
      </c>
      <c r="B109" s="54" t="s">
        <v>208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10</v>
      </c>
      <c r="Y109" s="554">
        <f>IFERROR(IF(X109="",0,CEILING((X109/$H109),1)*$H109),"")</f>
        <v>10</v>
      </c>
      <c r="Z109" s="36">
        <f>IFERROR(IF(Y109=0,"",ROUNDUP(Y109/H109,0)*0.00358),"")</f>
        <v>3.5799999999999998E-2</v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12.1</v>
      </c>
      <c r="BN109" s="64">
        <f>IFERROR(Y109*I109/H109,"0")</f>
        <v>12.1</v>
      </c>
      <c r="BO109" s="64">
        <f>IFERROR(1/J109*(X109/H109),"0")</f>
        <v>2.551020408163265E-2</v>
      </c>
      <c r="BP109" s="64">
        <f>IFERROR(1/J109*(Y109/H109),"0")</f>
        <v>2.551020408163265E-2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213</v>
      </c>
      <c r="B111" s="54" t="s">
        <v>214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10</v>
      </c>
      <c r="Y112" s="555">
        <f>IFERROR(Y108/H108,"0")+IFERROR(Y109/H109,"0")+IFERROR(Y110/H110,"0")+IFERROR(Y111/H111,"0")</f>
        <v>10</v>
      </c>
      <c r="Z112" s="555">
        <f>IFERROR(IF(Z108="",0,Z108),"0")+IFERROR(IF(Z109="",0,Z109),"0")+IFERROR(IF(Z110="",0,Z110),"0")+IFERROR(IF(Z111="",0,Z111),"0")</f>
        <v>3.5799999999999998E-2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10</v>
      </c>
      <c r="Y113" s="555">
        <f>IFERROR(SUM(Y108:Y111),"0")</f>
        <v>10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215</v>
      </c>
      <c r="B115" s="54" t="s">
        <v>216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400</v>
      </c>
      <c r="Y115" s="554">
        <f>IFERROR(IF(X115="",0,CEILING((X115/$H115),1)*$H115),"")</f>
        <v>405</v>
      </c>
      <c r="Z115" s="36">
        <f>IFERROR(IF(Y115=0,"",ROUNDUP(Y115/H115,0)*0.01898),"")</f>
        <v>0.94900000000000007</v>
      </c>
      <c r="AA115" s="56"/>
      <c r="AB115" s="57"/>
      <c r="AC115" s="161" t="s">
        <v>217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424.09876543209879</v>
      </c>
      <c r="BN115" s="64">
        <f>IFERROR(Y115*I115/H115,"0")</f>
        <v>429.4</v>
      </c>
      <c r="BO115" s="64">
        <f>IFERROR(1/J115*(X115/H115),"0")</f>
        <v>0.77160493827160492</v>
      </c>
      <c r="BP115" s="64">
        <f>IFERROR(1/J115*(Y115/H115),"0")</f>
        <v>0.78125</v>
      </c>
    </row>
    <row r="116" spans="1:68" ht="27" hidden="1" customHeight="1" x14ac:dyDescent="0.25">
      <c r="A116" s="54" t="s">
        <v>218</v>
      </c>
      <c r="B116" s="54" t="s">
        <v>219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220</v>
      </c>
      <c r="B117" s="54" t="s">
        <v>221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222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360</v>
      </c>
      <c r="Y117" s="554">
        <f>IFERROR(IF(X117="",0,CEILING((X117/$H117),1)*$H117),"")</f>
        <v>361.8</v>
      </c>
      <c r="Z117" s="36">
        <f>IFERROR(IF(Y117=0,"",ROUNDUP(Y117/H117,0)*0.00651),"")</f>
        <v>0.87234</v>
      </c>
      <c r="AA117" s="56"/>
      <c r="AB117" s="57"/>
      <c r="AC117" s="165" t="s">
        <v>217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393.59999999999997</v>
      </c>
      <c r="BN117" s="64">
        <f>IFERROR(Y117*I117/H117,"0")</f>
        <v>395.56799999999998</v>
      </c>
      <c r="BO117" s="64">
        <f>IFERROR(1/J117*(X117/H117),"0")</f>
        <v>0.73260073260073255</v>
      </c>
      <c r="BP117" s="64">
        <f>IFERROR(1/J117*(Y117/H117),"0")</f>
        <v>0.73626373626373631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 t="s">
        <v>222</v>
      </c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24</v>
      </c>
      <c r="Y118" s="554">
        <f>IFERROR(IF(X118="",0,CEILING((X118/$H118),1)*$H118),"")</f>
        <v>25.2</v>
      </c>
      <c r="Z118" s="36">
        <f>IFERROR(IF(Y118=0,"",ROUNDUP(Y118/H118,0)*0.00651),"")</f>
        <v>9.1139999999999999E-2</v>
      </c>
      <c r="AA118" s="56"/>
      <c r="AB118" s="57"/>
      <c r="AC118" s="167" t="s">
        <v>225</v>
      </c>
      <c r="AG118" s="64"/>
      <c r="AJ118" s="68" t="s">
        <v>108</v>
      </c>
      <c r="AK118" s="68">
        <v>25.2</v>
      </c>
      <c r="BB118" s="168" t="s">
        <v>1</v>
      </c>
      <c r="BM118" s="64">
        <f>IFERROR(X118*I118/H118,"0")</f>
        <v>26.4</v>
      </c>
      <c r="BN118" s="64">
        <f>IFERROR(Y118*I118/H118,"0")</f>
        <v>27.72</v>
      </c>
      <c r="BO118" s="64">
        <f>IFERROR(1/J118*(X118/H118),"0")</f>
        <v>7.3260073260073263E-2</v>
      </c>
      <c r="BP118" s="64">
        <f>IFERROR(1/J118*(Y118/H118),"0")</f>
        <v>7.6923076923076927E-2</v>
      </c>
    </row>
    <row r="119" spans="1:68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196.04938271604937</v>
      </c>
      <c r="Y119" s="555">
        <f>IFERROR(Y115/H115,"0")+IFERROR(Y116/H116,"0")+IFERROR(Y117/H117,"0")+IFERROR(Y118/H118,"0")</f>
        <v>198</v>
      </c>
      <c r="Z119" s="555">
        <f>IFERROR(IF(Z115="",0,Z115),"0")+IFERROR(IF(Z116="",0,Z116),"0")+IFERROR(IF(Z117="",0,Z117),"0")+IFERROR(IF(Z118="",0,Z118),"0")</f>
        <v>1.9124800000000002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784</v>
      </c>
      <c r="Y120" s="555">
        <f>IFERROR(SUM(Y115:Y118),"0")</f>
        <v>792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 t="s">
        <v>222</v>
      </c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33</v>
      </c>
      <c r="Y122" s="554">
        <f>IFERROR(IF(X122="",0,CEILING((X122/$H122),1)*$H122),"")</f>
        <v>33.659999999999997</v>
      </c>
      <c r="Z122" s="36">
        <f>IFERROR(IF(Y122=0,"",ROUNDUP(Y122/H122,0)*0.00651),"")</f>
        <v>0.11067</v>
      </c>
      <c r="AA122" s="56"/>
      <c r="AB122" s="57"/>
      <c r="AC122" s="169" t="s">
        <v>228</v>
      </c>
      <c r="AG122" s="64"/>
      <c r="AJ122" s="68" t="s">
        <v>108</v>
      </c>
      <c r="AK122" s="68">
        <v>27.72</v>
      </c>
      <c r="BB122" s="170" t="s">
        <v>1</v>
      </c>
      <c r="BM122" s="64">
        <f>IFERROR(X122*I122/H122,"0")</f>
        <v>37.299999999999997</v>
      </c>
      <c r="BN122" s="64">
        <f>IFERROR(Y122*I122/H122,"0")</f>
        <v>38.045999999999992</v>
      </c>
      <c r="BO122" s="64">
        <f>IFERROR(1/J122*(X122/H122),"0")</f>
        <v>9.1575091575091583E-2</v>
      </c>
      <c r="BP122" s="64">
        <f>IFERROR(1/J122*(Y122/H122),"0")</f>
        <v>9.3406593406593408E-2</v>
      </c>
    </row>
    <row r="123" spans="1:68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16.666666666666668</v>
      </c>
      <c r="Y123" s="555">
        <f>IFERROR(Y122/H122,"0")</f>
        <v>17</v>
      </c>
      <c r="Z123" s="555">
        <f>IFERROR(IF(Z122="",0,Z122),"0")</f>
        <v>0.11067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33</v>
      </c>
      <c r="Y124" s="555">
        <f>IFERROR(SUM(Y122:Y122),"0")</f>
        <v>33.659999999999997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222</v>
      </c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60</v>
      </c>
      <c r="Y127" s="554">
        <f>IFERROR(IF(X127="",0,CEILING((X127/$H127),1)*$H127),"")</f>
        <v>60.800000000000004</v>
      </c>
      <c r="Z127" s="36">
        <f>IFERROR(IF(Y127=0,"",ROUNDUP(Y127/H127,0)*0.00651),"")</f>
        <v>0.12369000000000001</v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63.374999999999993</v>
      </c>
      <c r="BN127" s="64">
        <f>IFERROR(Y127*I127/H127,"0")</f>
        <v>64.22</v>
      </c>
      <c r="BO127" s="64">
        <f>IFERROR(1/J127*(X127/H127),"0")</f>
        <v>0.10302197802197803</v>
      </c>
      <c r="BP127" s="64">
        <f>IFERROR(1/J127*(Y127/H127),"0")</f>
        <v>0.1043956043956044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18.75</v>
      </c>
      <c r="Y129" s="555">
        <f>IFERROR(Y127/H127,"0")+IFERROR(Y128/H128,"0")</f>
        <v>19</v>
      </c>
      <c r="Z129" s="555">
        <f>IFERROR(IF(Z127="",0,Z127),"0")+IFERROR(IF(Z128="",0,Z128),"0")</f>
        <v>0.12369000000000001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60</v>
      </c>
      <c r="Y130" s="555">
        <f>IFERROR(SUM(Y127:Y128),"0")</f>
        <v>60.800000000000004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222</v>
      </c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17.5</v>
      </c>
      <c r="Y133" s="554">
        <f>IFERROR(IF(X133="",0,CEILING((X133/$H133),1)*$H133),"")</f>
        <v>19.599999999999998</v>
      </c>
      <c r="Z133" s="36">
        <f>IFERROR(IF(Y133=0,"",ROUNDUP(Y133/H133,0)*0.00651),"")</f>
        <v>4.5569999999999999E-2</v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19.175000000000001</v>
      </c>
      <c r="BN133" s="64">
        <f>IFERROR(Y133*I133/H133,"0")</f>
        <v>21.475999999999999</v>
      </c>
      <c r="BO133" s="64">
        <f>IFERROR(1/J133*(X133/H133),"0")</f>
        <v>3.4340659340659344E-2</v>
      </c>
      <c r="BP133" s="64">
        <f>IFERROR(1/J133*(Y133/H133),"0")</f>
        <v>3.8461538461538464E-2</v>
      </c>
    </row>
    <row r="134" spans="1:68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6.25</v>
      </c>
      <c r="Y134" s="555">
        <f>IFERROR(Y132/H132,"0")+IFERROR(Y133/H133,"0")</f>
        <v>7</v>
      </c>
      <c r="Z134" s="555">
        <f>IFERROR(IF(Z132="",0,Z132),"0")+IFERROR(IF(Z133="",0,Z133),"0")</f>
        <v>4.5569999999999999E-2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17.5</v>
      </c>
      <c r="Y135" s="555">
        <f>IFERROR(SUM(Y132:Y133),"0")</f>
        <v>19.599999999999998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 t="s">
        <v>222</v>
      </c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108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80</v>
      </c>
      <c r="Y169" s="554">
        <f t="shared" si="10"/>
        <v>84</v>
      </c>
      <c r="Z169" s="36">
        <f>IFERROR(IF(Y169=0,"",ROUNDUP(Y169/H169,0)*0.00902),"")</f>
        <v>0.1804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84.761904761904759</v>
      </c>
      <c r="BN169" s="64">
        <f t="shared" si="12"/>
        <v>89</v>
      </c>
      <c r="BO169" s="64">
        <f t="shared" si="13"/>
        <v>0.14430014430014429</v>
      </c>
      <c r="BP169" s="64">
        <f t="shared" si="14"/>
        <v>0.15151515151515152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 t="s">
        <v>114</v>
      </c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50</v>
      </c>
      <c r="Y170" s="554">
        <f t="shared" si="10"/>
        <v>50.400000000000006</v>
      </c>
      <c r="Z170" s="36">
        <f>IFERROR(IF(Y170=0,"",ROUNDUP(Y170/H170,0)*0.00902),"")</f>
        <v>0.10824</v>
      </c>
      <c r="AA170" s="56"/>
      <c r="AB170" s="57"/>
      <c r="AC170" s="209" t="s">
        <v>287</v>
      </c>
      <c r="AG170" s="64"/>
      <c r="AJ170" s="68" t="s">
        <v>108</v>
      </c>
      <c r="AK170" s="68">
        <v>50.4</v>
      </c>
      <c r="BB170" s="210" t="s">
        <v>1</v>
      </c>
      <c r="BM170" s="64">
        <f t="shared" si="11"/>
        <v>52.976190476190474</v>
      </c>
      <c r="BN170" s="64">
        <f t="shared" si="12"/>
        <v>53.400000000000006</v>
      </c>
      <c r="BO170" s="64">
        <f t="shared" si="13"/>
        <v>9.0187590187590191E-2</v>
      </c>
      <c r="BP170" s="64">
        <f t="shared" si="14"/>
        <v>9.0909090909090912E-2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100</v>
      </c>
      <c r="Y171" s="554">
        <f t="shared" si="10"/>
        <v>100.80000000000001</v>
      </c>
      <c r="Z171" s="36">
        <f>IFERROR(IF(Y171=0,"",ROUNDUP(Y171/H171,0)*0.00902),"")</f>
        <v>0.21648000000000001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104.5238095238095</v>
      </c>
      <c r="BN171" s="64">
        <f t="shared" si="12"/>
        <v>105.36</v>
      </c>
      <c r="BO171" s="64">
        <f t="shared" si="13"/>
        <v>0.18037518037518038</v>
      </c>
      <c r="BP171" s="64">
        <f t="shared" si="14"/>
        <v>0.18181818181818182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8</v>
      </c>
      <c r="Y172" s="554">
        <f t="shared" si="10"/>
        <v>8</v>
      </c>
      <c r="Z172" s="36">
        <f>IFERROR(IF(Y172=0,"",ROUNDUP(Y172/H172,0)*0.00556),"")</f>
        <v>5.5599999999999997E-2</v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9.3000000000000007</v>
      </c>
      <c r="BN172" s="64">
        <f t="shared" si="12"/>
        <v>9.3000000000000007</v>
      </c>
      <c r="BO172" s="64">
        <f t="shared" si="13"/>
        <v>4.6296296296296294E-2</v>
      </c>
      <c r="BP172" s="64">
        <f t="shared" si="14"/>
        <v>4.6296296296296294E-2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105</v>
      </c>
      <c r="Y173" s="554">
        <f t="shared" si="10"/>
        <v>105</v>
      </c>
      <c r="Z173" s="36">
        <f>IFERROR(IF(Y173=0,"",ROUNDUP(Y173/H173,0)*0.00502),"")</f>
        <v>0.251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111.5</v>
      </c>
      <c r="BN173" s="64">
        <f t="shared" si="12"/>
        <v>111.5</v>
      </c>
      <c r="BO173" s="64">
        <f t="shared" si="13"/>
        <v>0.21367521367521369</v>
      </c>
      <c r="BP173" s="64">
        <f t="shared" si="14"/>
        <v>0.21367521367521369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87.5</v>
      </c>
      <c r="Y175" s="554">
        <f t="shared" si="10"/>
        <v>88.2</v>
      </c>
      <c r="Z175" s="36">
        <f>IFERROR(IF(Y175=0,"",ROUNDUP(Y175/H175,0)*0.00502),"")</f>
        <v>0.21084</v>
      </c>
      <c r="AA175" s="56"/>
      <c r="AB175" s="57"/>
      <c r="AC175" s="219" t="s">
        <v>287</v>
      </c>
      <c r="AG175" s="64"/>
      <c r="AJ175" s="68" t="s">
        <v>108</v>
      </c>
      <c r="AK175" s="68">
        <v>37.799999999999997</v>
      </c>
      <c r="BB175" s="220" t="s">
        <v>1</v>
      </c>
      <c r="BM175" s="64">
        <f t="shared" si="11"/>
        <v>92.916666666666657</v>
      </c>
      <c r="BN175" s="64">
        <f t="shared" si="12"/>
        <v>93.66</v>
      </c>
      <c r="BO175" s="64">
        <f t="shared" si="13"/>
        <v>0.17806267806267806</v>
      </c>
      <c r="BP175" s="64">
        <f t="shared" si="14"/>
        <v>0.17948717948717952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8</v>
      </c>
      <c r="Y177" s="554">
        <f t="shared" si="10"/>
        <v>8</v>
      </c>
      <c r="Z177" s="36">
        <f>IFERROR(IF(Y177=0,"",ROUNDUP(Y177/H177,0)*0.00417),"")</f>
        <v>4.1700000000000001E-2</v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10.1</v>
      </c>
      <c r="BN177" s="64">
        <f t="shared" si="12"/>
        <v>10.1</v>
      </c>
      <c r="BO177" s="64">
        <f t="shared" si="13"/>
        <v>2.976190476190476E-2</v>
      </c>
      <c r="BP177" s="64">
        <f t="shared" si="14"/>
        <v>2.976190476190476E-2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175</v>
      </c>
      <c r="Y178" s="554">
        <f t="shared" si="10"/>
        <v>176.4</v>
      </c>
      <c r="Z178" s="36">
        <f>IFERROR(IF(Y178=0,"",ROUNDUP(Y178/H178,0)*0.00502),"")</f>
        <v>0.42168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183.33333333333334</v>
      </c>
      <c r="BN178" s="64">
        <f t="shared" si="12"/>
        <v>184.8</v>
      </c>
      <c r="BO178" s="64">
        <f t="shared" si="13"/>
        <v>0.35612535612535612</v>
      </c>
      <c r="BP178" s="64">
        <f t="shared" si="14"/>
        <v>0.35897435897435903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249.76190476190476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252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1.48594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613.5</v>
      </c>
      <c r="Y182" s="555">
        <f>IFERROR(SUM(Y167:Y180),"0")</f>
        <v>620.80000000000007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14</v>
      </c>
      <c r="Y184" s="554">
        <f>IFERROR(IF(X184="",0,CEILING((X184/$H184),1)*$H184),"")</f>
        <v>15.120000000000001</v>
      </c>
      <c r="Z184" s="36">
        <f>IFERROR(IF(Y184=0,"",ROUNDUP(Y184/H184,0)*0.0059),"")</f>
        <v>7.0800000000000002E-2</v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16.111111111111111</v>
      </c>
      <c r="BN184" s="64">
        <f>IFERROR(Y184*I184/H184,"0")</f>
        <v>17.399999999999999</v>
      </c>
      <c r="BO184" s="64">
        <f>IFERROR(1/J184*(X184/H184),"0")</f>
        <v>5.1440329218106991E-2</v>
      </c>
      <c r="BP184" s="64">
        <f>IFERROR(1/J184*(Y184/H184),"0")</f>
        <v>5.5555555555555552E-2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14</v>
      </c>
      <c r="Y185" s="554">
        <f>IFERROR(IF(X185="",0,CEILING((X185/$H185),1)*$H185),"")</f>
        <v>15.120000000000001</v>
      </c>
      <c r="Z185" s="36">
        <f>IFERROR(IF(Y185=0,"",ROUNDUP(Y185/H185,0)*0.0059),"")</f>
        <v>7.0800000000000002E-2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16.111111111111111</v>
      </c>
      <c r="BN185" s="64">
        <f>IFERROR(Y185*I185/H185,"0")</f>
        <v>17.399999999999999</v>
      </c>
      <c r="BO185" s="64">
        <f>IFERROR(1/J185*(X185/H185),"0")</f>
        <v>5.1440329218106991E-2</v>
      </c>
      <c r="BP185" s="64">
        <f>IFERROR(1/J185*(Y185/H185),"0")</f>
        <v>5.5555555555555552E-2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14</v>
      </c>
      <c r="Y186" s="554">
        <f>IFERROR(IF(X186="",0,CEILING((X186/$H186),1)*$H186),"")</f>
        <v>15.120000000000001</v>
      </c>
      <c r="Z186" s="36">
        <f>IFERROR(IF(Y186=0,"",ROUNDUP(Y186/H186,0)*0.0059),"")</f>
        <v>7.0800000000000002E-2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16.111111111111111</v>
      </c>
      <c r="BN186" s="64">
        <f>IFERROR(Y186*I186/H186,"0")</f>
        <v>17.399999999999999</v>
      </c>
      <c r="BO186" s="64">
        <f>IFERROR(1/J186*(X186/H186),"0")</f>
        <v>5.1440329218106991E-2</v>
      </c>
      <c r="BP186" s="64">
        <f>IFERROR(1/J186*(Y186/H186),"0")</f>
        <v>5.5555555555555552E-2</v>
      </c>
    </row>
    <row r="187" spans="1:68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33.333333333333329</v>
      </c>
      <c r="Y187" s="555">
        <f>IFERROR(Y184/H184,"0")+IFERROR(Y185/H185,"0")+IFERROR(Y186/H186,"0")</f>
        <v>36</v>
      </c>
      <c r="Z187" s="555">
        <f>IFERROR(IF(Z184="",0,Z184),"0")+IFERROR(IF(Z185="",0,Z185),"0")+IFERROR(IF(Z186="",0,Z186),"0")</f>
        <v>0.21240000000000001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42</v>
      </c>
      <c r="Y188" s="555">
        <f>IFERROR(SUM(Y184:Y186),"0")</f>
        <v>45.36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7.0000000000000009</v>
      </c>
      <c r="Y190" s="554">
        <f>IFERROR(IF(X190="",0,CEILING((X190/$H190),1)*$H190),"")</f>
        <v>7.5600000000000005</v>
      </c>
      <c r="Z190" s="36">
        <f>IFERROR(IF(Y190=0,"",ROUNDUP(Y190/H190,0)*0.0059),"")</f>
        <v>3.5400000000000001E-2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8.0555555555555554</v>
      </c>
      <c r="BN190" s="64">
        <f>IFERROR(Y190*I190/H190,"0")</f>
        <v>8.6999999999999993</v>
      </c>
      <c r="BO190" s="64">
        <f>IFERROR(1/J190*(X190/H190),"0")</f>
        <v>2.5720164609053499E-2</v>
      </c>
      <c r="BP190" s="64">
        <f>IFERROR(1/J190*(Y190/H190),"0")</f>
        <v>2.7777777777777776E-2</v>
      </c>
    </row>
    <row r="191" spans="1:68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5.5555555555555562</v>
      </c>
      <c r="Y191" s="555">
        <f>IFERROR(Y190/H190,"0")</f>
        <v>6</v>
      </c>
      <c r="Z191" s="555">
        <f>IFERROR(IF(Z190="",0,Z190),"0")</f>
        <v>3.5400000000000001E-2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7.0000000000000009</v>
      </c>
      <c r="Y192" s="555">
        <f>IFERROR(SUM(Y190:Y190),"0")</f>
        <v>7.5600000000000005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130</v>
      </c>
      <c r="Y205" s="554">
        <f t="shared" ref="Y205:Y212" si="15">IFERROR(IF(X205="",0,CEILING((X205/$H205),1)*$H205),"")</f>
        <v>135</v>
      </c>
      <c r="Z205" s="36">
        <f>IFERROR(IF(Y205=0,"",ROUNDUP(Y205/H205,0)*0.00902),"")</f>
        <v>0.22550000000000001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134.57407407407405</v>
      </c>
      <c r="BN205" s="64">
        <f t="shared" ref="BN205:BN212" si="17">IFERROR(Y205*I205/H205,"0")</f>
        <v>139.75</v>
      </c>
      <c r="BO205" s="64">
        <f t="shared" ref="BO205:BO212" si="18">IFERROR(1/J205*(X205/H205),"0")</f>
        <v>0.18237934904601572</v>
      </c>
      <c r="BP205" s="64">
        <f t="shared" ref="BP205:BP212" si="19">IFERROR(1/J205*(Y205/H205),"0")</f>
        <v>0.18939393939393939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60</v>
      </c>
      <c r="Y206" s="554">
        <f t="shared" si="15"/>
        <v>64.800000000000011</v>
      </c>
      <c r="Z206" s="36">
        <f>IFERROR(IF(Y206=0,"",ROUNDUP(Y206/H206,0)*0.00902),"")</f>
        <v>0.10824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62.1111111111111</v>
      </c>
      <c r="BN206" s="64">
        <f t="shared" si="17"/>
        <v>67.08</v>
      </c>
      <c r="BO206" s="64">
        <f t="shared" si="18"/>
        <v>8.4175084175084181E-2</v>
      </c>
      <c r="BP206" s="64">
        <f t="shared" si="19"/>
        <v>9.0909090909090925E-2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700</v>
      </c>
      <c r="Y207" s="554">
        <f t="shared" si="15"/>
        <v>702</v>
      </c>
      <c r="Z207" s="36">
        <f>IFERROR(IF(Y207=0,"",ROUNDUP(Y207/H207,0)*0.00902),"")</f>
        <v>1.1726000000000001</v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724.62962962962956</v>
      </c>
      <c r="BN207" s="64">
        <f t="shared" si="17"/>
        <v>726.69999999999993</v>
      </c>
      <c r="BO207" s="64">
        <f t="shared" si="18"/>
        <v>0.98204264870931535</v>
      </c>
      <c r="BP207" s="64">
        <f t="shared" si="19"/>
        <v>0.98484848484848486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90</v>
      </c>
      <c r="Y208" s="554">
        <f t="shared" si="15"/>
        <v>91.800000000000011</v>
      </c>
      <c r="Z208" s="36">
        <f>IFERROR(IF(Y208=0,"",ROUNDUP(Y208/H208,0)*0.00902),"")</f>
        <v>0.15334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93.166666666666657</v>
      </c>
      <c r="BN208" s="64">
        <f t="shared" si="17"/>
        <v>95.03</v>
      </c>
      <c r="BO208" s="64">
        <f t="shared" si="18"/>
        <v>0.12626262626262624</v>
      </c>
      <c r="BP208" s="64">
        <f t="shared" si="19"/>
        <v>0.12878787878787878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90</v>
      </c>
      <c r="Y209" s="554">
        <f t="shared" si="15"/>
        <v>90</v>
      </c>
      <c r="Z209" s="36">
        <f>IFERROR(IF(Y209=0,"",ROUNDUP(Y209/H209,0)*0.00502),"")</f>
        <v>0.251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96.499999999999986</v>
      </c>
      <c r="BN209" s="64">
        <f t="shared" si="17"/>
        <v>96.499999999999986</v>
      </c>
      <c r="BO209" s="64">
        <f t="shared" si="18"/>
        <v>0.21367521367521369</v>
      </c>
      <c r="BP209" s="64">
        <f t="shared" si="19"/>
        <v>0.21367521367521369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60</v>
      </c>
      <c r="Y210" s="554">
        <f t="shared" si="15"/>
        <v>61.2</v>
      </c>
      <c r="Z210" s="36">
        <f>IFERROR(IF(Y210=0,"",ROUNDUP(Y210/H210,0)*0.00502),"")</f>
        <v>0.17068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63.333333333333329</v>
      </c>
      <c r="BN210" s="64">
        <f t="shared" si="17"/>
        <v>64.599999999999994</v>
      </c>
      <c r="BO210" s="64">
        <f t="shared" si="18"/>
        <v>0.14245014245014248</v>
      </c>
      <c r="BP210" s="64">
        <f t="shared" si="19"/>
        <v>0.14529914529914531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 t="s">
        <v>296</v>
      </c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90</v>
      </c>
      <c r="Y211" s="554">
        <f t="shared" si="15"/>
        <v>90</v>
      </c>
      <c r="Z211" s="36">
        <f>IFERROR(IF(Y211=0,"",ROUNDUP(Y211/H211,0)*0.00502),"")</f>
        <v>0.251</v>
      </c>
      <c r="AA211" s="56"/>
      <c r="AB211" s="57"/>
      <c r="AC211" s="259" t="s">
        <v>346</v>
      </c>
      <c r="AG211" s="64"/>
      <c r="AJ211" s="68" t="s">
        <v>108</v>
      </c>
      <c r="AK211" s="68">
        <v>32.4</v>
      </c>
      <c r="BB211" s="260" t="s">
        <v>1</v>
      </c>
      <c r="BM211" s="64">
        <f t="shared" si="16"/>
        <v>95</v>
      </c>
      <c r="BN211" s="64">
        <f t="shared" si="17"/>
        <v>95</v>
      </c>
      <c r="BO211" s="64">
        <f t="shared" si="18"/>
        <v>0.21367521367521369</v>
      </c>
      <c r="BP211" s="64">
        <f t="shared" si="19"/>
        <v>0.21367521367521369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60</v>
      </c>
      <c r="Y212" s="554">
        <f t="shared" si="15"/>
        <v>61.2</v>
      </c>
      <c r="Z212" s="36">
        <f>IFERROR(IF(Y212=0,"",ROUNDUP(Y212/H212,0)*0.00502),"")</f>
        <v>0.17068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63.333333333333329</v>
      </c>
      <c r="BN212" s="64">
        <f t="shared" si="17"/>
        <v>64.599999999999994</v>
      </c>
      <c r="BO212" s="64">
        <f t="shared" si="18"/>
        <v>0.14245014245014248</v>
      </c>
      <c r="BP212" s="64">
        <f t="shared" si="19"/>
        <v>0.14529914529914531</v>
      </c>
    </row>
    <row r="213" spans="1:68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348.1481481481481</v>
      </c>
      <c r="Y213" s="555">
        <f>IFERROR(Y205/H205,"0")+IFERROR(Y206/H206,"0")+IFERROR(Y207/H207,"0")+IFERROR(Y208/H208,"0")+IFERROR(Y209/H209,"0")+IFERROR(Y210/H210,"0")+IFERROR(Y211/H211,"0")+IFERROR(Y212/H212,"0")</f>
        <v>352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2.5030399999999999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1280</v>
      </c>
      <c r="Y214" s="555">
        <f>IFERROR(SUM(Y205:Y212),"0")</f>
        <v>1296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50</v>
      </c>
      <c r="Y218" s="554">
        <f t="shared" si="20"/>
        <v>52.199999999999996</v>
      </c>
      <c r="Z218" s="36">
        <f>IFERROR(IF(Y218=0,"",ROUNDUP(Y218/H218,0)*0.01898),"")</f>
        <v>0.11388000000000001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52.839080459770123</v>
      </c>
      <c r="BN218" s="64">
        <f t="shared" si="22"/>
        <v>55.164000000000009</v>
      </c>
      <c r="BO218" s="64">
        <f t="shared" si="23"/>
        <v>8.9798850574712652E-2</v>
      </c>
      <c r="BP218" s="64">
        <f t="shared" si="24"/>
        <v>9.375E-2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222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120</v>
      </c>
      <c r="Y219" s="554">
        <f t="shared" si="20"/>
        <v>120</v>
      </c>
      <c r="Z219" s="36">
        <f t="shared" ref="Z219:Z224" si="25">IFERROR(IF(Y219=0,"",ROUNDUP(Y219/H219,0)*0.00651),"")</f>
        <v>0.32550000000000001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133.5</v>
      </c>
      <c r="BN219" s="64">
        <f t="shared" si="22"/>
        <v>133.5</v>
      </c>
      <c r="BO219" s="64">
        <f t="shared" si="23"/>
        <v>0.27472527472527475</v>
      </c>
      <c r="BP219" s="64">
        <f t="shared" si="24"/>
        <v>0.27472527472527475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222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240</v>
      </c>
      <c r="Y221" s="554">
        <f t="shared" si="20"/>
        <v>240</v>
      </c>
      <c r="Z221" s="36">
        <f t="shared" si="25"/>
        <v>0.65100000000000002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265.20000000000005</v>
      </c>
      <c r="BN221" s="64">
        <f t="shared" si="22"/>
        <v>265.20000000000005</v>
      </c>
      <c r="BO221" s="64">
        <f t="shared" si="23"/>
        <v>0.5494505494505495</v>
      </c>
      <c r="BP221" s="64">
        <f t="shared" si="24"/>
        <v>0.5494505494505495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/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/>
      <c r="AK222" s="68">
        <v>0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222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80</v>
      </c>
      <c r="Y223" s="554">
        <f t="shared" si="20"/>
        <v>81.599999999999994</v>
      </c>
      <c r="Z223" s="36">
        <f t="shared" si="25"/>
        <v>0.22134000000000001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88.40000000000002</v>
      </c>
      <c r="BN223" s="64">
        <f t="shared" si="22"/>
        <v>90.168000000000006</v>
      </c>
      <c r="BO223" s="64">
        <f t="shared" si="23"/>
        <v>0.18315018315018317</v>
      </c>
      <c r="BP223" s="64">
        <f t="shared" si="24"/>
        <v>0.18681318681318682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222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120</v>
      </c>
      <c r="Y224" s="554">
        <f t="shared" si="20"/>
        <v>120</v>
      </c>
      <c r="Z224" s="36">
        <f t="shared" si="25"/>
        <v>0.32550000000000001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132.9</v>
      </c>
      <c r="BN224" s="64">
        <f t="shared" si="22"/>
        <v>132.9</v>
      </c>
      <c r="BO224" s="64">
        <f t="shared" si="23"/>
        <v>0.27472527472527475</v>
      </c>
      <c r="BP224" s="64">
        <f t="shared" si="24"/>
        <v>0.27472527472527475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239.08045977011497</v>
      </c>
      <c r="Y225" s="555">
        <f>IFERROR(Y216/H216,"0")+IFERROR(Y217/H217,"0")+IFERROR(Y218/H218,"0")+IFERROR(Y219/H219,"0")+IFERROR(Y220/H220,"0")+IFERROR(Y221/H221,"0")+IFERROR(Y222/H222,"0")+IFERROR(Y223/H223,"0")+IFERROR(Y224/H224,"0")</f>
        <v>240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1.6372200000000001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610</v>
      </c>
      <c r="Y226" s="555">
        <f>IFERROR(SUM(Y216:Y224),"0")</f>
        <v>613.79999999999995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222</v>
      </c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222</v>
      </c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hidden="1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30</v>
      </c>
      <c r="Y234" s="554">
        <f t="shared" ref="Y234:Y242" si="26">IFERROR(IF(X234="",0,CEILING((X234/$H234),1)*$H234),"")</f>
        <v>34.799999999999997</v>
      </c>
      <c r="Z234" s="36">
        <f>IFERROR(IF(Y234=0,"",ROUNDUP(Y234/H234,0)*0.01898),"")</f>
        <v>5.6940000000000004E-2</v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31.06034482758621</v>
      </c>
      <c r="BN234" s="64">
        <f t="shared" ref="BN234:BN242" si="28">IFERROR(Y234*I234/H234,"0")</f>
        <v>36.03</v>
      </c>
      <c r="BO234" s="64">
        <f t="shared" ref="BO234:BO242" si="29">IFERROR(1/J234*(X234/H234),"0")</f>
        <v>4.0409482758620691E-2</v>
      </c>
      <c r="BP234" s="64">
        <f t="shared" ref="BP234:BP242" si="30">IFERROR(1/J234*(Y234/H234),"0")</f>
        <v>4.6875E-2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 t="s">
        <v>105</v>
      </c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70</v>
      </c>
      <c r="Y236" s="554">
        <f t="shared" si="26"/>
        <v>81.2</v>
      </c>
      <c r="Z236" s="36">
        <f>IFERROR(IF(Y236=0,"",ROUNDUP(Y236/H236,0)*0.01898),"")</f>
        <v>0.13286000000000001</v>
      </c>
      <c r="AA236" s="56"/>
      <c r="AB236" s="57"/>
      <c r="AC236" s="289" t="s">
        <v>396</v>
      </c>
      <c r="AG236" s="64"/>
      <c r="AJ236" s="68" t="s">
        <v>108</v>
      </c>
      <c r="AK236" s="68">
        <v>92.8</v>
      </c>
      <c r="BB236" s="290" t="s">
        <v>1</v>
      </c>
      <c r="BM236" s="64">
        <f t="shared" si="27"/>
        <v>72.474137931034477</v>
      </c>
      <c r="BN236" s="64">
        <f t="shared" si="28"/>
        <v>84.070000000000007</v>
      </c>
      <c r="BO236" s="64">
        <f t="shared" si="29"/>
        <v>9.4288793103448273E-2</v>
      </c>
      <c r="BP236" s="64">
        <f t="shared" si="30"/>
        <v>0.10937500000000001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 t="s">
        <v>114</v>
      </c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20</v>
      </c>
      <c r="Y237" s="554">
        <f t="shared" si="26"/>
        <v>20</v>
      </c>
      <c r="Z237" s="36">
        <f>IFERROR(IF(Y237=0,"",ROUNDUP(Y237/H237,0)*0.00902),"")</f>
        <v>4.5100000000000001E-2</v>
      </c>
      <c r="AA237" s="56"/>
      <c r="AB237" s="57"/>
      <c r="AC237" s="291" t="s">
        <v>390</v>
      </c>
      <c r="AG237" s="64"/>
      <c r="AJ237" s="68" t="s">
        <v>108</v>
      </c>
      <c r="AK237" s="68">
        <v>48</v>
      </c>
      <c r="BB237" s="292" t="s">
        <v>1</v>
      </c>
      <c r="BM237" s="64">
        <f t="shared" si="27"/>
        <v>20.950000000000003</v>
      </c>
      <c r="BN237" s="64">
        <f t="shared" si="28"/>
        <v>20.950000000000003</v>
      </c>
      <c r="BO237" s="64">
        <f t="shared" si="29"/>
        <v>3.787878787878788E-2</v>
      </c>
      <c r="BP237" s="64">
        <f t="shared" si="30"/>
        <v>3.787878787878788E-2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48</v>
      </c>
      <c r="Y241" s="554">
        <f t="shared" si="26"/>
        <v>48</v>
      </c>
      <c r="Z241" s="36">
        <f>IFERROR(IF(Y241=0,"",ROUNDUP(Y241/H241,0)*0.00902),"")</f>
        <v>0.10824</v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50.28</v>
      </c>
      <c r="BN241" s="64">
        <f t="shared" si="28"/>
        <v>50.28</v>
      </c>
      <c r="BO241" s="64">
        <f t="shared" si="29"/>
        <v>9.0909090909090912E-2</v>
      </c>
      <c r="BP241" s="64">
        <f t="shared" si="30"/>
        <v>9.0909090909090912E-2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25.620689655172413</v>
      </c>
      <c r="Y243" s="555">
        <f>IFERROR(Y234/H234,"0")+IFERROR(Y235/H235,"0")+IFERROR(Y236/H236,"0")+IFERROR(Y237/H237,"0")+IFERROR(Y238/H238,"0")+IFERROR(Y239/H239,"0")+IFERROR(Y240/H240,"0")+IFERROR(Y241/H241,"0")+IFERROR(Y242/H242,"0")</f>
        <v>27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0.34314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168</v>
      </c>
      <c r="Y244" s="555">
        <f>IFERROR(SUM(Y234:Y242),"0")</f>
        <v>184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12</v>
      </c>
      <c r="Y250" s="554">
        <f>IFERROR(IF(X250="",0,CEILING((X250/$H250),1)*$H250),"")</f>
        <v>12.6</v>
      </c>
      <c r="Z250" s="36">
        <f>IFERROR(IF(Y250=0,"",ROUNDUP(Y250/H250,0)*0.0059),"")</f>
        <v>4.1299999999999996E-2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13.166666666666668</v>
      </c>
      <c r="BN250" s="64">
        <f>IFERROR(Y250*I250/H250,"0")</f>
        <v>13.825000000000001</v>
      </c>
      <c r="BO250" s="64">
        <f>IFERROR(1/J250*(X250/H250),"0")</f>
        <v>3.0864197530864192E-2</v>
      </c>
      <c r="BP250" s="64">
        <f>IFERROR(1/J250*(Y250/H250),"0")</f>
        <v>3.2407407407407406E-2</v>
      </c>
    </row>
    <row r="251" spans="1:68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6.6666666666666661</v>
      </c>
      <c r="Y251" s="555">
        <f>IFERROR(Y250/H250,"0")</f>
        <v>7</v>
      </c>
      <c r="Z251" s="555">
        <f>IFERROR(IF(Z250="",0,Z250),"0")</f>
        <v>4.1299999999999996E-2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12</v>
      </c>
      <c r="Y252" s="555">
        <f>IFERROR(SUM(Y250:Y250),"0")</f>
        <v>12.6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12</v>
      </c>
      <c r="Y255" s="554">
        <f>IFERROR(IF(X255="",0,CEILING((X255/$H255),1)*$H255),"")</f>
        <v>12.6</v>
      </c>
      <c r="Z255" s="36">
        <f>IFERROR(IF(Y255=0,"",ROUNDUP(Y255/H255,0)*0.0059),"")</f>
        <v>4.1299999999999996E-2</v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13.166666666666668</v>
      </c>
      <c r="BN255" s="64">
        <f>IFERROR(Y255*I255/H255,"0")</f>
        <v>13.825000000000001</v>
      </c>
      <c r="BO255" s="64">
        <f>IFERROR(1/J255*(X255/H255),"0")</f>
        <v>3.0864197530864192E-2</v>
      </c>
      <c r="BP255" s="64">
        <f>IFERROR(1/J255*(Y255/H255),"0")</f>
        <v>3.2407407407407406E-2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5</v>
      </c>
      <c r="Y256" s="554">
        <f>IFERROR(IF(X256="",0,CEILING((X256/$H256),1)*$H256),"")</f>
        <v>5.4</v>
      </c>
      <c r="Z256" s="36">
        <f>IFERROR(IF(Y256=0,"",ROUNDUP(Y256/H256,0)*0.0059),"")</f>
        <v>3.5400000000000001E-2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6.0555555555555554</v>
      </c>
      <c r="BN256" s="64">
        <f>IFERROR(Y256*I256/H256,"0")</f>
        <v>6.5400000000000009</v>
      </c>
      <c r="BO256" s="64">
        <f>IFERROR(1/J256*(X256/H256),"0")</f>
        <v>2.5720164609053495E-2</v>
      </c>
      <c r="BP256" s="64">
        <f>IFERROR(1/J256*(Y256/H256),"0")</f>
        <v>2.7777777777777776E-2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12.222222222222221</v>
      </c>
      <c r="Y259" s="555">
        <f>IFERROR(Y254/H254,"0")+IFERROR(Y255/H255,"0")+IFERROR(Y256/H256,"0")+IFERROR(Y257/H257,"0")+IFERROR(Y258/H258,"0")</f>
        <v>13</v>
      </c>
      <c r="Z259" s="555">
        <f>IFERROR(IF(Z254="",0,Z254),"0")+IFERROR(IF(Z255="",0,Z255),"0")+IFERROR(IF(Z256="",0,Z256),"0")+IFERROR(IF(Z257="",0,Z257),"0")+IFERROR(IF(Z258="",0,Z258),"0")</f>
        <v>7.669999999999999E-2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17</v>
      </c>
      <c r="Y260" s="555">
        <f>IFERROR(SUM(Y254:Y258),"0")</f>
        <v>18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222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40</v>
      </c>
      <c r="Y281" s="554">
        <f>IFERROR(IF(X281="",0,CEILING((X281/$H281),1)*$H281),"")</f>
        <v>40.799999999999997</v>
      </c>
      <c r="Z281" s="36">
        <f>IFERROR(IF(Y281=0,"",ROUNDUP(Y281/H281,0)*0.00651),"")</f>
        <v>0.11067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44.20000000000001</v>
      </c>
      <c r="BN281" s="64">
        <f>IFERROR(Y281*I281/H281,"0")</f>
        <v>45.084000000000003</v>
      </c>
      <c r="BO281" s="64">
        <f>IFERROR(1/J281*(X281/H281),"0")</f>
        <v>9.1575091575091583E-2</v>
      </c>
      <c r="BP281" s="64">
        <f>IFERROR(1/J281*(Y281/H281),"0")</f>
        <v>9.3406593406593408E-2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/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120</v>
      </c>
      <c r="Y282" s="554">
        <f>IFERROR(IF(X282="",0,CEILING((X282/$H282),1)*$H282),"")</f>
        <v>120</v>
      </c>
      <c r="Z282" s="36">
        <f>IFERROR(IF(Y282=0,"",ROUNDUP(Y282/H282,0)*0.00651),"")</f>
        <v>0.32550000000000001</v>
      </c>
      <c r="AA282" s="56"/>
      <c r="AB282" s="57"/>
      <c r="AC282" s="339" t="s">
        <v>458</v>
      </c>
      <c r="AG282" s="64"/>
      <c r="AJ282" s="68"/>
      <c r="AK282" s="68">
        <v>0</v>
      </c>
      <c r="BB282" s="340" t="s">
        <v>1</v>
      </c>
      <c r="BM282" s="64">
        <f>IFERROR(X282*I282/H282,"0")</f>
        <v>129.00000000000003</v>
      </c>
      <c r="BN282" s="64">
        <f>IFERROR(Y282*I282/H282,"0")</f>
        <v>129.00000000000003</v>
      </c>
      <c r="BO282" s="64">
        <f>IFERROR(1/J282*(X282/H282),"0")</f>
        <v>0.27472527472527475</v>
      </c>
      <c r="BP282" s="64">
        <f>IFERROR(1/J282*(Y282/H282),"0")</f>
        <v>0.27472527472527475</v>
      </c>
    </row>
    <row r="283" spans="1:68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66.666666666666671</v>
      </c>
      <c r="Y283" s="555">
        <f>IFERROR(Y280/H280,"0")+IFERROR(Y281/H281,"0")+IFERROR(Y282/H282,"0")</f>
        <v>67</v>
      </c>
      <c r="Z283" s="555">
        <f>IFERROR(IF(Z280="",0,Z280),"0")+IFERROR(IF(Z281="",0,Z281),"0")+IFERROR(IF(Z282="",0,Z282),"0")</f>
        <v>0.43617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160</v>
      </c>
      <c r="Y284" s="555">
        <f>IFERROR(SUM(Y280:Y282),"0")</f>
        <v>160.80000000000001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 t="s">
        <v>296</v>
      </c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 t="s">
        <v>108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140</v>
      </c>
      <c r="Y310" s="554">
        <f t="shared" si="31"/>
        <v>140.70000000000002</v>
      </c>
      <c r="Z310" s="36">
        <f>IFERROR(IF(Y310=0,"",ROUNDUP(Y310/H310,0)*0.00502),"")</f>
        <v>0.33634000000000003</v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146.66666666666666</v>
      </c>
      <c r="BN310" s="64">
        <f t="shared" si="33"/>
        <v>147.40000000000003</v>
      </c>
      <c r="BO310" s="64">
        <f t="shared" si="34"/>
        <v>0.28490028490028491</v>
      </c>
      <c r="BP310" s="64">
        <f t="shared" si="35"/>
        <v>0.28632478632478636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 t="s">
        <v>222</v>
      </c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 t="s">
        <v>108</v>
      </c>
      <c r="AK311" s="68">
        <v>25.2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66.666666666666657</v>
      </c>
      <c r="Y312" s="555">
        <f>IFERROR(Y306/H306,"0")+IFERROR(Y307/H307,"0")+IFERROR(Y308/H308,"0")+IFERROR(Y309/H309,"0")+IFERROR(Y310/H310,"0")+IFERROR(Y311/H311,"0")</f>
        <v>67</v>
      </c>
      <c r="Z312" s="555">
        <f>IFERROR(IF(Z306="",0,Z306),"0")+IFERROR(IF(Z307="",0,Z307),"0")+IFERROR(IF(Z308="",0,Z308),"0")+IFERROR(IF(Z309="",0,Z309),"0")+IFERROR(IF(Z310="",0,Z310),"0")+IFERROR(IF(Z311="",0,Z311),"0")</f>
        <v>0.33634000000000003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140</v>
      </c>
      <c r="Y313" s="555">
        <f>IFERROR(SUM(Y306:Y311),"0")</f>
        <v>140.70000000000002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30</v>
      </c>
      <c r="Y322" s="554">
        <f>IFERROR(IF(X322="",0,CEILING((X322/$H322),1)*$H322),"")</f>
        <v>33.6</v>
      </c>
      <c r="Z322" s="36">
        <f>IFERROR(IF(Y322=0,"",ROUNDUP(Y322/H322,0)*0.01898),"")</f>
        <v>7.5920000000000001E-2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31.764285714285712</v>
      </c>
      <c r="BN322" s="64">
        <f>IFERROR(Y322*I322/H322,"0")</f>
        <v>35.576000000000001</v>
      </c>
      <c r="BO322" s="64">
        <f>IFERROR(1/J322*(X322/H322),"0")</f>
        <v>5.5803571428571425E-2</v>
      </c>
      <c r="BP322" s="64">
        <f>IFERROR(1/J322*(Y322/H322),"0")</f>
        <v>6.25E-2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300</v>
      </c>
      <c r="Y323" s="554">
        <f>IFERROR(IF(X323="",0,CEILING((X323/$H323),1)*$H323),"")</f>
        <v>304.2</v>
      </c>
      <c r="Z323" s="36">
        <f>IFERROR(IF(Y323=0,"",ROUNDUP(Y323/H323,0)*0.01898),"")</f>
        <v>0.74021999999999999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319.00000000000006</v>
      </c>
      <c r="BN323" s="64">
        <f>IFERROR(Y323*I323/H323,"0")</f>
        <v>323.46600000000001</v>
      </c>
      <c r="BO323" s="64">
        <f>IFERROR(1/J323*(X323/H323),"0")</f>
        <v>0.60096153846153844</v>
      </c>
      <c r="BP323" s="64">
        <f>IFERROR(1/J323*(Y323/H323),"0")</f>
        <v>0.609375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100</v>
      </c>
      <c r="Y324" s="554">
        <f>IFERROR(IF(X324="",0,CEILING((X324/$H324),1)*$H324),"")</f>
        <v>100.80000000000001</v>
      </c>
      <c r="Z324" s="36">
        <f>IFERROR(IF(Y324=0,"",ROUNDUP(Y324/H324,0)*0.01898),"")</f>
        <v>0.22776000000000002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105.88095238095238</v>
      </c>
      <c r="BN324" s="64">
        <f>IFERROR(Y324*I324/H324,"0")</f>
        <v>106.72800000000001</v>
      </c>
      <c r="BO324" s="64">
        <f>IFERROR(1/J324*(X324/H324),"0")</f>
        <v>0.18601190476190477</v>
      </c>
      <c r="BP324" s="64">
        <f>IFERROR(1/J324*(Y324/H324),"0")</f>
        <v>0.1875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53.937728937728934</v>
      </c>
      <c r="Y325" s="555">
        <f>IFERROR(Y322/H322,"0")+IFERROR(Y323/H323,"0")+IFERROR(Y324/H324,"0")</f>
        <v>55</v>
      </c>
      <c r="Z325" s="555">
        <f>IFERROR(IF(Z322="",0,Z322),"0")+IFERROR(IF(Z323="",0,Z323),"0")+IFERROR(IF(Z324="",0,Z324),"0")</f>
        <v>1.0439000000000001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430</v>
      </c>
      <c r="Y326" s="555">
        <f>IFERROR(SUM(Y322:Y324),"0")</f>
        <v>438.6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222</v>
      </c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17</v>
      </c>
      <c r="Y330" s="554">
        <f>IFERROR(IF(X330="",0,CEILING((X330/$H330),1)*$H330),"")</f>
        <v>17.849999999999998</v>
      </c>
      <c r="Z330" s="36">
        <f>IFERROR(IF(Y330=0,"",ROUNDUP(Y330/H330,0)*0.00651),"")</f>
        <v>4.5569999999999999E-2</v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19.700000000000003</v>
      </c>
      <c r="BN330" s="64">
        <f>IFERROR(Y330*I330/H330,"0")</f>
        <v>20.684999999999999</v>
      </c>
      <c r="BO330" s="64">
        <f>IFERROR(1/J330*(X330/H330),"0")</f>
        <v>3.6630036630036632E-2</v>
      </c>
      <c r="BP330" s="64">
        <f>IFERROR(1/J330*(Y330/H330),"0")</f>
        <v>3.8461538461538464E-2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222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102</v>
      </c>
      <c r="Y331" s="554">
        <f>IFERROR(IF(X331="",0,CEILING((X331/$H331),1)*$H331),"")</f>
        <v>102</v>
      </c>
      <c r="Z331" s="36">
        <f>IFERROR(IF(Y331=0,"",ROUNDUP(Y331/H331,0)*0.00651),"")</f>
        <v>0.26040000000000002</v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115.2</v>
      </c>
      <c r="BN331" s="64">
        <f>IFERROR(Y331*I331/H331,"0")</f>
        <v>115.2</v>
      </c>
      <c r="BO331" s="64">
        <f>IFERROR(1/J331*(X331/H331),"0")</f>
        <v>0.2197802197802198</v>
      </c>
      <c r="BP331" s="64">
        <f>IFERROR(1/J331*(Y331/H331),"0")</f>
        <v>0.2197802197802198</v>
      </c>
    </row>
    <row r="332" spans="1:68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46.666666666666664</v>
      </c>
      <c r="Y332" s="555">
        <f>IFERROR(Y328/H328,"0")+IFERROR(Y329/H329,"0")+IFERROR(Y330/H330,"0")+IFERROR(Y331/H331,"0")</f>
        <v>47</v>
      </c>
      <c r="Z332" s="555">
        <f>IFERROR(IF(Z328="",0,Z328),"0")+IFERROR(IF(Z329="",0,Z329),"0")+IFERROR(IF(Z330="",0,Z330),"0")+IFERROR(IF(Z331="",0,Z331),"0")</f>
        <v>0.30597000000000002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119</v>
      </c>
      <c r="Y333" s="555">
        <f>IFERROR(SUM(Y328:Y331),"0")</f>
        <v>119.85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222</v>
      </c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222</v>
      </c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222</v>
      </c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350</v>
      </c>
      <c r="Y343" s="554">
        <f>IFERROR(IF(X343="",0,CEILING((X343/$H343),1)*$H343),"")</f>
        <v>350.7</v>
      </c>
      <c r="Z343" s="36">
        <f>IFERROR(IF(Y343=0,"",ROUNDUP(Y343/H343,0)*0.00651),"")</f>
        <v>1.08717</v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391.99999999999994</v>
      </c>
      <c r="BN343" s="64">
        <f>IFERROR(Y343*I343/H343,"0")</f>
        <v>392.78399999999993</v>
      </c>
      <c r="BO343" s="64">
        <f>IFERROR(1/J343*(X343/H343),"0")</f>
        <v>0.91575091575091572</v>
      </c>
      <c r="BP343" s="64">
        <f>IFERROR(1/J343*(Y343/H343),"0")</f>
        <v>0.91758241758241765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222</v>
      </c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210</v>
      </c>
      <c r="Y344" s="554">
        <f>IFERROR(IF(X344="",0,CEILING((X344/$H344),1)*$H344),"")</f>
        <v>210</v>
      </c>
      <c r="Z344" s="36">
        <f>IFERROR(IF(Y344=0,"",ROUNDUP(Y344/H344,0)*0.00651),"")</f>
        <v>0.65100000000000002</v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233.99999999999997</v>
      </c>
      <c r="BN344" s="64">
        <f>IFERROR(Y344*I344/H344,"0")</f>
        <v>233.99999999999997</v>
      </c>
      <c r="BO344" s="64">
        <f>IFERROR(1/J344*(X344/H344),"0")</f>
        <v>0.5494505494505495</v>
      </c>
      <c r="BP344" s="64">
        <f>IFERROR(1/J344*(Y344/H344),"0")</f>
        <v>0.5494505494505495</v>
      </c>
    </row>
    <row r="345" spans="1:68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266.66666666666663</v>
      </c>
      <c r="Y345" s="555">
        <f>IFERROR(Y342/H342,"0")+IFERROR(Y343/H343,"0")+IFERROR(Y344/H344,"0")</f>
        <v>267</v>
      </c>
      <c r="Z345" s="555">
        <f>IFERROR(IF(Z342="",0,Z342),"0")+IFERROR(IF(Z343="",0,Z343),"0")+IFERROR(IF(Z344="",0,Z344),"0")</f>
        <v>1.73817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560</v>
      </c>
      <c r="Y346" s="555">
        <f>IFERROR(SUM(Y342:Y344),"0")</f>
        <v>560.70000000000005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1200</v>
      </c>
      <c r="Y350" s="554">
        <f t="shared" ref="Y350:Y356" si="36">IFERROR(IF(X350="",0,CEILING((X350/$H350),1)*$H350),"")</f>
        <v>1200</v>
      </c>
      <c r="Z350" s="36">
        <f>IFERROR(IF(Y350=0,"",ROUNDUP(Y350/H350,0)*0.02175),"")</f>
        <v>1.7399999999999998</v>
      </c>
      <c r="AA350" s="56"/>
      <c r="AB350" s="57"/>
      <c r="AC350" s="405" t="s">
        <v>563</v>
      </c>
      <c r="AG350" s="64"/>
      <c r="AJ350" s="68"/>
      <c r="AK350" s="68">
        <v>0</v>
      </c>
      <c r="BB350" s="406" t="s">
        <v>1</v>
      </c>
      <c r="BM350" s="64">
        <f t="shared" ref="BM350:BM356" si="37">IFERROR(X350*I350/H350,"0")</f>
        <v>1237.5999999999999</v>
      </c>
      <c r="BN350" s="64">
        <f t="shared" ref="BN350:BN356" si="38">IFERROR(Y350*I350/H350,"0")</f>
        <v>1237.5999999999999</v>
      </c>
      <c r="BO350" s="64">
        <f t="shared" ref="BO350:BO356" si="39">IFERROR(1/J350*(X350/H350),"0")</f>
        <v>1.6666666666666665</v>
      </c>
      <c r="BP350" s="64">
        <f t="shared" ref="BP350:BP356" si="40">IFERROR(1/J350*(Y350/H350),"0")</f>
        <v>1.6666666666666665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800</v>
      </c>
      <c r="Y351" s="554">
        <f t="shared" si="36"/>
        <v>810</v>
      </c>
      <c r="Z351" s="36">
        <f>IFERROR(IF(Y351=0,"",ROUNDUP(Y351/H351,0)*0.02175),"")</f>
        <v>1.1744999999999999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si="37"/>
        <v>825.06666666666672</v>
      </c>
      <c r="BN351" s="64">
        <f t="shared" si="38"/>
        <v>835.38</v>
      </c>
      <c r="BO351" s="64">
        <f t="shared" si="39"/>
        <v>1.1111111111111112</v>
      </c>
      <c r="BP351" s="64">
        <f t="shared" si="40"/>
        <v>1.125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2">
        <v>4680115884830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1100</v>
      </c>
      <c r="Y352" s="554">
        <f t="shared" si="36"/>
        <v>1110</v>
      </c>
      <c r="Z352" s="36">
        <f>IFERROR(IF(Y352=0,"",ROUNDUP(Y352/H352,0)*0.02175),"")</f>
        <v>1.6094999999999999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1134.4666666666667</v>
      </c>
      <c r="BN352" s="64">
        <f t="shared" si="38"/>
        <v>1144.78</v>
      </c>
      <c r="BO352" s="64">
        <f t="shared" si="39"/>
        <v>1.5277777777777777</v>
      </c>
      <c r="BP352" s="64">
        <f t="shared" si="40"/>
        <v>1.5416666666666665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2">
        <v>4680115887046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500</v>
      </c>
      <c r="Y353" s="554">
        <f t="shared" si="36"/>
        <v>510</v>
      </c>
      <c r="Z353" s="36">
        <f>IFERROR(IF(Y353=0,"",ROUNDUP(Y353/H353,0)*0.02175),"")</f>
        <v>0.73949999999999994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515.66666666666663</v>
      </c>
      <c r="BN353" s="64">
        <f t="shared" si="38"/>
        <v>525.98</v>
      </c>
      <c r="BO353" s="64">
        <f t="shared" si="39"/>
        <v>0.69444444444444442</v>
      </c>
      <c r="BP353" s="64">
        <f t="shared" si="40"/>
        <v>0.70833333333333326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10</v>
      </c>
      <c r="Y356" s="554">
        <f t="shared" si="36"/>
        <v>10</v>
      </c>
      <c r="Z356" s="36">
        <f>IFERROR(IF(Y356=0,"",ROUNDUP(Y356/H356,0)*0.00902),"")</f>
        <v>1.804E-2</v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10.38</v>
      </c>
      <c r="BN356" s="64">
        <f t="shared" si="38"/>
        <v>10.38</v>
      </c>
      <c r="BO356" s="64">
        <f t="shared" si="39"/>
        <v>1.5151515151515152E-2</v>
      </c>
      <c r="BP356" s="64">
        <f t="shared" si="40"/>
        <v>1.5151515151515152E-2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242.00000000000003</v>
      </c>
      <c r="Y357" s="555">
        <f>IFERROR(Y350/H350,"0")+IFERROR(Y351/H351,"0")+IFERROR(Y352/H352,"0")+IFERROR(Y353/H353,"0")+IFERROR(Y354/H354,"0")+IFERROR(Y355/H355,"0")+IFERROR(Y356/H356,"0")</f>
        <v>244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5.2815399999999988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3610</v>
      </c>
      <c r="Y358" s="555">
        <f>IFERROR(SUM(Y350:Y356),"0")</f>
        <v>3640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1800</v>
      </c>
      <c r="Y360" s="554">
        <f>IFERROR(IF(X360="",0,CEILING((X360/$H360),1)*$H360),"")</f>
        <v>1800</v>
      </c>
      <c r="Z360" s="36">
        <f>IFERROR(IF(Y360=0,"",ROUNDUP(Y360/H360,0)*0.02175),"")</f>
        <v>2.61</v>
      </c>
      <c r="AA360" s="56"/>
      <c r="AB360" s="57"/>
      <c r="AC360" s="419" t="s">
        <v>582</v>
      </c>
      <c r="AG360" s="64"/>
      <c r="AJ360" s="68"/>
      <c r="AK360" s="68">
        <v>0</v>
      </c>
      <c r="BB360" s="420" t="s">
        <v>1</v>
      </c>
      <c r="BM360" s="64">
        <f>IFERROR(X360*I360/H360,"0")</f>
        <v>1856.4</v>
      </c>
      <c r="BN360" s="64">
        <f>IFERROR(Y360*I360/H360,"0")</f>
        <v>1856.4</v>
      </c>
      <c r="BO360" s="64">
        <f>IFERROR(1/J360*(X360/H360),"0")</f>
        <v>2.5</v>
      </c>
      <c r="BP360" s="64">
        <f>IFERROR(1/J360*(Y360/H360),"0")</f>
        <v>2.5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120</v>
      </c>
      <c r="Y362" s="555">
        <f>IFERROR(Y360/H360,"0")+IFERROR(Y361/H361,"0")</f>
        <v>120</v>
      </c>
      <c r="Z362" s="555">
        <f>IFERROR(IF(Z360="",0,Z360),"0")+IFERROR(IF(Z361="",0,Z361),"0")</f>
        <v>2.61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1800</v>
      </c>
      <c r="Y363" s="555">
        <f>IFERROR(SUM(Y360:Y361),"0")</f>
        <v>1800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30</v>
      </c>
      <c r="Y366" s="554">
        <f>IFERROR(IF(X366="",0,CEILING((X366/$H366),1)*$H366),"")</f>
        <v>36</v>
      </c>
      <c r="Z366" s="36">
        <f>IFERROR(IF(Y366=0,"",ROUNDUP(Y366/H366,0)*0.01898),"")</f>
        <v>7.5920000000000001E-2</v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31.646666666666665</v>
      </c>
      <c r="BN366" s="64">
        <f>IFERROR(Y366*I366/H366,"0")</f>
        <v>37.975999999999999</v>
      </c>
      <c r="BO366" s="64">
        <f>IFERROR(1/J366*(X366/H366),"0")</f>
        <v>5.2083333333333336E-2</v>
      </c>
      <c r="BP366" s="64">
        <f>IFERROR(1/J366*(Y366/H366),"0")</f>
        <v>6.25E-2</v>
      </c>
    </row>
    <row r="367" spans="1:68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3.3333333333333335</v>
      </c>
      <c r="Y367" s="555">
        <f>IFERROR(Y365/H365,"0")+IFERROR(Y366/H366,"0")</f>
        <v>4</v>
      </c>
      <c r="Z367" s="555">
        <f>IFERROR(IF(Z365="",0,Z365),"0")+IFERROR(IF(Z366="",0,Z366),"0")</f>
        <v>7.5920000000000001E-2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30</v>
      </c>
      <c r="Y368" s="555">
        <f>IFERROR(SUM(Y365:Y366),"0")</f>
        <v>36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30</v>
      </c>
      <c r="Y370" s="554">
        <f>IFERROR(IF(X370="",0,CEILING((X370/$H370),1)*$H370),"")</f>
        <v>36</v>
      </c>
      <c r="Z370" s="36">
        <f>IFERROR(IF(Y370=0,"",ROUNDUP(Y370/H370,0)*0.01898),"")</f>
        <v>7.5920000000000001E-2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31.646666666666665</v>
      </c>
      <c r="BN370" s="64">
        <f>IFERROR(Y370*I370/H370,"0")</f>
        <v>37.975999999999999</v>
      </c>
      <c r="BO370" s="64">
        <f>IFERROR(1/J370*(X370/H370),"0")</f>
        <v>5.2083333333333336E-2</v>
      </c>
      <c r="BP370" s="64">
        <f>IFERROR(1/J370*(Y370/H370),"0")</f>
        <v>6.25E-2</v>
      </c>
    </row>
    <row r="371" spans="1:68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3.3333333333333335</v>
      </c>
      <c r="Y371" s="555">
        <f>IFERROR(Y370/H370,"0")</f>
        <v>4</v>
      </c>
      <c r="Z371" s="555">
        <f>IFERROR(IF(Z370="",0,Z370),"0")</f>
        <v>7.5920000000000001E-2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30</v>
      </c>
      <c r="Y372" s="555">
        <f>IFERROR(SUM(Y370:Y370),"0")</f>
        <v>36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50</v>
      </c>
      <c r="Y375" s="554">
        <f>IFERROR(IF(X375="",0,CEILING((X375/$H375),1)*$H375),"")</f>
        <v>60</v>
      </c>
      <c r="Z375" s="36">
        <f>IFERROR(IF(Y375=0,"",ROUNDUP(Y375/H375,0)*0.01898),"")</f>
        <v>9.4899999999999998E-2</v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51.708333333333336</v>
      </c>
      <c r="BN375" s="64">
        <f>IFERROR(Y375*I375/H375,"0")</f>
        <v>62.050000000000004</v>
      </c>
      <c r="BO375" s="64">
        <f>IFERROR(1/J375*(X375/H375),"0")</f>
        <v>6.5104166666666671E-2</v>
      </c>
      <c r="BP375" s="64">
        <f>IFERROR(1/J375*(Y375/H375),"0")</f>
        <v>7.8125E-2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4.166666666666667</v>
      </c>
      <c r="Y377" s="555">
        <f>IFERROR(Y375/H375,"0")+IFERROR(Y376/H376,"0")</f>
        <v>5</v>
      </c>
      <c r="Z377" s="555">
        <f>IFERROR(IF(Z375="",0,Z375),"0")+IFERROR(IF(Z376="",0,Z376),"0")</f>
        <v>9.4899999999999998E-2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50</v>
      </c>
      <c r="Y378" s="555">
        <f>IFERROR(SUM(Y375:Y376),"0")</f>
        <v>60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4301031303</v>
      </c>
      <c r="D380" s="562">
        <v>4607091384802</v>
      </c>
      <c r="E380" s="563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6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4301031457</v>
      </c>
      <c r="D381" s="562">
        <v>4607091384802</v>
      </c>
      <c r="E381" s="563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hidden="1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hidden="1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 t="s">
        <v>296</v>
      </c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24.5</v>
      </c>
      <c r="Y397" s="554">
        <f t="shared" si="41"/>
        <v>25.200000000000003</v>
      </c>
      <c r="Z397" s="36">
        <f t="shared" si="46"/>
        <v>6.0240000000000002E-2</v>
      </c>
      <c r="AA397" s="56"/>
      <c r="AB397" s="57"/>
      <c r="AC397" s="451" t="s">
        <v>617</v>
      </c>
      <c r="AG397" s="64"/>
      <c r="AJ397" s="68" t="s">
        <v>108</v>
      </c>
      <c r="AK397" s="68">
        <v>37.799999999999997</v>
      </c>
      <c r="BB397" s="452" t="s">
        <v>1</v>
      </c>
      <c r="BM397" s="64">
        <f t="shared" si="42"/>
        <v>26.016666666666666</v>
      </c>
      <c r="BN397" s="64">
        <f t="shared" si="43"/>
        <v>26.76</v>
      </c>
      <c r="BO397" s="64">
        <f t="shared" si="44"/>
        <v>4.9857549857549859E-2</v>
      </c>
      <c r="BP397" s="64">
        <f t="shared" si="45"/>
        <v>5.1282051282051287E-2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 t="s">
        <v>296</v>
      </c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14</v>
      </c>
      <c r="Y398" s="554">
        <f t="shared" si="41"/>
        <v>14.700000000000001</v>
      </c>
      <c r="Z398" s="36">
        <f t="shared" si="46"/>
        <v>3.5140000000000005E-2</v>
      </c>
      <c r="AA398" s="56"/>
      <c r="AB398" s="57"/>
      <c r="AC398" s="453" t="s">
        <v>630</v>
      </c>
      <c r="AG398" s="64"/>
      <c r="AJ398" s="68" t="s">
        <v>108</v>
      </c>
      <c r="AK398" s="68">
        <v>37.799999999999997</v>
      </c>
      <c r="BB398" s="454" t="s">
        <v>1</v>
      </c>
      <c r="BM398" s="64">
        <f t="shared" si="42"/>
        <v>14.866666666666665</v>
      </c>
      <c r="BN398" s="64">
        <f t="shared" si="43"/>
        <v>15.61</v>
      </c>
      <c r="BO398" s="64">
        <f t="shared" si="44"/>
        <v>2.8490028490028491E-2</v>
      </c>
      <c r="BP398" s="64">
        <f t="shared" si="45"/>
        <v>2.9914529914529919E-2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52.5</v>
      </c>
      <c r="Y400" s="554">
        <f t="shared" si="41"/>
        <v>52.5</v>
      </c>
      <c r="Z400" s="36">
        <f t="shared" si="46"/>
        <v>0.1255</v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55.75</v>
      </c>
      <c r="BN400" s="64">
        <f t="shared" si="43"/>
        <v>55.75</v>
      </c>
      <c r="BO400" s="64">
        <f t="shared" si="44"/>
        <v>0.10683760683760685</v>
      </c>
      <c r="BP400" s="64">
        <f t="shared" si="45"/>
        <v>0.10683760683760685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43.333333333333329</v>
      </c>
      <c r="Y402" s="555">
        <f>IFERROR(Y393/H393,"0")+IFERROR(Y394/H394,"0")+IFERROR(Y395/H395,"0")+IFERROR(Y396/H396,"0")+IFERROR(Y397/H397,"0")+IFERROR(Y398/H398,"0")+IFERROR(Y399/H399,"0")+IFERROR(Y400/H400,"0")+IFERROR(Y401/H401,"0")</f>
        <v>44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0.22088000000000002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91</v>
      </c>
      <c r="Y403" s="555">
        <f>IFERROR(SUM(Y393:Y401),"0")</f>
        <v>92.4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14</v>
      </c>
      <c r="Y418" s="554">
        <f>IFERROR(IF(X418="",0,CEILING((X418/$H418),1)*$H418),"")</f>
        <v>14.700000000000001</v>
      </c>
      <c r="Z418" s="36">
        <f>IFERROR(IF(Y418=0,"",ROUNDUP(Y418/H418,0)*0.00502),"")</f>
        <v>3.5140000000000005E-2</v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14.866666666666665</v>
      </c>
      <c r="BN418" s="64">
        <f>IFERROR(Y418*I418/H418,"0")</f>
        <v>15.61</v>
      </c>
      <c r="BO418" s="64">
        <f>IFERROR(1/J418*(X418/H418),"0")</f>
        <v>2.8490028490028491E-2</v>
      </c>
      <c r="BP418" s="64">
        <f>IFERROR(1/J418*(Y418/H418),"0")</f>
        <v>2.9914529914529919E-2</v>
      </c>
    </row>
    <row r="419" spans="1:68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6.6666666666666661</v>
      </c>
      <c r="Y419" s="555">
        <f>IFERROR(Y415/H415,"0")+IFERROR(Y416/H416,"0")+IFERROR(Y417/H417,"0")+IFERROR(Y418/H418,"0")</f>
        <v>7</v>
      </c>
      <c r="Z419" s="555">
        <f>IFERROR(IF(Z415="",0,Z415),"0")+IFERROR(IF(Z416="",0,Z416),"0")+IFERROR(IF(Z417="",0,Z417),"0")+IFERROR(IF(Z418="",0,Z418),"0")</f>
        <v>3.5140000000000005E-2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14</v>
      </c>
      <c r="Y420" s="555">
        <f>IFERROR(SUM(Y415:Y418),"0")</f>
        <v>14.700000000000001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 t="s">
        <v>222</v>
      </c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20</v>
      </c>
      <c r="Y423" s="554">
        <f>IFERROR(IF(X423="",0,CEILING((X423/$H423),1)*$H423),"")</f>
        <v>20.399999999999999</v>
      </c>
      <c r="Z423" s="36">
        <f>IFERROR(IF(Y423=0,"",ROUNDUP(Y423/H423,0)*0.00651),"")</f>
        <v>0.11067</v>
      </c>
      <c r="AA423" s="56"/>
      <c r="AB423" s="57"/>
      <c r="AC423" s="475" t="s">
        <v>663</v>
      </c>
      <c r="AG423" s="64"/>
      <c r="AJ423" s="68" t="s">
        <v>108</v>
      </c>
      <c r="AK423" s="68">
        <v>16.8</v>
      </c>
      <c r="BB423" s="476" t="s">
        <v>1</v>
      </c>
      <c r="BM423" s="64">
        <f>IFERROR(X423*I423/H423,"0")</f>
        <v>35</v>
      </c>
      <c r="BN423" s="64">
        <f>IFERROR(Y423*I423/H423,"0")</f>
        <v>35.699999999999996</v>
      </c>
      <c r="BO423" s="64">
        <f>IFERROR(1/J423*(X423/H423),"0")</f>
        <v>9.1575091575091583E-2</v>
      </c>
      <c r="BP423" s="64">
        <f>IFERROR(1/J423*(Y423/H423),"0")</f>
        <v>9.3406593406593408E-2</v>
      </c>
    </row>
    <row r="424" spans="1:68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16.666666666666668</v>
      </c>
      <c r="Y424" s="555">
        <f>IFERROR(Y423/H423,"0")</f>
        <v>17</v>
      </c>
      <c r="Z424" s="555">
        <f>IFERROR(IF(Z423="",0,Z423),"0")</f>
        <v>0.11067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20</v>
      </c>
      <c r="Y425" s="555">
        <f>IFERROR(SUM(Y423:Y423),"0")</f>
        <v>20.399999999999999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100</v>
      </c>
      <c r="Y429" s="554">
        <f t="shared" ref="Y429:Y440" si="47">IFERROR(IF(X429="",0,CEILING((X429/$H429),1)*$H429),"")</f>
        <v>100.32000000000001</v>
      </c>
      <c r="Z429" s="36">
        <f t="shared" ref="Z429:Z435" si="48">IFERROR(IF(Y429=0,"",ROUNDUP(Y429/H429,0)*0.01196),"")</f>
        <v>0.22724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106.62878787878788</v>
      </c>
      <c r="BN429" s="64">
        <f t="shared" ref="BN429:BN440" si="50">IFERROR(Y429*I429/H429,"0")</f>
        <v>106.97</v>
      </c>
      <c r="BO429" s="64">
        <f t="shared" ref="BO429:BO440" si="51">IFERROR(1/J429*(X429/H429),"0")</f>
        <v>0.18210955710955709</v>
      </c>
      <c r="BP429" s="64">
        <f t="shared" ref="BP429:BP440" si="52">IFERROR(1/J429*(Y429/H429),"0")</f>
        <v>0.18269230769230771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200</v>
      </c>
      <c r="Y433" s="554">
        <f t="shared" si="47"/>
        <v>200.64000000000001</v>
      </c>
      <c r="Z433" s="36">
        <f t="shared" si="48"/>
        <v>0.45448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213.25757575757575</v>
      </c>
      <c r="BN433" s="64">
        <f t="shared" si="50"/>
        <v>213.94</v>
      </c>
      <c r="BO433" s="64">
        <f t="shared" si="51"/>
        <v>0.36421911421911418</v>
      </c>
      <c r="BP433" s="64">
        <f t="shared" si="52"/>
        <v>0.36538461538461542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250</v>
      </c>
      <c r="Y435" s="554">
        <f t="shared" si="47"/>
        <v>253.44</v>
      </c>
      <c r="Z435" s="36">
        <f t="shared" si="48"/>
        <v>0.57408000000000003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266.57196969696969</v>
      </c>
      <c r="BN435" s="64">
        <f t="shared" si="50"/>
        <v>270.23999999999995</v>
      </c>
      <c r="BO435" s="64">
        <f t="shared" si="51"/>
        <v>0.45527389277389274</v>
      </c>
      <c r="BP435" s="64">
        <f t="shared" si="52"/>
        <v>0.46153846153846156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150</v>
      </c>
      <c r="Y437" s="554">
        <f t="shared" si="47"/>
        <v>153.6</v>
      </c>
      <c r="Z437" s="36">
        <f>IFERROR(IF(Y437=0,"",ROUNDUP(Y437/H437,0)*0.00902),"")</f>
        <v>0.28864000000000001</v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215.9375</v>
      </c>
      <c r="BN437" s="64">
        <f t="shared" si="50"/>
        <v>221.12</v>
      </c>
      <c r="BO437" s="64">
        <f t="shared" si="51"/>
        <v>0.23674242424242425</v>
      </c>
      <c r="BP437" s="64">
        <f t="shared" si="52"/>
        <v>0.24242424242424243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150</v>
      </c>
      <c r="Y440" s="554">
        <f t="shared" si="47"/>
        <v>153.6</v>
      </c>
      <c r="Z440" s="36">
        <f>IFERROR(IF(Y440=0,"",ROUNDUP(Y440/H440,0)*0.00902),"")</f>
        <v>0.28864000000000001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215.9375</v>
      </c>
      <c r="BN440" s="64">
        <f t="shared" si="50"/>
        <v>221.12</v>
      </c>
      <c r="BO440" s="64">
        <f t="shared" si="51"/>
        <v>0.23674242424242425</v>
      </c>
      <c r="BP440" s="64">
        <f t="shared" si="52"/>
        <v>0.24242424242424243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166.66666666666666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169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1.83308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850</v>
      </c>
      <c r="Y442" s="555">
        <f>IFERROR(SUM(Y429:Y440),"0")</f>
        <v>861.60000000000014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100</v>
      </c>
      <c r="Y444" s="554">
        <f>IFERROR(IF(X444="",0,CEILING((X444/$H444),1)*$H444),"")</f>
        <v>100.32000000000001</v>
      </c>
      <c r="Z444" s="36">
        <f>IFERROR(IF(Y444=0,"",ROUNDUP(Y444/H444,0)*0.01196),"")</f>
        <v>0.22724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106.62878787878788</v>
      </c>
      <c r="BN444" s="64">
        <f>IFERROR(Y444*I444/H444,"0")</f>
        <v>106.97</v>
      </c>
      <c r="BO444" s="64">
        <f>IFERROR(1/J444*(X444/H444),"0")</f>
        <v>0.18210955710955709</v>
      </c>
      <c r="BP444" s="64">
        <f>IFERROR(1/J444*(Y444/H444),"0")</f>
        <v>0.18269230769230771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/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18.939393939393938</v>
      </c>
      <c r="Y447" s="555">
        <f>IFERROR(Y444/H444,"0")+IFERROR(Y445/H445,"0")+IFERROR(Y446/H446,"0")</f>
        <v>19</v>
      </c>
      <c r="Z447" s="555">
        <f>IFERROR(IF(Z444="",0,Z444),"0")+IFERROR(IF(Z445="",0,Z445),"0")+IFERROR(IF(Z446="",0,Z446),"0")</f>
        <v>0.22724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100</v>
      </c>
      <c r="Y448" s="555">
        <f>IFERROR(SUM(Y444:Y446),"0")</f>
        <v>100.32000000000001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50</v>
      </c>
      <c r="Y450" s="554">
        <f t="shared" ref="Y450:Y455" si="53">IFERROR(IF(X450="",0,CEILING((X450/$H450),1)*$H450),"")</f>
        <v>52.800000000000004</v>
      </c>
      <c r="Z450" s="36">
        <f>IFERROR(IF(Y450=0,"",ROUNDUP(Y450/H450,0)*0.01196),"")</f>
        <v>0.1196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53.314393939393938</v>
      </c>
      <c r="BN450" s="64">
        <f t="shared" ref="BN450:BN455" si="55">IFERROR(Y450*I450/H450,"0")</f>
        <v>56.3</v>
      </c>
      <c r="BO450" s="64">
        <f t="shared" ref="BO450:BO455" si="56">IFERROR(1/J450*(X450/H450),"0")</f>
        <v>9.1054778554778545E-2</v>
      </c>
      <c r="BP450" s="64">
        <f t="shared" ref="BP450:BP455" si="57">IFERROR(1/J450*(Y450/H450),"0")</f>
        <v>9.6153846153846159E-2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70</v>
      </c>
      <c r="Y451" s="554">
        <f t="shared" si="53"/>
        <v>73.92</v>
      </c>
      <c r="Z451" s="36">
        <f>IFERROR(IF(Y451=0,"",ROUNDUP(Y451/H451,0)*0.01196),"")</f>
        <v>0.16744000000000001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74.640151515151501</v>
      </c>
      <c r="BN451" s="64">
        <f t="shared" si="55"/>
        <v>78.819999999999993</v>
      </c>
      <c r="BO451" s="64">
        <f t="shared" si="56"/>
        <v>0.12747668997668998</v>
      </c>
      <c r="BP451" s="64">
        <f t="shared" si="57"/>
        <v>0.13461538461538464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50</v>
      </c>
      <c r="Y452" s="554">
        <f t="shared" si="53"/>
        <v>52.800000000000004</v>
      </c>
      <c r="Z452" s="36">
        <f>IFERROR(IF(Y452=0,"",ROUNDUP(Y452/H452,0)*0.01196),"")</f>
        <v>0.1196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53.314393939393938</v>
      </c>
      <c r="BN452" s="64">
        <f t="shared" si="55"/>
        <v>56.3</v>
      </c>
      <c r="BO452" s="64">
        <f t="shared" si="56"/>
        <v>9.1054778554778545E-2</v>
      </c>
      <c r="BP452" s="64">
        <f t="shared" si="57"/>
        <v>9.6153846153846159E-2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 t="s">
        <v>114</v>
      </c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60</v>
      </c>
      <c r="Y453" s="554">
        <f t="shared" si="53"/>
        <v>62.4</v>
      </c>
      <c r="Z453" s="36">
        <f>IFERROR(IF(Y453=0,"",ROUNDUP(Y453/H453,0)*0.00902),"")</f>
        <v>0.11726</v>
      </c>
      <c r="AA453" s="56"/>
      <c r="AB453" s="57"/>
      <c r="AC453" s="513" t="s">
        <v>703</v>
      </c>
      <c r="AG453" s="64"/>
      <c r="AJ453" s="68" t="s">
        <v>108</v>
      </c>
      <c r="AK453" s="68">
        <v>57.6</v>
      </c>
      <c r="BB453" s="514" t="s">
        <v>1</v>
      </c>
      <c r="BM453" s="64">
        <f t="shared" si="54"/>
        <v>86.375000000000014</v>
      </c>
      <c r="BN453" s="64">
        <f t="shared" si="55"/>
        <v>89.830000000000013</v>
      </c>
      <c r="BO453" s="64">
        <f t="shared" si="56"/>
        <v>9.4696969696969696E-2</v>
      </c>
      <c r="BP453" s="64">
        <f t="shared" si="57"/>
        <v>9.8484848484848481E-2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 t="s">
        <v>114</v>
      </c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18</v>
      </c>
      <c r="Y454" s="554">
        <f t="shared" si="53"/>
        <v>19.2</v>
      </c>
      <c r="Z454" s="36">
        <f>IFERROR(IF(Y454=0,"",ROUNDUP(Y454/H454,0)*0.00902),"")</f>
        <v>3.6080000000000001E-2</v>
      </c>
      <c r="AA454" s="56"/>
      <c r="AB454" s="57"/>
      <c r="AC454" s="515" t="s">
        <v>706</v>
      </c>
      <c r="AG454" s="64"/>
      <c r="AJ454" s="68" t="s">
        <v>108</v>
      </c>
      <c r="AK454" s="68">
        <v>57.6</v>
      </c>
      <c r="BB454" s="516" t="s">
        <v>1</v>
      </c>
      <c r="BM454" s="64">
        <f t="shared" si="54"/>
        <v>25.012500000000003</v>
      </c>
      <c r="BN454" s="64">
        <f t="shared" si="55"/>
        <v>26.68</v>
      </c>
      <c r="BO454" s="64">
        <f t="shared" si="56"/>
        <v>2.8409090909090912E-2</v>
      </c>
      <c r="BP454" s="64">
        <f t="shared" si="57"/>
        <v>3.0303030303030304E-2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 t="s">
        <v>114</v>
      </c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60</v>
      </c>
      <c r="Y455" s="554">
        <f t="shared" si="53"/>
        <v>62.4</v>
      </c>
      <c r="Z455" s="36">
        <f>IFERROR(IF(Y455=0,"",ROUNDUP(Y455/H455,0)*0.00902),"")</f>
        <v>0.11726</v>
      </c>
      <c r="AA455" s="56"/>
      <c r="AB455" s="57"/>
      <c r="AC455" s="517" t="s">
        <v>709</v>
      </c>
      <c r="AG455" s="64"/>
      <c r="AJ455" s="68" t="s">
        <v>108</v>
      </c>
      <c r="AK455" s="68">
        <v>57.6</v>
      </c>
      <c r="BB455" s="518" t="s">
        <v>1</v>
      </c>
      <c r="BM455" s="64">
        <f t="shared" si="54"/>
        <v>83.375</v>
      </c>
      <c r="BN455" s="64">
        <f t="shared" si="55"/>
        <v>86.71</v>
      </c>
      <c r="BO455" s="64">
        <f t="shared" si="56"/>
        <v>9.4696969696969696E-2</v>
      </c>
      <c r="BP455" s="64">
        <f t="shared" si="57"/>
        <v>9.8484848484848481E-2</v>
      </c>
    </row>
    <row r="456" spans="1:68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60.946969696969695</v>
      </c>
      <c r="Y456" s="555">
        <f>IFERROR(Y450/H450,"0")+IFERROR(Y451/H451,"0")+IFERROR(Y452/H452,"0")+IFERROR(Y453/H453,"0")+IFERROR(Y454/H454,"0")+IFERROR(Y455/H455,"0")</f>
        <v>64</v>
      </c>
      <c r="Z456" s="555">
        <f>IFERROR(IF(Z450="",0,Z450),"0")+IFERROR(IF(Z451="",0,Z451),"0")+IFERROR(IF(Z452="",0,Z452),"0")+IFERROR(IF(Z453="",0,Z453),"0")+IFERROR(IF(Z454="",0,Z454),"0")+IFERROR(IF(Z455="",0,Z455),"0")</f>
        <v>0.67724000000000006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308</v>
      </c>
      <c r="Y457" s="555">
        <f>IFERROR(SUM(Y450:Y455),"0")</f>
        <v>323.52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30</v>
      </c>
      <c r="Y467" s="554">
        <f>IFERROR(IF(X467="",0,CEILING((X467/$H467),1)*$H467),"")</f>
        <v>36</v>
      </c>
      <c r="Z467" s="36">
        <f>IFERROR(IF(Y467=0,"",ROUNDUP(Y467/H467,0)*0.01898),"")</f>
        <v>5.6940000000000004E-2</v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31.025000000000002</v>
      </c>
      <c r="BN467" s="64">
        <f>IFERROR(Y467*I467/H467,"0")</f>
        <v>37.229999999999997</v>
      </c>
      <c r="BO467" s="64">
        <f>IFERROR(1/J467*(X467/H467),"0")</f>
        <v>3.90625E-2</v>
      </c>
      <c r="BP467" s="64">
        <f>IFERROR(1/J467*(Y467/H467),"0")</f>
        <v>4.6875E-2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2.5</v>
      </c>
      <c r="Y469" s="555">
        <f>IFERROR(Y465/H465,"0")+IFERROR(Y466/H466,"0")+IFERROR(Y467/H467,"0")+IFERROR(Y468/H468,"0")</f>
        <v>3</v>
      </c>
      <c r="Z469" s="555">
        <f>IFERROR(IF(Z465="",0,Z465),"0")+IFERROR(IF(Z466="",0,Z466),"0")+IFERROR(IF(Z467="",0,Z467),"0")+IFERROR(IF(Z468="",0,Z468),"0")</f>
        <v>5.6940000000000004E-2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30</v>
      </c>
      <c r="Y470" s="555">
        <f>IFERROR(SUM(Y465:Y468),"0")</f>
        <v>36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900</v>
      </c>
      <c r="Y482" s="554">
        <f>IFERROR(IF(X482="",0,CEILING((X482/$H482),1)*$H482),"")</f>
        <v>900</v>
      </c>
      <c r="Z482" s="36">
        <f>IFERROR(IF(Y482=0,"",ROUNDUP(Y482/H482,0)*0.01898),"")</f>
        <v>1.8980000000000001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949.40000000000009</v>
      </c>
      <c r="BN482" s="64">
        <f>IFERROR(Y482*I482/H482,"0")</f>
        <v>949.40000000000009</v>
      </c>
      <c r="BO482" s="64">
        <f>IFERROR(1/J482*(X482/H482),"0")</f>
        <v>1.5625</v>
      </c>
      <c r="BP482" s="64">
        <f>IFERROR(1/J482*(Y482/H482),"0")</f>
        <v>1.5625</v>
      </c>
    </row>
    <row r="483" spans="1:68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100</v>
      </c>
      <c r="Y483" s="555">
        <f>IFERROR(Y482/H482,"0")</f>
        <v>100</v>
      </c>
      <c r="Z483" s="555">
        <f>IFERROR(IF(Z482="",0,Z482),"0")</f>
        <v>1.8980000000000001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900</v>
      </c>
      <c r="Y484" s="555">
        <f>IFERROR(SUM(Y482:Y482),"0")</f>
        <v>900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17576.5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17758.97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18669.096260983591</v>
      </c>
      <c r="Y496" s="555">
        <f>IFERROR(SUM(BN22:BN492),"0")</f>
        <v>18866.191000000003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31</v>
      </c>
      <c r="Y497" s="38">
        <f>ROUNDUP(SUM(BP22:BP492),0)</f>
        <v>31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19444.096260983591</v>
      </c>
      <c r="Y498" s="555">
        <f>GrossWeightTotalR+PalletQtyTotalR*25</f>
        <v>19641.191000000003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3436.4979729721099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3469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35.281249999999993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191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750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1577.1000000000001</v>
      </c>
      <c r="E505" s="46">
        <f>IFERROR(Y85*1,"0")+IFERROR(Y86*1,"0")+IFERROR(Y87*1,"0")+IFERROR(Y88*1,"0")+IFERROR(Y92*1,"0")+IFERROR(Y93*1,"0")+IFERROR(Y94*1,"0")+IFERROR(Y95*1,"0")</f>
        <v>1765.8000000000002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1445.96</v>
      </c>
      <c r="G505" s="46">
        <f>IFERROR(Y127*1,"0")+IFERROR(Y128*1,"0")+IFERROR(Y132*1,"0")+IFERROR(Y133*1,"0")+IFERROR(Y137*1,"0")+IFERROR(Y138*1,"0")</f>
        <v>80.400000000000006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673.72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1909.8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214.6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160.80000000000001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699.15</v>
      </c>
      <c r="R505" s="46">
        <f>IFERROR(Y342*1,"0")+IFERROR(Y343*1,"0")+IFERROR(Y344*1,"0")</f>
        <v>560.70000000000005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5512</v>
      </c>
      <c r="T505" s="46">
        <f>IFERROR(Y375*1,"0")+IFERROR(Y376*1,"0")+IFERROR(Y380*1,"0")+IFERROR(Y381*1,"0")+IFERROR(Y385*1,"0")+IFERROR(Y386*1,"0")+IFERROR(Y387*1,"0")</f>
        <v>60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92.4</v>
      </c>
      <c r="V505" s="46">
        <f>IFERROR(Y411*1,"0")+IFERROR(Y415*1,"0")+IFERROR(Y416*1,"0")+IFERROR(Y417*1,"0")+IFERROR(Y418*1,"0")</f>
        <v>14.700000000000001</v>
      </c>
      <c r="W505" s="46">
        <f>IFERROR(Y423*1,"0")</f>
        <v>20.399999999999999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1285.4400000000003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936</v>
      </c>
      <c r="Z505" s="46">
        <f>IFERROR(Y492*1,"0")</f>
        <v>0</v>
      </c>
      <c r="AB505" s="52"/>
      <c r="AC505" s="52"/>
      <c r="AF505" s="551"/>
    </row>
  </sheetData>
  <sheetProtection algorithmName="SHA-512" hashValue="c/0TsLQVh7VzzIo2XX2itd+QLsVX9adUtPYhhJ6MWa2X5R+VHNrHYIZ5JNHihSa9he2HETXic5rhI5rtoGex5Q==" saltValue="XNd8Rht+iIz+PYgxZ6xcjA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125,00"/>
        <filter val="1 200,00"/>
        <filter val="1 280,00"/>
        <filter val="1 800,00"/>
        <filter val="10,00"/>
        <filter val="100,00"/>
        <filter val="102,00"/>
        <filter val="105,00"/>
        <filter val="119,00"/>
        <filter val="12,00"/>
        <filter val="12,22"/>
        <filter val="120,00"/>
        <filter val="130,00"/>
        <filter val="130,56"/>
        <filter val="14,00"/>
        <filter val="140,00"/>
        <filter val="145,00"/>
        <filter val="150,00"/>
        <filter val="16,67"/>
        <filter val="160,00"/>
        <filter val="166,67"/>
        <filter val="168,00"/>
        <filter val="17 576,50"/>
        <filter val="17,00"/>
        <filter val="17,50"/>
        <filter val="175,00"/>
        <filter val="177,78"/>
        <filter val="18 669,10"/>
        <filter val="18,00"/>
        <filter val="18,75"/>
        <filter val="18,94"/>
        <filter val="180,00"/>
        <filter val="19 444,10"/>
        <filter val="191,67"/>
        <filter val="196,05"/>
        <filter val="2,50"/>
        <filter val="20,00"/>
        <filter val="200,00"/>
        <filter val="210,00"/>
        <filter val="239,08"/>
        <filter val="24,00"/>
        <filter val="24,50"/>
        <filter val="240,00"/>
        <filter val="241,36"/>
        <filter val="242,00"/>
        <filter val="249,76"/>
        <filter val="25,62"/>
        <filter val="250,00"/>
        <filter val="266,67"/>
        <filter val="270,00"/>
        <filter val="3 436,50"/>
        <filter val="3 610,00"/>
        <filter val="3,33"/>
        <filter val="30,00"/>
        <filter val="300,00"/>
        <filter val="308,00"/>
        <filter val="31"/>
        <filter val="33,00"/>
        <filter val="33,33"/>
        <filter val="348,15"/>
        <filter val="350,00"/>
        <filter val="360,00"/>
        <filter val="380,00"/>
        <filter val="4,17"/>
        <filter val="40,00"/>
        <filter val="400,00"/>
        <filter val="42,00"/>
        <filter val="43,33"/>
        <filter val="430,00"/>
        <filter val="450,00"/>
        <filter val="46,67"/>
        <filter val="48,00"/>
        <filter val="480,00"/>
        <filter val="5,00"/>
        <filter val="5,50"/>
        <filter val="5,56"/>
        <filter val="50,00"/>
        <filter val="500,00"/>
        <filter val="52,50"/>
        <filter val="53,94"/>
        <filter val="540,00"/>
        <filter val="560,00"/>
        <filter val="585,00"/>
        <filter val="6,25"/>
        <filter val="6,67"/>
        <filter val="60,00"/>
        <filter val="60,95"/>
        <filter val="605,50"/>
        <filter val="610,00"/>
        <filter val="613,50"/>
        <filter val="66,67"/>
        <filter val="675,00"/>
        <filter val="7,00"/>
        <filter val="7,69"/>
        <filter val="70,00"/>
        <filter val="700,00"/>
        <filter val="750,00"/>
        <filter val="784,00"/>
        <filter val="785,00"/>
        <filter val="8,00"/>
        <filter val="80,00"/>
        <filter val="800,00"/>
        <filter val="85,19"/>
        <filter val="850,00"/>
        <filter val="87,50"/>
        <filter val="90,00"/>
        <filter val="900,00"/>
        <filter val="91,00"/>
        <filter val="975,0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61 X79 X85 X92 X100 X103 X108 X115 X117:X118 X122 X127 X133 X138 X169:X171 X173 X175 X178 X205:X212 X218:X219 X221 X223:X224 X228:X229 X234 X236:X237 X241 X281 X309:X311 X322:X324 X330:X331 X335 X337 X343:X344 X366 X375 X385 X397:X398 X400 X423 X429 X433 X435 X444 X450:X455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3hqzd7AWqQiJZ43wYb0L0saHNLGrkUm7wtyu0QYhhY1Pu7hJKu66Yy5U9WdwuVxxpFsdG3GprrOfk0tGCwD4eQ==" saltValue="9N+nTphQtYx7pN1+3iJt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2025-12-30T11:25:37Z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