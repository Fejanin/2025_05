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79127C7-06AA-4911-941B-68608FDF6C6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501" i="1"/>
  <c r="X493" i="1"/>
  <c r="X494" i="1" s="1"/>
  <c r="Z27" i="1"/>
  <c r="BN27" i="1"/>
  <c r="BP27" i="1"/>
  <c r="Z31" i="1"/>
  <c r="BN31" i="1"/>
  <c r="Z43" i="1"/>
  <c r="BN43" i="1"/>
  <c r="D501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43" i="1" l="1"/>
  <c r="Z398" i="1"/>
  <c r="Z373" i="1"/>
  <c r="Z315" i="1"/>
  <c r="Z264" i="1"/>
  <c r="Z183" i="1"/>
  <c r="Z44" i="1"/>
  <c r="Z193" i="1"/>
  <c r="Z437" i="1"/>
  <c r="Z452" i="1"/>
  <c r="Z239" i="1"/>
  <c r="Z32" i="1"/>
  <c r="Z106" i="1"/>
  <c r="Z279" i="1"/>
  <c r="Z255" i="1"/>
  <c r="Z209" i="1"/>
  <c r="Z58" i="1"/>
  <c r="Z221" i="1"/>
  <c r="Z465" i="1"/>
  <c r="Y492" i="1"/>
  <c r="Z97" i="1"/>
  <c r="Z90" i="1"/>
  <c r="Z77" i="1"/>
  <c r="Z64" i="1"/>
  <c r="Z415" i="1"/>
  <c r="Y491" i="1"/>
  <c r="Y493" i="1"/>
  <c r="Z328" i="1"/>
  <c r="Z177" i="1"/>
  <c r="Y495" i="1"/>
  <c r="Z496" i="1" l="1"/>
  <c r="Y494" i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<sst xmlns="http://schemas.openxmlformats.org/spreadsheetml/2006/main" count="2294" uniqueCount="776">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</sst>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46005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200</v>
      </c>
      <c r="Y42" s="546">
        <f>IFERROR(IF(X42="",0,CEILING((X42/$H42),1)*$H42),"")</f>
        <v>200</v>
      </c>
      <c r="Z42" s="36">
        <f>IFERROR(IF(Y42=0,"",ROUNDUP(Y42/H42,0)*0.00902),"")</f>
        <v>0.45100000000000001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209.50000000000003</v>
      </c>
      <c r="BN42" s="64">
        <f>IFERROR(Y42*I42/H42,"0")</f>
        <v>209.50000000000003</v>
      </c>
      <c r="BO42" s="64">
        <f>IFERROR(1/J42*(X42/H42),"0")</f>
        <v>0.37878787878787878</v>
      </c>
      <c r="BP42" s="64">
        <f>IFERROR(1/J42*(Y42/H42),"0")</f>
        <v>0.37878787878787878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59.25925925925926</v>
      </c>
      <c r="Y44" s="547">
        <f>IFERROR(Y41/H41,"0")+IFERROR(Y42/H42,"0")+IFERROR(Y43/H43,"0")</f>
        <v>60</v>
      </c>
      <c r="Z44" s="547">
        <f>IFERROR(IF(Z41="",0,Z41),"0")+IFERROR(IF(Z42="",0,Z42),"0")+IFERROR(IF(Z43="",0,Z43),"0")</f>
        <v>0.64080000000000004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300</v>
      </c>
      <c r="Y45" s="547">
        <f>IFERROR(SUM(Y41:Y43),"0")</f>
        <v>308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150</v>
      </c>
      <c r="Y53" s="546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270</v>
      </c>
      <c r="Y57" s="546">
        <f t="shared" si="0"/>
        <v>270</v>
      </c>
      <c r="Z57" s="36">
        <f>IFERROR(IF(Y57=0,"",ROUNDUP(Y57/H57,0)*0.00902),"")</f>
        <v>0.54120000000000001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281.40000000000003</v>
      </c>
      <c r="BN57" s="64">
        <f t="shared" si="2"/>
        <v>281.40000000000003</v>
      </c>
      <c r="BO57" s="64">
        <f t="shared" si="3"/>
        <v>0.45454545454545459</v>
      </c>
      <c r="BP57" s="64">
        <f t="shared" si="4"/>
        <v>0.45454545454545459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73.888888888888886</v>
      </c>
      <c r="Y58" s="547">
        <f>IFERROR(Y52/H52,"0")+IFERROR(Y53/H53,"0")+IFERROR(Y54/H54,"0")+IFERROR(Y55/H55,"0")+IFERROR(Y56/H56,"0")+IFERROR(Y57/H57,"0")</f>
        <v>74</v>
      </c>
      <c r="Z58" s="547">
        <f>IFERROR(IF(Z52="",0,Z52),"0")+IFERROR(IF(Z53="",0,Z53),"0")+IFERROR(IF(Z54="",0,Z54),"0")+IFERROR(IF(Z55="",0,Z55),"0")+IFERROR(IF(Z56="",0,Z56),"0")+IFERROR(IF(Z57="",0,Z57),"0")</f>
        <v>0.80692000000000008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420</v>
      </c>
      <c r="Y59" s="547">
        <f>IFERROR(SUM(Y52:Y57),"0")</f>
        <v>421.20000000000005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90</v>
      </c>
      <c r="Y63" s="546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61.1111111111111</v>
      </c>
      <c r="Y64" s="547">
        <f>IFERROR(Y61/H61,"0")+IFERROR(Y62/H62,"0")+IFERROR(Y63/H63,"0")</f>
        <v>62</v>
      </c>
      <c r="Z64" s="547">
        <f>IFERROR(IF(Z61="",0,Z61),"0")+IFERROR(IF(Z62="",0,Z62),"0")+IFERROR(IF(Z63="",0,Z63),"0")</f>
        <v>0.75278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390</v>
      </c>
      <c r="Y65" s="547">
        <f>IFERROR(SUM(Y61:Y63),"0")</f>
        <v>394.20000000000005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100</v>
      </c>
      <c r="Y80" s="546">
        <f>IFERROR(IF(X80="",0,CEILING((X80/$H80),1)*$H80),"")</f>
        <v>101.39999999999999</v>
      </c>
      <c r="Z80" s="36">
        <f>IFERROR(IF(Y80=0,"",ROUNDUP(Y80/H80,0)*0.01898),"")</f>
        <v>0.24674000000000001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105.25641025641028</v>
      </c>
      <c r="BN80" s="64">
        <f>IFERROR(Y80*I80/H80,"0")</f>
        <v>106.73</v>
      </c>
      <c r="BO80" s="64">
        <f>IFERROR(1/J80*(X80/H80),"0")</f>
        <v>0.20032051282051283</v>
      </c>
      <c r="BP80" s="64">
        <f>IFERROR(1/J80*(Y80/H80),"0")</f>
        <v>0.203125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12.820512820512821</v>
      </c>
      <c r="Y82" s="547">
        <f>IFERROR(Y80/H80,"0")+IFERROR(Y81/H81,"0")</f>
        <v>13</v>
      </c>
      <c r="Z82" s="547">
        <f>IFERROR(IF(Z80="",0,Z80),"0")+IFERROR(IF(Z81="",0,Z81),"0")</f>
        <v>0.24674000000000001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100</v>
      </c>
      <c r="Y83" s="547">
        <f>IFERROR(SUM(Y80:Y81),"0")</f>
        <v>101.39999999999999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360</v>
      </c>
      <c r="Y89" s="546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375.20000000000005</v>
      </c>
      <c r="BN89" s="64">
        <f>IFERROR(Y89*I89/H89,"0")</f>
        <v>375.20000000000005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89.259259259259267</v>
      </c>
      <c r="Y90" s="547">
        <f>IFERROR(Y86/H86,"0")+IFERROR(Y87/H87,"0")+IFERROR(Y88/H88,"0")+IFERROR(Y89/H89,"0")</f>
        <v>90</v>
      </c>
      <c r="Z90" s="547">
        <f>IFERROR(IF(Z86="",0,Z86),"0")+IFERROR(IF(Z87="",0,Z87),"0")+IFERROR(IF(Z88="",0,Z88),"0")+IFERROR(IF(Z89="",0,Z89),"0")</f>
        <v>0.91139999999999999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460</v>
      </c>
      <c r="Y91" s="547">
        <f>IFERROR(SUM(Y86:Y89),"0")</f>
        <v>468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153.7037037037037</v>
      </c>
      <c r="Y97" s="547">
        <f>IFERROR(Y93/H93,"0")+IFERROR(Y94/H94,"0")+IFERROR(Y95/H95,"0")+IFERROR(Y96/H96,"0")</f>
        <v>155</v>
      </c>
      <c r="Z97" s="547">
        <f>IFERROR(IF(Z93="",0,Z93),"0")+IFERROR(IF(Z94="",0,Z94),"0")+IFERROR(IF(Z95="",0,Z95),"0")+IFERROR(IF(Z96="",0,Z96),"0")</f>
        <v>1.48291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615</v>
      </c>
      <c r="Y98" s="547">
        <f>IFERROR(SUM(Y93:Y96),"0")</f>
        <v>623.70000000000005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80</v>
      </c>
      <c r="Y101" s="546">
        <f>IFERROR(IF(X101="",0,CEILING((X101/$H101),1)*$H101),"")</f>
        <v>86.4</v>
      </c>
      <c r="Z101" s="36">
        <f>IFERROR(IF(Y101=0,"",ROUNDUP(Y101/H101,0)*0.01898),"")</f>
        <v>0.15184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83.037037037037038</v>
      </c>
      <c r="BN101" s="64">
        <f>IFERROR(Y101*I101/H101,"0")</f>
        <v>89.68</v>
      </c>
      <c r="BO101" s="64">
        <f>IFERROR(1/J101*(X101/H101),"0")</f>
        <v>0.11574074074074073</v>
      </c>
      <c r="BP101" s="64">
        <f>IFERROR(1/J101*(Y101/H101),"0")</f>
        <v>0.125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270</v>
      </c>
      <c r="Y104" s="546">
        <f>IFERROR(IF(X104="",0,CEILING((X104/$H104),1)*$H104),"")</f>
        <v>270</v>
      </c>
      <c r="Z104" s="36">
        <f>IFERROR(IF(Y104=0,"",ROUNDUP(Y104/H104,0)*0.00902),"")</f>
        <v>0.54120000000000001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281.40000000000003</v>
      </c>
      <c r="BN104" s="64">
        <f>IFERROR(Y104*I104/H104,"0")</f>
        <v>281.40000000000003</v>
      </c>
      <c r="BO104" s="64">
        <f>IFERROR(1/J104*(X104/H104),"0")</f>
        <v>0.45454545454545459</v>
      </c>
      <c r="BP104" s="64">
        <f>IFERROR(1/J104*(Y104/H104),"0")</f>
        <v>0.45454545454545459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67.407407407407405</v>
      </c>
      <c r="Y106" s="547">
        <f>IFERROR(Y101/H101,"0")+IFERROR(Y102/H102,"0")+IFERROR(Y103/H103,"0")+IFERROR(Y104/H104,"0")+IFERROR(Y105/H105,"0")</f>
        <v>68</v>
      </c>
      <c r="Z106" s="547">
        <f>IFERROR(IF(Z101="",0,Z101),"0")+IFERROR(IF(Z102="",0,Z102),"0")+IFERROR(IF(Z103="",0,Z103),"0")+IFERROR(IF(Z104="",0,Z104),"0")+IFERROR(IF(Z105="",0,Z105),"0")</f>
        <v>0.69303999999999999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350</v>
      </c>
      <c r="Y107" s="547">
        <f>IFERROR(SUM(Y101:Y105),"0")</f>
        <v>356.4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200</v>
      </c>
      <c r="Y116" s="546">
        <f>IFERROR(IF(X116="",0,CEILING((X116/$H116),1)*$H116),"")</f>
        <v>202.5</v>
      </c>
      <c r="Z116" s="36">
        <f>IFERROR(IF(Y116=0,"",ROUNDUP(Y116/H116,0)*0.01898),"")</f>
        <v>0.47450000000000003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212.04938271604939</v>
      </c>
      <c r="BN116" s="64">
        <f>IFERROR(Y116*I116/H116,"0")</f>
        <v>214.7</v>
      </c>
      <c r="BO116" s="64">
        <f>IFERROR(1/J116*(X116/H116),"0")</f>
        <v>0.38580246913580246</v>
      </c>
      <c r="BP116" s="64">
        <f>IFERROR(1/J116*(Y116/H116),"0")</f>
        <v>0.390625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141.35802469135803</v>
      </c>
      <c r="Y120" s="547">
        <f>IFERROR(Y116/H116,"0")+IFERROR(Y117/H117,"0")+IFERROR(Y118/H118,"0")+IFERROR(Y119/H119,"0")</f>
        <v>142</v>
      </c>
      <c r="Z120" s="547">
        <f>IFERROR(IF(Z116="",0,Z116),"0")+IFERROR(IF(Z117="",0,Z117),"0")+IFERROR(IF(Z118="",0,Z118),"0")+IFERROR(IF(Z119="",0,Z119),"0")</f>
        <v>1.23617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515</v>
      </c>
      <c r="Y121" s="547">
        <f>IFERROR(SUM(Y116:Y119),"0")</f>
        <v>518.40000000000009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33</v>
      </c>
      <c r="Y123" s="546">
        <f>IFERROR(IF(X123="",0,CEILING((X123/$H123),1)*$H123),"")</f>
        <v>33.659999999999997</v>
      </c>
      <c r="Z123" s="36">
        <f>IFERROR(IF(Y123=0,"",ROUNDUP(Y123/H123,0)*0.00651),"")</f>
        <v>0.11067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37.299999999999997</v>
      </c>
      <c r="BN123" s="64">
        <f>IFERROR(Y123*I123/H123,"0")</f>
        <v>38.045999999999992</v>
      </c>
      <c r="BO123" s="64">
        <f>IFERROR(1/J123*(X123/H123),"0")</f>
        <v>9.1575091575091583E-2</v>
      </c>
      <c r="BP123" s="64">
        <f>IFERROR(1/J123*(Y123/H123),"0")</f>
        <v>9.3406593406593408E-2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16.666666666666668</v>
      </c>
      <c r="Y124" s="547">
        <f>IFERROR(Y123/H123,"0")</f>
        <v>17</v>
      </c>
      <c r="Z124" s="547">
        <f>IFERROR(IF(Z123="",0,Z123),"0")</f>
        <v>0.11067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33</v>
      </c>
      <c r="Y125" s="547">
        <f>IFERROR(SUM(Y123:Y123),"0")</f>
        <v>33.659999999999997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72</v>
      </c>
      <c r="Y128" s="546">
        <f>IFERROR(IF(X128="",0,CEILING((X128/$H128),1)*$H128),"")</f>
        <v>73.600000000000009</v>
      </c>
      <c r="Z128" s="36">
        <f>IFERROR(IF(Y128=0,"",ROUNDUP(Y128/H128,0)*0.00651),"")</f>
        <v>0.14973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76.05</v>
      </c>
      <c r="BN128" s="64">
        <f>IFERROR(Y128*I128/H128,"0")</f>
        <v>77.740000000000009</v>
      </c>
      <c r="BO128" s="64">
        <f>IFERROR(1/J128*(X128/H128),"0")</f>
        <v>0.12362637362637363</v>
      </c>
      <c r="BP128" s="64">
        <f>IFERROR(1/J128*(Y128/H128),"0")</f>
        <v>0.1263736263736264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22.5</v>
      </c>
      <c r="Y130" s="547">
        <f>IFERROR(Y128/H128,"0")+IFERROR(Y129/H129,"0")</f>
        <v>23</v>
      </c>
      <c r="Z130" s="547">
        <f>IFERROR(IF(Z128="",0,Z128),"0")+IFERROR(IF(Z129="",0,Z129),"0")</f>
        <v>0.14973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72</v>
      </c>
      <c r="Y131" s="547">
        <f>IFERROR(SUM(Y128:Y129),"0")</f>
        <v>73.600000000000009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140</v>
      </c>
      <c r="Y134" s="546">
        <f>IFERROR(IF(X134="",0,CEILING((X134/$H134),1)*$H134),"")</f>
        <v>140</v>
      </c>
      <c r="Z134" s="36">
        <f>IFERROR(IF(Y134=0,"",ROUNDUP(Y134/H134,0)*0.00651),"")</f>
        <v>0.32550000000000001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153.4</v>
      </c>
      <c r="BN134" s="64">
        <f>IFERROR(Y134*I134/H134,"0")</f>
        <v>153.4</v>
      </c>
      <c r="BO134" s="64">
        <f>IFERROR(1/J134*(X134/H134),"0")</f>
        <v>0.27472527472527475</v>
      </c>
      <c r="BP134" s="64">
        <f>IFERROR(1/J134*(Y134/H134),"0")</f>
        <v>0.27472527472527475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50</v>
      </c>
      <c r="Y135" s="547">
        <f>IFERROR(Y133/H133,"0")+IFERROR(Y134/H134,"0")</f>
        <v>50</v>
      </c>
      <c r="Z135" s="547">
        <f>IFERROR(IF(Z133="",0,Z133),"0")+IFERROR(IF(Z134="",0,Z134),"0")</f>
        <v>0.32550000000000001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140</v>
      </c>
      <c r="Y136" s="547">
        <f>IFERROR(SUM(Y133:Y134),"0")</f>
        <v>140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66</v>
      </c>
      <c r="Y139" s="546">
        <f>IFERROR(IF(X139="",0,CEILING((X139/$H139),1)*$H139),"")</f>
        <v>66</v>
      </c>
      <c r="Z139" s="36">
        <f>IFERROR(IF(Y139=0,"",ROUNDUP(Y139/H139,0)*0.00651),"")</f>
        <v>0.16275000000000001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72.699999999999989</v>
      </c>
      <c r="BN139" s="64">
        <f>IFERROR(Y139*I139/H139,"0")</f>
        <v>72.699999999999989</v>
      </c>
      <c r="BO139" s="64">
        <f>IFERROR(1/J139*(X139/H139),"0")</f>
        <v>0.13736263736263737</v>
      </c>
      <c r="BP139" s="64">
        <f>IFERROR(1/J139*(Y139/H139),"0")</f>
        <v>0.13736263736263737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25</v>
      </c>
      <c r="Y140" s="547">
        <f>IFERROR(Y138/H138,"0")+IFERROR(Y139/H139,"0")</f>
        <v>25</v>
      </c>
      <c r="Z140" s="547">
        <f>IFERROR(IF(Z138="",0,Z138),"0")+IFERROR(IF(Z139="",0,Z139),"0")</f>
        <v>0.16275000000000001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66</v>
      </c>
      <c r="Y141" s="547">
        <f>IFERROR(SUM(Y138:Y139),"0")</f>
        <v>66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80</v>
      </c>
      <c r="Y168" s="546">
        <f t="shared" si="5"/>
        <v>84</v>
      </c>
      <c r="Z168" s="36">
        <f>IFERROR(IF(Y168=0,"",ROUNDUP(Y168/H168,0)*0.00902),"")</f>
        <v>0.1804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83.619047619047606</v>
      </c>
      <c r="BN168" s="64">
        <f t="shared" si="7"/>
        <v>87.8</v>
      </c>
      <c r="BO168" s="64">
        <f t="shared" si="8"/>
        <v>0.14430014430014429</v>
      </c>
      <c r="BP168" s="64">
        <f t="shared" si="9"/>
        <v>0.15151515151515152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140</v>
      </c>
      <c r="Y174" s="546">
        <f t="shared" si="5"/>
        <v>140.70000000000002</v>
      </c>
      <c r="Z174" s="36">
        <f>IFERROR(IF(Y174=0,"",ROUNDUP(Y174/H174,0)*0.00502),"")</f>
        <v>0.33634000000000003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146.66666666666666</v>
      </c>
      <c r="BN174" s="64">
        <f t="shared" si="7"/>
        <v>147.40000000000003</v>
      </c>
      <c r="BO174" s="64">
        <f t="shared" si="8"/>
        <v>0.28490028490028491</v>
      </c>
      <c r="BP174" s="64">
        <f t="shared" si="9"/>
        <v>0.28632478632478636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183.33333333333331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187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1.08274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455</v>
      </c>
      <c r="Y178" s="547">
        <f>IFERROR(SUM(Y165:Y176),"0")</f>
        <v>468.30000000000007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4.9000000000000004</v>
      </c>
      <c r="Y181" s="546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5.6388888888888893</v>
      </c>
      <c r="BN181" s="64">
        <f>IFERROR(Y181*I181/H181,"0")</f>
        <v>5.8</v>
      </c>
      <c r="BO181" s="64">
        <f>IFERROR(1/J181*(X181/H181),"0")</f>
        <v>1.800411522633745E-2</v>
      </c>
      <c r="BP181" s="64">
        <f>IFERROR(1/J181*(Y181/H181),"0")</f>
        <v>1.8518518518518517E-2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4.2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4.833333333333333</v>
      </c>
      <c r="BN182" s="64">
        <f>IFERROR(Y182*I182/H182,"0")</f>
        <v>5.8</v>
      </c>
      <c r="BO182" s="64">
        <f>IFERROR(1/J182*(X182/H182),"0")</f>
        <v>1.5432098765432098E-2</v>
      </c>
      <c r="BP182" s="64">
        <f>IFERROR(1/J182*(Y182/H182),"0")</f>
        <v>1.8518518518518517E-2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12.77777777777778</v>
      </c>
      <c r="Y183" s="547">
        <f>IFERROR(Y180/H180,"0")+IFERROR(Y181/H181,"0")+IFERROR(Y182/H182,"0")</f>
        <v>14</v>
      </c>
      <c r="Z183" s="547">
        <f>IFERROR(IF(Z180="",0,Z180),"0")+IFERROR(IF(Z181="",0,Z181),"0")+IFERROR(IF(Z182="",0,Z182),"0")</f>
        <v>8.2599999999999993E-2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16.100000000000001</v>
      </c>
      <c r="Y184" s="547">
        <f>IFERROR(SUM(Y180:Y182),"0")</f>
        <v>17.64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650</v>
      </c>
      <c r="Y203" s="546">
        <f t="shared" si="10"/>
        <v>653.40000000000009</v>
      </c>
      <c r="Z203" s="36">
        <f>IFERROR(IF(Y203=0,"",ROUNDUP(Y203/H203,0)*0.00902),"")</f>
        <v>1.0914200000000001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672.87037037037032</v>
      </c>
      <c r="BN203" s="64">
        <f t="shared" si="12"/>
        <v>676.39</v>
      </c>
      <c r="BO203" s="64">
        <f t="shared" si="13"/>
        <v>0.91189674523007858</v>
      </c>
      <c r="BP203" s="64">
        <f t="shared" si="14"/>
        <v>0.91666666666666685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50</v>
      </c>
      <c r="Y204" s="546">
        <f t="shared" si="10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51.759259259259252</v>
      </c>
      <c r="BN204" s="64">
        <f t="shared" si="12"/>
        <v>55.9</v>
      </c>
      <c r="BO204" s="64">
        <f t="shared" si="13"/>
        <v>7.0145903479236812E-2</v>
      </c>
      <c r="BP204" s="64">
        <f t="shared" si="14"/>
        <v>7.575757575757576E-2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75</v>
      </c>
      <c r="Y205" s="546">
        <f t="shared" si="10"/>
        <v>75.600000000000009</v>
      </c>
      <c r="Z205" s="36">
        <f>IFERROR(IF(Y205=0,"",ROUNDUP(Y205/H205,0)*0.00502),"")</f>
        <v>0.21084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80.416666666666671</v>
      </c>
      <c r="BN205" s="64">
        <f t="shared" si="12"/>
        <v>81.06</v>
      </c>
      <c r="BO205" s="64">
        <f t="shared" si="13"/>
        <v>0.17806267806267806</v>
      </c>
      <c r="BP205" s="64">
        <f t="shared" si="14"/>
        <v>0.17948717948717954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84</v>
      </c>
      <c r="Y207" s="546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88.666666666666657</v>
      </c>
      <c r="BN207" s="64">
        <f t="shared" si="12"/>
        <v>89.3</v>
      </c>
      <c r="BO207" s="64">
        <f t="shared" si="13"/>
        <v>0.19943019943019943</v>
      </c>
      <c r="BP207" s="64">
        <f t="shared" si="14"/>
        <v>0.20085470085470092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51</v>
      </c>
      <c r="Y208" s="546">
        <f t="shared" si="10"/>
        <v>52.2</v>
      </c>
      <c r="Z208" s="36">
        <f>IFERROR(IF(Y208=0,"",ROUNDUP(Y208/H208,0)*0.00502),"")</f>
        <v>0.14558000000000001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53.833333333333329</v>
      </c>
      <c r="BN208" s="64">
        <f t="shared" si="12"/>
        <v>55.1</v>
      </c>
      <c r="BO208" s="64">
        <f t="shared" si="13"/>
        <v>0.12108262108262109</v>
      </c>
      <c r="BP208" s="64">
        <f t="shared" si="14"/>
        <v>0.12393162393162395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290.7407407407407</v>
      </c>
      <c r="Y209" s="547">
        <f>IFERROR(Y201/H201,"0")+IFERROR(Y202/H202,"0")+IFERROR(Y203/H203,"0")+IFERROR(Y204/H204,"0")+IFERROR(Y205/H205,"0")+IFERROR(Y206/H206,"0")+IFERROR(Y207/H207,"0")+IFERROR(Y208/H208,"0")</f>
        <v>295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2.1209000000000002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1090</v>
      </c>
      <c r="Y210" s="547">
        <f>IFERROR(SUM(Y201:Y208),"0")</f>
        <v>1107.0000000000002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130</v>
      </c>
      <c r="Y214" s="546">
        <f t="shared" si="15"/>
        <v>130.5</v>
      </c>
      <c r="Z214" s="36">
        <f>IFERROR(IF(Y214=0,"",ROUNDUP(Y214/H214,0)*0.01898),"")</f>
        <v>0.28470000000000001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137.38160919540232</v>
      </c>
      <c r="BN214" s="64">
        <f t="shared" si="17"/>
        <v>137.91000000000003</v>
      </c>
      <c r="BO214" s="64">
        <f t="shared" si="18"/>
        <v>0.2334770114942529</v>
      </c>
      <c r="BP214" s="64">
        <f t="shared" si="19"/>
        <v>0.23437500000000003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200</v>
      </c>
      <c r="Y215" s="546">
        <f t="shared" si="15"/>
        <v>201.6</v>
      </c>
      <c r="Z215" s="36">
        <f t="shared" ref="Z215:Z220" si="20">IFERROR(IF(Y215=0,"",ROUNDUP(Y215/H215,0)*0.00651),"")</f>
        <v>0.54683999999999999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222.5</v>
      </c>
      <c r="BN215" s="64">
        <f t="shared" si="17"/>
        <v>224.27999999999997</v>
      </c>
      <c r="BO215" s="64">
        <f t="shared" si="18"/>
        <v>0.45787545787545797</v>
      </c>
      <c r="BP215" s="64">
        <f t="shared" si="19"/>
        <v>0.46153846153846156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360</v>
      </c>
      <c r="Y217" s="546">
        <f t="shared" si="15"/>
        <v>360</v>
      </c>
      <c r="Z217" s="36">
        <f t="shared" si="20"/>
        <v>0.97650000000000003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397.8</v>
      </c>
      <c r="BN217" s="64">
        <f t="shared" si="17"/>
        <v>397.8</v>
      </c>
      <c r="BO217" s="64">
        <f t="shared" si="18"/>
        <v>0.82417582417582425</v>
      </c>
      <c r="BP217" s="64">
        <f t="shared" si="19"/>
        <v>0.82417582417582425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120</v>
      </c>
      <c r="Y219" s="546">
        <f t="shared" si="15"/>
        <v>120</v>
      </c>
      <c r="Z219" s="36">
        <f t="shared" si="20"/>
        <v>0.32550000000000001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132.60000000000002</v>
      </c>
      <c r="BN219" s="64">
        <f t="shared" si="17"/>
        <v>132.60000000000002</v>
      </c>
      <c r="BO219" s="64">
        <f t="shared" si="18"/>
        <v>0.27472527472527475</v>
      </c>
      <c r="BP219" s="64">
        <f t="shared" si="19"/>
        <v>0.27472527472527475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180</v>
      </c>
      <c r="Y220" s="546">
        <f t="shared" si="15"/>
        <v>180</v>
      </c>
      <c r="Z220" s="36">
        <f t="shared" si="20"/>
        <v>0.48825000000000002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199.35</v>
      </c>
      <c r="BN220" s="64">
        <f t="shared" si="17"/>
        <v>199.35</v>
      </c>
      <c r="BO220" s="64">
        <f t="shared" si="18"/>
        <v>0.41208791208791212</v>
      </c>
      <c r="BP220" s="64">
        <f t="shared" si="19"/>
        <v>0.41208791208791212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373.27586206896552</v>
      </c>
      <c r="Y221" s="547">
        <f>IFERROR(Y212/H212,"0")+IFERROR(Y213/H213,"0")+IFERROR(Y214/H214,"0")+IFERROR(Y215/H215,"0")+IFERROR(Y216/H216,"0")+IFERROR(Y217/H217,"0")+IFERROR(Y218/H218,"0")+IFERROR(Y219/H219,"0")+IFERROR(Y220/H220,"0")</f>
        <v>374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2.6217899999999998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990</v>
      </c>
      <c r="Y222" s="547">
        <f>IFERROR(SUM(Y212:Y220),"0")</f>
        <v>992.1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12</v>
      </c>
      <c r="Y224" s="546">
        <f>IFERROR(IF(X224="",0,CEILING((X224/$H224),1)*$H224),"")</f>
        <v>12</v>
      </c>
      <c r="Z224" s="36">
        <f>IFERROR(IF(Y224=0,"",ROUNDUP(Y224/H224,0)*0.00651),"")</f>
        <v>3.2550000000000003E-2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13.260000000000002</v>
      </c>
      <c r="BN224" s="64">
        <f>IFERROR(Y224*I224/H224,"0")</f>
        <v>13.260000000000002</v>
      </c>
      <c r="BO224" s="64">
        <f>IFERROR(1/J224*(X224/H224),"0")</f>
        <v>2.7472527472527476E-2</v>
      </c>
      <c r="BP224" s="64">
        <f>IFERROR(1/J224*(Y224/H224),"0")</f>
        <v>2.7472527472527476E-2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20</v>
      </c>
      <c r="Y225" s="546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13.333333333333334</v>
      </c>
      <c r="Y226" s="547">
        <f>IFERROR(Y224/H224,"0")+IFERROR(Y225/H225,"0")</f>
        <v>14</v>
      </c>
      <c r="Z226" s="547">
        <f>IFERROR(IF(Z224="",0,Z224),"0")+IFERROR(IF(Z225="",0,Z225),"0")</f>
        <v>9.1139999999999999E-2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32</v>
      </c>
      <c r="Y227" s="547">
        <f>IFERROR(SUM(Y224:Y225),"0")</f>
        <v>33.599999999999994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12</v>
      </c>
      <c r="Y233" s="546">
        <f t="shared" si="21"/>
        <v>12</v>
      </c>
      <c r="Z233" s="36">
        <f>IFERROR(IF(Y233=0,"",ROUNDUP(Y233/H233,0)*0.00902),"")</f>
        <v>2.7060000000000001E-2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12.57</v>
      </c>
      <c r="BN233" s="64">
        <f t="shared" si="23"/>
        <v>12.57</v>
      </c>
      <c r="BO233" s="64">
        <f t="shared" si="24"/>
        <v>2.2727272727272728E-2</v>
      </c>
      <c r="BP233" s="64">
        <f t="shared" si="25"/>
        <v>2.2727272727272728E-2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20</v>
      </c>
      <c r="Y237" s="546">
        <f t="shared" si="21"/>
        <v>20</v>
      </c>
      <c r="Z237" s="36">
        <f>IFERROR(IF(Y237=0,"",ROUNDUP(Y237/H237,0)*0.00902),"")</f>
        <v>4.5100000000000001E-2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20.950000000000003</v>
      </c>
      <c r="BN237" s="64">
        <f t="shared" si="23"/>
        <v>20.950000000000003</v>
      </c>
      <c r="BO237" s="64">
        <f t="shared" si="24"/>
        <v>3.787878787878788E-2</v>
      </c>
      <c r="BP237" s="64">
        <f t="shared" si="25"/>
        <v>3.787878787878788E-2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12.310344827586206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13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0.16705999999999999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82</v>
      </c>
      <c r="Y240" s="547">
        <f>IFERROR(SUM(Y230:Y238),"0")</f>
        <v>90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6</v>
      </c>
      <c r="Y251" s="546">
        <f>IFERROR(IF(X251="",0,CEILING((X251/$H251),1)*$H251),"")</f>
        <v>7.2</v>
      </c>
      <c r="Z251" s="36">
        <f>IFERROR(IF(Y251=0,"",ROUNDUP(Y251/H251,0)*0.0059),"")</f>
        <v>2.3599999999999999E-2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6.5833333333333339</v>
      </c>
      <c r="BN251" s="64">
        <f>IFERROR(Y251*I251/H251,"0")</f>
        <v>7.9</v>
      </c>
      <c r="BO251" s="64">
        <f>IFERROR(1/J251*(X251/H251),"0")</f>
        <v>1.5432098765432096E-2</v>
      </c>
      <c r="BP251" s="64">
        <f>IFERROR(1/J251*(Y251/H251),"0")</f>
        <v>1.8518518518518517E-2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3.333333333333333</v>
      </c>
      <c r="Y255" s="547">
        <f>IFERROR(Y250/H250,"0")+IFERROR(Y251/H251,"0")+IFERROR(Y252/H252,"0")+IFERROR(Y253/H253,"0")+IFERROR(Y254/H254,"0")</f>
        <v>4</v>
      </c>
      <c r="Z255" s="547">
        <f>IFERROR(IF(Z250="",0,Z250),"0")+IFERROR(IF(Z251="",0,Z251),"0")+IFERROR(IF(Z252="",0,Z252),"0")+IFERROR(IF(Z253="",0,Z253),"0")+IFERROR(IF(Z254="",0,Z254),"0")</f>
        <v>2.3599999999999999E-2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6</v>
      </c>
      <c r="Y256" s="547">
        <f>IFERROR(SUM(Y250:Y254),"0")</f>
        <v>7.2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120</v>
      </c>
      <c r="Y277" s="546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100</v>
      </c>
      <c r="Y279" s="547">
        <f>IFERROR(Y276/H276,"0")+IFERROR(Y277/H277,"0")+IFERROR(Y278/H278,"0")</f>
        <v>100</v>
      </c>
      <c r="Z279" s="547">
        <f>IFERROR(IF(Z276="",0,Z276),"0")+IFERROR(IF(Z277="",0,Z277),"0")+IFERROR(IF(Z278="",0,Z278),"0")</f>
        <v>0.65100000000000002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240</v>
      </c>
      <c r="Y280" s="547">
        <f>IFERROR(SUM(Y276:Y278),"0")</f>
        <v>240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30</v>
      </c>
      <c r="Y307" s="546">
        <f t="shared" si="26"/>
        <v>30.6</v>
      </c>
      <c r="Z307" s="36">
        <f>IFERROR(IF(Y307=0,"",ROUNDUP(Y307/H307,0)*0.00651),"")</f>
        <v>0.11067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33.800000000000004</v>
      </c>
      <c r="BN307" s="64">
        <f t="shared" si="28"/>
        <v>34.475999999999999</v>
      </c>
      <c r="BO307" s="64">
        <f t="shared" si="29"/>
        <v>9.1575091575091583E-2</v>
      </c>
      <c r="BP307" s="64">
        <f t="shared" si="30"/>
        <v>9.3406593406593408E-2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66.666666666666671</v>
      </c>
      <c r="Y308" s="547">
        <f>IFERROR(Y302/H302,"0")+IFERROR(Y303/H303,"0")+IFERROR(Y304/H304,"0")+IFERROR(Y305/H305,"0")+IFERROR(Y306/H306,"0")+IFERROR(Y307/H307,"0")</f>
        <v>67</v>
      </c>
      <c r="Z308" s="547">
        <f>IFERROR(IF(Z302="",0,Z302),"0")+IFERROR(IF(Z303="",0,Z303),"0")+IFERROR(IF(Z304="",0,Z304),"0")+IFERROR(IF(Z305="",0,Z305),"0")+IFERROR(IF(Z306="",0,Z306),"0")+IFERROR(IF(Z307="",0,Z307),"0")</f>
        <v>0.36166999999999999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135</v>
      </c>
      <c r="Y309" s="547">
        <f>IFERROR(SUM(Y302:Y307),"0")</f>
        <v>135.6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200</v>
      </c>
      <c r="Y319" s="546">
        <f>IFERROR(IF(X319="",0,CEILING((X319/$H319),1)*$H319),"")</f>
        <v>202.79999999999998</v>
      </c>
      <c r="Z319" s="36">
        <f>IFERROR(IF(Y319=0,"",ROUNDUP(Y319/H319,0)*0.01898),"")</f>
        <v>0.49348000000000003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212.66666666666669</v>
      </c>
      <c r="BN319" s="64">
        <f>IFERROR(Y319*I319/H319,"0")</f>
        <v>215.64399999999998</v>
      </c>
      <c r="BO319" s="64">
        <f>IFERROR(1/J319*(X319/H319),"0")</f>
        <v>0.40064102564102566</v>
      </c>
      <c r="BP319" s="64">
        <f>IFERROR(1/J319*(Y319/H319),"0")</f>
        <v>0.40625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150</v>
      </c>
      <c r="Y320" s="546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43.498168498168496</v>
      </c>
      <c r="Y321" s="547">
        <f>IFERROR(Y318/H318,"0")+IFERROR(Y319/H319,"0")+IFERROR(Y320/H320,"0")</f>
        <v>44</v>
      </c>
      <c r="Z321" s="547">
        <f>IFERROR(IF(Z318="",0,Z318),"0")+IFERROR(IF(Z319="",0,Z319),"0")+IFERROR(IF(Z320="",0,Z320),"0")</f>
        <v>0.83512000000000008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350</v>
      </c>
      <c r="Y322" s="547">
        <f>IFERROR(SUM(Y318:Y320),"0")</f>
        <v>354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420</v>
      </c>
      <c r="Y340" s="546">
        <f>IFERROR(IF(X340="",0,CEILING((X340/$H340),1)*$H340),"")</f>
        <v>420</v>
      </c>
      <c r="Z340" s="36">
        <f>IFERROR(IF(Y340=0,"",ROUNDUP(Y340/H340,0)*0.00651),"")</f>
        <v>1.302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467.99999999999994</v>
      </c>
      <c r="BN340" s="64">
        <f>IFERROR(Y340*I340/H340,"0")</f>
        <v>467.99999999999994</v>
      </c>
      <c r="BO340" s="64">
        <f>IFERROR(1/J340*(X340/H340),"0")</f>
        <v>1.098901098901099</v>
      </c>
      <c r="BP340" s="64">
        <f>IFERROR(1/J340*(Y340/H340),"0")</f>
        <v>1.098901098901099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283.33333333333331</v>
      </c>
      <c r="Y341" s="547">
        <f>IFERROR(Y338/H338,"0")+IFERROR(Y339/H339,"0")+IFERROR(Y340/H340,"0")</f>
        <v>284</v>
      </c>
      <c r="Z341" s="547">
        <f>IFERROR(IF(Z338="",0,Z338),"0")+IFERROR(IF(Z339="",0,Z339),"0")+IFERROR(IF(Z340="",0,Z340),"0")</f>
        <v>1.84884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595</v>
      </c>
      <c r="Y342" s="547">
        <f>IFERROR(SUM(Y338:Y340),"0")</f>
        <v>596.4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2000</v>
      </c>
      <c r="Y346" s="546">
        <f t="shared" ref="Y346:Y352" si="31">IFERROR(IF(X346="",0,CEILING((X346/$H346),1)*$H346),"")</f>
        <v>2010</v>
      </c>
      <c r="Z346" s="36">
        <f>IFERROR(IF(Y346=0,"",ROUNDUP(Y346/H346,0)*0.02175),"")</f>
        <v>2.9144999999999999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2062.6666666666665</v>
      </c>
      <c r="BN346" s="64">
        <f t="shared" ref="BN346:BN352" si="33">IFERROR(Y346*I346/H346,"0")</f>
        <v>2072.98</v>
      </c>
      <c r="BO346" s="64">
        <f t="shared" ref="BO346:BO352" si="34">IFERROR(1/J346*(X346/H346),"0")</f>
        <v>2.7777777777777777</v>
      </c>
      <c r="BP346" s="64">
        <f t="shared" ref="BP346:BP352" si="35">IFERROR(1/J346*(Y346/H346),"0")</f>
        <v>2.7916666666666665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1200</v>
      </c>
      <c r="Y347" s="546">
        <f t="shared" si="31"/>
        <v>1200</v>
      </c>
      <c r="Z347" s="36">
        <f>IFERROR(IF(Y347=0,"",ROUNDUP(Y347/H347,0)*0.02175),"")</f>
        <v>1.7399999999999998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1237.5999999999999</v>
      </c>
      <c r="BN347" s="64">
        <f t="shared" si="33"/>
        <v>1237.5999999999999</v>
      </c>
      <c r="BO347" s="64">
        <f t="shared" si="34"/>
        <v>1.6666666666666665</v>
      </c>
      <c r="BP347" s="64">
        <f t="shared" si="35"/>
        <v>1.6666666666666665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2300</v>
      </c>
      <c r="Y348" s="546">
        <f t="shared" si="31"/>
        <v>2310</v>
      </c>
      <c r="Z348" s="36">
        <f>IFERROR(IF(Y348=0,"",ROUNDUP(Y348/H348,0)*0.02175),"")</f>
        <v>3.3494999999999999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2372.0666666666666</v>
      </c>
      <c r="BN348" s="64">
        <f t="shared" si="33"/>
        <v>2382.38</v>
      </c>
      <c r="BO348" s="64">
        <f t="shared" si="34"/>
        <v>3.1944444444444446</v>
      </c>
      <c r="BP348" s="64">
        <f t="shared" si="35"/>
        <v>3.208333333333333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200</v>
      </c>
      <c r="Y349" s="546">
        <f t="shared" si="31"/>
        <v>210</v>
      </c>
      <c r="Z349" s="36">
        <f>IFERROR(IF(Y349=0,"",ROUNDUP(Y349/H349,0)*0.02175),"")</f>
        <v>0.30449999999999999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206.26666666666668</v>
      </c>
      <c r="BN349" s="64">
        <f t="shared" si="33"/>
        <v>216.58</v>
      </c>
      <c r="BO349" s="64">
        <f t="shared" si="34"/>
        <v>0.27777777777777779</v>
      </c>
      <c r="BP349" s="64">
        <f t="shared" si="35"/>
        <v>0.29166666666666663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380</v>
      </c>
      <c r="Y353" s="547">
        <f>IFERROR(Y346/H346,"0")+IFERROR(Y347/H347,"0")+IFERROR(Y348/H348,"0")+IFERROR(Y349/H349,"0")+IFERROR(Y350/H350,"0")+IFERROR(Y351/H351,"0")+IFERROR(Y352/H352,"0")</f>
        <v>382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8.3084999999999987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5700</v>
      </c>
      <c r="Y354" s="547">
        <f>IFERROR(SUM(Y346:Y352),"0")</f>
        <v>5730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1500</v>
      </c>
      <c r="Y356" s="546">
        <f>IFERROR(IF(X356="",0,CEILING((X356/$H356),1)*$H356),"")</f>
        <v>1500</v>
      </c>
      <c r="Z356" s="36">
        <f>IFERROR(IF(Y356=0,"",ROUNDUP(Y356/H356,0)*0.02175),"")</f>
        <v>2.1749999999999998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1547</v>
      </c>
      <c r="BN356" s="64">
        <f>IFERROR(Y356*I356/H356,"0")</f>
        <v>1547</v>
      </c>
      <c r="BO356" s="64">
        <f>IFERROR(1/J356*(X356/H356),"0")</f>
        <v>2.083333333333333</v>
      </c>
      <c r="BP356" s="64">
        <f>IFERROR(1/J356*(Y356/H356),"0")</f>
        <v>2.083333333333333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12</v>
      </c>
      <c r="Y357" s="546">
        <f>IFERROR(IF(X357="",0,CEILING((X357/$H357),1)*$H357),"")</f>
        <v>12</v>
      </c>
      <c r="Z357" s="36">
        <f>IFERROR(IF(Y357=0,"",ROUNDUP(Y357/H357,0)*0.00902),"")</f>
        <v>2.7060000000000001E-2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12.57</v>
      </c>
      <c r="BN357" s="64">
        <f>IFERROR(Y357*I357/H357,"0")</f>
        <v>12.57</v>
      </c>
      <c r="BO357" s="64">
        <f>IFERROR(1/J357*(X357/H357),"0")</f>
        <v>2.2727272727272728E-2</v>
      </c>
      <c r="BP357" s="64">
        <f>IFERROR(1/J357*(Y357/H357),"0")</f>
        <v>2.2727272727272728E-2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103</v>
      </c>
      <c r="Y358" s="547">
        <f>IFERROR(Y356/H356,"0")+IFERROR(Y357/H357,"0")</f>
        <v>103</v>
      </c>
      <c r="Z358" s="547">
        <f>IFERROR(IF(Z356="",0,Z356),"0")+IFERROR(IF(Z357="",0,Z357),"0")</f>
        <v>2.2020599999999999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1512</v>
      </c>
      <c r="Y359" s="547">
        <f>IFERROR(SUM(Y356:Y357),"0")</f>
        <v>1512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30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3.3333333333333335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30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50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51.708333333333336</v>
      </c>
      <c r="BN371" s="64">
        <f>IFERROR(Y371*I371/H371,"0")</f>
        <v>62.050000000000004</v>
      </c>
      <c r="BO371" s="64">
        <f>IFERROR(1/J371*(X371/H371),"0")</f>
        <v>6.5104166666666671E-2</v>
      </c>
      <c r="BP371" s="64">
        <f>IFERROR(1/J371*(Y371/H371),"0")</f>
        <v>7.8125E-2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4.166666666666667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50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8.5339999999999999E-2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35</v>
      </c>
      <c r="Y399" s="547">
        <f>IFERROR(SUM(Y389:Y397),"0")</f>
        <v>35.700000000000003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50</v>
      </c>
      <c r="Y429" s="546">
        <f t="shared" si="42"/>
        <v>52.800000000000004</v>
      </c>
      <c r="Z429" s="36">
        <f t="shared" si="43"/>
        <v>0.1196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53.314393939393938</v>
      </c>
      <c r="BN429" s="64">
        <f t="shared" si="45"/>
        <v>56.3</v>
      </c>
      <c r="BO429" s="64">
        <f t="shared" si="46"/>
        <v>9.1054778554778545E-2</v>
      </c>
      <c r="BP429" s="64">
        <f t="shared" si="47"/>
        <v>9.6153846153846159E-2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72</v>
      </c>
      <c r="Y433" s="546">
        <f t="shared" si="42"/>
        <v>72</v>
      </c>
      <c r="Z433" s="36">
        <f>IFERROR(IF(Y433=0,"",ROUNDUP(Y433/H433,0)*0.00902),"")</f>
        <v>0.1353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103.65</v>
      </c>
      <c r="BN433" s="64">
        <f t="shared" si="45"/>
        <v>103.65</v>
      </c>
      <c r="BO433" s="64">
        <f t="shared" si="46"/>
        <v>0.11363636363636365</v>
      </c>
      <c r="BP433" s="64">
        <f t="shared" si="47"/>
        <v>0.11363636363636365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78</v>
      </c>
      <c r="Y436" s="546">
        <f t="shared" si="42"/>
        <v>81.599999999999994</v>
      </c>
      <c r="Z436" s="36">
        <f>IFERROR(IF(Y436=0,"",ROUNDUP(Y436/H436,0)*0.00902),"")</f>
        <v>0.15334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112.28750000000001</v>
      </c>
      <c r="BN436" s="64">
        <f t="shared" si="45"/>
        <v>117.47</v>
      </c>
      <c r="BO436" s="64">
        <f t="shared" si="46"/>
        <v>0.12310606060606061</v>
      </c>
      <c r="BP436" s="64">
        <f t="shared" si="47"/>
        <v>0.12878787878787878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107.00757575757575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1.20956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550</v>
      </c>
      <c r="Y438" s="547">
        <f>IFERROR(SUM(Y425:Y436),"0")</f>
        <v>560.16000000000008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160</v>
      </c>
      <c r="Y440" s="546">
        <f>IFERROR(IF(X440="",0,CEILING((X440/$H440),1)*$H440),"")</f>
        <v>163.68</v>
      </c>
      <c r="Z440" s="36">
        <f>IFERROR(IF(Y440=0,"",ROUNDUP(Y440/H440,0)*0.01196),"")</f>
        <v>0.37075999999999998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170.60606060606059</v>
      </c>
      <c r="BN440" s="64">
        <f>IFERROR(Y440*I440/H440,"0")</f>
        <v>174.53</v>
      </c>
      <c r="BO440" s="64">
        <f>IFERROR(1/J440*(X440/H440),"0")</f>
        <v>0.29137529137529139</v>
      </c>
      <c r="BP440" s="64">
        <f>IFERROR(1/J440*(Y440/H440),"0")</f>
        <v>0.29807692307692307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30.303030303030301</v>
      </c>
      <c r="Y443" s="547">
        <f>IFERROR(Y440/H440,"0")+IFERROR(Y441/H441,"0")+IFERROR(Y442/H442,"0")</f>
        <v>31</v>
      </c>
      <c r="Z443" s="547">
        <f>IFERROR(IF(Z440="",0,Z440),"0")+IFERROR(IF(Z441="",0,Z441),"0")+IFERROR(IF(Z442="",0,Z442),"0")</f>
        <v>0.37075999999999998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160</v>
      </c>
      <c r="Y444" s="547">
        <f>IFERROR(SUM(Y440:Y442),"0")</f>
        <v>163.68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30</v>
      </c>
      <c r="Y446" s="546">
        <f t="shared" ref="Y446:Y451" si="48">IFERROR(IF(X446="",0,CEILING((X446/$H446),1)*$H446),"")</f>
        <v>31.68</v>
      </c>
      <c r="Z446" s="36">
        <f>IFERROR(IF(Y446=0,"",ROUNDUP(Y446/H446,0)*0.01196),"")</f>
        <v>7.1760000000000004E-2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31.988636363636363</v>
      </c>
      <c r="BN446" s="64">
        <f t="shared" ref="BN446:BN451" si="50">IFERROR(Y446*I446/H446,"0")</f>
        <v>33.779999999999994</v>
      </c>
      <c r="BO446" s="64">
        <f t="shared" ref="BO446:BO451" si="51">IFERROR(1/J446*(X446/H446),"0")</f>
        <v>5.4632867132867136E-2</v>
      </c>
      <c r="BP446" s="64">
        <f t="shared" ref="BP446:BP451" si="52">IFERROR(1/J446*(Y446/H446),"0")</f>
        <v>5.7692307692307696E-2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180</v>
      </c>
      <c r="Y447" s="546">
        <f t="shared" si="48"/>
        <v>184.8</v>
      </c>
      <c r="Z447" s="36">
        <f>IFERROR(IF(Y447=0,"",ROUNDUP(Y447/H447,0)*0.01196),"")</f>
        <v>0.41860000000000003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191.93181818181816</v>
      </c>
      <c r="BN447" s="64">
        <f t="shared" si="50"/>
        <v>197.04999999999998</v>
      </c>
      <c r="BO447" s="64">
        <f t="shared" si="51"/>
        <v>0.32779720279720276</v>
      </c>
      <c r="BP447" s="64">
        <f t="shared" si="52"/>
        <v>0.33653846153846156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120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127.95454545454545</v>
      </c>
      <c r="BN448" s="64">
        <f t="shared" si="50"/>
        <v>129.49</v>
      </c>
      <c r="BO448" s="64">
        <f t="shared" si="51"/>
        <v>0.21853146853146854</v>
      </c>
      <c r="BP448" s="64">
        <f t="shared" si="52"/>
        <v>0.22115384615384617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18</v>
      </c>
      <c r="Y449" s="546">
        <f t="shared" si="48"/>
        <v>19.2</v>
      </c>
      <c r="Z449" s="36">
        <f>IFERROR(IF(Y449=0,"",ROUNDUP(Y449/H449,0)*0.00902),"")</f>
        <v>3.6080000000000001E-2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25.912500000000001</v>
      </c>
      <c r="BN449" s="64">
        <f t="shared" si="50"/>
        <v>27.64</v>
      </c>
      <c r="BO449" s="64">
        <f t="shared" si="51"/>
        <v>2.8409090909090912E-2</v>
      </c>
      <c r="BP449" s="64">
        <f t="shared" si="52"/>
        <v>3.0303030303030304E-2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42</v>
      </c>
      <c r="Y451" s="546">
        <f t="shared" si="48"/>
        <v>43.199999999999996</v>
      </c>
      <c r="Z451" s="36">
        <f>IFERROR(IF(Y451=0,"",ROUNDUP(Y451/H451,0)*0.00902),"")</f>
        <v>8.1180000000000002E-2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58.362499999999997</v>
      </c>
      <c r="BN451" s="64">
        <f t="shared" si="50"/>
        <v>60.029999999999994</v>
      </c>
      <c r="BO451" s="64">
        <f t="shared" si="51"/>
        <v>6.6287878787878785E-2</v>
      </c>
      <c r="BP451" s="64">
        <f t="shared" si="52"/>
        <v>6.8181818181818177E-2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75</v>
      </c>
      <c r="Y452" s="547">
        <f>IFERROR(Y446/H446,"0")+IFERROR(Y447/H447,"0")+IFERROR(Y448/H448,"0")+IFERROR(Y449/H449,"0")+IFERROR(Y450/H450,"0")+IFERROR(Y451/H451,"0")</f>
        <v>77</v>
      </c>
      <c r="Z452" s="547">
        <f>IFERROR(IF(Z446="",0,Z446),"0")+IFERROR(IF(Z447="",0,Z447),"0")+IFERROR(IF(Z448="",0,Z448),"0")+IFERROR(IF(Z449="",0,Z449),"0")+IFERROR(IF(Z450="",0,Z450),"0")+IFERROR(IF(Z451="",0,Z451),"0")</f>
        <v>0.88270000000000004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390</v>
      </c>
      <c r="Y453" s="547">
        <f>IFERROR(SUM(Y446:Y451),"0")</f>
        <v>400.32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500</v>
      </c>
      <c r="Y478" s="546">
        <f>IFERROR(IF(X478="",0,CEILING((X478/$H478),1)*$H478),"")</f>
        <v>504</v>
      </c>
      <c r="Z478" s="36">
        <f>IFERROR(IF(Y478=0,"",ROUNDUP(Y478/H478,0)*0.01898),"")</f>
        <v>1.06288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527.44444444444446</v>
      </c>
      <c r="BN478" s="64">
        <f>IFERROR(Y478*I478/H478,"0")</f>
        <v>531.66399999999999</v>
      </c>
      <c r="BO478" s="64">
        <f>IFERROR(1/J478*(X478/H478),"0")</f>
        <v>0.86805555555555558</v>
      </c>
      <c r="BP478" s="64">
        <f>IFERROR(1/J478*(Y478/H478),"0")</f>
        <v>0.875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55.555555555555557</v>
      </c>
      <c r="Y479" s="547">
        <f>IFERROR(Y478/H478,"0")</f>
        <v>56</v>
      </c>
      <c r="Z479" s="547">
        <f>IFERROR(IF(Z478="",0,Z478),"0")</f>
        <v>1.06288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500</v>
      </c>
      <c r="Y480" s="547">
        <f>IFERROR(SUM(Y478:Y478),"0")</f>
        <v>504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16394.099999999999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16566.260000000002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17306.902482652509</v>
      </c>
      <c r="Y492" s="547">
        <f>IFERROR(SUM(BN22:BN488),"0")</f>
        <v>17489.973999999998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28</v>
      </c>
      <c r="Y493" s="38">
        <f>ROUNDUP(SUM(BP22:BP488),0)</f>
        <v>28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18006.902482652509</v>
      </c>
      <c r="Y494" s="547">
        <f>GrossWeightTotalR+PalletQtyTotalR*25</f>
        <v>18189.973999999998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2937.2772226709008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2967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31.744609999999991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916.80000000000007</v>
      </c>
      <c r="E501" s="46">
        <f>IFERROR(Y86*1,"0")+IFERROR(Y87*1,"0")+IFERROR(Y88*1,"0")+IFERROR(Y89*1,"0")+IFERROR(Y93*1,"0")+IFERROR(Y94*1,"0")+IFERROR(Y95*1,"0")+IFERROR(Y96*1,"0")</f>
        <v>1091.7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908.45999999999992</v>
      </c>
      <c r="G501" s="46">
        <f>IFERROR(Y128*1,"0")+IFERROR(Y129*1,"0")+IFERROR(Y133*1,"0")+IFERROR(Y134*1,"0")+IFERROR(Y138*1,"0")+IFERROR(Y139*1,"0")</f>
        <v>279.60000000000002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485.94000000000011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2132.7000000000003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97.2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240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489.6</v>
      </c>
      <c r="R501" s="46">
        <f>IFERROR(Y338*1,"0")+IFERROR(Y339*1,"0")+IFERROR(Y340*1,"0")</f>
        <v>596.4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7278</v>
      </c>
      <c r="T501" s="46">
        <f>IFERROR(Y371*1,"0")+IFERROR(Y372*1,"0")+IFERROR(Y376*1,"0")+IFERROR(Y377*1,"0")+IFERROR(Y381*1,"0")+IFERROR(Y382*1,"0")+IFERROR(Y383*1,"0")</f>
        <v>60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35.700000000000003</v>
      </c>
      <c r="V501" s="46">
        <f>IFERROR(Y407*1,"0")+IFERROR(Y411*1,"0")+IFERROR(Y412*1,"0")+IFERROR(Y413*1,"0")+IFERROR(Y414*1,"0")</f>
        <v>8.4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1124.1600000000003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504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0,00"/>
        <filter val="1 200,00"/>
        <filter val="1 500,00"/>
        <filter val="1 512,00"/>
        <filter val="100,00"/>
        <filter val="103,00"/>
        <filter val="105,00"/>
        <filter val="107,01"/>
        <filter val="12,00"/>
        <filter val="12,31"/>
        <filter val="12,78"/>
        <filter val="12,82"/>
        <filter val="120,00"/>
        <filter val="13,33"/>
        <filter val="130,00"/>
        <filter val="135,00"/>
        <filter val="140,00"/>
        <filter val="141,36"/>
        <filter val="150,00"/>
        <filter val="153,70"/>
        <filter val="16 394,10"/>
        <filter val="16,10"/>
        <filter val="16,67"/>
        <filter val="160,00"/>
        <filter val="17 306,90"/>
        <filter val="175,00"/>
        <filter val="18 006,90"/>
        <filter val="18,00"/>
        <filter val="180,00"/>
        <filter val="183,33"/>
        <filter val="2 000,00"/>
        <filter val="2 300,00"/>
        <filter val="2 937,28"/>
        <filter val="20,00"/>
        <filter val="200,00"/>
        <filter val="22,50"/>
        <filter val="240,00"/>
        <filter val="25,00"/>
        <filter val="270,00"/>
        <filter val="28"/>
        <filter val="283,33"/>
        <filter val="290,74"/>
        <filter val="3,33"/>
        <filter val="30,00"/>
        <filter val="30,30"/>
        <filter val="300,00"/>
        <filter val="315,00"/>
        <filter val="32,00"/>
        <filter val="33,00"/>
        <filter val="35,00"/>
        <filter val="350,00"/>
        <filter val="360,00"/>
        <filter val="373,28"/>
        <filter val="380,00"/>
        <filter val="390,00"/>
        <filter val="4,17"/>
        <filter val="4,20"/>
        <filter val="4,90"/>
        <filter val="42,00"/>
        <filter val="420,00"/>
        <filter val="43,50"/>
        <filter val="455,00"/>
        <filter val="460,00"/>
        <filter val="5 700,00"/>
        <filter val="50,00"/>
        <filter val="500,00"/>
        <filter val="51,00"/>
        <filter val="515,00"/>
        <filter val="55,56"/>
        <filter val="550,00"/>
        <filter val="59,26"/>
        <filter val="595,00"/>
        <filter val="6,00"/>
        <filter val="61,11"/>
        <filter val="615,00"/>
        <filter val="650,00"/>
        <filter val="66,00"/>
        <filter val="66,67"/>
        <filter val="67,41"/>
        <filter val="7,00"/>
        <filter val="70,00"/>
        <filter val="72,00"/>
        <filter val="73,89"/>
        <filter val="75,00"/>
        <filter val="78,00"/>
        <filter val="8,00"/>
        <filter val="80,00"/>
        <filter val="82,00"/>
        <filter val="84,00"/>
        <filter val="89,26"/>
        <filter val="90,00"/>
        <filter val="990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