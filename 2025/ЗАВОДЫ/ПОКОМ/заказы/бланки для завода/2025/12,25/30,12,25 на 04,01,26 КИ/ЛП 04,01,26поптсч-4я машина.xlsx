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E3FBA2D-A988-43EF-8EA8-66EFF91062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M424" i="1"/>
  <c r="Y424" i="1"/>
  <c r="W506" i="1" s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Y408" i="1" s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Y378" i="1" s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L506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Y188" i="1" s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BP108" i="1" s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N93" i="1"/>
  <c r="BM93" i="1"/>
  <c r="Z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X497" i="1" s="1"/>
  <c r="Y22" i="1"/>
  <c r="Y25" i="1" s="1"/>
  <c r="P22" i="1"/>
  <c r="H10" i="1"/>
  <c r="A9" i="1"/>
  <c r="F10" i="1" s="1"/>
  <c r="D7" i="1"/>
  <c r="Q6" i="1"/>
  <c r="P2" i="1"/>
  <c r="BP104" i="1" l="1"/>
  <c r="BN104" i="1"/>
  <c r="Z104" i="1"/>
  <c r="BP148" i="1"/>
  <c r="BN148" i="1"/>
  <c r="Z148" i="1"/>
  <c r="BP180" i="1"/>
  <c r="BN180" i="1"/>
  <c r="Z180" i="1"/>
  <c r="BP209" i="1"/>
  <c r="BN209" i="1"/>
  <c r="Z209" i="1"/>
  <c r="BP236" i="1"/>
  <c r="BN236" i="1"/>
  <c r="Z236" i="1"/>
  <c r="BP265" i="1"/>
  <c r="BN265" i="1"/>
  <c r="Z265" i="1"/>
  <c r="BP301" i="1"/>
  <c r="BN301" i="1"/>
  <c r="Z301" i="1"/>
  <c r="BP325" i="1"/>
  <c r="BN325" i="1"/>
  <c r="Z325" i="1"/>
  <c r="BP356" i="1"/>
  <c r="BN356" i="1"/>
  <c r="Z356" i="1"/>
  <c r="BP401" i="1"/>
  <c r="BN401" i="1"/>
  <c r="Z401" i="1"/>
  <c r="BP441" i="1"/>
  <c r="BN441" i="1"/>
  <c r="Z441" i="1"/>
  <c r="BP469" i="1"/>
  <c r="BN469" i="1"/>
  <c r="Z469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BP118" i="1"/>
  <c r="BN118" i="1"/>
  <c r="Z118" i="1"/>
  <c r="BP172" i="1"/>
  <c r="BN172" i="1"/>
  <c r="Z172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74" i="1"/>
  <c r="BN274" i="1"/>
  <c r="Z274" i="1"/>
  <c r="BP311" i="1"/>
  <c r="BN311" i="1"/>
  <c r="Z311" i="1"/>
  <c r="BP337" i="1"/>
  <c r="BN337" i="1"/>
  <c r="Z337" i="1"/>
  <c r="BP387" i="1"/>
  <c r="BN387" i="1"/>
  <c r="Z387" i="1"/>
  <c r="BP433" i="1"/>
  <c r="BN433" i="1"/>
  <c r="Z433" i="1"/>
  <c r="BP451" i="1"/>
  <c r="BN451" i="1"/>
  <c r="Z451" i="1"/>
  <c r="BP487" i="1"/>
  <c r="BN487" i="1"/>
  <c r="Z487" i="1"/>
  <c r="Y187" i="1"/>
  <c r="BP299" i="1"/>
  <c r="BN299" i="1"/>
  <c r="Z299" i="1"/>
  <c r="BP309" i="1"/>
  <c r="BN309" i="1"/>
  <c r="Z309" i="1"/>
  <c r="Y327" i="1"/>
  <c r="BP323" i="1"/>
  <c r="BN323" i="1"/>
  <c r="Z323" i="1"/>
  <c r="BP344" i="1"/>
  <c r="BN344" i="1"/>
  <c r="Z344" i="1"/>
  <c r="BP362" i="1"/>
  <c r="BN362" i="1"/>
  <c r="Z362" i="1"/>
  <c r="BP395" i="1"/>
  <c r="BN395" i="1"/>
  <c r="Z395" i="1"/>
  <c r="BP407" i="1"/>
  <c r="BN407" i="1"/>
  <c r="Z407" i="1"/>
  <c r="Y413" i="1"/>
  <c r="BP412" i="1"/>
  <c r="BN412" i="1"/>
  <c r="Z412" i="1"/>
  <c r="Z413" i="1" s="1"/>
  <c r="BP416" i="1"/>
  <c r="BN416" i="1"/>
  <c r="Z416" i="1"/>
  <c r="BP435" i="1"/>
  <c r="BN435" i="1"/>
  <c r="Z435" i="1"/>
  <c r="BP445" i="1"/>
  <c r="BN445" i="1"/>
  <c r="Z445" i="1"/>
  <c r="BP467" i="1"/>
  <c r="BN467" i="1"/>
  <c r="Z467" i="1"/>
  <c r="Y485" i="1"/>
  <c r="Y484" i="1"/>
  <c r="BP483" i="1"/>
  <c r="BN483" i="1"/>
  <c r="Z483" i="1"/>
  <c r="Z484" i="1" s="1"/>
  <c r="X498" i="1"/>
  <c r="X499" i="1" s="1"/>
  <c r="Z27" i="1"/>
  <c r="BN27" i="1"/>
  <c r="Z31" i="1"/>
  <c r="BN31" i="1"/>
  <c r="Z43" i="1"/>
  <c r="BN43" i="1"/>
  <c r="D506" i="1"/>
  <c r="Z54" i="1"/>
  <c r="BN54" i="1"/>
  <c r="Z62" i="1"/>
  <c r="BN62" i="1"/>
  <c r="Z72" i="1"/>
  <c r="BN72" i="1"/>
  <c r="BP72" i="1"/>
  <c r="Z80" i="1"/>
  <c r="BN80" i="1"/>
  <c r="Z87" i="1"/>
  <c r="BN87" i="1"/>
  <c r="Z95" i="1"/>
  <c r="BN95" i="1"/>
  <c r="Z102" i="1"/>
  <c r="BN102" i="1"/>
  <c r="Z108" i="1"/>
  <c r="BN108" i="1"/>
  <c r="Z116" i="1"/>
  <c r="BN116" i="1"/>
  <c r="Z122" i="1"/>
  <c r="Z123" i="1" s="1"/>
  <c r="BN122" i="1"/>
  <c r="BP122" i="1"/>
  <c r="Y123" i="1"/>
  <c r="Z127" i="1"/>
  <c r="BN127" i="1"/>
  <c r="Z144" i="1"/>
  <c r="BN144" i="1"/>
  <c r="Y154" i="1"/>
  <c r="Z150" i="1"/>
  <c r="BN150" i="1"/>
  <c r="Y182" i="1"/>
  <c r="Z170" i="1"/>
  <c r="BN170" i="1"/>
  <c r="Z174" i="1"/>
  <c r="BN174" i="1"/>
  <c r="Z178" i="1"/>
  <c r="BN178" i="1"/>
  <c r="Z184" i="1"/>
  <c r="BN184" i="1"/>
  <c r="BP184" i="1"/>
  <c r="Z201" i="1"/>
  <c r="BN201" i="1"/>
  <c r="Y213" i="1"/>
  <c r="Z207" i="1"/>
  <c r="BN207" i="1"/>
  <c r="Z211" i="1"/>
  <c r="BN211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BP263" i="1"/>
  <c r="Z267" i="1"/>
  <c r="BN267" i="1"/>
  <c r="BP272" i="1"/>
  <c r="BN272" i="1"/>
  <c r="BP281" i="1"/>
  <c r="BN281" i="1"/>
  <c r="Z281" i="1"/>
  <c r="BP303" i="1"/>
  <c r="BN303" i="1"/>
  <c r="Z303" i="1"/>
  <c r="BP317" i="1"/>
  <c r="BN317" i="1"/>
  <c r="Z317" i="1"/>
  <c r="Y326" i="1"/>
  <c r="BP331" i="1"/>
  <c r="BN331" i="1"/>
  <c r="Z331" i="1"/>
  <c r="BP354" i="1"/>
  <c r="BN354" i="1"/>
  <c r="Z354" i="1"/>
  <c r="BP377" i="1"/>
  <c r="BN377" i="1"/>
  <c r="Z377" i="1"/>
  <c r="BP381" i="1"/>
  <c r="BN381" i="1"/>
  <c r="Z381" i="1"/>
  <c r="BP399" i="1"/>
  <c r="BN399" i="1"/>
  <c r="Z399" i="1"/>
  <c r="BP431" i="1"/>
  <c r="BN431" i="1"/>
  <c r="Z431" i="1"/>
  <c r="BP439" i="1"/>
  <c r="BN439" i="1"/>
  <c r="Z439" i="1"/>
  <c r="Y448" i="1"/>
  <c r="BP453" i="1"/>
  <c r="BN453" i="1"/>
  <c r="Z453" i="1"/>
  <c r="BP473" i="1"/>
  <c r="BN473" i="1"/>
  <c r="Z473" i="1"/>
  <c r="Y313" i="1"/>
  <c r="Y368" i="1"/>
  <c r="H9" i="1"/>
  <c r="A10" i="1"/>
  <c r="Y24" i="1"/>
  <c r="BP28" i="1"/>
  <c r="BN28" i="1"/>
  <c r="Z28" i="1"/>
  <c r="Y32" i="1"/>
  <c r="BP42" i="1"/>
  <c r="BN42" i="1"/>
  <c r="Z42" i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H506" i="1"/>
  <c r="Y146" i="1"/>
  <c r="BP143" i="1"/>
  <c r="BN143" i="1"/>
  <c r="Z143" i="1"/>
  <c r="Z145" i="1" s="1"/>
  <c r="BP151" i="1"/>
  <c r="BN151" i="1"/>
  <c r="Z151" i="1"/>
  <c r="BP171" i="1"/>
  <c r="BN171" i="1"/>
  <c r="Z171" i="1"/>
  <c r="BP175" i="1"/>
  <c r="BN175" i="1"/>
  <c r="Z175" i="1"/>
  <c r="BP179" i="1"/>
  <c r="BN179" i="1"/>
  <c r="Z179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BP257" i="1"/>
  <c r="BN257" i="1"/>
  <c r="Z257" i="1"/>
  <c r="BP266" i="1"/>
  <c r="BN266" i="1"/>
  <c r="Z266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BP330" i="1"/>
  <c r="BN330" i="1"/>
  <c r="Z330" i="1"/>
  <c r="BP338" i="1"/>
  <c r="BN338" i="1"/>
  <c r="Z338" i="1"/>
  <c r="Y340" i="1"/>
  <c r="R506" i="1"/>
  <c r="Y346" i="1"/>
  <c r="BP343" i="1"/>
  <c r="BN343" i="1"/>
  <c r="Z343" i="1"/>
  <c r="Y347" i="1"/>
  <c r="BP353" i="1"/>
  <c r="BN353" i="1"/>
  <c r="Z353" i="1"/>
  <c r="BP357" i="1"/>
  <c r="BN357" i="1"/>
  <c r="Z357" i="1"/>
  <c r="Y359" i="1"/>
  <c r="Y364" i="1"/>
  <c r="BP361" i="1"/>
  <c r="BN361" i="1"/>
  <c r="Z361" i="1"/>
  <c r="Z363" i="1" s="1"/>
  <c r="Y363" i="1"/>
  <c r="Y457" i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Y475" i="1"/>
  <c r="BP474" i="1"/>
  <c r="BN474" i="1"/>
  <c r="Z474" i="1"/>
  <c r="Z475" i="1" s="1"/>
  <c r="Y476" i="1"/>
  <c r="Y481" i="1"/>
  <c r="BP478" i="1"/>
  <c r="BN478" i="1"/>
  <c r="Z478" i="1"/>
  <c r="Z480" i="1" s="1"/>
  <c r="Y480" i="1"/>
  <c r="B506" i="1"/>
  <c r="J506" i="1"/>
  <c r="S506" i="1"/>
  <c r="F9" i="1"/>
  <c r="J9" i="1"/>
  <c r="Z22" i="1"/>
  <c r="Z24" i="1" s="1"/>
  <c r="BN22" i="1"/>
  <c r="BP22" i="1"/>
  <c r="X500" i="1"/>
  <c r="X496" i="1"/>
  <c r="Y33" i="1"/>
  <c r="BP30" i="1"/>
  <c r="BN30" i="1"/>
  <c r="Z30" i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BP94" i="1"/>
  <c r="BN94" i="1"/>
  <c r="Z94" i="1"/>
  <c r="Y106" i="1"/>
  <c r="BP103" i="1"/>
  <c r="BN103" i="1"/>
  <c r="Z103" i="1"/>
  <c r="Y112" i="1"/>
  <c r="BP111" i="1"/>
  <c r="BN111" i="1"/>
  <c r="Z111" i="1"/>
  <c r="Y113" i="1"/>
  <c r="Y120" i="1"/>
  <c r="BP115" i="1"/>
  <c r="BN115" i="1"/>
  <c r="Z115" i="1"/>
  <c r="Z119" i="1" s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Y197" i="1"/>
  <c r="Y202" i="1"/>
  <c r="BP206" i="1"/>
  <c r="BN206" i="1"/>
  <c r="Z206" i="1"/>
  <c r="BP210" i="1"/>
  <c r="BN210" i="1"/>
  <c r="Z210" i="1"/>
  <c r="BP218" i="1"/>
  <c r="BN218" i="1"/>
  <c r="Z218" i="1"/>
  <c r="BP222" i="1"/>
  <c r="BN222" i="1"/>
  <c r="Z222" i="1"/>
  <c r="Y230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Y268" i="1"/>
  <c r="BP273" i="1"/>
  <c r="BN273" i="1"/>
  <c r="Z273" i="1"/>
  <c r="BP282" i="1"/>
  <c r="BN282" i="1"/>
  <c r="Z282" i="1"/>
  <c r="Y284" i="1"/>
  <c r="P506" i="1"/>
  <c r="Y290" i="1"/>
  <c r="BP287" i="1"/>
  <c r="BN287" i="1"/>
  <c r="Z287" i="1"/>
  <c r="Z289" i="1" s="1"/>
  <c r="Y294" i="1"/>
  <c r="BP300" i="1"/>
  <c r="BN300" i="1"/>
  <c r="Z300" i="1"/>
  <c r="Y304" i="1"/>
  <c r="BP308" i="1"/>
  <c r="BN308" i="1"/>
  <c r="Z308" i="1"/>
  <c r="BP312" i="1"/>
  <c r="BN312" i="1"/>
  <c r="Z312" i="1"/>
  <c r="Y314" i="1"/>
  <c r="Y321" i="1"/>
  <c r="BP316" i="1"/>
  <c r="BN316" i="1"/>
  <c r="Z316" i="1"/>
  <c r="Z320" i="1" s="1"/>
  <c r="Y320" i="1"/>
  <c r="BP324" i="1"/>
  <c r="BN324" i="1"/>
  <c r="Z324" i="1"/>
  <c r="Z326" i="1" s="1"/>
  <c r="Y333" i="1"/>
  <c r="BP332" i="1"/>
  <c r="BN332" i="1"/>
  <c r="Z332" i="1"/>
  <c r="Y334" i="1"/>
  <c r="Y339" i="1"/>
  <c r="BP336" i="1"/>
  <c r="BN336" i="1"/>
  <c r="Z336" i="1"/>
  <c r="BP382" i="1"/>
  <c r="BN382" i="1"/>
  <c r="Z382" i="1"/>
  <c r="Z383" i="1" s="1"/>
  <c r="Y384" i="1"/>
  <c r="Y389" i="1"/>
  <c r="BP386" i="1"/>
  <c r="BN386" i="1"/>
  <c r="Z386" i="1"/>
  <c r="Y390" i="1"/>
  <c r="BP396" i="1"/>
  <c r="BN396" i="1"/>
  <c r="Z396" i="1"/>
  <c r="BP400" i="1"/>
  <c r="BN400" i="1"/>
  <c r="Z400" i="1"/>
  <c r="BP417" i="1"/>
  <c r="BN417" i="1"/>
  <c r="Z417" i="1"/>
  <c r="Y421" i="1"/>
  <c r="BP432" i="1"/>
  <c r="BN432" i="1"/>
  <c r="Z432" i="1"/>
  <c r="BP436" i="1"/>
  <c r="BN436" i="1"/>
  <c r="Z436" i="1"/>
  <c r="BP440" i="1"/>
  <c r="BN440" i="1"/>
  <c r="Z440" i="1"/>
  <c r="Y489" i="1"/>
  <c r="BP488" i="1"/>
  <c r="BN488" i="1"/>
  <c r="Z488" i="1"/>
  <c r="Y490" i="1"/>
  <c r="Z506" i="1"/>
  <c r="Y494" i="1"/>
  <c r="BP493" i="1"/>
  <c r="BN493" i="1"/>
  <c r="Z493" i="1"/>
  <c r="Z494" i="1" s="1"/>
  <c r="Y495" i="1"/>
  <c r="F506" i="1"/>
  <c r="O506" i="1"/>
  <c r="C506" i="1"/>
  <c r="Y45" i="1"/>
  <c r="Y58" i="1"/>
  <c r="E506" i="1"/>
  <c r="Y89" i="1"/>
  <c r="G506" i="1"/>
  <c r="Y129" i="1"/>
  <c r="K506" i="1"/>
  <c r="Y244" i="1"/>
  <c r="Y269" i="1"/>
  <c r="M506" i="1"/>
  <c r="Y276" i="1"/>
  <c r="BP345" i="1"/>
  <c r="BN345" i="1"/>
  <c r="Z345" i="1"/>
  <c r="Y358" i="1"/>
  <c r="BP351" i="1"/>
  <c r="BN351" i="1"/>
  <c r="Z351" i="1"/>
  <c r="BP355" i="1"/>
  <c r="BN355" i="1"/>
  <c r="Z355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83" i="1"/>
  <c r="BP388" i="1"/>
  <c r="BN388" i="1"/>
  <c r="Z388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V506" i="1"/>
  <c r="Y420" i="1"/>
  <c r="BP419" i="1"/>
  <c r="BN419" i="1"/>
  <c r="Z419" i="1"/>
  <c r="Y425" i="1"/>
  <c r="BP424" i="1"/>
  <c r="BN424" i="1"/>
  <c r="Z424" i="1"/>
  <c r="Z425" i="1" s="1"/>
  <c r="Y426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Y449" i="1"/>
  <c r="BP446" i="1"/>
  <c r="BN446" i="1"/>
  <c r="Z446" i="1"/>
  <c r="BP454" i="1"/>
  <c r="BN454" i="1"/>
  <c r="Z454" i="1"/>
  <c r="BP468" i="1"/>
  <c r="BN468" i="1"/>
  <c r="Z468" i="1"/>
  <c r="U506" i="1"/>
  <c r="Y414" i="1"/>
  <c r="Z448" i="1" l="1"/>
  <c r="Z358" i="1"/>
  <c r="Z489" i="1"/>
  <c r="Z339" i="1"/>
  <c r="Z276" i="1"/>
  <c r="Z268" i="1"/>
  <c r="Z44" i="1"/>
  <c r="Z420" i="1"/>
  <c r="Z470" i="1"/>
  <c r="Z313" i="1"/>
  <c r="Z243" i="1"/>
  <c r="Z181" i="1"/>
  <c r="Y496" i="1"/>
  <c r="Z457" i="1"/>
  <c r="Z333" i="1"/>
  <c r="Z304" i="1"/>
  <c r="Z96" i="1"/>
  <c r="Z32" i="1"/>
  <c r="Y498" i="1"/>
  <c r="Z225" i="1"/>
  <c r="Y500" i="1"/>
  <c r="Z442" i="1"/>
  <c r="Z403" i="1"/>
  <c r="Z389" i="1"/>
  <c r="Z213" i="1"/>
  <c r="Y497" i="1"/>
  <c r="Y499" i="1" s="1"/>
  <c r="Z346" i="1"/>
  <c r="Z283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<sst xmlns="http://schemas.openxmlformats.org/spreadsheetml/2006/main" count="2386" uniqueCount="785">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</sst>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46026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60</v>
      </c>
      <c r="Y53" s="556">
        <f t="shared" si="0"/>
        <v>64.800000000000011</v>
      </c>
      <c r="Z53" s="36">
        <f>IFERROR(IF(Y53=0,"",ROUNDUP(Y53/H53,0)*0.01898),"")</f>
        <v>0.11388000000000001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62.277777777777779</v>
      </c>
      <c r="BN53" s="64">
        <f t="shared" si="2"/>
        <v>67.260000000000005</v>
      </c>
      <c r="BO53" s="64">
        <f t="shared" si="3"/>
        <v>8.6805555555555552E-2</v>
      </c>
      <c r="BP53" s="64">
        <f t="shared" si="4"/>
        <v>9.3750000000000014E-2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22</v>
      </c>
      <c r="Y57" s="556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22.928888888888892</v>
      </c>
      <c r="BN57" s="64">
        <f t="shared" si="2"/>
        <v>23.450000000000003</v>
      </c>
      <c r="BO57" s="64">
        <f t="shared" si="3"/>
        <v>3.7037037037037042E-2</v>
      </c>
      <c r="BP57" s="64">
        <f t="shared" si="4"/>
        <v>3.787878787878788E-2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10.444444444444445</v>
      </c>
      <c r="Y58" s="557">
        <f>IFERROR(Y52/H52,"0")+IFERROR(Y53/H53,"0")+IFERROR(Y54/H54,"0")+IFERROR(Y55/H55,"0")+IFERROR(Y56/H56,"0")+IFERROR(Y57/H57,"0")</f>
        <v>11</v>
      </c>
      <c r="Z58" s="557">
        <f>IFERROR(IF(Z52="",0,Z52),"0")+IFERROR(IF(Z53="",0,Z53),"0")+IFERROR(IF(Z54="",0,Z54),"0")+IFERROR(IF(Z55="",0,Z55),"0")+IFERROR(IF(Z56="",0,Z56),"0")+IFERROR(IF(Z57="",0,Z57),"0")</f>
        <v>0.15898000000000001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82</v>
      </c>
      <c r="Y59" s="557">
        <f>IFERROR(SUM(Y52:Y57),"0")</f>
        <v>87.300000000000011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50</v>
      </c>
      <c r="Y79" s="556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52.628205128205138</v>
      </c>
      <c r="BN79" s="64">
        <f>IFERROR(Y79*I79/H79,"0")</f>
        <v>57.470000000000013</v>
      </c>
      <c r="BO79" s="64">
        <f>IFERROR(1/J79*(X79/H79),"0")</f>
        <v>0.10016025641025642</v>
      </c>
      <c r="BP79" s="64">
        <f>IFERROR(1/J79*(Y79/H79),"0")</f>
        <v>0.109375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6.4102564102564106</v>
      </c>
      <c r="Y81" s="557">
        <f>IFERROR(Y79/H79,"0")+IFERROR(Y80/H80,"0")</f>
        <v>7</v>
      </c>
      <c r="Z81" s="557">
        <f>IFERROR(IF(Z79="",0,Z79),"0")+IFERROR(IF(Z80="",0,Z80),"0")</f>
        <v>0.13286000000000001</v>
      </c>
      <c r="AA81" s="558"/>
      <c r="AB81" s="558"/>
      <c r="AC81" s="558"/>
    </row>
    <row r="82" spans="1:68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50</v>
      </c>
      <c r="Y82" s="557">
        <f>IFERROR(SUM(Y79:Y80),"0")</f>
        <v>54.6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40</v>
      </c>
      <c r="Y85" s="556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41.518518518518519</v>
      </c>
      <c r="BN85" s="64">
        <f>IFERROR(Y85*I85/H85,"0")</f>
        <v>44.84</v>
      </c>
      <c r="BO85" s="64">
        <f>IFERROR(1/J85*(X85/H85),"0")</f>
        <v>5.7870370370370364E-2</v>
      </c>
      <c r="BP85" s="64">
        <f>IFERROR(1/J85*(Y85/H85),"0")</f>
        <v>6.25E-2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3.7037037037037033</v>
      </c>
      <c r="Y89" s="557">
        <f>IFERROR(Y85/H85,"0")+IFERROR(Y86/H86,"0")+IFERROR(Y87/H87,"0")+IFERROR(Y88/H88,"0")</f>
        <v>4</v>
      </c>
      <c r="Z89" s="557">
        <f>IFERROR(IF(Z85="",0,Z85),"0")+IFERROR(IF(Z86="",0,Z86),"0")+IFERROR(IF(Z87="",0,Z87),"0")+IFERROR(IF(Z88="",0,Z88),"0")</f>
        <v>7.5920000000000001E-2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40</v>
      </c>
      <c r="Y90" s="557">
        <f>IFERROR(SUM(Y85:Y88),"0")</f>
        <v>43.2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50</v>
      </c>
      <c r="Y92" s="556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53.049382716049386</v>
      </c>
      <c r="BN92" s="64">
        <f>IFERROR(Y92*I92/H92,"0")</f>
        <v>60.157999999999994</v>
      </c>
      <c r="BO92" s="64">
        <f>IFERROR(1/J92*(X92/H92),"0")</f>
        <v>9.6450617283950615E-2</v>
      </c>
      <c r="BP92" s="64">
        <f>IFERROR(1/J92*(Y92/H92),"0")</f>
        <v>0.109375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6.1728395061728394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0.13286000000000001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50</v>
      </c>
      <c r="Y97" s="557">
        <f>IFERROR(SUM(Y92:Y95),"0")</f>
        <v>56.699999999999996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30</v>
      </c>
      <c r="Y100" s="556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31.138888888888889</v>
      </c>
      <c r="BN100" s="64">
        <f>IFERROR(Y100*I100/H100,"0")</f>
        <v>33.630000000000003</v>
      </c>
      <c r="BO100" s="64">
        <f>IFERROR(1/J100*(X100/H100),"0")</f>
        <v>4.3402777777777776E-2</v>
      </c>
      <c r="BP100" s="64">
        <f>IFERROR(1/J100*(Y100/H100),"0")</f>
        <v>4.6875000000000007E-2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2.7777777777777777</v>
      </c>
      <c r="Y105" s="557">
        <f>IFERROR(Y100/H100,"0")+IFERROR(Y101/H101,"0")+IFERROR(Y102/H102,"0")+IFERROR(Y103/H103,"0")+IFERROR(Y104/H104,"0")</f>
        <v>3.0000000000000004</v>
      </c>
      <c r="Z105" s="557">
        <f>IFERROR(IF(Z100="",0,Z100),"0")+IFERROR(IF(Z101="",0,Z101),"0")+IFERROR(IF(Z102="",0,Z102),"0")+IFERROR(IF(Z103="",0,Z103),"0")+IFERROR(IF(Z104="",0,Z104),"0")</f>
        <v>5.6940000000000004E-2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30</v>
      </c>
      <c r="Y106" s="557">
        <f>IFERROR(SUM(Y100:Y104),"0")</f>
        <v>32.400000000000006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50</v>
      </c>
      <c r="Y115" s="556">
        <f>IFERROR(IF(X115="",0,CEILING((X115/$H115),1)*$H115),"")</f>
        <v>56.699999999999996</v>
      </c>
      <c r="Z115" s="36">
        <f>IFERROR(IF(Y115=0,"",ROUNDUP(Y115/H115,0)*0.01898),"")</f>
        <v>0.13286000000000001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53.012345679012348</v>
      </c>
      <c r="BN115" s="64">
        <f>IFERROR(Y115*I115/H115,"0")</f>
        <v>60.115999999999993</v>
      </c>
      <c r="BO115" s="64">
        <f>IFERROR(1/J115*(X115/H115),"0")</f>
        <v>9.6450617283950615E-2</v>
      </c>
      <c r="BP115" s="64">
        <f>IFERROR(1/J115*(Y115/H115),"0")</f>
        <v>0.109375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6.1728395061728394</v>
      </c>
      <c r="Y119" s="557">
        <f>IFERROR(Y115/H115,"0")+IFERROR(Y116/H116,"0")+IFERROR(Y117/H117,"0")+IFERROR(Y118/H118,"0")</f>
        <v>7</v>
      </c>
      <c r="Z119" s="557">
        <f>IFERROR(IF(Z115="",0,Z115),"0")+IFERROR(IF(Z116="",0,Z116),"0")+IFERROR(IF(Z117="",0,Z117),"0")+IFERROR(IF(Z118="",0,Z118),"0")</f>
        <v>0.13286000000000001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50</v>
      </c>
      <c r="Y120" s="557">
        <f>IFERROR(SUM(Y115:Y118),"0")</f>
        <v>56.699999999999996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128</v>
      </c>
      <c r="Y127" s="556">
        <f>IFERROR(IF(X127="",0,CEILING((X127/$H127),1)*$H127),"")</f>
        <v>128</v>
      </c>
      <c r="Z127" s="36">
        <f>IFERROR(IF(Y127=0,"",ROUNDUP(Y127/H127,0)*0.00651),"")</f>
        <v>0.26040000000000002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135.19999999999999</v>
      </c>
      <c r="BN127" s="64">
        <f>IFERROR(Y127*I127/H127,"0")</f>
        <v>135.19999999999999</v>
      </c>
      <c r="BO127" s="64">
        <f>IFERROR(1/J127*(X127/H127),"0")</f>
        <v>0.2197802197802198</v>
      </c>
      <c r="BP127" s="64">
        <f>IFERROR(1/J127*(Y127/H127),"0")</f>
        <v>0.2197802197802198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40</v>
      </c>
      <c r="Y129" s="557">
        <f>IFERROR(Y127/H127,"0")+IFERROR(Y128/H128,"0")</f>
        <v>40</v>
      </c>
      <c r="Z129" s="557">
        <f>IFERROR(IF(Z127="",0,Z127),"0")+IFERROR(IF(Z128="",0,Z128),"0")</f>
        <v>0.26040000000000002</v>
      </c>
      <c r="AA129" s="558"/>
      <c r="AB129" s="558"/>
      <c r="AC129" s="558"/>
    </row>
    <row r="130" spans="1:68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128</v>
      </c>
      <c r="Y130" s="557">
        <f>IFERROR(SUM(Y127:Y128),"0")</f>
        <v>128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84</v>
      </c>
      <c r="Y132" s="556">
        <f>IFERROR(IF(X132="",0,CEILING((X132/$H132),1)*$H132),"")</f>
        <v>84</v>
      </c>
      <c r="Z132" s="36">
        <f>IFERROR(IF(Y132=0,"",ROUNDUP(Y132/H132,0)*0.00651),"")</f>
        <v>0.1953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92.04</v>
      </c>
      <c r="BN132" s="64">
        <f>IFERROR(Y132*I132/H132,"0")</f>
        <v>92.04</v>
      </c>
      <c r="BO132" s="64">
        <f>IFERROR(1/J132*(X132/H132),"0")</f>
        <v>0.16483516483516486</v>
      </c>
      <c r="BP132" s="64">
        <f>IFERROR(1/J132*(Y132/H132),"0")</f>
        <v>0.16483516483516486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30.000000000000004</v>
      </c>
      <c r="Y134" s="557">
        <f>IFERROR(Y132/H132,"0")+IFERROR(Y133/H133,"0")</f>
        <v>30.000000000000004</v>
      </c>
      <c r="Z134" s="557">
        <f>IFERROR(IF(Z132="",0,Z132),"0")+IFERROR(IF(Z133="",0,Z133),"0")</f>
        <v>0.1953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84</v>
      </c>
      <c r="Y135" s="557">
        <f>IFERROR(SUM(Y132:Y133),"0")</f>
        <v>84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20</v>
      </c>
      <c r="Y169" s="556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21.19047619047619</v>
      </c>
      <c r="BN169" s="64">
        <f t="shared" si="12"/>
        <v>22.25</v>
      </c>
      <c r="BO169" s="64">
        <f t="shared" si="13"/>
        <v>3.6075036075036072E-2</v>
      </c>
      <c r="BP169" s="64">
        <f t="shared" si="14"/>
        <v>3.787878787878788E-2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60</v>
      </c>
      <c r="Y171" s="556">
        <f t="shared" si="10"/>
        <v>63</v>
      </c>
      <c r="Z171" s="36">
        <f>IFERROR(IF(Y171=0,"",ROUNDUP(Y171/H171,0)*0.00902),"")</f>
        <v>0.1353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62.714285714285708</v>
      </c>
      <c r="BN171" s="64">
        <f t="shared" si="12"/>
        <v>65.849999999999994</v>
      </c>
      <c r="BO171" s="64">
        <f t="shared" si="13"/>
        <v>0.10822510822510822</v>
      </c>
      <c r="BP171" s="64">
        <f t="shared" si="14"/>
        <v>0.11363636363636365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19.047619047619047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0.1804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80</v>
      </c>
      <c r="Y182" s="557">
        <f>IFERROR(SUM(Y167:Y180),"0")</f>
        <v>84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320</v>
      </c>
      <c r="Y205" s="556">
        <f t="shared" ref="Y205:Y212" si="15">IFERROR(IF(X205="",0,CEILING((X205/$H205),1)*$H205),"")</f>
        <v>324</v>
      </c>
      <c r="Z205" s="36">
        <f>IFERROR(IF(Y205=0,"",ROUNDUP(Y205/H205,0)*0.00902),"")</f>
        <v>0.54120000000000001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331.25925925925924</v>
      </c>
      <c r="BN205" s="64">
        <f t="shared" ref="BN205:BN212" si="17">IFERROR(Y205*I205/H205,"0")</f>
        <v>335.4</v>
      </c>
      <c r="BO205" s="64">
        <f t="shared" ref="BO205:BO212" si="18">IFERROR(1/J205*(X205/H205),"0")</f>
        <v>0.44893378226711556</v>
      </c>
      <c r="BP205" s="64">
        <f t="shared" ref="BP205:BP212" si="19">IFERROR(1/J205*(Y205/H205),"0")</f>
        <v>0.45454545454545453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230</v>
      </c>
      <c r="Y206" s="556">
        <f t="shared" si="15"/>
        <v>232.20000000000002</v>
      </c>
      <c r="Z206" s="36">
        <f>IFERROR(IF(Y206=0,"",ROUNDUP(Y206/H206,0)*0.00902),"")</f>
        <v>0.38785999999999998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238.09259259259258</v>
      </c>
      <c r="BN206" s="64">
        <f t="shared" si="17"/>
        <v>240.37</v>
      </c>
      <c r="BO206" s="64">
        <f t="shared" si="18"/>
        <v>0.32267115600448931</v>
      </c>
      <c r="BP206" s="64">
        <f t="shared" si="19"/>
        <v>0.32575757575757575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220</v>
      </c>
      <c r="Y207" s="556">
        <f t="shared" si="15"/>
        <v>221.4</v>
      </c>
      <c r="Z207" s="36">
        <f>IFERROR(IF(Y207=0,"",ROUNDUP(Y207/H207,0)*0.00902),"")</f>
        <v>0.36982000000000004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227.7407407407407</v>
      </c>
      <c r="BN207" s="64">
        <f t="shared" si="17"/>
        <v>229.18999999999997</v>
      </c>
      <c r="BO207" s="64">
        <f t="shared" si="18"/>
        <v>0.30864197530864196</v>
      </c>
      <c r="BP207" s="64">
        <f t="shared" si="19"/>
        <v>0.31060606060606061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540</v>
      </c>
      <c r="Y208" s="556">
        <f t="shared" si="15"/>
        <v>540</v>
      </c>
      <c r="Z208" s="36">
        <f>IFERROR(IF(Y208=0,"",ROUNDUP(Y208/H208,0)*0.00902),"")</f>
        <v>0.90200000000000002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559</v>
      </c>
      <c r="BN208" s="64">
        <f t="shared" si="17"/>
        <v>559</v>
      </c>
      <c r="BO208" s="64">
        <f t="shared" si="18"/>
        <v>0.75757575757575757</v>
      </c>
      <c r="BP208" s="64">
        <f t="shared" si="19"/>
        <v>0.75757575757575757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242.59259259259258</v>
      </c>
      <c r="Y213" s="557">
        <f>IFERROR(Y205/H205,"0")+IFERROR(Y206/H206,"0")+IFERROR(Y207/H207,"0")+IFERROR(Y208/H208,"0")+IFERROR(Y209/H209,"0")+IFERROR(Y210/H210,"0")+IFERROR(Y211/H211,"0")+IFERROR(Y212/H212,"0")</f>
        <v>244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2.2008800000000002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1310</v>
      </c>
      <c r="Y214" s="557">
        <f>IFERROR(SUM(Y205:Y212),"0")</f>
        <v>1317.6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60</v>
      </c>
      <c r="Y218" s="556">
        <f t="shared" si="20"/>
        <v>60.899999999999991</v>
      </c>
      <c r="Z218" s="36">
        <f>IFERROR(IF(Y218=0,"",ROUNDUP(Y218/H218,0)*0.01898),"")</f>
        <v>0.13286000000000001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63.406896551724152</v>
      </c>
      <c r="BN218" s="64">
        <f t="shared" si="22"/>
        <v>64.358000000000004</v>
      </c>
      <c r="BO218" s="64">
        <f t="shared" si="23"/>
        <v>0.10775862068965518</v>
      </c>
      <c r="BP218" s="64">
        <f t="shared" si="24"/>
        <v>0.109375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48</v>
      </c>
      <c r="Y221" s="556">
        <f t="shared" si="20"/>
        <v>48</v>
      </c>
      <c r="Z221" s="36">
        <f t="shared" si="25"/>
        <v>0.13020000000000001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53.040000000000006</v>
      </c>
      <c r="BN221" s="64">
        <f t="shared" si="22"/>
        <v>53.040000000000006</v>
      </c>
      <c r="BO221" s="64">
        <f t="shared" si="23"/>
        <v>0.1098901098901099</v>
      </c>
      <c r="BP221" s="64">
        <f t="shared" si="24"/>
        <v>0.1098901098901099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31</v>
      </c>
      <c r="Y223" s="556">
        <f t="shared" si="20"/>
        <v>31.2</v>
      </c>
      <c r="Z223" s="36">
        <f t="shared" si="25"/>
        <v>8.4629999999999997E-2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34.255000000000003</v>
      </c>
      <c r="BN223" s="64">
        <f t="shared" si="22"/>
        <v>34.476000000000006</v>
      </c>
      <c r="BO223" s="64">
        <f t="shared" si="23"/>
        <v>7.0970695970695982E-2</v>
      </c>
      <c r="BP223" s="64">
        <f t="shared" si="24"/>
        <v>7.1428571428571438E-2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7</v>
      </c>
      <c r="Y224" s="556">
        <f t="shared" si="20"/>
        <v>7.1999999999999993</v>
      </c>
      <c r="Z224" s="36">
        <f t="shared" si="25"/>
        <v>1.9529999999999999E-2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7.7524999999999995</v>
      </c>
      <c r="BN224" s="64">
        <f t="shared" si="22"/>
        <v>7.9740000000000002</v>
      </c>
      <c r="BO224" s="64">
        <f t="shared" si="23"/>
        <v>1.6025641025641028E-2</v>
      </c>
      <c r="BP224" s="64">
        <f t="shared" si="24"/>
        <v>1.6483516483516484E-2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42.729885057471265</v>
      </c>
      <c r="Y225" s="557">
        <f>IFERROR(Y216/H216,"0")+IFERROR(Y217/H217,"0")+IFERROR(Y218/H218,"0")+IFERROR(Y219/H219,"0")+IFERROR(Y220/H220,"0")+IFERROR(Y221/H221,"0")+IFERROR(Y222/H222,"0")+IFERROR(Y223/H223,"0")+IFERROR(Y224/H224,"0")</f>
        <v>43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0.36721999999999999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146</v>
      </c>
      <c r="Y226" s="557">
        <f>IFERROR(SUM(Y216:Y224),"0")</f>
        <v>147.29999999999998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1400</v>
      </c>
      <c r="Y298" s="556">
        <f t="shared" ref="Y298:Y303" si="31">IFERROR(IF(X298="",0,CEILING((X298/$H298),1)*$H298),"")</f>
        <v>1404</v>
      </c>
      <c r="Z298" s="36">
        <f>IFERROR(IF(Y298=0,"",ROUNDUP(Y298/H298,0)*0.01898),"")</f>
        <v>2.4674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1453.1481481481483</v>
      </c>
      <c r="BN298" s="64">
        <f t="shared" ref="BN298:BN303" si="33">IFERROR(Y298*I298/H298,"0")</f>
        <v>1457.3000000000002</v>
      </c>
      <c r="BO298" s="64">
        <f t="shared" ref="BO298:BO303" si="34">IFERROR(1/J298*(X298/H298),"0")</f>
        <v>2.0254629629629628</v>
      </c>
      <c r="BP298" s="64">
        <f t="shared" ref="BP298:BP303" si="35">IFERROR(1/J298*(Y298/H298),"0")</f>
        <v>2.03125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129.62962962962962</v>
      </c>
      <c r="Y304" s="557">
        <f>IFERROR(Y298/H298,"0")+IFERROR(Y299/H299,"0")+IFERROR(Y300/H300,"0")+IFERROR(Y301/H301,"0")+IFERROR(Y302/H302,"0")+IFERROR(Y303/H303,"0")</f>
        <v>130</v>
      </c>
      <c r="Z304" s="557">
        <f>IFERROR(IF(Z298="",0,Z298),"0")+IFERROR(IF(Z299="",0,Z299),"0")+IFERROR(IF(Z300="",0,Z300),"0")+IFERROR(IF(Z301="",0,Z301),"0")+IFERROR(IF(Z302="",0,Z302),"0")+IFERROR(IF(Z303="",0,Z303),"0")</f>
        <v>2.4674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1400</v>
      </c>
      <c r="Y305" s="557">
        <f>IFERROR(SUM(Y298:Y303),"0")</f>
        <v>1404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6200</v>
      </c>
      <c r="Y316" s="556">
        <f>IFERROR(IF(X316="",0,CEILING((X316/$H316),1)*$H316),"")</f>
        <v>6201</v>
      </c>
      <c r="Z316" s="36">
        <f>IFERROR(IF(Y316=0,"",ROUNDUP(Y316/H316,0)*0.01898),"")</f>
        <v>15.0891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6587.8974358974356</v>
      </c>
      <c r="BN316" s="64">
        <f>IFERROR(Y316*I316/H316,"0")</f>
        <v>6588.96</v>
      </c>
      <c r="BO316" s="64">
        <f>IFERROR(1/J316*(X316/H316),"0")</f>
        <v>12.419871794871796</v>
      </c>
      <c r="BP316" s="64">
        <f>IFERROR(1/J316*(Y316/H316),"0")</f>
        <v>12.421875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794.87179487179492</v>
      </c>
      <c r="Y320" s="557">
        <f>IFERROR(Y316/H316,"0")+IFERROR(Y317/H317,"0")+IFERROR(Y318/H318,"0")+IFERROR(Y319/H319,"0")</f>
        <v>795</v>
      </c>
      <c r="Z320" s="557">
        <f>IFERROR(IF(Z316="",0,Z316),"0")+IFERROR(IF(Z317="",0,Z317),"0")+IFERROR(IF(Z318="",0,Z318),"0")+IFERROR(IF(Z319="",0,Z319),"0")</f>
        <v>15.0891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6200</v>
      </c>
      <c r="Y321" s="557">
        <f>IFERROR(SUM(Y316:Y319),"0")</f>
        <v>6201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40</v>
      </c>
      <c r="Y323" s="556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42.352380952380948</v>
      </c>
      <c r="BN323" s="64">
        <f>IFERROR(Y323*I323/H323,"0")</f>
        <v>44.47</v>
      </c>
      <c r="BO323" s="64">
        <f>IFERROR(1/J323*(X323/H323),"0")</f>
        <v>7.4404761904761904E-2</v>
      </c>
      <c r="BP323" s="64">
        <f>IFERROR(1/J323*(Y323/H323),"0")</f>
        <v>7.8125E-2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130</v>
      </c>
      <c r="Y324" s="556">
        <f>IFERROR(IF(X324="",0,CEILING((X324/$H324),1)*$H324),"")</f>
        <v>132.6</v>
      </c>
      <c r="Z324" s="36">
        <f>IFERROR(IF(Y324=0,"",ROUNDUP(Y324/H324,0)*0.01898),"")</f>
        <v>0.32266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138.23333333333335</v>
      </c>
      <c r="BN324" s="64">
        <f>IFERROR(Y324*I324/H324,"0")</f>
        <v>140.99799999999999</v>
      </c>
      <c r="BO324" s="64">
        <f>IFERROR(1/J324*(X324/H324),"0")</f>
        <v>0.26041666666666669</v>
      </c>
      <c r="BP324" s="64">
        <f>IFERROR(1/J324*(Y324/H324),"0")</f>
        <v>0.265625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50</v>
      </c>
      <c r="Y325" s="556">
        <f>IFERROR(IF(X325="",0,CEILING((X325/$H325),1)*$H325),"")</f>
        <v>50.400000000000006</v>
      </c>
      <c r="Z325" s="36">
        <f>IFERROR(IF(Y325=0,"",ROUNDUP(Y325/H325,0)*0.01898),"")</f>
        <v>0.11388000000000001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52.94047619047619</v>
      </c>
      <c r="BN325" s="64">
        <f>IFERROR(Y325*I325/H325,"0")</f>
        <v>53.364000000000004</v>
      </c>
      <c r="BO325" s="64">
        <f>IFERROR(1/J325*(X325/H325),"0")</f>
        <v>9.3005952380952384E-2</v>
      </c>
      <c r="BP325" s="64">
        <f>IFERROR(1/J325*(Y325/H325),"0")</f>
        <v>9.375E-2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27.380952380952383</v>
      </c>
      <c r="Y326" s="557">
        <f>IFERROR(Y323/H323,"0")+IFERROR(Y324/H324,"0")+IFERROR(Y325/H325,"0")</f>
        <v>28</v>
      </c>
      <c r="Z326" s="557">
        <f>IFERROR(IF(Z323="",0,Z323),"0")+IFERROR(IF(Z324="",0,Z324),"0")+IFERROR(IF(Z325="",0,Z325),"0")</f>
        <v>0.53144000000000002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220</v>
      </c>
      <c r="Y327" s="557">
        <f>IFERROR(SUM(Y323:Y325),"0")</f>
        <v>225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50</v>
      </c>
      <c r="Y343" s="556">
        <f>IFERROR(IF(X343="",0,CEILING((X343/$H343),1)*$H343),"")</f>
        <v>56.699999999999996</v>
      </c>
      <c r="Z343" s="36">
        <f>IFERROR(IF(Y343=0,"",ROUNDUP(Y343/H343,0)*0.01898),"")</f>
        <v>0.13286000000000001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53.049382716049386</v>
      </c>
      <c r="BN343" s="64">
        <f>IFERROR(Y343*I343/H343,"0")</f>
        <v>60.157999999999994</v>
      </c>
      <c r="BO343" s="64">
        <f>IFERROR(1/J343*(X343/H343),"0")</f>
        <v>9.6450617283950615E-2</v>
      </c>
      <c r="BP343" s="64">
        <f>IFERROR(1/J343*(Y343/H343),"0")</f>
        <v>0.109375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6.1728395061728394</v>
      </c>
      <c r="Y346" s="557">
        <f>IFERROR(Y343/H343,"0")+IFERROR(Y344/H344,"0")+IFERROR(Y345/H345,"0")</f>
        <v>7</v>
      </c>
      <c r="Z346" s="557">
        <f>IFERROR(IF(Z343="",0,Z343),"0")+IFERROR(IF(Z344="",0,Z344),"0")+IFERROR(IF(Z345="",0,Z345),"0")</f>
        <v>0.13286000000000001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50</v>
      </c>
      <c r="Y347" s="557">
        <f>IFERROR(SUM(Y343:Y345),"0")</f>
        <v>56.699999999999996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2250</v>
      </c>
      <c r="Y351" s="556">
        <f t="shared" ref="Y351:Y357" si="41">IFERROR(IF(X351="",0,CEILING((X351/$H351),1)*$H351),"")</f>
        <v>2250</v>
      </c>
      <c r="Z351" s="36">
        <f>IFERROR(IF(Y351=0,"",ROUNDUP(Y351/H351,0)*0.02175),"")</f>
        <v>3.2624999999999997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2320.5</v>
      </c>
      <c r="BN351" s="64">
        <f t="shared" ref="BN351:BN357" si="43">IFERROR(Y351*I351/H351,"0")</f>
        <v>2320.5</v>
      </c>
      <c r="BO351" s="64">
        <f t="shared" ref="BO351:BO357" si="44">IFERROR(1/J351*(X351/H351),"0")</f>
        <v>3.125</v>
      </c>
      <c r="BP351" s="64">
        <f t="shared" ref="BP351:BP357" si="45">IFERROR(1/J351*(Y351/H351),"0")</f>
        <v>3.125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1800</v>
      </c>
      <c r="Y352" s="556">
        <f t="shared" si="41"/>
        <v>1800</v>
      </c>
      <c r="Z352" s="36">
        <f>IFERROR(IF(Y352=0,"",ROUNDUP(Y352/H352,0)*0.02175),"")</f>
        <v>2.61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1856.4</v>
      </c>
      <c r="BN352" s="64">
        <f t="shared" si="43"/>
        <v>1856.4</v>
      </c>
      <c r="BO352" s="64">
        <f t="shared" si="44"/>
        <v>2.5</v>
      </c>
      <c r="BP352" s="64">
        <f t="shared" si="45"/>
        <v>2.5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2250</v>
      </c>
      <c r="Y354" s="556">
        <f t="shared" si="41"/>
        <v>2250</v>
      </c>
      <c r="Z354" s="36">
        <f>IFERROR(IF(Y354=0,"",ROUNDUP(Y354/H354,0)*0.02175),"")</f>
        <v>3.2624999999999997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2320.5</v>
      </c>
      <c r="BN354" s="64">
        <f t="shared" si="43"/>
        <v>2320.5</v>
      </c>
      <c r="BO354" s="64">
        <f t="shared" si="44"/>
        <v>3.125</v>
      </c>
      <c r="BP354" s="64">
        <f t="shared" si="45"/>
        <v>3.125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420</v>
      </c>
      <c r="Y358" s="557">
        <f>IFERROR(Y351/H351,"0")+IFERROR(Y352/H352,"0")+IFERROR(Y353/H353,"0")+IFERROR(Y354/H354,"0")+IFERROR(Y355/H355,"0")+IFERROR(Y356/H356,"0")+IFERROR(Y357/H357,"0")</f>
        <v>420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9.1349999999999998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6300</v>
      </c>
      <c r="Y359" s="557">
        <f>IFERROR(SUM(Y351:Y357),"0")</f>
        <v>6300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150</v>
      </c>
      <c r="Y361" s="556">
        <f>IFERROR(IF(X361="",0,CEILING((X361/$H361),1)*$H361),"")</f>
        <v>150</v>
      </c>
      <c r="Z361" s="36">
        <f>IFERROR(IF(Y361=0,"",ROUNDUP(Y361/H361,0)*0.02175),"")</f>
        <v>0.21749999999999997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154.69999999999999</v>
      </c>
      <c r="BN361" s="64">
        <f>IFERROR(Y361*I361/H361,"0")</f>
        <v>154.69999999999999</v>
      </c>
      <c r="BO361" s="64">
        <f>IFERROR(1/J361*(X361/H361),"0")</f>
        <v>0.20833333333333331</v>
      </c>
      <c r="BP361" s="64">
        <f>IFERROR(1/J361*(Y361/H361),"0")</f>
        <v>0.20833333333333331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10</v>
      </c>
      <c r="Y363" s="557">
        <f>IFERROR(Y361/H361,"0")+IFERROR(Y362/H362,"0")</f>
        <v>10</v>
      </c>
      <c r="Z363" s="557">
        <f>IFERROR(IF(Z361="",0,Z361),"0")+IFERROR(IF(Z362="",0,Z362),"0")</f>
        <v>0.21749999999999997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150</v>
      </c>
      <c r="Y364" s="557">
        <f>IFERROR(SUM(Y361:Y362),"0")</f>
        <v>150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300</v>
      </c>
      <c r="Y366" s="55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316.66666666666669</v>
      </c>
      <c r="BN366" s="64">
        <f>IFERROR(Y366*I366/H366,"0")</f>
        <v>323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150</v>
      </c>
      <c r="Y367" s="556">
        <f>IFERROR(IF(X367="",0,CEILING((X367/$H367),1)*$H367),"")</f>
        <v>153</v>
      </c>
      <c r="Z367" s="36">
        <f>IFERROR(IF(Y367=0,"",ROUNDUP(Y367/H367,0)*0.01898),"")</f>
        <v>0.32266</v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158.23333333333332</v>
      </c>
      <c r="BN367" s="64">
        <f>IFERROR(Y367*I367/H367,"0")</f>
        <v>161.398</v>
      </c>
      <c r="BO367" s="64">
        <f>IFERROR(1/J367*(X367/H367),"0")</f>
        <v>0.26041666666666669</v>
      </c>
      <c r="BP367" s="64">
        <f>IFERROR(1/J367*(Y367/H367),"0")</f>
        <v>0.265625</v>
      </c>
    </row>
    <row r="368" spans="1:68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50</v>
      </c>
      <c r="Y368" s="557">
        <f>IFERROR(Y366/H366,"0")+IFERROR(Y367/H367,"0")</f>
        <v>51</v>
      </c>
      <c r="Z368" s="557">
        <f>IFERROR(IF(Z366="",0,Z366),"0")+IFERROR(IF(Z367="",0,Z367),"0")</f>
        <v>0.96798000000000006</v>
      </c>
      <c r="AA368" s="558"/>
      <c r="AB368" s="558"/>
      <c r="AC368" s="558"/>
    </row>
    <row r="369" spans="1:68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450</v>
      </c>
      <c r="Y369" s="557">
        <f>IFERROR(SUM(Y366:Y367),"0")</f>
        <v>459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160</v>
      </c>
      <c r="Y371" s="556">
        <f>IFERROR(IF(X371="",0,CEILING((X371/$H371),1)*$H371),"")</f>
        <v>162</v>
      </c>
      <c r="Z371" s="36">
        <f>IFERROR(IF(Y371=0,"",ROUNDUP(Y371/H371,0)*0.01898),"")</f>
        <v>0.34164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168.78222222222223</v>
      </c>
      <c r="BN371" s="64">
        <f>IFERROR(Y371*I371/H371,"0")</f>
        <v>170.892</v>
      </c>
      <c r="BO371" s="64">
        <f>IFERROR(1/J371*(X371/H371),"0")</f>
        <v>0.27777777777777779</v>
      </c>
      <c r="BP371" s="64">
        <f>IFERROR(1/J371*(Y371/H371),"0")</f>
        <v>0.28125</v>
      </c>
    </row>
    <row r="372" spans="1:68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17.777777777777779</v>
      </c>
      <c r="Y372" s="557">
        <f>IFERROR(Y371/H371,"0")</f>
        <v>18</v>
      </c>
      <c r="Z372" s="557">
        <f>IFERROR(IF(Z371="",0,Z371),"0")</f>
        <v>0.34164</v>
      </c>
      <c r="AA372" s="558"/>
      <c r="AB372" s="558"/>
      <c r="AC372" s="558"/>
    </row>
    <row r="373" spans="1:68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160</v>
      </c>
      <c r="Y373" s="557">
        <f>IFERROR(SUM(Y371:Y371),"0")</f>
        <v>162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20</v>
      </c>
      <c r="Y381" s="556">
        <f>IFERROR(IF(X381="",0,CEILING((X381/$H381),1)*$H381),"")</f>
        <v>21.9</v>
      </c>
      <c r="Z381" s="36">
        <f>IFERROR(IF(Y381=0,"",ROUNDUP(Y381/H381,0)*0.00902),"")</f>
        <v>4.5100000000000001E-2</v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21.141552511415526</v>
      </c>
      <c r="BN381" s="64">
        <f>IFERROR(Y381*I381/H381,"0")</f>
        <v>23.15</v>
      </c>
      <c r="BO381" s="64">
        <f>IFERROR(1/J381*(X381/H381),"0")</f>
        <v>3.4592500345925009E-2</v>
      </c>
      <c r="BP381" s="64">
        <f>IFERROR(1/J381*(Y381/H381),"0")</f>
        <v>3.787878787878788E-2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4.5662100456621006</v>
      </c>
      <c r="Y383" s="557">
        <f>IFERROR(Y381/H381,"0")+IFERROR(Y382/H382,"0")</f>
        <v>5</v>
      </c>
      <c r="Z383" s="557">
        <f>IFERROR(IF(Z381="",0,Z381),"0")+IFERROR(IF(Z382="",0,Z382),"0")</f>
        <v>4.5100000000000001E-2</v>
      </c>
      <c r="AA383" s="558"/>
      <c r="AB383" s="558"/>
      <c r="AC383" s="558"/>
    </row>
    <row r="384" spans="1:68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20</v>
      </c>
      <c r="Y384" s="557">
        <f>IFERROR(SUM(Y381:Y382),"0")</f>
        <v>21.9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160</v>
      </c>
      <c r="Y386" s="556">
        <f>IFERROR(IF(X386="",0,CEILING((X386/$H386),1)*$H386),"")</f>
        <v>162</v>
      </c>
      <c r="Z386" s="36">
        <f>IFERROR(IF(Y386=0,"",ROUNDUP(Y386/H386,0)*0.01898),"")</f>
        <v>0.34164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168.78222222222223</v>
      </c>
      <c r="BN386" s="64">
        <f>IFERROR(Y386*I386/H386,"0")</f>
        <v>170.892</v>
      </c>
      <c r="BO386" s="64">
        <f>IFERROR(1/J386*(X386/H386),"0")</f>
        <v>0.27777777777777779</v>
      </c>
      <c r="BP386" s="64">
        <f>IFERROR(1/J386*(Y386/H386),"0")</f>
        <v>0.28125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17.777777777777779</v>
      </c>
      <c r="Y389" s="557">
        <f>IFERROR(Y386/H386,"0")+IFERROR(Y387/H387,"0")+IFERROR(Y388/H388,"0")</f>
        <v>18</v>
      </c>
      <c r="Z389" s="557">
        <f>IFERROR(IF(Z386="",0,Z386),"0")+IFERROR(IF(Z387="",0,Z387),"0")+IFERROR(IF(Z388="",0,Z388),"0")</f>
        <v>0.34164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160</v>
      </c>
      <c r="Y390" s="557">
        <f>IFERROR(SUM(Y386:Y388),"0")</f>
        <v>162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80</v>
      </c>
      <c r="Y394" s="556">
        <f t="shared" ref="Y394:Y402" si="46">IFERROR(IF(X394="",0,CEILING((X394/$H394),1)*$H394),"")</f>
        <v>81</v>
      </c>
      <c r="Z394" s="36">
        <f>IFERROR(IF(Y394=0,"",ROUNDUP(Y394/H394,0)*0.00902),"")</f>
        <v>0.1353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82.81481481481481</v>
      </c>
      <c r="BN394" s="64">
        <f t="shared" ref="BN394:BN402" si="48">IFERROR(Y394*I394/H394,"0")</f>
        <v>83.85</v>
      </c>
      <c r="BO394" s="64">
        <f t="shared" ref="BO394:BO402" si="49">IFERROR(1/J394*(X394/H394),"0")</f>
        <v>0.11223344556677889</v>
      </c>
      <c r="BP394" s="64">
        <f t="shared" ref="BP394:BP402" si="50">IFERROR(1/J394*(Y394/H394),"0")</f>
        <v>0.11363636363636363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14.814814814814813</v>
      </c>
      <c r="Y403" s="557">
        <f>IFERROR(Y394/H394,"0")+IFERROR(Y395/H395,"0")+IFERROR(Y396/H396,"0")+IFERROR(Y397/H397,"0")+IFERROR(Y398/H398,"0")+IFERROR(Y399/H399,"0")+IFERROR(Y400/H400,"0")+IFERROR(Y401/H401,"0")+IFERROR(Y402/H402,"0")</f>
        <v>14.999999999999998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0.1353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80</v>
      </c>
      <c r="Y404" s="557">
        <f>IFERROR(SUM(Y394:Y402),"0")</f>
        <v>81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100</v>
      </c>
      <c r="Y416" s="556">
        <f>IFERROR(IF(X416="",0,CEILING((X416/$H416),1)*$H416),"")</f>
        <v>102.60000000000001</v>
      </c>
      <c r="Z416" s="36">
        <f>IFERROR(IF(Y416=0,"",ROUNDUP(Y416/H416,0)*0.00902),"")</f>
        <v>0.17138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103.5185185185185</v>
      </c>
      <c r="BN416" s="64">
        <f>IFERROR(Y416*I416/H416,"0")</f>
        <v>106.21</v>
      </c>
      <c r="BO416" s="64">
        <f>IFERROR(1/J416*(X416/H416),"0")</f>
        <v>0.14029180695847362</v>
      </c>
      <c r="BP416" s="64">
        <f>IFERROR(1/J416*(Y416/H416),"0")</f>
        <v>0.14393939393939395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18.518518518518519</v>
      </c>
      <c r="Y420" s="557">
        <f>IFERROR(Y416/H416,"0")+IFERROR(Y417/H417,"0")+IFERROR(Y418/H418,"0")+IFERROR(Y419/H419,"0")</f>
        <v>19</v>
      </c>
      <c r="Z420" s="557">
        <f>IFERROR(IF(Z416="",0,Z416),"0")+IFERROR(IF(Z417="",0,Z417),"0")+IFERROR(IF(Z418="",0,Z418),"0")+IFERROR(IF(Z419="",0,Z419),"0")</f>
        <v>0.17138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100</v>
      </c>
      <c r="Y421" s="557">
        <f>IFERROR(SUM(Y416:Y419),"0")</f>
        <v>102.60000000000001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120</v>
      </c>
      <c r="Y431" s="556">
        <f t="shared" si="52"/>
        <v>121.44000000000001</v>
      </c>
      <c r="Z431" s="36">
        <f t="shared" si="53"/>
        <v>0.27507999999999999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127.95454545454545</v>
      </c>
      <c r="BN431" s="64">
        <f t="shared" si="55"/>
        <v>129.49</v>
      </c>
      <c r="BO431" s="64">
        <f t="shared" si="56"/>
        <v>0.21853146853146854</v>
      </c>
      <c r="BP431" s="64">
        <f t="shared" si="57"/>
        <v>0.22115384615384617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90</v>
      </c>
      <c r="Y436" s="556">
        <f t="shared" si="52"/>
        <v>95.04</v>
      </c>
      <c r="Z436" s="36">
        <f t="shared" si="53"/>
        <v>0.21528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95.965909090909079</v>
      </c>
      <c r="BN436" s="64">
        <f t="shared" si="55"/>
        <v>101.33999999999999</v>
      </c>
      <c r="BO436" s="64">
        <f t="shared" si="56"/>
        <v>0.16389860139860138</v>
      </c>
      <c r="BP436" s="64">
        <f t="shared" si="57"/>
        <v>0.17307692307692307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39.772727272727266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41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0.49036000000000002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210</v>
      </c>
      <c r="Y443" s="557">
        <f>IFERROR(SUM(Y430:Y441),"0")</f>
        <v>216.48000000000002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90</v>
      </c>
      <c r="Y451" s="556">
        <f t="shared" ref="Y451:Y456" si="58">IFERROR(IF(X451="",0,CEILING((X451/$H451),1)*$H451),"")</f>
        <v>95.04</v>
      </c>
      <c r="Z451" s="36">
        <f>IFERROR(IF(Y451=0,"",ROUNDUP(Y451/H451,0)*0.01196),"")</f>
        <v>0.21528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95.965909090909079</v>
      </c>
      <c r="BN451" s="64">
        <f t="shared" ref="BN451:BN456" si="60">IFERROR(Y451*I451/H451,"0")</f>
        <v>101.33999999999999</v>
      </c>
      <c r="BO451" s="64">
        <f t="shared" ref="BO451:BO456" si="61">IFERROR(1/J451*(X451/H451),"0")</f>
        <v>0.16389860139860138</v>
      </c>
      <c r="BP451" s="64">
        <f t="shared" ref="BP451:BP456" si="62">IFERROR(1/J451*(Y451/H451),"0")</f>
        <v>0.17307692307692307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70</v>
      </c>
      <c r="Y452" s="556">
        <f t="shared" si="58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74.640151515151501</v>
      </c>
      <c r="BN452" s="64">
        <f t="shared" si="60"/>
        <v>78.819999999999993</v>
      </c>
      <c r="BO452" s="64">
        <f t="shared" si="61"/>
        <v>0.12747668997668998</v>
      </c>
      <c r="BP452" s="64">
        <f t="shared" si="62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80</v>
      </c>
      <c r="Y453" s="556">
        <f t="shared" si="58"/>
        <v>84.48</v>
      </c>
      <c r="Z453" s="36">
        <f>IFERROR(IF(Y453=0,"",ROUNDUP(Y453/H453,0)*0.01196),"")</f>
        <v>0.19136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85.303030303030297</v>
      </c>
      <c r="BN453" s="64">
        <f t="shared" si="60"/>
        <v>90.08</v>
      </c>
      <c r="BO453" s="64">
        <f t="shared" si="61"/>
        <v>0.14568764568764569</v>
      </c>
      <c r="BP453" s="64">
        <f t="shared" si="62"/>
        <v>0.15384615384615385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45.454545454545453</v>
      </c>
      <c r="Y457" s="557">
        <f>IFERROR(Y451/H451,"0")+IFERROR(Y452/H452,"0")+IFERROR(Y453/H453,"0")+IFERROR(Y454/H454,"0")+IFERROR(Y455/H455,"0")+IFERROR(Y456/H456,"0")</f>
        <v>48</v>
      </c>
      <c r="Z457" s="557">
        <f>IFERROR(IF(Z451="",0,Z451),"0")+IFERROR(IF(Z452="",0,Z452),"0")+IFERROR(IF(Z453="",0,Z453),"0")+IFERROR(IF(Z454="",0,Z454),"0")+IFERROR(IF(Z455="",0,Z455),"0")+IFERROR(IF(Z456="",0,Z456),"0")</f>
        <v>0.57408000000000003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240</v>
      </c>
      <c r="Y458" s="557">
        <f>IFERROR(SUM(Y451:Y456),"0")</f>
        <v>253.44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48</v>
      </c>
      <c r="Y468" s="556">
        <f>IFERROR(IF(X468="",0,CEILING((X468/$H468),1)*$H468),"")</f>
        <v>48</v>
      </c>
      <c r="Z468" s="36">
        <f>IFERROR(IF(Y468=0,"",ROUNDUP(Y468/H468,0)*0.01898),"")</f>
        <v>7.5920000000000001E-2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49.640000000000008</v>
      </c>
      <c r="BN468" s="64">
        <f>IFERROR(Y468*I468/H468,"0")</f>
        <v>49.640000000000008</v>
      </c>
      <c r="BO468" s="64">
        <f>IFERROR(1/J468*(X468/H468),"0")</f>
        <v>6.25E-2</v>
      </c>
      <c r="BP468" s="64">
        <f>IFERROR(1/J468*(Y468/H468),"0")</f>
        <v>6.25E-2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4</v>
      </c>
      <c r="Y470" s="557">
        <f>IFERROR(Y466/H466,"0")+IFERROR(Y467/H467,"0")+IFERROR(Y468/H468,"0")+IFERROR(Y469/H469,"0")</f>
        <v>4</v>
      </c>
      <c r="Z470" s="557">
        <f>IFERROR(IF(Z466="",0,Z466),"0")+IFERROR(IF(Z467="",0,Z467),"0")+IFERROR(IF(Z468="",0,Z468),"0")+IFERROR(IF(Z469="",0,Z469),"0")</f>
        <v>7.5920000000000001E-2</v>
      </c>
      <c r="AA470" s="558"/>
      <c r="AB470" s="558"/>
      <c r="AC470" s="558"/>
    </row>
    <row r="471" spans="1:68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48</v>
      </c>
      <c r="Y471" s="557">
        <f>IFERROR(SUM(Y466:Y469),"0")</f>
        <v>48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60</v>
      </c>
      <c r="Y478" s="556">
        <f>IFERROR(IF(X478="",0,CEILING((X478/$H478),1)*$H478),"")</f>
        <v>63</v>
      </c>
      <c r="Z478" s="36">
        <f>IFERROR(IF(Y478=0,"",ROUNDUP(Y478/H478,0)*0.00902),"")</f>
        <v>0.1353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63.571428571428569</v>
      </c>
      <c r="BN478" s="64">
        <f>IFERROR(Y478*I478/H478,"0")</f>
        <v>66.75</v>
      </c>
      <c r="BO478" s="64">
        <f>IFERROR(1/J478*(X478/H478),"0")</f>
        <v>0.10822510822510822</v>
      </c>
      <c r="BP478" s="64">
        <f>IFERROR(1/J478*(Y478/H478),"0")</f>
        <v>0.11363636363636365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14.285714285714285</v>
      </c>
      <c r="Y480" s="557">
        <f>IFERROR(Y478/H478,"0")+IFERROR(Y479/H479,"0")</f>
        <v>15</v>
      </c>
      <c r="Z480" s="557">
        <f>IFERROR(IF(Z478="",0,Z478),"0")+IFERROR(IF(Z479="",0,Z479),"0")</f>
        <v>0.1353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60</v>
      </c>
      <c r="Y481" s="557">
        <f>IFERROR(SUM(Y478:Y479),"0")</f>
        <v>63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17898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17997.919999999998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18734.947220199418</v>
      </c>
      <c r="Y497" s="557">
        <f>IFERROR(SUM(BN22:BN493),"0")</f>
        <v>18840.274000000001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30</v>
      </c>
      <c r="Y498" s="38">
        <f>ROUNDUP(SUM(BP22:BP493),0)</f>
        <v>30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19484.947220199418</v>
      </c>
      <c r="Y499" s="557">
        <f>GrossWeightTotalR+PalletQtyTotalR*25</f>
        <v>19590.274000000001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2025.0752603822984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2040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34.74662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141.9</v>
      </c>
      <c r="E506" s="46">
        <f>IFERROR(Y85*1,"0")+IFERROR(Y86*1,"0")+IFERROR(Y87*1,"0")+IFERROR(Y88*1,"0")+IFERROR(Y92*1,"0")+IFERROR(Y93*1,"0")+IFERROR(Y94*1,"0")+IFERROR(Y95*1,"0")</f>
        <v>99.9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89.1</v>
      </c>
      <c r="G506" s="46">
        <f>IFERROR(Y127*1,"0")+IFERROR(Y128*1,"0")+IFERROR(Y132*1,"0")+IFERROR(Y133*1,"0")+IFERROR(Y137*1,"0")+IFERROR(Y138*1,"0")</f>
        <v>212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84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1464.9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7830</v>
      </c>
      <c r="R506" s="46">
        <f>IFERROR(Y343*1,"0")+IFERROR(Y344*1,"0")+IFERROR(Y345*1,"0")</f>
        <v>56.699999999999996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7071</v>
      </c>
      <c r="T506" s="46">
        <f>IFERROR(Y376*1,"0")+IFERROR(Y377*1,"0")+IFERROR(Y381*1,"0")+IFERROR(Y382*1,"0")+IFERROR(Y386*1,"0")+IFERROR(Y387*1,"0")+IFERROR(Y388*1,"0")</f>
        <v>183.9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81</v>
      </c>
      <c r="V506" s="46">
        <f>IFERROR(Y412*1,"0")+IFERROR(Y416*1,"0")+IFERROR(Y417*1,"0")+IFERROR(Y418*1,"0")+IFERROR(Y419*1,"0")</f>
        <v>102.60000000000001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469.92000000000007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111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10,00"/>
        <filter val="1 400,00"/>
        <filter val="1 800,00"/>
        <filter val="10,00"/>
        <filter val="10,44"/>
        <filter val="100,00"/>
        <filter val="120,00"/>
        <filter val="128,00"/>
        <filter val="129,63"/>
        <filter val="130,00"/>
        <filter val="14,29"/>
        <filter val="14,81"/>
        <filter val="146,00"/>
        <filter val="150,00"/>
        <filter val="160,00"/>
        <filter val="17 898,00"/>
        <filter val="17,78"/>
        <filter val="18 734,95"/>
        <filter val="18,52"/>
        <filter val="19 484,95"/>
        <filter val="19,05"/>
        <filter val="2 025,08"/>
        <filter val="2 250,00"/>
        <filter val="2,78"/>
        <filter val="20,00"/>
        <filter val="210,00"/>
        <filter val="22,00"/>
        <filter val="220,00"/>
        <filter val="230,00"/>
        <filter val="240,00"/>
        <filter val="242,59"/>
        <filter val="27,38"/>
        <filter val="3,70"/>
        <filter val="30"/>
        <filter val="30,00"/>
        <filter val="300,00"/>
        <filter val="31,00"/>
        <filter val="320,00"/>
        <filter val="39,77"/>
        <filter val="4,00"/>
        <filter val="4,57"/>
        <filter val="40,00"/>
        <filter val="42,73"/>
        <filter val="420,00"/>
        <filter val="45,45"/>
        <filter val="450,00"/>
        <filter val="48,00"/>
        <filter val="50,00"/>
        <filter val="540,00"/>
        <filter val="6 200,00"/>
        <filter val="6 300,00"/>
        <filter val="6,17"/>
        <filter val="6,41"/>
        <filter val="60,00"/>
        <filter val="7,00"/>
        <filter val="70,00"/>
        <filter val="794,87"/>
        <filter val="80,00"/>
        <filter val="82,00"/>
        <filter val="84,00"/>
        <filter val="90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