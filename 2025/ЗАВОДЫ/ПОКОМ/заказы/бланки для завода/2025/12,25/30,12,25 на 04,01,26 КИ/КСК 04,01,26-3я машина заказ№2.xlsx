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0E203FB-C712-43B2-9551-736A402D292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N79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Z7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J9" i="1"/>
  <c r="Y81" i="1"/>
  <c r="BP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97" i="1"/>
  <c r="Y106" i="1"/>
  <c r="Y112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33" i="1"/>
  <c r="Y37" i="1"/>
  <c r="Y49" i="1"/>
  <c r="BP74" i="1"/>
  <c r="BN74" i="1"/>
  <c r="Z74" i="1"/>
  <c r="BP104" i="1"/>
  <c r="BN104" i="1"/>
  <c r="Z104" i="1"/>
  <c r="BP133" i="1"/>
  <c r="BN133" i="1"/>
  <c r="Z133" i="1"/>
  <c r="Z134" i="1" s="1"/>
  <c r="Y140" i="1"/>
  <c r="BP137" i="1"/>
  <c r="BN137" i="1"/>
  <c r="Z13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12" i="1"/>
  <c r="BN212" i="1"/>
  <c r="Z212" i="1"/>
  <c r="Y225" i="1"/>
  <c r="BP216" i="1"/>
  <c r="BN216" i="1"/>
  <c r="Z216" i="1"/>
  <c r="BP220" i="1"/>
  <c r="BN220" i="1"/>
  <c r="Z220" i="1"/>
  <c r="Y226" i="1"/>
  <c r="BP275" i="1"/>
  <c r="BN275" i="1"/>
  <c r="Z275" i="1"/>
  <c r="O505" i="1"/>
  <c r="Y283" i="1"/>
  <c r="BP280" i="1"/>
  <c r="BN280" i="1"/>
  <c r="Z280" i="1"/>
  <c r="Y284" i="1"/>
  <c r="BP293" i="1"/>
  <c r="BN293" i="1"/>
  <c r="Z293" i="1"/>
  <c r="Q505" i="1"/>
  <c r="Y303" i="1"/>
  <c r="BP298" i="1"/>
  <c r="BN298" i="1"/>
  <c r="Z298" i="1"/>
  <c r="Y313" i="1"/>
  <c r="BP306" i="1"/>
  <c r="BN306" i="1"/>
  <c r="Z306" i="1"/>
  <c r="Y312" i="1"/>
  <c r="BP310" i="1"/>
  <c r="BN310" i="1"/>
  <c r="Z310" i="1"/>
  <c r="Y25" i="1"/>
  <c r="Y45" i="1"/>
  <c r="Y58" i="1"/>
  <c r="Y64" i="1"/>
  <c r="BP87" i="1"/>
  <c r="BN87" i="1"/>
  <c r="Z87" i="1"/>
  <c r="BP95" i="1"/>
  <c r="BN95" i="1"/>
  <c r="Z95" i="1"/>
  <c r="F505" i="1"/>
  <c r="Y105" i="1"/>
  <c r="BP100" i="1"/>
  <c r="BN100" i="1"/>
  <c r="Z100" i="1"/>
  <c r="Y113" i="1"/>
  <c r="BP108" i="1"/>
  <c r="BN108" i="1"/>
  <c r="Z108" i="1"/>
  <c r="BP116" i="1"/>
  <c r="BN116" i="1"/>
  <c r="Z116" i="1"/>
  <c r="Y135" i="1"/>
  <c r="BP150" i="1"/>
  <c r="BN150" i="1"/>
  <c r="Z150" i="1"/>
  <c r="Y154" i="1"/>
  <c r="Y181" i="1"/>
  <c r="BP167" i="1"/>
  <c r="BN167" i="1"/>
  <c r="Z167" i="1"/>
  <c r="BP208" i="1"/>
  <c r="BN208" i="1"/>
  <c r="Z208" i="1"/>
  <c r="Y214" i="1"/>
  <c r="BP224" i="1"/>
  <c r="BN224" i="1"/>
  <c r="Z224" i="1"/>
  <c r="Y231" i="1"/>
  <c r="BP228" i="1"/>
  <c r="BN228" i="1"/>
  <c r="Z228" i="1"/>
  <c r="Z230" i="1" s="1"/>
  <c r="Y230" i="1"/>
  <c r="BP257" i="1"/>
  <c r="BN257" i="1"/>
  <c r="Z257" i="1"/>
  <c r="Y277" i="1"/>
  <c r="Y295" i="1"/>
  <c r="BP302" i="1"/>
  <c r="BN302" i="1"/>
  <c r="Z302" i="1"/>
  <c r="Y304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419" i="1"/>
  <c r="Z332" i="1"/>
  <c r="Z259" i="1"/>
  <c r="Z367" i="1"/>
  <c r="Z96" i="1"/>
  <c r="Z89" i="1"/>
  <c r="Z81" i="1"/>
  <c r="Z76" i="1"/>
  <c r="Z69" i="1"/>
  <c r="Z58" i="1"/>
  <c r="Z345" i="1"/>
  <c r="Z294" i="1"/>
  <c r="Z139" i="1"/>
  <c r="Z357" i="1"/>
  <c r="Z243" i="1"/>
  <c r="Z456" i="1"/>
  <c r="Y497" i="1"/>
  <c r="Z119" i="1"/>
  <c r="Y496" i="1"/>
  <c r="Y498" i="1" s="1"/>
  <c r="Z441" i="1"/>
  <c r="Z469" i="1"/>
  <c r="Z325" i="1"/>
  <c r="Z154" i="1"/>
  <c r="Z44" i="1"/>
  <c r="Z32" i="1"/>
  <c r="Y499" i="1"/>
  <c r="X498" i="1"/>
  <c r="Z181" i="1"/>
  <c r="Z112" i="1"/>
  <c r="Z105" i="1"/>
  <c r="Y495" i="1"/>
  <c r="Z283" i="1"/>
  <c r="Z225" i="1"/>
  <c r="Z402" i="1"/>
  <c r="Z213" i="1"/>
  <c r="Z312" i="1"/>
  <c r="Z303" i="1"/>
  <c r="Z500" i="1" l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<sst xmlns="http://schemas.openxmlformats.org/spreadsheetml/2006/main" count="2319" uniqueCount="782">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</sst>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6" t="s">
        <v>0</v>
      </c>
      <c r="E1" s="591"/>
      <c r="F1" s="591"/>
      <c r="G1" s="12" t="s">
        <v>1</v>
      </c>
      <c r="H1" s="786" t="s">
        <v>2</v>
      </c>
      <c r="I1" s="591"/>
      <c r="J1" s="591"/>
      <c r="K1" s="591"/>
      <c r="L1" s="591"/>
      <c r="M1" s="591"/>
      <c r="N1" s="591"/>
      <c r="O1" s="591"/>
      <c r="P1" s="591"/>
      <c r="Q1" s="591"/>
      <c r="R1" s="863" t="s">
        <v>3</v>
      </c>
      <c r="S1" s="591"/>
      <c r="T1" s="59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6" t="s">
        <v>8</v>
      </c>
      <c r="B5" s="580"/>
      <c r="C5" s="581"/>
      <c r="D5" s="663"/>
      <c r="E5" s="665"/>
      <c r="F5" s="628" t="s">
        <v>9</v>
      </c>
      <c r="G5" s="581"/>
      <c r="H5" s="663" t="s">
        <v>781</v>
      </c>
      <c r="I5" s="664"/>
      <c r="J5" s="664"/>
      <c r="K5" s="664"/>
      <c r="L5" s="664"/>
      <c r="M5" s="665"/>
      <c r="N5" s="58"/>
      <c r="P5" s="24" t="s">
        <v>10</v>
      </c>
      <c r="Q5" s="600">
        <v>46026</v>
      </c>
      <c r="R5" s="601"/>
      <c r="T5" s="724" t="s">
        <v>11</v>
      </c>
      <c r="U5" s="648"/>
      <c r="V5" s="725" t="s">
        <v>12</v>
      </c>
      <c r="W5" s="601"/>
      <c r="AB5" s="51"/>
      <c r="AC5" s="51"/>
      <c r="AD5" s="51"/>
      <c r="AE5" s="51"/>
    </row>
    <row r="6" spans="1:32" s="547" customFormat="1" ht="24" customHeight="1" x14ac:dyDescent="0.2">
      <c r="A6" s="756" t="s">
        <v>13</v>
      </c>
      <c r="B6" s="580"/>
      <c r="C6" s="581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01"/>
      <c r="N6" s="59"/>
      <c r="P6" s="24" t="s">
        <v>15</v>
      </c>
      <c r="Q6" s="609" t="str">
        <f>IF(Q5=0," ",CHOOSE(WEEKDAY(Q5,2),"Понедельник","Вторник","Среда","Четверг","Пятница","Суббота","Воскресенье"))</f>
        <v>Воскресенье</v>
      </c>
      <c r="R6" s="562"/>
      <c r="T6" s="732" t="s">
        <v>16</v>
      </c>
      <c r="U6" s="648"/>
      <c r="V6" s="674" t="s">
        <v>17</v>
      </c>
      <c r="W6" s="675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8" t="str">
        <f>IFERROR(VLOOKUP(DeliveryAddress,Table,3,0),1)</f>
        <v>1</v>
      </c>
      <c r="E7" s="839"/>
      <c r="F7" s="839"/>
      <c r="G7" s="839"/>
      <c r="H7" s="839"/>
      <c r="I7" s="839"/>
      <c r="J7" s="839"/>
      <c r="K7" s="839"/>
      <c r="L7" s="839"/>
      <c r="M7" s="728"/>
      <c r="N7" s="60"/>
      <c r="P7" s="24"/>
      <c r="Q7" s="42"/>
      <c r="R7" s="42"/>
      <c r="T7" s="560"/>
      <c r="U7" s="648"/>
      <c r="V7" s="676"/>
      <c r="W7" s="677"/>
      <c r="AB7" s="51"/>
      <c r="AC7" s="51"/>
      <c r="AD7" s="51"/>
      <c r="AE7" s="51"/>
    </row>
    <row r="8" spans="1:32" s="547" customFormat="1" ht="25.5" customHeight="1" x14ac:dyDescent="0.2">
      <c r="A8" s="576" t="s">
        <v>18</v>
      </c>
      <c r="B8" s="564"/>
      <c r="C8" s="565"/>
      <c r="D8" s="848" t="s">
        <v>19</v>
      </c>
      <c r="E8" s="849"/>
      <c r="F8" s="849"/>
      <c r="G8" s="849"/>
      <c r="H8" s="849"/>
      <c r="I8" s="849"/>
      <c r="J8" s="849"/>
      <c r="K8" s="849"/>
      <c r="L8" s="849"/>
      <c r="M8" s="850"/>
      <c r="N8" s="61"/>
      <c r="P8" s="24" t="s">
        <v>20</v>
      </c>
      <c r="Q8" s="727">
        <v>0.39583333333333331</v>
      </c>
      <c r="R8" s="728"/>
      <c r="T8" s="560"/>
      <c r="U8" s="648"/>
      <c r="V8" s="676"/>
      <c r="W8" s="677"/>
      <c r="AB8" s="51"/>
      <c r="AC8" s="51"/>
      <c r="AD8" s="51"/>
      <c r="AE8" s="51"/>
    </row>
    <row r="9" spans="1:32" s="54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4"/>
      <c r="E9" s="645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45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5"/>
      <c r="L9" s="645"/>
      <c r="M9" s="645"/>
      <c r="N9" s="545"/>
      <c r="P9" s="26" t="s">
        <v>21</v>
      </c>
      <c r="Q9" s="771"/>
      <c r="R9" s="632"/>
      <c r="T9" s="560"/>
      <c r="U9" s="648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4"/>
      <c r="E10" s="645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1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55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601"/>
      <c r="U11" s="24" t="s">
        <v>27</v>
      </c>
      <c r="V11" s="631" t="s">
        <v>28</v>
      </c>
      <c r="W11" s="632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2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27"/>
      <c r="R12" s="728"/>
      <c r="S12" s="23"/>
      <c r="U12" s="24"/>
      <c r="V12" s="591"/>
      <c r="W12" s="560"/>
      <c r="AB12" s="51"/>
      <c r="AC12" s="51"/>
      <c r="AD12" s="51"/>
      <c r="AE12" s="51"/>
    </row>
    <row r="13" spans="1:32" s="547" customFormat="1" ht="23.25" customHeight="1" x14ac:dyDescent="0.2">
      <c r="A13" s="712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31"/>
      <c r="R13" s="6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2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5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722" t="s">
        <v>35</v>
      </c>
      <c r="Q15" s="591"/>
      <c r="R15" s="591"/>
      <c r="S15" s="591"/>
      <c r="T15" s="59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3"/>
      <c r="Q16" s="723"/>
      <c r="R16" s="723"/>
      <c r="S16" s="723"/>
      <c r="T16" s="72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770" t="s">
        <v>38</v>
      </c>
      <c r="D17" s="586" t="s">
        <v>39</v>
      </c>
      <c r="E17" s="587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788"/>
      <c r="R17" s="788"/>
      <c r="S17" s="788"/>
      <c r="T17" s="587"/>
      <c r="U17" s="593" t="s">
        <v>51</v>
      </c>
      <c r="V17" s="581"/>
      <c r="W17" s="586" t="s">
        <v>52</v>
      </c>
      <c r="X17" s="586" t="s">
        <v>53</v>
      </c>
      <c r="Y17" s="595" t="s">
        <v>54</v>
      </c>
      <c r="Z17" s="686" t="s">
        <v>55</v>
      </c>
      <c r="AA17" s="622" t="s">
        <v>56</v>
      </c>
      <c r="AB17" s="622" t="s">
        <v>57</v>
      </c>
      <c r="AC17" s="622" t="s">
        <v>58</v>
      </c>
      <c r="AD17" s="622" t="s">
        <v>59</v>
      </c>
      <c r="AE17" s="623"/>
      <c r="AF17" s="624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588"/>
      <c r="E18" s="589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588"/>
      <c r="Q18" s="789"/>
      <c r="R18" s="789"/>
      <c r="S18" s="789"/>
      <c r="T18" s="589"/>
      <c r="U18" s="67" t="s">
        <v>61</v>
      </c>
      <c r="V18" s="67" t="s">
        <v>62</v>
      </c>
      <c r="W18" s="590"/>
      <c r="X18" s="590"/>
      <c r="Y18" s="596"/>
      <c r="Z18" s="687"/>
      <c r="AA18" s="690"/>
      <c r="AB18" s="690"/>
      <c r="AC18" s="690"/>
      <c r="AD18" s="625"/>
      <c r="AE18" s="626"/>
      <c r="AF18" s="627"/>
      <c r="AG18" s="66"/>
      <c r="BD18" s="65"/>
    </row>
    <row r="19" spans="1:68" ht="27.75" hidden="1" customHeight="1" x14ac:dyDescent="0.2">
      <c r="A19" s="582" t="s">
        <v>63</v>
      </c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48"/>
      <c r="AB19" s="48"/>
      <c r="AC19" s="48"/>
    </row>
    <row r="20" spans="1:68" ht="16.5" hidden="1" customHeight="1" x14ac:dyDescent="0.25">
      <c r="A20" s="592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hidden="1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82" t="s">
        <v>99</v>
      </c>
      <c r="B38" s="583"/>
      <c r="C38" s="583"/>
      <c r="D38" s="583"/>
      <c r="E38" s="583"/>
      <c r="F38" s="583"/>
      <c r="G38" s="583"/>
      <c r="H38" s="583"/>
      <c r="I38" s="583"/>
      <c r="J38" s="583"/>
      <c r="K38" s="583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48"/>
      <c r="AB38" s="48"/>
      <c r="AC38" s="48"/>
    </row>
    <row r="39" spans="1:68" ht="16.5" hidden="1" customHeight="1" x14ac:dyDescent="0.25">
      <c r="A39" s="592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hidden="1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200</v>
      </c>
      <c r="Y41" s="554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1">
        <v>4680115882539</v>
      </c>
      <c r="E42" s="562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8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9"/>
      <c r="R42" s="569"/>
      <c r="S42" s="569"/>
      <c r="T42" s="570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1">
        <v>4607091385687</v>
      </c>
      <c r="E43" s="562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9"/>
      <c r="R43" s="569"/>
      <c r="S43" s="569"/>
      <c r="T43" s="570"/>
      <c r="U43" s="34"/>
      <c r="V43" s="34"/>
      <c r="W43" s="35" t="s">
        <v>69</v>
      </c>
      <c r="X43" s="553">
        <v>240</v>
      </c>
      <c r="Y43" s="554">
        <f>IFERROR(IF(X43="",0,CEILING((X43/$H43),1)*$H43),"")</f>
        <v>240</v>
      </c>
      <c r="Z43" s="36">
        <f>IFERROR(IF(Y43=0,"",ROUNDUP(Y43/H43,0)*0.00902),"")</f>
        <v>0.54120000000000001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251.40000000000003</v>
      </c>
      <c r="BN43" s="64">
        <f>IFERROR(Y43*I43/H43,"0")</f>
        <v>251.40000000000003</v>
      </c>
      <c r="BO43" s="64">
        <f>IFERROR(1/J43*(X43/H43),"0")</f>
        <v>0.45454545454545459</v>
      </c>
      <c r="BP43" s="64">
        <f>IFERROR(1/J43*(Y43/H43),"0")</f>
        <v>0.45454545454545459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78.518518518518519</v>
      </c>
      <c r="Y44" s="555">
        <f>IFERROR(Y41/H41,"0")+IFERROR(Y42/H42,"0")+IFERROR(Y43/H43,"0")</f>
        <v>79</v>
      </c>
      <c r="Z44" s="555">
        <f>IFERROR(IF(Z41="",0,Z41),"0")+IFERROR(IF(Z42="",0,Z42),"0")+IFERROR(IF(Z43="",0,Z43),"0")</f>
        <v>0.90182000000000007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440</v>
      </c>
      <c r="Y45" s="555">
        <f>IFERROR(SUM(Y41:Y43),"0")</f>
        <v>445.20000000000005</v>
      </c>
      <c r="Z45" s="37"/>
      <c r="AA45" s="556"/>
      <c r="AB45" s="556"/>
      <c r="AC45" s="556"/>
    </row>
    <row r="46" spans="1:68" ht="14.25" hidden="1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92" t="s">
        <v>118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hidden="1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400</v>
      </c>
      <c r="Y53" s="554">
        <f t="shared" si="0"/>
        <v>410.40000000000003</v>
      </c>
      <c r="Z53" s="36">
        <f>IFERROR(IF(Y53=0,"",ROUNDUP(Y53/H53,0)*0.01898),"")</f>
        <v>0.72123999999999999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415.18518518518516</v>
      </c>
      <c r="BN53" s="64">
        <f t="shared" si="2"/>
        <v>425.98</v>
      </c>
      <c r="BO53" s="64">
        <f t="shared" si="3"/>
        <v>0.57870370370370372</v>
      </c>
      <c r="BP53" s="64">
        <f t="shared" si="4"/>
        <v>0.59375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540</v>
      </c>
      <c r="Y57" s="554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157.03703703703704</v>
      </c>
      <c r="Y58" s="555">
        <f>IFERROR(Y52/H52,"0")+IFERROR(Y53/H53,"0")+IFERROR(Y54/H54,"0")+IFERROR(Y55/H55,"0")+IFERROR(Y56/H56,"0")+IFERROR(Y57/H57,"0")</f>
        <v>158</v>
      </c>
      <c r="Z58" s="555">
        <f>IFERROR(IF(Z52="",0,Z52),"0")+IFERROR(IF(Z53="",0,Z53),"0")+IFERROR(IF(Z54="",0,Z54),"0")+IFERROR(IF(Z55="",0,Z55),"0")+IFERROR(IF(Z56="",0,Z56),"0")+IFERROR(IF(Z57="",0,Z57),"0")</f>
        <v>1.8036400000000001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940</v>
      </c>
      <c r="Y59" s="555">
        <f>IFERROR(SUM(Y52:Y57),"0")</f>
        <v>950.40000000000009</v>
      </c>
      <c r="Z59" s="37"/>
      <c r="AA59" s="556"/>
      <c r="AB59" s="556"/>
      <c r="AC59" s="556"/>
    </row>
    <row r="60" spans="1:68" ht="14.25" hidden="1" customHeight="1" x14ac:dyDescent="0.25">
      <c r="A60" s="559" t="s">
        <v>137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180</v>
      </c>
      <c r="Y61" s="554">
        <f>IFERROR(IF(X61="",0,CEILING((X61/$H61),1)*$H61),"")</f>
        <v>183.60000000000002</v>
      </c>
      <c r="Z61" s="36">
        <f>IFERROR(IF(Y61=0,"",ROUNDUP(Y61/H61,0)*0.01898),"")</f>
        <v>0.32266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186.83333333333334</v>
      </c>
      <c r="BN61" s="64">
        <f>IFERROR(Y61*I61/H61,"0")</f>
        <v>190.57000000000002</v>
      </c>
      <c r="BO61" s="64">
        <f>IFERROR(1/J61*(X61/H61),"0")</f>
        <v>0.26041666666666663</v>
      </c>
      <c r="BP61" s="64">
        <f>IFERROR(1/J61*(Y61/H61),"0")</f>
        <v>0.265625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66.666666666666657</v>
      </c>
      <c r="Y64" s="555">
        <f>IFERROR(Y61/H61,"0")+IFERROR(Y62/H62,"0")+IFERROR(Y63/H63,"0")</f>
        <v>67</v>
      </c>
      <c r="Z64" s="555">
        <f>IFERROR(IF(Z61="",0,Z61),"0")+IFERROR(IF(Z62="",0,Z62),"0")+IFERROR(IF(Z63="",0,Z63),"0")</f>
        <v>0.64816000000000007</v>
      </c>
      <c r="AA64" s="556"/>
      <c r="AB64" s="556"/>
      <c r="AC64" s="556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315</v>
      </c>
      <c r="Y65" s="555">
        <f>IFERROR(SUM(Y61:Y63),"0")</f>
        <v>318.60000000000002</v>
      </c>
      <c r="Z65" s="37"/>
      <c r="AA65" s="556"/>
      <c r="AB65" s="556"/>
      <c r="AC65" s="556"/>
    </row>
    <row r="66" spans="1:68" ht="14.25" hidden="1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59" t="s">
        <v>162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7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20</v>
      </c>
      <c r="Y79" s="554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2.5641025641025643</v>
      </c>
      <c r="Y81" s="555">
        <f>IFERROR(Y79/H79,"0")+IFERROR(Y80/H80,"0")</f>
        <v>3</v>
      </c>
      <c r="Z81" s="555">
        <f>IFERROR(IF(Z79="",0,Z79),"0")+IFERROR(IF(Z80="",0,Z80),"0")</f>
        <v>5.6940000000000004E-2</v>
      </c>
      <c r="AA81" s="556"/>
      <c r="AB81" s="556"/>
      <c r="AC81" s="556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20</v>
      </c>
      <c r="Y82" s="555">
        <f>IFERROR(SUM(Y79:Y80),"0")</f>
        <v>23.4</v>
      </c>
      <c r="Z82" s="37"/>
      <c r="AA82" s="556"/>
      <c r="AB82" s="556"/>
      <c r="AC82" s="556"/>
    </row>
    <row r="83" spans="1:68" ht="16.5" hidden="1" customHeight="1" x14ac:dyDescent="0.25">
      <c r="A83" s="592" t="s">
        <v>169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hidden="1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200</v>
      </c>
      <c r="Y85" s="55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495</v>
      </c>
      <c r="Y88" s="554">
        <f>IFERROR(IF(X88="",0,CEILING((X88/$H88),1)*$H88),"")</f>
        <v>495</v>
      </c>
      <c r="Z88" s="36">
        <f>IFERROR(IF(Y88=0,"",ROUNDUP(Y88/H88,0)*0.00902),"")</f>
        <v>0.99219999999999997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515.90000000000009</v>
      </c>
      <c r="BN88" s="64">
        <f>IFERROR(Y88*I88/H88,"0")</f>
        <v>515.90000000000009</v>
      </c>
      <c r="BO88" s="64">
        <f>IFERROR(1/J88*(X88/H88),"0")</f>
        <v>0.83333333333333337</v>
      </c>
      <c r="BP88" s="64">
        <f>IFERROR(1/J88*(Y88/H88),"0")</f>
        <v>0.83333333333333337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128.51851851851853</v>
      </c>
      <c r="Y89" s="555">
        <f>IFERROR(Y85/H85,"0")+IFERROR(Y86/H86,"0")+IFERROR(Y87/H87,"0")+IFERROR(Y88/H88,"0")</f>
        <v>129</v>
      </c>
      <c r="Z89" s="555">
        <f>IFERROR(IF(Z85="",0,Z85),"0")+IFERROR(IF(Z86="",0,Z86),"0")+IFERROR(IF(Z87="",0,Z87),"0")+IFERROR(IF(Z88="",0,Z88),"0")</f>
        <v>1.3528199999999999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695</v>
      </c>
      <c r="Y90" s="555">
        <f>IFERROR(SUM(Y85:Y88),"0")</f>
        <v>700.2</v>
      </c>
      <c r="Z90" s="37"/>
      <c r="AA90" s="556"/>
      <c r="AB90" s="556"/>
      <c r="AC90" s="556"/>
    </row>
    <row r="91" spans="1:68" ht="14.25" hidden="1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4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150</v>
      </c>
      <c r="Y92" s="554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159.14814814814815</v>
      </c>
      <c r="BN92" s="64">
        <f>IFERROR(Y92*I92/H92,"0")</f>
        <v>163.286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450</v>
      </c>
      <c r="Y94" s="554">
        <f>IFERROR(IF(X94="",0,CEILING((X94/$H94),1)*$H94),"")</f>
        <v>450.90000000000003</v>
      </c>
      <c r="Z94" s="36">
        <f>IFERROR(IF(Y94=0,"",ROUNDUP(Y94/H94,0)*0.00651),"")</f>
        <v>1.08717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492</v>
      </c>
      <c r="BN94" s="64">
        <f>IFERROR(Y94*I94/H94,"0")</f>
        <v>492.98399999999998</v>
      </c>
      <c r="BO94" s="64">
        <f>IFERROR(1/J94*(X94/H94),"0")</f>
        <v>0.91575091575091572</v>
      </c>
      <c r="BP94" s="64">
        <f>IFERROR(1/J94*(Y94/H94),"0")</f>
        <v>0.91758241758241765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185.18518518518516</v>
      </c>
      <c r="Y96" s="555">
        <f>IFERROR(Y92/H92,"0")+IFERROR(Y93/H93,"0")+IFERROR(Y94/H94,"0")+IFERROR(Y95/H95,"0")</f>
        <v>186</v>
      </c>
      <c r="Z96" s="555">
        <f>IFERROR(IF(Z92="",0,Z92),"0")+IFERROR(IF(Z93="",0,Z93),"0")+IFERROR(IF(Z94="",0,Z94),"0")+IFERROR(IF(Z95="",0,Z95),"0")</f>
        <v>1.4477899999999999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600</v>
      </c>
      <c r="Y97" s="555">
        <f>IFERROR(SUM(Y92:Y95),"0")</f>
        <v>604.80000000000007</v>
      </c>
      <c r="Z97" s="37"/>
      <c r="AA97" s="556"/>
      <c r="AB97" s="556"/>
      <c r="AC97" s="556"/>
    </row>
    <row r="98" spans="1:68" ht="16.5" hidden="1" customHeight="1" x14ac:dyDescent="0.25">
      <c r="A98" s="592" t="s">
        <v>191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hidden="1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360</v>
      </c>
      <c r="Y103" s="554">
        <f>IFERROR(IF(X103="",0,CEILING((X103/$H103),1)*$H103),"")</f>
        <v>360</v>
      </c>
      <c r="Z103" s="36">
        <f>IFERROR(IF(Y103=0,"",ROUNDUP(Y103/H103,0)*0.00902),"")</f>
        <v>0.72160000000000002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375.20000000000005</v>
      </c>
      <c r="BN103" s="64">
        <f>IFERROR(Y103*I103/H103,"0")</f>
        <v>375.20000000000005</v>
      </c>
      <c r="BO103" s="64">
        <f>IFERROR(1/J103*(X103/H103),"0")</f>
        <v>0.60606060606060608</v>
      </c>
      <c r="BP103" s="64">
        <f>IFERROR(1/J103*(Y103/H103),"0")</f>
        <v>0.60606060606060608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89.629629629629633</v>
      </c>
      <c r="Y105" s="555">
        <f>IFERROR(Y100/H100,"0")+IFERROR(Y101/H101,"0")+IFERROR(Y102/H102,"0")+IFERROR(Y103/H103,"0")+IFERROR(Y104/H104,"0")</f>
        <v>90</v>
      </c>
      <c r="Z105" s="555">
        <f>IFERROR(IF(Z100="",0,Z100),"0")+IFERROR(IF(Z101="",0,Z101),"0")+IFERROR(IF(Z102="",0,Z102),"0")+IFERROR(IF(Z103="",0,Z103),"0")+IFERROR(IF(Z104="",0,Z104),"0")</f>
        <v>0.8528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415.5</v>
      </c>
      <c r="Y106" s="555">
        <f>IFERROR(SUM(Y100:Y104),"0")</f>
        <v>419.5</v>
      </c>
      <c r="Z106" s="37"/>
      <c r="AA106" s="556"/>
      <c r="AB106" s="556"/>
      <c r="AC106" s="556"/>
    </row>
    <row r="107" spans="1:68" ht="14.25" hidden="1" customHeight="1" x14ac:dyDescent="0.25">
      <c r="A107" s="559" t="s">
        <v>137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10</v>
      </c>
      <c r="Y109" s="554">
        <f>IFERROR(IF(X109="",0,CEILING((X109/$H109),1)*$H109),"")</f>
        <v>10</v>
      </c>
      <c r="Z109" s="36">
        <f>IFERROR(IF(Y109=0,"",ROUNDUP(Y109/H109,0)*0.00358),"")</f>
        <v>3.5799999999999998E-2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12.1</v>
      </c>
      <c r="BN109" s="64">
        <f>IFERROR(Y109*I109/H109,"0")</f>
        <v>12.1</v>
      </c>
      <c r="BO109" s="64">
        <f>IFERROR(1/J109*(X109/H109),"0")</f>
        <v>2.551020408163265E-2</v>
      </c>
      <c r="BP109" s="64">
        <f>IFERROR(1/J109*(Y109/H109),"0")</f>
        <v>2.551020408163265E-2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5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10</v>
      </c>
      <c r="Y112" s="555">
        <f>IFERROR(Y108/H108,"0")+IFERROR(Y109/H109,"0")+IFERROR(Y110/H110,"0")+IFERROR(Y111/H111,"0")</f>
        <v>10</v>
      </c>
      <c r="Z112" s="555">
        <f>IFERROR(IF(Z108="",0,Z108),"0")+IFERROR(IF(Z109="",0,Z109),"0")+IFERROR(IF(Z110="",0,Z110),"0")+IFERROR(IF(Z111="",0,Z111),"0")</f>
        <v>3.5799999999999998E-2</v>
      </c>
      <c r="AA112" s="556"/>
      <c r="AB112" s="556"/>
      <c r="AC112" s="556"/>
    </row>
    <row r="113" spans="1:68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10</v>
      </c>
      <c r="Y113" s="555">
        <f>IFERROR(SUM(Y108:Y111),"0")</f>
        <v>10</v>
      </c>
      <c r="Z113" s="37"/>
      <c r="AA113" s="556"/>
      <c r="AB113" s="556"/>
      <c r="AC113" s="556"/>
    </row>
    <row r="114" spans="1:68" ht="14.25" hidden="1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1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225</v>
      </c>
      <c r="Y117" s="554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15</v>
      </c>
      <c r="Y118" s="554">
        <f>IFERROR(IF(X118="",0,CEILING((X118/$H118),1)*$H118),"")</f>
        <v>16.2</v>
      </c>
      <c r="Z118" s="36">
        <f>IFERROR(IF(Y118=0,"",ROUNDUP(Y118/H118,0)*0.00651),"")</f>
        <v>5.8590000000000003E-2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16.5</v>
      </c>
      <c r="BN118" s="64">
        <f>IFERROR(Y118*I118/H118,"0")</f>
        <v>17.82</v>
      </c>
      <c r="BO118" s="64">
        <f>IFERROR(1/J118*(X118/H118),"0")</f>
        <v>4.5787545787545791E-2</v>
      </c>
      <c r="BP118" s="64">
        <f>IFERROR(1/J118*(Y118/H118),"0")</f>
        <v>4.9450549450549455E-2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134.87654320987656</v>
      </c>
      <c r="Y119" s="555">
        <f>IFERROR(Y115/H115,"0")+IFERROR(Y116/H116,"0")+IFERROR(Y117/H117,"0")+IFERROR(Y118/H118,"0")</f>
        <v>137</v>
      </c>
      <c r="Z119" s="555">
        <f>IFERROR(IF(Z115="",0,Z115),"0")+IFERROR(IF(Z116="",0,Z116),"0")+IFERROR(IF(Z117="",0,Z117),"0")+IFERROR(IF(Z118="",0,Z118),"0")</f>
        <v>1.4405499999999998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590</v>
      </c>
      <c r="Y120" s="555">
        <f>IFERROR(SUM(Y115:Y118),"0")</f>
        <v>599.40000000000009</v>
      </c>
      <c r="Z120" s="37"/>
      <c r="AA120" s="556"/>
      <c r="AB120" s="556"/>
      <c r="AC120" s="556"/>
    </row>
    <row r="121" spans="1:68" ht="14.25" hidden="1" customHeight="1" x14ac:dyDescent="0.25">
      <c r="A121" s="559" t="s">
        <v>162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26.4</v>
      </c>
      <c r="Y122" s="554">
        <f>IFERROR(IF(X122="",0,CEILING((X122/$H122),1)*$H122),"")</f>
        <v>27.72</v>
      </c>
      <c r="Z122" s="36">
        <f>IFERROR(IF(Y122=0,"",ROUNDUP(Y122/H122,0)*0.00651),"")</f>
        <v>9.1139999999999999E-2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29.84</v>
      </c>
      <c r="BN122" s="64">
        <f>IFERROR(Y122*I122/H122,"0")</f>
        <v>31.332000000000001</v>
      </c>
      <c r="BO122" s="64">
        <f>IFERROR(1/J122*(X122/H122),"0")</f>
        <v>7.3260073260073263E-2</v>
      </c>
      <c r="BP122" s="64">
        <f>IFERROR(1/J122*(Y122/H122),"0")</f>
        <v>7.6923076923076927E-2</v>
      </c>
    </row>
    <row r="123" spans="1:68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13.333333333333332</v>
      </c>
      <c r="Y123" s="555">
        <f>IFERROR(Y122/H122,"0")</f>
        <v>14</v>
      </c>
      <c r="Z123" s="555">
        <f>IFERROR(IF(Z122="",0,Z122),"0")</f>
        <v>9.1139999999999999E-2</v>
      </c>
      <c r="AA123" s="556"/>
      <c r="AB123" s="556"/>
      <c r="AC123" s="556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26.4</v>
      </c>
      <c r="Y124" s="555">
        <f>IFERROR(SUM(Y122:Y122),"0")</f>
        <v>27.72</v>
      </c>
      <c r="Z124" s="37"/>
      <c r="AA124" s="556"/>
      <c r="AB124" s="556"/>
      <c r="AC124" s="556"/>
    </row>
    <row r="125" spans="1:68" ht="16.5" hidden="1" customHeight="1" x14ac:dyDescent="0.25">
      <c r="A125" s="592" t="s">
        <v>229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hidden="1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40</v>
      </c>
      <c r="Y127" s="554">
        <f>IFERROR(IF(X127="",0,CEILING((X127/$H127),1)*$H127),"")</f>
        <v>41.6</v>
      </c>
      <c r="Z127" s="36">
        <f>IFERROR(IF(Y127=0,"",ROUNDUP(Y127/H127,0)*0.00651),"")</f>
        <v>8.4629999999999997E-2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42.249999999999993</v>
      </c>
      <c r="BN127" s="64">
        <f>IFERROR(Y127*I127/H127,"0")</f>
        <v>43.94</v>
      </c>
      <c r="BO127" s="64">
        <f>IFERROR(1/J127*(X127/H127),"0")</f>
        <v>6.8681318681318687E-2</v>
      </c>
      <c r="BP127" s="64">
        <f>IFERROR(1/J127*(Y127/H127),"0")</f>
        <v>7.1428571428571438E-2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12.5</v>
      </c>
      <c r="Y129" s="555">
        <f>IFERROR(Y127/H127,"0")+IFERROR(Y128/H128,"0")</f>
        <v>13</v>
      </c>
      <c r="Z129" s="555">
        <f>IFERROR(IF(Z127="",0,Z127),"0")+IFERROR(IF(Z128="",0,Z128),"0")</f>
        <v>8.4629999999999997E-2</v>
      </c>
      <c r="AA129" s="556"/>
      <c r="AB129" s="556"/>
      <c r="AC129" s="556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40</v>
      </c>
      <c r="Y130" s="555">
        <f>IFERROR(SUM(Y127:Y128),"0")</f>
        <v>41.6</v>
      </c>
      <c r="Z130" s="37"/>
      <c r="AA130" s="556"/>
      <c r="AB130" s="556"/>
      <c r="AC130" s="556"/>
    </row>
    <row r="131" spans="1:68" ht="14.25" hidden="1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6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hidden="1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92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hidden="1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82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57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0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82" t="s">
        <v>268</v>
      </c>
      <c r="B160" s="583"/>
      <c r="C160" s="583"/>
      <c r="D160" s="583"/>
      <c r="E160" s="583"/>
      <c r="F160" s="583"/>
      <c r="G160" s="583"/>
      <c r="H160" s="583"/>
      <c r="I160" s="583"/>
      <c r="J160" s="583"/>
      <c r="K160" s="583"/>
      <c r="L160" s="583"/>
      <c r="M160" s="583"/>
      <c r="N160" s="583"/>
      <c r="O160" s="583"/>
      <c r="P160" s="583"/>
      <c r="Q160" s="583"/>
      <c r="R160" s="583"/>
      <c r="S160" s="583"/>
      <c r="T160" s="583"/>
      <c r="U160" s="583"/>
      <c r="V160" s="583"/>
      <c r="W160" s="583"/>
      <c r="X160" s="583"/>
      <c r="Y160" s="583"/>
      <c r="Z160" s="583"/>
      <c r="AA160" s="48"/>
      <c r="AB160" s="48"/>
      <c r="AC160" s="48"/>
    </row>
    <row r="161" spans="1:68" ht="16.5" hidden="1" customHeight="1" x14ac:dyDescent="0.25">
      <c r="A161" s="592" t="s">
        <v>269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hidden="1" customHeight="1" x14ac:dyDescent="0.25">
      <c r="A162" s="559" t="s">
        <v>137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64" t="s">
        <v>276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80" t="s">
        <v>281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86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50</v>
      </c>
      <c r="Y170" s="554">
        <f t="shared" si="10"/>
        <v>50.400000000000006</v>
      </c>
      <c r="Z170" s="36">
        <f>IFERROR(IF(Y170=0,"",ROUNDUP(Y170/H170,0)*0.00902),"")</f>
        <v>0.10824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52.976190476190474</v>
      </c>
      <c r="BN170" s="64">
        <f t="shared" si="12"/>
        <v>53.400000000000006</v>
      </c>
      <c r="BO170" s="64">
        <f t="shared" si="13"/>
        <v>9.0187590187590191E-2</v>
      </c>
      <c r="BP170" s="64">
        <f t="shared" si="14"/>
        <v>9.0909090909090912E-2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8</v>
      </c>
      <c r="Y172" s="554">
        <f t="shared" si="10"/>
        <v>8</v>
      </c>
      <c r="Z172" s="36">
        <f>IFERROR(IF(Y172=0,"",ROUNDUP(Y172/H172,0)*0.00556),"")</f>
        <v>5.5599999999999997E-2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9.3000000000000007</v>
      </c>
      <c r="BN172" s="64">
        <f t="shared" si="12"/>
        <v>9.3000000000000007</v>
      </c>
      <c r="BO172" s="64">
        <f t="shared" si="13"/>
        <v>4.6296296296296294E-2</v>
      </c>
      <c r="BP172" s="64">
        <f t="shared" si="14"/>
        <v>4.6296296296296294E-2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67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8</v>
      </c>
      <c r="Y177" s="554">
        <f t="shared" si="10"/>
        <v>8</v>
      </c>
      <c r="Z177" s="36">
        <f>IFERROR(IF(Y177=0,"",ROUNDUP(Y177/H177,0)*0.00417),"")</f>
        <v>4.1700000000000001E-2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10.1</v>
      </c>
      <c r="BN177" s="64">
        <f t="shared" si="12"/>
        <v>10.1</v>
      </c>
      <c r="BO177" s="64">
        <f t="shared" si="13"/>
        <v>2.976190476190476E-2</v>
      </c>
      <c r="BP177" s="64">
        <f t="shared" si="14"/>
        <v>2.976190476190476E-2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6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175</v>
      </c>
      <c r="Y178" s="554">
        <f t="shared" si="10"/>
        <v>176.4</v>
      </c>
      <c r="Z178" s="36">
        <f>IFERROR(IF(Y178=0,"",ROUNDUP(Y178/H178,0)*0.00502),"")</f>
        <v>0.42168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183.33333333333334</v>
      </c>
      <c r="BN178" s="64">
        <f t="shared" si="12"/>
        <v>184.8</v>
      </c>
      <c r="BO178" s="64">
        <f t="shared" si="13"/>
        <v>0.35612535612535612</v>
      </c>
      <c r="BP178" s="64">
        <f t="shared" si="14"/>
        <v>0.35897435897435903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234.28571428571428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236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1.3736200000000001</v>
      </c>
      <c r="AA181" s="556"/>
      <c r="AB181" s="556"/>
      <c r="AC181" s="556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566</v>
      </c>
      <c r="Y182" s="555">
        <f>IFERROR(SUM(Y167:Y180),"0")</f>
        <v>570.4</v>
      </c>
      <c r="Z182" s="37"/>
      <c r="AA182" s="556"/>
      <c r="AB182" s="556"/>
      <c r="AC182" s="556"/>
    </row>
    <row r="183" spans="1:68" ht="14.25" hidden="1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4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10.5</v>
      </c>
      <c r="Y185" s="554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10.5</v>
      </c>
      <c r="Y186" s="554">
        <f>IFERROR(IF(X186="",0,CEILING((X186/$H186),1)*$H186),"")</f>
        <v>11.34</v>
      </c>
      <c r="Z186" s="36">
        <f>IFERROR(IF(Y186=0,"",ROUNDUP(Y186/H186,0)*0.0059),"")</f>
        <v>5.3100000000000001E-2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12.083333333333332</v>
      </c>
      <c r="BN186" s="64">
        <f>IFERROR(Y186*I186/H186,"0")</f>
        <v>13.049999999999999</v>
      </c>
      <c r="BO186" s="64">
        <f>IFERROR(1/J186*(X186/H186),"0")</f>
        <v>3.8580246913580245E-2</v>
      </c>
      <c r="BP186" s="64">
        <f>IFERROR(1/J186*(Y186/H186),"0")</f>
        <v>4.1666666666666664E-2</v>
      </c>
    </row>
    <row r="187" spans="1:68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22.222222222222221</v>
      </c>
      <c r="Y187" s="555">
        <f>IFERROR(Y184/H184,"0")+IFERROR(Y185/H185,"0")+IFERROR(Y186/H186,"0")</f>
        <v>24</v>
      </c>
      <c r="Z187" s="555">
        <f>IFERROR(IF(Z184="",0,Z184),"0")+IFERROR(IF(Z185="",0,Z185),"0")+IFERROR(IF(Z186="",0,Z186),"0")</f>
        <v>0.1416</v>
      </c>
      <c r="AA187" s="556"/>
      <c r="AB187" s="556"/>
      <c r="AC187" s="556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28</v>
      </c>
      <c r="Y188" s="555">
        <f>IFERROR(SUM(Y184:Y186),"0")</f>
        <v>30.24</v>
      </c>
      <c r="Z188" s="37"/>
      <c r="AA188" s="556"/>
      <c r="AB188" s="556"/>
      <c r="AC188" s="556"/>
    </row>
    <row r="189" spans="1:68" ht="14.25" hidden="1" customHeight="1" x14ac:dyDescent="0.25">
      <c r="A189" s="559" t="s">
        <v>324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5.6000000000000014</v>
      </c>
      <c r="Y190" s="554">
        <f>IFERROR(IF(X190="",0,CEILING((X190/$H190),1)*$H190),"")</f>
        <v>6.3</v>
      </c>
      <c r="Z190" s="36">
        <f>IFERROR(IF(Y190=0,"",ROUNDUP(Y190/H190,0)*0.0059),"")</f>
        <v>2.9499999999999998E-2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6.4444444444444455</v>
      </c>
      <c r="BN190" s="64">
        <f>IFERROR(Y190*I190/H190,"0")</f>
        <v>7.25</v>
      </c>
      <c r="BO190" s="64">
        <f>IFERROR(1/J190*(X190/H190),"0")</f>
        <v>2.0576131687242802E-2</v>
      </c>
      <c r="BP190" s="64">
        <f>IFERROR(1/J190*(Y190/H190),"0")</f>
        <v>2.3148148148148147E-2</v>
      </c>
    </row>
    <row r="191" spans="1:68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4.4444444444444455</v>
      </c>
      <c r="Y191" s="555">
        <f>IFERROR(Y190/H190,"0")</f>
        <v>5</v>
      </c>
      <c r="Z191" s="555">
        <f>IFERROR(IF(Z190="",0,Z190),"0")</f>
        <v>2.9499999999999998E-2</v>
      </c>
      <c r="AA191" s="556"/>
      <c r="AB191" s="556"/>
      <c r="AC191" s="556"/>
    </row>
    <row r="192" spans="1:68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5.6000000000000014</v>
      </c>
      <c r="Y192" s="555">
        <f>IFERROR(SUM(Y190:Y190),"0")</f>
        <v>6.3</v>
      </c>
      <c r="Z192" s="37"/>
      <c r="AA192" s="556"/>
      <c r="AB192" s="556"/>
      <c r="AC192" s="556"/>
    </row>
    <row r="193" spans="1:68" ht="16.5" hidden="1" customHeight="1" x14ac:dyDescent="0.25">
      <c r="A193" s="592" t="s">
        <v>327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hidden="1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59" t="s">
        <v>137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6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6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80</v>
      </c>
      <c r="Y205" s="554">
        <f t="shared" ref="Y205:Y212" si="15">IFERROR(IF(X205="",0,CEILING((X205/$H205),1)*$H205),"")</f>
        <v>81</v>
      </c>
      <c r="Z205" s="36">
        <f>IFERROR(IF(Y205=0,"",ROUNDUP(Y205/H205,0)*0.00902),"")</f>
        <v>0.1353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82.81481481481481</v>
      </c>
      <c r="BN205" s="64">
        <f t="shared" ref="BN205:BN212" si="17">IFERROR(Y205*I205/H205,"0")</f>
        <v>83.85</v>
      </c>
      <c r="BO205" s="64">
        <f t="shared" ref="BO205:BO212" si="18">IFERROR(1/J205*(X205/H205),"0")</f>
        <v>0.11223344556677889</v>
      </c>
      <c r="BP205" s="64">
        <f t="shared" ref="BP205:BP212" si="19">IFERROR(1/J205*(Y205/H205),"0")</f>
        <v>0.11363636363636363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40</v>
      </c>
      <c r="Y206" s="554">
        <f t="shared" si="15"/>
        <v>43.2</v>
      </c>
      <c r="Z206" s="36">
        <f>IFERROR(IF(Y206=0,"",ROUNDUP(Y206/H206,0)*0.00902),"")</f>
        <v>7.2160000000000002E-2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41.407407407407405</v>
      </c>
      <c r="BN206" s="64">
        <f t="shared" si="17"/>
        <v>44.72</v>
      </c>
      <c r="BO206" s="64">
        <f t="shared" si="18"/>
        <v>5.6116722783389444E-2</v>
      </c>
      <c r="BP206" s="64">
        <f t="shared" si="19"/>
        <v>6.0606060606060608E-2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500</v>
      </c>
      <c r="Y207" s="554">
        <f t="shared" si="15"/>
        <v>502.20000000000005</v>
      </c>
      <c r="Z207" s="36">
        <f>IFERROR(IF(Y207=0,"",ROUNDUP(Y207/H207,0)*0.00902),"")</f>
        <v>0.83886000000000005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517.59259259259261</v>
      </c>
      <c r="BN207" s="64">
        <f t="shared" si="17"/>
        <v>519.87</v>
      </c>
      <c r="BO207" s="64">
        <f t="shared" si="18"/>
        <v>0.70145903479236804</v>
      </c>
      <c r="BP207" s="64">
        <f t="shared" si="19"/>
        <v>0.70454545454545459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80</v>
      </c>
      <c r="Y208" s="554">
        <f t="shared" si="15"/>
        <v>81</v>
      </c>
      <c r="Z208" s="36">
        <f>IFERROR(IF(Y208=0,"",ROUNDUP(Y208/H208,0)*0.00902),"")</f>
        <v>0.1353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82.81481481481481</v>
      </c>
      <c r="BN208" s="64">
        <f t="shared" si="17"/>
        <v>83.85</v>
      </c>
      <c r="BO208" s="64">
        <f t="shared" si="18"/>
        <v>0.11223344556677889</v>
      </c>
      <c r="BP208" s="64">
        <f t="shared" si="19"/>
        <v>0.11363636363636363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75</v>
      </c>
      <c r="Y209" s="554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80.416666666666671</v>
      </c>
      <c r="BN209" s="64">
        <f t="shared" si="17"/>
        <v>81.06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6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45</v>
      </c>
      <c r="Y212" s="554">
        <f t="shared" si="15"/>
        <v>45</v>
      </c>
      <c r="Z212" s="36">
        <f>IFERROR(IF(Y212=0,"",ROUNDUP(Y212/H212,0)*0.00502),"")</f>
        <v>0.1255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47.5</v>
      </c>
      <c r="BN212" s="64">
        <f t="shared" si="17"/>
        <v>47.5</v>
      </c>
      <c r="BO212" s="64">
        <f t="shared" si="18"/>
        <v>0.10683760683760685</v>
      </c>
      <c r="BP212" s="64">
        <f t="shared" si="19"/>
        <v>0.10683760683760685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262.96296296296293</v>
      </c>
      <c r="Y213" s="555">
        <f>IFERROR(Y205/H205,"0")+IFERROR(Y206/H206,"0")+IFERROR(Y207/H207,"0")+IFERROR(Y208/H208,"0")+IFERROR(Y209/H209,"0")+IFERROR(Y210/H210,"0")+IFERROR(Y211/H211,"0")+IFERROR(Y212/H212,"0")</f>
        <v>265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1.8542999999999998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940</v>
      </c>
      <c r="Y214" s="555">
        <f>IFERROR(SUM(Y205:Y212),"0")</f>
        <v>948.60000000000014</v>
      </c>
      <c r="Z214" s="37"/>
      <c r="AA214" s="556"/>
      <c r="AB214" s="556"/>
      <c r="AC214" s="556"/>
    </row>
    <row r="215" spans="1:68" ht="14.25" hidden="1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5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160</v>
      </c>
      <c r="Y219" s="554">
        <f t="shared" si="20"/>
        <v>160.79999999999998</v>
      </c>
      <c r="Z219" s="36">
        <f t="shared" ref="Z219:Z224" si="25">IFERROR(IF(Y219=0,"",ROUNDUP(Y219/H219,0)*0.00651),"")</f>
        <v>0.43617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178</v>
      </c>
      <c r="BN219" s="64">
        <f t="shared" si="22"/>
        <v>178.89</v>
      </c>
      <c r="BO219" s="64">
        <f t="shared" si="23"/>
        <v>0.36630036630036633</v>
      </c>
      <c r="BP219" s="64">
        <f t="shared" si="24"/>
        <v>0.36813186813186816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240</v>
      </c>
      <c r="Y221" s="554">
        <f t="shared" si="20"/>
        <v>240</v>
      </c>
      <c r="Z221" s="36">
        <f t="shared" si="25"/>
        <v>0.65100000000000002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265.20000000000005</v>
      </c>
      <c r="BN221" s="64">
        <f t="shared" si="22"/>
        <v>265.20000000000005</v>
      </c>
      <c r="BO221" s="64">
        <f t="shared" si="23"/>
        <v>0.5494505494505495</v>
      </c>
      <c r="BP221" s="64">
        <f t="shared" si="24"/>
        <v>0.5494505494505495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80</v>
      </c>
      <c r="Y223" s="554">
        <f t="shared" si="20"/>
        <v>81.599999999999994</v>
      </c>
      <c r="Z223" s="36">
        <f t="shared" si="25"/>
        <v>0.22134000000000001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88.40000000000002</v>
      </c>
      <c r="BN223" s="64">
        <f t="shared" si="22"/>
        <v>90.168000000000006</v>
      </c>
      <c r="BO223" s="64">
        <f t="shared" si="23"/>
        <v>0.18315018315018317</v>
      </c>
      <c r="BP223" s="64">
        <f t="shared" si="24"/>
        <v>0.18681318681318682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81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272.41379310344831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274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1.85856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690</v>
      </c>
      <c r="Y226" s="555">
        <f>IFERROR(SUM(Y216:Y224),"0")</f>
        <v>695.4</v>
      </c>
      <c r="Z226" s="37"/>
      <c r="AA226" s="556"/>
      <c r="AB226" s="556"/>
      <c r="AC226" s="556"/>
    </row>
    <row r="227" spans="1:68" ht="14.25" hidden="1" customHeight="1" x14ac:dyDescent="0.25">
      <c r="A227" s="559" t="s">
        <v>162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6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92" t="s">
        <v>387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hidden="1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30</v>
      </c>
      <c r="Y234" s="554">
        <f t="shared" ref="Y234:Y242" si="26">IFERROR(IF(X234="",0,CEILING((X234/$H234),1)*$H234),"")</f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31.06034482758621</v>
      </c>
      <c r="BN234" s="64">
        <f t="shared" ref="BN234:BN242" si="28">IFERROR(Y234*I234/H234,"0")</f>
        <v>36.03</v>
      </c>
      <c r="BO234" s="64">
        <f t="shared" ref="BO234:BO242" si="29">IFERROR(1/J234*(X234/H234),"0")</f>
        <v>4.0409482758620691E-2</v>
      </c>
      <c r="BP234" s="64">
        <f t="shared" ref="BP234:BP242" si="30">IFERROR(1/J234*(Y234/H234),"0")</f>
        <v>4.6875E-2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8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20</v>
      </c>
      <c r="Y237" s="554">
        <f t="shared" si="26"/>
        <v>20</v>
      </c>
      <c r="Z237" s="36">
        <f>IFERROR(IF(Y237=0,"",ROUNDUP(Y237/H237,0)*0.00902),"")</f>
        <v>4.5100000000000001E-2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20.950000000000003</v>
      </c>
      <c r="BN237" s="64">
        <f t="shared" si="28"/>
        <v>20.950000000000003</v>
      </c>
      <c r="BO237" s="64">
        <f t="shared" si="29"/>
        <v>3.787878787878788E-2</v>
      </c>
      <c r="BP237" s="64">
        <f t="shared" si="30"/>
        <v>3.787878787878788E-2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6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52</v>
      </c>
      <c r="Y241" s="554">
        <f t="shared" si="26"/>
        <v>52</v>
      </c>
      <c r="Z241" s="36">
        <f>IFERROR(IF(Y241=0,"",ROUNDUP(Y241/H241,0)*0.00902),"")</f>
        <v>0.11726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54.470000000000006</v>
      </c>
      <c r="BN241" s="64">
        <f t="shared" si="28"/>
        <v>54.470000000000006</v>
      </c>
      <c r="BO241" s="64">
        <f t="shared" si="29"/>
        <v>9.8484848484848481E-2</v>
      </c>
      <c r="BP241" s="64">
        <f t="shared" si="30"/>
        <v>9.8484848484848481E-2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26.620689655172413</v>
      </c>
      <c r="Y243" s="555">
        <f>IFERROR(Y234/H234,"0")+IFERROR(Y235/H235,"0")+IFERROR(Y236/H236,"0")+IFERROR(Y237/H237,"0")+IFERROR(Y238/H238,"0")+IFERROR(Y239/H239,"0")+IFERROR(Y240/H240,"0")+IFERROR(Y241/H241,"0")+IFERROR(Y242/H242,"0")</f>
        <v>28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0.35216000000000003</v>
      </c>
      <c r="AA243" s="556"/>
      <c r="AB243" s="556"/>
      <c r="AC243" s="556"/>
    </row>
    <row r="244" spans="1:68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172</v>
      </c>
      <c r="Y244" s="555">
        <f>IFERROR(SUM(Y234:Y242),"0")</f>
        <v>188</v>
      </c>
      <c r="Z244" s="37"/>
      <c r="AA244" s="556"/>
      <c r="AB244" s="556"/>
      <c r="AC244" s="556"/>
    </row>
    <row r="245" spans="1:68" ht="14.25" hidden="1" customHeight="1" x14ac:dyDescent="0.25">
      <c r="A245" s="559" t="s">
        <v>137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59" t="s">
        <v>412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hidden="1" customHeight="1" x14ac:dyDescent="0.25">
      <c r="A253" s="559" t="s">
        <v>416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7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hidden="1" customHeight="1" x14ac:dyDescent="0.25">
      <c r="A261" s="592" t="s">
        <v>428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hidden="1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7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8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92" t="s">
        <v>444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hidden="1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8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86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92" t="s">
        <v>455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hidden="1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40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44.20000000000001</v>
      </c>
      <c r="BN281" s="64">
        <f>IFERROR(Y281*I281/H281,"0")</f>
        <v>45.084000000000003</v>
      </c>
      <c r="BO281" s="64">
        <f>IFERROR(1/J281*(X281/H281),"0")</f>
        <v>9.1575091575091583E-2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120</v>
      </c>
      <c r="Y282" s="554">
        <f>IFERROR(IF(X282="",0,CEILING((X282/$H282),1)*$H282),"")</f>
        <v>120</v>
      </c>
      <c r="Z282" s="36">
        <f>IFERROR(IF(Y282=0,"",ROUNDUP(Y282/H282,0)*0.00651),"")</f>
        <v>0.32550000000000001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129.00000000000003</v>
      </c>
      <c r="BN282" s="64">
        <f>IFERROR(Y282*I282/H282,"0")</f>
        <v>129.00000000000003</v>
      </c>
      <c r="BO282" s="64">
        <f>IFERROR(1/J282*(X282/H282),"0")</f>
        <v>0.27472527472527475</v>
      </c>
      <c r="BP282" s="64">
        <f>IFERROR(1/J282*(Y282/H282),"0")</f>
        <v>0.27472527472527475</v>
      </c>
    </row>
    <row r="283" spans="1:68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hidden="1" customHeight="1" x14ac:dyDescent="0.25">
      <c r="A285" s="592" t="s">
        <v>464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hidden="1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6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6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92" t="s">
        <v>477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hidden="1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1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8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175</v>
      </c>
      <c r="Y310" s="554">
        <f t="shared" si="31"/>
        <v>176.4</v>
      </c>
      <c r="Z310" s="36">
        <f>IFERROR(IF(Y310=0,"",ROUNDUP(Y310/H310,0)*0.00502),"")</f>
        <v>0.42168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183.33333333333334</v>
      </c>
      <c r="BN310" s="64">
        <f t="shared" si="33"/>
        <v>184.8</v>
      </c>
      <c r="BO310" s="64">
        <f t="shared" si="34"/>
        <v>0.35612535612535612</v>
      </c>
      <c r="BP310" s="64">
        <f t="shared" si="35"/>
        <v>0.35897435897435903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83.333333333333329</v>
      </c>
      <c r="Y312" s="555">
        <f>IFERROR(Y306/H306,"0")+IFERROR(Y307/H307,"0")+IFERROR(Y308/H308,"0")+IFERROR(Y309/H309,"0")+IFERROR(Y310/H310,"0")+IFERROR(Y311/H311,"0")</f>
        <v>84</v>
      </c>
      <c r="Z312" s="555">
        <f>IFERROR(IF(Z306="",0,Z306),"0")+IFERROR(IF(Z307="",0,Z307),"0")+IFERROR(IF(Z308="",0,Z308),"0")+IFERROR(IF(Z309="",0,Z309),"0")+IFERROR(IF(Z310="",0,Z310),"0")+IFERROR(IF(Z311="",0,Z311),"0")</f>
        <v>0.42168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175</v>
      </c>
      <c r="Y313" s="555">
        <f>IFERROR(SUM(Y306:Y311),"0")</f>
        <v>176.4</v>
      </c>
      <c r="Z313" s="37"/>
      <c r="AA313" s="556"/>
      <c r="AB313" s="556"/>
      <c r="AC313" s="556"/>
    </row>
    <row r="314" spans="1:68" ht="14.25" hidden="1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59" t="s">
        <v>162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40.842490842490839</v>
      </c>
      <c r="Y325" s="555">
        <f>IFERROR(Y322/H322,"0")+IFERROR(Y323/H323,"0")+IFERROR(Y324/H324,"0")</f>
        <v>42</v>
      </c>
      <c r="Z325" s="555">
        <f>IFERROR(IF(Z322="",0,Z322),"0")+IFERROR(IF(Z323="",0,Z323),"0")+IFERROR(IF(Z324="",0,Z324),"0")</f>
        <v>0.79715999999999998</v>
      </c>
      <c r="AA325" s="556"/>
      <c r="AB325" s="556"/>
      <c r="AC325" s="556"/>
    </row>
    <row r="326" spans="1:68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320</v>
      </c>
      <c r="Y326" s="555">
        <f>IFERROR(SUM(Y322:Y324),"0")</f>
        <v>329.4</v>
      </c>
      <c r="Z326" s="37"/>
      <c r="AA326" s="556"/>
      <c r="AB326" s="556"/>
      <c r="AC326" s="556"/>
    </row>
    <row r="327" spans="1:68" ht="14.25" hidden="1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8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8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8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85</v>
      </c>
      <c r="Y331" s="554">
        <f>IFERROR(IF(X331="",0,CEILING((X331/$H331),1)*$H331),"")</f>
        <v>86.699999999999989</v>
      </c>
      <c r="Z331" s="36">
        <f>IFERROR(IF(Y331=0,"",ROUNDUP(Y331/H331,0)*0.00651),"")</f>
        <v>0.22134000000000001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96</v>
      </c>
      <c r="BN331" s="64">
        <f>IFERROR(Y331*I331/H331,"0")</f>
        <v>97.92</v>
      </c>
      <c r="BO331" s="64">
        <f>IFERROR(1/J331*(X331/H331),"0")</f>
        <v>0.18315018315018317</v>
      </c>
      <c r="BP331" s="64">
        <f>IFERROR(1/J331*(Y331/H331),"0")</f>
        <v>0.18681318681318682</v>
      </c>
    </row>
    <row r="332" spans="1:68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33.333333333333336</v>
      </c>
      <c r="Y332" s="555">
        <f>IFERROR(Y328/H328,"0")+IFERROR(Y329/H329,"0")+IFERROR(Y330/H330,"0")+IFERROR(Y331/H331,"0")</f>
        <v>34</v>
      </c>
      <c r="Z332" s="555">
        <f>IFERROR(IF(Z328="",0,Z328),"0")+IFERROR(IF(Z329="",0,Z329),"0")+IFERROR(IF(Z330="",0,Z330),"0")+IFERROR(IF(Z331="",0,Z331),"0")</f>
        <v>0.22134000000000001</v>
      </c>
      <c r="AA332" s="556"/>
      <c r="AB332" s="556"/>
      <c r="AC332" s="556"/>
    </row>
    <row r="333" spans="1:68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85</v>
      </c>
      <c r="Y333" s="555">
        <f>IFERROR(SUM(Y328:Y331),"0")</f>
        <v>86.699999999999989</v>
      </c>
      <c r="Z333" s="37"/>
      <c r="AA333" s="556"/>
      <c r="AB333" s="556"/>
      <c r="AC333" s="556"/>
    </row>
    <row r="334" spans="1:68" ht="14.25" hidden="1" customHeight="1" x14ac:dyDescent="0.25">
      <c r="A334" s="559" t="s">
        <v>540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92" t="s">
        <v>549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hidden="1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6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525</v>
      </c>
      <c r="Y343" s="554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588</v>
      </c>
      <c r="BN343" s="64">
        <f>IFERROR(Y343*I343/H343,"0")</f>
        <v>588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6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280</v>
      </c>
      <c r="Y344" s="554">
        <f>IFERROR(IF(X344="",0,CEILING((X344/$H344),1)*$H344),"")</f>
        <v>281.40000000000003</v>
      </c>
      <c r="Z344" s="36">
        <f>IFERROR(IF(Y344=0,"",ROUNDUP(Y344/H344,0)*0.00651),"")</f>
        <v>0.87234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311.99999999999994</v>
      </c>
      <c r="BN344" s="64">
        <f>IFERROR(Y344*I344/H344,"0")</f>
        <v>313.56</v>
      </c>
      <c r="BO344" s="64">
        <f>IFERROR(1/J344*(X344/H344),"0")</f>
        <v>0.73260073260073255</v>
      </c>
      <c r="BP344" s="64">
        <f>IFERROR(1/J344*(Y344/H344),"0")</f>
        <v>0.73626373626373631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383.33333333333331</v>
      </c>
      <c r="Y345" s="555">
        <f>IFERROR(Y342/H342,"0")+IFERROR(Y343/H343,"0")+IFERROR(Y344/H344,"0")</f>
        <v>384</v>
      </c>
      <c r="Z345" s="555">
        <f>IFERROR(IF(Z342="",0,Z342),"0")+IFERROR(IF(Z343="",0,Z343),"0")+IFERROR(IF(Z344="",0,Z344),"0")</f>
        <v>2.4998399999999998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805</v>
      </c>
      <c r="Y346" s="555">
        <f>IFERROR(SUM(Y342:Y344),"0")</f>
        <v>806.40000000000009</v>
      </c>
      <c r="Z346" s="37"/>
      <c r="AA346" s="556"/>
      <c r="AB346" s="556"/>
      <c r="AC346" s="556"/>
    </row>
    <row r="347" spans="1:68" ht="27.75" hidden="1" customHeight="1" x14ac:dyDescent="0.2">
      <c r="A347" s="582" t="s">
        <v>559</v>
      </c>
      <c r="B347" s="583"/>
      <c r="C347" s="583"/>
      <c r="D347" s="583"/>
      <c r="E347" s="583"/>
      <c r="F347" s="583"/>
      <c r="G347" s="583"/>
      <c r="H347" s="583"/>
      <c r="I347" s="583"/>
      <c r="J347" s="583"/>
      <c r="K347" s="583"/>
      <c r="L347" s="583"/>
      <c r="M347" s="583"/>
      <c r="N347" s="583"/>
      <c r="O347" s="583"/>
      <c r="P347" s="583"/>
      <c r="Q347" s="583"/>
      <c r="R347" s="583"/>
      <c r="S347" s="583"/>
      <c r="T347" s="583"/>
      <c r="U347" s="583"/>
      <c r="V347" s="583"/>
      <c r="W347" s="583"/>
      <c r="X347" s="583"/>
      <c r="Y347" s="583"/>
      <c r="Z347" s="583"/>
      <c r="AA347" s="48"/>
      <c r="AB347" s="48"/>
      <c r="AC347" s="48"/>
    </row>
    <row r="348" spans="1:68" ht="16.5" hidden="1" customHeight="1" x14ac:dyDescent="0.25">
      <c r="A348" s="592" t="s">
        <v>560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hidden="1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1400</v>
      </c>
      <c r="Y350" s="554">
        <f t="shared" ref="Y350:Y356" si="36">IFERROR(IF(X350="",0,CEILING((X350/$H350),1)*$H350),"")</f>
        <v>1410</v>
      </c>
      <c r="Z350" s="36">
        <f>IFERROR(IF(Y350=0,"",ROUNDUP(Y350/H350,0)*0.02175),"")</f>
        <v>2.0444999999999998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1443.8666666666666</v>
      </c>
      <c r="BN350" s="64">
        <f t="shared" ref="BN350:BN356" si="38">IFERROR(Y350*I350/H350,"0")</f>
        <v>1454.18</v>
      </c>
      <c r="BO350" s="64">
        <f t="shared" ref="BO350:BO356" si="39">IFERROR(1/J350*(X350/H350),"0")</f>
        <v>1.9444444444444442</v>
      </c>
      <c r="BP350" s="64">
        <f t="shared" ref="BP350:BP356" si="40">IFERROR(1/J350*(Y350/H350),"0")</f>
        <v>1.9583333333333333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500</v>
      </c>
      <c r="Y351" s="554">
        <f t="shared" si="36"/>
        <v>510</v>
      </c>
      <c r="Z351" s="36">
        <f>IFERROR(IF(Y351=0,"",ROUNDUP(Y351/H351,0)*0.02175),"")</f>
        <v>0.73949999999999994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515.66666666666663</v>
      </c>
      <c r="BN351" s="64">
        <f t="shared" si="38"/>
        <v>525.98</v>
      </c>
      <c r="BO351" s="64">
        <f t="shared" si="39"/>
        <v>0.69444444444444442</v>
      </c>
      <c r="BP351" s="64">
        <f t="shared" si="40"/>
        <v>0.70833333333333326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1600</v>
      </c>
      <c r="Y352" s="554">
        <f t="shared" si="36"/>
        <v>1605</v>
      </c>
      <c r="Z352" s="36">
        <f>IFERROR(IF(Y352=0,"",ROUNDUP(Y352/H352,0)*0.02175),"")</f>
        <v>2.3272499999999998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1650.1333333333334</v>
      </c>
      <c r="BN352" s="64">
        <f t="shared" si="38"/>
        <v>1655.2900000000002</v>
      </c>
      <c r="BO352" s="64">
        <f t="shared" si="39"/>
        <v>2.2222222222222223</v>
      </c>
      <c r="BP352" s="64">
        <f t="shared" si="40"/>
        <v>2.2291666666666665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5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6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266.66666666666663</v>
      </c>
      <c r="Y357" s="555">
        <f>IFERROR(Y350/H350,"0")+IFERROR(Y351/H351,"0")+IFERROR(Y352/H352,"0")+IFERROR(Y353/H353,"0")+IFERROR(Y354/H354,"0")+IFERROR(Y355/H355,"0")+IFERROR(Y356/H356,"0")</f>
        <v>269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5.8507499999999997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4000</v>
      </c>
      <c r="Y358" s="555">
        <f>IFERROR(SUM(Y350:Y356),"0")</f>
        <v>4035</v>
      </c>
      <c r="Z358" s="37"/>
      <c r="AA358" s="556"/>
      <c r="AB358" s="556"/>
      <c r="AC358" s="556"/>
    </row>
    <row r="359" spans="1:68" ht="14.25" hidden="1" customHeight="1" x14ac:dyDescent="0.25">
      <c r="A359" s="559" t="s">
        <v>137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5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1200</v>
      </c>
      <c r="Y360" s="554">
        <f>IFERROR(IF(X360="",0,CEILING((X360/$H360),1)*$H360),"")</f>
        <v>1200</v>
      </c>
      <c r="Z360" s="36">
        <f>IFERROR(IF(Y360=0,"",ROUNDUP(Y360/H360,0)*0.02175),"")</f>
        <v>1.7399999999999998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1237.5999999999999</v>
      </c>
      <c r="BN360" s="64">
        <f>IFERROR(Y360*I360/H360,"0")</f>
        <v>1237.5999999999999</v>
      </c>
      <c r="BO360" s="64">
        <f>IFERROR(1/J360*(X360/H360),"0")</f>
        <v>1.6666666666666665</v>
      </c>
      <c r="BP360" s="64">
        <f>IFERROR(1/J360*(Y360/H360),"0")</f>
        <v>1.6666666666666665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80</v>
      </c>
      <c r="Y362" s="555">
        <f>IFERROR(Y360/H360,"0")+IFERROR(Y361/H361,"0")</f>
        <v>80</v>
      </c>
      <c r="Z362" s="555">
        <f>IFERROR(IF(Z360="",0,Z360),"0")+IFERROR(IF(Z361="",0,Z361),"0")</f>
        <v>1.7399999999999998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1200</v>
      </c>
      <c r="Y363" s="555">
        <f>IFERROR(SUM(Y360:Y361),"0")</f>
        <v>1200</v>
      </c>
      <c r="Z363" s="37"/>
      <c r="AA363" s="556"/>
      <c r="AB363" s="556"/>
      <c r="AC363" s="556"/>
    </row>
    <row r="364" spans="1:68" ht="14.25" hidden="1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8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30</v>
      </c>
      <c r="Y366" s="554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3.3333333333333335</v>
      </c>
      <c r="Y367" s="555">
        <f>IFERROR(Y365/H365,"0")+IFERROR(Y366/H366,"0")</f>
        <v>4</v>
      </c>
      <c r="Z367" s="555">
        <f>IFERROR(IF(Z365="",0,Z365),"0")+IFERROR(IF(Z366="",0,Z366),"0")</f>
        <v>7.5920000000000001E-2</v>
      </c>
      <c r="AA367" s="556"/>
      <c r="AB367" s="556"/>
      <c r="AC367" s="556"/>
    </row>
    <row r="368" spans="1:68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30</v>
      </c>
      <c r="Y368" s="555">
        <f>IFERROR(SUM(Y365:Y366),"0")</f>
        <v>36</v>
      </c>
      <c r="Z368" s="37"/>
      <c r="AA368" s="556"/>
      <c r="AB368" s="556"/>
      <c r="AC368" s="556"/>
    </row>
    <row r="369" spans="1:68" ht="14.25" hidden="1" customHeight="1" x14ac:dyDescent="0.25">
      <c r="A369" s="559" t="s">
        <v>162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92" t="s">
        <v>595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hidden="1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hidden="1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82" t="s">
        <v>613</v>
      </c>
      <c r="B390" s="583"/>
      <c r="C390" s="583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  <c r="P390" s="583"/>
      <c r="Q390" s="583"/>
      <c r="R390" s="583"/>
      <c r="S390" s="583"/>
      <c r="T390" s="583"/>
      <c r="U390" s="583"/>
      <c r="V390" s="583"/>
      <c r="W390" s="583"/>
      <c r="X390" s="583"/>
      <c r="Y390" s="583"/>
      <c r="Z390" s="583"/>
      <c r="AA390" s="48"/>
      <c r="AB390" s="48"/>
      <c r="AC390" s="48"/>
    </row>
    <row r="391" spans="1:68" ht="16.5" hidden="1" customHeight="1" x14ac:dyDescent="0.25">
      <c r="A391" s="592" t="s">
        <v>614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hidden="1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84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21</v>
      </c>
      <c r="Y397" s="554">
        <f t="shared" si="41"/>
        <v>21</v>
      </c>
      <c r="Z397" s="36">
        <f t="shared" si="46"/>
        <v>5.0200000000000002E-2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22.299999999999997</v>
      </c>
      <c r="BN397" s="64">
        <f t="shared" si="43"/>
        <v>22.299999999999997</v>
      </c>
      <c r="BO397" s="64">
        <f t="shared" si="44"/>
        <v>4.2735042735042736E-2</v>
      </c>
      <c r="BP397" s="64">
        <f t="shared" si="45"/>
        <v>4.2735042735042736E-2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14</v>
      </c>
      <c r="Y398" s="554">
        <f t="shared" si="41"/>
        <v>14.700000000000001</v>
      </c>
      <c r="Z398" s="36">
        <f t="shared" si="46"/>
        <v>3.5140000000000005E-2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14.866666666666665</v>
      </c>
      <c r="BN398" s="64">
        <f t="shared" si="43"/>
        <v>15.61</v>
      </c>
      <c r="BO398" s="64">
        <f t="shared" si="44"/>
        <v>2.8490028490028491E-2</v>
      </c>
      <c r="BP398" s="64">
        <f t="shared" si="45"/>
        <v>2.9914529914529919E-2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45.5</v>
      </c>
      <c r="Y400" s="554">
        <f t="shared" si="41"/>
        <v>46.2</v>
      </c>
      <c r="Z400" s="36">
        <f t="shared" si="46"/>
        <v>0.11044000000000001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48.316666666666663</v>
      </c>
      <c r="BN400" s="64">
        <f t="shared" si="43"/>
        <v>49.06</v>
      </c>
      <c r="BO400" s="64">
        <f t="shared" si="44"/>
        <v>9.2592592592592587E-2</v>
      </c>
      <c r="BP400" s="64">
        <f t="shared" si="45"/>
        <v>9.401709401709403E-2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38.333333333333329</v>
      </c>
      <c r="Y402" s="555">
        <f>IFERROR(Y393/H393,"0")+IFERROR(Y394/H394,"0")+IFERROR(Y395/H395,"0")+IFERROR(Y396/H396,"0")+IFERROR(Y397/H397,"0")+IFERROR(Y398/H398,"0")+IFERROR(Y399/H399,"0")+IFERROR(Y400/H400,"0")+IFERROR(Y401/H401,"0")</f>
        <v>39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0.19578000000000001</v>
      </c>
      <c r="AA402" s="556"/>
      <c r="AB402" s="556"/>
      <c r="AC402" s="556"/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80.5</v>
      </c>
      <c r="Y403" s="555">
        <f>IFERROR(SUM(Y393:Y401),"0")</f>
        <v>81.900000000000006</v>
      </c>
      <c r="Z403" s="37"/>
      <c r="AA403" s="556"/>
      <c r="AB403" s="556"/>
      <c r="AC403" s="556"/>
    </row>
    <row r="404" spans="1:68" ht="14.25" hidden="1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8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92" t="s">
        <v>645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hidden="1" customHeight="1" x14ac:dyDescent="0.25">
      <c r="A410" s="559" t="s">
        <v>137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6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2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14</v>
      </c>
      <c r="Y418" s="554">
        <f>IFERROR(IF(X418="",0,CEILING((X418/$H418),1)*$H418),"")</f>
        <v>14.700000000000001</v>
      </c>
      <c r="Z418" s="36">
        <f>IFERROR(IF(Y418=0,"",ROUNDUP(Y418/H418,0)*0.00502),"")</f>
        <v>3.5140000000000005E-2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14.866666666666665</v>
      </c>
      <c r="BN418" s="64">
        <f>IFERROR(Y418*I418/H418,"0")</f>
        <v>15.61</v>
      </c>
      <c r="BO418" s="64">
        <f>IFERROR(1/J418*(X418/H418),"0")</f>
        <v>2.8490028490028491E-2</v>
      </c>
      <c r="BP418" s="64">
        <f>IFERROR(1/J418*(Y418/H418),"0")</f>
        <v>2.9914529914529919E-2</v>
      </c>
    </row>
    <row r="419" spans="1:68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6.6666666666666661</v>
      </c>
      <c r="Y419" s="555">
        <f>IFERROR(Y415/H415,"0")+IFERROR(Y416/H416,"0")+IFERROR(Y417/H417,"0")+IFERROR(Y418/H418,"0")</f>
        <v>7</v>
      </c>
      <c r="Z419" s="555">
        <f>IFERROR(IF(Z415="",0,Z415),"0")+IFERROR(IF(Z416="",0,Z416),"0")+IFERROR(IF(Z417="",0,Z417),"0")+IFERROR(IF(Z418="",0,Z418),"0")</f>
        <v>3.5140000000000005E-2</v>
      </c>
      <c r="AA419" s="556"/>
      <c r="AB419" s="556"/>
      <c r="AC419" s="556"/>
    </row>
    <row r="420" spans="1:68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14</v>
      </c>
      <c r="Y420" s="555">
        <f>IFERROR(SUM(Y415:Y418),"0")</f>
        <v>14.700000000000001</v>
      </c>
      <c r="Z420" s="37"/>
      <c r="AA420" s="556"/>
      <c r="AB420" s="556"/>
      <c r="AC420" s="556"/>
    </row>
    <row r="421" spans="1:68" ht="16.5" hidden="1" customHeight="1" x14ac:dyDescent="0.25">
      <c r="A421" s="592" t="s">
        <v>660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hidden="1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79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82" t="s">
        <v>664</v>
      </c>
      <c r="B426" s="583"/>
      <c r="C426" s="583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  <c r="P426" s="583"/>
      <c r="Q426" s="583"/>
      <c r="R426" s="583"/>
      <c r="S426" s="583"/>
      <c r="T426" s="583"/>
      <c r="U426" s="583"/>
      <c r="V426" s="583"/>
      <c r="W426" s="583"/>
      <c r="X426" s="583"/>
      <c r="Y426" s="583"/>
      <c r="Z426" s="583"/>
      <c r="AA426" s="48"/>
      <c r="AB426" s="48"/>
      <c r="AC426" s="48"/>
    </row>
    <row r="427" spans="1:68" ht="16.5" hidden="1" customHeight="1" x14ac:dyDescent="0.25">
      <c r="A427" s="592" t="s">
        <v>664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hidden="1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7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80</v>
      </c>
      <c r="Y429" s="554">
        <f t="shared" ref="Y429:Y440" si="47">IFERROR(IF(X429="",0,CEILING((X429/$H429),1)*$H429),"")</f>
        <v>84.48</v>
      </c>
      <c r="Z429" s="36">
        <f t="shared" ref="Z429:Z435" si="48">IFERROR(IF(Y429=0,"",ROUNDUP(Y429/H429,0)*0.01196),"")</f>
        <v>0.19136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85.303030303030297</v>
      </c>
      <c r="BN429" s="64">
        <f t="shared" ref="BN429:BN440" si="50">IFERROR(Y429*I429/H429,"0")</f>
        <v>90.08</v>
      </c>
      <c r="BO429" s="64">
        <f t="shared" ref="BO429:BO440" si="51">IFERROR(1/J429*(X429/H429),"0")</f>
        <v>0.14568764568764569</v>
      </c>
      <c r="BP429" s="64">
        <f t="shared" ref="BP429:BP440" si="52">IFERROR(1/J429*(Y429/H429),"0")</f>
        <v>0.15384615384615385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2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6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6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160</v>
      </c>
      <c r="Y435" s="554">
        <f t="shared" si="47"/>
        <v>163.68</v>
      </c>
      <c r="Z435" s="36">
        <f t="shared" si="48"/>
        <v>0.37075999999999998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170.60606060606059</v>
      </c>
      <c r="BN435" s="64">
        <f t="shared" si="50"/>
        <v>174.53</v>
      </c>
      <c r="BO435" s="64">
        <f t="shared" si="51"/>
        <v>0.29137529137529139</v>
      </c>
      <c r="BP435" s="64">
        <f t="shared" si="52"/>
        <v>0.29807692307692307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120</v>
      </c>
      <c r="Y437" s="554">
        <f t="shared" si="47"/>
        <v>120</v>
      </c>
      <c r="Z437" s="36">
        <f>IFERROR(IF(Y437=0,"",ROUNDUP(Y437/H437,0)*0.00902),"")</f>
        <v>0.22550000000000001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172.75000000000003</v>
      </c>
      <c r="BN437" s="64">
        <f t="shared" si="50"/>
        <v>172.75000000000003</v>
      </c>
      <c r="BO437" s="64">
        <f t="shared" si="51"/>
        <v>0.18939393939393939</v>
      </c>
      <c r="BP437" s="64">
        <f t="shared" si="52"/>
        <v>0.18939393939393939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132</v>
      </c>
      <c r="Y440" s="554">
        <f t="shared" si="47"/>
        <v>134.4</v>
      </c>
      <c r="Z440" s="36">
        <f>IFERROR(IF(Y440=0,"",ROUNDUP(Y440/H440,0)*0.00902),"")</f>
        <v>0.25256000000000001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190.02500000000001</v>
      </c>
      <c r="BN440" s="64">
        <f t="shared" si="50"/>
        <v>193.48000000000002</v>
      </c>
      <c r="BO440" s="64">
        <f t="shared" si="51"/>
        <v>0.20833333333333334</v>
      </c>
      <c r="BP440" s="64">
        <f t="shared" si="52"/>
        <v>0.21212121212121215</v>
      </c>
    </row>
    <row r="441" spans="1:68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116.89393939393939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1.26742</v>
      </c>
      <c r="AA441" s="556"/>
      <c r="AB441" s="556"/>
      <c r="AC441" s="556"/>
    </row>
    <row r="442" spans="1:68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592</v>
      </c>
      <c r="Y442" s="555">
        <f>IFERROR(SUM(Y429:Y440),"0")</f>
        <v>602.88</v>
      </c>
      <c r="Z442" s="37"/>
      <c r="AA442" s="556"/>
      <c r="AB442" s="556"/>
      <c r="AC442" s="556"/>
    </row>
    <row r="443" spans="1:68" ht="14.25" hidden="1" customHeight="1" x14ac:dyDescent="0.25">
      <c r="A443" s="559" t="s">
        <v>137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81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54</v>
      </c>
      <c r="Y453" s="554">
        <f t="shared" si="53"/>
        <v>57.599999999999994</v>
      </c>
      <c r="Z453" s="36">
        <f>IFERROR(IF(Y453=0,"",ROUNDUP(Y453/H453,0)*0.00902),"")</f>
        <v>0.10824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77.737499999999997</v>
      </c>
      <c r="BN453" s="64">
        <f t="shared" si="55"/>
        <v>82.92</v>
      </c>
      <c r="BO453" s="64">
        <f t="shared" si="56"/>
        <v>8.5227272727272735E-2</v>
      </c>
      <c r="BP453" s="64">
        <f t="shared" si="57"/>
        <v>9.0909090909090912E-2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8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12</v>
      </c>
      <c r="Y454" s="554">
        <f t="shared" si="53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16.675000000000001</v>
      </c>
      <c r="BN454" s="64">
        <f t="shared" si="55"/>
        <v>20.009999999999998</v>
      </c>
      <c r="BO454" s="64">
        <f t="shared" si="56"/>
        <v>1.893939393939394E-2</v>
      </c>
      <c r="BP454" s="64">
        <f t="shared" si="57"/>
        <v>2.2727272727272728E-2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47.083333333333329</v>
      </c>
      <c r="Y456" s="555">
        <f>IFERROR(Y450/H450,"0")+IFERROR(Y451/H451,"0")+IFERROR(Y452/H452,"0")+IFERROR(Y453/H453,"0")+IFERROR(Y454/H454,"0")+IFERROR(Y455/H455,"0")</f>
        <v>50</v>
      </c>
      <c r="Z456" s="555">
        <f>IFERROR(IF(Z450="",0,Z450),"0")+IFERROR(IF(Z451="",0,Z451),"0")+IFERROR(IF(Z452="",0,Z452),"0")+IFERROR(IF(Z453="",0,Z453),"0")+IFERROR(IF(Z454="",0,Z454),"0")+IFERROR(IF(Z455="",0,Z455),"0")</f>
        <v>0.51568000000000003</v>
      </c>
      <c r="AA456" s="556"/>
      <c r="AB456" s="556"/>
      <c r="AC456" s="556"/>
    </row>
    <row r="457" spans="1:68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236</v>
      </c>
      <c r="Y457" s="555">
        <f>IFERROR(SUM(Y450:Y455),"0")</f>
        <v>250.56</v>
      </c>
      <c r="Z457" s="37"/>
      <c r="AA457" s="556"/>
      <c r="AB457" s="556"/>
      <c r="AC457" s="556"/>
    </row>
    <row r="458" spans="1:68" ht="14.25" hidden="1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82" t="s">
        <v>719</v>
      </c>
      <c r="B462" s="583"/>
      <c r="C462" s="583"/>
      <c r="D462" s="583"/>
      <c r="E462" s="583"/>
      <c r="F462" s="583"/>
      <c r="G462" s="583"/>
      <c r="H462" s="583"/>
      <c r="I462" s="583"/>
      <c r="J462" s="583"/>
      <c r="K462" s="583"/>
      <c r="L462" s="583"/>
      <c r="M462" s="583"/>
      <c r="N462" s="583"/>
      <c r="O462" s="583"/>
      <c r="P462" s="583"/>
      <c r="Q462" s="583"/>
      <c r="R462" s="583"/>
      <c r="S462" s="583"/>
      <c r="T462" s="583"/>
      <c r="U462" s="583"/>
      <c r="V462" s="583"/>
      <c r="W462" s="583"/>
      <c r="X462" s="583"/>
      <c r="Y462" s="583"/>
      <c r="Z462" s="583"/>
      <c r="AA462" s="48"/>
      <c r="AB462" s="48"/>
      <c r="AC462" s="48"/>
    </row>
    <row r="463" spans="1:68" ht="16.5" hidden="1" customHeight="1" x14ac:dyDescent="0.25">
      <c r="A463" s="592" t="s">
        <v>719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hidden="1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50</v>
      </c>
      <c r="Y467" s="554">
        <f>IFERROR(IF(X467="",0,CEILING((X467/$H467),1)*$H467),"")</f>
        <v>60</v>
      </c>
      <c r="Z467" s="36">
        <f>IFERROR(IF(Y467=0,"",ROUNDUP(Y467/H467,0)*0.01898),"")</f>
        <v>9.4899999999999998E-2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51.708333333333336</v>
      </c>
      <c r="BN467" s="64">
        <f>IFERROR(Y467*I467/H467,"0")</f>
        <v>62.050000000000004</v>
      </c>
      <c r="BO467" s="64">
        <f>IFERROR(1/J467*(X467/H467),"0")</f>
        <v>6.5104166666666671E-2</v>
      </c>
      <c r="BP467" s="64">
        <f>IFERROR(1/J467*(Y467/H467),"0")</f>
        <v>7.8125E-2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8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4.166666666666667</v>
      </c>
      <c r="Y469" s="555">
        <f>IFERROR(Y465/H465,"0")+IFERROR(Y466/H466,"0")+IFERROR(Y467/H467,"0")+IFERROR(Y468/H468,"0")</f>
        <v>5</v>
      </c>
      <c r="Z469" s="555">
        <f>IFERROR(IF(Z465="",0,Z465),"0")+IFERROR(IF(Z466="",0,Z466),"0")+IFERROR(IF(Z467="",0,Z467),"0")+IFERROR(IF(Z468="",0,Z468),"0")</f>
        <v>9.4899999999999998E-2</v>
      </c>
      <c r="AA469" s="556"/>
      <c r="AB469" s="556"/>
      <c r="AC469" s="556"/>
    </row>
    <row r="470" spans="1:68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50</v>
      </c>
      <c r="Y470" s="555">
        <f>IFERROR(SUM(Y465:Y468),"0")</f>
        <v>60</v>
      </c>
      <c r="Z470" s="37"/>
      <c r="AA470" s="556"/>
      <c r="AB470" s="556"/>
      <c r="AC470" s="556"/>
    </row>
    <row r="471" spans="1:68" ht="14.25" hidden="1" customHeight="1" x14ac:dyDescent="0.25">
      <c r="A471" s="559" t="s">
        <v>137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6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8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2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65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8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800</v>
      </c>
      <c r="Y482" s="554">
        <f>IFERROR(IF(X482="",0,CEILING((X482/$H482),1)*$H482),"")</f>
        <v>801</v>
      </c>
      <c r="Z482" s="36">
        <f>IFERROR(IF(Y482=0,"",ROUNDUP(Y482/H482,0)*0.01898),"")</f>
        <v>1.6892199999999999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843.91111111111104</v>
      </c>
      <c r="BN482" s="64">
        <f>IFERROR(Y482*I482/H482,"0")</f>
        <v>844.96599999999989</v>
      </c>
      <c r="BO482" s="64">
        <f>IFERROR(1/J482*(X482/H482),"0")</f>
        <v>1.3888888888888888</v>
      </c>
      <c r="BP482" s="64">
        <f>IFERROR(1/J482*(Y482/H482),"0")</f>
        <v>1.390625</v>
      </c>
    </row>
    <row r="483" spans="1:68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88.888888888888886</v>
      </c>
      <c r="Y483" s="555">
        <f>IFERROR(Y482/H482,"0")</f>
        <v>89</v>
      </c>
      <c r="Z483" s="555">
        <f>IFERROR(IF(Z482="",0,Z482),"0")</f>
        <v>1.6892199999999999</v>
      </c>
      <c r="AA483" s="556"/>
      <c r="AB483" s="556"/>
      <c r="AC483" s="556"/>
    </row>
    <row r="484" spans="1:68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800</v>
      </c>
      <c r="Y484" s="555">
        <f>IFERROR(SUM(Y482:Y482),"0")</f>
        <v>801</v>
      </c>
      <c r="Z484" s="37"/>
      <c r="AA484" s="556"/>
      <c r="AB484" s="556"/>
      <c r="AC484" s="556"/>
    </row>
    <row r="485" spans="1:68" ht="14.25" hidden="1" customHeight="1" x14ac:dyDescent="0.25">
      <c r="A485" s="559" t="s">
        <v>162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92" t="s">
        <v>751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hidden="1" customHeight="1" x14ac:dyDescent="0.25">
      <c r="A491" s="559" t="s">
        <v>137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79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7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8"/>
      <c r="P495" s="579" t="s">
        <v>755</v>
      </c>
      <c r="Q495" s="580"/>
      <c r="R495" s="580"/>
      <c r="S495" s="580"/>
      <c r="T495" s="580"/>
      <c r="U495" s="580"/>
      <c r="V495" s="581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15282.5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15482.119999999999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8"/>
      <c r="P496" s="579" t="s">
        <v>756</v>
      </c>
      <c r="Q496" s="580"/>
      <c r="R496" s="580"/>
      <c r="S496" s="580"/>
      <c r="T496" s="580"/>
      <c r="U496" s="580"/>
      <c r="V496" s="581"/>
      <c r="W496" s="37" t="s">
        <v>69</v>
      </c>
      <c r="X496" s="555">
        <f>IFERROR(SUM(BM22:BM492),"0")</f>
        <v>16233.789664493659</v>
      </c>
      <c r="Y496" s="555">
        <f>IFERROR(SUM(BN22:BN492),"0")</f>
        <v>16447.493999999999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8"/>
      <c r="P497" s="579" t="s">
        <v>757</v>
      </c>
      <c r="Q497" s="580"/>
      <c r="R497" s="580"/>
      <c r="S497" s="580"/>
      <c r="T497" s="580"/>
      <c r="U497" s="580"/>
      <c r="V497" s="581"/>
      <c r="W497" s="37" t="s">
        <v>758</v>
      </c>
      <c r="X497" s="38">
        <f>ROUNDUP(SUM(BO22:BO492),0)</f>
        <v>27</v>
      </c>
      <c r="Y497" s="38">
        <f>ROUNDUP(SUM(BP22:BP492),0)</f>
        <v>27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8"/>
      <c r="P498" s="579" t="s">
        <v>759</v>
      </c>
      <c r="Q498" s="580"/>
      <c r="R498" s="580"/>
      <c r="S498" s="580"/>
      <c r="T498" s="580"/>
      <c r="U498" s="580"/>
      <c r="V498" s="581"/>
      <c r="W498" s="37" t="s">
        <v>69</v>
      </c>
      <c r="X498" s="555">
        <f>GrossWeightTotal+PalletQtyTotal*25</f>
        <v>16908.789664493659</v>
      </c>
      <c r="Y498" s="555">
        <f>GrossWeightTotalR+PalletQtyTotalR*25</f>
        <v>17122.493999999999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8"/>
      <c r="P499" s="579" t="s">
        <v>760</v>
      </c>
      <c r="Q499" s="580"/>
      <c r="R499" s="580"/>
      <c r="S499" s="580"/>
      <c r="T499" s="580"/>
      <c r="U499" s="580"/>
      <c r="V499" s="581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3016.371852179323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3049</v>
      </c>
      <c r="Z499" s="37"/>
      <c r="AA499" s="556"/>
      <c r="AB499" s="556"/>
      <c r="AC499" s="556"/>
    </row>
    <row r="500" spans="1:32" ht="14.25" hidden="1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8"/>
      <c r="P500" s="579" t="s">
        <v>761</v>
      </c>
      <c r="Q500" s="580"/>
      <c r="R500" s="580"/>
      <c r="S500" s="580"/>
      <c r="T500" s="580"/>
      <c r="U500" s="580"/>
      <c r="V500" s="581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30.749819999999996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57" t="s">
        <v>99</v>
      </c>
      <c r="D502" s="617"/>
      <c r="E502" s="617"/>
      <c r="F502" s="617"/>
      <c r="G502" s="617"/>
      <c r="H502" s="618"/>
      <c r="I502" s="557" t="s">
        <v>268</v>
      </c>
      <c r="J502" s="617"/>
      <c r="K502" s="617"/>
      <c r="L502" s="617"/>
      <c r="M502" s="617"/>
      <c r="N502" s="617"/>
      <c r="O502" s="617"/>
      <c r="P502" s="617"/>
      <c r="Q502" s="617"/>
      <c r="R502" s="618"/>
      <c r="S502" s="557" t="s">
        <v>559</v>
      </c>
      <c r="T502" s="618"/>
      <c r="U502" s="557" t="s">
        <v>613</v>
      </c>
      <c r="V502" s="617"/>
      <c r="W502" s="618"/>
      <c r="X502" s="550" t="s">
        <v>664</v>
      </c>
      <c r="Y502" s="557" t="s">
        <v>719</v>
      </c>
      <c r="Z502" s="618"/>
      <c r="AB502" s="52"/>
      <c r="AC502" s="52"/>
      <c r="AF502" s="551"/>
    </row>
    <row r="503" spans="1:32" ht="14.25" customHeight="1" thickTop="1" x14ac:dyDescent="0.2">
      <c r="A503" s="856" t="s">
        <v>764</v>
      </c>
      <c r="B503" s="557" t="s">
        <v>63</v>
      </c>
      <c r="C503" s="557" t="s">
        <v>100</v>
      </c>
      <c r="D503" s="557" t="s">
        <v>118</v>
      </c>
      <c r="E503" s="557" t="s">
        <v>169</v>
      </c>
      <c r="F503" s="557" t="s">
        <v>191</v>
      </c>
      <c r="G503" s="557" t="s">
        <v>229</v>
      </c>
      <c r="H503" s="557" t="s">
        <v>99</v>
      </c>
      <c r="I503" s="557" t="s">
        <v>269</v>
      </c>
      <c r="J503" s="557" t="s">
        <v>327</v>
      </c>
      <c r="K503" s="557" t="s">
        <v>387</v>
      </c>
      <c r="L503" s="557" t="s">
        <v>428</v>
      </c>
      <c r="M503" s="557" t="s">
        <v>444</v>
      </c>
      <c r="N503" s="551"/>
      <c r="O503" s="557" t="s">
        <v>455</v>
      </c>
      <c r="P503" s="557" t="s">
        <v>464</v>
      </c>
      <c r="Q503" s="557" t="s">
        <v>477</v>
      </c>
      <c r="R503" s="557" t="s">
        <v>549</v>
      </c>
      <c r="S503" s="557" t="s">
        <v>560</v>
      </c>
      <c r="T503" s="557" t="s">
        <v>595</v>
      </c>
      <c r="U503" s="557" t="s">
        <v>614</v>
      </c>
      <c r="V503" s="557" t="s">
        <v>645</v>
      </c>
      <c r="W503" s="557" t="s">
        <v>660</v>
      </c>
      <c r="X503" s="557" t="s">
        <v>664</v>
      </c>
      <c r="Y503" s="557" t="s">
        <v>719</v>
      </c>
      <c r="Z503" s="557" t="s">
        <v>751</v>
      </c>
      <c r="AB503" s="52"/>
      <c r="AC503" s="52"/>
      <c r="AF503" s="551"/>
    </row>
    <row r="504" spans="1:32" ht="13.5" customHeight="1" thickBot="1" x14ac:dyDescent="0.25">
      <c r="A504" s="857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445.20000000000005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1292.4000000000001</v>
      </c>
      <c r="E505" s="46">
        <f>IFERROR(Y85*1,"0")+IFERROR(Y86*1,"0")+IFERROR(Y87*1,"0")+IFERROR(Y88*1,"0")+IFERROR(Y92*1,"0")+IFERROR(Y93*1,"0")+IFERROR(Y94*1,"0")+IFERROR(Y95*1,"0")</f>
        <v>1305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1056.6200000000001</v>
      </c>
      <c r="G505" s="46">
        <f>IFERROR(Y127*1,"0")+IFERROR(Y128*1,"0")+IFERROR(Y132*1,"0")+IFERROR(Y133*1,"0")+IFERROR(Y137*1,"0")+IFERROR(Y138*1,"0")</f>
        <v>78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606.93999999999994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1644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215.89999999999998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592.5</v>
      </c>
      <c r="R505" s="46">
        <f>IFERROR(Y342*1,"0")+IFERROR(Y343*1,"0")+IFERROR(Y344*1,"0")</f>
        <v>806.40000000000009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5307</v>
      </c>
      <c r="T505" s="46">
        <f>IFERROR(Y375*1,"0")+IFERROR(Y376*1,"0")+IFERROR(Y380*1,"0")+IFERROR(Y381*1,"0")+IFERROR(Y385*1,"0")+IFERROR(Y386*1,"0")+IFERROR(Y387*1,"0")</f>
        <v>60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81.900000000000006</v>
      </c>
      <c r="V505" s="46">
        <f>IFERROR(Y411*1,"0")+IFERROR(Y415*1,"0")+IFERROR(Y416*1,"0")+IFERROR(Y417*1,"0")+IFERROR(Y418*1,"0")</f>
        <v>14.700000000000001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953.76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861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400,00"/>
        <filter val="1 600,00"/>
        <filter val="10,00"/>
        <filter val="10,50"/>
        <filter val="100,00"/>
        <filter val="105,00"/>
        <filter val="116,89"/>
        <filter val="12,00"/>
        <filter val="12,50"/>
        <filter val="120,00"/>
        <filter val="128,52"/>
        <filter val="13,33"/>
        <filter val="132,00"/>
        <filter val="134,88"/>
        <filter val="135,00"/>
        <filter val="14,00"/>
        <filter val="14,50"/>
        <filter val="15 282,50"/>
        <filter val="15,00"/>
        <filter val="150,00"/>
        <filter val="157,04"/>
        <filter val="16 233,79"/>
        <filter val="16 908,79"/>
        <filter val="160,00"/>
        <filter val="172,00"/>
        <filter val="175,00"/>
        <filter val="18,94"/>
        <filter val="180,00"/>
        <filter val="185,19"/>
        <filter val="2,50"/>
        <filter val="2,56"/>
        <filter val="20,00"/>
        <filter val="200,00"/>
        <filter val="21,00"/>
        <filter val="22,22"/>
        <filter val="225,00"/>
        <filter val="234,29"/>
        <filter val="236,00"/>
        <filter val="240,00"/>
        <filter val="26,40"/>
        <filter val="26,62"/>
        <filter val="262,96"/>
        <filter val="266,67"/>
        <filter val="27"/>
        <filter val="272,41"/>
        <filter val="28,00"/>
        <filter val="280,00"/>
        <filter val="3 016,37"/>
        <filter val="3,33"/>
        <filter val="30,00"/>
        <filter val="300,00"/>
        <filter val="315,00"/>
        <filter val="320,00"/>
        <filter val="33,33"/>
        <filter val="35,00"/>
        <filter val="350,00"/>
        <filter val="360,00"/>
        <filter val="38,33"/>
        <filter val="383,33"/>
        <filter val="4 000,00"/>
        <filter val="4,17"/>
        <filter val="4,44"/>
        <filter val="40,00"/>
        <filter val="40,84"/>
        <filter val="400,00"/>
        <filter val="415,50"/>
        <filter val="440,00"/>
        <filter val="45,00"/>
        <filter val="45,50"/>
        <filter val="450,00"/>
        <filter val="47,08"/>
        <filter val="495,00"/>
        <filter val="5,50"/>
        <filter val="5,60"/>
        <filter val="50,00"/>
        <filter val="500,00"/>
        <filter val="52,00"/>
        <filter val="525,00"/>
        <filter val="54,00"/>
        <filter val="540,00"/>
        <filter val="566,00"/>
        <filter val="590,00"/>
        <filter val="592,00"/>
        <filter val="6,67"/>
        <filter val="60,00"/>
        <filter val="600,00"/>
        <filter val="66,67"/>
        <filter val="690,00"/>
        <filter val="695,00"/>
        <filter val="7,00"/>
        <filter val="70,00"/>
        <filter val="75,00"/>
        <filter val="78,52"/>
        <filter val="8,00"/>
        <filter val="80,00"/>
        <filter val="80,50"/>
        <filter val="800,00"/>
        <filter val="805,00"/>
        <filter val="83,33"/>
        <filter val="85,00"/>
        <filter val="88,89"/>
        <filter val="89,63"/>
        <filter val="9,44"/>
        <filter val="940,00"/>
      </filters>
    </filterColumn>
    <filterColumn colId="29" showButton="0"/>
    <filterColumn colId="30" showButton="0"/>
  </autoFilter>
  <mergeCells count="886"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D172:E172"/>
    <mergeCell ref="P202:V202"/>
    <mergeCell ref="P395:T395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315:T315"/>
    <mergeCell ref="P144:T144"/>
    <mergeCell ref="D423:E423"/>
    <mergeCell ref="P302:T302"/>
    <mergeCell ref="D174:E174"/>
    <mergeCell ref="A83:Z83"/>
    <mergeCell ref="P88:T88"/>
    <mergeCell ref="P401:T401"/>
    <mergeCell ref="D211:E211"/>
    <mergeCell ref="P168:T168"/>
    <mergeCell ref="P130:V130"/>
    <mergeCell ref="A123:O124"/>
    <mergeCell ref="P153:T153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A34:Z34"/>
    <mergeCell ref="A270:Z270"/>
    <mergeCell ref="P24:V24"/>
    <mergeCell ref="D281:E281"/>
    <mergeCell ref="P260:V260"/>
    <mergeCell ref="P89:V89"/>
    <mergeCell ref="A334:Z334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P454:T454"/>
    <mergeCell ref="P259:V259"/>
    <mergeCell ref="A78:Z78"/>
    <mergeCell ref="D263:E263"/>
    <mergeCell ref="P220:T220"/>
    <mergeCell ref="D238:E238"/>
    <mergeCell ref="A50:Z50"/>
    <mergeCell ref="P437:T437"/>
    <mergeCell ref="D472:E472"/>
    <mergeCell ref="A469:O470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H9:I9"/>
    <mergeCell ref="P28:T28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D473:E473"/>
    <mergeCell ref="D352:E352"/>
    <mergeCell ref="P219:T219"/>
    <mergeCell ref="D328:E328"/>
    <mergeCell ref="D436:E436"/>
    <mergeCell ref="A340:Z340"/>
    <mergeCell ref="A373:Z373"/>
    <mergeCell ref="D365:E365"/>
    <mergeCell ref="P236:T236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D221:E221"/>
    <mergeCell ref="P469:V469"/>
    <mergeCell ref="P486:T486"/>
    <mergeCell ref="P75:T75"/>
    <mergeCell ref="P342:T342"/>
    <mergeCell ref="P317:T317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A36:O37"/>
    <mergeCell ref="V11:W11"/>
    <mergeCell ref="P57:T57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01:T10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A262:Z262"/>
    <mergeCell ref="P283:V283"/>
    <mergeCell ref="P252:V252"/>
    <mergeCell ref="P105:V105"/>
    <mergeCell ref="A464:Z464"/>
    <mergeCell ref="A160:Z160"/>
    <mergeCell ref="A71:Z71"/>
    <mergeCell ref="P79:T79"/>
    <mergeCell ref="D116:E116"/>
    <mergeCell ref="D67:E67"/>
    <mergeCell ref="D79:E79"/>
    <mergeCell ref="P92:T92"/>
    <mergeCell ref="P394:T394"/>
    <mergeCell ref="D315:E315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51:Z5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2025-12-30T11:20:22Z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