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C7C44A-0D3C-4B35-9603-49A6A8718F1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Z424" i="1" s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Z265" i="1" s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Z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F500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90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168" i="1" l="1"/>
  <c r="BN168" i="1"/>
  <c r="Z168" i="1"/>
  <c r="BP199" i="1"/>
  <c r="BN199" i="1"/>
  <c r="Z199" i="1"/>
  <c r="BP225" i="1"/>
  <c r="BN225" i="1"/>
  <c r="Z225" i="1"/>
  <c r="BP254" i="1"/>
  <c r="BN254" i="1"/>
  <c r="Z254" i="1"/>
  <c r="BP273" i="1"/>
  <c r="BN273" i="1"/>
  <c r="Z273" i="1"/>
  <c r="BP301" i="1"/>
  <c r="BN301" i="1"/>
  <c r="Z301" i="1"/>
  <c r="BP329" i="1"/>
  <c r="BN329" i="1"/>
  <c r="Z329" i="1"/>
  <c r="BP379" i="1"/>
  <c r="BN379" i="1"/>
  <c r="Z379" i="1"/>
  <c r="BP394" i="1"/>
  <c r="BN394" i="1"/>
  <c r="Z394" i="1"/>
  <c r="BP429" i="1"/>
  <c r="BN429" i="1"/>
  <c r="Z429" i="1"/>
  <c r="BP459" i="1"/>
  <c r="BN459" i="1"/>
  <c r="Z459" i="1"/>
  <c r="Z28" i="1"/>
  <c r="BN28" i="1"/>
  <c r="Z46" i="1"/>
  <c r="Z47" i="1" s="1"/>
  <c r="BN46" i="1"/>
  <c r="BP46" i="1"/>
  <c r="Y47" i="1"/>
  <c r="Z51" i="1"/>
  <c r="BN51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34" i="1"/>
  <c r="BN134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Y182" i="1"/>
  <c r="Y181" i="1"/>
  <c r="BP180" i="1"/>
  <c r="BN180" i="1"/>
  <c r="Z180" i="1"/>
  <c r="Z181" i="1" s="1"/>
  <c r="BP185" i="1"/>
  <c r="BN185" i="1"/>
  <c r="Z185" i="1"/>
  <c r="BP233" i="1"/>
  <c r="BN233" i="1"/>
  <c r="Z233" i="1"/>
  <c r="O500" i="1"/>
  <c r="BP289" i="1"/>
  <c r="BN289" i="1"/>
  <c r="Z289" i="1"/>
  <c r="BP315" i="1"/>
  <c r="BN315" i="1"/>
  <c r="Z315" i="1"/>
  <c r="BP348" i="1"/>
  <c r="BN348" i="1"/>
  <c r="Z348" i="1"/>
  <c r="BP380" i="1"/>
  <c r="BN380" i="1"/>
  <c r="Z380" i="1"/>
  <c r="BP386" i="1"/>
  <c r="BN386" i="1"/>
  <c r="Z386" i="1"/>
  <c r="Y418" i="1"/>
  <c r="Y417" i="1"/>
  <c r="BP416" i="1"/>
  <c r="BN416" i="1"/>
  <c r="Z416" i="1"/>
  <c r="Z417" i="1" s="1"/>
  <c r="BP422" i="1"/>
  <c r="BN422" i="1"/>
  <c r="Z422" i="1"/>
  <c r="BP445" i="1"/>
  <c r="BN445" i="1"/>
  <c r="Z445" i="1"/>
  <c r="BP130" i="1"/>
  <c r="BN130" i="1"/>
  <c r="Z130" i="1"/>
  <c r="BP147" i="1"/>
  <c r="BN147" i="1"/>
  <c r="Z147" i="1"/>
  <c r="BP166" i="1"/>
  <c r="BN166" i="1"/>
  <c r="Z166" i="1"/>
  <c r="BP197" i="1"/>
  <c r="BN197" i="1"/>
  <c r="Z197" i="1"/>
  <c r="BP209" i="1"/>
  <c r="BN209" i="1"/>
  <c r="Z209" i="1"/>
  <c r="BP231" i="1"/>
  <c r="BN231" i="1"/>
  <c r="Z231" i="1"/>
  <c r="BP176" i="1"/>
  <c r="BN176" i="1"/>
  <c r="Z176" i="1"/>
  <c r="BP218" i="1"/>
  <c r="BN218" i="1"/>
  <c r="Z218" i="1"/>
  <c r="BP249" i="1"/>
  <c r="BN249" i="1"/>
  <c r="Z249" i="1"/>
  <c r="BP263" i="1"/>
  <c r="BN263" i="1"/>
  <c r="Z263" i="1"/>
  <c r="Z22" i="1"/>
  <c r="Z23" i="1" s="1"/>
  <c r="BN22" i="1"/>
  <c r="BP22" i="1"/>
  <c r="Z26" i="1"/>
  <c r="BN26" i="1"/>
  <c r="BP26" i="1"/>
  <c r="Z30" i="1"/>
  <c r="BN30" i="1"/>
  <c r="Z42" i="1"/>
  <c r="BN42" i="1"/>
  <c r="Z53" i="1"/>
  <c r="BN53" i="1"/>
  <c r="Z61" i="1"/>
  <c r="BN61" i="1"/>
  <c r="Y69" i="1"/>
  <c r="Z73" i="1"/>
  <c r="BN73" i="1"/>
  <c r="Z79" i="1"/>
  <c r="BN79" i="1"/>
  <c r="BP79" i="1"/>
  <c r="E500" i="1"/>
  <c r="Z92" i="1"/>
  <c r="BN92" i="1"/>
  <c r="Z99" i="1"/>
  <c r="BN99" i="1"/>
  <c r="BP99" i="1"/>
  <c r="Z107" i="1"/>
  <c r="BN107" i="1"/>
  <c r="BP115" i="1"/>
  <c r="BN115" i="1"/>
  <c r="Z115" i="1"/>
  <c r="H500" i="1"/>
  <c r="BP141" i="1"/>
  <c r="BN141" i="1"/>
  <c r="Z141" i="1"/>
  <c r="BP163" i="1"/>
  <c r="BN163" i="1"/>
  <c r="Z163" i="1"/>
  <c r="BP170" i="1"/>
  <c r="BN170" i="1"/>
  <c r="Z170" i="1"/>
  <c r="BP191" i="1"/>
  <c r="BN191" i="1"/>
  <c r="Z191" i="1"/>
  <c r="BP201" i="1"/>
  <c r="BN201" i="1"/>
  <c r="Z201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66" i="1"/>
  <c r="BN266" i="1"/>
  <c r="Z266" i="1"/>
  <c r="BP291" i="1"/>
  <c r="BN291" i="1"/>
  <c r="Z291" i="1"/>
  <c r="BP303" i="1"/>
  <c r="BN303" i="1"/>
  <c r="Z303" i="1"/>
  <c r="BP317" i="1"/>
  <c r="BN317" i="1"/>
  <c r="Z317" i="1"/>
  <c r="BP336" i="1"/>
  <c r="BN336" i="1"/>
  <c r="Z336" i="1"/>
  <c r="BP354" i="1"/>
  <c r="BN354" i="1"/>
  <c r="Z354" i="1"/>
  <c r="BP358" i="1"/>
  <c r="BN358" i="1"/>
  <c r="Z358" i="1"/>
  <c r="BP388" i="1"/>
  <c r="BN388" i="1"/>
  <c r="Z388" i="1"/>
  <c r="BP398" i="1"/>
  <c r="BN398" i="1"/>
  <c r="Z398" i="1"/>
  <c r="BP431" i="1"/>
  <c r="BN431" i="1"/>
  <c r="Z431" i="1"/>
  <c r="BP447" i="1"/>
  <c r="BN447" i="1"/>
  <c r="Z447" i="1"/>
  <c r="BP461" i="1"/>
  <c r="BN461" i="1"/>
  <c r="Z461" i="1"/>
  <c r="Y117" i="1"/>
  <c r="Y136" i="1"/>
  <c r="Y149" i="1"/>
  <c r="Y172" i="1"/>
  <c r="Y178" i="1"/>
  <c r="Y203" i="1"/>
  <c r="Y216" i="1"/>
  <c r="Y275" i="1"/>
  <c r="BP271" i="1"/>
  <c r="BN271" i="1"/>
  <c r="Y274" i="1"/>
  <c r="BP284" i="1"/>
  <c r="BN284" i="1"/>
  <c r="Z284" i="1"/>
  <c r="BP299" i="1"/>
  <c r="BN299" i="1"/>
  <c r="Z299" i="1"/>
  <c r="BP311" i="1"/>
  <c r="BN311" i="1"/>
  <c r="Z311" i="1"/>
  <c r="BP323" i="1"/>
  <c r="BN323" i="1"/>
  <c r="Z323" i="1"/>
  <c r="BP346" i="1"/>
  <c r="BN346" i="1"/>
  <c r="Z346" i="1"/>
  <c r="Y375" i="1"/>
  <c r="BP373" i="1"/>
  <c r="BN373" i="1"/>
  <c r="Z373" i="1"/>
  <c r="BP392" i="1"/>
  <c r="BN392" i="1"/>
  <c r="Z392" i="1"/>
  <c r="BP411" i="1"/>
  <c r="BN411" i="1"/>
  <c r="Z411" i="1"/>
  <c r="BP427" i="1"/>
  <c r="BN427" i="1"/>
  <c r="Z427" i="1"/>
  <c r="BP443" i="1"/>
  <c r="BN443" i="1"/>
  <c r="Z443" i="1"/>
  <c r="BP453" i="1"/>
  <c r="BN453" i="1"/>
  <c r="Z453" i="1"/>
  <c r="BP473" i="1"/>
  <c r="BN473" i="1"/>
  <c r="Z473" i="1"/>
  <c r="Y479" i="1"/>
  <c r="Y478" i="1"/>
  <c r="BP477" i="1"/>
  <c r="BN477" i="1"/>
  <c r="Z477" i="1"/>
  <c r="Z478" i="1" s="1"/>
  <c r="BP481" i="1"/>
  <c r="BN481" i="1"/>
  <c r="Z481" i="1"/>
  <c r="Q500" i="1"/>
  <c r="Y325" i="1"/>
  <c r="Y463" i="1"/>
  <c r="W500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2" i="1"/>
  <c r="Y148" i="1"/>
  <c r="Y171" i="1"/>
  <c r="Y177" i="1"/>
  <c r="Y188" i="1"/>
  <c r="Y192" i="1"/>
  <c r="Y204" i="1"/>
  <c r="Y215" i="1"/>
  <c r="BP219" i="1"/>
  <c r="BN219" i="1"/>
  <c r="Z219" i="1"/>
  <c r="Z220" i="1" s="1"/>
  <c r="Y221" i="1"/>
  <c r="K500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87" i="1"/>
  <c r="BN387" i="1"/>
  <c r="Z387" i="1"/>
  <c r="BP391" i="1"/>
  <c r="BN391" i="1"/>
  <c r="Z391" i="1"/>
  <c r="Y395" i="1"/>
  <c r="BP399" i="1"/>
  <c r="BN399" i="1"/>
  <c r="Z399" i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Y434" i="1"/>
  <c r="H9" i="1"/>
  <c r="B500" i="1"/>
  <c r="X491" i="1"/>
  <c r="X492" i="1"/>
  <c r="X494" i="1"/>
  <c r="Y24" i="1"/>
  <c r="Z27" i="1"/>
  <c r="BN27" i="1"/>
  <c r="Z29" i="1"/>
  <c r="BN29" i="1"/>
  <c r="C500" i="1"/>
  <c r="Z41" i="1"/>
  <c r="BN41" i="1"/>
  <c r="Y44" i="1"/>
  <c r="D500" i="1"/>
  <c r="Z52" i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Z100" i="1"/>
  <c r="BN100" i="1"/>
  <c r="Z102" i="1"/>
  <c r="BN102" i="1"/>
  <c r="Y103" i="1"/>
  <c r="Z106" i="1"/>
  <c r="BN106" i="1"/>
  <c r="BP106" i="1"/>
  <c r="Z108" i="1"/>
  <c r="BN108" i="1"/>
  <c r="Z112" i="1"/>
  <c r="Z116" i="1" s="1"/>
  <c r="BN112" i="1"/>
  <c r="BP112" i="1"/>
  <c r="Z114" i="1"/>
  <c r="BN114" i="1"/>
  <c r="G500" i="1"/>
  <c r="Z125" i="1"/>
  <c r="Z126" i="1" s="1"/>
  <c r="BN125" i="1"/>
  <c r="Y126" i="1"/>
  <c r="Z129" i="1"/>
  <c r="BN129" i="1"/>
  <c r="BP129" i="1"/>
  <c r="Z135" i="1"/>
  <c r="Z136" i="1" s="1"/>
  <c r="BN135" i="1"/>
  <c r="Z140" i="1"/>
  <c r="Z142" i="1" s="1"/>
  <c r="BN140" i="1"/>
  <c r="BP140" i="1"/>
  <c r="Y143" i="1"/>
  <c r="Z146" i="1"/>
  <c r="Z148" i="1" s="1"/>
  <c r="BN146" i="1"/>
  <c r="I500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500" i="1"/>
  <c r="Z186" i="1"/>
  <c r="Z187" i="1" s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BP211" i="1"/>
  <c r="BN211" i="1"/>
  <c r="BP213" i="1"/>
  <c r="BN213" i="1"/>
  <c r="Z213" i="1"/>
  <c r="Y220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Y259" i="1"/>
  <c r="BP264" i="1"/>
  <c r="BN264" i="1"/>
  <c r="Z264" i="1"/>
  <c r="BP279" i="1"/>
  <c r="BN279" i="1"/>
  <c r="Z279" i="1"/>
  <c r="Z280" i="1" s="1"/>
  <c r="Y281" i="1"/>
  <c r="Y286" i="1"/>
  <c r="BP283" i="1"/>
  <c r="BN283" i="1"/>
  <c r="Z283" i="1"/>
  <c r="Z285" i="1" s="1"/>
  <c r="Y285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Y350" i="1"/>
  <c r="BP343" i="1"/>
  <c r="BN343" i="1"/>
  <c r="Z343" i="1"/>
  <c r="S500" i="1"/>
  <c r="Y351" i="1"/>
  <c r="BP347" i="1"/>
  <c r="BN347" i="1"/>
  <c r="Z347" i="1"/>
  <c r="BP359" i="1"/>
  <c r="BN359" i="1"/>
  <c r="Z359" i="1"/>
  <c r="Y361" i="1"/>
  <c r="Y364" i="1"/>
  <c r="BP363" i="1"/>
  <c r="BN363" i="1"/>
  <c r="Z363" i="1"/>
  <c r="Z364" i="1" s="1"/>
  <c r="Y365" i="1"/>
  <c r="T500" i="1"/>
  <c r="Y371" i="1"/>
  <c r="BP368" i="1"/>
  <c r="BN368" i="1"/>
  <c r="Z368" i="1"/>
  <c r="Z370" i="1" s="1"/>
  <c r="Y370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L500" i="1"/>
  <c r="Y260" i="1"/>
  <c r="M500" i="1"/>
  <c r="Y268" i="1"/>
  <c r="BP265" i="1"/>
  <c r="BN265" i="1"/>
  <c r="Y267" i="1"/>
  <c r="BP272" i="1"/>
  <c r="BN272" i="1"/>
  <c r="Z272" i="1"/>
  <c r="Z274" i="1" s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0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74" i="1"/>
  <c r="BN374" i="1"/>
  <c r="Z374" i="1"/>
  <c r="Z375" i="1" s="1"/>
  <c r="Y376" i="1"/>
  <c r="Y382" i="1"/>
  <c r="BP378" i="1"/>
  <c r="BN378" i="1"/>
  <c r="Z378" i="1"/>
  <c r="Z381" i="1" s="1"/>
  <c r="U500" i="1"/>
  <c r="BP389" i="1"/>
  <c r="BN389" i="1"/>
  <c r="Z389" i="1"/>
  <c r="BP393" i="1"/>
  <c r="BN393" i="1"/>
  <c r="Z393" i="1"/>
  <c r="Y400" i="1"/>
  <c r="BP410" i="1"/>
  <c r="BN410" i="1"/>
  <c r="Z410" i="1"/>
  <c r="BP428" i="1"/>
  <c r="BN428" i="1"/>
  <c r="Z428" i="1"/>
  <c r="BP432" i="1"/>
  <c r="BN432" i="1"/>
  <c r="Z432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Y454" i="1"/>
  <c r="P500" i="1"/>
  <c r="Y280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BP446" i="1"/>
  <c r="BN446" i="1"/>
  <c r="Z446" i="1"/>
  <c r="Y455" i="1"/>
  <c r="BP460" i="1"/>
  <c r="BN460" i="1"/>
  <c r="Z460" i="1"/>
  <c r="Z463" i="1" s="1"/>
  <c r="BP468" i="1"/>
  <c r="BN468" i="1"/>
  <c r="Z468" i="1"/>
  <c r="Y475" i="1"/>
  <c r="BP472" i="1"/>
  <c r="BN472" i="1"/>
  <c r="Z472" i="1"/>
  <c r="Z474" i="1" s="1"/>
  <c r="Y483" i="1"/>
  <c r="Y500" i="1"/>
  <c r="Z448" i="1" l="1"/>
  <c r="Z454" i="1"/>
  <c r="Z338" i="1"/>
  <c r="Z325" i="1"/>
  <c r="Z360" i="1"/>
  <c r="Z267" i="1"/>
  <c r="Z259" i="1"/>
  <c r="Z250" i="1"/>
  <c r="Z131" i="1"/>
  <c r="Z43" i="1"/>
  <c r="Z400" i="1"/>
  <c r="Z295" i="1"/>
  <c r="Z203" i="1"/>
  <c r="Z57" i="1"/>
  <c r="Y491" i="1"/>
  <c r="Y494" i="1"/>
  <c r="Z171" i="1"/>
  <c r="Z103" i="1"/>
  <c r="Y492" i="1"/>
  <c r="Z31" i="1"/>
  <c r="Z433" i="1"/>
  <c r="Z395" i="1"/>
  <c r="Y493" i="1"/>
  <c r="Z439" i="1"/>
  <c r="Z305" i="1"/>
  <c r="Z350" i="1"/>
  <c r="Z215" i="1"/>
  <c r="Z109" i="1"/>
  <c r="Z95" i="1"/>
  <c r="Z88" i="1"/>
  <c r="Z69" i="1"/>
  <c r="Y490" i="1"/>
  <c r="Z412" i="1"/>
  <c r="Z312" i="1"/>
  <c r="Z234" i="1"/>
  <c r="Z469" i="1"/>
  <c r="Z331" i="1"/>
  <c r="X493" i="1"/>
  <c r="Z495" i="1" l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<sst xmlns="http://schemas.openxmlformats.org/spreadsheetml/2006/main" count="2344" uniqueCount="766">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</sst>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45995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0.45833333333333331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670</v>
      </c>
      <c r="Y40" s="544">
        <f>IFERROR(IF(X40="",0,CEILING((X40/$H40),1)*$H40),"")</f>
        <v>680.40000000000009</v>
      </c>
      <c r="Z40" s="36">
        <f>IFERROR(IF(Y40=0,"",ROUNDUP(Y40/H40,0)*0.01898),"")</f>
        <v>1.19574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695.43518518518522</v>
      </c>
      <c r="BN40" s="64">
        <f>IFERROR(Y40*I40/H40,"0")</f>
        <v>706.23000000000013</v>
      </c>
      <c r="BO40" s="64">
        <f>IFERROR(1/J40*(X40/H40),"0")</f>
        <v>0.96932870370370361</v>
      </c>
      <c r="BP40" s="64">
        <f>IFERROR(1/J40*(Y40/H40),"0")</f>
        <v>0.98437500000000011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62.037037037037031</v>
      </c>
      <c r="Y43" s="545">
        <f>IFERROR(Y40/H40,"0")+IFERROR(Y41/H41,"0")+IFERROR(Y42/H42,"0")</f>
        <v>63.000000000000007</v>
      </c>
      <c r="Z43" s="545">
        <f>IFERROR(IF(Z40="",0,Z40),"0")+IFERROR(IF(Z41="",0,Z41),"0")+IFERROR(IF(Z42="",0,Z42),"0")</f>
        <v>1.19574</v>
      </c>
      <c r="AA43" s="546"/>
      <c r="AB43" s="546"/>
      <c r="AC43" s="546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670</v>
      </c>
      <c r="Y44" s="545">
        <f>IFERROR(SUM(Y40:Y42),"0")</f>
        <v>680.40000000000009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1780</v>
      </c>
      <c r="Y60" s="544">
        <f>IFERROR(IF(X60="",0,CEILING((X60/$H60),1)*$H60),"")</f>
        <v>1782.0000000000002</v>
      </c>
      <c r="Z60" s="36">
        <f>IFERROR(IF(Y60=0,"",ROUNDUP(Y60/H60,0)*0.01898),"")</f>
        <v>3.1316999999999999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1847.5740740740741</v>
      </c>
      <c r="BN60" s="64">
        <f>IFERROR(Y60*I60/H60,"0")</f>
        <v>1849.6500000000003</v>
      </c>
      <c r="BO60" s="64">
        <f>IFERROR(1/J60*(X60/H60),"0")</f>
        <v>2.5752314814814814</v>
      </c>
      <c r="BP60" s="64">
        <f>IFERROR(1/J60*(Y60/H60),"0")</f>
        <v>2.578125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135</v>
      </c>
      <c r="Y62" s="544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214.81481481481481</v>
      </c>
      <c r="Y63" s="545">
        <f>IFERROR(Y60/H60,"0")+IFERROR(Y61/H61,"0")+IFERROR(Y62/H62,"0")</f>
        <v>215</v>
      </c>
      <c r="Z63" s="545">
        <f>IFERROR(IF(Z60="",0,Z60),"0")+IFERROR(IF(Z61="",0,Z61),"0")+IFERROR(IF(Z62="",0,Z62),"0")</f>
        <v>3.4571999999999998</v>
      </c>
      <c r="AA63" s="546"/>
      <c r="AB63" s="546"/>
      <c r="AC63" s="546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1915</v>
      </c>
      <c r="Y64" s="545">
        <f>IFERROR(SUM(Y60:Y62),"0")</f>
        <v>1917.0000000000002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300</v>
      </c>
      <c r="Y91" s="544">
        <f>IFERROR(IF(X91="",0,CEILING((X91/$H91),1)*$H91),"")</f>
        <v>307.8</v>
      </c>
      <c r="Z91" s="36">
        <f>IFERROR(IF(Y91=0,"",ROUNDUP(Y91/H91,0)*0.01898),"")</f>
        <v>0.72123999999999999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318.2962962962963</v>
      </c>
      <c r="BN91" s="64">
        <f>IFERROR(Y91*I91/H91,"0")</f>
        <v>326.572</v>
      </c>
      <c r="BO91" s="64">
        <f>IFERROR(1/J91*(X91/H91),"0")</f>
        <v>0.57870370370370372</v>
      </c>
      <c r="BP91" s="64">
        <f>IFERROR(1/J91*(Y91/H91),"0")</f>
        <v>0.59375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37.037037037037038</v>
      </c>
      <c r="Y95" s="545">
        <f>IFERROR(Y91/H91,"0")+IFERROR(Y92/H92,"0")+IFERROR(Y93/H93,"0")+IFERROR(Y94/H94,"0")</f>
        <v>38</v>
      </c>
      <c r="Z95" s="545">
        <f>IFERROR(IF(Z91="",0,Z91),"0")+IFERROR(IF(Z92="",0,Z92),"0")+IFERROR(IF(Z93="",0,Z93),"0")+IFERROR(IF(Z94="",0,Z94),"0")</f>
        <v>0.72123999999999999</v>
      </c>
      <c r="AA95" s="546"/>
      <c r="AB95" s="546"/>
      <c r="AC95" s="546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300</v>
      </c>
      <c r="Y96" s="545">
        <f>IFERROR(SUM(Y91:Y94),"0")</f>
        <v>307.8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700</v>
      </c>
      <c r="Y112" s="544">
        <f>IFERROR(IF(X112="",0,CEILING((X112/$H112),1)*$H112),"")</f>
        <v>704.69999999999993</v>
      </c>
      <c r="Z112" s="36">
        <f>IFERROR(IF(Y112=0,"",ROUNDUP(Y112/H112,0)*0.01898),"")</f>
        <v>1.65126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742.17283950617275</v>
      </c>
      <c r="BN112" s="64">
        <f>IFERROR(Y112*I112/H112,"0")</f>
        <v>747.15599999999995</v>
      </c>
      <c r="BO112" s="64">
        <f>IFERROR(1/J112*(X112/H112),"0")</f>
        <v>1.3503086419753088</v>
      </c>
      <c r="BP112" s="64">
        <f>IFERROR(1/J112*(Y112/H112),"0")</f>
        <v>1.359375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86.41975308641976</v>
      </c>
      <c r="Y116" s="545">
        <f>IFERROR(Y112/H112,"0")+IFERROR(Y113/H113,"0")+IFERROR(Y114/H114,"0")+IFERROR(Y115/H115,"0")</f>
        <v>87</v>
      </c>
      <c r="Z116" s="545">
        <f>IFERROR(IF(Z112="",0,Z112),"0")+IFERROR(IF(Z113="",0,Z113),"0")+IFERROR(IF(Z114="",0,Z114),"0")+IFERROR(IF(Z115="",0,Z115),"0")</f>
        <v>1.65126</v>
      </c>
      <c r="AA116" s="546"/>
      <c r="AB116" s="546"/>
      <c r="AC116" s="546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700</v>
      </c>
      <c r="Y117" s="545">
        <f>IFERROR(SUM(Y112:Y115),"0")</f>
        <v>704.69999999999993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hidden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60</v>
      </c>
      <c r="Y145" s="544">
        <f>IFERROR(IF(X145="",0,CEILING((X145/$H145),1)*$H145),"")</f>
        <v>63</v>
      </c>
      <c r="Z145" s="36">
        <f>IFERROR(IF(Y145=0,"",ROUNDUP(Y145/H145,0)*0.01898),"")</f>
        <v>0.13286000000000001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63.733333333333334</v>
      </c>
      <c r="BN145" s="64">
        <f>IFERROR(Y145*I145/H145,"0")</f>
        <v>66.920000000000016</v>
      </c>
      <c r="BO145" s="64">
        <f>IFERROR(1/J145*(X145/H145),"0")</f>
        <v>0.10416666666666667</v>
      </c>
      <c r="BP145" s="64">
        <f>IFERROR(1/J145*(Y145/H145),"0")</f>
        <v>0.109375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200</v>
      </c>
      <c r="Y147" s="544">
        <f>IFERROR(IF(X147="",0,CEILING((X147/$H147),1)*$H147),"")</f>
        <v>207</v>
      </c>
      <c r="Z147" s="36">
        <f>IFERROR(IF(Y147=0,"",ROUNDUP(Y147/H147,0)*0.01898),"")</f>
        <v>0.43653999999999998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212.44444444444446</v>
      </c>
      <c r="BN147" s="64">
        <f>IFERROR(Y147*I147/H147,"0")</f>
        <v>219.88</v>
      </c>
      <c r="BO147" s="64">
        <f>IFERROR(1/J147*(X147/H147),"0")</f>
        <v>0.34722222222222221</v>
      </c>
      <c r="BP147" s="64">
        <f>IFERROR(1/J147*(Y147/H147),"0")</f>
        <v>0.359375</v>
      </c>
    </row>
    <row r="148" spans="1:68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28.888888888888889</v>
      </c>
      <c r="Y148" s="545">
        <f>IFERROR(Y145/H145,"0")+IFERROR(Y146/H146,"0")+IFERROR(Y147/H147,"0")</f>
        <v>30</v>
      </c>
      <c r="Z148" s="545">
        <f>IFERROR(IF(Z145="",0,Z145),"0")+IFERROR(IF(Z146="",0,Z146),"0")+IFERROR(IF(Z147="",0,Z147),"0")</f>
        <v>0.56940000000000002</v>
      </c>
      <c r="AA148" s="546"/>
      <c r="AB148" s="546"/>
      <c r="AC148" s="546"/>
    </row>
    <row r="149" spans="1:68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260</v>
      </c>
      <c r="Y149" s="545">
        <f>IFERROR(SUM(Y145:Y147),"0")</f>
        <v>270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hidden="1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hidden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200</v>
      </c>
      <c r="Y195" s="544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200</v>
      </c>
      <c r="Y197" s="544">
        <f t="shared" si="10"/>
        <v>205.20000000000002</v>
      </c>
      <c r="Z197" s="36">
        <f>IFERROR(IF(Y197=0,"",ROUNDUP(Y197/H197,0)*0.00902),"")</f>
        <v>0.34276000000000001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207.03703703703701</v>
      </c>
      <c r="BN197" s="64">
        <f t="shared" si="12"/>
        <v>212.42</v>
      </c>
      <c r="BO197" s="64">
        <f t="shared" si="13"/>
        <v>0.28058361391694725</v>
      </c>
      <c r="BP197" s="64">
        <f t="shared" si="14"/>
        <v>0.2878787878787879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200</v>
      </c>
      <c r="Y198" s="544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207.03703703703701</v>
      </c>
      <c r="BN198" s="64">
        <f t="shared" si="12"/>
        <v>212.42</v>
      </c>
      <c r="BO198" s="64">
        <f t="shared" si="13"/>
        <v>0.28058361391694725</v>
      </c>
      <c r="BP198" s="64">
        <f t="shared" si="14"/>
        <v>0.2878787878787879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111.11111111111111</v>
      </c>
      <c r="Y203" s="545">
        <f>IFERROR(Y195/H195,"0")+IFERROR(Y196/H196,"0")+IFERROR(Y197/H197,"0")+IFERROR(Y198/H198,"0")+IFERROR(Y199/H199,"0")+IFERROR(Y200/H200,"0")+IFERROR(Y201/H201,"0")+IFERROR(Y202/H202,"0")</f>
        <v>114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1.0282800000000001</v>
      </c>
      <c r="AA203" s="546"/>
      <c r="AB203" s="546"/>
      <c r="AC203" s="546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600</v>
      </c>
      <c r="Y204" s="545">
        <f>IFERROR(SUM(Y195:Y202),"0")</f>
        <v>615.6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0</v>
      </c>
      <c r="Y215" s="545">
        <f>IFERROR(Y206/H206,"0")+IFERROR(Y207/H207,"0")+IFERROR(Y208/H208,"0")+IFERROR(Y209/H209,"0")+IFERROR(Y210/H210,"0")+IFERROR(Y211/H211,"0")+IFERROR(Y212/H212,"0")+IFERROR(Y213/H213,"0")+IFERROR(Y214/H214,"0")</f>
        <v>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6"/>
      <c r="AB215" s="546"/>
      <c r="AC215" s="546"/>
    </row>
    <row r="216" spans="1:68" hidden="1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0</v>
      </c>
      <c r="Y216" s="545">
        <f>IFERROR(SUM(Y206:Y214),"0")</f>
        <v>0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hidden="1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hidden="1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36</v>
      </c>
      <c r="Y283" s="544">
        <f>IFERROR(IF(X283="",0,CEILING((X283/$H283),1)*$H283),"")</f>
        <v>36</v>
      </c>
      <c r="Z283" s="36">
        <f>IFERROR(IF(Y283=0,"",ROUNDUP(Y283/H283,0)*0.00902),"")</f>
        <v>9.0200000000000002E-2</v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37.9</v>
      </c>
      <c r="BN283" s="64">
        <f>IFERROR(Y283*I283/H283,"0")</f>
        <v>37.9</v>
      </c>
      <c r="BO283" s="64">
        <f>IFERROR(1/J283*(X283/H283),"0")</f>
        <v>7.575757575757576E-2</v>
      </c>
      <c r="BP283" s="64">
        <f>IFERROR(1/J283*(Y283/H283),"0")</f>
        <v>7.575757575757576E-2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10</v>
      </c>
      <c r="Y285" s="545">
        <f>IFERROR(Y283/H283,"0")+IFERROR(Y284/H284,"0")</f>
        <v>10</v>
      </c>
      <c r="Z285" s="545">
        <f>IFERROR(IF(Z283="",0,Z283),"0")+IFERROR(IF(Z284="",0,Z284),"0")</f>
        <v>9.0200000000000002E-2</v>
      </c>
      <c r="AA285" s="546"/>
      <c r="AB285" s="546"/>
      <c r="AC285" s="546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36</v>
      </c>
      <c r="Y286" s="545">
        <f>IFERROR(SUM(Y283:Y284),"0")</f>
        <v>36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hidden="1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250</v>
      </c>
      <c r="Y290" s="544">
        <f t="shared" si="26"/>
        <v>259.20000000000005</v>
      </c>
      <c r="Z290" s="36">
        <f>IFERROR(IF(Y290=0,"",ROUNDUP(Y290/H290,0)*0.01898),"")</f>
        <v>0.45552000000000004</v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259.4907407407407</v>
      </c>
      <c r="BN290" s="64">
        <f t="shared" si="28"/>
        <v>269.04000000000002</v>
      </c>
      <c r="BO290" s="64">
        <f t="shared" si="29"/>
        <v>0.36168981481481477</v>
      </c>
      <c r="BP290" s="64">
        <f t="shared" si="30"/>
        <v>0.37500000000000006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300</v>
      </c>
      <c r="Y291" s="544">
        <f t="shared" si="26"/>
        <v>302.40000000000003</v>
      </c>
      <c r="Z291" s="36">
        <f>IFERROR(IF(Y291=0,"",ROUNDUP(Y291/H291,0)*0.01898),"")</f>
        <v>0.53144000000000002</v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311.38888888888891</v>
      </c>
      <c r="BN291" s="64">
        <f t="shared" si="28"/>
        <v>313.88</v>
      </c>
      <c r="BO291" s="64">
        <f t="shared" si="29"/>
        <v>0.43402777777777773</v>
      </c>
      <c r="BP291" s="64">
        <f t="shared" si="30"/>
        <v>0.4375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80</v>
      </c>
      <c r="Y293" s="544">
        <f t="shared" si="26"/>
        <v>80</v>
      </c>
      <c r="Z293" s="36">
        <f>IFERROR(IF(Y293=0,"",ROUNDUP(Y293/H293,0)*0.00902),"")</f>
        <v>0.1804</v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83.800000000000011</v>
      </c>
      <c r="BN293" s="64">
        <f t="shared" si="28"/>
        <v>83.800000000000011</v>
      </c>
      <c r="BO293" s="64">
        <f t="shared" si="29"/>
        <v>0.15151515151515152</v>
      </c>
      <c r="BP293" s="64">
        <f t="shared" si="30"/>
        <v>0.15151515151515152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70.925925925925924</v>
      </c>
      <c r="Y295" s="545">
        <f>IFERROR(Y289/H289,"0")+IFERROR(Y290/H290,"0")+IFERROR(Y291/H291,"0")+IFERROR(Y292/H292,"0")+IFERROR(Y293/H293,"0")+IFERROR(Y294/H294,"0")</f>
        <v>72</v>
      </c>
      <c r="Z295" s="545">
        <f>IFERROR(IF(Z289="",0,Z289),"0")+IFERROR(IF(Z290="",0,Z290),"0")+IFERROR(IF(Z291="",0,Z291),"0")+IFERROR(IF(Z292="",0,Z292),"0")+IFERROR(IF(Z293="",0,Z293),"0")+IFERROR(IF(Z294="",0,Z294),"0")</f>
        <v>1.16736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630</v>
      </c>
      <c r="Y296" s="545">
        <f>IFERROR(SUM(Y289:Y294),"0")</f>
        <v>641.60000000000014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300</v>
      </c>
      <c r="Y298" s="544">
        <f t="shared" ref="Y298:Y304" si="31">IFERROR(IF(X298="",0,CEILING((X298/$H298),1)*$H298),"")</f>
        <v>302.40000000000003</v>
      </c>
      <c r="Z298" s="36">
        <f>IFERROR(IF(Y298=0,"",ROUNDUP(Y298/H298,0)*0.00902),"")</f>
        <v>0.64944000000000002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317.85714285714283</v>
      </c>
      <c r="BN298" s="64">
        <f t="shared" ref="BN298:BN304" si="33">IFERROR(Y298*I298/H298,"0")</f>
        <v>320.40000000000003</v>
      </c>
      <c r="BO298" s="64">
        <f t="shared" ref="BO298:BO304" si="34">IFERROR(1/J298*(X298/H298),"0")</f>
        <v>0.54112554112554112</v>
      </c>
      <c r="BP298" s="64">
        <f t="shared" ref="BP298:BP304" si="35">IFERROR(1/J298*(Y298/H298),"0")</f>
        <v>0.54545454545454541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400</v>
      </c>
      <c r="Y299" s="544">
        <f t="shared" si="31"/>
        <v>403.20000000000005</v>
      </c>
      <c r="Z299" s="36">
        <f>IFERROR(IF(Y299=0,"",ROUNDUP(Y299/H299,0)*0.00902),"")</f>
        <v>0.86592000000000002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423.8095238095238</v>
      </c>
      <c r="BN299" s="64">
        <f t="shared" si="33"/>
        <v>427.20000000000005</v>
      </c>
      <c r="BO299" s="64">
        <f t="shared" si="34"/>
        <v>0.72150072150072153</v>
      </c>
      <c r="BP299" s="64">
        <f t="shared" si="35"/>
        <v>0.72727272727272729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166.66666666666669</v>
      </c>
      <c r="Y305" s="545">
        <f>IFERROR(Y298/H298,"0")+IFERROR(Y299/H299,"0")+IFERROR(Y300/H300,"0")+IFERROR(Y301/H301,"0")+IFERROR(Y302/H302,"0")+IFERROR(Y303/H303,"0")+IFERROR(Y304/H304,"0")</f>
        <v>168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1.51536</v>
      </c>
      <c r="AA305" s="546"/>
      <c r="AB305" s="546"/>
      <c r="AC305" s="546"/>
    </row>
    <row r="306" spans="1:68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700</v>
      </c>
      <c r="Y306" s="545">
        <f>IFERROR(SUM(Y298:Y304),"0")</f>
        <v>705.60000000000014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1970</v>
      </c>
      <c r="Y308" s="544">
        <f>IFERROR(IF(X308="",0,CEILING((X308/$H308),1)*$H308),"")</f>
        <v>1973.3999999999999</v>
      </c>
      <c r="Z308" s="36">
        <f>IFERROR(IF(Y308=0,"",ROUNDUP(Y308/H308,0)*0.01898),"")</f>
        <v>4.8019400000000001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2093.251282051282</v>
      </c>
      <c r="BN308" s="64">
        <f>IFERROR(Y308*I308/H308,"0")</f>
        <v>2096.864</v>
      </c>
      <c r="BO308" s="64">
        <f>IFERROR(1/J308*(X308/H308),"0")</f>
        <v>3.9463141025641026</v>
      </c>
      <c r="BP308" s="64">
        <f>IFERROR(1/J308*(Y308/H308),"0")</f>
        <v>3.953125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252.56410256410257</v>
      </c>
      <c r="Y312" s="545">
        <f>IFERROR(Y308/H308,"0")+IFERROR(Y309/H309,"0")+IFERROR(Y310/H310,"0")+IFERROR(Y311/H311,"0")</f>
        <v>253</v>
      </c>
      <c r="Z312" s="545">
        <f>IFERROR(IF(Z308="",0,Z308),"0")+IFERROR(IF(Z309="",0,Z309),"0")+IFERROR(IF(Z310="",0,Z310),"0")+IFERROR(IF(Z311="",0,Z311),"0")</f>
        <v>4.8019400000000001</v>
      </c>
      <c r="AA312" s="546"/>
      <c r="AB312" s="546"/>
      <c r="AC312" s="546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1970</v>
      </c>
      <c r="Y313" s="545">
        <f>IFERROR(SUM(Y308:Y311),"0")</f>
        <v>1973.3999999999999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hidden="1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300</v>
      </c>
      <c r="Y316" s="544">
        <f>IFERROR(IF(X316="",0,CEILING((X316/$H316),1)*$H316),"")</f>
        <v>304.2</v>
      </c>
      <c r="Z316" s="36">
        <f>IFERROR(IF(Y316=0,"",ROUNDUP(Y316/H316,0)*0.01898),"")</f>
        <v>0.74021999999999999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319.00000000000006</v>
      </c>
      <c r="BN316" s="64">
        <f>IFERROR(Y316*I316/H316,"0")</f>
        <v>323.46600000000001</v>
      </c>
      <c r="BO316" s="64">
        <f>IFERROR(1/J316*(X316/H316),"0")</f>
        <v>0.60096153846153844</v>
      </c>
      <c r="BP316" s="64">
        <f>IFERROR(1/J316*(Y316/H316),"0")</f>
        <v>0.609375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38.46153846153846</v>
      </c>
      <c r="Y318" s="545">
        <f>IFERROR(Y315/H315,"0")+IFERROR(Y316/H316,"0")+IFERROR(Y317/H317,"0")</f>
        <v>39</v>
      </c>
      <c r="Z318" s="545">
        <f>IFERROR(IF(Z315="",0,Z315),"0")+IFERROR(IF(Z316="",0,Z316),"0")+IFERROR(IF(Z317="",0,Z317),"0")</f>
        <v>0.74021999999999999</v>
      </c>
      <c r="AA318" s="546"/>
      <c r="AB318" s="546"/>
      <c r="AC318" s="546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300</v>
      </c>
      <c r="Y319" s="545">
        <f>IFERROR(SUM(Y315:Y317),"0")</f>
        <v>304.2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hidden="1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150</v>
      </c>
      <c r="Y335" s="544">
        <f>IFERROR(IF(X335="",0,CEILING((X335/$H335),1)*$H335),"")</f>
        <v>153.9</v>
      </c>
      <c r="Z335" s="36">
        <f>IFERROR(IF(Y335=0,"",ROUNDUP(Y335/H335,0)*0.01898),"")</f>
        <v>0.36062</v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159.14814814814815</v>
      </c>
      <c r="BN335" s="64">
        <f>IFERROR(Y335*I335/H335,"0")</f>
        <v>163.286</v>
      </c>
      <c r="BO335" s="64">
        <f>IFERROR(1/J335*(X335/H335),"0")</f>
        <v>0.28935185185185186</v>
      </c>
      <c r="BP335" s="64">
        <f>IFERROR(1/J335*(Y335/H335),"0")</f>
        <v>0.296875</v>
      </c>
    </row>
    <row r="336" spans="1:68" ht="27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52</v>
      </c>
      <c r="Y336" s="544">
        <f>IFERROR(IF(X336="",0,CEILING((X336/$H336),1)*$H336),"")</f>
        <v>52.5</v>
      </c>
      <c r="Z336" s="36">
        <f>IFERROR(IF(Y336=0,"",ROUNDUP(Y336/H336,0)*0.00651),"")</f>
        <v>0.16275000000000001</v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58.239999999999995</v>
      </c>
      <c r="BN336" s="64">
        <f>IFERROR(Y336*I336/H336,"0")</f>
        <v>58.79999999999999</v>
      </c>
      <c r="BO336" s="64">
        <f>IFERROR(1/J336*(X336/H336),"0")</f>
        <v>0.13605442176870747</v>
      </c>
      <c r="BP336" s="64">
        <f>IFERROR(1/J336*(Y336/H336),"0")</f>
        <v>0.13736263736263737</v>
      </c>
    </row>
    <row r="337" spans="1:68" ht="27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21</v>
      </c>
      <c r="Y337" s="544">
        <f>IFERROR(IF(X337="",0,CEILING((X337/$H337),1)*$H337),"")</f>
        <v>21</v>
      </c>
      <c r="Z337" s="36">
        <f>IFERROR(IF(Y337=0,"",ROUNDUP(Y337/H337,0)*0.00651),"")</f>
        <v>6.5100000000000005E-2</v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23.4</v>
      </c>
      <c r="BN337" s="64">
        <f>IFERROR(Y337*I337/H337,"0")</f>
        <v>23.4</v>
      </c>
      <c r="BO337" s="64">
        <f>IFERROR(1/J337*(X337/H337),"0")</f>
        <v>5.4945054945054951E-2</v>
      </c>
      <c r="BP337" s="64">
        <f>IFERROR(1/J337*(Y337/H337),"0")</f>
        <v>5.4945054945054951E-2</v>
      </c>
    </row>
    <row r="338" spans="1:68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53.280423280423278</v>
      </c>
      <c r="Y338" s="545">
        <f>IFERROR(Y335/H335,"0")+IFERROR(Y336/H336,"0")+IFERROR(Y337/H337,"0")</f>
        <v>54</v>
      </c>
      <c r="Z338" s="545">
        <f>IFERROR(IF(Z335="",0,Z335),"0")+IFERROR(IF(Z336="",0,Z336),"0")+IFERROR(IF(Z337="",0,Z337),"0")</f>
        <v>0.58847000000000005</v>
      </c>
      <c r="AA338" s="546"/>
      <c r="AB338" s="546"/>
      <c r="AC338" s="546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223</v>
      </c>
      <c r="Y339" s="545">
        <f>IFERROR(SUM(Y335:Y337),"0")</f>
        <v>227.4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hidden="1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0</v>
      </c>
      <c r="Y343" s="544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2950</v>
      </c>
      <c r="Y344" s="544">
        <f t="shared" si="36"/>
        <v>2955</v>
      </c>
      <c r="Z344" s="36">
        <f>IFERROR(IF(Y344=0,"",ROUNDUP(Y344/H344,0)*0.02175),"")</f>
        <v>4.2847499999999998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3042.4333333333334</v>
      </c>
      <c r="BN344" s="64">
        <f t="shared" si="38"/>
        <v>3047.5899999999997</v>
      </c>
      <c r="BO344" s="64">
        <f t="shared" si="39"/>
        <v>4.0972222222222214</v>
      </c>
      <c r="BP344" s="64">
        <f t="shared" si="40"/>
        <v>4.1041666666666661</v>
      </c>
    </row>
    <row r="345" spans="1:68" ht="37.5" hidden="1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196.66666666666666</v>
      </c>
      <c r="Y350" s="545">
        <f>IFERROR(Y343/H343,"0")+IFERROR(Y344/H344,"0")+IFERROR(Y345/H345,"0")+IFERROR(Y346/H346,"0")+IFERROR(Y347/H347,"0")+IFERROR(Y348/H348,"0")+IFERROR(Y349/H349,"0")</f>
        <v>197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4.2847499999999998</v>
      </c>
      <c r="AA350" s="546"/>
      <c r="AB350" s="546"/>
      <c r="AC350" s="546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2950</v>
      </c>
      <c r="Y351" s="545">
        <f>IFERROR(SUM(Y343:Y349),"0")</f>
        <v>2955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3950</v>
      </c>
      <c r="Y353" s="544">
        <f>IFERROR(IF(X353="",0,CEILING((X353/$H353),1)*$H353),"")</f>
        <v>3960</v>
      </c>
      <c r="Z353" s="36">
        <f>IFERROR(IF(Y353=0,"",ROUNDUP(Y353/H353,0)*0.02175),"")</f>
        <v>5.742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4073.7666666666669</v>
      </c>
      <c r="BN353" s="64">
        <f>IFERROR(Y353*I353/H353,"0")</f>
        <v>4084.0800000000004</v>
      </c>
      <c r="BO353" s="64">
        <f>IFERROR(1/J353*(X353/H353),"0")</f>
        <v>5.4861111111111107</v>
      </c>
      <c r="BP353" s="64">
        <f>IFERROR(1/J353*(Y353/H353),"0")</f>
        <v>5.5</v>
      </c>
    </row>
    <row r="354" spans="1:68" ht="27" hidden="1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263.33333333333331</v>
      </c>
      <c r="Y355" s="545">
        <f>IFERROR(Y353/H353,"0")+IFERROR(Y354/H354,"0")</f>
        <v>264</v>
      </c>
      <c r="Z355" s="545">
        <f>IFERROR(IF(Z353="",0,Z353),"0")+IFERROR(IF(Z354="",0,Z354),"0")</f>
        <v>5.742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3950</v>
      </c>
      <c r="Y356" s="545">
        <f>IFERROR(SUM(Y353:Y354),"0")</f>
        <v>3960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hidden="1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hidden="1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hidden="1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0</v>
      </c>
      <c r="Y381" s="545">
        <f>IFERROR(Y378/H378,"0")+IFERROR(Y379/H379,"0")+IFERROR(Y380/H380,"0")</f>
        <v>0</v>
      </c>
      <c r="Z381" s="545">
        <f>IFERROR(IF(Z378="",0,Z378),"0")+IFERROR(IF(Z379="",0,Z379),"0")+IFERROR(IF(Z380="",0,Z380),"0")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0</v>
      </c>
      <c r="Y382" s="545">
        <f>IFERROR(SUM(Y378:Y380),"0")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1100</v>
      </c>
      <c r="Y423" s="544">
        <f t="shared" si="47"/>
        <v>1103.52</v>
      </c>
      <c r="Z423" s="36">
        <f t="shared" si="48"/>
        <v>2.4996399999999999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1172.9166666666665</v>
      </c>
      <c r="BN423" s="64">
        <f t="shared" si="50"/>
        <v>1176.6699999999998</v>
      </c>
      <c r="BO423" s="64">
        <f t="shared" si="51"/>
        <v>2.0032051282051282</v>
      </c>
      <c r="BP423" s="64">
        <f t="shared" si="52"/>
        <v>2.0096153846153846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550</v>
      </c>
      <c r="Y427" s="544">
        <f t="shared" si="47"/>
        <v>554.4</v>
      </c>
      <c r="Z427" s="36">
        <f t="shared" si="48"/>
        <v>1.2558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586.45833333333326</v>
      </c>
      <c r="BN427" s="64">
        <f t="shared" si="50"/>
        <v>591.15</v>
      </c>
      <c r="BO427" s="64">
        <f t="shared" si="51"/>
        <v>1.0016025641025641</v>
      </c>
      <c r="BP427" s="64">
        <f t="shared" si="52"/>
        <v>1.0096153846153846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312.5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314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3.7554400000000001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1650</v>
      </c>
      <c r="Y434" s="545">
        <f>IFERROR(SUM(Y422:Y432),"0")</f>
        <v>1657.92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550</v>
      </c>
      <c r="Y436" s="544">
        <f>IFERROR(IF(X436="",0,CEILING((X436/$H436),1)*$H436),"")</f>
        <v>554.4</v>
      </c>
      <c r="Z436" s="36">
        <f>IFERROR(IF(Y436=0,"",ROUNDUP(Y436/H436,0)*0.01196),"")</f>
        <v>1.2558</v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586.45833333333326</v>
      </c>
      <c r="BN436" s="64">
        <f>IFERROR(Y436*I436/H436,"0")</f>
        <v>591.15</v>
      </c>
      <c r="BO436" s="64">
        <f>IFERROR(1/J436*(X436/H436),"0")</f>
        <v>1.0016025641025641</v>
      </c>
      <c r="BP436" s="64">
        <f>IFERROR(1/J436*(Y436/H436),"0")</f>
        <v>1.0096153846153846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104.16666666666666</v>
      </c>
      <c r="Y439" s="545">
        <f>IFERROR(Y436/H436,"0")+IFERROR(Y437/H437,"0")+IFERROR(Y438/H438,"0")</f>
        <v>104.99999999999999</v>
      </c>
      <c r="Z439" s="545">
        <f>IFERROR(IF(Z436="",0,Z436),"0")+IFERROR(IF(Z437="",0,Z437),"0")+IFERROR(IF(Z438="",0,Z438),"0")</f>
        <v>1.2558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550</v>
      </c>
      <c r="Y440" s="545">
        <f>IFERROR(SUM(Y436:Y438),"0")</f>
        <v>554.4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200</v>
      </c>
      <c r="Y442" s="544">
        <f t="shared" ref="Y442:Y447" si="53">IFERROR(IF(X442="",0,CEILING((X442/$H442),1)*$H442),"")</f>
        <v>200.64000000000001</v>
      </c>
      <c r="Z442" s="36">
        <f>IFERROR(IF(Y442=0,"",ROUNDUP(Y442/H442,0)*0.01196),"")</f>
        <v>0.45448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213.25757575757575</v>
      </c>
      <c r="BN442" s="64">
        <f t="shared" ref="BN442:BN447" si="55">IFERROR(Y442*I442/H442,"0")</f>
        <v>213.94</v>
      </c>
      <c r="BO442" s="64">
        <f t="shared" ref="BO442:BO447" si="56">IFERROR(1/J442*(X442/H442),"0")</f>
        <v>0.36421911421911418</v>
      </c>
      <c r="BP442" s="64">
        <f t="shared" ref="BP442:BP447" si="57">IFERROR(1/J442*(Y442/H442),"0")</f>
        <v>0.36538461538461542</v>
      </c>
    </row>
    <row r="443" spans="1:68" ht="27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200</v>
      </c>
      <c r="Y443" s="544">
        <f t="shared" si="53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213.25757575757575</v>
      </c>
      <c r="BN443" s="64">
        <f t="shared" si="55"/>
        <v>213.94</v>
      </c>
      <c r="BO443" s="64">
        <f t="shared" si="56"/>
        <v>0.36421911421911418</v>
      </c>
      <c r="BP443" s="64">
        <f t="shared" si="57"/>
        <v>0.36538461538461542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300</v>
      </c>
      <c r="Y444" s="544">
        <f t="shared" si="53"/>
        <v>300.96000000000004</v>
      </c>
      <c r="Z444" s="36">
        <f>IFERROR(IF(Y444=0,"",ROUNDUP(Y444/H444,0)*0.01196),"")</f>
        <v>0.68171999999999999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319.88636363636363</v>
      </c>
      <c r="BN444" s="64">
        <f t="shared" si="55"/>
        <v>320.91000000000003</v>
      </c>
      <c r="BO444" s="64">
        <f t="shared" si="56"/>
        <v>0.54632867132867136</v>
      </c>
      <c r="BP444" s="64">
        <f t="shared" si="57"/>
        <v>0.54807692307692313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132.57575757575756</v>
      </c>
      <c r="Y448" s="545">
        <f>IFERROR(Y442/H442,"0")+IFERROR(Y443/H443,"0")+IFERROR(Y444/H444,"0")+IFERROR(Y445/H445,"0")+IFERROR(Y446/H446,"0")+IFERROR(Y447/H447,"0")</f>
        <v>133</v>
      </c>
      <c r="Z448" s="545">
        <f>IFERROR(IF(Z442="",0,Z442),"0")+IFERROR(IF(Z443="",0,Z443),"0")+IFERROR(IF(Z444="",0,Z444),"0")+IFERROR(IF(Z445="",0,Z445),"0")+IFERROR(IF(Z446="",0,Z446),"0")+IFERROR(IF(Z447="",0,Z447),"0")</f>
        <v>1.5906799999999999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700</v>
      </c>
      <c r="Y449" s="545">
        <f>IFERROR(SUM(Y442:Y447),"0")</f>
        <v>702.24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18104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18213.260000000006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18940.487858931192</v>
      </c>
      <c r="Y491" s="545">
        <f>IFERROR(SUM(BN22:BN487),"0")</f>
        <v>19055.133999999998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30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19690.487858931192</v>
      </c>
      <c r="Y493" s="545">
        <f>GrossWeightTotalR+PalletQtyTotalR*25</f>
        <v>19805.133999999998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2141.44972311639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2156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34.155340000000002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680.40000000000009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1917.0000000000002</v>
      </c>
      <c r="E500" s="46">
        <f>IFERROR(Y85*1,"0")+IFERROR(Y86*1,"0")+IFERROR(Y87*1,"0")+IFERROR(Y91*1,"0")+IFERROR(Y92*1,"0")+IFERROR(Y93*1,"0")+IFERROR(Y94*1,"0")</f>
        <v>307.8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704.69999999999993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270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615.6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36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3624.8</v>
      </c>
      <c r="R500" s="46">
        <f>IFERROR(Y335*1,"0")+IFERROR(Y336*1,"0")+IFERROR(Y337*1,"0")</f>
        <v>227.4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6915</v>
      </c>
      <c r="T500" s="46">
        <f>IFERROR(Y368*1,"0")+IFERROR(Y369*1,"0")+IFERROR(Y373*1,"0")+IFERROR(Y374*1,"0")+IFERROR(Y378*1,"0")+IFERROR(Y379*1,"0")+IFERROR(Y380*1,"0")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2914.56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650,00"/>
        <filter val="1 780,00"/>
        <filter val="1 915,00"/>
        <filter val="1 970,00"/>
        <filter val="10,00"/>
        <filter val="104,17"/>
        <filter val="111,11"/>
        <filter val="132,58"/>
        <filter val="135,00"/>
        <filter val="150,00"/>
        <filter val="166,67"/>
        <filter val="18 104,00"/>
        <filter val="18 940,49"/>
        <filter val="19 690,49"/>
        <filter val="196,67"/>
        <filter val="2 141,45"/>
        <filter val="2 950,00"/>
        <filter val="200,00"/>
        <filter val="21,00"/>
        <filter val="214,81"/>
        <filter val="223,00"/>
        <filter val="250,00"/>
        <filter val="252,56"/>
        <filter val="260,00"/>
        <filter val="263,33"/>
        <filter val="28,89"/>
        <filter val="3 950,00"/>
        <filter val="30"/>
        <filter val="300,00"/>
        <filter val="312,50"/>
        <filter val="36,00"/>
        <filter val="37,04"/>
        <filter val="38,46"/>
        <filter val="400,00"/>
        <filter val="52,00"/>
        <filter val="53,28"/>
        <filter val="550,00"/>
        <filter val="60,00"/>
        <filter val="600,00"/>
        <filter val="62,04"/>
        <filter val="630,00"/>
        <filter val="670,00"/>
        <filter val="70,93"/>
        <filter val="700,00"/>
        <filter val="80,00"/>
        <filter val="86,42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2025-12-02T11:49:57Z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