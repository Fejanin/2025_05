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B08B46-6C14-46B6-961B-321DF6A5AC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Z358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Y109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Z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Z34" i="1"/>
  <c r="Z35" i="1" s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90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108" i="1"/>
  <c r="BN108" i="1"/>
  <c r="Z108" i="1"/>
  <c r="BP162" i="1"/>
  <c r="BN162" i="1"/>
  <c r="Z162" i="1"/>
  <c r="BP196" i="1"/>
  <c r="BN196" i="1"/>
  <c r="Z196" i="1"/>
  <c r="BP214" i="1"/>
  <c r="BN214" i="1"/>
  <c r="Z214" i="1"/>
  <c r="BP248" i="1"/>
  <c r="BN248" i="1"/>
  <c r="Z248" i="1"/>
  <c r="BP284" i="1"/>
  <c r="BN284" i="1"/>
  <c r="Z284" i="1"/>
  <c r="BP289" i="1"/>
  <c r="BN289" i="1"/>
  <c r="Z289" i="1"/>
  <c r="BP291" i="1"/>
  <c r="BN291" i="1"/>
  <c r="Z291" i="1"/>
  <c r="BP317" i="1"/>
  <c r="BN317" i="1"/>
  <c r="Z317" i="1"/>
  <c r="BP321" i="1"/>
  <c r="BN321" i="1"/>
  <c r="Z321" i="1"/>
  <c r="BP425" i="1"/>
  <c r="BN425" i="1"/>
  <c r="Z425" i="1"/>
  <c r="BP451" i="1"/>
  <c r="BN451" i="1"/>
  <c r="Z451" i="1"/>
  <c r="Z28" i="1"/>
  <c r="BN28" i="1"/>
  <c r="Y36" i="1"/>
  <c r="Y35" i="1"/>
  <c r="BP34" i="1"/>
  <c r="BN34" i="1"/>
  <c r="BP55" i="1"/>
  <c r="BN55" i="1"/>
  <c r="Z55" i="1"/>
  <c r="BP93" i="1"/>
  <c r="BN93" i="1"/>
  <c r="Z93" i="1"/>
  <c r="BP125" i="1"/>
  <c r="BN125" i="1"/>
  <c r="Z125" i="1"/>
  <c r="BP129" i="1"/>
  <c r="BN129" i="1"/>
  <c r="Z129" i="1"/>
  <c r="BP167" i="1"/>
  <c r="BN167" i="1"/>
  <c r="Z167" i="1"/>
  <c r="BP206" i="1"/>
  <c r="BN206" i="1"/>
  <c r="Z206" i="1"/>
  <c r="BP228" i="1"/>
  <c r="BN228" i="1"/>
  <c r="Z228" i="1"/>
  <c r="BP266" i="1"/>
  <c r="BN266" i="1"/>
  <c r="Z266" i="1"/>
  <c r="BP303" i="1"/>
  <c r="BN303" i="1"/>
  <c r="Z303" i="1"/>
  <c r="BP344" i="1"/>
  <c r="BN344" i="1"/>
  <c r="Z344" i="1"/>
  <c r="BP393" i="1"/>
  <c r="BN393" i="1"/>
  <c r="Z393" i="1"/>
  <c r="BP437" i="1"/>
  <c r="BN437" i="1"/>
  <c r="Z437" i="1"/>
  <c r="BP473" i="1"/>
  <c r="BN473" i="1"/>
  <c r="Z473" i="1"/>
  <c r="J9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BP80" i="1"/>
  <c r="BN80" i="1"/>
  <c r="Z80" i="1"/>
  <c r="Y88" i="1"/>
  <c r="BP100" i="1"/>
  <c r="BN100" i="1"/>
  <c r="Z100" i="1"/>
  <c r="BP114" i="1"/>
  <c r="BN114" i="1"/>
  <c r="Z114" i="1"/>
  <c r="BP146" i="1"/>
  <c r="BN146" i="1"/>
  <c r="Z146" i="1"/>
  <c r="BP165" i="1"/>
  <c r="BN165" i="1"/>
  <c r="Z165" i="1"/>
  <c r="BP73" i="1"/>
  <c r="BN73" i="1"/>
  <c r="Z73" i="1"/>
  <c r="BP87" i="1"/>
  <c r="BN87" i="1"/>
  <c r="Z87" i="1"/>
  <c r="BP91" i="1"/>
  <c r="BN91" i="1"/>
  <c r="Z91" i="1"/>
  <c r="Y110" i="1"/>
  <c r="BP106" i="1"/>
  <c r="BN106" i="1"/>
  <c r="Z106" i="1"/>
  <c r="BP135" i="1"/>
  <c r="BN135" i="1"/>
  <c r="Z135" i="1"/>
  <c r="BP164" i="1"/>
  <c r="BN164" i="1"/>
  <c r="Z164" i="1"/>
  <c r="BP169" i="1"/>
  <c r="BN169" i="1"/>
  <c r="Z169" i="1"/>
  <c r="Y69" i="1"/>
  <c r="Z186" i="1"/>
  <c r="BN186" i="1"/>
  <c r="Z190" i="1"/>
  <c r="BN190" i="1"/>
  <c r="Z198" i="1"/>
  <c r="BN198" i="1"/>
  <c r="Z202" i="1"/>
  <c r="BN202" i="1"/>
  <c r="Z208" i="1"/>
  <c r="BN208" i="1"/>
  <c r="Z212" i="1"/>
  <c r="BN212" i="1"/>
  <c r="Z218" i="1"/>
  <c r="BN218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N278" i="1"/>
  <c r="BP301" i="1"/>
  <c r="BN301" i="1"/>
  <c r="Z301" i="1"/>
  <c r="Y319" i="1"/>
  <c r="BP315" i="1"/>
  <c r="BN315" i="1"/>
  <c r="Z315" i="1"/>
  <c r="BP336" i="1"/>
  <c r="BN336" i="1"/>
  <c r="Z336" i="1"/>
  <c r="BP354" i="1"/>
  <c r="BN354" i="1"/>
  <c r="Z354" i="1"/>
  <c r="BP374" i="1"/>
  <c r="BN374" i="1"/>
  <c r="Z374" i="1"/>
  <c r="BP378" i="1"/>
  <c r="BN378" i="1"/>
  <c r="Z378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BP293" i="1"/>
  <c r="BN293" i="1"/>
  <c r="Z293" i="1"/>
  <c r="BP309" i="1"/>
  <c r="BN309" i="1"/>
  <c r="Z309" i="1"/>
  <c r="BP323" i="1"/>
  <c r="BN323" i="1"/>
  <c r="Z323" i="1"/>
  <c r="BP346" i="1"/>
  <c r="BN346" i="1"/>
  <c r="Z346" i="1"/>
  <c r="Z360" i="1"/>
  <c r="BP359" i="1"/>
  <c r="BN359" i="1"/>
  <c r="Z35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455" i="1"/>
  <c r="Y454" i="1"/>
  <c r="Y31" i="1"/>
  <c r="Y43" i="1"/>
  <c r="Y58" i="1"/>
  <c r="Y64" i="1"/>
  <c r="Y70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Y152" i="1"/>
  <c r="BP151" i="1"/>
  <c r="BN151" i="1"/>
  <c r="Z151" i="1"/>
  <c r="Z152" i="1" s="1"/>
  <c r="Y153" i="1"/>
  <c r="I500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Z274" i="1" s="1"/>
  <c r="Y274" i="1"/>
  <c r="BP322" i="1"/>
  <c r="BN322" i="1"/>
  <c r="Z322" i="1"/>
  <c r="Y326" i="1"/>
  <c r="BP330" i="1"/>
  <c r="BN330" i="1"/>
  <c r="Z330" i="1"/>
  <c r="Y332" i="1"/>
  <c r="R500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55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Y81" i="1"/>
  <c r="BP86" i="1"/>
  <c r="BN86" i="1"/>
  <c r="Z86" i="1"/>
  <c r="Y95" i="1"/>
  <c r="BP94" i="1"/>
  <c r="BN94" i="1"/>
  <c r="Z94" i="1"/>
  <c r="Y96" i="1"/>
  <c r="F500" i="1"/>
  <c r="Y104" i="1"/>
  <c r="BP99" i="1"/>
  <c r="BN99" i="1"/>
  <c r="Z99" i="1"/>
  <c r="Z103" i="1" s="1"/>
  <c r="Y103" i="1"/>
  <c r="BP107" i="1"/>
  <c r="BN107" i="1"/>
  <c r="Z107" i="1"/>
  <c r="Z109" i="1" s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Y382" i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Y281" i="1"/>
  <c r="Y286" i="1"/>
  <c r="BP283" i="1"/>
  <c r="BN283" i="1"/>
  <c r="Z283" i="1"/>
  <c r="Z285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500" i="1"/>
  <c r="Y350" i="1"/>
  <c r="BP343" i="1"/>
  <c r="BN343" i="1"/>
  <c r="Z343" i="1"/>
  <c r="Z350" i="1" s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Z375" i="1" s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63" i="1" l="1"/>
  <c r="Z412" i="1"/>
  <c r="Z280" i="1"/>
  <c r="Z474" i="1"/>
  <c r="Z187" i="1"/>
  <c r="Z126" i="1"/>
  <c r="Z88" i="1"/>
  <c r="Z57" i="1"/>
  <c r="Z192" i="1"/>
  <c r="Z31" i="1"/>
  <c r="Z234" i="1"/>
  <c r="Z215" i="1"/>
  <c r="Z439" i="1"/>
  <c r="Z448" i="1"/>
  <c r="Z381" i="1"/>
  <c r="Z295" i="1"/>
  <c r="Y492" i="1"/>
  <c r="Z69" i="1"/>
  <c r="Y491" i="1"/>
  <c r="Y493" i="1" s="1"/>
  <c r="Z338" i="1"/>
  <c r="Z325" i="1"/>
  <c r="Z177" i="1"/>
  <c r="Z116" i="1"/>
  <c r="Z95" i="1"/>
  <c r="Y494" i="1"/>
  <c r="Z433" i="1"/>
  <c r="Y490" i="1"/>
  <c r="Z203" i="1"/>
  <c r="Z469" i="1"/>
  <c r="Z395" i="1"/>
  <c r="Z312" i="1"/>
  <c r="Z305" i="1"/>
  <c r="Z76" i="1"/>
  <c r="Z63" i="1"/>
  <c r="X493" i="1"/>
  <c r="Z267" i="1"/>
  <c r="Z259" i="1"/>
  <c r="Z250" i="1"/>
  <c r="Z171" i="1"/>
  <c r="Z495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<sst xmlns="http://schemas.openxmlformats.org/spreadsheetml/2006/main" count="2344" uniqueCount="766">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</sst>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45995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0.5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224</v>
      </c>
      <c r="Y40" s="544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232.50370370370368</v>
      </c>
      <c r="BN40" s="64">
        <f>IFERROR(Y40*I40/H40,"0")</f>
        <v>235.41000000000003</v>
      </c>
      <c r="BO40" s="64">
        <f>IFERROR(1/J40*(X40/H40),"0")</f>
        <v>0.32407407407407407</v>
      </c>
      <c r="BP40" s="64">
        <f>IFERROR(1/J40*(Y40/H40),"0")</f>
        <v>0.328125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160</v>
      </c>
      <c r="Y41" s="544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60.74074074074074</v>
      </c>
      <c r="Y43" s="545">
        <f>IFERROR(Y40/H40,"0")+IFERROR(Y41/H41,"0")+IFERROR(Y42/H42,"0")</f>
        <v>61</v>
      </c>
      <c r="Z43" s="545">
        <f>IFERROR(IF(Z40="",0,Z40),"0")+IFERROR(IF(Z41="",0,Z41),"0")+IFERROR(IF(Z42="",0,Z42),"0")</f>
        <v>0.75937999999999994</v>
      </c>
      <c r="AA43" s="546"/>
      <c r="AB43" s="546"/>
      <c r="AC43" s="546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384</v>
      </c>
      <c r="Y44" s="545">
        <f>IFERROR(SUM(Y40:Y42),"0")</f>
        <v>386.8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32</v>
      </c>
      <c r="Y52" s="544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33.214814814814815</v>
      </c>
      <c r="BN52" s="64">
        <f t="shared" si="2"/>
        <v>33.630000000000003</v>
      </c>
      <c r="BO52" s="64">
        <f t="shared" si="3"/>
        <v>4.6296296296296294E-2</v>
      </c>
      <c r="BP52" s="64">
        <f t="shared" si="4"/>
        <v>4.6875000000000007E-2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315</v>
      </c>
      <c r="Y56" s="544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72.962962962962962</v>
      </c>
      <c r="Y57" s="545">
        <f>IFERROR(Y51/H51,"0")+IFERROR(Y52/H52,"0")+IFERROR(Y53/H53,"0")+IFERROR(Y54/H54,"0")+IFERROR(Y55/H55,"0")+IFERROR(Y56/H56,"0")</f>
        <v>73</v>
      </c>
      <c r="Z57" s="545">
        <f>IFERROR(IF(Z51="",0,Z51),"0")+IFERROR(IF(Z52="",0,Z52),"0")+IFERROR(IF(Z53="",0,Z53),"0")+IFERROR(IF(Z54="",0,Z54),"0")+IFERROR(IF(Z55="",0,Z55),"0")+IFERROR(IF(Z56="",0,Z56),"0")</f>
        <v>0.68833999999999995</v>
      </c>
      <c r="AA57" s="546"/>
      <c r="AB57" s="546"/>
      <c r="AC57" s="546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347</v>
      </c>
      <c r="Y58" s="545">
        <f>IFERROR(SUM(Y51:Y56),"0")</f>
        <v>347.4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225</v>
      </c>
      <c r="Y62" s="544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83.333333333333329</v>
      </c>
      <c r="Y63" s="545">
        <f>IFERROR(Y60/H60,"0")+IFERROR(Y61/H61,"0")+IFERROR(Y62/H62,"0")</f>
        <v>84</v>
      </c>
      <c r="Z63" s="545">
        <f>IFERROR(IF(Z60="",0,Z60),"0")+IFERROR(IF(Z61="",0,Z61),"0")+IFERROR(IF(Z62="",0,Z62),"0")</f>
        <v>0.54683999999999999</v>
      </c>
      <c r="AA63" s="546"/>
      <c r="AB63" s="546"/>
      <c r="AC63" s="546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225</v>
      </c>
      <c r="Y64" s="545">
        <f>IFERROR(SUM(Y60:Y62),"0")</f>
        <v>226.8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146</v>
      </c>
      <c r="Y87" s="544">
        <f>IFERROR(IF(X87="",0,CEILING((X87/$H87),1)*$H87),"")</f>
        <v>148.5</v>
      </c>
      <c r="Z87" s="36">
        <f>IFERROR(IF(Y87=0,"",ROUNDUP(Y87/H87,0)*0.00902),"")</f>
        <v>0.29766000000000004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152.16444444444446</v>
      </c>
      <c r="BN87" s="64">
        <f>IFERROR(Y87*I87/H87,"0")</f>
        <v>154.77000000000001</v>
      </c>
      <c r="BO87" s="64">
        <f>IFERROR(1/J87*(X87/H87),"0")</f>
        <v>0.24579124579124578</v>
      </c>
      <c r="BP87" s="64">
        <f>IFERROR(1/J87*(Y87/H87),"0")</f>
        <v>0.25</v>
      </c>
    </row>
    <row r="88" spans="1:68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32.444444444444443</v>
      </c>
      <c r="Y88" s="545">
        <f>IFERROR(Y85/H85,"0")+IFERROR(Y86/H86,"0")+IFERROR(Y87/H87,"0")</f>
        <v>33</v>
      </c>
      <c r="Z88" s="545">
        <f>IFERROR(IF(Z85="",0,Z85),"0")+IFERROR(IF(Z86="",0,Z86),"0")+IFERROR(IF(Z87="",0,Z87),"0")</f>
        <v>0.29766000000000004</v>
      </c>
      <c r="AA88" s="546"/>
      <c r="AB88" s="546"/>
      <c r="AC88" s="546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146</v>
      </c>
      <c r="Y89" s="545">
        <f>IFERROR(SUM(Y85:Y87),"0")</f>
        <v>148.5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97</v>
      </c>
      <c r="Y93" s="544">
        <f>IFERROR(IF(X93="",0,CEILING((X93/$H93),1)*$H93),"")</f>
        <v>97.2</v>
      </c>
      <c r="Z93" s="36">
        <f>IFERROR(IF(Y93=0,"",ROUNDUP(Y93/H93,0)*0.00651),"")</f>
        <v>0.23436000000000001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106.05333333333333</v>
      </c>
      <c r="BN93" s="64">
        <f>IFERROR(Y93*I93/H93,"0")</f>
        <v>106.27199999999999</v>
      </c>
      <c r="BO93" s="64">
        <f>IFERROR(1/J93*(X93/H93),"0")</f>
        <v>0.1973951973951974</v>
      </c>
      <c r="BP93" s="64">
        <f>IFERROR(1/J93*(Y93/H93),"0")</f>
        <v>0.19780219780219782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40</v>
      </c>
      <c r="Y94" s="544">
        <f>IFERROR(IF(X94="",0,CEILING((X94/$H94),1)*$H94),"")</f>
        <v>41.58</v>
      </c>
      <c r="Z94" s="36">
        <f>IFERROR(IF(Y94=0,"",ROUNDUP(Y94/H94,0)*0.00651),"")</f>
        <v>0.13671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45.212121212121211</v>
      </c>
      <c r="BN94" s="64">
        <f>IFERROR(Y94*I94/H94,"0")</f>
        <v>46.997999999999998</v>
      </c>
      <c r="BO94" s="64">
        <f>IFERROR(1/J94*(X94/H94),"0")</f>
        <v>0.11100011100011101</v>
      </c>
      <c r="BP94" s="64">
        <f>IFERROR(1/J94*(Y94/H94),"0")</f>
        <v>0.11538461538461539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56.127946127946124</v>
      </c>
      <c r="Y95" s="545">
        <f>IFERROR(Y91/H91,"0")+IFERROR(Y92/H92,"0")+IFERROR(Y93/H93,"0")+IFERROR(Y94/H94,"0")</f>
        <v>57</v>
      </c>
      <c r="Z95" s="545">
        <f>IFERROR(IF(Z91="",0,Z91),"0")+IFERROR(IF(Z92="",0,Z92),"0")+IFERROR(IF(Z93="",0,Z93),"0")+IFERROR(IF(Z94="",0,Z94),"0")</f>
        <v>0.37107000000000001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137</v>
      </c>
      <c r="Y96" s="545">
        <f>IFERROR(SUM(Y91:Y94),"0")</f>
        <v>138.78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4</v>
      </c>
      <c r="Y99" s="544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4.1518518518518519</v>
      </c>
      <c r="BN99" s="64">
        <f>IFERROR(Y99*I99/H99,"0")</f>
        <v>11.21</v>
      </c>
      <c r="BO99" s="64">
        <f>IFERROR(1/J99*(X99/H99),"0")</f>
        <v>5.7870370370370367E-3</v>
      </c>
      <c r="BP99" s="64">
        <f>IFERROR(1/J99*(Y99/H99),"0")</f>
        <v>1.5625E-2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82</v>
      </c>
      <c r="Y100" s="544">
        <f>IFERROR(IF(X100="",0,CEILING((X100/$H100),1)*$H100),"")</f>
        <v>82.5</v>
      </c>
      <c r="Z100" s="36">
        <f>IFERROR(IF(Y100=0,"",ROUNDUP(Y100/H100,0)*0.00902),"")</f>
        <v>0.19844000000000001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86.154666666666657</v>
      </c>
      <c r="BN100" s="64">
        <f>IFERROR(Y100*I100/H100,"0")</f>
        <v>86.68</v>
      </c>
      <c r="BO100" s="64">
        <f>IFERROR(1/J100*(X100/H100),"0")</f>
        <v>0.16565656565656567</v>
      </c>
      <c r="BP100" s="64">
        <f>IFERROR(1/J100*(Y100/H100),"0")</f>
        <v>0.16666666666666669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103</v>
      </c>
      <c r="Y101" s="544">
        <f>IFERROR(IF(X101="",0,CEILING((X101/$H101),1)*$H101),"")</f>
        <v>103.5</v>
      </c>
      <c r="Z101" s="36">
        <f>IFERROR(IF(Y101=0,"",ROUNDUP(Y101/H101,0)*0.00902),"")</f>
        <v>0.20746000000000001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107.34888888888889</v>
      </c>
      <c r="BN101" s="64">
        <f>IFERROR(Y101*I101/H101,"0")</f>
        <v>107.87</v>
      </c>
      <c r="BO101" s="64">
        <f>IFERROR(1/J101*(X101/H101),"0")</f>
        <v>0.17340067340067342</v>
      </c>
      <c r="BP101" s="64">
        <f>IFERROR(1/J101*(Y101/H101),"0")</f>
        <v>0.17424242424242425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45.125925925925927</v>
      </c>
      <c r="Y103" s="545">
        <f>IFERROR(Y99/H99,"0")+IFERROR(Y100/H100,"0")+IFERROR(Y101/H101,"0")+IFERROR(Y102/H102,"0")</f>
        <v>46</v>
      </c>
      <c r="Z103" s="545">
        <f>IFERROR(IF(Z99="",0,Z99),"0")+IFERROR(IF(Z100="",0,Z100),"0")+IFERROR(IF(Z101="",0,Z101),"0")+IFERROR(IF(Z102="",0,Z102),"0")</f>
        <v>0.42488000000000004</v>
      </c>
      <c r="AA103" s="546"/>
      <c r="AB103" s="546"/>
      <c r="AC103" s="546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189</v>
      </c>
      <c r="Y104" s="545">
        <f>IFERROR(SUM(Y99:Y102),"0")</f>
        <v>196.8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96</v>
      </c>
      <c r="Y113" s="544">
        <f>IFERROR(IF(X113="",0,CEILING((X113/$H113),1)*$H113),"")</f>
        <v>97.02</v>
      </c>
      <c r="Z113" s="36">
        <f>IFERROR(IF(Y113=0,"",ROUNDUP(Y113/H113,0)*0.00651),"")</f>
        <v>0.31899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107.92727272727272</v>
      </c>
      <c r="BN113" s="64">
        <f>IFERROR(Y113*I113/H113,"0")</f>
        <v>109.074</v>
      </c>
      <c r="BO113" s="64">
        <f>IFERROR(1/J113*(X113/H113),"0")</f>
        <v>0.26640026640026643</v>
      </c>
      <c r="BP113" s="64">
        <f>IFERROR(1/J113*(Y113/H113),"0")</f>
        <v>0.26923076923076927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60</v>
      </c>
      <c r="Y114" s="544">
        <f>IFERROR(IF(X114="",0,CEILING((X114/$H114),1)*$H114),"")</f>
        <v>62.1</v>
      </c>
      <c r="Z114" s="36">
        <f>IFERROR(IF(Y114=0,"",ROUNDUP(Y114/H114,0)*0.00651),"")</f>
        <v>0.14973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65.599999999999994</v>
      </c>
      <c r="BN114" s="64">
        <f>IFERROR(Y114*I114/H114,"0")</f>
        <v>67.896000000000001</v>
      </c>
      <c r="BO114" s="64">
        <f>IFERROR(1/J114*(X114/H114),"0")</f>
        <v>0.12210012210012211</v>
      </c>
      <c r="BP114" s="64">
        <f>IFERROR(1/J114*(Y114/H114),"0")</f>
        <v>0.1263736263736264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70.707070707070699</v>
      </c>
      <c r="Y116" s="545">
        <f>IFERROR(Y112/H112,"0")+IFERROR(Y113/H113,"0")+IFERROR(Y114/H114,"0")+IFERROR(Y115/H115,"0")</f>
        <v>72</v>
      </c>
      <c r="Z116" s="545">
        <f>IFERROR(IF(Z112="",0,Z112),"0")+IFERROR(IF(Z113="",0,Z113),"0")+IFERROR(IF(Z114="",0,Z114),"0")+IFERROR(IF(Z115="",0,Z115),"0")</f>
        <v>0.46872000000000003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156</v>
      </c>
      <c r="Y117" s="545">
        <f>IFERROR(SUM(Y112:Y115),"0")</f>
        <v>159.12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55</v>
      </c>
      <c r="Y124" s="544">
        <f>IFERROR(IF(X124="",0,CEILING((X124/$H124),1)*$H124),"")</f>
        <v>57.6</v>
      </c>
      <c r="Z124" s="36">
        <f>IFERROR(IF(Y124=0,"",ROUNDUP(Y124/H124,0)*0.00651),"")</f>
        <v>0.11718000000000001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58.09375</v>
      </c>
      <c r="BN124" s="64">
        <f>IFERROR(Y124*I124/H124,"0")</f>
        <v>60.839999999999996</v>
      </c>
      <c r="BO124" s="64">
        <f>IFERROR(1/J124*(X124/H124),"0")</f>
        <v>9.4436813186813198E-2</v>
      </c>
      <c r="BP124" s="64">
        <f>IFERROR(1/J124*(Y124/H124),"0")</f>
        <v>9.8901098901098911E-2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17.1875</v>
      </c>
      <c r="Y126" s="545">
        <f>IFERROR(Y124/H124,"0")+IFERROR(Y125/H125,"0")</f>
        <v>18</v>
      </c>
      <c r="Z126" s="545">
        <f>IFERROR(IF(Z124="",0,Z124),"0")+IFERROR(IF(Z125="",0,Z125),"0")</f>
        <v>0.11718000000000001</v>
      </c>
      <c r="AA126" s="546"/>
      <c r="AB126" s="546"/>
      <c r="AC126" s="546"/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55</v>
      </c>
      <c r="Y127" s="545">
        <f>IFERROR(SUM(Y124:Y125),"0")</f>
        <v>57.6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37</v>
      </c>
      <c r="Y130" s="544">
        <f>IFERROR(IF(X130="",0,CEILING((X130/$H130),1)*$H130),"")</f>
        <v>39.199999999999996</v>
      </c>
      <c r="Z130" s="36">
        <f>IFERROR(IF(Y130=0,"",ROUNDUP(Y130/H130,0)*0.00651),"")</f>
        <v>9.1139999999999999E-2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40.541428571428575</v>
      </c>
      <c r="BN130" s="64">
        <f>IFERROR(Y130*I130/H130,"0")</f>
        <v>42.951999999999998</v>
      </c>
      <c r="BO130" s="64">
        <f>IFERROR(1/J130*(X130/H130),"0")</f>
        <v>7.2605965463108338E-2</v>
      </c>
      <c r="BP130" s="64">
        <f>IFERROR(1/J130*(Y130/H130),"0")</f>
        <v>7.6923076923076927E-2</v>
      </c>
    </row>
    <row r="131" spans="1:68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13.214285714285715</v>
      </c>
      <c r="Y131" s="545">
        <f>IFERROR(Y129/H129,"0")+IFERROR(Y130/H130,"0")</f>
        <v>14</v>
      </c>
      <c r="Z131" s="545">
        <f>IFERROR(IF(Z129="",0,Z129),"0")+IFERROR(IF(Z130="",0,Z130),"0")</f>
        <v>9.1139999999999999E-2</v>
      </c>
      <c r="AA131" s="546"/>
      <c r="AB131" s="546"/>
      <c r="AC131" s="546"/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37</v>
      </c>
      <c r="Y132" s="545">
        <f>IFERROR(SUM(Y129:Y130),"0")</f>
        <v>39.199999999999996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43</v>
      </c>
      <c r="Y135" s="544">
        <f>IFERROR(IF(X135="",0,CEILING((X135/$H135),1)*$H135),"")</f>
        <v>44.88</v>
      </c>
      <c r="Z135" s="36">
        <f>IFERROR(IF(Y135=0,"",ROUNDUP(Y135/H135,0)*0.00651),"")</f>
        <v>0.11067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47.36515151515151</v>
      </c>
      <c r="BN135" s="64">
        <f>IFERROR(Y135*I135/H135,"0")</f>
        <v>49.436</v>
      </c>
      <c r="BO135" s="64">
        <f>IFERROR(1/J135*(X135/H135),"0")</f>
        <v>8.9493839493839489E-2</v>
      </c>
      <c r="BP135" s="64">
        <f>IFERROR(1/J135*(Y135/H135),"0")</f>
        <v>9.3406593406593408E-2</v>
      </c>
    </row>
    <row r="136" spans="1:68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16.287878787878785</v>
      </c>
      <c r="Y136" s="545">
        <f>IFERROR(Y134/H134,"0")+IFERROR(Y135/H135,"0")</f>
        <v>17</v>
      </c>
      <c r="Z136" s="545">
        <f>IFERROR(IF(Z134="",0,Z134),"0")+IFERROR(IF(Z135="",0,Z135),"0")</f>
        <v>0.11067</v>
      </c>
      <c r="AA136" s="546"/>
      <c r="AB136" s="546"/>
      <c r="AC136" s="546"/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43</v>
      </c>
      <c r="Y137" s="545">
        <f>IFERROR(SUM(Y134:Y135),"0")</f>
        <v>44.88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120</v>
      </c>
      <c r="Y141" s="544">
        <f>IFERROR(IF(X141="",0,CEILING((X141/$H141),1)*$H141),"")</f>
        <v>120</v>
      </c>
      <c r="Z141" s="36">
        <f>IFERROR(IF(Y141=0,"",ROUNDUP(Y141/H141,0)*0.00902),"")</f>
        <v>0.27060000000000001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125.70000000000002</v>
      </c>
      <c r="BN141" s="64">
        <f>IFERROR(Y141*I141/H141,"0")</f>
        <v>125.70000000000002</v>
      </c>
      <c r="BO141" s="64">
        <f>IFERROR(1/J141*(X141/H141),"0")</f>
        <v>0.22727272727272729</v>
      </c>
      <c r="BP141" s="64">
        <f>IFERROR(1/J141*(Y141/H141),"0")</f>
        <v>0.22727272727272729</v>
      </c>
    </row>
    <row r="142" spans="1:68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30</v>
      </c>
      <c r="Y142" s="545">
        <f>IFERROR(Y140/H140,"0")+IFERROR(Y141/H141,"0")</f>
        <v>30</v>
      </c>
      <c r="Z142" s="545">
        <f>IFERROR(IF(Z140="",0,Z140),"0")+IFERROR(IF(Z141="",0,Z141),"0")</f>
        <v>0.27060000000000001</v>
      </c>
      <c r="AA142" s="546"/>
      <c r="AB142" s="546"/>
      <c r="AC142" s="546"/>
    </row>
    <row r="143" spans="1:68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120</v>
      </c>
      <c r="Y143" s="545">
        <f>IFERROR(SUM(Y140:Y141),"0")</f>
        <v>120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30</v>
      </c>
      <c r="Y145" s="544">
        <f>IFERROR(IF(X145="",0,CEILING((X145/$H145),1)*$H145),"")</f>
        <v>36</v>
      </c>
      <c r="Z145" s="36">
        <f>IFERROR(IF(Y145=0,"",ROUNDUP(Y145/H145,0)*0.01898),"")</f>
        <v>7.5920000000000001E-2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31.866666666666667</v>
      </c>
      <c r="BN145" s="64">
        <f>IFERROR(Y145*I145/H145,"0")</f>
        <v>38.24</v>
      </c>
      <c r="BO145" s="64">
        <f>IFERROR(1/J145*(X145/H145),"0")</f>
        <v>5.2083333333333336E-2</v>
      </c>
      <c r="BP145" s="64">
        <f>IFERROR(1/J145*(Y145/H145),"0")</f>
        <v>6.25E-2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3.3333333333333335</v>
      </c>
      <c r="Y148" s="545">
        <f>IFERROR(Y145/H145,"0")+IFERROR(Y146/H146,"0")+IFERROR(Y147/H147,"0")</f>
        <v>4</v>
      </c>
      <c r="Z148" s="545">
        <f>IFERROR(IF(Z145="",0,Z145),"0")+IFERROR(IF(Z146="",0,Z146),"0")+IFERROR(IF(Z147="",0,Z147),"0")</f>
        <v>7.5920000000000001E-2</v>
      </c>
      <c r="AA148" s="546"/>
      <c r="AB148" s="546"/>
      <c r="AC148" s="546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30</v>
      </c>
      <c r="Y149" s="545">
        <f>IFERROR(SUM(Y145:Y147),"0")</f>
        <v>36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139</v>
      </c>
      <c r="Y163" s="544">
        <f t="shared" si="5"/>
        <v>142.80000000000001</v>
      </c>
      <c r="Z163" s="36">
        <f>IFERROR(IF(Y163=0,"",ROUNDUP(Y163/H163,0)*0.00902),"")</f>
        <v>0.30668000000000001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145.28809523809522</v>
      </c>
      <c r="BN163" s="64">
        <f t="shared" si="7"/>
        <v>149.26000000000002</v>
      </c>
      <c r="BO163" s="64">
        <f t="shared" si="8"/>
        <v>0.25072150072150073</v>
      </c>
      <c r="BP163" s="64">
        <f t="shared" si="9"/>
        <v>0.25757575757575757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83</v>
      </c>
      <c r="Y164" s="544">
        <f t="shared" si="5"/>
        <v>84</v>
      </c>
      <c r="Z164" s="36">
        <f>IFERROR(IF(Y164=0,"",ROUNDUP(Y164/H164,0)*0.00502),"")</f>
        <v>0.20080000000000001</v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88.138095238095232</v>
      </c>
      <c r="BN164" s="64">
        <f t="shared" si="7"/>
        <v>89.199999999999989</v>
      </c>
      <c r="BO164" s="64">
        <f t="shared" si="8"/>
        <v>0.16890516890516893</v>
      </c>
      <c r="BP164" s="64">
        <f t="shared" si="9"/>
        <v>0.17094017094017094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94</v>
      </c>
      <c r="Y166" s="544">
        <f t="shared" si="5"/>
        <v>94.5</v>
      </c>
      <c r="Z166" s="36">
        <f>IFERROR(IF(Y166=0,"",ROUNDUP(Y166/H166,0)*0.00502),"")</f>
        <v>0.22590000000000002</v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99.819047619047623</v>
      </c>
      <c r="BN166" s="64">
        <f t="shared" si="7"/>
        <v>100.35</v>
      </c>
      <c r="BO166" s="64">
        <f t="shared" si="8"/>
        <v>0.19129019129019129</v>
      </c>
      <c r="BP166" s="64">
        <f t="shared" si="9"/>
        <v>0.19230769230769232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221</v>
      </c>
      <c r="Y168" s="544">
        <f t="shared" si="5"/>
        <v>222.60000000000002</v>
      </c>
      <c r="Z168" s="36">
        <f>IFERROR(IF(Y168=0,"",ROUNDUP(Y168/H168,0)*0.00502),"")</f>
        <v>0.53212000000000004</v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231.52380952380955</v>
      </c>
      <c r="BN168" s="64">
        <f t="shared" si="7"/>
        <v>233.20000000000002</v>
      </c>
      <c r="BO168" s="64">
        <f t="shared" si="8"/>
        <v>0.44973544973544971</v>
      </c>
      <c r="BP168" s="64">
        <f t="shared" si="9"/>
        <v>0.45299145299145305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222.61904761904759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225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1.2655000000000001</v>
      </c>
      <c r="AA171" s="546"/>
      <c r="AB171" s="546"/>
      <c r="AC171" s="546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537</v>
      </c>
      <c r="Y172" s="545">
        <f>IFERROR(SUM(Y161:Y170),"0")</f>
        <v>543.90000000000009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7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2.5720164609053495E-2</v>
      </c>
      <c r="BP175" s="64">
        <f>IFERROR(1/J175*(Y175/H175),"0")</f>
        <v>2.7777777777777776E-2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5.5555555555555554</v>
      </c>
      <c r="Y177" s="545">
        <f>IFERROR(Y174/H174,"0")+IFERROR(Y175/H175,"0")+IFERROR(Y176/H176,"0")</f>
        <v>6</v>
      </c>
      <c r="Z177" s="545">
        <f>IFERROR(IF(Z174="",0,Z174),"0")+IFERROR(IF(Z175="",0,Z175),"0")+IFERROR(IF(Z176="",0,Z176),"0")</f>
        <v>3.5400000000000001E-2</v>
      </c>
      <c r="AA177" s="546"/>
      <c r="AB177" s="546"/>
      <c r="AC177" s="546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7</v>
      </c>
      <c r="Y178" s="545">
        <f>IFERROR(SUM(Y174:Y176),"0")</f>
        <v>7.5600000000000005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4</v>
      </c>
      <c r="Y180" s="544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3.1746031746031744</v>
      </c>
      <c r="Y181" s="545">
        <f>IFERROR(Y180/H180,"0")</f>
        <v>4</v>
      </c>
      <c r="Z181" s="545">
        <f>IFERROR(IF(Z180="",0,Z180),"0")</f>
        <v>2.3599999999999999E-2</v>
      </c>
      <c r="AA181" s="546"/>
      <c r="AB181" s="546"/>
      <c r="AC181" s="546"/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4</v>
      </c>
      <c r="Y182" s="545">
        <f>IFERROR(SUM(Y180:Y180),"0")</f>
        <v>5.04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11</v>
      </c>
      <c r="Y197" s="544">
        <f t="shared" si="10"/>
        <v>16.200000000000003</v>
      </c>
      <c r="Z197" s="36">
        <f>IFERROR(IF(Y197=0,"",ROUNDUP(Y197/H197,0)*0.00902),"")</f>
        <v>2.7060000000000001E-2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11.387037037037036</v>
      </c>
      <c r="BN197" s="64">
        <f t="shared" si="12"/>
        <v>16.77</v>
      </c>
      <c r="BO197" s="64">
        <f t="shared" si="13"/>
        <v>1.5432098765432098E-2</v>
      </c>
      <c r="BP197" s="64">
        <f t="shared" si="14"/>
        <v>2.2727272727272731E-2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56</v>
      </c>
      <c r="Y199" s="544">
        <f t="shared" si="10"/>
        <v>57.6</v>
      </c>
      <c r="Z199" s="36">
        <f>IFERROR(IF(Y199=0,"",ROUNDUP(Y199/H199,0)*0.00502),"")</f>
        <v>0.16064000000000001</v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60.044444444444444</v>
      </c>
      <c r="BN199" s="64">
        <f t="shared" si="12"/>
        <v>61.759999999999991</v>
      </c>
      <c r="BO199" s="64">
        <f t="shared" si="13"/>
        <v>0.13295346628679963</v>
      </c>
      <c r="BP199" s="64">
        <f t="shared" si="14"/>
        <v>0.13675213675213677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46</v>
      </c>
      <c r="Y202" s="544">
        <f t="shared" si="10"/>
        <v>46.800000000000004</v>
      </c>
      <c r="Z202" s="36">
        <f>IFERROR(IF(Y202=0,"",ROUNDUP(Y202/H202,0)*0.00502),"")</f>
        <v>0.13052</v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48.55555555555555</v>
      </c>
      <c r="BN202" s="64">
        <f t="shared" si="12"/>
        <v>49.4</v>
      </c>
      <c r="BO202" s="64">
        <f t="shared" si="13"/>
        <v>0.10921177587844255</v>
      </c>
      <c r="BP202" s="64">
        <f t="shared" si="14"/>
        <v>0.11111111111111112</v>
      </c>
    </row>
    <row r="203" spans="1:68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58.703703703703695</v>
      </c>
      <c r="Y203" s="545">
        <f>IFERROR(Y195/H195,"0")+IFERROR(Y196/H196,"0")+IFERROR(Y197/H197,"0")+IFERROR(Y198/H198,"0")+IFERROR(Y199/H199,"0")+IFERROR(Y200/H200,"0")+IFERROR(Y201/H201,"0")+IFERROR(Y202/H202,"0")</f>
        <v>61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0.31822</v>
      </c>
      <c r="AA203" s="546"/>
      <c r="AB203" s="546"/>
      <c r="AC203" s="546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113</v>
      </c>
      <c r="Y204" s="545">
        <f>IFERROR(SUM(Y195:Y202),"0")</f>
        <v>120.60000000000002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95</v>
      </c>
      <c r="Y209" s="544">
        <f t="shared" si="15"/>
        <v>96</v>
      </c>
      <c r="Z209" s="36">
        <f t="shared" ref="Z209:Z214" si="20">IFERROR(IF(Y209=0,"",ROUNDUP(Y209/H209,0)*0.00651),"")</f>
        <v>0.26040000000000002</v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105.6875</v>
      </c>
      <c r="BN209" s="64">
        <f t="shared" si="17"/>
        <v>106.8</v>
      </c>
      <c r="BO209" s="64">
        <f t="shared" si="18"/>
        <v>0.21749084249084252</v>
      </c>
      <c r="BP209" s="64">
        <f t="shared" si="19"/>
        <v>0.2197802197802198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84</v>
      </c>
      <c r="Y211" s="544">
        <f t="shared" si="15"/>
        <v>84</v>
      </c>
      <c r="Z211" s="36">
        <f t="shared" si="20"/>
        <v>0.22785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92.820000000000007</v>
      </c>
      <c r="BN211" s="64">
        <f t="shared" si="17"/>
        <v>92.820000000000007</v>
      </c>
      <c r="BO211" s="64">
        <f t="shared" si="18"/>
        <v>0.19230769230769232</v>
      </c>
      <c r="BP211" s="64">
        <f t="shared" si="19"/>
        <v>0.19230769230769232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81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89.50500000000001</v>
      </c>
      <c r="BN212" s="64">
        <f t="shared" si="17"/>
        <v>90.168000000000006</v>
      </c>
      <c r="BO212" s="64">
        <f t="shared" si="18"/>
        <v>0.18543956043956045</v>
      </c>
      <c r="BP212" s="64">
        <f t="shared" si="19"/>
        <v>0.18681318681318682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39</v>
      </c>
      <c r="Y214" s="544">
        <f t="shared" si="15"/>
        <v>40.799999999999997</v>
      </c>
      <c r="Z214" s="36">
        <f t="shared" si="20"/>
        <v>0.11067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43.192499999999995</v>
      </c>
      <c r="BN214" s="64">
        <f t="shared" si="17"/>
        <v>45.185999999999993</v>
      </c>
      <c r="BO214" s="64">
        <f t="shared" si="18"/>
        <v>8.9285714285714288E-2</v>
      </c>
      <c r="BP214" s="64">
        <f t="shared" si="19"/>
        <v>9.3406593406593408E-2</v>
      </c>
    </row>
    <row r="215" spans="1:68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124.58333333333334</v>
      </c>
      <c r="Y215" s="545">
        <f>IFERROR(Y206/H206,"0")+IFERROR(Y207/H207,"0")+IFERROR(Y208/H208,"0")+IFERROR(Y209/H209,"0")+IFERROR(Y210/H210,"0")+IFERROR(Y211/H211,"0")+IFERROR(Y212/H212,"0")+IFERROR(Y213/H213,"0")+IFERROR(Y214/H214,"0")</f>
        <v>126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0.8202600000000001</v>
      </c>
      <c r="AA215" s="546"/>
      <c r="AB215" s="546"/>
      <c r="AC215" s="546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299</v>
      </c>
      <c r="Y216" s="545">
        <f>IFERROR(SUM(Y206:Y214),"0")</f>
        <v>302.40000000000003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2</v>
      </c>
      <c r="Y248" s="544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2.0202020202020203</v>
      </c>
      <c r="Y250" s="545">
        <f>IFERROR(Y245/H245,"0")+IFERROR(Y246/H246,"0")+IFERROR(Y247/H247,"0")+IFERROR(Y248/H248,"0")+IFERROR(Y249/H249,"0")</f>
        <v>2.9999999999999996</v>
      </c>
      <c r="Z250" s="545">
        <f>IFERROR(IF(Z245="",0,Z245),"0")+IFERROR(IF(Z246="",0,Z246),"0")+IFERROR(IF(Z247="",0,Z247),"0")+IFERROR(IF(Z248="",0,Z248),"0")+IFERROR(IF(Z249="",0,Z249),"0")</f>
        <v>1.77E-2</v>
      </c>
      <c r="AA250" s="546"/>
      <c r="AB250" s="546"/>
      <c r="AC250" s="546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2</v>
      </c>
      <c r="Y251" s="545">
        <f>IFERROR(SUM(Y245:Y249),"0")</f>
        <v>2.9699999999999998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150</v>
      </c>
      <c r="Y254" s="544">
        <f>IFERROR(IF(X254="",0,CEILING((X254/$H254),1)*$H254),"")</f>
        <v>151.20000000000002</v>
      </c>
      <c r="Z254" s="36">
        <f>IFERROR(IF(Y254=0,"",ROUNDUP(Y254/H254,0)*0.01898),"")</f>
        <v>0.26572000000000001</v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155.69444444444446</v>
      </c>
      <c r="BN254" s="64">
        <f>IFERROR(Y254*I254/H254,"0")</f>
        <v>156.94</v>
      </c>
      <c r="BO254" s="64">
        <f>IFERROR(1/J254*(X254/H254),"0")</f>
        <v>0.21701388888888887</v>
      </c>
      <c r="BP254" s="64">
        <f>IFERROR(1/J254*(Y254/H254),"0")</f>
        <v>0.21875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200</v>
      </c>
      <c r="Y256" s="544">
        <f>IFERROR(IF(X256="",0,CEILING((X256/$H256),1)*$H256),"")</f>
        <v>205.20000000000002</v>
      </c>
      <c r="Z256" s="36">
        <f>IFERROR(IF(Y256=0,"",ROUNDUP(Y256/H256,0)*0.01898),"")</f>
        <v>0.36062</v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207.59259259259258</v>
      </c>
      <c r="BN256" s="64">
        <f>IFERROR(Y256*I256/H256,"0")</f>
        <v>212.99</v>
      </c>
      <c r="BO256" s="64">
        <f>IFERROR(1/J256*(X256/H256),"0")</f>
        <v>0.28935185185185186</v>
      </c>
      <c r="BP256" s="64">
        <f>IFERROR(1/J256*(Y256/H256),"0")</f>
        <v>0.296875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32.407407407407405</v>
      </c>
      <c r="Y259" s="545">
        <f>IFERROR(Y254/H254,"0")+IFERROR(Y255/H255,"0")+IFERROR(Y256/H256,"0")+IFERROR(Y257/H257,"0")+IFERROR(Y258/H258,"0")</f>
        <v>33</v>
      </c>
      <c r="Z259" s="545">
        <f>IFERROR(IF(Z254="",0,Z254),"0")+IFERROR(IF(Z255="",0,Z255),"0")+IFERROR(IF(Z256="",0,Z256),"0")+IFERROR(IF(Z257="",0,Z257),"0")+IFERROR(IF(Z258="",0,Z258),"0")</f>
        <v>0.62634000000000001</v>
      </c>
      <c r="AA259" s="546"/>
      <c r="AB259" s="546"/>
      <c r="AC259" s="546"/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350</v>
      </c>
      <c r="Y260" s="545">
        <f>IFERROR(SUM(Y254:Y258),"0")</f>
        <v>356.40000000000003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3</v>
      </c>
      <c r="Y272" s="544">
        <f>IFERROR(IF(X272="",0,CEILING((X272/$H272),1)*$H272),"")</f>
        <v>4.8</v>
      </c>
      <c r="Z272" s="36">
        <f>IFERROR(IF(Y272=0,"",ROUNDUP(Y272/H272,0)*0.00651),"")</f>
        <v>1.302E-2</v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3.3150000000000004</v>
      </c>
      <c r="BN272" s="64">
        <f>IFERROR(Y272*I272/H272,"0")</f>
        <v>5.3040000000000003</v>
      </c>
      <c r="BO272" s="64">
        <f>IFERROR(1/J272*(X272/H272),"0")</f>
        <v>6.8681318681318689E-3</v>
      </c>
      <c r="BP272" s="64">
        <f>IFERROR(1/J272*(Y272/H272),"0")</f>
        <v>1.098901098901099E-2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20</v>
      </c>
      <c r="Y273" s="544">
        <f>IFERROR(IF(X273="",0,CEILING((X273/$H273),1)*$H273),"")</f>
        <v>21.599999999999998</v>
      </c>
      <c r="Z273" s="36">
        <f>IFERROR(IF(Y273=0,"",ROUNDUP(Y273/H273,0)*0.00651),"")</f>
        <v>5.8590000000000003E-2</v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21.5</v>
      </c>
      <c r="BN273" s="64">
        <f>IFERROR(Y273*I273/H273,"0")</f>
        <v>23.22</v>
      </c>
      <c r="BO273" s="64">
        <f>IFERROR(1/J273*(X273/H273),"0")</f>
        <v>4.5787545787545791E-2</v>
      </c>
      <c r="BP273" s="64">
        <f>IFERROR(1/J273*(Y273/H273),"0")</f>
        <v>4.9450549450549455E-2</v>
      </c>
    </row>
    <row r="274" spans="1:68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9.5833333333333339</v>
      </c>
      <c r="Y274" s="545">
        <f>IFERROR(Y271/H271,"0")+IFERROR(Y272/H272,"0")+IFERROR(Y273/H273,"0")</f>
        <v>11</v>
      </c>
      <c r="Z274" s="545">
        <f>IFERROR(IF(Z271="",0,Z271),"0")+IFERROR(IF(Z272="",0,Z272),"0")+IFERROR(IF(Z273="",0,Z273),"0")</f>
        <v>7.1610000000000007E-2</v>
      </c>
      <c r="AA274" s="546"/>
      <c r="AB274" s="546"/>
      <c r="AC274" s="546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23</v>
      </c>
      <c r="Y275" s="545">
        <f>IFERROR(SUM(Y271:Y273),"0")</f>
        <v>26.4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28</v>
      </c>
      <c r="Y290" s="544">
        <f t="shared" si="26"/>
        <v>32.400000000000006</v>
      </c>
      <c r="Z290" s="36">
        <f>IFERROR(IF(Y290=0,"",ROUNDUP(Y290/H290,0)*0.01898),"")</f>
        <v>5.6940000000000004E-2</v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29.06296296296296</v>
      </c>
      <c r="BN290" s="64">
        <f t="shared" si="28"/>
        <v>33.630000000000003</v>
      </c>
      <c r="BO290" s="64">
        <f t="shared" si="29"/>
        <v>4.0509259259259259E-2</v>
      </c>
      <c r="BP290" s="64">
        <f t="shared" si="30"/>
        <v>4.6875000000000007E-2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59</v>
      </c>
      <c r="Y291" s="544">
        <f t="shared" si="26"/>
        <v>64.800000000000011</v>
      </c>
      <c r="Z291" s="36">
        <f>IFERROR(IF(Y291=0,"",ROUNDUP(Y291/H291,0)*0.01898),"")</f>
        <v>0.11388000000000001</v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61.239814814814821</v>
      </c>
      <c r="BN291" s="64">
        <f t="shared" si="28"/>
        <v>67.260000000000005</v>
      </c>
      <c r="BO291" s="64">
        <f t="shared" si="29"/>
        <v>8.5358796296296294E-2</v>
      </c>
      <c r="BP291" s="64">
        <f t="shared" si="30"/>
        <v>9.3750000000000014E-2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438</v>
      </c>
      <c r="Y292" s="544">
        <f t="shared" si="26"/>
        <v>442.8</v>
      </c>
      <c r="Z292" s="36">
        <f>IFERROR(IF(Y292=0,"",ROUNDUP(Y292/H292,0)*0.01898),"")</f>
        <v>0.77817999999999998</v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454.62777777777779</v>
      </c>
      <c r="BN292" s="64">
        <f t="shared" si="28"/>
        <v>459.61</v>
      </c>
      <c r="BO292" s="64">
        <f t="shared" si="29"/>
        <v>0.63368055555555547</v>
      </c>
      <c r="BP292" s="64">
        <f t="shared" si="30"/>
        <v>0.640625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2</v>
      </c>
      <c r="Y294" s="544">
        <f t="shared" si="26"/>
        <v>4</v>
      </c>
      <c r="Z294" s="36">
        <f>IFERROR(IF(Y294=0,"",ROUNDUP(Y294/H294,0)*0.00902),"")</f>
        <v>9.0200000000000002E-3</v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2.0950000000000002</v>
      </c>
      <c r="BN294" s="64">
        <f t="shared" si="28"/>
        <v>4.1900000000000004</v>
      </c>
      <c r="BO294" s="64">
        <f t="shared" si="29"/>
        <v>3.787878787878788E-3</v>
      </c>
      <c r="BP294" s="64">
        <f t="shared" si="30"/>
        <v>7.575757575757576E-3</v>
      </c>
    </row>
    <row r="295" spans="1:68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49.111111111111107</v>
      </c>
      <c r="Y295" s="545">
        <f>IFERROR(Y289/H289,"0")+IFERROR(Y290/H290,"0")+IFERROR(Y291/H291,"0")+IFERROR(Y292/H292,"0")+IFERROR(Y293/H293,"0")+IFERROR(Y294/H294,"0")</f>
        <v>51</v>
      </c>
      <c r="Z295" s="545">
        <f>IFERROR(IF(Z289="",0,Z289),"0")+IFERROR(IF(Z290="",0,Z290),"0")+IFERROR(IF(Z291="",0,Z291),"0")+IFERROR(IF(Z292="",0,Z292),"0")+IFERROR(IF(Z293="",0,Z293),"0")+IFERROR(IF(Z294="",0,Z294),"0")</f>
        <v>0.95802000000000009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527</v>
      </c>
      <c r="Y296" s="545">
        <f>IFERROR(SUM(Y289:Y294),"0")</f>
        <v>544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131</v>
      </c>
      <c r="Y298" s="544">
        <f t="shared" ref="Y298:Y304" si="31">IFERROR(IF(X298="",0,CEILING((X298/$H298),1)*$H298),"")</f>
        <v>134.4</v>
      </c>
      <c r="Z298" s="36">
        <f>IFERROR(IF(Y298=0,"",ROUNDUP(Y298/H298,0)*0.00902),"")</f>
        <v>0.28864000000000001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138.79761904761907</v>
      </c>
      <c r="BN298" s="64">
        <f t="shared" ref="BN298:BN304" si="33">IFERROR(Y298*I298/H298,"0")</f>
        <v>142.4</v>
      </c>
      <c r="BO298" s="64">
        <f t="shared" ref="BO298:BO304" si="34">IFERROR(1/J298*(X298/H298),"0")</f>
        <v>0.2362914862914863</v>
      </c>
      <c r="BP298" s="64">
        <f t="shared" ref="BP298:BP304" si="35">IFERROR(1/J298*(Y298/H298),"0")</f>
        <v>0.24242424242424243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150</v>
      </c>
      <c r="Y299" s="544">
        <f t="shared" si="31"/>
        <v>151.20000000000002</v>
      </c>
      <c r="Z299" s="36">
        <f>IFERROR(IF(Y299=0,"",ROUNDUP(Y299/H299,0)*0.00902),"")</f>
        <v>0.32472000000000001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158.92857142857142</v>
      </c>
      <c r="BN299" s="64">
        <f t="shared" si="33"/>
        <v>160.20000000000002</v>
      </c>
      <c r="BO299" s="64">
        <f t="shared" si="34"/>
        <v>0.27056277056277056</v>
      </c>
      <c r="BP299" s="64">
        <f t="shared" si="35"/>
        <v>0.27272727272727271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42</v>
      </c>
      <c r="Y301" s="544">
        <f t="shared" si="31"/>
        <v>42</v>
      </c>
      <c r="Z301" s="36">
        <f>IFERROR(IF(Y301=0,"",ROUNDUP(Y301/H301,0)*0.00502),"")</f>
        <v>0.1004</v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44.599999999999994</v>
      </c>
      <c r="BN301" s="64">
        <f t="shared" si="33"/>
        <v>44.599999999999994</v>
      </c>
      <c r="BO301" s="64">
        <f t="shared" si="34"/>
        <v>8.5470085470085472E-2</v>
      </c>
      <c r="BP301" s="64">
        <f t="shared" si="35"/>
        <v>8.5470085470085472E-2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71</v>
      </c>
      <c r="Y302" s="544">
        <f t="shared" si="31"/>
        <v>71.400000000000006</v>
      </c>
      <c r="Z302" s="36">
        <f>IFERROR(IF(Y302=0,"",ROUNDUP(Y302/H302,0)*0.00502),"")</f>
        <v>0.17068</v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74.38095238095238</v>
      </c>
      <c r="BN302" s="64">
        <f t="shared" si="33"/>
        <v>74.8</v>
      </c>
      <c r="BO302" s="64">
        <f t="shared" si="34"/>
        <v>0.14448514448514449</v>
      </c>
      <c r="BP302" s="64">
        <f t="shared" si="35"/>
        <v>0.14529914529914531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50</v>
      </c>
      <c r="Y304" s="544">
        <f t="shared" si="31"/>
        <v>50.4</v>
      </c>
      <c r="Z304" s="36">
        <f>IFERROR(IF(Y304=0,"",ROUNDUP(Y304/H304,0)*0.00651),"")</f>
        <v>0.18228</v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56.333333333333336</v>
      </c>
      <c r="BN304" s="64">
        <f t="shared" si="33"/>
        <v>56.783999999999999</v>
      </c>
      <c r="BO304" s="64">
        <f t="shared" si="34"/>
        <v>0.15262515262515264</v>
      </c>
      <c r="BP304" s="64">
        <f t="shared" si="35"/>
        <v>0.15384615384615385</v>
      </c>
    </row>
    <row r="305" spans="1:68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148.49206349206349</v>
      </c>
      <c r="Y305" s="545">
        <f>IFERROR(Y298/H298,"0")+IFERROR(Y299/H299,"0")+IFERROR(Y300/H300,"0")+IFERROR(Y301/H301,"0")+IFERROR(Y302/H302,"0")+IFERROR(Y303/H303,"0")+IFERROR(Y304/H304,"0")</f>
        <v>150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1.0667200000000001</v>
      </c>
      <c r="AA305" s="546"/>
      <c r="AB305" s="546"/>
      <c r="AC305" s="546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444</v>
      </c>
      <c r="Y306" s="545">
        <f>IFERROR(SUM(Y298:Y304),"0")</f>
        <v>449.4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1000</v>
      </c>
      <c r="Y308" s="544">
        <f>IFERROR(IF(X308="",0,CEILING((X308/$H308),1)*$H308),"")</f>
        <v>1006.1999999999999</v>
      </c>
      <c r="Z308" s="36">
        <f>IFERROR(IF(Y308=0,"",ROUNDUP(Y308/H308,0)*0.01898),"")</f>
        <v>2.44842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1062.5641025641025</v>
      </c>
      <c r="BN308" s="64">
        <f>IFERROR(Y308*I308/H308,"0")</f>
        <v>1069.152</v>
      </c>
      <c r="BO308" s="64">
        <f>IFERROR(1/J308*(X308/H308),"0")</f>
        <v>2.0032051282051282</v>
      </c>
      <c r="BP308" s="64">
        <f>IFERROR(1/J308*(Y308/H308),"0")</f>
        <v>2.015625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132</v>
      </c>
      <c r="Y311" s="544">
        <f>IFERROR(IF(X311="",0,CEILING((X311/$H311),1)*$H311),"")</f>
        <v>132</v>
      </c>
      <c r="Z311" s="36">
        <f>IFERROR(IF(Y311=0,"",ROUNDUP(Y311/H311,0)*0.00651),"")</f>
        <v>0.28644000000000003</v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142.82399999999998</v>
      </c>
      <c r="BN311" s="64">
        <f>IFERROR(Y311*I311/H311,"0")</f>
        <v>142.82399999999998</v>
      </c>
      <c r="BO311" s="64">
        <f>IFERROR(1/J311*(X311/H311),"0")</f>
        <v>0.24175824175824179</v>
      </c>
      <c r="BP311" s="64">
        <f>IFERROR(1/J311*(Y311/H311),"0")</f>
        <v>0.24175824175824179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172.2051282051282</v>
      </c>
      <c r="Y312" s="545">
        <f>IFERROR(Y308/H308,"0")+IFERROR(Y309/H309,"0")+IFERROR(Y310/H310,"0")+IFERROR(Y311/H311,"0")</f>
        <v>173</v>
      </c>
      <c r="Z312" s="545">
        <f>IFERROR(IF(Z308="",0,Z308),"0")+IFERROR(IF(Z309="",0,Z309),"0")+IFERROR(IF(Z310="",0,Z310),"0")+IFERROR(IF(Z311="",0,Z311),"0")</f>
        <v>2.7348600000000003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1132</v>
      </c>
      <c r="Y313" s="545">
        <f>IFERROR(SUM(Y308:Y311),"0")</f>
        <v>1138.1999999999998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270</v>
      </c>
      <c r="Y315" s="544">
        <f>IFERROR(IF(X315="",0,CEILING((X315/$H315),1)*$H315),"")</f>
        <v>277.2</v>
      </c>
      <c r="Z315" s="36">
        <f>IFERROR(IF(Y315=0,"",ROUNDUP(Y315/H315,0)*0.01898),"")</f>
        <v>0.62634000000000001</v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285.87857142857143</v>
      </c>
      <c r="BN315" s="64">
        <f>IFERROR(Y315*I315/H315,"0")</f>
        <v>293.50200000000001</v>
      </c>
      <c r="BO315" s="64">
        <f>IFERROR(1/J315*(X315/H315),"0")</f>
        <v>0.50223214285714279</v>
      </c>
      <c r="BP315" s="64">
        <f>IFERROR(1/J315*(Y315/H315),"0")</f>
        <v>0.515625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120</v>
      </c>
      <c r="Y316" s="544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172</v>
      </c>
      <c r="Y317" s="544">
        <f>IFERROR(IF(X317="",0,CEILING((X317/$H317),1)*$H317),"")</f>
        <v>176.4</v>
      </c>
      <c r="Z317" s="36">
        <f>IFERROR(IF(Y317=0,"",ROUNDUP(Y317/H317,0)*0.01898),"")</f>
        <v>0.39857999999999999</v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182.11523809523808</v>
      </c>
      <c r="BN317" s="64">
        <f>IFERROR(Y317*I317/H317,"0")</f>
        <v>186.774</v>
      </c>
      <c r="BO317" s="64">
        <f>IFERROR(1/J317*(X317/H317),"0")</f>
        <v>0.31994047619047616</v>
      </c>
      <c r="BP317" s="64">
        <f>IFERROR(1/J317*(Y317/H317),"0")</f>
        <v>0.328125</v>
      </c>
    </row>
    <row r="318" spans="1:68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68.003663003663007</v>
      </c>
      <c r="Y318" s="545">
        <f>IFERROR(Y315/H315,"0")+IFERROR(Y316/H316,"0")+IFERROR(Y317/H317,"0")</f>
        <v>70</v>
      </c>
      <c r="Z318" s="545">
        <f>IFERROR(IF(Z315="",0,Z315),"0")+IFERROR(IF(Z316="",0,Z316),"0")+IFERROR(IF(Z317="",0,Z317),"0")</f>
        <v>1.3286</v>
      </c>
      <c r="AA318" s="546"/>
      <c r="AB318" s="546"/>
      <c r="AC318" s="546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562</v>
      </c>
      <c r="Y319" s="545">
        <f>IFERROR(SUM(Y315:Y317),"0")</f>
        <v>578.4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26</v>
      </c>
      <c r="Y323" s="544">
        <f>IFERROR(IF(X323="",0,CEILING((X323/$H323),1)*$H323),"")</f>
        <v>28.049999999999997</v>
      </c>
      <c r="Z323" s="36">
        <f>IFERROR(IF(Y323=0,"",ROUNDUP(Y323/H323,0)*0.00651),"")</f>
        <v>7.1610000000000007E-2</v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30.129411764705885</v>
      </c>
      <c r="BN323" s="64">
        <f>IFERROR(Y323*I323/H323,"0")</f>
        <v>32.505000000000003</v>
      </c>
      <c r="BO323" s="64">
        <f>IFERROR(1/J323*(X323/H323),"0")</f>
        <v>5.6022408963585443E-2</v>
      </c>
      <c r="BP323" s="64">
        <f>IFERROR(1/J323*(Y323/H323),"0")</f>
        <v>6.0439560439560447E-2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20</v>
      </c>
      <c r="Y324" s="544">
        <f>IFERROR(IF(X324="",0,CEILING((X324/$H324),1)*$H324),"")</f>
        <v>20.399999999999999</v>
      </c>
      <c r="Z324" s="36">
        <f>IFERROR(IF(Y324=0,"",ROUNDUP(Y324/H324,0)*0.00651),"")</f>
        <v>5.2080000000000001E-2</v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22.588235294117645</v>
      </c>
      <c r="BN324" s="64">
        <f>IFERROR(Y324*I324/H324,"0")</f>
        <v>23.04</v>
      </c>
      <c r="BO324" s="64">
        <f>IFERROR(1/J324*(X324/H324),"0")</f>
        <v>4.3094160741219571E-2</v>
      </c>
      <c r="BP324" s="64">
        <f>IFERROR(1/J324*(Y324/H324),"0")</f>
        <v>4.3956043956043959E-2</v>
      </c>
    </row>
    <row r="325" spans="1:68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18.03921568627451</v>
      </c>
      <c r="Y325" s="545">
        <f>IFERROR(Y321/H321,"0")+IFERROR(Y322/H322,"0")+IFERROR(Y323/H323,"0")+IFERROR(Y324/H324,"0")</f>
        <v>19</v>
      </c>
      <c r="Z325" s="545">
        <f>IFERROR(IF(Z321="",0,Z321),"0")+IFERROR(IF(Z322="",0,Z322),"0")+IFERROR(IF(Z323="",0,Z323),"0")+IFERROR(IF(Z324="",0,Z324),"0")</f>
        <v>0.12369000000000001</v>
      </c>
      <c r="AA325" s="546"/>
      <c r="AB325" s="546"/>
      <c r="AC325" s="546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46</v>
      </c>
      <c r="Y326" s="545">
        <f>IFERROR(SUM(Y321:Y324),"0")</f>
        <v>48.449999999999996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hidden="1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81</v>
      </c>
      <c r="Y336" s="544">
        <f>IFERROR(IF(X336="",0,CEILING((X336/$H336),1)*$H336),"")</f>
        <v>81.900000000000006</v>
      </c>
      <c r="Z336" s="36">
        <f>IFERROR(IF(Y336=0,"",ROUNDUP(Y336/H336,0)*0.00651),"")</f>
        <v>0.25389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90.72</v>
      </c>
      <c r="BN336" s="64">
        <f>IFERROR(Y336*I336/H336,"0")</f>
        <v>91.728000000000009</v>
      </c>
      <c r="BO336" s="64">
        <f>IFERROR(1/J336*(X336/H336),"0")</f>
        <v>0.2119309262166405</v>
      </c>
      <c r="BP336" s="64">
        <f>IFERROR(1/J336*(Y336/H336),"0")</f>
        <v>0.2142857142857143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55</v>
      </c>
      <c r="Y337" s="544">
        <f>IFERROR(IF(X337="",0,CEILING((X337/$H337),1)*$H337),"")</f>
        <v>56.7</v>
      </c>
      <c r="Z337" s="36">
        <f>IFERROR(IF(Y337=0,"",ROUNDUP(Y337/H337,0)*0.00651),"")</f>
        <v>0.17577000000000001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61.285714285714278</v>
      </c>
      <c r="BN337" s="64">
        <f>IFERROR(Y337*I337/H337,"0")</f>
        <v>63.179999999999993</v>
      </c>
      <c r="BO337" s="64">
        <f>IFERROR(1/J337*(X337/H337),"0")</f>
        <v>0.14390371533228677</v>
      </c>
      <c r="BP337" s="64">
        <f>IFERROR(1/J337*(Y337/H337),"0")</f>
        <v>0.14835164835164835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64.761904761904759</v>
      </c>
      <c r="Y338" s="545">
        <f>IFERROR(Y335/H335,"0")+IFERROR(Y336/H336,"0")+IFERROR(Y337/H337,"0")</f>
        <v>66</v>
      </c>
      <c r="Z338" s="545">
        <f>IFERROR(IF(Z335="",0,Z335),"0")+IFERROR(IF(Z336="",0,Z336),"0")+IFERROR(IF(Z337="",0,Z337),"0")</f>
        <v>0.42966000000000004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136</v>
      </c>
      <c r="Y339" s="545">
        <f>IFERROR(SUM(Y335:Y337),"0")</f>
        <v>138.60000000000002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179</v>
      </c>
      <c r="Y343" s="544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184.60866666666666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0.24861111111111112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144</v>
      </c>
      <c r="Y344" s="544">
        <f t="shared" si="36"/>
        <v>150</v>
      </c>
      <c r="Z344" s="36">
        <f>IFERROR(IF(Y344=0,"",ROUNDUP(Y344/H344,0)*0.02175),"")</f>
        <v>0.21749999999999997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148.51200000000003</v>
      </c>
      <c r="BN344" s="64">
        <f t="shared" si="38"/>
        <v>154.69999999999999</v>
      </c>
      <c r="BO344" s="64">
        <f t="shared" si="39"/>
        <v>0.19999999999999998</v>
      </c>
      <c r="BP344" s="64">
        <f t="shared" si="40"/>
        <v>0.20833333333333331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1000</v>
      </c>
      <c r="Y346" s="544">
        <f t="shared" si="36"/>
        <v>1005</v>
      </c>
      <c r="Z346" s="36">
        <f>IFERROR(IF(Y346=0,"",ROUNDUP(Y346/H346,0)*0.02175),"")</f>
        <v>1.4572499999999999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1031.3333333333333</v>
      </c>
      <c r="BN346" s="64">
        <f t="shared" si="38"/>
        <v>1036.49</v>
      </c>
      <c r="BO346" s="64">
        <f t="shared" si="39"/>
        <v>1.3888888888888888</v>
      </c>
      <c r="BP346" s="64">
        <f t="shared" si="40"/>
        <v>1.3958333333333333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88.2</v>
      </c>
      <c r="Y350" s="545">
        <f>IFERROR(Y343/H343,"0")+IFERROR(Y344/H344,"0")+IFERROR(Y345/H345,"0")+IFERROR(Y346/H346,"0")+IFERROR(Y347/H347,"0")+IFERROR(Y348/H348,"0")+IFERROR(Y349/H349,"0")</f>
        <v>89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1.9357499999999999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1323</v>
      </c>
      <c r="Y351" s="545">
        <f>IFERROR(SUM(Y343:Y349),"0")</f>
        <v>1335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93</v>
      </c>
      <c r="Y353" s="544">
        <f>IFERROR(IF(X353="",0,CEILING((X353/$H353),1)*$H353),"")</f>
        <v>105</v>
      </c>
      <c r="Z353" s="36">
        <f>IFERROR(IF(Y353=0,"",ROUNDUP(Y353/H353,0)*0.02175),"")</f>
        <v>0.15225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95.914000000000001</v>
      </c>
      <c r="BN353" s="64">
        <f>IFERROR(Y353*I353/H353,"0")</f>
        <v>108.29</v>
      </c>
      <c r="BO353" s="64">
        <f>IFERROR(1/J353*(X353/H353),"0")</f>
        <v>0.12916666666666665</v>
      </c>
      <c r="BP353" s="64">
        <f>IFERROR(1/J353*(Y353/H353),"0")</f>
        <v>0.14583333333333331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6.2</v>
      </c>
      <c r="Y355" s="545">
        <f>IFERROR(Y353/H353,"0")+IFERROR(Y354/H354,"0")</f>
        <v>7</v>
      </c>
      <c r="Z355" s="545">
        <f>IFERROR(IF(Z353="",0,Z353),"0")+IFERROR(IF(Z354="",0,Z354),"0")</f>
        <v>0.15225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93</v>
      </c>
      <c r="Y356" s="545">
        <f>IFERROR(SUM(Y353:Y354),"0")</f>
        <v>105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hidden="1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49</v>
      </c>
      <c r="Y379" s="544">
        <f>IFERROR(IF(X379="",0,CEILING((X379/$H379),1)*$H379),"")</f>
        <v>50.4</v>
      </c>
      <c r="Z379" s="36">
        <f>IFERROR(IF(Y379=0,"",ROUNDUP(Y379/H379,0)*0.00651),"")</f>
        <v>0.13671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54.39</v>
      </c>
      <c r="BN379" s="64">
        <f>IFERROR(Y379*I379/H379,"0")</f>
        <v>55.944000000000003</v>
      </c>
      <c r="BO379" s="64">
        <f>IFERROR(1/J379*(X379/H379),"0")</f>
        <v>0.1121794871794872</v>
      </c>
      <c r="BP379" s="64">
        <f>IFERROR(1/J379*(Y379/H379),"0")</f>
        <v>0.11538461538461539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20.416666666666668</v>
      </c>
      <c r="Y381" s="545">
        <f>IFERROR(Y378/H378,"0")+IFERROR(Y379/H379,"0")+IFERROR(Y380/H380,"0")</f>
        <v>21</v>
      </c>
      <c r="Z381" s="545">
        <f>IFERROR(IF(Z378="",0,Z378),"0")+IFERROR(IF(Z379="",0,Z379),"0")+IFERROR(IF(Z380="",0,Z380),"0")</f>
        <v>0.13671</v>
      </c>
      <c r="AA381" s="546"/>
      <c r="AB381" s="546"/>
      <c r="AC381" s="546"/>
    </row>
    <row r="382" spans="1:68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49</v>
      </c>
      <c r="Y382" s="545">
        <f>IFERROR(SUM(Y378:Y380),"0")</f>
        <v>50.4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8</v>
      </c>
      <c r="Y390" s="544">
        <f t="shared" si="41"/>
        <v>8.4</v>
      </c>
      <c r="Z390" s="36">
        <f t="shared" si="46"/>
        <v>2.0080000000000001E-2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8.4952380952380953</v>
      </c>
      <c r="BN390" s="64">
        <f t="shared" si="43"/>
        <v>8.92</v>
      </c>
      <c r="BO390" s="64">
        <f t="shared" si="44"/>
        <v>1.6280016280016282E-2</v>
      </c>
      <c r="BP390" s="64">
        <f t="shared" si="45"/>
        <v>1.7094017094017096E-2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3.8095238095238093</v>
      </c>
      <c r="Y395" s="545">
        <f>IFERROR(Y386/H386,"0")+IFERROR(Y387/H387,"0")+IFERROR(Y388/H388,"0")+IFERROR(Y389/H389,"0")+IFERROR(Y390/H390,"0")+IFERROR(Y391/H391,"0")+IFERROR(Y392/H392,"0")+IFERROR(Y393/H393,"0")+IFERROR(Y394/H394,"0")</f>
        <v>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2.0080000000000001E-2</v>
      </c>
      <c r="AA395" s="546"/>
      <c r="AB395" s="546"/>
      <c r="AC395" s="546"/>
    </row>
    <row r="396" spans="1:68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8</v>
      </c>
      <c r="Y396" s="545">
        <f>IFERROR(SUM(Y386:Y394),"0")</f>
        <v>8.4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49</v>
      </c>
      <c r="Y422" s="544">
        <f t="shared" ref="Y422:Y432" si="47">IFERROR(IF(X422="",0,CEILING((X422/$H422),1)*$H422),"")</f>
        <v>52.800000000000004</v>
      </c>
      <c r="Z422" s="36">
        <f t="shared" ref="Z422:Z427" si="48">IFERROR(IF(Y422=0,"",ROUNDUP(Y422/H422,0)*0.01196),"")</f>
        <v>0.1196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52.248106060606062</v>
      </c>
      <c r="BN422" s="64">
        <f t="shared" ref="BN422:BN432" si="50">IFERROR(Y422*I422/H422,"0")</f>
        <v>56.3</v>
      </c>
      <c r="BO422" s="64">
        <f t="shared" ref="BO422:BO432" si="51">IFERROR(1/J422*(X422/H422),"0")</f>
        <v>8.9233682983682977E-2</v>
      </c>
      <c r="BP422" s="64">
        <f t="shared" ref="BP422:BP432" si="52">IFERROR(1/J422*(Y422/H422),"0")</f>
        <v>9.6153846153846159E-2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24</v>
      </c>
      <c r="Y427" s="544">
        <f t="shared" si="47"/>
        <v>26.400000000000002</v>
      </c>
      <c r="Z427" s="36">
        <f t="shared" si="48"/>
        <v>5.9799999999999999E-2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25.59090909090909</v>
      </c>
      <c r="BN427" s="64">
        <f t="shared" si="50"/>
        <v>28.15</v>
      </c>
      <c r="BO427" s="64">
        <f t="shared" si="51"/>
        <v>4.3706293706293704E-2</v>
      </c>
      <c r="BP427" s="64">
        <f t="shared" si="52"/>
        <v>4.807692307692308E-2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9</v>
      </c>
      <c r="Y429" s="544">
        <f t="shared" si="47"/>
        <v>9.6</v>
      </c>
      <c r="Z429" s="36">
        <f>IFERROR(IF(Y429=0,"",ROUNDUP(Y429/H429,0)*0.00902),"")</f>
        <v>1.804E-2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12.956250000000001</v>
      </c>
      <c r="BN429" s="64">
        <f t="shared" si="50"/>
        <v>13.82</v>
      </c>
      <c r="BO429" s="64">
        <f t="shared" si="51"/>
        <v>1.4204545454545456E-2</v>
      </c>
      <c r="BP429" s="64">
        <f t="shared" si="52"/>
        <v>1.5151515151515152E-2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2</v>
      </c>
      <c r="Y431" s="544">
        <f t="shared" si="47"/>
        <v>2.4</v>
      </c>
      <c r="Z431" s="36">
        <f>IFERROR(IF(Y431=0,"",ROUNDUP(Y431/H431,0)*0.00651),"")</f>
        <v>6.5100000000000002E-3</v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2.1500000000000004</v>
      </c>
      <c r="BN431" s="64">
        <f t="shared" si="50"/>
        <v>2.58</v>
      </c>
      <c r="BO431" s="64">
        <f t="shared" si="51"/>
        <v>4.578754578754579E-3</v>
      </c>
      <c r="BP431" s="64">
        <f t="shared" si="52"/>
        <v>5.4945054945054949E-3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16.534090909090907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18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0.20394999999999999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84</v>
      </c>
      <c r="Y434" s="545">
        <f>IFERROR(SUM(Y422:Y432),"0")</f>
        <v>91.2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70</v>
      </c>
      <c r="Y436" s="544">
        <f>IFERROR(IF(X436="",0,CEILING((X436/$H436),1)*$H436),"")</f>
        <v>73.92</v>
      </c>
      <c r="Z436" s="36">
        <f>IFERROR(IF(Y436=0,"",ROUNDUP(Y436/H436,0)*0.01196),"")</f>
        <v>0.16744000000000001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74.640151515151501</v>
      </c>
      <c r="BN436" s="64">
        <f>IFERROR(Y436*I436/H436,"0")</f>
        <v>78.819999999999993</v>
      </c>
      <c r="BO436" s="64">
        <f>IFERROR(1/J436*(X436/H436),"0")</f>
        <v>0.12747668997668998</v>
      </c>
      <c r="BP436" s="64">
        <f>IFERROR(1/J436*(Y436/H436),"0")</f>
        <v>0.13461538461538464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13.257575757575758</v>
      </c>
      <c r="Y439" s="545">
        <f>IFERROR(Y436/H436,"0")+IFERROR(Y437/H437,"0")+IFERROR(Y438/H438,"0")</f>
        <v>14</v>
      </c>
      <c r="Z439" s="545">
        <f>IFERROR(IF(Z436="",0,Z436),"0")+IFERROR(IF(Z437="",0,Z437),"0")+IFERROR(IF(Z438="",0,Z438),"0")</f>
        <v>0.16744000000000001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70</v>
      </c>
      <c r="Y440" s="545">
        <f>IFERROR(SUM(Y436:Y438),"0")</f>
        <v>73.92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hidden="1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8</v>
      </c>
      <c r="Y445" s="544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11.516666666666667</v>
      </c>
      <c r="BN445" s="64">
        <f t="shared" si="55"/>
        <v>13.82</v>
      </c>
      <c r="BO445" s="64">
        <f t="shared" si="56"/>
        <v>1.2626262626262628E-2</v>
      </c>
      <c r="BP445" s="64">
        <f t="shared" si="57"/>
        <v>1.5151515151515152E-2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5</v>
      </c>
      <c r="Y447" s="544">
        <f t="shared" si="53"/>
        <v>9.6</v>
      </c>
      <c r="Z447" s="36">
        <f>IFERROR(IF(Y447=0,"",ROUNDUP(Y447/H447,0)*0.00902),"")</f>
        <v>1.804E-2</v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6.947916666666667</v>
      </c>
      <c r="BN447" s="64">
        <f t="shared" si="55"/>
        <v>13.34</v>
      </c>
      <c r="BO447" s="64">
        <f t="shared" si="56"/>
        <v>7.8914141414141419E-3</v>
      </c>
      <c r="BP447" s="64">
        <f t="shared" si="57"/>
        <v>1.5151515151515152E-2</v>
      </c>
    </row>
    <row r="448" spans="1:68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2.7083333333333335</v>
      </c>
      <c r="Y448" s="545">
        <f>IFERROR(Y442/H442,"0")+IFERROR(Y443/H443,"0")+IFERROR(Y444/H444,"0")+IFERROR(Y445/H445,"0")+IFERROR(Y446/H446,"0")+IFERROR(Y447/H447,"0")</f>
        <v>4</v>
      </c>
      <c r="Z448" s="545">
        <f>IFERROR(IF(Z442="",0,Z442),"0")+IFERROR(IF(Z443="",0,Z443),"0")+IFERROR(IF(Z444="",0,Z444),"0")+IFERROR(IF(Z445="",0,Z445),"0")+IFERROR(IF(Z446="",0,Z446),"0")+IFERROR(IF(Z447="",0,Z447),"0")</f>
        <v>3.6080000000000001E-2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13</v>
      </c>
      <c r="Y449" s="545">
        <f>IFERROR(SUM(Y442:Y447),"0")</f>
        <v>19.2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50</v>
      </c>
      <c r="Y461" s="544">
        <f>IFERROR(IF(X461="",0,CEILING((X461/$H461),1)*$H461),"")</f>
        <v>60</v>
      </c>
      <c r="Z461" s="36">
        <f>IFERROR(IF(Y461=0,"",ROUNDUP(Y461/H461,0)*0.01898),"")</f>
        <v>9.4899999999999998E-2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51.708333333333336</v>
      </c>
      <c r="BN461" s="64">
        <f>IFERROR(Y461*I461/H461,"0")</f>
        <v>62.050000000000004</v>
      </c>
      <c r="BO461" s="64">
        <f>IFERROR(1/J461*(X461/H461),"0")</f>
        <v>6.5104166666666671E-2</v>
      </c>
      <c r="BP461" s="64">
        <f>IFERROR(1/J461*(Y461/H461),"0")</f>
        <v>7.8125E-2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4.166666666666667</v>
      </c>
      <c r="Y463" s="545">
        <f>IFERROR(Y459/H459,"0")+IFERROR(Y460/H460,"0")+IFERROR(Y461/H461,"0")+IFERROR(Y462/H462,"0")</f>
        <v>5</v>
      </c>
      <c r="Z463" s="545">
        <f>IFERROR(IF(Z459="",0,Z459),"0")+IFERROR(IF(Z460="",0,Z460),"0")+IFERROR(IF(Z461="",0,Z461),"0")+IFERROR(IF(Z462="",0,Z462),"0")</f>
        <v>9.4899999999999998E-2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50</v>
      </c>
      <c r="Y464" s="545">
        <f>IFERROR(SUM(Y459:Y462),"0")</f>
        <v>60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30</v>
      </c>
      <c r="Y473" s="544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7.1428571428571423</v>
      </c>
      <c r="Y474" s="545">
        <f>IFERROR(Y472/H472,"0")+IFERROR(Y473/H473,"0")</f>
        <v>8</v>
      </c>
      <c r="Z474" s="545">
        <f>IFERROR(IF(Z472="",0,Z472),"0")+IFERROR(IF(Z473="",0,Z473),"0")</f>
        <v>7.2160000000000002E-2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30</v>
      </c>
      <c r="Y475" s="545">
        <f>IFERROR(SUM(Y472:Y473),"0")</f>
        <v>33.6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7771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7940.9199999999983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8217.4723755248015</v>
      </c>
      <c r="Y491" s="545">
        <f>IFERROR(SUM(BN22:BN487),"0")</f>
        <v>8399.5530000000017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15</v>
      </c>
      <c r="Y492" s="38">
        <f>ROUNDUP(SUM(BP22:BP487),0)</f>
        <v>15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8592.4723755248015</v>
      </c>
      <c r="Y493" s="545">
        <f>GrossWeightTotalR+PalletQtyTotalR*25</f>
        <v>8774.5530000000017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1643.1614087709675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1677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16.861899999999999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386.8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574.20000000000005</v>
      </c>
      <c r="E500" s="46">
        <f>IFERROR(Y85*1,"0")+IFERROR(Y86*1,"0")+IFERROR(Y87*1,"0")+IFERROR(Y91*1,"0")+IFERROR(Y92*1,"0")+IFERROR(Y93*1,"0")+IFERROR(Y94*1,"0")</f>
        <v>287.27999999999997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355.92</v>
      </c>
      <c r="G500" s="46">
        <f>IFERROR(Y124*1,"0")+IFERROR(Y125*1,"0")+IFERROR(Y129*1,"0")+IFERROR(Y130*1,"0")+IFERROR(Y134*1,"0")+IFERROR(Y135*1,"0")</f>
        <v>141.68</v>
      </c>
      <c r="H500" s="46">
        <f>IFERROR(Y140*1,"0")+IFERROR(Y141*1,"0")+IFERROR(Y145*1,"0")+IFERROR(Y146*1,"0")+IFERROR(Y147*1,"0")+IFERROR(Y151*1,"0")</f>
        <v>156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556.5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423.00000000000006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2.9699999999999998</v>
      </c>
      <c r="L500" s="46">
        <f>IFERROR(Y254*1,"0")+IFERROR(Y255*1,"0")+IFERROR(Y256*1,"0")+IFERROR(Y257*1,"0")+IFERROR(Y258*1,"0")</f>
        <v>356.40000000000003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26.4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2758.4500000000003</v>
      </c>
      <c r="R500" s="46">
        <f>IFERROR(Y335*1,"0")+IFERROR(Y336*1,"0")+IFERROR(Y337*1,"0")</f>
        <v>138.60000000000002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1440</v>
      </c>
      <c r="T500" s="46">
        <f>IFERROR(Y368*1,"0")+IFERROR(Y369*1,"0")+IFERROR(Y373*1,"0")+IFERROR(Y374*1,"0")+IFERROR(Y378*1,"0")+IFERROR(Y379*1,"0")+IFERROR(Y380*1,"0")</f>
        <v>50.4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8.4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184.32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93.6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32,00"/>
        <filter val="1 323,00"/>
        <filter val="1 643,16"/>
        <filter val="103,00"/>
        <filter val="11,00"/>
        <filter val="113,00"/>
        <filter val="120,00"/>
        <filter val="124,58"/>
        <filter val="13,00"/>
        <filter val="13,21"/>
        <filter val="13,26"/>
        <filter val="131,00"/>
        <filter val="132,00"/>
        <filter val="136,00"/>
        <filter val="137,00"/>
        <filter val="139,00"/>
        <filter val="144,00"/>
        <filter val="146,00"/>
        <filter val="148,49"/>
        <filter val="15"/>
        <filter val="150,00"/>
        <filter val="156,00"/>
        <filter val="16,29"/>
        <filter val="16,53"/>
        <filter val="160,00"/>
        <filter val="17,19"/>
        <filter val="172,00"/>
        <filter val="172,21"/>
        <filter val="179,00"/>
        <filter val="18,04"/>
        <filter val="189,00"/>
        <filter val="2,00"/>
        <filter val="2,02"/>
        <filter val="2,71"/>
        <filter val="20,00"/>
        <filter val="20,42"/>
        <filter val="200,00"/>
        <filter val="221,00"/>
        <filter val="222,62"/>
        <filter val="224,00"/>
        <filter val="225,00"/>
        <filter val="23,00"/>
        <filter val="24,00"/>
        <filter val="26,00"/>
        <filter val="270,00"/>
        <filter val="28,00"/>
        <filter val="299,00"/>
        <filter val="3,00"/>
        <filter val="3,17"/>
        <filter val="3,33"/>
        <filter val="3,81"/>
        <filter val="30,00"/>
        <filter val="315,00"/>
        <filter val="32,00"/>
        <filter val="32,41"/>
        <filter val="32,44"/>
        <filter val="347,00"/>
        <filter val="350,00"/>
        <filter val="37,00"/>
        <filter val="384,00"/>
        <filter val="39,00"/>
        <filter val="4,00"/>
        <filter val="4,17"/>
        <filter val="40,00"/>
        <filter val="42,00"/>
        <filter val="43,00"/>
        <filter val="438,00"/>
        <filter val="444,00"/>
        <filter val="45,13"/>
        <filter val="46,00"/>
        <filter val="49,00"/>
        <filter val="49,11"/>
        <filter val="5,00"/>
        <filter val="5,56"/>
        <filter val="50,00"/>
        <filter val="527,00"/>
        <filter val="537,00"/>
        <filter val="55,00"/>
        <filter val="56,00"/>
        <filter val="56,13"/>
        <filter val="562,00"/>
        <filter val="58,70"/>
        <filter val="59,00"/>
        <filter val="6,20"/>
        <filter val="60,00"/>
        <filter val="60,74"/>
        <filter val="64,76"/>
        <filter val="68,00"/>
        <filter val="7 771,00"/>
        <filter val="7,00"/>
        <filter val="7,14"/>
        <filter val="70,00"/>
        <filter val="70,71"/>
        <filter val="71,00"/>
        <filter val="72,96"/>
        <filter val="8 217,47"/>
        <filter val="8 592,47"/>
        <filter val="8,00"/>
        <filter val="81,00"/>
        <filter val="82,00"/>
        <filter val="83,00"/>
        <filter val="83,33"/>
        <filter val="84,00"/>
        <filter val="88,20"/>
        <filter val="9,00"/>
        <filter val="9,58"/>
        <filter val="93,00"/>
        <filter val="94,00"/>
        <filter val="95,00"/>
        <filter val="96,00"/>
        <filter val="97,00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