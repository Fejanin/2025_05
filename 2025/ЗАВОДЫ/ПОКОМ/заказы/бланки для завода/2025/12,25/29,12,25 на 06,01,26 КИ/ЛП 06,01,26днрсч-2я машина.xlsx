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0B06E61-80F5-4654-A035-713F779AA4F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Y480" i="1" s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Y383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Z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Y259" i="1" s="1"/>
  <c r="P254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Y247" i="1" s="1"/>
  <c r="P246" i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K506" i="1" s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Z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Y69" i="1" s="1"/>
  <c r="P67" i="1"/>
  <c r="X65" i="1"/>
  <c r="X64" i="1"/>
  <c r="BO63" i="1"/>
  <c r="BN63" i="1"/>
  <c r="BM63" i="1"/>
  <c r="Z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O43" i="1"/>
  <c r="BM43" i="1"/>
  <c r="Y43" i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O30" i="1"/>
  <c r="BN30" i="1"/>
  <c r="BM30" i="1"/>
  <c r="Z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P22" i="1"/>
  <c r="BO22" i="1"/>
  <c r="BN22" i="1"/>
  <c r="BM22" i="1"/>
  <c r="Z22" i="1"/>
  <c r="Y22" i="1"/>
  <c r="P22" i="1"/>
  <c r="H10" i="1"/>
  <c r="F10" i="1"/>
  <c r="F9" i="1"/>
  <c r="A9" i="1"/>
  <c r="A10" i="1" s="1"/>
  <c r="D7" i="1"/>
  <c r="Q6" i="1"/>
  <c r="P2" i="1"/>
  <c r="Z86" i="1" l="1"/>
  <c r="BN86" i="1"/>
  <c r="BP143" i="1"/>
  <c r="BN143" i="1"/>
  <c r="Z143" i="1"/>
  <c r="BP177" i="1"/>
  <c r="BN177" i="1"/>
  <c r="Z177" i="1"/>
  <c r="BP212" i="1"/>
  <c r="BN212" i="1"/>
  <c r="Z212" i="1"/>
  <c r="BP237" i="1"/>
  <c r="BN237" i="1"/>
  <c r="Z237" i="1"/>
  <c r="BP275" i="1"/>
  <c r="BN275" i="1"/>
  <c r="Z275" i="1"/>
  <c r="BP308" i="1"/>
  <c r="BN308" i="1"/>
  <c r="Z308" i="1"/>
  <c r="BP336" i="1"/>
  <c r="BN336" i="1"/>
  <c r="Z336" i="1"/>
  <c r="BP367" i="1"/>
  <c r="BN367" i="1"/>
  <c r="Z367" i="1"/>
  <c r="BP402" i="1"/>
  <c r="BN402" i="1"/>
  <c r="Z402" i="1"/>
  <c r="BP435" i="1"/>
  <c r="BN435" i="1"/>
  <c r="Z435" i="1"/>
  <c r="BP455" i="1"/>
  <c r="BN455" i="1"/>
  <c r="Z455" i="1"/>
  <c r="Z57" i="1"/>
  <c r="BN57" i="1"/>
  <c r="BP101" i="1"/>
  <c r="BN101" i="1"/>
  <c r="BP115" i="1"/>
  <c r="BN115" i="1"/>
  <c r="Z115" i="1"/>
  <c r="Y159" i="1"/>
  <c r="Y158" i="1"/>
  <c r="BP157" i="1"/>
  <c r="BN157" i="1"/>
  <c r="Z157" i="1"/>
  <c r="Z158" i="1" s="1"/>
  <c r="Y164" i="1"/>
  <c r="BP163" i="1"/>
  <c r="BN163" i="1"/>
  <c r="Z163" i="1"/>
  <c r="Z164" i="1" s="1"/>
  <c r="BP169" i="1"/>
  <c r="BN169" i="1"/>
  <c r="Z169" i="1"/>
  <c r="BP200" i="1"/>
  <c r="BN200" i="1"/>
  <c r="Z200" i="1"/>
  <c r="BP222" i="1"/>
  <c r="BN222" i="1"/>
  <c r="Z222" i="1"/>
  <c r="BP257" i="1"/>
  <c r="BN257" i="1"/>
  <c r="Z257" i="1"/>
  <c r="BP318" i="1"/>
  <c r="BN318" i="1"/>
  <c r="Z318" i="1"/>
  <c r="BP353" i="1"/>
  <c r="BN353" i="1"/>
  <c r="Z353" i="1"/>
  <c r="BP394" i="1"/>
  <c r="BN394" i="1"/>
  <c r="Z394" i="1"/>
  <c r="Y425" i="1"/>
  <c r="BP424" i="1"/>
  <c r="BN424" i="1"/>
  <c r="Z424" i="1"/>
  <c r="Z425" i="1" s="1"/>
  <c r="BP445" i="1"/>
  <c r="BN445" i="1"/>
  <c r="Z445" i="1"/>
  <c r="BP479" i="1"/>
  <c r="BN479" i="1"/>
  <c r="Z479" i="1"/>
  <c r="Y485" i="1"/>
  <c r="Y484" i="1"/>
  <c r="BP483" i="1"/>
  <c r="BN483" i="1"/>
  <c r="Z483" i="1"/>
  <c r="Z484" i="1" s="1"/>
  <c r="BP487" i="1"/>
  <c r="BN487" i="1"/>
  <c r="Z487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0" i="1"/>
  <c r="BN210" i="1"/>
  <c r="Z210" i="1"/>
  <c r="BP220" i="1"/>
  <c r="BN220" i="1"/>
  <c r="Z220" i="1"/>
  <c r="BP235" i="1"/>
  <c r="BN235" i="1"/>
  <c r="Z235" i="1"/>
  <c r="BP255" i="1"/>
  <c r="BN255" i="1"/>
  <c r="Z255" i="1"/>
  <c r="BP273" i="1"/>
  <c r="BN273" i="1"/>
  <c r="Z273" i="1"/>
  <c r="BP287" i="1"/>
  <c r="BN287" i="1"/>
  <c r="Z287" i="1"/>
  <c r="J9" i="1"/>
  <c r="Z28" i="1"/>
  <c r="BN28" i="1"/>
  <c r="Z42" i="1"/>
  <c r="BN42" i="1"/>
  <c r="Z55" i="1"/>
  <c r="BN55" i="1"/>
  <c r="Z61" i="1"/>
  <c r="BN61" i="1"/>
  <c r="Z67" i="1"/>
  <c r="BN67" i="1"/>
  <c r="BP67" i="1"/>
  <c r="BP73" i="1"/>
  <c r="BN73" i="1"/>
  <c r="Z73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Y226" i="1"/>
  <c r="BP216" i="1"/>
  <c r="BN216" i="1"/>
  <c r="Z216" i="1"/>
  <c r="BP224" i="1"/>
  <c r="BN224" i="1"/>
  <c r="Z224" i="1"/>
  <c r="BP239" i="1"/>
  <c r="BN239" i="1"/>
  <c r="Z239" i="1"/>
  <c r="BP264" i="1"/>
  <c r="BN264" i="1"/>
  <c r="Z264" i="1"/>
  <c r="BP280" i="1"/>
  <c r="BN280" i="1"/>
  <c r="Z280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43" i="1"/>
  <c r="BN343" i="1"/>
  <c r="Z343" i="1"/>
  <c r="BP355" i="1"/>
  <c r="BN355" i="1"/>
  <c r="Z355" i="1"/>
  <c r="Y373" i="1"/>
  <c r="Y372" i="1"/>
  <c r="BP371" i="1"/>
  <c r="BN371" i="1"/>
  <c r="Z371" i="1"/>
  <c r="Z372" i="1" s="1"/>
  <c r="BP376" i="1"/>
  <c r="BN376" i="1"/>
  <c r="Z376" i="1"/>
  <c r="BP396" i="1"/>
  <c r="BN396" i="1"/>
  <c r="Z396" i="1"/>
  <c r="Y408" i="1"/>
  <c r="BP406" i="1"/>
  <c r="BN406" i="1"/>
  <c r="Z406" i="1"/>
  <c r="BP437" i="1"/>
  <c r="BN437" i="1"/>
  <c r="Z437" i="1"/>
  <c r="BP447" i="1"/>
  <c r="BN447" i="1"/>
  <c r="Z447" i="1"/>
  <c r="BP467" i="1"/>
  <c r="BN467" i="1"/>
  <c r="Z467" i="1"/>
  <c r="Y96" i="1"/>
  <c r="Y202" i="1"/>
  <c r="Y230" i="1"/>
  <c r="BP293" i="1"/>
  <c r="BN293" i="1"/>
  <c r="BP302" i="1"/>
  <c r="BN302" i="1"/>
  <c r="Z302" i="1"/>
  <c r="Y320" i="1"/>
  <c r="BP316" i="1"/>
  <c r="BN316" i="1"/>
  <c r="Z316" i="1"/>
  <c r="BP332" i="1"/>
  <c r="BN332" i="1"/>
  <c r="Z332" i="1"/>
  <c r="Y359" i="1"/>
  <c r="BP351" i="1"/>
  <c r="BN351" i="1"/>
  <c r="Z351" i="1"/>
  <c r="BP361" i="1"/>
  <c r="BN361" i="1"/>
  <c r="Z361" i="1"/>
  <c r="BP388" i="1"/>
  <c r="BN388" i="1"/>
  <c r="Z388" i="1"/>
  <c r="BP400" i="1"/>
  <c r="BN400" i="1"/>
  <c r="Z400" i="1"/>
  <c r="BP419" i="1"/>
  <c r="BN419" i="1"/>
  <c r="Z419" i="1"/>
  <c r="BP433" i="1"/>
  <c r="BN433" i="1"/>
  <c r="Z433" i="1"/>
  <c r="BP441" i="1"/>
  <c r="BN441" i="1"/>
  <c r="Z441" i="1"/>
  <c r="BP453" i="1"/>
  <c r="BN453" i="1"/>
  <c r="Z453" i="1"/>
  <c r="Y475" i="1"/>
  <c r="BP473" i="1"/>
  <c r="BN473" i="1"/>
  <c r="Z473" i="1"/>
  <c r="Y340" i="1"/>
  <c r="Y339" i="1"/>
  <c r="U506" i="1"/>
  <c r="Y426" i="1"/>
  <c r="Y457" i="1"/>
  <c r="W506" i="1"/>
  <c r="BP23" i="1"/>
  <c r="BN23" i="1"/>
  <c r="Z23" i="1"/>
  <c r="Z24" i="1" s="1"/>
  <c r="B506" i="1"/>
  <c r="Y25" i="1"/>
  <c r="Y32" i="1"/>
  <c r="BP27" i="1"/>
  <c r="BN27" i="1"/>
  <c r="Z27" i="1"/>
  <c r="BP31" i="1"/>
  <c r="BN31" i="1"/>
  <c r="Z31" i="1"/>
  <c r="Y33" i="1"/>
  <c r="Y36" i="1"/>
  <c r="BP35" i="1"/>
  <c r="BN35" i="1"/>
  <c r="Z35" i="1"/>
  <c r="Z36" i="1" s="1"/>
  <c r="Y37" i="1"/>
  <c r="C506" i="1"/>
  <c r="Y44" i="1"/>
  <c r="BP41" i="1"/>
  <c r="BN41" i="1"/>
  <c r="Z41" i="1"/>
  <c r="BP54" i="1"/>
  <c r="BN54" i="1"/>
  <c r="Z54" i="1"/>
  <c r="Y58" i="1"/>
  <c r="BP62" i="1"/>
  <c r="BN62" i="1"/>
  <c r="Z62" i="1"/>
  <c r="Z64" i="1" s="1"/>
  <c r="BP74" i="1"/>
  <c r="BN74" i="1"/>
  <c r="Z74" i="1"/>
  <c r="BP87" i="1"/>
  <c r="BN87" i="1"/>
  <c r="Z87" i="1"/>
  <c r="BP95" i="1"/>
  <c r="BN95" i="1"/>
  <c r="Z95" i="1"/>
  <c r="Y97" i="1"/>
  <c r="F506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Y198" i="1"/>
  <c r="BP195" i="1"/>
  <c r="BN195" i="1"/>
  <c r="Z195" i="1"/>
  <c r="J506" i="1"/>
  <c r="BP207" i="1"/>
  <c r="BN207" i="1"/>
  <c r="Z207" i="1"/>
  <c r="BP211" i="1"/>
  <c r="BN211" i="1"/>
  <c r="Z211" i="1"/>
  <c r="BP219" i="1"/>
  <c r="BN219" i="1"/>
  <c r="Z219" i="1"/>
  <c r="BP223" i="1"/>
  <c r="BN223" i="1"/>
  <c r="Z223" i="1"/>
  <c r="Y24" i="1"/>
  <c r="X500" i="1"/>
  <c r="BP29" i="1"/>
  <c r="BN29" i="1"/>
  <c r="Z29" i="1"/>
  <c r="BP43" i="1"/>
  <c r="BN43" i="1"/>
  <c r="Z43" i="1"/>
  <c r="Y45" i="1"/>
  <c r="Y48" i="1"/>
  <c r="BP47" i="1"/>
  <c r="BN47" i="1"/>
  <c r="Z47" i="1"/>
  <c r="Z48" i="1" s="1"/>
  <c r="Y49" i="1"/>
  <c r="D506" i="1"/>
  <c r="Y59" i="1"/>
  <c r="BP52" i="1"/>
  <c r="BN52" i="1"/>
  <c r="Z52" i="1"/>
  <c r="BP56" i="1"/>
  <c r="BN56" i="1"/>
  <c r="Z56" i="1"/>
  <c r="Y65" i="1"/>
  <c r="Y64" i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6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6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4" i="1"/>
  <c r="BP205" i="1"/>
  <c r="BN205" i="1"/>
  <c r="Z205" i="1"/>
  <c r="Z213" i="1" s="1"/>
  <c r="BP209" i="1"/>
  <c r="BN209" i="1"/>
  <c r="Z209" i="1"/>
  <c r="Y213" i="1"/>
  <c r="BP217" i="1"/>
  <c r="BN217" i="1"/>
  <c r="Z217" i="1"/>
  <c r="BP221" i="1"/>
  <c r="BN221" i="1"/>
  <c r="Z221" i="1"/>
  <c r="Y225" i="1"/>
  <c r="BP229" i="1"/>
  <c r="BN229" i="1"/>
  <c r="Z229" i="1"/>
  <c r="Z230" i="1" s="1"/>
  <c r="Y231" i="1"/>
  <c r="Y244" i="1"/>
  <c r="Y248" i="1"/>
  <c r="Y252" i="1"/>
  <c r="Y260" i="1"/>
  <c r="L506" i="1"/>
  <c r="Y268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BP311" i="1"/>
  <c r="BN311" i="1"/>
  <c r="Z311" i="1"/>
  <c r="BP319" i="1"/>
  <c r="BN319" i="1"/>
  <c r="Z319" i="1"/>
  <c r="Y321" i="1"/>
  <c r="Y326" i="1"/>
  <c r="BP323" i="1"/>
  <c r="BN323" i="1"/>
  <c r="Z323" i="1"/>
  <c r="BP331" i="1"/>
  <c r="BN331" i="1"/>
  <c r="Z331" i="1"/>
  <c r="BP344" i="1"/>
  <c r="BN344" i="1"/>
  <c r="Z344" i="1"/>
  <c r="Z346" i="1" s="1"/>
  <c r="BP354" i="1"/>
  <c r="BN354" i="1"/>
  <c r="Z354" i="1"/>
  <c r="Y358" i="1"/>
  <c r="BP362" i="1"/>
  <c r="BN362" i="1"/>
  <c r="Z362" i="1"/>
  <c r="Z363" i="1" s="1"/>
  <c r="Y364" i="1"/>
  <c r="Y369" i="1"/>
  <c r="BP366" i="1"/>
  <c r="BN366" i="1"/>
  <c r="Z366" i="1"/>
  <c r="BP387" i="1"/>
  <c r="BN387" i="1"/>
  <c r="Z387" i="1"/>
  <c r="Z389" i="1" s="1"/>
  <c r="BP397" i="1"/>
  <c r="BN397" i="1"/>
  <c r="Z397" i="1"/>
  <c r="BP401" i="1"/>
  <c r="BN401" i="1"/>
  <c r="Z401" i="1"/>
  <c r="BP418" i="1"/>
  <c r="BN418" i="1"/>
  <c r="Z418" i="1"/>
  <c r="BP454" i="1"/>
  <c r="BN454" i="1"/>
  <c r="Z454" i="1"/>
  <c r="BP468" i="1"/>
  <c r="BN468" i="1"/>
  <c r="Z468" i="1"/>
  <c r="S506" i="1"/>
  <c r="H9" i="1"/>
  <c r="X497" i="1"/>
  <c r="X498" i="1"/>
  <c r="X496" i="1"/>
  <c r="H506" i="1"/>
  <c r="Y145" i="1"/>
  <c r="I506" i="1"/>
  <c r="Y165" i="1"/>
  <c r="Z234" i="1"/>
  <c r="BN234" i="1"/>
  <c r="BP234" i="1"/>
  <c r="Z236" i="1"/>
  <c r="BN236" i="1"/>
  <c r="Z238" i="1"/>
  <c r="BN238" i="1"/>
  <c r="Z240" i="1"/>
  <c r="BN240" i="1"/>
  <c r="Z242" i="1"/>
  <c r="BN242" i="1"/>
  <c r="Y243" i="1"/>
  <c r="Z246" i="1"/>
  <c r="Z247" i="1" s="1"/>
  <c r="BN246" i="1"/>
  <c r="BP246" i="1"/>
  <c r="Z250" i="1"/>
  <c r="Z251" i="1" s="1"/>
  <c r="BN250" i="1"/>
  <c r="BP250" i="1"/>
  <c r="Z254" i="1"/>
  <c r="BN254" i="1"/>
  <c r="BP254" i="1"/>
  <c r="Z256" i="1"/>
  <c r="BN256" i="1"/>
  <c r="Z258" i="1"/>
  <c r="BN258" i="1"/>
  <c r="Z263" i="1"/>
  <c r="BN263" i="1"/>
  <c r="BP263" i="1"/>
  <c r="Z265" i="1"/>
  <c r="BN265" i="1"/>
  <c r="BP274" i="1"/>
  <c r="BN274" i="1"/>
  <c r="Z274" i="1"/>
  <c r="Y284" i="1"/>
  <c r="Y283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Y313" i="1"/>
  <c r="BP317" i="1"/>
  <c r="BN317" i="1"/>
  <c r="Z317" i="1"/>
  <c r="Z320" i="1" s="1"/>
  <c r="BP325" i="1"/>
  <c r="BN325" i="1"/>
  <c r="Z325" i="1"/>
  <c r="Y327" i="1"/>
  <c r="Y334" i="1"/>
  <c r="BP329" i="1"/>
  <c r="BN329" i="1"/>
  <c r="Z329" i="1"/>
  <c r="Z333" i="1" s="1"/>
  <c r="Y333" i="1"/>
  <c r="BP337" i="1"/>
  <c r="BN337" i="1"/>
  <c r="Z337" i="1"/>
  <c r="Z339" i="1" s="1"/>
  <c r="Y346" i="1"/>
  <c r="BP352" i="1"/>
  <c r="BN352" i="1"/>
  <c r="Z352" i="1"/>
  <c r="BP356" i="1"/>
  <c r="BN356" i="1"/>
  <c r="Z356" i="1"/>
  <c r="Y363" i="1"/>
  <c r="Y368" i="1"/>
  <c r="BP377" i="1"/>
  <c r="BN377" i="1"/>
  <c r="Z377" i="1"/>
  <c r="Z378" i="1" s="1"/>
  <c r="Y379" i="1"/>
  <c r="Y384" i="1"/>
  <c r="BP381" i="1"/>
  <c r="BN381" i="1"/>
  <c r="Z381" i="1"/>
  <c r="Z383" i="1" s="1"/>
  <c r="Y390" i="1"/>
  <c r="Y389" i="1"/>
  <c r="BP395" i="1"/>
  <c r="BN395" i="1"/>
  <c r="Z395" i="1"/>
  <c r="Z403" i="1" s="1"/>
  <c r="BP399" i="1"/>
  <c r="BN399" i="1"/>
  <c r="Z399" i="1"/>
  <c r="Y403" i="1"/>
  <c r="BP407" i="1"/>
  <c r="BN407" i="1"/>
  <c r="Z407" i="1"/>
  <c r="Z408" i="1" s="1"/>
  <c r="Y409" i="1"/>
  <c r="V506" i="1"/>
  <c r="Y413" i="1"/>
  <c r="BP412" i="1"/>
  <c r="BN412" i="1"/>
  <c r="Z412" i="1"/>
  <c r="Z413" i="1" s="1"/>
  <c r="Y414" i="1"/>
  <c r="Y421" i="1"/>
  <c r="BP416" i="1"/>
  <c r="BN416" i="1"/>
  <c r="Z416" i="1"/>
  <c r="Z420" i="1" s="1"/>
  <c r="Y420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48" i="1"/>
  <c r="BP488" i="1"/>
  <c r="BN488" i="1"/>
  <c r="Z488" i="1"/>
  <c r="Y490" i="1"/>
  <c r="Z506" i="1"/>
  <c r="Y494" i="1"/>
  <c r="BP493" i="1"/>
  <c r="BN493" i="1"/>
  <c r="Z493" i="1"/>
  <c r="Z494" i="1" s="1"/>
  <c r="Y495" i="1"/>
  <c r="O506" i="1"/>
  <c r="P506" i="1"/>
  <c r="Y289" i="1"/>
  <c r="Y304" i="1"/>
  <c r="R506" i="1"/>
  <c r="Y347" i="1"/>
  <c r="T506" i="1"/>
  <c r="Y378" i="1"/>
  <c r="Y404" i="1"/>
  <c r="BP432" i="1"/>
  <c r="BN432" i="1"/>
  <c r="Z432" i="1"/>
  <c r="BP436" i="1"/>
  <c r="BN436" i="1"/>
  <c r="Z436" i="1"/>
  <c r="BP440" i="1"/>
  <c r="BN440" i="1"/>
  <c r="Z440" i="1"/>
  <c r="Y449" i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470" i="1"/>
  <c r="BP474" i="1"/>
  <c r="BN474" i="1"/>
  <c r="Z474" i="1"/>
  <c r="Y476" i="1"/>
  <c r="Y481" i="1"/>
  <c r="BP478" i="1"/>
  <c r="BN478" i="1"/>
  <c r="Z478" i="1"/>
  <c r="Z480" i="1" s="1"/>
  <c r="Y489" i="1"/>
  <c r="Y506" i="1"/>
  <c r="Z489" i="1" l="1"/>
  <c r="Z368" i="1"/>
  <c r="Y497" i="1"/>
  <c r="Z475" i="1"/>
  <c r="Z470" i="1"/>
  <c r="Z358" i="1"/>
  <c r="Z259" i="1"/>
  <c r="Z243" i="1"/>
  <c r="Z225" i="1"/>
  <c r="Z69" i="1"/>
  <c r="Z197" i="1"/>
  <c r="Z119" i="1"/>
  <c r="Y498" i="1"/>
  <c r="Z442" i="1"/>
  <c r="Z313" i="1"/>
  <c r="Z276" i="1"/>
  <c r="Z44" i="1"/>
  <c r="Z32" i="1"/>
  <c r="Y496" i="1"/>
  <c r="Z268" i="1"/>
  <c r="X499" i="1"/>
  <c r="Z326" i="1"/>
  <c r="Z154" i="1"/>
  <c r="Z58" i="1"/>
  <c r="Y500" i="1"/>
  <c r="Z181" i="1"/>
  <c r="Z112" i="1"/>
  <c r="Z105" i="1"/>
  <c r="Y499" i="1" l="1"/>
  <c r="Z501" i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<sst xmlns="http://schemas.openxmlformats.org/spreadsheetml/2006/main" count="2386" uniqueCount="785">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</sst>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1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810" t="s">
        <v>0</v>
      </c>
      <c r="E1" s="592"/>
      <c r="F1" s="592"/>
      <c r="G1" s="12" t="s">
        <v>1</v>
      </c>
      <c r="H1" s="810" t="s">
        <v>2</v>
      </c>
      <c r="I1" s="592"/>
      <c r="J1" s="592"/>
      <c r="K1" s="592"/>
      <c r="L1" s="592"/>
      <c r="M1" s="592"/>
      <c r="N1" s="592"/>
      <c r="O1" s="592"/>
      <c r="P1" s="592"/>
      <c r="Q1" s="592"/>
      <c r="R1" s="875" t="s">
        <v>3</v>
      </c>
      <c r="S1" s="592"/>
      <c r="T1" s="5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773" t="s">
        <v>8</v>
      </c>
      <c r="B5" s="572"/>
      <c r="C5" s="573"/>
      <c r="D5" s="665"/>
      <c r="E5" s="667"/>
      <c r="F5" s="620" t="s">
        <v>9</v>
      </c>
      <c r="G5" s="573"/>
      <c r="H5" s="665" t="s">
        <v>784</v>
      </c>
      <c r="I5" s="666"/>
      <c r="J5" s="666"/>
      <c r="K5" s="666"/>
      <c r="L5" s="666"/>
      <c r="M5" s="667"/>
      <c r="N5" s="58"/>
      <c r="P5" s="24" t="s">
        <v>10</v>
      </c>
      <c r="Q5" s="598">
        <v>46028</v>
      </c>
      <c r="R5" s="599"/>
      <c r="T5" s="732" t="s">
        <v>11</v>
      </c>
      <c r="U5" s="641"/>
      <c r="V5" s="733" t="s">
        <v>12</v>
      </c>
      <c r="W5" s="599"/>
      <c r="AB5" s="51"/>
      <c r="AC5" s="51"/>
      <c r="AD5" s="51"/>
      <c r="AE5" s="51"/>
    </row>
    <row r="6" spans="1:32" s="549" customFormat="1" ht="24" customHeight="1" x14ac:dyDescent="0.2">
      <c r="A6" s="773" t="s">
        <v>13</v>
      </c>
      <c r="B6" s="572"/>
      <c r="C6" s="573"/>
      <c r="D6" s="669" t="s">
        <v>14</v>
      </c>
      <c r="E6" s="670"/>
      <c r="F6" s="670"/>
      <c r="G6" s="670"/>
      <c r="H6" s="670"/>
      <c r="I6" s="670"/>
      <c r="J6" s="670"/>
      <c r="K6" s="670"/>
      <c r="L6" s="670"/>
      <c r="M6" s="599"/>
      <c r="N6" s="59"/>
      <c r="P6" s="24" t="s">
        <v>15</v>
      </c>
      <c r="Q6" s="588" t="str">
        <f>IF(Q5=0," ",CHOOSE(WEEKDAY(Q5,2),"Понедельник","Вторник","Среда","Четверг","Пятница","Суббота","Воскресенье"))</f>
        <v>Вторник</v>
      </c>
      <c r="R6" s="563"/>
      <c r="T6" s="736" t="s">
        <v>16</v>
      </c>
      <c r="U6" s="641"/>
      <c r="V6" s="675" t="s">
        <v>17</v>
      </c>
      <c r="W6" s="676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848" t="str">
        <f>IFERROR(VLOOKUP(DeliveryAddress,Table,3,0),1)</f>
        <v>1</v>
      </c>
      <c r="E7" s="849"/>
      <c r="F7" s="849"/>
      <c r="G7" s="849"/>
      <c r="H7" s="849"/>
      <c r="I7" s="849"/>
      <c r="J7" s="849"/>
      <c r="K7" s="849"/>
      <c r="L7" s="849"/>
      <c r="M7" s="735"/>
      <c r="N7" s="60"/>
      <c r="P7" s="24"/>
      <c r="Q7" s="42"/>
      <c r="R7" s="42"/>
      <c r="T7" s="569"/>
      <c r="U7" s="641"/>
      <c r="V7" s="677"/>
      <c r="W7" s="678"/>
      <c r="AB7" s="51"/>
      <c r="AC7" s="51"/>
      <c r="AD7" s="51"/>
      <c r="AE7" s="51"/>
    </row>
    <row r="8" spans="1:32" s="549" customFormat="1" ht="25.5" customHeight="1" x14ac:dyDescent="0.2">
      <c r="A8" s="559" t="s">
        <v>18</v>
      </c>
      <c r="B8" s="560"/>
      <c r="C8" s="561"/>
      <c r="D8" s="858" t="s">
        <v>19</v>
      </c>
      <c r="E8" s="859"/>
      <c r="F8" s="859"/>
      <c r="G8" s="859"/>
      <c r="H8" s="859"/>
      <c r="I8" s="859"/>
      <c r="J8" s="859"/>
      <c r="K8" s="859"/>
      <c r="L8" s="859"/>
      <c r="M8" s="860"/>
      <c r="N8" s="61"/>
      <c r="P8" s="24" t="s">
        <v>20</v>
      </c>
      <c r="Q8" s="734">
        <v>0.41666666666666669</v>
      </c>
      <c r="R8" s="735"/>
      <c r="T8" s="569"/>
      <c r="U8" s="641"/>
      <c r="V8" s="677"/>
      <c r="W8" s="678"/>
      <c r="AB8" s="51"/>
      <c r="AC8" s="51"/>
      <c r="AD8" s="51"/>
      <c r="AE8" s="51"/>
    </row>
    <row r="9" spans="1:32" s="549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636"/>
      <c r="E9" s="637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707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7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547"/>
      <c r="P9" s="26" t="s">
        <v>21</v>
      </c>
      <c r="Q9" s="808"/>
      <c r="R9" s="624"/>
      <c r="T9" s="569"/>
      <c r="U9" s="641"/>
      <c r="V9" s="679"/>
      <c r="W9" s="680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636"/>
      <c r="E10" s="637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692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37"/>
      <c r="R10" s="738"/>
      <c r="U10" s="24" t="s">
        <v>23</v>
      </c>
      <c r="V10" s="864" t="s">
        <v>24</v>
      </c>
      <c r="W10" s="676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9"/>
      <c r="R11" s="599"/>
      <c r="U11" s="24" t="s">
        <v>27</v>
      </c>
      <c r="V11" s="623" t="s">
        <v>28</v>
      </c>
      <c r="W11" s="624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15" t="s">
        <v>29</v>
      </c>
      <c r="B12" s="572"/>
      <c r="C12" s="572"/>
      <c r="D12" s="572"/>
      <c r="E12" s="572"/>
      <c r="F12" s="572"/>
      <c r="G12" s="572"/>
      <c r="H12" s="572"/>
      <c r="I12" s="572"/>
      <c r="J12" s="572"/>
      <c r="K12" s="572"/>
      <c r="L12" s="572"/>
      <c r="M12" s="573"/>
      <c r="N12" s="62"/>
      <c r="P12" s="24" t="s">
        <v>30</v>
      </c>
      <c r="Q12" s="734"/>
      <c r="R12" s="735"/>
      <c r="S12" s="23"/>
      <c r="U12" s="24"/>
      <c r="V12" s="592"/>
      <c r="W12" s="569"/>
      <c r="AB12" s="51"/>
      <c r="AC12" s="51"/>
      <c r="AD12" s="51"/>
      <c r="AE12" s="51"/>
    </row>
    <row r="13" spans="1:32" s="549" customFormat="1" ht="23.25" customHeight="1" x14ac:dyDescent="0.2">
      <c r="A13" s="715" t="s">
        <v>31</v>
      </c>
      <c r="B13" s="572"/>
      <c r="C13" s="572"/>
      <c r="D13" s="572"/>
      <c r="E13" s="572"/>
      <c r="F13" s="572"/>
      <c r="G13" s="572"/>
      <c r="H13" s="572"/>
      <c r="I13" s="572"/>
      <c r="J13" s="572"/>
      <c r="K13" s="572"/>
      <c r="L13" s="572"/>
      <c r="M13" s="573"/>
      <c r="N13" s="62"/>
      <c r="O13" s="26"/>
      <c r="P13" s="26" t="s">
        <v>32</v>
      </c>
      <c r="Q13" s="623"/>
      <c r="R13" s="6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15" t="s">
        <v>33</v>
      </c>
      <c r="B14" s="572"/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18" t="s">
        <v>34</v>
      </c>
      <c r="B15" s="572"/>
      <c r="C15" s="572"/>
      <c r="D15" s="572"/>
      <c r="E15" s="572"/>
      <c r="F15" s="572"/>
      <c r="G15" s="572"/>
      <c r="H15" s="572"/>
      <c r="I15" s="572"/>
      <c r="J15" s="572"/>
      <c r="K15" s="572"/>
      <c r="L15" s="572"/>
      <c r="M15" s="573"/>
      <c r="N15" s="63"/>
      <c r="P15" s="796" t="s">
        <v>35</v>
      </c>
      <c r="Q15" s="592"/>
      <c r="R15" s="592"/>
      <c r="S15" s="592"/>
      <c r="T15" s="5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7"/>
      <c r="Q16" s="797"/>
      <c r="R16" s="797"/>
      <c r="S16" s="797"/>
      <c r="T16" s="7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36</v>
      </c>
      <c r="B17" s="646" t="s">
        <v>37</v>
      </c>
      <c r="C17" s="779" t="s">
        <v>38</v>
      </c>
      <c r="D17" s="646" t="s">
        <v>39</v>
      </c>
      <c r="E17" s="654"/>
      <c r="F17" s="646" t="s">
        <v>40</v>
      </c>
      <c r="G17" s="646" t="s">
        <v>41</v>
      </c>
      <c r="H17" s="646" t="s">
        <v>42</v>
      </c>
      <c r="I17" s="646" t="s">
        <v>43</v>
      </c>
      <c r="J17" s="646" t="s">
        <v>44</v>
      </c>
      <c r="K17" s="646" t="s">
        <v>45</v>
      </c>
      <c r="L17" s="646" t="s">
        <v>46</v>
      </c>
      <c r="M17" s="646" t="s">
        <v>47</v>
      </c>
      <c r="N17" s="646" t="s">
        <v>48</v>
      </c>
      <c r="O17" s="646" t="s">
        <v>49</v>
      </c>
      <c r="P17" s="646" t="s">
        <v>50</v>
      </c>
      <c r="Q17" s="813"/>
      <c r="R17" s="813"/>
      <c r="S17" s="813"/>
      <c r="T17" s="654"/>
      <c r="U17" s="653" t="s">
        <v>51</v>
      </c>
      <c r="V17" s="573"/>
      <c r="W17" s="646" t="s">
        <v>52</v>
      </c>
      <c r="X17" s="646" t="s">
        <v>53</v>
      </c>
      <c r="Y17" s="651" t="s">
        <v>54</v>
      </c>
      <c r="Z17" s="699" t="s">
        <v>55</v>
      </c>
      <c r="AA17" s="614" t="s">
        <v>56</v>
      </c>
      <c r="AB17" s="614" t="s">
        <v>57</v>
      </c>
      <c r="AC17" s="614" t="s">
        <v>58</v>
      </c>
      <c r="AD17" s="614" t="s">
        <v>59</v>
      </c>
      <c r="AE17" s="615"/>
      <c r="AF17" s="616"/>
      <c r="AG17" s="66"/>
      <c r="BD17" s="65" t="s">
        <v>60</v>
      </c>
    </row>
    <row r="18" spans="1:68" ht="14.25" customHeight="1" x14ac:dyDescent="0.2">
      <c r="A18" s="647"/>
      <c r="B18" s="647"/>
      <c r="C18" s="647"/>
      <c r="D18" s="655"/>
      <c r="E18" s="656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5"/>
      <c r="Q18" s="814"/>
      <c r="R18" s="814"/>
      <c r="S18" s="814"/>
      <c r="T18" s="656"/>
      <c r="U18" s="67" t="s">
        <v>61</v>
      </c>
      <c r="V18" s="67" t="s">
        <v>62</v>
      </c>
      <c r="W18" s="647"/>
      <c r="X18" s="647"/>
      <c r="Y18" s="652"/>
      <c r="Z18" s="700"/>
      <c r="AA18" s="691"/>
      <c r="AB18" s="691"/>
      <c r="AC18" s="691"/>
      <c r="AD18" s="617"/>
      <c r="AE18" s="618"/>
      <c r="AF18" s="619"/>
      <c r="AG18" s="66"/>
      <c r="BD18" s="65"/>
    </row>
    <row r="19" spans="1:68" ht="27.75" hidden="1" customHeight="1" x14ac:dyDescent="0.2">
      <c r="A19" s="609" t="s">
        <v>63</v>
      </c>
      <c r="B19" s="610"/>
      <c r="C19" s="610"/>
      <c r="D19" s="610"/>
      <c r="E19" s="610"/>
      <c r="F19" s="610"/>
      <c r="G19" s="610"/>
      <c r="H19" s="610"/>
      <c r="I19" s="610"/>
      <c r="J19" s="610"/>
      <c r="K19" s="610"/>
      <c r="L19" s="610"/>
      <c r="M19" s="610"/>
      <c r="N19" s="610"/>
      <c r="O19" s="610"/>
      <c r="P19" s="610"/>
      <c r="Q19" s="610"/>
      <c r="R19" s="610"/>
      <c r="S19" s="610"/>
      <c r="T19" s="610"/>
      <c r="U19" s="610"/>
      <c r="V19" s="610"/>
      <c r="W19" s="610"/>
      <c r="X19" s="610"/>
      <c r="Y19" s="610"/>
      <c r="Z19" s="610"/>
      <c r="AA19" s="48"/>
      <c r="AB19" s="48"/>
      <c r="AC19" s="48"/>
    </row>
    <row r="20" spans="1:68" ht="16.5" hidden="1" customHeight="1" x14ac:dyDescent="0.25">
      <c r="A20" s="577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hidden="1" customHeight="1" x14ac:dyDescent="0.25">
      <c r="A21" s="576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80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8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70"/>
      <c r="P24" s="567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70"/>
      <c r="P25" s="567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76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8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8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86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5"/>
      <c r="R31" s="565"/>
      <c r="S31" s="565"/>
      <c r="T31" s="566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8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70"/>
      <c r="P32" s="567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70"/>
      <c r="P33" s="567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76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6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5"/>
      <c r="R35" s="565"/>
      <c r="S35" s="565"/>
      <c r="T35" s="566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8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70"/>
      <c r="P36" s="567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70"/>
      <c r="P37" s="567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609" t="s">
        <v>101</v>
      </c>
      <c r="B38" s="610"/>
      <c r="C38" s="610"/>
      <c r="D38" s="610"/>
      <c r="E38" s="610"/>
      <c r="F38" s="610"/>
      <c r="G38" s="610"/>
      <c r="H38" s="610"/>
      <c r="I38" s="610"/>
      <c r="J38" s="610"/>
      <c r="K38" s="610"/>
      <c r="L38" s="610"/>
      <c r="M38" s="610"/>
      <c r="N38" s="610"/>
      <c r="O38" s="610"/>
      <c r="P38" s="610"/>
      <c r="Q38" s="610"/>
      <c r="R38" s="610"/>
      <c r="S38" s="610"/>
      <c r="T38" s="610"/>
      <c r="U38" s="610"/>
      <c r="V38" s="610"/>
      <c r="W38" s="610"/>
      <c r="X38" s="610"/>
      <c r="Y38" s="610"/>
      <c r="Z38" s="610"/>
      <c r="AA38" s="48"/>
      <c r="AB38" s="48"/>
      <c r="AC38" s="48"/>
    </row>
    <row r="39" spans="1:68" ht="16.5" hidden="1" customHeight="1" x14ac:dyDescent="0.25">
      <c r="A39" s="577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hidden="1" customHeight="1" x14ac:dyDescent="0.25">
      <c r="A40" s="576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6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5"/>
      <c r="R41" s="565"/>
      <c r="S41" s="565"/>
      <c r="T41" s="566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8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5"/>
      <c r="R43" s="565"/>
      <c r="S43" s="565"/>
      <c r="T43" s="566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8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70"/>
      <c r="P44" s="567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0</v>
      </c>
      <c r="Y44" s="557">
        <f>IFERROR(Y41/H41,"0")+IFERROR(Y42/H42,"0")+IFERROR(Y43/H43,"0")</f>
        <v>0</v>
      </c>
      <c r="Z44" s="557">
        <f>IFERROR(IF(Z41="",0,Z41),"0")+IFERROR(IF(Z42="",0,Z42),"0")+IFERROR(IF(Z43="",0,Z43),"0")</f>
        <v>0</v>
      </c>
      <c r="AA44" s="558"/>
      <c r="AB44" s="558"/>
      <c r="AC44" s="558"/>
    </row>
    <row r="45" spans="1:68" hidden="1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70"/>
      <c r="P45" s="567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0</v>
      </c>
      <c r="Y45" s="557">
        <f>IFERROR(SUM(Y41:Y43),"0")</f>
        <v>0</v>
      </c>
      <c r="Z45" s="37"/>
      <c r="AA45" s="558"/>
      <c r="AB45" s="558"/>
      <c r="AC45" s="558"/>
    </row>
    <row r="46" spans="1:68" ht="14.25" hidden="1" customHeight="1" x14ac:dyDescent="0.25">
      <c r="A46" s="576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81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5"/>
      <c r="R47" s="565"/>
      <c r="S47" s="565"/>
      <c r="T47" s="566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8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70"/>
      <c r="P48" s="567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70"/>
      <c r="P49" s="567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77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hidden="1" customHeight="1" x14ac:dyDescent="0.25">
      <c r="A51" s="576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80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5"/>
      <c r="R52" s="565"/>
      <c r="S52" s="565"/>
      <c r="T52" s="566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8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5"/>
      <c r="R53" s="565"/>
      <c r="S53" s="565"/>
      <c r="T53" s="566"/>
      <c r="U53" s="34"/>
      <c r="V53" s="34"/>
      <c r="W53" s="35" t="s">
        <v>69</v>
      </c>
      <c r="X53" s="555">
        <v>500</v>
      </c>
      <c r="Y53" s="556">
        <f t="shared" si="0"/>
        <v>507.6</v>
      </c>
      <c r="Z53" s="36">
        <f>IFERROR(IF(Y53=0,"",ROUNDUP(Y53/H53,0)*0.01898),"")</f>
        <v>0.89205999999999996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518.98148148148141</v>
      </c>
      <c r="BN53" s="64">
        <f t="shared" si="2"/>
        <v>526.87</v>
      </c>
      <c r="BO53" s="64">
        <f t="shared" si="3"/>
        <v>0.72337962962962954</v>
      </c>
      <c r="BP53" s="64">
        <f t="shared" si="4"/>
        <v>0.734375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6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5"/>
      <c r="R54" s="565"/>
      <c r="S54" s="565"/>
      <c r="T54" s="566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78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5"/>
      <c r="R55" s="565"/>
      <c r="S55" s="565"/>
      <c r="T55" s="566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83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5"/>
      <c r="R56" s="565"/>
      <c r="S56" s="565"/>
      <c r="T56" s="566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62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5"/>
      <c r="R57" s="565"/>
      <c r="S57" s="565"/>
      <c r="T57" s="566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70"/>
      <c r="P58" s="567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46.296296296296291</v>
      </c>
      <c r="Y58" s="557">
        <f>IFERROR(Y52/H52,"0")+IFERROR(Y53/H53,"0")+IFERROR(Y54/H54,"0")+IFERROR(Y55/H55,"0")+IFERROR(Y56/H56,"0")+IFERROR(Y57/H57,"0")</f>
        <v>47</v>
      </c>
      <c r="Z58" s="557">
        <f>IFERROR(IF(Z52="",0,Z52),"0")+IFERROR(IF(Z53="",0,Z53),"0")+IFERROR(IF(Z54="",0,Z54),"0")+IFERROR(IF(Z55="",0,Z55),"0")+IFERROR(IF(Z56="",0,Z56),"0")+IFERROR(IF(Z57="",0,Z57),"0")</f>
        <v>0.89205999999999996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70"/>
      <c r="P59" s="567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500</v>
      </c>
      <c r="Y59" s="557">
        <f>IFERROR(SUM(Y52:Y57),"0")</f>
        <v>507.6</v>
      </c>
      <c r="Z59" s="37"/>
      <c r="AA59" s="558"/>
      <c r="AB59" s="558"/>
      <c r="AC59" s="558"/>
    </row>
    <row r="60" spans="1:68" ht="14.25" hidden="1" customHeight="1" x14ac:dyDescent="0.25">
      <c r="A60" s="576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5"/>
      <c r="R61" s="565"/>
      <c r="S61" s="565"/>
      <c r="T61" s="566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5"/>
      <c r="R62" s="565"/>
      <c r="S62" s="565"/>
      <c r="T62" s="566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8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5"/>
      <c r="R63" s="565"/>
      <c r="S63" s="565"/>
      <c r="T63" s="566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8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70"/>
      <c r="P64" s="567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0</v>
      </c>
      <c r="Y64" s="557">
        <f>IFERROR(Y61/H61,"0")+IFERROR(Y62/H62,"0")+IFERROR(Y63/H63,"0")</f>
        <v>0</v>
      </c>
      <c r="Z64" s="557">
        <f>IFERROR(IF(Z61="",0,Z61),"0")+IFERROR(IF(Z62="",0,Z62),"0")+IFERROR(IF(Z63="",0,Z63),"0")</f>
        <v>0</v>
      </c>
      <c r="AA64" s="558"/>
      <c r="AB64" s="558"/>
      <c r="AC64" s="558"/>
    </row>
    <row r="65" spans="1:68" hidden="1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70"/>
      <c r="P65" s="567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0</v>
      </c>
      <c r="Y65" s="557">
        <f>IFERROR(SUM(Y61:Y63),"0")</f>
        <v>0</v>
      </c>
      <c r="Z65" s="37"/>
      <c r="AA65" s="558"/>
      <c r="AB65" s="558"/>
      <c r="AC65" s="558"/>
    </row>
    <row r="66" spans="1:68" ht="14.25" hidden="1" customHeight="1" x14ac:dyDescent="0.25">
      <c r="A66" s="576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5"/>
      <c r="R67" s="565"/>
      <c r="S67" s="565"/>
      <c r="T67" s="566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6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5"/>
      <c r="R68" s="565"/>
      <c r="S68" s="565"/>
      <c r="T68" s="566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8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70"/>
      <c r="P69" s="567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70"/>
      <c r="P70" s="567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76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5"/>
      <c r="R72" s="565"/>
      <c r="S72" s="565"/>
      <c r="T72" s="566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87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5"/>
      <c r="R73" s="565"/>
      <c r="S73" s="565"/>
      <c r="T73" s="566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5"/>
      <c r="R74" s="565"/>
      <c r="S74" s="565"/>
      <c r="T74" s="566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6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5"/>
      <c r="R75" s="565"/>
      <c r="S75" s="565"/>
      <c r="T75" s="566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8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70"/>
      <c r="P76" s="567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70"/>
      <c r="P77" s="567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76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8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5"/>
      <c r="R79" s="565"/>
      <c r="S79" s="565"/>
      <c r="T79" s="566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6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5"/>
      <c r="R80" s="565"/>
      <c r="S80" s="565"/>
      <c r="T80" s="566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8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70"/>
      <c r="P81" s="567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70"/>
      <c r="P82" s="567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77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hidden="1" customHeight="1" x14ac:dyDescent="0.25">
      <c r="A84" s="576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6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5"/>
      <c r="R85" s="565"/>
      <c r="S85" s="565"/>
      <c r="T85" s="566"/>
      <c r="U85" s="34"/>
      <c r="V85" s="34"/>
      <c r="W85" s="35" t="s">
        <v>69</v>
      </c>
      <c r="X85" s="555">
        <v>1000</v>
      </c>
      <c r="Y85" s="556">
        <f>IFERROR(IF(X85="",0,CEILING((X85/$H85),1)*$H85),"")</f>
        <v>1004.4000000000001</v>
      </c>
      <c r="Z85" s="36">
        <f>IFERROR(IF(Y85=0,"",ROUNDUP(Y85/H85,0)*0.01898),"")</f>
        <v>1.7651399999999999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1037.9629629629628</v>
      </c>
      <c r="BN85" s="64">
        <f>IFERROR(Y85*I85/H85,"0")</f>
        <v>1042.5300000000002</v>
      </c>
      <c r="BO85" s="64">
        <f>IFERROR(1/J85*(X85/H85),"0")</f>
        <v>1.4467592592592591</v>
      </c>
      <c r="BP85" s="64">
        <f>IFERROR(1/J85*(Y85/H85),"0")</f>
        <v>1.453125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8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5"/>
      <c r="R86" s="565"/>
      <c r="S86" s="565"/>
      <c r="T86" s="566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5"/>
      <c r="R87" s="565"/>
      <c r="S87" s="565"/>
      <c r="T87" s="566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5"/>
      <c r="R88" s="565"/>
      <c r="S88" s="565"/>
      <c r="T88" s="566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8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70"/>
      <c r="P89" s="567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92.592592592592581</v>
      </c>
      <c r="Y89" s="557">
        <f>IFERROR(Y85/H85,"0")+IFERROR(Y86/H86,"0")+IFERROR(Y87/H87,"0")+IFERROR(Y88/H88,"0")</f>
        <v>93</v>
      </c>
      <c r="Z89" s="557">
        <f>IFERROR(IF(Z85="",0,Z85),"0")+IFERROR(IF(Z86="",0,Z86),"0")+IFERROR(IF(Z87="",0,Z87),"0")+IFERROR(IF(Z88="",0,Z88),"0")</f>
        <v>1.7651399999999999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70"/>
      <c r="P90" s="567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1000</v>
      </c>
      <c r="Y90" s="557">
        <f>IFERROR(SUM(Y85:Y88),"0")</f>
        <v>1004.4000000000001</v>
      </c>
      <c r="Z90" s="37"/>
      <c r="AA90" s="558"/>
      <c r="AB90" s="558"/>
      <c r="AC90" s="558"/>
    </row>
    <row r="91" spans="1:68" ht="14.25" hidden="1" customHeight="1" x14ac:dyDescent="0.25">
      <c r="A91" s="576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85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5"/>
      <c r="R92" s="565"/>
      <c r="S92" s="565"/>
      <c r="T92" s="566"/>
      <c r="U92" s="34"/>
      <c r="V92" s="34"/>
      <c r="W92" s="35" t="s">
        <v>69</v>
      </c>
      <c r="X92" s="555">
        <v>500</v>
      </c>
      <c r="Y92" s="556">
        <f>IFERROR(IF(X92="",0,CEILING((X92/$H92),1)*$H92),"")</f>
        <v>502.2</v>
      </c>
      <c r="Z92" s="36">
        <f>IFERROR(IF(Y92=0,"",ROUNDUP(Y92/H92,0)*0.01898),"")</f>
        <v>1.17676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530.49382716049388</v>
      </c>
      <c r="BN92" s="64">
        <f>IFERROR(Y92*I92/H92,"0")</f>
        <v>532.82799999999997</v>
      </c>
      <c r="BO92" s="64">
        <f>IFERROR(1/J92*(X92/H92),"0")</f>
        <v>0.96450617283950624</v>
      </c>
      <c r="BP92" s="64">
        <f>IFERROR(1/J92*(Y92/H92),"0")</f>
        <v>0.96875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5"/>
      <c r="R93" s="565"/>
      <c r="S93" s="565"/>
      <c r="T93" s="566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5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5"/>
      <c r="R94" s="565"/>
      <c r="S94" s="565"/>
      <c r="T94" s="566"/>
      <c r="U94" s="34"/>
      <c r="V94" s="34"/>
      <c r="W94" s="35" t="s">
        <v>69</v>
      </c>
      <c r="X94" s="555">
        <v>225</v>
      </c>
      <c r="Y94" s="556">
        <f>IFERROR(IF(X94="",0,CEILING((X94/$H94),1)*$H94),"")</f>
        <v>226.8</v>
      </c>
      <c r="Z94" s="36">
        <f>IFERROR(IF(Y94=0,"",ROUNDUP(Y94/H94,0)*0.00651),"")</f>
        <v>0.54683999999999999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246</v>
      </c>
      <c r="BN94" s="64">
        <f>IFERROR(Y94*I94/H94,"0")</f>
        <v>247.96799999999999</v>
      </c>
      <c r="BO94" s="64">
        <f>IFERROR(1/J94*(X94/H94),"0")</f>
        <v>0.45787545787545786</v>
      </c>
      <c r="BP94" s="64">
        <f>IFERROR(1/J94*(Y94/H94),"0")</f>
        <v>0.46153846153846156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79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5"/>
      <c r="R95" s="565"/>
      <c r="S95" s="565"/>
      <c r="T95" s="566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8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70"/>
      <c r="P96" s="567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145.06172839506172</v>
      </c>
      <c r="Y96" s="557">
        <f>IFERROR(Y92/H92,"0")+IFERROR(Y93/H93,"0")+IFERROR(Y94/H94,"0")+IFERROR(Y95/H95,"0")</f>
        <v>146</v>
      </c>
      <c r="Z96" s="557">
        <f>IFERROR(IF(Z92="",0,Z92),"0")+IFERROR(IF(Z93="",0,Z93),"0")+IFERROR(IF(Z94="",0,Z94),"0")+IFERROR(IF(Z95="",0,Z95),"0")</f>
        <v>1.7236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70"/>
      <c r="P97" s="567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725</v>
      </c>
      <c r="Y97" s="557">
        <f>IFERROR(SUM(Y92:Y95),"0")</f>
        <v>729</v>
      </c>
      <c r="Z97" s="37"/>
      <c r="AA97" s="558"/>
      <c r="AB97" s="558"/>
      <c r="AC97" s="558"/>
    </row>
    <row r="98" spans="1:68" ht="16.5" hidden="1" customHeight="1" x14ac:dyDescent="0.25">
      <c r="A98" s="577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hidden="1" customHeight="1" x14ac:dyDescent="0.25">
      <c r="A99" s="576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5"/>
      <c r="R100" s="565"/>
      <c r="S100" s="565"/>
      <c r="T100" s="566"/>
      <c r="U100" s="34"/>
      <c r="V100" s="34"/>
      <c r="W100" s="35" t="s">
        <v>69</v>
      </c>
      <c r="X100" s="555">
        <v>200</v>
      </c>
      <c r="Y100" s="556">
        <f>IFERROR(IF(X100="",0,CEILING((X100/$H100),1)*$H100),"")</f>
        <v>205.20000000000002</v>
      </c>
      <c r="Z100" s="36">
        <f>IFERROR(IF(Y100=0,"",ROUNDUP(Y100/H100,0)*0.01898),"")</f>
        <v>0.36062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207.59259259259258</v>
      </c>
      <c r="BN100" s="64">
        <f>IFERROR(Y100*I100/H100,"0")</f>
        <v>212.99</v>
      </c>
      <c r="BO100" s="64">
        <f>IFERROR(1/J100*(X100/H100),"0")</f>
        <v>0.28935185185185186</v>
      </c>
      <c r="BP100" s="64">
        <f>IFERROR(1/J100*(Y100/H100),"0")</f>
        <v>0.296875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3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5"/>
      <c r="R101" s="565"/>
      <c r="S101" s="565"/>
      <c r="T101" s="566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5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5"/>
      <c r="R102" s="565"/>
      <c r="S102" s="565"/>
      <c r="T102" s="566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82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5"/>
      <c r="R103" s="565"/>
      <c r="S103" s="565"/>
      <c r="T103" s="566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5"/>
      <c r="R104" s="565"/>
      <c r="S104" s="565"/>
      <c r="T104" s="566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8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70"/>
      <c r="P105" s="567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18.518518518518519</v>
      </c>
      <c r="Y105" s="557">
        <f>IFERROR(Y100/H100,"0")+IFERROR(Y101/H101,"0")+IFERROR(Y102/H102,"0")+IFERROR(Y103/H103,"0")+IFERROR(Y104/H104,"0")</f>
        <v>19</v>
      </c>
      <c r="Z105" s="557">
        <f>IFERROR(IF(Z100="",0,Z100),"0")+IFERROR(IF(Z101="",0,Z101),"0")+IFERROR(IF(Z102="",0,Z102),"0")+IFERROR(IF(Z103="",0,Z103),"0")+IFERROR(IF(Z104="",0,Z104),"0")</f>
        <v>0.36062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70"/>
      <c r="P106" s="567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200</v>
      </c>
      <c r="Y106" s="557">
        <f>IFERROR(SUM(Y100:Y104),"0")</f>
        <v>205.20000000000002</v>
      </c>
      <c r="Z106" s="37"/>
      <c r="AA106" s="558"/>
      <c r="AB106" s="558"/>
      <c r="AC106" s="558"/>
    </row>
    <row r="107" spans="1:68" ht="14.25" hidden="1" customHeight="1" x14ac:dyDescent="0.25">
      <c r="A107" s="576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69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5"/>
      <c r="R108" s="565"/>
      <c r="S108" s="565"/>
      <c r="T108" s="566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6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5"/>
      <c r="R109" s="565"/>
      <c r="S109" s="565"/>
      <c r="T109" s="566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6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5"/>
      <c r="R110" s="565"/>
      <c r="S110" s="565"/>
      <c r="T110" s="566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5"/>
      <c r="R111" s="565"/>
      <c r="S111" s="565"/>
      <c r="T111" s="566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8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70"/>
      <c r="P112" s="567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70"/>
      <c r="P113" s="567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76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1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5"/>
      <c r="R115" s="565"/>
      <c r="S115" s="565"/>
      <c r="T115" s="566"/>
      <c r="U115" s="34"/>
      <c r="V115" s="34"/>
      <c r="W115" s="35" t="s">
        <v>69</v>
      </c>
      <c r="X115" s="555">
        <v>500</v>
      </c>
      <c r="Y115" s="556">
        <f>IFERROR(IF(X115="",0,CEILING((X115/$H115),1)*$H115),"")</f>
        <v>502.2</v>
      </c>
      <c r="Z115" s="36">
        <f>IFERROR(IF(Y115=0,"",ROUNDUP(Y115/H115,0)*0.01898),"")</f>
        <v>1.17676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530.12345679012344</v>
      </c>
      <c r="BN115" s="64">
        <f>IFERROR(Y115*I115/H115,"0")</f>
        <v>532.4559999999999</v>
      </c>
      <c r="BO115" s="64">
        <f>IFERROR(1/J115*(X115/H115),"0")</f>
        <v>0.96450617283950624</v>
      </c>
      <c r="BP115" s="64">
        <f>IFERROR(1/J115*(Y115/H115),"0")</f>
        <v>0.96875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82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5"/>
      <c r="R116" s="565"/>
      <c r="S116" s="565"/>
      <c r="T116" s="566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7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5"/>
      <c r="R117" s="565"/>
      <c r="S117" s="565"/>
      <c r="T117" s="566"/>
      <c r="U117" s="34"/>
      <c r="V117" s="34"/>
      <c r="W117" s="35" t="s">
        <v>69</v>
      </c>
      <c r="X117" s="555">
        <v>675</v>
      </c>
      <c r="Y117" s="556">
        <f>IFERROR(IF(X117="",0,CEILING((X117/$H117),1)*$H117),"")</f>
        <v>675</v>
      </c>
      <c r="Z117" s="36">
        <f>IFERROR(IF(Y117=0,"",ROUNDUP(Y117/H117,0)*0.00651),"")</f>
        <v>1.6274999999999999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737.99999999999989</v>
      </c>
      <c r="BN117" s="64">
        <f>IFERROR(Y117*I117/H117,"0")</f>
        <v>737.99999999999989</v>
      </c>
      <c r="BO117" s="64">
        <f>IFERROR(1/J117*(X117/H117),"0")</f>
        <v>1.3736263736263736</v>
      </c>
      <c r="BP117" s="64">
        <f>IFERROR(1/J117*(Y117/H117),"0")</f>
        <v>1.3736263736263736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7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5"/>
      <c r="R118" s="565"/>
      <c r="S118" s="565"/>
      <c r="T118" s="566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8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70"/>
      <c r="P119" s="567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311.72839506172835</v>
      </c>
      <c r="Y119" s="557">
        <f>IFERROR(Y115/H115,"0")+IFERROR(Y116/H116,"0")+IFERROR(Y117/H117,"0")+IFERROR(Y118/H118,"0")</f>
        <v>312</v>
      </c>
      <c r="Z119" s="557">
        <f>IFERROR(IF(Z115="",0,Z115),"0")+IFERROR(IF(Z116="",0,Z116),"0")+IFERROR(IF(Z117="",0,Z117),"0")+IFERROR(IF(Z118="",0,Z118),"0")</f>
        <v>2.8042600000000002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70"/>
      <c r="P120" s="567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1175</v>
      </c>
      <c r="Y120" s="557">
        <f>IFERROR(SUM(Y115:Y118),"0")</f>
        <v>1177.2</v>
      </c>
      <c r="Z120" s="37"/>
      <c r="AA120" s="558"/>
      <c r="AB120" s="558"/>
      <c r="AC120" s="558"/>
    </row>
    <row r="121" spans="1:68" ht="14.25" hidden="1" customHeight="1" x14ac:dyDescent="0.25">
      <c r="A121" s="576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5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5"/>
      <c r="R122" s="565"/>
      <c r="S122" s="565"/>
      <c r="T122" s="566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8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70"/>
      <c r="P123" s="567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70"/>
      <c r="P124" s="567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77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hidden="1" customHeight="1" x14ac:dyDescent="0.25">
      <c r="A126" s="576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6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5"/>
      <c r="R127" s="565"/>
      <c r="S127" s="565"/>
      <c r="T127" s="566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6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5"/>
      <c r="R128" s="565"/>
      <c r="S128" s="565"/>
      <c r="T128" s="566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8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70"/>
      <c r="P129" s="567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70"/>
      <c r="P130" s="567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76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6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5"/>
      <c r="R133" s="565"/>
      <c r="S133" s="565"/>
      <c r="T133" s="566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8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70"/>
      <c r="P134" s="567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70"/>
      <c r="P135" s="567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76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82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5"/>
      <c r="R137" s="565"/>
      <c r="S137" s="565"/>
      <c r="T137" s="566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5"/>
      <c r="R138" s="565"/>
      <c r="S138" s="565"/>
      <c r="T138" s="566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8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70"/>
      <c r="P139" s="567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70"/>
      <c r="P140" s="567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77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hidden="1" customHeight="1" x14ac:dyDescent="0.25">
      <c r="A142" s="576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1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5"/>
      <c r="R143" s="565"/>
      <c r="S143" s="565"/>
      <c r="T143" s="566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5"/>
      <c r="R144" s="565"/>
      <c r="S144" s="565"/>
      <c r="T144" s="566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8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70"/>
      <c r="P145" s="567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70"/>
      <c r="P146" s="567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76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83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5"/>
      <c r="R148" s="565"/>
      <c r="S148" s="565"/>
      <c r="T148" s="566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584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5"/>
      <c r="R149" s="565"/>
      <c r="S149" s="565"/>
      <c r="T149" s="566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8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5"/>
      <c r="R150" s="565"/>
      <c r="S150" s="565"/>
      <c r="T150" s="566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56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5"/>
      <c r="R151" s="565"/>
      <c r="S151" s="565"/>
      <c r="T151" s="566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87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5"/>
      <c r="R152" s="565"/>
      <c r="S152" s="565"/>
      <c r="T152" s="566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2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5"/>
      <c r="R153" s="565"/>
      <c r="S153" s="565"/>
      <c r="T153" s="566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8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70"/>
      <c r="P154" s="567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hidden="1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70"/>
      <c r="P155" s="567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hidden="1" customHeight="1" x14ac:dyDescent="0.25">
      <c r="A156" s="576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8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5"/>
      <c r="R157" s="565"/>
      <c r="S157" s="565"/>
      <c r="T157" s="566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8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70"/>
      <c r="P158" s="567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70"/>
      <c r="P159" s="567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609" t="s">
        <v>268</v>
      </c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0"/>
      <c r="P160" s="610"/>
      <c r="Q160" s="610"/>
      <c r="R160" s="610"/>
      <c r="S160" s="610"/>
      <c r="T160" s="610"/>
      <c r="U160" s="610"/>
      <c r="V160" s="610"/>
      <c r="W160" s="610"/>
      <c r="X160" s="610"/>
      <c r="Y160" s="610"/>
      <c r="Z160" s="610"/>
      <c r="AA160" s="48"/>
      <c r="AB160" s="48"/>
      <c r="AC160" s="48"/>
    </row>
    <row r="161" spans="1:68" ht="16.5" hidden="1" customHeight="1" x14ac:dyDescent="0.25">
      <c r="A161" s="577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hidden="1" customHeight="1" x14ac:dyDescent="0.25">
      <c r="A162" s="576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5"/>
      <c r="R163" s="565"/>
      <c r="S163" s="565"/>
      <c r="T163" s="566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8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70"/>
      <c r="P164" s="567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70"/>
      <c r="P165" s="567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76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83" t="s">
        <v>276</v>
      </c>
      <c r="Q167" s="565"/>
      <c r="R167" s="565"/>
      <c r="S167" s="565"/>
      <c r="T167" s="566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818" t="s">
        <v>281</v>
      </c>
      <c r="Q168" s="565"/>
      <c r="R168" s="565"/>
      <c r="S168" s="565"/>
      <c r="T168" s="566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7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5"/>
      <c r="R169" s="565"/>
      <c r="S169" s="565"/>
      <c r="T169" s="566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8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5"/>
      <c r="R170" s="565"/>
      <c r="S170" s="565"/>
      <c r="T170" s="566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5"/>
      <c r="R171" s="565"/>
      <c r="S171" s="565"/>
      <c r="T171" s="566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5"/>
      <c r="R172" s="565"/>
      <c r="S172" s="565"/>
      <c r="T172" s="566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85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5"/>
      <c r="R173" s="565"/>
      <c r="S173" s="565"/>
      <c r="T173" s="566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58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5"/>
      <c r="R174" s="565"/>
      <c r="S174" s="565"/>
      <c r="T174" s="566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5"/>
      <c r="R175" s="565"/>
      <c r="S175" s="565"/>
      <c r="T175" s="566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5"/>
      <c r="R176" s="565"/>
      <c r="S176" s="565"/>
      <c r="T176" s="566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67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5"/>
      <c r="R177" s="565"/>
      <c r="S177" s="565"/>
      <c r="T177" s="566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5"/>
      <c r="R178" s="565"/>
      <c r="S178" s="565"/>
      <c r="T178" s="566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5"/>
      <c r="R179" s="565"/>
      <c r="S179" s="565"/>
      <c r="T179" s="566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8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5"/>
      <c r="R180" s="565"/>
      <c r="S180" s="565"/>
      <c r="T180" s="566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8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70"/>
      <c r="P181" s="567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hidden="1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70"/>
      <c r="P182" s="567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hidden="1" customHeight="1" x14ac:dyDescent="0.25">
      <c r="A183" s="576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8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5"/>
      <c r="R184" s="565"/>
      <c r="S184" s="565"/>
      <c r="T184" s="566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5"/>
      <c r="R185" s="565"/>
      <c r="S185" s="565"/>
      <c r="T185" s="566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6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5"/>
      <c r="R186" s="565"/>
      <c r="S186" s="565"/>
      <c r="T186" s="566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8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70"/>
      <c r="P187" s="567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70"/>
      <c r="P188" s="567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76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6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5"/>
      <c r="R190" s="565"/>
      <c r="S190" s="565"/>
      <c r="T190" s="566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8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70"/>
      <c r="P191" s="567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70"/>
      <c r="P192" s="567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77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hidden="1" customHeight="1" x14ac:dyDescent="0.25">
      <c r="A194" s="576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7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5"/>
      <c r="R195" s="565"/>
      <c r="S195" s="565"/>
      <c r="T195" s="566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5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5"/>
      <c r="R196" s="565"/>
      <c r="S196" s="565"/>
      <c r="T196" s="566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8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70"/>
      <c r="P197" s="567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70"/>
      <c r="P198" s="567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76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5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5"/>
      <c r="R200" s="565"/>
      <c r="S200" s="565"/>
      <c r="T200" s="566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6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5"/>
      <c r="R201" s="565"/>
      <c r="S201" s="565"/>
      <c r="T201" s="566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8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70"/>
      <c r="P202" s="567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70"/>
      <c r="P203" s="567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76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5"/>
      <c r="R205" s="565"/>
      <c r="S205" s="565"/>
      <c r="T205" s="566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5"/>
      <c r="R206" s="565"/>
      <c r="S206" s="565"/>
      <c r="T206" s="566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5"/>
      <c r="R207" s="565"/>
      <c r="S207" s="565"/>
      <c r="T207" s="566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9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5"/>
      <c r="R208" s="565"/>
      <c r="S208" s="565"/>
      <c r="T208" s="566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88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5"/>
      <c r="R209" s="565"/>
      <c r="S209" s="565"/>
      <c r="T209" s="566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5"/>
      <c r="R210" s="565"/>
      <c r="S210" s="565"/>
      <c r="T210" s="566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5"/>
      <c r="R211" s="565"/>
      <c r="S211" s="565"/>
      <c r="T211" s="566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5"/>
      <c r="R212" s="565"/>
      <c r="S212" s="565"/>
      <c r="T212" s="566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8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70"/>
      <c r="P213" s="567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hidden="1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70"/>
      <c r="P214" s="567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hidden="1" customHeight="1" x14ac:dyDescent="0.25">
      <c r="A215" s="576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5"/>
      <c r="R216" s="565"/>
      <c r="S216" s="565"/>
      <c r="T216" s="566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5"/>
      <c r="R217" s="565"/>
      <c r="S217" s="565"/>
      <c r="T217" s="566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5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5"/>
      <c r="R218" s="565"/>
      <c r="S218" s="565"/>
      <c r="T218" s="566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5"/>
      <c r="R219" s="565"/>
      <c r="S219" s="565"/>
      <c r="T219" s="566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5"/>
      <c r="R220" s="565"/>
      <c r="S220" s="565"/>
      <c r="T220" s="566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87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5"/>
      <c r="R221" s="565"/>
      <c r="S221" s="565"/>
      <c r="T221" s="566"/>
      <c r="U221" s="34"/>
      <c r="V221" s="34"/>
      <c r="W221" s="35" t="s">
        <v>69</v>
      </c>
      <c r="X221" s="555">
        <v>200</v>
      </c>
      <c r="Y221" s="556">
        <f t="shared" si="20"/>
        <v>201.6</v>
      </c>
      <c r="Z221" s="36">
        <f t="shared" si="25"/>
        <v>0.54683999999999999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6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5"/>
      <c r="R222" s="565"/>
      <c r="S222" s="565"/>
      <c r="T222" s="566"/>
      <c r="U222" s="34"/>
      <c r="V222" s="34"/>
      <c r="W222" s="35" t="s">
        <v>69</v>
      </c>
      <c r="X222" s="555">
        <v>80</v>
      </c>
      <c r="Y222" s="556">
        <f t="shared" si="20"/>
        <v>81.599999999999994</v>
      </c>
      <c r="Z222" s="36">
        <f t="shared" si="25"/>
        <v>0.22134000000000001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88.40000000000002</v>
      </c>
      <c r="BN222" s="64">
        <f t="shared" si="22"/>
        <v>90.168000000000006</v>
      </c>
      <c r="BO222" s="64">
        <f t="shared" si="23"/>
        <v>0.18315018315018317</v>
      </c>
      <c r="BP222" s="64">
        <f t="shared" si="24"/>
        <v>0.18681318681318682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8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5"/>
      <c r="R223" s="565"/>
      <c r="S223" s="565"/>
      <c r="T223" s="566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2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5"/>
      <c r="R224" s="565"/>
      <c r="S224" s="565"/>
      <c r="T224" s="566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8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70"/>
      <c r="P225" s="567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116.66666666666669</v>
      </c>
      <c r="Y225" s="557">
        <f>IFERROR(Y216/H216,"0")+IFERROR(Y217/H217,"0")+IFERROR(Y218/H218,"0")+IFERROR(Y219/H219,"0")+IFERROR(Y220/H220,"0")+IFERROR(Y221/H221,"0")+IFERROR(Y222/H222,"0")+IFERROR(Y223/H223,"0")+IFERROR(Y224/H224,"0")</f>
        <v>118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0.76817999999999997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70"/>
      <c r="P226" s="567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280</v>
      </c>
      <c r="Y226" s="557">
        <f>IFERROR(SUM(Y216:Y224),"0")</f>
        <v>283.2</v>
      </c>
      <c r="Z226" s="37"/>
      <c r="AA226" s="558"/>
      <c r="AB226" s="558"/>
      <c r="AC226" s="558"/>
    </row>
    <row r="227" spans="1:68" ht="14.25" hidden="1" customHeight="1" x14ac:dyDescent="0.25">
      <c r="A227" s="576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6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5"/>
      <c r="R228" s="565"/>
      <c r="S228" s="565"/>
      <c r="T228" s="566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1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5"/>
      <c r="R229" s="565"/>
      <c r="S229" s="565"/>
      <c r="T229" s="566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8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70"/>
      <c r="P230" s="567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70"/>
      <c r="P231" s="567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77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hidden="1" customHeight="1" x14ac:dyDescent="0.25">
      <c r="A233" s="576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6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5"/>
      <c r="R234" s="565"/>
      <c r="S234" s="565"/>
      <c r="T234" s="566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5"/>
      <c r="R235" s="565"/>
      <c r="S235" s="565"/>
      <c r="T235" s="566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85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5"/>
      <c r="R236" s="565"/>
      <c r="S236" s="565"/>
      <c r="T236" s="566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5"/>
      <c r="R237" s="565"/>
      <c r="S237" s="565"/>
      <c r="T237" s="566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5"/>
      <c r="R238" s="565"/>
      <c r="S238" s="565"/>
      <c r="T238" s="566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5"/>
      <c r="R239" s="565"/>
      <c r="S239" s="565"/>
      <c r="T239" s="566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8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5"/>
      <c r="R240" s="565"/>
      <c r="S240" s="565"/>
      <c r="T240" s="566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66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5"/>
      <c r="R241" s="565"/>
      <c r="S241" s="565"/>
      <c r="T241" s="566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84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5"/>
      <c r="R242" s="565"/>
      <c r="S242" s="565"/>
      <c r="T242" s="566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8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70"/>
      <c r="P243" s="567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70"/>
      <c r="P244" s="567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76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5"/>
      <c r="R246" s="565"/>
      <c r="S246" s="565"/>
      <c r="T246" s="566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8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70"/>
      <c r="P247" s="567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70"/>
      <c r="P248" s="567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76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5"/>
      <c r="R250" s="565"/>
      <c r="S250" s="565"/>
      <c r="T250" s="566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8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70"/>
      <c r="P251" s="567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70"/>
      <c r="P252" s="567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76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6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5"/>
      <c r="R254" s="565"/>
      <c r="S254" s="565"/>
      <c r="T254" s="566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81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5"/>
      <c r="R255" s="565"/>
      <c r="S255" s="565"/>
      <c r="T255" s="566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6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5"/>
      <c r="R256" s="565"/>
      <c r="S256" s="565"/>
      <c r="T256" s="566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5"/>
      <c r="R257" s="565"/>
      <c r="S257" s="565"/>
      <c r="T257" s="566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82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5"/>
      <c r="R258" s="565"/>
      <c r="S258" s="565"/>
      <c r="T258" s="566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8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70"/>
      <c r="P259" s="567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70"/>
      <c r="P260" s="567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77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hidden="1" customHeight="1" x14ac:dyDescent="0.25">
      <c r="A262" s="576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60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5"/>
      <c r="R263" s="565"/>
      <c r="S263" s="565"/>
      <c r="T263" s="566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6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5"/>
      <c r="R264" s="565"/>
      <c r="S264" s="565"/>
      <c r="T264" s="566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5"/>
      <c r="R265" s="565"/>
      <c r="S265" s="565"/>
      <c r="T265" s="566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83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5"/>
      <c r="R266" s="565"/>
      <c r="S266" s="565"/>
      <c r="T266" s="566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5"/>
      <c r="R267" s="565"/>
      <c r="S267" s="565"/>
      <c r="T267" s="566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8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70"/>
      <c r="P268" s="567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0</v>
      </c>
      <c r="Y268" s="557">
        <f>IFERROR(Y263/H263,"0")+IFERROR(Y264/H264,"0")+IFERROR(Y265/H265,"0")+IFERROR(Y266/H266,"0")+IFERROR(Y267/H267,"0")</f>
        <v>0</v>
      </c>
      <c r="Z268" s="557">
        <f>IFERROR(IF(Z263="",0,Z263),"0")+IFERROR(IF(Z264="",0,Z264),"0")+IFERROR(IF(Z265="",0,Z265),"0")+IFERROR(IF(Z266="",0,Z266),"0")+IFERROR(IF(Z267="",0,Z267),"0")</f>
        <v>0</v>
      </c>
      <c r="AA268" s="558"/>
      <c r="AB268" s="558"/>
      <c r="AC268" s="558"/>
    </row>
    <row r="269" spans="1:68" hidden="1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70"/>
      <c r="P269" s="567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0</v>
      </c>
      <c r="Y269" s="557">
        <f>IFERROR(SUM(Y263:Y267),"0")</f>
        <v>0</v>
      </c>
      <c r="Z269" s="37"/>
      <c r="AA269" s="558"/>
      <c r="AB269" s="558"/>
      <c r="AC269" s="558"/>
    </row>
    <row r="270" spans="1:68" ht="16.5" hidden="1" customHeight="1" x14ac:dyDescent="0.25">
      <c r="A270" s="577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hidden="1" customHeight="1" x14ac:dyDescent="0.25">
      <c r="A271" s="576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82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5"/>
      <c r="R272" s="565"/>
      <c r="S272" s="565"/>
      <c r="T272" s="566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8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5"/>
      <c r="R273" s="565"/>
      <c r="S273" s="565"/>
      <c r="T273" s="566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68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5"/>
      <c r="R274" s="565"/>
      <c r="S274" s="565"/>
      <c r="T274" s="566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88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5"/>
      <c r="R275" s="565"/>
      <c r="S275" s="565"/>
      <c r="T275" s="566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8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70"/>
      <c r="P276" s="567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70"/>
      <c r="P277" s="567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77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hidden="1" customHeight="1" x14ac:dyDescent="0.25">
      <c r="A279" s="576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5"/>
      <c r="R280" s="565"/>
      <c r="S280" s="565"/>
      <c r="T280" s="566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8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5"/>
      <c r="R281" s="565"/>
      <c r="S281" s="565"/>
      <c r="T281" s="566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6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5"/>
      <c r="R282" s="565"/>
      <c r="S282" s="565"/>
      <c r="T282" s="566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8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70"/>
      <c r="P283" s="567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70"/>
      <c r="P284" s="567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77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hidden="1" customHeight="1" x14ac:dyDescent="0.25">
      <c r="A286" s="576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5"/>
      <c r="R287" s="565"/>
      <c r="S287" s="565"/>
      <c r="T287" s="566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60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5"/>
      <c r="R288" s="565"/>
      <c r="S288" s="565"/>
      <c r="T288" s="566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8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70"/>
      <c r="P289" s="567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70"/>
      <c r="P290" s="567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76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5"/>
      <c r="R292" s="565"/>
      <c r="S292" s="565"/>
      <c r="T292" s="566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58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5"/>
      <c r="R293" s="565"/>
      <c r="S293" s="565"/>
      <c r="T293" s="566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8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70"/>
      <c r="P294" s="567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70"/>
      <c r="P295" s="567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77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hidden="1" customHeight="1" x14ac:dyDescent="0.25">
      <c r="A297" s="576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63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5"/>
      <c r="R298" s="565"/>
      <c r="S298" s="565"/>
      <c r="T298" s="566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hidden="1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2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5"/>
      <c r="R299" s="565"/>
      <c r="S299" s="565"/>
      <c r="T299" s="566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hidden="1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77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5"/>
      <c r="R300" s="565"/>
      <c r="S300" s="565"/>
      <c r="T300" s="566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5"/>
      <c r="R301" s="565"/>
      <c r="S301" s="565"/>
      <c r="T301" s="566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5"/>
      <c r="R302" s="565"/>
      <c r="S302" s="565"/>
      <c r="T302" s="566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5"/>
      <c r="R303" s="565"/>
      <c r="S303" s="565"/>
      <c r="T303" s="566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idden="1" x14ac:dyDescent="0.2">
      <c r="A304" s="568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70"/>
      <c r="P304" s="567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hidden="1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70"/>
      <c r="P305" s="567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hidden="1" customHeight="1" x14ac:dyDescent="0.25">
      <c r="A306" s="576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hidden="1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5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5"/>
      <c r="R307" s="565"/>
      <c r="S307" s="565"/>
      <c r="T307" s="566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83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5"/>
      <c r="R308" s="565"/>
      <c r="S308" s="565"/>
      <c r="T308" s="566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5"/>
      <c r="R309" s="565"/>
      <c r="S309" s="565"/>
      <c r="T309" s="566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5"/>
      <c r="R310" s="565"/>
      <c r="S310" s="565"/>
      <c r="T310" s="566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5"/>
      <c r="R311" s="565"/>
      <c r="S311" s="565"/>
      <c r="T311" s="566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8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5"/>
      <c r="R312" s="565"/>
      <c r="S312" s="565"/>
      <c r="T312" s="566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hidden="1" x14ac:dyDescent="0.2">
      <c r="A313" s="568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70"/>
      <c r="P313" s="567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hidden="1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70"/>
      <c r="P314" s="567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hidden="1" customHeight="1" x14ac:dyDescent="0.25">
      <c r="A315" s="576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hidden="1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8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5"/>
      <c r="R316" s="565"/>
      <c r="S316" s="565"/>
      <c r="T316" s="566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6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5"/>
      <c r="R317" s="565"/>
      <c r="S317" s="565"/>
      <c r="T317" s="566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6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5"/>
      <c r="R318" s="565"/>
      <c r="S318" s="565"/>
      <c r="T318" s="566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5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5"/>
      <c r="R319" s="565"/>
      <c r="S319" s="565"/>
      <c r="T319" s="566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568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70"/>
      <c r="P320" s="567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hidden="1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70"/>
      <c r="P321" s="567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hidden="1" customHeight="1" x14ac:dyDescent="0.25">
      <c r="A322" s="576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5"/>
      <c r="R323" s="565"/>
      <c r="S323" s="565"/>
      <c r="T323" s="566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6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5"/>
      <c r="R324" s="565"/>
      <c r="S324" s="565"/>
      <c r="T324" s="566"/>
      <c r="U324" s="34"/>
      <c r="V324" s="34"/>
      <c r="W324" s="35" t="s">
        <v>69</v>
      </c>
      <c r="X324" s="555">
        <v>200</v>
      </c>
      <c r="Y324" s="556">
        <f>IFERROR(IF(X324="",0,CEILING((X324/$H324),1)*$H324),"")</f>
        <v>202.79999999999998</v>
      </c>
      <c r="Z324" s="36">
        <f>IFERROR(IF(Y324=0,"",ROUNDUP(Y324/H324,0)*0.01898),"")</f>
        <v>0.49348000000000003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212.66666666666669</v>
      </c>
      <c r="BN324" s="64">
        <f>IFERROR(Y324*I324/H324,"0")</f>
        <v>215.64399999999998</v>
      </c>
      <c r="BO324" s="64">
        <f>IFERROR(1/J324*(X324/H324),"0")</f>
        <v>0.40064102564102566</v>
      </c>
      <c r="BP324" s="64">
        <f>IFERROR(1/J324*(Y324/H324),"0")</f>
        <v>0.40625</v>
      </c>
    </row>
    <row r="325" spans="1:68" ht="16.5" hidden="1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5"/>
      <c r="R325" s="565"/>
      <c r="S325" s="565"/>
      <c r="T325" s="566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68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70"/>
      <c r="P326" s="567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25.641025641025642</v>
      </c>
      <c r="Y326" s="557">
        <f>IFERROR(Y323/H323,"0")+IFERROR(Y324/H324,"0")+IFERROR(Y325/H325,"0")</f>
        <v>26</v>
      </c>
      <c r="Z326" s="557">
        <f>IFERROR(IF(Z323="",0,Z323),"0")+IFERROR(IF(Z324="",0,Z324),"0")+IFERROR(IF(Z325="",0,Z325),"0")</f>
        <v>0.49348000000000003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70"/>
      <c r="P327" s="567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200</v>
      </c>
      <c r="Y327" s="557">
        <f>IFERROR(SUM(Y323:Y325),"0")</f>
        <v>202.79999999999998</v>
      </c>
      <c r="Z327" s="37"/>
      <c r="AA327" s="558"/>
      <c r="AB327" s="558"/>
      <c r="AC327" s="558"/>
    </row>
    <row r="328" spans="1:68" ht="14.25" hidden="1" customHeight="1" x14ac:dyDescent="0.25">
      <c r="A328" s="576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5"/>
      <c r="R329" s="565"/>
      <c r="S329" s="565"/>
      <c r="T329" s="566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0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5"/>
      <c r="R330" s="565"/>
      <c r="S330" s="565"/>
      <c r="T330" s="566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7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5"/>
      <c r="R331" s="565"/>
      <c r="S331" s="565"/>
      <c r="T331" s="566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5"/>
      <c r="R332" s="565"/>
      <c r="S332" s="565"/>
      <c r="T332" s="566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568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70"/>
      <c r="P333" s="567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hidden="1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70"/>
      <c r="P334" s="567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hidden="1" customHeight="1" x14ac:dyDescent="0.25">
      <c r="A335" s="576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64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5"/>
      <c r="R336" s="565"/>
      <c r="S336" s="565"/>
      <c r="T336" s="566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8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5"/>
      <c r="R337" s="565"/>
      <c r="S337" s="565"/>
      <c r="T337" s="566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57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5"/>
      <c r="R338" s="565"/>
      <c r="S338" s="565"/>
      <c r="T338" s="566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68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70"/>
      <c r="P339" s="567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70"/>
      <c r="P340" s="567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77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hidden="1" customHeight="1" x14ac:dyDescent="0.25">
      <c r="A342" s="576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hidden="1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69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5"/>
      <c r="R343" s="565"/>
      <c r="S343" s="565"/>
      <c r="T343" s="566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6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5"/>
      <c r="R344" s="565"/>
      <c r="S344" s="565"/>
      <c r="T344" s="566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5"/>
      <c r="R345" s="565"/>
      <c r="S345" s="565"/>
      <c r="T345" s="566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568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70"/>
      <c r="P346" s="567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0</v>
      </c>
      <c r="Y346" s="557">
        <f>IFERROR(Y343/H343,"0")+IFERROR(Y344/H344,"0")+IFERROR(Y345/H345,"0")</f>
        <v>0</v>
      </c>
      <c r="Z346" s="557">
        <f>IFERROR(IF(Z343="",0,Z343),"0")+IFERROR(IF(Z344="",0,Z344),"0")+IFERROR(IF(Z345="",0,Z345),"0")</f>
        <v>0</v>
      </c>
      <c r="AA346" s="558"/>
      <c r="AB346" s="558"/>
      <c r="AC346" s="558"/>
    </row>
    <row r="347" spans="1:68" hidden="1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70"/>
      <c r="P347" s="567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0</v>
      </c>
      <c r="Y347" s="557">
        <f>IFERROR(SUM(Y343:Y345),"0")</f>
        <v>0</v>
      </c>
      <c r="Z347" s="37"/>
      <c r="AA347" s="558"/>
      <c r="AB347" s="558"/>
      <c r="AC347" s="558"/>
    </row>
    <row r="348" spans="1:68" ht="27.75" hidden="1" customHeight="1" x14ac:dyDescent="0.2">
      <c r="A348" s="609" t="s">
        <v>562</v>
      </c>
      <c r="B348" s="610"/>
      <c r="C348" s="610"/>
      <c r="D348" s="610"/>
      <c r="E348" s="610"/>
      <c r="F348" s="610"/>
      <c r="G348" s="610"/>
      <c r="H348" s="610"/>
      <c r="I348" s="610"/>
      <c r="J348" s="610"/>
      <c r="K348" s="610"/>
      <c r="L348" s="610"/>
      <c r="M348" s="610"/>
      <c r="N348" s="610"/>
      <c r="O348" s="610"/>
      <c r="P348" s="610"/>
      <c r="Q348" s="610"/>
      <c r="R348" s="610"/>
      <c r="S348" s="610"/>
      <c r="T348" s="610"/>
      <c r="U348" s="610"/>
      <c r="V348" s="610"/>
      <c r="W348" s="610"/>
      <c r="X348" s="610"/>
      <c r="Y348" s="610"/>
      <c r="Z348" s="610"/>
      <c r="AA348" s="48"/>
      <c r="AB348" s="48"/>
      <c r="AC348" s="48"/>
    </row>
    <row r="349" spans="1:68" ht="16.5" hidden="1" customHeight="1" x14ac:dyDescent="0.25">
      <c r="A349" s="577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hidden="1" customHeight="1" x14ac:dyDescent="0.25">
      <c r="A350" s="576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5"/>
      <c r="R351" s="565"/>
      <c r="S351" s="565"/>
      <c r="T351" s="566"/>
      <c r="U351" s="34"/>
      <c r="V351" s="34"/>
      <c r="W351" s="35" t="s">
        <v>69</v>
      </c>
      <c r="X351" s="555">
        <v>3000</v>
      </c>
      <c r="Y351" s="556">
        <f t="shared" ref="Y351:Y357" si="41">IFERROR(IF(X351="",0,CEILING((X351/$H351),1)*$H351),"")</f>
        <v>3000</v>
      </c>
      <c r="Z351" s="36">
        <f>IFERROR(IF(Y351=0,"",ROUNDUP(Y351/H351,0)*0.02175),"")</f>
        <v>4.3499999999999996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3094</v>
      </c>
      <c r="BN351" s="64">
        <f t="shared" ref="BN351:BN357" si="43">IFERROR(Y351*I351/H351,"0")</f>
        <v>3094</v>
      </c>
      <c r="BO351" s="64">
        <f t="shared" ref="BO351:BO357" si="44">IFERROR(1/J351*(X351/H351),"0")</f>
        <v>4.1666666666666661</v>
      </c>
      <c r="BP351" s="64">
        <f t="shared" ref="BP351:BP357" si="45">IFERROR(1/J351*(Y351/H351),"0")</f>
        <v>4.1666666666666661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8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5"/>
      <c r="R352" s="565"/>
      <c r="S352" s="565"/>
      <c r="T352" s="566"/>
      <c r="U352" s="34"/>
      <c r="V352" s="34"/>
      <c r="W352" s="35" t="s">
        <v>69</v>
      </c>
      <c r="X352" s="555">
        <v>0</v>
      </c>
      <c r="Y352" s="556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5"/>
      <c r="R353" s="565"/>
      <c r="S353" s="565"/>
      <c r="T353" s="566"/>
      <c r="U353" s="34"/>
      <c r="V353" s="34"/>
      <c r="W353" s="35" t="s">
        <v>69</v>
      </c>
      <c r="X353" s="555">
        <v>3000</v>
      </c>
      <c r="Y353" s="556">
        <f t="shared" si="41"/>
        <v>3000</v>
      </c>
      <c r="Z353" s="36">
        <f>IFERROR(IF(Y353=0,"",ROUNDUP(Y353/H353,0)*0.02175),"")</f>
        <v>4.3499999999999996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3094</v>
      </c>
      <c r="BN353" s="64">
        <f t="shared" si="43"/>
        <v>3094</v>
      </c>
      <c r="BO353" s="64">
        <f t="shared" si="44"/>
        <v>4.1666666666666661</v>
      </c>
      <c r="BP353" s="64">
        <f t="shared" si="45"/>
        <v>4.1666666666666661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64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5"/>
      <c r="R354" s="565"/>
      <c r="S354" s="565"/>
      <c r="T354" s="566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6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5"/>
      <c r="R355" s="565"/>
      <c r="S355" s="565"/>
      <c r="T355" s="566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5"/>
      <c r="R356" s="565"/>
      <c r="S356" s="565"/>
      <c r="T356" s="566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6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5"/>
      <c r="R357" s="565"/>
      <c r="S357" s="565"/>
      <c r="T357" s="566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68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70"/>
      <c r="P358" s="567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400</v>
      </c>
      <c r="Y358" s="557">
        <f>IFERROR(Y351/H351,"0")+IFERROR(Y352/H352,"0")+IFERROR(Y353/H353,"0")+IFERROR(Y354/H354,"0")+IFERROR(Y355/H355,"0")+IFERROR(Y356/H356,"0")+IFERROR(Y357/H357,"0")</f>
        <v>400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8.6999999999999993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70"/>
      <c r="P359" s="567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6000</v>
      </c>
      <c r="Y359" s="557">
        <f>IFERROR(SUM(Y351:Y357),"0")</f>
        <v>6000</v>
      </c>
      <c r="Z359" s="37"/>
      <c r="AA359" s="558"/>
      <c r="AB359" s="558"/>
      <c r="AC359" s="558"/>
    </row>
    <row r="360" spans="1:68" ht="14.25" hidden="1" customHeight="1" x14ac:dyDescent="0.25">
      <c r="A360" s="576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5"/>
      <c r="R361" s="565"/>
      <c r="S361" s="565"/>
      <c r="T361" s="566"/>
      <c r="U361" s="34"/>
      <c r="V361" s="34"/>
      <c r="W361" s="35" t="s">
        <v>69</v>
      </c>
      <c r="X361" s="555">
        <v>1000</v>
      </c>
      <c r="Y361" s="556">
        <f>IFERROR(IF(X361="",0,CEILING((X361/$H361),1)*$H361),"")</f>
        <v>1005</v>
      </c>
      <c r="Z361" s="36">
        <f>IFERROR(IF(Y361=0,"",ROUNDUP(Y361/H361,0)*0.02175),"")</f>
        <v>1.4572499999999999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1031.3333333333333</v>
      </c>
      <c r="BN361" s="64">
        <f>IFERROR(Y361*I361/H361,"0")</f>
        <v>1036.49</v>
      </c>
      <c r="BO361" s="64">
        <f>IFERROR(1/J361*(X361/H361),"0")</f>
        <v>1.3888888888888888</v>
      </c>
      <c r="BP361" s="64">
        <f>IFERROR(1/J361*(Y361/H361),"0")</f>
        <v>1.3958333333333333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6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5"/>
      <c r="R362" s="565"/>
      <c r="S362" s="565"/>
      <c r="T362" s="566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70"/>
      <c r="P363" s="567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66.666666666666671</v>
      </c>
      <c r="Y363" s="557">
        <f>IFERROR(Y361/H361,"0")+IFERROR(Y362/H362,"0")</f>
        <v>67</v>
      </c>
      <c r="Z363" s="557">
        <f>IFERROR(IF(Z361="",0,Z361),"0")+IFERROR(IF(Z362="",0,Z362),"0")</f>
        <v>1.4572499999999999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70"/>
      <c r="P364" s="567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1000</v>
      </c>
      <c r="Y364" s="557">
        <f>IFERROR(SUM(Y361:Y362),"0")</f>
        <v>1005</v>
      </c>
      <c r="Z364" s="37"/>
      <c r="AA364" s="558"/>
      <c r="AB364" s="558"/>
      <c r="AC364" s="558"/>
    </row>
    <row r="365" spans="1:68" ht="14.25" hidden="1" customHeight="1" x14ac:dyDescent="0.25">
      <c r="A365" s="576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8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5"/>
      <c r="R366" s="565"/>
      <c r="S366" s="565"/>
      <c r="T366" s="566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6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5"/>
      <c r="R367" s="565"/>
      <c r="S367" s="565"/>
      <c r="T367" s="566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68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70"/>
      <c r="P368" s="567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hidden="1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70"/>
      <c r="P369" s="567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hidden="1" customHeight="1" x14ac:dyDescent="0.25">
      <c r="A370" s="576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5"/>
      <c r="R371" s="565"/>
      <c r="S371" s="565"/>
      <c r="T371" s="566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68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70"/>
      <c r="P372" s="567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70"/>
      <c r="P373" s="567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77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hidden="1" customHeight="1" x14ac:dyDescent="0.25">
      <c r="A375" s="576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79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5"/>
      <c r="R376" s="565"/>
      <c r="S376" s="565"/>
      <c r="T376" s="566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5"/>
      <c r="R377" s="565"/>
      <c r="S377" s="565"/>
      <c r="T377" s="566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8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70"/>
      <c r="P378" s="567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70"/>
      <c r="P379" s="567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76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86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5"/>
      <c r="R381" s="565"/>
      <c r="S381" s="565"/>
      <c r="T381" s="566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8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5"/>
      <c r="R382" s="565"/>
      <c r="S382" s="565"/>
      <c r="T382" s="566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68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70"/>
      <c r="P383" s="567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70"/>
      <c r="P384" s="567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76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8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5"/>
      <c r="R386" s="565"/>
      <c r="S386" s="565"/>
      <c r="T386" s="566"/>
      <c r="U386" s="34"/>
      <c r="V386" s="34"/>
      <c r="W386" s="35" t="s">
        <v>69</v>
      </c>
      <c r="X386" s="555">
        <v>4000</v>
      </c>
      <c r="Y386" s="556">
        <f>IFERROR(IF(X386="",0,CEILING((X386/$H386),1)*$H386),"")</f>
        <v>4005</v>
      </c>
      <c r="Z386" s="36">
        <f>IFERROR(IF(Y386=0,"",ROUNDUP(Y386/H386,0)*0.01898),"")</f>
        <v>8.4460999999999995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4219.5555555555557</v>
      </c>
      <c r="BN386" s="64">
        <f>IFERROR(Y386*I386/H386,"0")</f>
        <v>4224.83</v>
      </c>
      <c r="BO386" s="64">
        <f>IFERROR(1/J386*(X386/H386),"0")</f>
        <v>6.9444444444444446</v>
      </c>
      <c r="BP386" s="64">
        <f>IFERROR(1/J386*(Y386/H386),"0")</f>
        <v>6.953125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5"/>
      <c r="R387" s="565"/>
      <c r="S387" s="565"/>
      <c r="T387" s="566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0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5"/>
      <c r="R388" s="565"/>
      <c r="S388" s="565"/>
      <c r="T388" s="566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68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70"/>
      <c r="P389" s="567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444.44444444444446</v>
      </c>
      <c r="Y389" s="557">
        <f>IFERROR(Y386/H386,"0")+IFERROR(Y387/H387,"0")+IFERROR(Y388/H388,"0")</f>
        <v>445</v>
      </c>
      <c r="Z389" s="557">
        <f>IFERROR(IF(Z386="",0,Z386),"0")+IFERROR(IF(Z387="",0,Z387),"0")+IFERROR(IF(Z388="",0,Z388),"0")</f>
        <v>8.4460999999999995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70"/>
      <c r="P390" s="567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4000</v>
      </c>
      <c r="Y390" s="557">
        <f>IFERROR(SUM(Y386:Y388),"0")</f>
        <v>4005</v>
      </c>
      <c r="Z390" s="37"/>
      <c r="AA390" s="558"/>
      <c r="AB390" s="558"/>
      <c r="AC390" s="558"/>
    </row>
    <row r="391" spans="1:68" ht="27.75" hidden="1" customHeight="1" x14ac:dyDescent="0.2">
      <c r="A391" s="609" t="s">
        <v>616</v>
      </c>
      <c r="B391" s="610"/>
      <c r="C391" s="610"/>
      <c r="D391" s="610"/>
      <c r="E391" s="610"/>
      <c r="F391" s="610"/>
      <c r="G391" s="610"/>
      <c r="H391" s="610"/>
      <c r="I391" s="610"/>
      <c r="J391" s="610"/>
      <c r="K391" s="610"/>
      <c r="L391" s="610"/>
      <c r="M391" s="610"/>
      <c r="N391" s="610"/>
      <c r="O391" s="610"/>
      <c r="P391" s="610"/>
      <c r="Q391" s="610"/>
      <c r="R391" s="610"/>
      <c r="S391" s="610"/>
      <c r="T391" s="610"/>
      <c r="U391" s="610"/>
      <c r="V391" s="610"/>
      <c r="W391" s="610"/>
      <c r="X391" s="610"/>
      <c r="Y391" s="610"/>
      <c r="Z391" s="610"/>
      <c r="AA391" s="48"/>
      <c r="AB391" s="48"/>
      <c r="AC391" s="48"/>
    </row>
    <row r="392" spans="1:68" ht="16.5" hidden="1" customHeight="1" x14ac:dyDescent="0.25">
      <c r="A392" s="577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hidden="1" customHeight="1" x14ac:dyDescent="0.25">
      <c r="A393" s="576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8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5"/>
      <c r="R394" s="565"/>
      <c r="S394" s="565"/>
      <c r="T394" s="566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0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5"/>
      <c r="R395" s="565"/>
      <c r="S395" s="565"/>
      <c r="T395" s="566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6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5"/>
      <c r="R396" s="565"/>
      <c r="S396" s="565"/>
      <c r="T396" s="566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5"/>
      <c r="R397" s="565"/>
      <c r="S397" s="565"/>
      <c r="T397" s="566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5"/>
      <c r="R398" s="565"/>
      <c r="S398" s="565"/>
      <c r="T398" s="566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9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5"/>
      <c r="R399" s="565"/>
      <c r="S399" s="565"/>
      <c r="T399" s="566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5"/>
      <c r="R400" s="565"/>
      <c r="S400" s="565"/>
      <c r="T400" s="566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8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5"/>
      <c r="R401" s="565"/>
      <c r="S401" s="565"/>
      <c r="T401" s="566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84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5"/>
      <c r="R402" s="565"/>
      <c r="S402" s="565"/>
      <c r="T402" s="566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hidden="1" x14ac:dyDescent="0.2">
      <c r="A403" s="568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70"/>
      <c r="P403" s="567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hidden="1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70"/>
      <c r="P404" s="567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hidden="1" customHeight="1" x14ac:dyDescent="0.25">
      <c r="A405" s="576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77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5"/>
      <c r="R406" s="565"/>
      <c r="S406" s="565"/>
      <c r="T406" s="566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84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5"/>
      <c r="R407" s="565"/>
      <c r="S407" s="565"/>
      <c r="T407" s="566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8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70"/>
      <c r="P408" s="567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70"/>
      <c r="P409" s="567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77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hidden="1" customHeight="1" x14ac:dyDescent="0.25">
      <c r="A411" s="576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63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5"/>
      <c r="R412" s="565"/>
      <c r="S412" s="565"/>
      <c r="T412" s="566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68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70"/>
      <c r="P413" s="567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70"/>
      <c r="P414" s="567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76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hidden="1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78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5"/>
      <c r="R416" s="565"/>
      <c r="S416" s="565"/>
      <c r="T416" s="566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59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5"/>
      <c r="R417" s="565"/>
      <c r="S417" s="565"/>
      <c r="T417" s="566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6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5"/>
      <c r="R418" s="565"/>
      <c r="S418" s="565"/>
      <c r="T418" s="566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5"/>
      <c r="R419" s="565"/>
      <c r="S419" s="565"/>
      <c r="T419" s="566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8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70"/>
      <c r="P420" s="567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hidden="1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70"/>
      <c r="P421" s="567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hidden="1" customHeight="1" x14ac:dyDescent="0.25">
      <c r="A422" s="577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hidden="1" customHeight="1" x14ac:dyDescent="0.25">
      <c r="A423" s="576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5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5"/>
      <c r="R424" s="565"/>
      <c r="S424" s="565"/>
      <c r="T424" s="566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68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70"/>
      <c r="P425" s="567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70"/>
      <c r="P426" s="567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609" t="s">
        <v>667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48"/>
      <c r="AB427" s="48"/>
      <c r="AC427" s="48"/>
    </row>
    <row r="428" spans="1:68" ht="16.5" hidden="1" customHeight="1" x14ac:dyDescent="0.25">
      <c r="A428" s="577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hidden="1" customHeight="1" x14ac:dyDescent="0.25">
      <c r="A429" s="576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5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5"/>
      <c r="R430" s="565"/>
      <c r="S430" s="565"/>
      <c r="T430" s="566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77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5"/>
      <c r="R431" s="565"/>
      <c r="S431" s="565"/>
      <c r="T431" s="566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87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5"/>
      <c r="R432" s="565"/>
      <c r="S432" s="565"/>
      <c r="T432" s="566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6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5"/>
      <c r="R433" s="565"/>
      <c r="S433" s="565"/>
      <c r="T433" s="566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6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5"/>
      <c r="R434" s="565"/>
      <c r="S434" s="565"/>
      <c r="T434" s="566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6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5"/>
      <c r="R435" s="565"/>
      <c r="S435" s="565"/>
      <c r="T435" s="566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59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5"/>
      <c r="R436" s="565"/>
      <c r="S436" s="565"/>
      <c r="T436" s="566"/>
      <c r="U436" s="34"/>
      <c r="V436" s="34"/>
      <c r="W436" s="35" t="s">
        <v>69</v>
      </c>
      <c r="X436" s="555">
        <v>0</v>
      </c>
      <c r="Y436" s="556">
        <f t="shared" si="52"/>
        <v>0</v>
      </c>
      <c r="Z436" s="36" t="str">
        <f t="shared" si="53"/>
        <v/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87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5"/>
      <c r="R437" s="565"/>
      <c r="S437" s="565"/>
      <c r="T437" s="566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5"/>
      <c r="R438" s="565"/>
      <c r="S438" s="565"/>
      <c r="T438" s="566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61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5"/>
      <c r="R439" s="565"/>
      <c r="S439" s="565"/>
      <c r="T439" s="566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5"/>
      <c r="R440" s="565"/>
      <c r="S440" s="565"/>
      <c r="T440" s="566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1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5"/>
      <c r="R441" s="565"/>
      <c r="S441" s="565"/>
      <c r="T441" s="566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hidden="1" x14ac:dyDescent="0.2">
      <c r="A442" s="568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70"/>
      <c r="P442" s="567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558"/>
      <c r="AB442" s="558"/>
      <c r="AC442" s="558"/>
    </row>
    <row r="443" spans="1:68" hidden="1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70"/>
      <c r="P443" s="567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0</v>
      </c>
      <c r="Y443" s="557">
        <f>IFERROR(SUM(Y430:Y441),"0")</f>
        <v>0</v>
      </c>
      <c r="Z443" s="37"/>
      <c r="AA443" s="558"/>
      <c r="AB443" s="558"/>
      <c r="AC443" s="558"/>
    </row>
    <row r="444" spans="1:68" ht="14.25" hidden="1" customHeight="1" x14ac:dyDescent="0.25">
      <c r="A444" s="576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hidden="1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6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5"/>
      <c r="R445" s="565"/>
      <c r="S445" s="565"/>
      <c r="T445" s="566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2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5"/>
      <c r="R446" s="565"/>
      <c r="S446" s="565"/>
      <c r="T446" s="566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5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5"/>
      <c r="R447" s="565"/>
      <c r="S447" s="565"/>
      <c r="T447" s="566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568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70"/>
      <c r="P448" s="567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hidden="1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70"/>
      <c r="P449" s="567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hidden="1" customHeight="1" x14ac:dyDescent="0.25">
      <c r="A450" s="576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hidden="1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5"/>
      <c r="R451" s="565"/>
      <c r="S451" s="565"/>
      <c r="T451" s="566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6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5"/>
      <c r="R452" s="565"/>
      <c r="S452" s="565"/>
      <c r="T452" s="566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83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5"/>
      <c r="R453" s="565"/>
      <c r="S453" s="565"/>
      <c r="T453" s="566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88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5"/>
      <c r="R454" s="565"/>
      <c r="S454" s="565"/>
      <c r="T454" s="566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5"/>
      <c r="R455" s="565"/>
      <c r="S455" s="565"/>
      <c r="T455" s="566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8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5"/>
      <c r="R456" s="565"/>
      <c r="S456" s="565"/>
      <c r="T456" s="566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hidden="1" x14ac:dyDescent="0.2">
      <c r="A457" s="568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70"/>
      <c r="P457" s="567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hidden="1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70"/>
      <c r="P458" s="567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hidden="1" customHeight="1" x14ac:dyDescent="0.25">
      <c r="A459" s="576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68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5"/>
      <c r="R460" s="565"/>
      <c r="S460" s="565"/>
      <c r="T460" s="566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8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70"/>
      <c r="P461" s="567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70"/>
      <c r="P462" s="567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609" t="s">
        <v>722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48"/>
      <c r="AB463" s="48"/>
      <c r="AC463" s="48"/>
    </row>
    <row r="464" spans="1:68" ht="16.5" hidden="1" customHeight="1" x14ac:dyDescent="0.25">
      <c r="A464" s="577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hidden="1" customHeight="1" x14ac:dyDescent="0.25">
      <c r="A465" s="576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81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5"/>
      <c r="R466" s="565"/>
      <c r="S466" s="565"/>
      <c r="T466" s="566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5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5"/>
      <c r="R467" s="565"/>
      <c r="S467" s="565"/>
      <c r="T467" s="566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86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5"/>
      <c r="R468" s="565"/>
      <c r="S468" s="565"/>
      <c r="T468" s="566"/>
      <c r="U468" s="34"/>
      <c r="V468" s="34"/>
      <c r="W468" s="35" t="s">
        <v>69</v>
      </c>
      <c r="X468" s="555">
        <v>100</v>
      </c>
      <c r="Y468" s="556">
        <f>IFERROR(IF(X468="",0,CEILING((X468/$H468),1)*$H468),"")</f>
        <v>108</v>
      </c>
      <c r="Z468" s="36">
        <f>IFERROR(IF(Y468=0,"",ROUNDUP(Y468/H468,0)*0.01898),"")</f>
        <v>0.17082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103.41666666666667</v>
      </c>
      <c r="BN468" s="64">
        <f>IFERROR(Y468*I468/H468,"0")</f>
        <v>111.69</v>
      </c>
      <c r="BO468" s="64">
        <f>IFERROR(1/J468*(X468/H468),"0")</f>
        <v>0.13020833333333334</v>
      </c>
      <c r="BP468" s="64">
        <f>IFERROR(1/J468*(Y468/H468),"0")</f>
        <v>0.140625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82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5"/>
      <c r="R469" s="565"/>
      <c r="S469" s="565"/>
      <c r="T469" s="566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70"/>
      <c r="P470" s="567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8.3333333333333339</v>
      </c>
      <c r="Y470" s="557">
        <f>IFERROR(Y466/H466,"0")+IFERROR(Y467/H467,"0")+IFERROR(Y468/H468,"0")+IFERROR(Y469/H469,"0")</f>
        <v>9</v>
      </c>
      <c r="Z470" s="557">
        <f>IFERROR(IF(Z466="",0,Z466),"0")+IFERROR(IF(Z467="",0,Z467),"0")+IFERROR(IF(Z468="",0,Z468),"0")+IFERROR(IF(Z469="",0,Z469),"0")</f>
        <v>0.17082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70"/>
      <c r="P471" s="567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100</v>
      </c>
      <c r="Y471" s="557">
        <f>IFERROR(SUM(Y466:Y469),"0")</f>
        <v>108</v>
      </c>
      <c r="Z471" s="37"/>
      <c r="AA471" s="558"/>
      <c r="AB471" s="558"/>
      <c r="AC471" s="558"/>
    </row>
    <row r="472" spans="1:68" ht="14.25" hidden="1" customHeight="1" x14ac:dyDescent="0.25">
      <c r="A472" s="576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8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5"/>
      <c r="R473" s="565"/>
      <c r="S473" s="565"/>
      <c r="T473" s="566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8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5"/>
      <c r="R474" s="565"/>
      <c r="S474" s="565"/>
      <c r="T474" s="566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8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70"/>
      <c r="P475" s="567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70"/>
      <c r="P476" s="567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76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hidden="1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5"/>
      <c r="R478" s="565"/>
      <c r="S478" s="565"/>
      <c r="T478" s="566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82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5"/>
      <c r="R479" s="565"/>
      <c r="S479" s="565"/>
      <c r="T479" s="566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8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70"/>
      <c r="P480" s="567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hidden="1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70"/>
      <c r="P481" s="567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hidden="1" customHeight="1" x14ac:dyDescent="0.25">
      <c r="A482" s="576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5"/>
      <c r="R483" s="565"/>
      <c r="S483" s="565"/>
      <c r="T483" s="566"/>
      <c r="U483" s="34"/>
      <c r="V483" s="34"/>
      <c r="W483" s="35" t="s">
        <v>69</v>
      </c>
      <c r="X483" s="555">
        <v>300</v>
      </c>
      <c r="Y483" s="556">
        <f>IFERROR(IF(X483="",0,CEILING((X483/$H483),1)*$H483),"")</f>
        <v>306</v>
      </c>
      <c r="Z483" s="36">
        <f>IFERROR(IF(Y483=0,"",ROUNDUP(Y483/H483,0)*0.01898),"")</f>
        <v>0.64532</v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316.46666666666664</v>
      </c>
      <c r="BN483" s="64">
        <f>IFERROR(Y483*I483/H483,"0")</f>
        <v>322.79599999999999</v>
      </c>
      <c r="BO483" s="64">
        <f>IFERROR(1/J483*(X483/H483),"0")</f>
        <v>0.52083333333333337</v>
      </c>
      <c r="BP483" s="64">
        <f>IFERROR(1/J483*(Y483/H483),"0")</f>
        <v>0.53125</v>
      </c>
    </row>
    <row r="484" spans="1:68" x14ac:dyDescent="0.2">
      <c r="A484" s="568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70"/>
      <c r="P484" s="567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33.333333333333336</v>
      </c>
      <c r="Y484" s="557">
        <f>IFERROR(Y483/H483,"0")</f>
        <v>34</v>
      </c>
      <c r="Z484" s="557">
        <f>IFERROR(IF(Z483="",0,Z483),"0")</f>
        <v>0.64532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70"/>
      <c r="P485" s="567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300</v>
      </c>
      <c r="Y485" s="557">
        <f>IFERROR(SUM(Y483:Y483),"0")</f>
        <v>306</v>
      </c>
      <c r="Z485" s="37"/>
      <c r="AA485" s="558"/>
      <c r="AB485" s="558"/>
      <c r="AC485" s="558"/>
    </row>
    <row r="486" spans="1:68" ht="14.25" hidden="1" customHeight="1" x14ac:dyDescent="0.25">
      <c r="A486" s="576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69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5"/>
      <c r="R487" s="565"/>
      <c r="S487" s="565"/>
      <c r="T487" s="566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0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5"/>
      <c r="R488" s="565"/>
      <c r="S488" s="565"/>
      <c r="T488" s="566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8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70"/>
      <c r="P489" s="567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70"/>
      <c r="P490" s="567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77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hidden="1" customHeight="1" x14ac:dyDescent="0.25">
      <c r="A492" s="576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82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5"/>
      <c r="R493" s="565"/>
      <c r="S493" s="565"/>
      <c r="T493" s="566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68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70"/>
      <c r="P494" s="567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70"/>
      <c r="P495" s="567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640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641"/>
      <c r="P496" s="571" t="s">
        <v>758</v>
      </c>
      <c r="Q496" s="572"/>
      <c r="R496" s="572"/>
      <c r="S496" s="572"/>
      <c r="T496" s="572"/>
      <c r="U496" s="572"/>
      <c r="V496" s="573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15480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15533.4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641"/>
      <c r="P497" s="571" t="s">
        <v>759</v>
      </c>
      <c r="Q497" s="572"/>
      <c r="R497" s="572"/>
      <c r="S497" s="572"/>
      <c r="T497" s="572"/>
      <c r="U497" s="572"/>
      <c r="V497" s="573"/>
      <c r="W497" s="37" t="s">
        <v>69</v>
      </c>
      <c r="X497" s="557">
        <f>IFERROR(SUM(BM22:BM493),"0")</f>
        <v>16189.993209876544</v>
      </c>
      <c r="Y497" s="557">
        <f>IFERROR(SUM(BN22:BN493),"0")</f>
        <v>16246.028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641"/>
      <c r="P498" s="571" t="s">
        <v>760</v>
      </c>
      <c r="Q498" s="572"/>
      <c r="R498" s="572"/>
      <c r="S498" s="572"/>
      <c r="T498" s="572"/>
      <c r="U498" s="572"/>
      <c r="V498" s="573"/>
      <c r="W498" s="37" t="s">
        <v>761</v>
      </c>
      <c r="X498" s="38">
        <f>ROUNDUP(SUM(BO22:BO493),0)</f>
        <v>25</v>
      </c>
      <c r="Y498" s="38">
        <f>ROUNDUP(SUM(BP22:BP493),0)</f>
        <v>25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641"/>
      <c r="P499" s="571" t="s">
        <v>762</v>
      </c>
      <c r="Q499" s="572"/>
      <c r="R499" s="572"/>
      <c r="S499" s="572"/>
      <c r="T499" s="572"/>
      <c r="U499" s="572"/>
      <c r="V499" s="573"/>
      <c r="W499" s="37" t="s">
        <v>69</v>
      </c>
      <c r="X499" s="557">
        <f>GrossWeightTotal+PalletQtyTotal*25</f>
        <v>16814.993209876542</v>
      </c>
      <c r="Y499" s="557">
        <f>GrossWeightTotalR+PalletQtyTotalR*25</f>
        <v>16871.027999999998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641"/>
      <c r="P500" s="571" t="s">
        <v>763</v>
      </c>
      <c r="Q500" s="572"/>
      <c r="R500" s="572"/>
      <c r="S500" s="572"/>
      <c r="T500" s="572"/>
      <c r="U500" s="572"/>
      <c r="V500" s="573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1709.2830009496674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1716</v>
      </c>
      <c r="Z500" s="37"/>
      <c r="AA500" s="558"/>
      <c r="AB500" s="558"/>
      <c r="AC500" s="558"/>
    </row>
    <row r="501" spans="1:32" ht="14.25" hidden="1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641"/>
      <c r="P501" s="571" t="s">
        <v>764</v>
      </c>
      <c r="Q501" s="572"/>
      <c r="R501" s="572"/>
      <c r="S501" s="572"/>
      <c r="T501" s="572"/>
      <c r="U501" s="572"/>
      <c r="V501" s="573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28.226829999999996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79" t="s">
        <v>101</v>
      </c>
      <c r="D503" s="581"/>
      <c r="E503" s="581"/>
      <c r="F503" s="581"/>
      <c r="G503" s="581"/>
      <c r="H503" s="582"/>
      <c r="I503" s="579" t="s">
        <v>268</v>
      </c>
      <c r="J503" s="581"/>
      <c r="K503" s="581"/>
      <c r="L503" s="581"/>
      <c r="M503" s="581"/>
      <c r="N503" s="581"/>
      <c r="O503" s="581"/>
      <c r="P503" s="581"/>
      <c r="Q503" s="581"/>
      <c r="R503" s="582"/>
      <c r="S503" s="579" t="s">
        <v>562</v>
      </c>
      <c r="T503" s="582"/>
      <c r="U503" s="579" t="s">
        <v>616</v>
      </c>
      <c r="V503" s="581"/>
      <c r="W503" s="582"/>
      <c r="X503" s="552" t="s">
        <v>667</v>
      </c>
      <c r="Y503" s="579" t="s">
        <v>722</v>
      </c>
      <c r="Z503" s="582"/>
      <c r="AB503" s="52"/>
      <c r="AC503" s="52"/>
      <c r="AF503" s="553"/>
    </row>
    <row r="504" spans="1:32" ht="14.25" customHeight="1" thickTop="1" x14ac:dyDescent="0.2">
      <c r="A504" s="708" t="s">
        <v>767</v>
      </c>
      <c r="B504" s="579" t="s">
        <v>63</v>
      </c>
      <c r="C504" s="579" t="s">
        <v>102</v>
      </c>
      <c r="D504" s="579" t="s">
        <v>119</v>
      </c>
      <c r="E504" s="579" t="s">
        <v>170</v>
      </c>
      <c r="F504" s="579" t="s">
        <v>192</v>
      </c>
      <c r="G504" s="579" t="s">
        <v>229</v>
      </c>
      <c r="H504" s="579" t="s">
        <v>101</v>
      </c>
      <c r="I504" s="579" t="s">
        <v>269</v>
      </c>
      <c r="J504" s="579" t="s">
        <v>327</v>
      </c>
      <c r="K504" s="579" t="s">
        <v>387</v>
      </c>
      <c r="L504" s="579" t="s">
        <v>428</v>
      </c>
      <c r="M504" s="579" t="s">
        <v>444</v>
      </c>
      <c r="N504" s="553"/>
      <c r="O504" s="579" t="s">
        <v>455</v>
      </c>
      <c r="P504" s="579" t="s">
        <v>464</v>
      </c>
      <c r="Q504" s="579" t="s">
        <v>477</v>
      </c>
      <c r="R504" s="579" t="s">
        <v>552</v>
      </c>
      <c r="S504" s="579" t="s">
        <v>563</v>
      </c>
      <c r="T504" s="579" t="s">
        <v>598</v>
      </c>
      <c r="U504" s="579" t="s">
        <v>617</v>
      </c>
      <c r="V504" s="579" t="s">
        <v>648</v>
      </c>
      <c r="W504" s="579" t="s">
        <v>663</v>
      </c>
      <c r="X504" s="579" t="s">
        <v>667</v>
      </c>
      <c r="Y504" s="579" t="s">
        <v>722</v>
      </c>
      <c r="Z504" s="579" t="s">
        <v>754</v>
      </c>
      <c r="AB504" s="52"/>
      <c r="AC504" s="52"/>
      <c r="AF504" s="553"/>
    </row>
    <row r="505" spans="1:32" ht="13.5" customHeight="1" thickBot="1" x14ac:dyDescent="0.25">
      <c r="A505" s="709"/>
      <c r="B505" s="580"/>
      <c r="C505" s="580"/>
      <c r="D505" s="580"/>
      <c r="E505" s="580"/>
      <c r="F505" s="580"/>
      <c r="G505" s="580"/>
      <c r="H505" s="580"/>
      <c r="I505" s="580"/>
      <c r="J505" s="580"/>
      <c r="K505" s="580"/>
      <c r="L505" s="580"/>
      <c r="M505" s="580"/>
      <c r="N505" s="553"/>
      <c r="O505" s="580"/>
      <c r="P505" s="580"/>
      <c r="Q505" s="580"/>
      <c r="R505" s="580"/>
      <c r="S505" s="580"/>
      <c r="T505" s="580"/>
      <c r="U505" s="580"/>
      <c r="V505" s="580"/>
      <c r="W505" s="580"/>
      <c r="X505" s="580"/>
      <c r="Y505" s="580"/>
      <c r="Z505" s="580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507.6</v>
      </c>
      <c r="E506" s="46">
        <f>IFERROR(Y85*1,"0")+IFERROR(Y86*1,"0")+IFERROR(Y87*1,"0")+IFERROR(Y88*1,"0")+IFERROR(Y92*1,"0")+IFERROR(Y93*1,"0")+IFERROR(Y94*1,"0")+IFERROR(Y95*1,"0")</f>
        <v>1733.4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1382.4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283.2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202.79999999999998</v>
      </c>
      <c r="R506" s="46">
        <f>IFERROR(Y343*1,"0")+IFERROR(Y344*1,"0")+IFERROR(Y345*1,"0")</f>
        <v>0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7005</v>
      </c>
      <c r="T506" s="46">
        <f>IFERROR(Y376*1,"0")+IFERROR(Y377*1,"0")+IFERROR(Y381*1,"0")+IFERROR(Y382*1,"0")+IFERROR(Y386*1,"0")+IFERROR(Y387*1,"0")+IFERROR(Y388*1,"0")</f>
        <v>4005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0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414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75,00"/>
        <filter val="1 709,28"/>
        <filter val="100,00"/>
        <filter val="116,67"/>
        <filter val="145,06"/>
        <filter val="15 480,00"/>
        <filter val="16 189,99"/>
        <filter val="16 814,99"/>
        <filter val="18,52"/>
        <filter val="200,00"/>
        <filter val="225,00"/>
        <filter val="25"/>
        <filter val="25,64"/>
        <filter val="280,00"/>
        <filter val="3 000,00"/>
        <filter val="300,00"/>
        <filter val="311,73"/>
        <filter val="33,33"/>
        <filter val="4 000,00"/>
        <filter val="400,00"/>
        <filter val="444,44"/>
        <filter val="46,30"/>
        <filter val="500,00"/>
        <filter val="6 000,00"/>
        <filter val="66,67"/>
        <filter val="675,00"/>
        <filter val="725,00"/>
        <filter val="8,33"/>
        <filter val="80,00"/>
        <filter val="92,59"/>
      </filters>
    </filterColumn>
    <filterColumn colId="29" showButton="0"/>
    <filterColumn colId="30" showButton="0"/>
  </autoFilter>
  <mergeCells count="888"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2025-12-29T12:11:21Z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