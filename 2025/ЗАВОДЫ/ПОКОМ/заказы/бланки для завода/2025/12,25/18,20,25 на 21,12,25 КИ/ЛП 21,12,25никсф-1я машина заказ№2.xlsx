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3B23A26-4764-41B2-9539-C67EB790200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заказа'!$B$57:$B$57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заказа'!$X$57:$X$57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заказа'!$Y$57:$Y$57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заказа'!$W$57:$W$57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1" l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O464" i="1"/>
  <c r="BM464" i="1"/>
  <c r="Y464" i="1"/>
  <c r="P464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P360" i="1"/>
  <c r="BO359" i="1"/>
  <c r="BM359" i="1"/>
  <c r="Y359" i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BP265" i="1" s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BO261" i="1"/>
  <c r="BM261" i="1"/>
  <c r="Y261" i="1"/>
  <c r="BP261" i="1" s="1"/>
  <c r="P261" i="1"/>
  <c r="X258" i="1"/>
  <c r="X257" i="1"/>
  <c r="BO256" i="1"/>
  <c r="BM256" i="1"/>
  <c r="Y256" i="1"/>
  <c r="P256" i="1"/>
  <c r="BO255" i="1"/>
  <c r="BM255" i="1"/>
  <c r="Y255" i="1"/>
  <c r="P255" i="1"/>
  <c r="BO254" i="1"/>
  <c r="BM254" i="1"/>
  <c r="Y254" i="1"/>
  <c r="BP254" i="1" s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X250" i="1"/>
  <c r="Y249" i="1"/>
  <c r="X249" i="1"/>
  <c r="BP248" i="1"/>
  <c r="BO248" i="1"/>
  <c r="BN248" i="1"/>
  <c r="BM248" i="1"/>
  <c r="Z248" i="1"/>
  <c r="Z249" i="1" s="1"/>
  <c r="Y248" i="1"/>
  <c r="Y250" i="1" s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O232" i="1"/>
  <c r="BM232" i="1"/>
  <c r="Y232" i="1"/>
  <c r="BP232" i="1" s="1"/>
  <c r="P232" i="1"/>
  <c r="X229" i="1"/>
  <c r="X228" i="1"/>
  <c r="BO227" i="1"/>
  <c r="BM227" i="1"/>
  <c r="Y227" i="1"/>
  <c r="BP227" i="1" s="1"/>
  <c r="P227" i="1"/>
  <c r="BO226" i="1"/>
  <c r="BM226" i="1"/>
  <c r="Y226" i="1"/>
  <c r="Y228" i="1" s="1"/>
  <c r="P226" i="1"/>
  <c r="X224" i="1"/>
  <c r="X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X212" i="1"/>
  <c r="X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O203" i="1"/>
  <c r="BM203" i="1"/>
  <c r="Y203" i="1"/>
  <c r="BP203" i="1" s="1"/>
  <c r="P203" i="1"/>
  <c r="X201" i="1"/>
  <c r="X200" i="1"/>
  <c r="BO199" i="1"/>
  <c r="BM199" i="1"/>
  <c r="Y199" i="1"/>
  <c r="BP199" i="1" s="1"/>
  <c r="P199" i="1"/>
  <c r="BO198" i="1"/>
  <c r="BM198" i="1"/>
  <c r="Y198" i="1"/>
  <c r="Y200" i="1" s="1"/>
  <c r="P198" i="1"/>
  <c r="X196" i="1"/>
  <c r="X195" i="1"/>
  <c r="BO194" i="1"/>
  <c r="BM194" i="1"/>
  <c r="Y194" i="1"/>
  <c r="BP194" i="1" s="1"/>
  <c r="P194" i="1"/>
  <c r="BO193" i="1"/>
  <c r="BM193" i="1"/>
  <c r="Y193" i="1"/>
  <c r="Y195" i="1" s="1"/>
  <c r="P193" i="1"/>
  <c r="X190" i="1"/>
  <c r="X189" i="1"/>
  <c r="BO188" i="1"/>
  <c r="BM188" i="1"/>
  <c r="Y188" i="1"/>
  <c r="P188" i="1"/>
  <c r="X186" i="1"/>
  <c r="X185" i="1"/>
  <c r="BO184" i="1"/>
  <c r="BM184" i="1"/>
  <c r="Y184" i="1"/>
  <c r="P184" i="1"/>
  <c r="BO183" i="1"/>
  <c r="BM183" i="1"/>
  <c r="Y183" i="1"/>
  <c r="P183" i="1"/>
  <c r="BO182" i="1"/>
  <c r="BM182" i="1"/>
  <c r="Y182" i="1"/>
  <c r="P182" i="1"/>
  <c r="X180" i="1"/>
  <c r="X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O153" i="1"/>
  <c r="BM153" i="1"/>
  <c r="Y153" i="1"/>
  <c r="BP153" i="1" s="1"/>
  <c r="P153" i="1"/>
  <c r="BO152" i="1"/>
  <c r="BM152" i="1"/>
  <c r="Y152" i="1"/>
  <c r="P152" i="1"/>
  <c r="BO151" i="1"/>
  <c r="BM151" i="1"/>
  <c r="Y151" i="1"/>
  <c r="P151" i="1"/>
  <c r="BO150" i="1"/>
  <c r="BM150" i="1"/>
  <c r="Y150" i="1"/>
  <c r="BO149" i="1"/>
  <c r="BM149" i="1"/>
  <c r="Y149" i="1"/>
  <c r="BO148" i="1"/>
  <c r="BM148" i="1"/>
  <c r="Y148" i="1"/>
  <c r="X146" i="1"/>
  <c r="X145" i="1"/>
  <c r="BO144" i="1"/>
  <c r="BM144" i="1"/>
  <c r="Y144" i="1"/>
  <c r="P144" i="1"/>
  <c r="BO143" i="1"/>
  <c r="BM143" i="1"/>
  <c r="Y143" i="1"/>
  <c r="P143" i="1"/>
  <c r="X140" i="1"/>
  <c r="X139" i="1"/>
  <c r="BO138" i="1"/>
  <c r="BM138" i="1"/>
  <c r="Y138" i="1"/>
  <c r="P138" i="1"/>
  <c r="BO137" i="1"/>
  <c r="BM137" i="1"/>
  <c r="Y137" i="1"/>
  <c r="BP137" i="1" s="1"/>
  <c r="P137" i="1"/>
  <c r="X135" i="1"/>
  <c r="X134" i="1"/>
  <c r="BO133" i="1"/>
  <c r="BM133" i="1"/>
  <c r="Y133" i="1"/>
  <c r="BP133" i="1" s="1"/>
  <c r="P133" i="1"/>
  <c r="BO132" i="1"/>
  <c r="BM132" i="1"/>
  <c r="Y132" i="1"/>
  <c r="Y134" i="1" s="1"/>
  <c r="P132" i="1"/>
  <c r="X130" i="1"/>
  <c r="X129" i="1"/>
  <c r="BO128" i="1"/>
  <c r="BM128" i="1"/>
  <c r="Y128" i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O118" i="1"/>
  <c r="BM118" i="1"/>
  <c r="Y118" i="1"/>
  <c r="BP118" i="1" s="1"/>
  <c r="P118" i="1"/>
  <c r="BO117" i="1"/>
  <c r="BM117" i="1"/>
  <c r="Y117" i="1"/>
  <c r="P117" i="1"/>
  <c r="BO116" i="1"/>
  <c r="BM116" i="1"/>
  <c r="Y116" i="1"/>
  <c r="P116" i="1"/>
  <c r="BO115" i="1"/>
  <c r="BM115" i="1"/>
  <c r="Y115" i="1"/>
  <c r="P115" i="1"/>
  <c r="X113" i="1"/>
  <c r="X112" i="1"/>
  <c r="BO111" i="1"/>
  <c r="BM111" i="1"/>
  <c r="Y111" i="1"/>
  <c r="P111" i="1"/>
  <c r="BO110" i="1"/>
  <c r="BM110" i="1"/>
  <c r="Y110" i="1"/>
  <c r="BP110" i="1" s="1"/>
  <c r="P110" i="1"/>
  <c r="BO109" i="1"/>
  <c r="BM109" i="1"/>
  <c r="Y109" i="1"/>
  <c r="P109" i="1"/>
  <c r="BP108" i="1"/>
  <c r="BO108" i="1"/>
  <c r="BN108" i="1"/>
  <c r="BM108" i="1"/>
  <c r="Z108" i="1"/>
  <c r="Y108" i="1"/>
  <c r="P108" i="1"/>
  <c r="X106" i="1"/>
  <c r="X105" i="1"/>
  <c r="BO104" i="1"/>
  <c r="BM104" i="1"/>
  <c r="Y104" i="1"/>
  <c r="BP104" i="1" s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P101" i="1"/>
  <c r="BO100" i="1"/>
  <c r="BM100" i="1"/>
  <c r="Y100" i="1"/>
  <c r="BP100" i="1" s="1"/>
  <c r="P100" i="1"/>
  <c r="X97" i="1"/>
  <c r="X96" i="1"/>
  <c r="BO95" i="1"/>
  <c r="BM95" i="1"/>
  <c r="Y95" i="1"/>
  <c r="BP95" i="1" s="1"/>
  <c r="P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P79" i="1"/>
  <c r="X77" i="1"/>
  <c r="X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P57" i="1"/>
  <c r="BO56" i="1"/>
  <c r="BM56" i="1"/>
  <c r="Y56" i="1"/>
  <c r="BP56" i="1" s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X25" i="1"/>
  <c r="X24" i="1"/>
  <c r="BO23" i="1"/>
  <c r="BM23" i="1"/>
  <c r="Y23" i="1"/>
  <c r="BP23" i="1" s="1"/>
  <c r="P23" i="1"/>
  <c r="BO22" i="1"/>
  <c r="X495" i="1" s="1"/>
  <c r="BM22" i="1"/>
  <c r="Y22" i="1"/>
  <c r="B503" i="1" s="1"/>
  <c r="P22" i="1"/>
  <c r="H10" i="1"/>
  <c r="A9" i="1"/>
  <c r="F10" i="1" s="1"/>
  <c r="D7" i="1"/>
  <c r="Q6" i="1"/>
  <c r="P2" i="1"/>
  <c r="BP116" i="1" l="1"/>
  <c r="BN116" i="1"/>
  <c r="Z116" i="1"/>
  <c r="BP151" i="1"/>
  <c r="BN151" i="1"/>
  <c r="Z151" i="1"/>
  <c r="BP183" i="1"/>
  <c r="BN183" i="1"/>
  <c r="Z183" i="1"/>
  <c r="BP221" i="1"/>
  <c r="BN221" i="1"/>
  <c r="Z221" i="1"/>
  <c r="BP256" i="1"/>
  <c r="BN256" i="1"/>
  <c r="Z256" i="1"/>
  <c r="BP290" i="1"/>
  <c r="BN290" i="1"/>
  <c r="Z290" i="1"/>
  <c r="BP317" i="1"/>
  <c r="BN317" i="1"/>
  <c r="Z317" i="1"/>
  <c r="BP351" i="1"/>
  <c r="BN351" i="1"/>
  <c r="Z351" i="1"/>
  <c r="BP394" i="1"/>
  <c r="BN394" i="1"/>
  <c r="Z394" i="1"/>
  <c r="BP430" i="1"/>
  <c r="BN430" i="1"/>
  <c r="Z430" i="1"/>
  <c r="BP454" i="1"/>
  <c r="BN454" i="1"/>
  <c r="Z454" i="1"/>
  <c r="Z27" i="1"/>
  <c r="BN27" i="1"/>
  <c r="Z43" i="1"/>
  <c r="BN43" i="1"/>
  <c r="Z62" i="1"/>
  <c r="BN62" i="1"/>
  <c r="Z80" i="1"/>
  <c r="BN80" i="1"/>
  <c r="Z95" i="1"/>
  <c r="BN95" i="1"/>
  <c r="BP102" i="1"/>
  <c r="BN102" i="1"/>
  <c r="Z102" i="1"/>
  <c r="BP144" i="1"/>
  <c r="BN144" i="1"/>
  <c r="Z144" i="1"/>
  <c r="BP171" i="1"/>
  <c r="BN171" i="1"/>
  <c r="Z171" i="1"/>
  <c r="BP209" i="1"/>
  <c r="BN209" i="1"/>
  <c r="Z209" i="1"/>
  <c r="BP238" i="1"/>
  <c r="BN238" i="1"/>
  <c r="Z238" i="1"/>
  <c r="BP270" i="1"/>
  <c r="BN270" i="1"/>
  <c r="Z270" i="1"/>
  <c r="BP305" i="1"/>
  <c r="BN305" i="1"/>
  <c r="Z305" i="1"/>
  <c r="BP329" i="1"/>
  <c r="BN329" i="1"/>
  <c r="Z329" i="1"/>
  <c r="BP365" i="1"/>
  <c r="BN365" i="1"/>
  <c r="Z365" i="1"/>
  <c r="Y371" i="1"/>
  <c r="Y370" i="1"/>
  <c r="BP369" i="1"/>
  <c r="BN369" i="1"/>
  <c r="Z369" i="1"/>
  <c r="Z370" i="1" s="1"/>
  <c r="BP374" i="1"/>
  <c r="BN374" i="1"/>
  <c r="Z374" i="1"/>
  <c r="BP404" i="1"/>
  <c r="BN404" i="1"/>
  <c r="Z404" i="1"/>
  <c r="BP438" i="1"/>
  <c r="BN438" i="1"/>
  <c r="Z438" i="1"/>
  <c r="Y478" i="1"/>
  <c r="Y477" i="1"/>
  <c r="BP476" i="1"/>
  <c r="BN476" i="1"/>
  <c r="Z476" i="1"/>
  <c r="Z477" i="1" s="1"/>
  <c r="Y482" i="1"/>
  <c r="Y481" i="1"/>
  <c r="BP480" i="1"/>
  <c r="BN480" i="1"/>
  <c r="Z480" i="1"/>
  <c r="Z481" i="1" s="1"/>
  <c r="BP484" i="1"/>
  <c r="BN484" i="1"/>
  <c r="Z484" i="1"/>
  <c r="BP286" i="1"/>
  <c r="BN286" i="1"/>
  <c r="Z286" i="1"/>
  <c r="BP301" i="1"/>
  <c r="BN301" i="1"/>
  <c r="Z301" i="1"/>
  <c r="BP315" i="1"/>
  <c r="BN315" i="1"/>
  <c r="Z315" i="1"/>
  <c r="Y331" i="1"/>
  <c r="BP327" i="1"/>
  <c r="BN327" i="1"/>
  <c r="Z327" i="1"/>
  <c r="BP349" i="1"/>
  <c r="BN349" i="1"/>
  <c r="Z349" i="1"/>
  <c r="Y361" i="1"/>
  <c r="BP359" i="1"/>
  <c r="BN359" i="1"/>
  <c r="Z359" i="1"/>
  <c r="BP386" i="1"/>
  <c r="BN386" i="1"/>
  <c r="Z386" i="1"/>
  <c r="BP392" i="1"/>
  <c r="BN392" i="1"/>
  <c r="Z392" i="1"/>
  <c r="BP400" i="1"/>
  <c r="BN400" i="1"/>
  <c r="Z400" i="1"/>
  <c r="Y424" i="1"/>
  <c r="W503" i="1"/>
  <c r="Y423" i="1"/>
  <c r="BP422" i="1"/>
  <c r="BN422" i="1"/>
  <c r="Z422" i="1"/>
  <c r="Z423" i="1" s="1"/>
  <c r="BP428" i="1"/>
  <c r="BN428" i="1"/>
  <c r="Z428" i="1"/>
  <c r="BP436" i="1"/>
  <c r="BN436" i="1"/>
  <c r="Z436" i="1"/>
  <c r="BP452" i="1"/>
  <c r="BN452" i="1"/>
  <c r="Z452" i="1"/>
  <c r="BP472" i="1"/>
  <c r="BN472" i="1"/>
  <c r="Z472" i="1"/>
  <c r="X494" i="1"/>
  <c r="X496" i="1" s="1"/>
  <c r="Z23" i="1"/>
  <c r="BN23" i="1"/>
  <c r="X493" i="1"/>
  <c r="Y33" i="1"/>
  <c r="Z29" i="1"/>
  <c r="BN29" i="1"/>
  <c r="Z35" i="1"/>
  <c r="Z36" i="1" s="1"/>
  <c r="BN35" i="1"/>
  <c r="BP35" i="1"/>
  <c r="Y36" i="1"/>
  <c r="Z41" i="1"/>
  <c r="Z44" i="1" s="1"/>
  <c r="BN41" i="1"/>
  <c r="Z47" i="1"/>
  <c r="Z48" i="1" s="1"/>
  <c r="BN47" i="1"/>
  <c r="BP47" i="1"/>
  <c r="Y48" i="1"/>
  <c r="Z52" i="1"/>
  <c r="BN52" i="1"/>
  <c r="Z56" i="1"/>
  <c r="BN56" i="1"/>
  <c r="Z68" i="1"/>
  <c r="BN68" i="1"/>
  <c r="Y76" i="1"/>
  <c r="Z74" i="1"/>
  <c r="BN74" i="1"/>
  <c r="Z85" i="1"/>
  <c r="BN85" i="1"/>
  <c r="Z93" i="1"/>
  <c r="BN93" i="1"/>
  <c r="Z100" i="1"/>
  <c r="BN100" i="1"/>
  <c r="Z104" i="1"/>
  <c r="BN104" i="1"/>
  <c r="Z110" i="1"/>
  <c r="BN110" i="1"/>
  <c r="Z118" i="1"/>
  <c r="BN118" i="1"/>
  <c r="Z133" i="1"/>
  <c r="BN133" i="1"/>
  <c r="Z137" i="1"/>
  <c r="BN137" i="1"/>
  <c r="Z153" i="1"/>
  <c r="BN153" i="1"/>
  <c r="Y179" i="1"/>
  <c r="Z169" i="1"/>
  <c r="BN169" i="1"/>
  <c r="Z173" i="1"/>
  <c r="BN173" i="1"/>
  <c r="Z177" i="1"/>
  <c r="BN177" i="1"/>
  <c r="Z194" i="1"/>
  <c r="BN194" i="1"/>
  <c r="Z198" i="1"/>
  <c r="BN198" i="1"/>
  <c r="Z199" i="1"/>
  <c r="BN199" i="1"/>
  <c r="Z203" i="1"/>
  <c r="BN203" i="1"/>
  <c r="Z207" i="1"/>
  <c r="BN207" i="1"/>
  <c r="Z215" i="1"/>
  <c r="BN215" i="1"/>
  <c r="Z219" i="1"/>
  <c r="BN219" i="1"/>
  <c r="Z227" i="1"/>
  <c r="BN227" i="1"/>
  <c r="Z232" i="1"/>
  <c r="BN232" i="1"/>
  <c r="Z236" i="1"/>
  <c r="BN236" i="1"/>
  <c r="Z240" i="1"/>
  <c r="BN240" i="1"/>
  <c r="Z254" i="1"/>
  <c r="BN254" i="1"/>
  <c r="Z261" i="1"/>
  <c r="BN261" i="1"/>
  <c r="Z265" i="1"/>
  <c r="BN265" i="1"/>
  <c r="Z272" i="1"/>
  <c r="BN272" i="1"/>
  <c r="BP297" i="1"/>
  <c r="BN297" i="1"/>
  <c r="Z297" i="1"/>
  <c r="BP307" i="1"/>
  <c r="BN307" i="1"/>
  <c r="Z307" i="1"/>
  <c r="BP321" i="1"/>
  <c r="BN321" i="1"/>
  <c r="Z321" i="1"/>
  <c r="BP335" i="1"/>
  <c r="BN335" i="1"/>
  <c r="Z335" i="1"/>
  <c r="BP353" i="1"/>
  <c r="BN353" i="1"/>
  <c r="Z353" i="1"/>
  <c r="BP380" i="1"/>
  <c r="BN380" i="1"/>
  <c r="Z380" i="1"/>
  <c r="BP396" i="1"/>
  <c r="BN396" i="1"/>
  <c r="Z396" i="1"/>
  <c r="BP415" i="1"/>
  <c r="BN415" i="1"/>
  <c r="Z415" i="1"/>
  <c r="BP432" i="1"/>
  <c r="BN432" i="1"/>
  <c r="Z432" i="1"/>
  <c r="BP444" i="1"/>
  <c r="BN444" i="1"/>
  <c r="Z444" i="1"/>
  <c r="Y460" i="1"/>
  <c r="Y459" i="1"/>
  <c r="BP458" i="1"/>
  <c r="BN458" i="1"/>
  <c r="Z458" i="1"/>
  <c r="Z459" i="1" s="1"/>
  <c r="Y468" i="1"/>
  <c r="BP464" i="1"/>
  <c r="BN464" i="1"/>
  <c r="Z464" i="1"/>
  <c r="Y292" i="1"/>
  <c r="Y388" i="1"/>
  <c r="Y387" i="1"/>
  <c r="Y486" i="1"/>
  <c r="H9" i="1"/>
  <c r="A10" i="1"/>
  <c r="Y24" i="1"/>
  <c r="Y32" i="1"/>
  <c r="Y44" i="1"/>
  <c r="BP57" i="1"/>
  <c r="BN57" i="1"/>
  <c r="BP63" i="1"/>
  <c r="BN63" i="1"/>
  <c r="Z63" i="1"/>
  <c r="Y65" i="1"/>
  <c r="Y70" i="1"/>
  <c r="BP67" i="1"/>
  <c r="BN67" i="1"/>
  <c r="Z67" i="1"/>
  <c r="Z69" i="1" s="1"/>
  <c r="BP75" i="1"/>
  <c r="BN75" i="1"/>
  <c r="Z75" i="1"/>
  <c r="Y77" i="1"/>
  <c r="Y82" i="1"/>
  <c r="BP79" i="1"/>
  <c r="BN79" i="1"/>
  <c r="Z79" i="1"/>
  <c r="Z81" i="1" s="1"/>
  <c r="BP88" i="1"/>
  <c r="BN88" i="1"/>
  <c r="Z88" i="1"/>
  <c r="Y90" i="1"/>
  <c r="Y97" i="1"/>
  <c r="BP92" i="1"/>
  <c r="BN92" i="1"/>
  <c r="Z92" i="1"/>
  <c r="Y96" i="1"/>
  <c r="BP101" i="1"/>
  <c r="BN101" i="1"/>
  <c r="Z101" i="1"/>
  <c r="Y105" i="1"/>
  <c r="BP109" i="1"/>
  <c r="BN109" i="1"/>
  <c r="Z109" i="1"/>
  <c r="Z112" i="1" s="1"/>
  <c r="BP117" i="1"/>
  <c r="BN117" i="1"/>
  <c r="Z117" i="1"/>
  <c r="BP138" i="1"/>
  <c r="BN138" i="1"/>
  <c r="Z138" i="1"/>
  <c r="Z139" i="1" s="1"/>
  <c r="Y140" i="1"/>
  <c r="H503" i="1"/>
  <c r="Y146" i="1"/>
  <c r="BP143" i="1"/>
  <c r="BN143" i="1"/>
  <c r="Z143" i="1"/>
  <c r="Z145" i="1" s="1"/>
  <c r="BP149" i="1"/>
  <c r="BN149" i="1"/>
  <c r="Z149" i="1"/>
  <c r="BP152" i="1"/>
  <c r="BN152" i="1"/>
  <c r="Z152" i="1"/>
  <c r="BP170" i="1"/>
  <c r="BN170" i="1"/>
  <c r="Z170" i="1"/>
  <c r="BP174" i="1"/>
  <c r="BN174" i="1"/>
  <c r="Z174" i="1"/>
  <c r="BP178" i="1"/>
  <c r="BN178" i="1"/>
  <c r="Z178" i="1"/>
  <c r="Y180" i="1"/>
  <c r="Y185" i="1"/>
  <c r="BP182" i="1"/>
  <c r="BN182" i="1"/>
  <c r="Z182" i="1"/>
  <c r="BP204" i="1"/>
  <c r="BN204" i="1"/>
  <c r="Z204" i="1"/>
  <c r="Y212" i="1"/>
  <c r="BP208" i="1"/>
  <c r="BN208" i="1"/>
  <c r="Z208" i="1"/>
  <c r="BP216" i="1"/>
  <c r="BN216" i="1"/>
  <c r="Z216" i="1"/>
  <c r="BP220" i="1"/>
  <c r="BN220" i="1"/>
  <c r="Z220" i="1"/>
  <c r="BP233" i="1"/>
  <c r="BN233" i="1"/>
  <c r="Z233" i="1"/>
  <c r="BP237" i="1"/>
  <c r="BN237" i="1"/>
  <c r="Z237" i="1"/>
  <c r="Y241" i="1"/>
  <c r="BP253" i="1"/>
  <c r="BN253" i="1"/>
  <c r="Z253" i="1"/>
  <c r="Y257" i="1"/>
  <c r="BP262" i="1"/>
  <c r="BN262" i="1"/>
  <c r="Z262" i="1"/>
  <c r="Y266" i="1"/>
  <c r="BP271" i="1"/>
  <c r="BN271" i="1"/>
  <c r="Z271" i="1"/>
  <c r="Y275" i="1"/>
  <c r="BP280" i="1"/>
  <c r="BN280" i="1"/>
  <c r="Z280" i="1"/>
  <c r="Y282" i="1"/>
  <c r="P503" i="1"/>
  <c r="Y288" i="1"/>
  <c r="BP285" i="1"/>
  <c r="BN285" i="1"/>
  <c r="Z285" i="1"/>
  <c r="Y287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Y356" i="1"/>
  <c r="BP354" i="1"/>
  <c r="BN354" i="1"/>
  <c r="Z354" i="1"/>
  <c r="BP393" i="1"/>
  <c r="BN393" i="1"/>
  <c r="Z393" i="1"/>
  <c r="U503" i="1"/>
  <c r="BP397" i="1"/>
  <c r="BN397" i="1"/>
  <c r="Z397" i="1"/>
  <c r="Y401" i="1"/>
  <c r="BP405" i="1"/>
  <c r="BN405" i="1"/>
  <c r="Z405" i="1"/>
  <c r="Z406" i="1" s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F9" i="1"/>
  <c r="J9" i="1"/>
  <c r="Z22" i="1"/>
  <c r="BN22" i="1"/>
  <c r="BP22" i="1"/>
  <c r="X497" i="1"/>
  <c r="Y25" i="1"/>
  <c r="Z28" i="1"/>
  <c r="BN28" i="1"/>
  <c r="Z30" i="1"/>
  <c r="BN30" i="1"/>
  <c r="C503" i="1"/>
  <c r="Z42" i="1"/>
  <c r="BN42" i="1"/>
  <c r="Y45" i="1"/>
  <c r="D503" i="1"/>
  <c r="Y58" i="1"/>
  <c r="Z53" i="1"/>
  <c r="BN53" i="1"/>
  <c r="Z55" i="1"/>
  <c r="BN55" i="1"/>
  <c r="Z57" i="1"/>
  <c r="Y59" i="1"/>
  <c r="Y64" i="1"/>
  <c r="BP61" i="1"/>
  <c r="BN61" i="1"/>
  <c r="Z61" i="1"/>
  <c r="Y69" i="1"/>
  <c r="BP73" i="1"/>
  <c r="BN73" i="1"/>
  <c r="Z73" i="1"/>
  <c r="Y81" i="1"/>
  <c r="BP86" i="1"/>
  <c r="BN86" i="1"/>
  <c r="Z86" i="1"/>
  <c r="BP94" i="1"/>
  <c r="BN94" i="1"/>
  <c r="Z94" i="1"/>
  <c r="BP103" i="1"/>
  <c r="BN103" i="1"/>
  <c r="Z103" i="1"/>
  <c r="Y112" i="1"/>
  <c r="BP111" i="1"/>
  <c r="BN111" i="1"/>
  <c r="Z111" i="1"/>
  <c r="Y113" i="1"/>
  <c r="Y120" i="1"/>
  <c r="BP115" i="1"/>
  <c r="BN115" i="1"/>
  <c r="Z115" i="1"/>
  <c r="Z119" i="1" s="1"/>
  <c r="Y119" i="1"/>
  <c r="BP128" i="1"/>
  <c r="BN128" i="1"/>
  <c r="Z128" i="1"/>
  <c r="Z129" i="1" s="1"/>
  <c r="Y130" i="1"/>
  <c r="Y135" i="1"/>
  <c r="BP132" i="1"/>
  <c r="BN132" i="1"/>
  <c r="Z132" i="1"/>
  <c r="Y139" i="1"/>
  <c r="Y145" i="1"/>
  <c r="Y155" i="1"/>
  <c r="BP148" i="1"/>
  <c r="BN148" i="1"/>
  <c r="Z148" i="1"/>
  <c r="BP150" i="1"/>
  <c r="BN150" i="1"/>
  <c r="Z150" i="1"/>
  <c r="Y154" i="1"/>
  <c r="BP168" i="1"/>
  <c r="BN168" i="1"/>
  <c r="Z168" i="1"/>
  <c r="BP172" i="1"/>
  <c r="BN172" i="1"/>
  <c r="Z172" i="1"/>
  <c r="BP176" i="1"/>
  <c r="BN176" i="1"/>
  <c r="Z176" i="1"/>
  <c r="BP184" i="1"/>
  <c r="BN184" i="1"/>
  <c r="Z184" i="1"/>
  <c r="Y186" i="1"/>
  <c r="Y189" i="1"/>
  <c r="BP188" i="1"/>
  <c r="BN188" i="1"/>
  <c r="Z188" i="1"/>
  <c r="Z189" i="1" s="1"/>
  <c r="Y190" i="1"/>
  <c r="J503" i="1"/>
  <c r="Y196" i="1"/>
  <c r="BP193" i="1"/>
  <c r="BN193" i="1"/>
  <c r="Z193" i="1"/>
  <c r="Z195" i="1" s="1"/>
  <c r="BP298" i="1"/>
  <c r="BN298" i="1"/>
  <c r="Z298" i="1"/>
  <c r="Y302" i="1"/>
  <c r="BP306" i="1"/>
  <c r="BN306" i="1"/>
  <c r="Z306" i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Y324" i="1"/>
  <c r="E503" i="1"/>
  <c r="Y89" i="1"/>
  <c r="F503" i="1"/>
  <c r="Y106" i="1"/>
  <c r="G503" i="1"/>
  <c r="Y129" i="1"/>
  <c r="I503" i="1"/>
  <c r="Y165" i="1"/>
  <c r="Y201" i="1"/>
  <c r="BP198" i="1"/>
  <c r="Y211" i="1"/>
  <c r="BP206" i="1"/>
  <c r="BN206" i="1"/>
  <c r="Z206" i="1"/>
  <c r="Z211" i="1" s="1"/>
  <c r="BP210" i="1"/>
  <c r="BN210" i="1"/>
  <c r="Z210" i="1"/>
  <c r="Y223" i="1"/>
  <c r="BP214" i="1"/>
  <c r="BN214" i="1"/>
  <c r="Z214" i="1"/>
  <c r="BP218" i="1"/>
  <c r="BN218" i="1"/>
  <c r="Z218" i="1"/>
  <c r="BP222" i="1"/>
  <c r="BN222" i="1"/>
  <c r="Z222" i="1"/>
  <c r="Y224" i="1"/>
  <c r="Y229" i="1"/>
  <c r="BP226" i="1"/>
  <c r="BN226" i="1"/>
  <c r="Z226" i="1"/>
  <c r="Z228" i="1" s="1"/>
  <c r="BP235" i="1"/>
  <c r="BN235" i="1"/>
  <c r="Z235" i="1"/>
  <c r="BP239" i="1"/>
  <c r="BN239" i="1"/>
  <c r="Z239" i="1"/>
  <c r="Y258" i="1"/>
  <c r="BP255" i="1"/>
  <c r="BN255" i="1"/>
  <c r="Z255" i="1"/>
  <c r="Z257" i="1" s="1"/>
  <c r="L503" i="1"/>
  <c r="BP264" i="1"/>
  <c r="BN264" i="1"/>
  <c r="Z264" i="1"/>
  <c r="BP273" i="1"/>
  <c r="BN273" i="1"/>
  <c r="Z273" i="1"/>
  <c r="O503" i="1"/>
  <c r="Y281" i="1"/>
  <c r="BP278" i="1"/>
  <c r="BN278" i="1"/>
  <c r="Z278" i="1"/>
  <c r="Z281" i="1" s="1"/>
  <c r="BP291" i="1"/>
  <c r="BN291" i="1"/>
  <c r="Z291" i="1"/>
  <c r="Y293" i="1"/>
  <c r="Y303" i="1"/>
  <c r="BP296" i="1"/>
  <c r="BN296" i="1"/>
  <c r="Z296" i="1"/>
  <c r="Z302" i="1" s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503" i="1"/>
  <c r="Y345" i="1"/>
  <c r="Y344" i="1"/>
  <c r="BP341" i="1"/>
  <c r="BN341" i="1"/>
  <c r="Z341" i="1"/>
  <c r="BP375" i="1"/>
  <c r="BN375" i="1"/>
  <c r="Z375" i="1"/>
  <c r="Z376" i="1" s="1"/>
  <c r="Y377" i="1"/>
  <c r="Y382" i="1"/>
  <c r="BP379" i="1"/>
  <c r="BN379" i="1"/>
  <c r="Z379" i="1"/>
  <c r="Y381" i="1"/>
  <c r="Q503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K503" i="1"/>
  <c r="Y242" i="1"/>
  <c r="Y267" i="1"/>
  <c r="M503" i="1"/>
  <c r="Y274" i="1"/>
  <c r="S503" i="1"/>
  <c r="BP352" i="1"/>
  <c r="BN352" i="1"/>
  <c r="Z352" i="1"/>
  <c r="Z356" i="1" s="1"/>
  <c r="BP360" i="1"/>
  <c r="BN360" i="1"/>
  <c r="Z360" i="1"/>
  <c r="Y362" i="1"/>
  <c r="Y367" i="1"/>
  <c r="BP364" i="1"/>
  <c r="BN364" i="1"/>
  <c r="Z364" i="1"/>
  <c r="Z366" i="1" s="1"/>
  <c r="BP385" i="1"/>
  <c r="BN385" i="1"/>
  <c r="Z385" i="1"/>
  <c r="Y402" i="1"/>
  <c r="BP395" i="1"/>
  <c r="BN395" i="1"/>
  <c r="Z395" i="1"/>
  <c r="BP399" i="1"/>
  <c r="BN399" i="1"/>
  <c r="Z399" i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Y503" i="1"/>
  <c r="Y357" i="1"/>
  <c r="T503" i="1"/>
  <c r="Y376" i="1"/>
  <c r="X503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BP451" i="1"/>
  <c r="BN451" i="1"/>
  <c r="Z451" i="1"/>
  <c r="BP465" i="1"/>
  <c r="BN465" i="1"/>
  <c r="Z465" i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Y440" i="1"/>
  <c r="Z387" i="1" l="1"/>
  <c r="Z344" i="1"/>
  <c r="Z292" i="1"/>
  <c r="Z324" i="1"/>
  <c r="Z24" i="1"/>
  <c r="Z287" i="1"/>
  <c r="Z274" i="1"/>
  <c r="Z105" i="1"/>
  <c r="Z58" i="1"/>
  <c r="Z32" i="1"/>
  <c r="Z401" i="1"/>
  <c r="Z468" i="1"/>
  <c r="Z446" i="1"/>
  <c r="Z440" i="1"/>
  <c r="Z361" i="1"/>
  <c r="Z381" i="1"/>
  <c r="Z311" i="1"/>
  <c r="Z134" i="1"/>
  <c r="Z89" i="1"/>
  <c r="Z76" i="1"/>
  <c r="Z64" i="1"/>
  <c r="Z266" i="1"/>
  <c r="Z241" i="1"/>
  <c r="Z200" i="1"/>
  <c r="Z455" i="1"/>
  <c r="Z179" i="1"/>
  <c r="Y494" i="1"/>
  <c r="Z96" i="1"/>
  <c r="Y497" i="1"/>
  <c r="Z223" i="1"/>
  <c r="Z318" i="1"/>
  <c r="Z154" i="1"/>
  <c r="Y493" i="1"/>
  <c r="Y495" i="1"/>
  <c r="Z418" i="1"/>
  <c r="Z337" i="1"/>
  <c r="Z498" i="1" s="1"/>
  <c r="Z185" i="1"/>
  <c r="Y496" i="1" l="1"/>
</calcChain>
</file>

<file path=xl/sharedStrings.xml><?xml version="1.0" encoding="utf-8"?>
<sst xmlns="http://schemas.openxmlformats.org/spreadsheetml/2006/main" count="2259" uniqueCount="778">
  <si>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</si>
  <si>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</si>
  <si>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</si>
  <si>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</si>
  <si>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</si>
  <si>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</si>
  <si>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</si>
  <si>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</si>
  <si>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</si>
  <si>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</si>
  <si>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</si>
  <si>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</si>
  <si>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</si>
  <si>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</si>
  <si>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Крым Респ, Симферополь г, Данилова ул, 43В, лит В, офис 4,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</si>
  <si>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</si>
  <si>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</si>
  <si>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</si>
  <si>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</si>
  <si>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295021Российская Федерация, Крым Респ, Симферополь г, Данилова ул, 43В, лит В, офис 4,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</si>
  <si>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</si>
  <si>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</si>
  <si>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</si>
  <si>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</si>
  <si>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</si>
  <si>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</si>
  <si>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</si>
  <si>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</si>
  <si>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</si>
  <si>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</si>
  <si>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</si>
  <si>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</si>
  <si>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</si>
  <si>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</si>
  <si>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</si>
  <si>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</si>
  <si>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</si>
  <si>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</si>
  <si>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</si>
  <si>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</si>
  <si>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</si>
  <si>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</si>
  <si>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</si>
  <si>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</si>
  <si>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</si>
  <si>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</si>
  <si>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</si>
  <si>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</si>
  <si>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</si>
  <si>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</si>
  <si>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</si>
  <si>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</si>
  <si>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</si>
  <si>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</si>
  <si>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</si>
  <si>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</si>
  <si>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</si>
  <si>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</si>
  <si>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</si>
  <si>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</si>
  <si>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</si>
  <si>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</si>
  <si>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</si>
  <si>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</si>
  <si>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</si>
  <si>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</si>
  <si>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</si>
  <si>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</si>
  <si>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</si>
  <si>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</si>
  <si>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</si>
  <si>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</si>
  <si>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</si>
  <si>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</si>
  <si>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</si>
  <si>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</si>
  <si>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</si>
  <si>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</si>
  <si>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</si>
  <si>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</si>
  <si>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Короб, мин. 14</t>
  </si>
  <si>
    <t>СК3</t>
  </si>
  <si>
    <t>ЕАЭС N RU Д-RU.РА08.В.78145/23, ЕАЭС N RU Д-RU.РА10.В.84355/25</t>
  </si>
  <si>
    <t>Короб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</si>
  <si>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</si>
  <si>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</si>
  <si>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</si>
  <si>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</si>
  <si>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</si>
  <si>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</si>
  <si>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</si>
  <si>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</si>
  <si>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</si>
  <si>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</si>
  <si>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</si>
  <si>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</si>
  <si>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</si>
  <si>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</si>
  <si>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</si>
  <si>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</si>
  <si>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</si>
  <si>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</si>
  <si>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</si>
  <si>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</si>
  <si>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</si>
  <si>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</si>
  <si>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</si>
  <si>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</si>
  <si>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</si>
  <si>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</si>
  <si>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</si>
  <si>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</si>
  <si>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</si>
  <si>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</si>
  <si>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</si>
  <si>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</si>
  <si>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</si>
  <si>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</si>
  <si>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</si>
  <si>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</si>
  <si>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</si>
  <si>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</si>
  <si>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</si>
  <si>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</si>
  <si>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</si>
  <si>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</si>
  <si>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</si>
  <si>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</si>
  <si>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</si>
  <si>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</si>
  <si>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</si>
  <si>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</si>
  <si>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</si>
  <si>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</si>
  <si>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</si>
  <si>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</si>
  <si>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</si>
  <si>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</si>
  <si>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</si>
  <si>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</si>
  <si>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</si>
  <si>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</si>
  <si>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</si>
  <si>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</si>
  <si>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</si>
  <si>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</si>
  <si>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</si>
  <si>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</si>
  <si>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</si>
  <si>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</si>
  <si>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</si>
  <si>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</si>
  <si>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</si>
  <si>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</si>
  <si>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</si>
  <si>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</si>
  <si>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</si>
  <si>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</si>
  <si>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</si>
  <si>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</si>
  <si>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</si>
  <si>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</si>
  <si>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</si>
  <si>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</si>
  <si>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</si>
  <si>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</si>
  <si>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</si>
  <si>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</si>
  <si>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</si>
  <si>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</si>
  <si>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</si>
  <si>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</si>
  <si>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</si>
  <si>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</si>
  <si>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</si>
  <si>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</si>
  <si>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</si>
  <si>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</si>
  <si>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</si>
  <si>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</si>
  <si>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</si>
  <si>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</si>
  <si>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</si>
  <si>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</si>
  <si>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</si>
  <si>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</si>
  <si>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</si>
  <si>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</si>
  <si>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</si>
  <si>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</si>
  <si>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</si>
  <si>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</si>
  <si>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</si>
  <si>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</si>
  <si>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</si>
  <si>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</si>
  <si>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</si>
  <si>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</si>
  <si>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</si>
  <si>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</si>
  <si>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</si>
  <si>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</si>
  <si>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</si>
  <si>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</si>
  <si>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</si>
  <si>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</si>
  <si>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</si>
  <si>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</si>
  <si>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</si>
  <si>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</si>
  <si>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</si>
  <si>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</si>
  <si>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</si>
  <si>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</si>
  <si>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</si>
  <si>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</si>
  <si>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</si>
  <si>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</si>
  <si>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</si>
  <si>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</si>
  <si>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</si>
  <si>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</si>
  <si>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</si>
  <si>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</si>
  <si>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</si>
  <si>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</si>
  <si>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</si>
  <si>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</si>
  <si>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</si>
  <si>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</si>
  <si>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</si>
  <si>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</si>
  <si>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</si>
  <si>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</si>
  <si>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</si>
  <si>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</si>
  <si>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</si>
  <si>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</si>
  <si>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</si>
  <si>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</si>
  <si>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</si>
  <si>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</si>
  <si>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</si>
  <si>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</si>
  <si>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</si>
  <si>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</si>
  <si>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</si>
  <si>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</si>
  <si>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</si>
  <si>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</si>
  <si>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</si>
  <si>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</si>
  <si>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</si>
  <si>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</si>
  <si>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</si>
  <si>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</si>
  <si>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</si>
  <si>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</si>
  <si>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</si>
  <si>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</si>
  <si>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</si>
  <si>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</si>
  <si>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</si>
  <si>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</si>
  <si>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</si>
  <si>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</si>
  <si>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</si>
  <si>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</si>
  <si>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</si>
  <si>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</si>
  <si>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</si>
  <si>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</si>
  <si>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</si>
  <si>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</si>
  <si>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</si>
  <si>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</si>
  <si>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</si>
  <si>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</si>
  <si>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</si>
  <si>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</si>
  <si>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</si>
  <si>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</si>
  <si>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</si>
  <si>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</si>
  <si>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</si>
  <si>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</si>
  <si>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</si>
  <si>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</si>
  <si>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</si>
  <si>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</si>
  <si>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</si>
  <si>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</si>
  <si>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</si>
  <si>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</si>
  <si>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</si>
  <si>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</si>
  <si>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</si>
  <si>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Короб, мин. 18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</si>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</sst>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695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28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08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04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641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362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383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722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82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32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06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5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27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2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32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6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2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45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0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48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8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11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701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3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2" customWidth="1"/>
    <col min="19" max="19" width="6.140625" style="54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2" customWidth="1"/>
    <col min="25" max="25" width="11" style="542" customWidth="1"/>
    <col min="26" max="26" width="10" style="542" customWidth="1"/>
    <col min="27" max="27" width="11.5703125" style="542" customWidth="1"/>
    <col min="28" max="28" width="10.42578125" style="542" customWidth="1"/>
    <col min="29" max="29" width="30" style="54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2" customWidth="1"/>
    <col min="34" max="34" width="9.140625" style="542" customWidth="1"/>
    <col min="35" max="16384" width="9.140625" style="542"/>
  </cols>
  <sheetData>
    <row r="1" spans="1:32" s="546" customFormat="1" ht="45" customHeight="1" x14ac:dyDescent="0.2">
      <c r="A1" s="41"/>
      <c r="B1" s="41"/>
      <c r="C1" s="41"/>
      <c r="D1" s="615" t="s">
        <v>0</v>
      </c>
      <c r="E1" s="582"/>
      <c r="F1" s="582"/>
      <c r="G1" s="12" t="s">
        <v>1</v>
      </c>
      <c r="H1" s="615" t="s">
        <v>2</v>
      </c>
      <c r="I1" s="582"/>
      <c r="J1" s="582"/>
      <c r="K1" s="582"/>
      <c r="L1" s="582"/>
      <c r="M1" s="582"/>
      <c r="N1" s="582"/>
      <c r="O1" s="582"/>
      <c r="P1" s="582"/>
      <c r="Q1" s="582"/>
      <c r="R1" s="581" t="s">
        <v>3</v>
      </c>
      <c r="S1" s="582"/>
      <c r="T1" s="5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6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46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4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6" customFormat="1" ht="23.45" customHeight="1" x14ac:dyDescent="0.2">
      <c r="A5" s="680" t="s">
        <v>8</v>
      </c>
      <c r="B5" s="681"/>
      <c r="C5" s="682"/>
      <c r="D5" s="624"/>
      <c r="E5" s="625"/>
      <c r="F5" s="839" t="s">
        <v>9</v>
      </c>
      <c r="G5" s="682"/>
      <c r="H5" s="624" t="s">
        <v>777</v>
      </c>
      <c r="I5" s="787"/>
      <c r="J5" s="787"/>
      <c r="K5" s="787"/>
      <c r="L5" s="787"/>
      <c r="M5" s="625"/>
      <c r="N5" s="58"/>
      <c r="P5" s="24" t="s">
        <v>10</v>
      </c>
      <c r="Q5" s="852">
        <v>46012</v>
      </c>
      <c r="R5" s="673"/>
      <c r="T5" s="731" t="s">
        <v>11</v>
      </c>
      <c r="U5" s="732"/>
      <c r="V5" s="733" t="s">
        <v>12</v>
      </c>
      <c r="W5" s="673"/>
      <c r="AB5" s="51"/>
      <c r="AC5" s="51"/>
      <c r="AD5" s="51"/>
      <c r="AE5" s="51"/>
    </row>
    <row r="6" spans="1:32" s="546" customFormat="1" ht="24" customHeight="1" x14ac:dyDescent="0.2">
      <c r="A6" s="680" t="s">
        <v>13</v>
      </c>
      <c r="B6" s="681"/>
      <c r="C6" s="682"/>
      <c r="D6" s="789" t="s">
        <v>14</v>
      </c>
      <c r="E6" s="790"/>
      <c r="F6" s="790"/>
      <c r="G6" s="790"/>
      <c r="H6" s="790"/>
      <c r="I6" s="790"/>
      <c r="J6" s="790"/>
      <c r="K6" s="790"/>
      <c r="L6" s="790"/>
      <c r="M6" s="673"/>
      <c r="N6" s="59"/>
      <c r="P6" s="24" t="s">
        <v>15</v>
      </c>
      <c r="Q6" s="861" t="str">
        <f>IF(Q5=0," ",CHOOSE(WEEKDAY(Q5,2),"Понедельник","Вторник","Среда","Четверг","Пятница","Суббота","Воскресенье"))</f>
        <v>Воскресенье</v>
      </c>
      <c r="R6" s="560"/>
      <c r="T6" s="737" t="s">
        <v>16</v>
      </c>
      <c r="U6" s="732"/>
      <c r="V6" s="772" t="s">
        <v>17</v>
      </c>
      <c r="W6" s="594"/>
      <c r="AB6" s="51"/>
      <c r="AC6" s="51"/>
      <c r="AD6" s="51"/>
      <c r="AE6" s="51"/>
    </row>
    <row r="7" spans="1:32" s="546" customFormat="1" ht="21.75" hidden="1" customHeight="1" x14ac:dyDescent="0.2">
      <c r="A7" s="55"/>
      <c r="B7" s="55"/>
      <c r="C7" s="55"/>
      <c r="D7" s="618" t="str">
        <f>IFERROR(VLOOKUP(DeliveryAddress,Table,3,0),1)</f>
        <v>1</v>
      </c>
      <c r="E7" s="619"/>
      <c r="F7" s="619"/>
      <c r="G7" s="619"/>
      <c r="H7" s="619"/>
      <c r="I7" s="619"/>
      <c r="J7" s="619"/>
      <c r="K7" s="619"/>
      <c r="L7" s="619"/>
      <c r="M7" s="620"/>
      <c r="N7" s="60"/>
      <c r="P7" s="24"/>
      <c r="Q7" s="42"/>
      <c r="R7" s="42"/>
      <c r="T7" s="557"/>
      <c r="U7" s="732"/>
      <c r="V7" s="773"/>
      <c r="W7" s="774"/>
      <c r="AB7" s="51"/>
      <c r="AC7" s="51"/>
      <c r="AD7" s="51"/>
      <c r="AE7" s="51"/>
    </row>
    <row r="8" spans="1:32" s="546" customFormat="1" ht="25.5" customHeight="1" x14ac:dyDescent="0.2">
      <c r="A8" s="862" t="s">
        <v>18</v>
      </c>
      <c r="B8" s="566"/>
      <c r="C8" s="567"/>
      <c r="D8" s="603" t="s">
        <v>19</v>
      </c>
      <c r="E8" s="604"/>
      <c r="F8" s="604"/>
      <c r="G8" s="604"/>
      <c r="H8" s="604"/>
      <c r="I8" s="604"/>
      <c r="J8" s="604"/>
      <c r="K8" s="604"/>
      <c r="L8" s="604"/>
      <c r="M8" s="605"/>
      <c r="N8" s="61"/>
      <c r="P8" s="24" t="s">
        <v>20</v>
      </c>
      <c r="Q8" s="693">
        <v>0.375</v>
      </c>
      <c r="R8" s="620"/>
      <c r="T8" s="557"/>
      <c r="U8" s="732"/>
      <c r="V8" s="773"/>
      <c r="W8" s="774"/>
      <c r="AB8" s="51"/>
      <c r="AC8" s="51"/>
      <c r="AD8" s="51"/>
      <c r="AE8" s="51"/>
    </row>
    <row r="9" spans="1:32" s="546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700"/>
      <c r="E9" s="573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72" t="str">
        <f>IF(AND($A$9="Тип доверенности/получателя при получении в адресе перегруза:",$D$9="Разовая доверенность"),"Введите ФИО","")</f>
        <v/>
      </c>
      <c r="I9" s="573"/>
      <c r="J9" s="57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3"/>
      <c r="L9" s="573"/>
      <c r="M9" s="573"/>
      <c r="N9" s="547"/>
      <c r="P9" s="26" t="s">
        <v>21</v>
      </c>
      <c r="Q9" s="670"/>
      <c r="R9" s="671"/>
      <c r="T9" s="557"/>
      <c r="U9" s="732"/>
      <c r="V9" s="775"/>
      <c r="W9" s="776"/>
      <c r="X9" s="43"/>
      <c r="Y9" s="43"/>
      <c r="Z9" s="43"/>
      <c r="AA9" s="43"/>
      <c r="AB9" s="51"/>
      <c r="AC9" s="51"/>
      <c r="AD9" s="51"/>
      <c r="AE9" s="51"/>
    </row>
    <row r="10" spans="1:32" s="546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700"/>
      <c r="E10" s="573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3" t="str">
        <f>IFERROR(VLOOKUP($D$10,Proxy,2,FALSE),"")</f>
        <v/>
      </c>
      <c r="I10" s="557"/>
      <c r="J10" s="557"/>
      <c r="K10" s="557"/>
      <c r="L10" s="557"/>
      <c r="M10" s="557"/>
      <c r="N10" s="545"/>
      <c r="P10" s="26" t="s">
        <v>22</v>
      </c>
      <c r="Q10" s="738"/>
      <c r="R10" s="739"/>
      <c r="U10" s="24" t="s">
        <v>23</v>
      </c>
      <c r="V10" s="593" t="s">
        <v>24</v>
      </c>
      <c r="W10" s="594"/>
      <c r="X10" s="44"/>
      <c r="Y10" s="44"/>
      <c r="Z10" s="44"/>
      <c r="AA10" s="44"/>
      <c r="AB10" s="51"/>
      <c r="AC10" s="51"/>
      <c r="AD10" s="51"/>
      <c r="AE10" s="51"/>
    </row>
    <row r="11" spans="1:32" s="546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06" t="s">
        <v>28</v>
      </c>
      <c r="W11" s="671"/>
      <c r="X11" s="45"/>
      <c r="Y11" s="45"/>
      <c r="Z11" s="45"/>
      <c r="AA11" s="45"/>
      <c r="AB11" s="51"/>
      <c r="AC11" s="51"/>
      <c r="AD11" s="51"/>
      <c r="AE11" s="51"/>
    </row>
    <row r="12" spans="1:32" s="546" customFormat="1" ht="18.600000000000001" customHeight="1" x14ac:dyDescent="0.2">
      <c r="A12" s="698" t="s">
        <v>29</v>
      </c>
      <c r="B12" s="681"/>
      <c r="C12" s="681"/>
      <c r="D12" s="681"/>
      <c r="E12" s="681"/>
      <c r="F12" s="681"/>
      <c r="G12" s="681"/>
      <c r="H12" s="681"/>
      <c r="I12" s="681"/>
      <c r="J12" s="681"/>
      <c r="K12" s="681"/>
      <c r="L12" s="681"/>
      <c r="M12" s="682"/>
      <c r="N12" s="62"/>
      <c r="P12" s="24" t="s">
        <v>30</v>
      </c>
      <c r="Q12" s="693"/>
      <c r="R12" s="620"/>
      <c r="S12" s="23"/>
      <c r="U12" s="24"/>
      <c r="V12" s="582"/>
      <c r="W12" s="557"/>
      <c r="AB12" s="51"/>
      <c r="AC12" s="51"/>
      <c r="AD12" s="51"/>
      <c r="AE12" s="51"/>
    </row>
    <row r="13" spans="1:32" s="546" customFormat="1" ht="23.25" customHeight="1" x14ac:dyDescent="0.2">
      <c r="A13" s="698" t="s">
        <v>31</v>
      </c>
      <c r="B13" s="681"/>
      <c r="C13" s="681"/>
      <c r="D13" s="681"/>
      <c r="E13" s="681"/>
      <c r="F13" s="681"/>
      <c r="G13" s="681"/>
      <c r="H13" s="681"/>
      <c r="I13" s="681"/>
      <c r="J13" s="681"/>
      <c r="K13" s="681"/>
      <c r="L13" s="681"/>
      <c r="M13" s="682"/>
      <c r="N13" s="62"/>
      <c r="O13" s="26"/>
      <c r="P13" s="26" t="s">
        <v>32</v>
      </c>
      <c r="Q13" s="806"/>
      <c r="R13" s="67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6" customFormat="1" ht="18.600000000000001" customHeight="1" x14ac:dyDescent="0.2">
      <c r="A14" s="698" t="s">
        <v>33</v>
      </c>
      <c r="B14" s="681"/>
      <c r="C14" s="681"/>
      <c r="D14" s="681"/>
      <c r="E14" s="681"/>
      <c r="F14" s="681"/>
      <c r="G14" s="681"/>
      <c r="H14" s="681"/>
      <c r="I14" s="681"/>
      <c r="J14" s="681"/>
      <c r="K14" s="681"/>
      <c r="L14" s="681"/>
      <c r="M14" s="68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6" customFormat="1" ht="22.5" customHeight="1" x14ac:dyDescent="0.2">
      <c r="A15" s="750" t="s">
        <v>34</v>
      </c>
      <c r="B15" s="681"/>
      <c r="C15" s="681"/>
      <c r="D15" s="681"/>
      <c r="E15" s="681"/>
      <c r="F15" s="681"/>
      <c r="G15" s="681"/>
      <c r="H15" s="681"/>
      <c r="I15" s="681"/>
      <c r="J15" s="681"/>
      <c r="K15" s="681"/>
      <c r="L15" s="681"/>
      <c r="M15" s="682"/>
      <c r="N15" s="63"/>
      <c r="P15" s="704" t="s">
        <v>35</v>
      </c>
      <c r="Q15" s="582"/>
      <c r="R15" s="582"/>
      <c r="S15" s="582"/>
      <c r="T15" s="5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10" t="s">
        <v>36</v>
      </c>
      <c r="B17" s="610" t="s">
        <v>37</v>
      </c>
      <c r="C17" s="708" t="s">
        <v>38</v>
      </c>
      <c r="D17" s="610" t="s">
        <v>39</v>
      </c>
      <c r="E17" s="647"/>
      <c r="F17" s="610" t="s">
        <v>40</v>
      </c>
      <c r="G17" s="610" t="s">
        <v>41</v>
      </c>
      <c r="H17" s="610" t="s">
        <v>42</v>
      </c>
      <c r="I17" s="610" t="s">
        <v>43</v>
      </c>
      <c r="J17" s="610" t="s">
        <v>44</v>
      </c>
      <c r="K17" s="610" t="s">
        <v>45</v>
      </c>
      <c r="L17" s="610" t="s">
        <v>46</v>
      </c>
      <c r="M17" s="610" t="s">
        <v>47</v>
      </c>
      <c r="N17" s="610" t="s">
        <v>48</v>
      </c>
      <c r="O17" s="610" t="s">
        <v>49</v>
      </c>
      <c r="P17" s="610" t="s">
        <v>50</v>
      </c>
      <c r="Q17" s="646"/>
      <c r="R17" s="646"/>
      <c r="S17" s="646"/>
      <c r="T17" s="647"/>
      <c r="U17" s="875" t="s">
        <v>51</v>
      </c>
      <c r="V17" s="682"/>
      <c r="W17" s="610" t="s">
        <v>52</v>
      </c>
      <c r="X17" s="610" t="s">
        <v>53</v>
      </c>
      <c r="Y17" s="876" t="s">
        <v>54</v>
      </c>
      <c r="Z17" s="784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34"/>
      <c r="AF17" s="835"/>
      <c r="AG17" s="66"/>
      <c r="BD17" s="65" t="s">
        <v>60</v>
      </c>
    </row>
    <row r="18" spans="1:68" ht="14.25" customHeight="1" x14ac:dyDescent="0.2">
      <c r="A18" s="611"/>
      <c r="B18" s="611"/>
      <c r="C18" s="611"/>
      <c r="D18" s="648"/>
      <c r="E18" s="650"/>
      <c r="F18" s="611"/>
      <c r="G18" s="611"/>
      <c r="H18" s="611"/>
      <c r="I18" s="611"/>
      <c r="J18" s="611"/>
      <c r="K18" s="611"/>
      <c r="L18" s="611"/>
      <c r="M18" s="611"/>
      <c r="N18" s="611"/>
      <c r="O18" s="611"/>
      <c r="P18" s="648"/>
      <c r="Q18" s="649"/>
      <c r="R18" s="649"/>
      <c r="S18" s="649"/>
      <c r="T18" s="650"/>
      <c r="U18" s="67" t="s">
        <v>61</v>
      </c>
      <c r="V18" s="67" t="s">
        <v>62</v>
      </c>
      <c r="W18" s="611"/>
      <c r="X18" s="611"/>
      <c r="Y18" s="877"/>
      <c r="Z18" s="785"/>
      <c r="AA18" s="765"/>
      <c r="AB18" s="765"/>
      <c r="AC18" s="765"/>
      <c r="AD18" s="836"/>
      <c r="AE18" s="837"/>
      <c r="AF18" s="838"/>
      <c r="AG18" s="66"/>
      <c r="BD18" s="65"/>
    </row>
    <row r="19" spans="1:68" ht="27.75" hidden="1" customHeight="1" x14ac:dyDescent="0.2">
      <c r="A19" s="675" t="s">
        <v>63</v>
      </c>
      <c r="B19" s="676"/>
      <c r="C19" s="676"/>
      <c r="D19" s="676"/>
      <c r="E19" s="676"/>
      <c r="F19" s="676"/>
      <c r="G19" s="676"/>
      <c r="H19" s="676"/>
      <c r="I19" s="676"/>
      <c r="J19" s="676"/>
      <c r="K19" s="676"/>
      <c r="L19" s="676"/>
      <c r="M19" s="676"/>
      <c r="N19" s="676"/>
      <c r="O19" s="676"/>
      <c r="P19" s="676"/>
      <c r="Q19" s="676"/>
      <c r="R19" s="676"/>
      <c r="S19" s="676"/>
      <c r="T19" s="676"/>
      <c r="U19" s="676"/>
      <c r="V19" s="676"/>
      <c r="W19" s="676"/>
      <c r="X19" s="676"/>
      <c r="Y19" s="676"/>
      <c r="Z19" s="676"/>
      <c r="AA19" s="48"/>
      <c r="AB19" s="48"/>
      <c r="AC19" s="48"/>
    </row>
    <row r="20" spans="1:68" ht="16.5" hidden="1" customHeight="1" x14ac:dyDescent="0.25">
      <c r="A20" s="570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3"/>
      <c r="AB20" s="543"/>
      <c r="AC20" s="543"/>
    </row>
    <row r="21" spans="1:68" ht="14.25" hidden="1" customHeight="1" x14ac:dyDescent="0.25">
      <c r="A21" s="562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4"/>
      <c r="AB21" s="544"/>
      <c r="AC21" s="544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9">
        <v>4680115887510</v>
      </c>
      <c r="E22" s="560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9">
        <v>4680115886643</v>
      </c>
      <c r="E23" s="560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56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58"/>
      <c r="P24" s="565" t="s">
        <v>75</v>
      </c>
      <c r="Q24" s="566"/>
      <c r="R24" s="566"/>
      <c r="S24" s="566"/>
      <c r="T24" s="566"/>
      <c r="U24" s="566"/>
      <c r="V24" s="567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58"/>
      <c r="P25" s="565" t="s">
        <v>75</v>
      </c>
      <c r="Q25" s="566"/>
      <c r="R25" s="566"/>
      <c r="S25" s="566"/>
      <c r="T25" s="566"/>
      <c r="U25" s="566"/>
      <c r="V25" s="567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hidden="1" customHeight="1" x14ac:dyDescent="0.25">
      <c r="A26" s="562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4"/>
      <c r="AB26" s="544"/>
      <c r="AC26" s="544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9">
        <v>4680115885912</v>
      </c>
      <c r="E27" s="560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 t="s">
        <v>80</v>
      </c>
      <c r="M27" s="33" t="s">
        <v>81</v>
      </c>
      <c r="N27" s="33"/>
      <c r="O27" s="32">
        <v>40</v>
      </c>
      <c r="P27" s="75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 t="s">
        <v>83</v>
      </c>
      <c r="AK27" s="68">
        <v>25.2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84</v>
      </c>
      <c r="B28" s="54" t="s">
        <v>85</v>
      </c>
      <c r="C28" s="31">
        <v>4301051776</v>
      </c>
      <c r="D28" s="559">
        <v>4607091388237</v>
      </c>
      <c r="E28" s="560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4301052063</v>
      </c>
      <c r="D29" s="559">
        <v>4680115887350</v>
      </c>
      <c r="E29" s="560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6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90</v>
      </c>
      <c r="B30" s="54" t="s">
        <v>91</v>
      </c>
      <c r="C30" s="31">
        <v>4301051863</v>
      </c>
      <c r="D30" s="559">
        <v>4680115885905</v>
      </c>
      <c r="E30" s="560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88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93</v>
      </c>
      <c r="B31" s="54" t="s">
        <v>94</v>
      </c>
      <c r="C31" s="31">
        <v>4301051851</v>
      </c>
      <c r="D31" s="559">
        <v>4607091388244</v>
      </c>
      <c r="E31" s="560"/>
      <c r="F31" s="548">
        <v>0.42</v>
      </c>
      <c r="G31" s="32">
        <v>6</v>
      </c>
      <c r="H31" s="548">
        <v>2.52</v>
      </c>
      <c r="I31" s="548">
        <v>2.766</v>
      </c>
      <c r="J31" s="32">
        <v>182</v>
      </c>
      <c r="K31" s="32" t="s">
        <v>67</v>
      </c>
      <c r="L31" s="32"/>
      <c r="M31" s="33" t="s">
        <v>88</v>
      </c>
      <c r="N31" s="33"/>
      <c r="O31" s="32">
        <v>40</v>
      </c>
      <c r="P31" s="60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4"/>
      <c r="R31" s="554"/>
      <c r="S31" s="554"/>
      <c r="T31" s="555"/>
      <c r="U31" s="34"/>
      <c r="V31" s="34"/>
      <c r="W31" s="35" t="s">
        <v>69</v>
      </c>
      <c r="X31" s="549">
        <v>0</v>
      </c>
      <c r="Y31" s="55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56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58"/>
      <c r="P32" s="565" t="s">
        <v>75</v>
      </c>
      <c r="Q32" s="566"/>
      <c r="R32" s="566"/>
      <c r="S32" s="566"/>
      <c r="T32" s="566"/>
      <c r="U32" s="566"/>
      <c r="V32" s="567"/>
      <c r="W32" s="37" t="s">
        <v>76</v>
      </c>
      <c r="X32" s="551">
        <f>IFERROR(X27/H27,"0")+IFERROR(X28/H28,"0")+IFERROR(X29/H29,"0")+IFERROR(X30/H30,"0")+IFERROR(X31/H31,"0")</f>
        <v>0</v>
      </c>
      <c r="Y32" s="551">
        <f>IFERROR(Y27/H27,"0")+IFERROR(Y28/H28,"0")+IFERROR(Y29/H29,"0")+IFERROR(Y30/H30,"0")+IFERROR(Y31/H31,"0")</f>
        <v>0</v>
      </c>
      <c r="Z32" s="551">
        <f>IFERROR(IF(Z27="",0,Z27),"0")+IFERROR(IF(Z28="",0,Z28),"0")+IFERROR(IF(Z29="",0,Z29),"0")+IFERROR(IF(Z30="",0,Z30),"0")+IFERROR(IF(Z31="",0,Z31),"0")</f>
        <v>0</v>
      </c>
      <c r="AA32" s="552"/>
      <c r="AB32" s="552"/>
      <c r="AC32" s="552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58"/>
      <c r="P33" s="565" t="s">
        <v>75</v>
      </c>
      <c r="Q33" s="566"/>
      <c r="R33" s="566"/>
      <c r="S33" s="566"/>
      <c r="T33" s="566"/>
      <c r="U33" s="566"/>
      <c r="V33" s="567"/>
      <c r="W33" s="37" t="s">
        <v>69</v>
      </c>
      <c r="X33" s="551">
        <f>IFERROR(SUM(X27:X31),"0")</f>
        <v>0</v>
      </c>
      <c r="Y33" s="551">
        <f>IFERROR(SUM(Y27:Y31),"0")</f>
        <v>0</v>
      </c>
      <c r="Z33" s="37"/>
      <c r="AA33" s="552"/>
      <c r="AB33" s="552"/>
      <c r="AC33" s="552"/>
    </row>
    <row r="34" spans="1:68" ht="14.25" hidden="1" customHeight="1" x14ac:dyDescent="0.25">
      <c r="A34" s="562" t="s">
        <v>95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4"/>
      <c r="AB34" s="544"/>
      <c r="AC34" s="544"/>
    </row>
    <row r="35" spans="1:68" ht="27" hidden="1" customHeight="1" x14ac:dyDescent="0.25">
      <c r="A35" s="54" t="s">
        <v>96</v>
      </c>
      <c r="B35" s="54" t="s">
        <v>97</v>
      </c>
      <c r="C35" s="31">
        <v>4301032013</v>
      </c>
      <c r="D35" s="559">
        <v>4607091388503</v>
      </c>
      <c r="E35" s="560"/>
      <c r="F35" s="548">
        <v>0.05</v>
      </c>
      <c r="G35" s="32">
        <v>12</v>
      </c>
      <c r="H35" s="548">
        <v>0.6</v>
      </c>
      <c r="I35" s="548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79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4"/>
      <c r="R35" s="554"/>
      <c r="S35" s="554"/>
      <c r="T35" s="555"/>
      <c r="U35" s="34"/>
      <c r="V35" s="34"/>
      <c r="W35" s="35" t="s">
        <v>69</v>
      </c>
      <c r="X35" s="549">
        <v>0</v>
      </c>
      <c r="Y35" s="550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56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58"/>
      <c r="P36" s="565" t="s">
        <v>75</v>
      </c>
      <c r="Q36" s="566"/>
      <c r="R36" s="566"/>
      <c r="S36" s="566"/>
      <c r="T36" s="566"/>
      <c r="U36" s="566"/>
      <c r="V36" s="567"/>
      <c r="W36" s="37" t="s">
        <v>76</v>
      </c>
      <c r="X36" s="551">
        <f>IFERROR(X35/H35,"0")</f>
        <v>0</v>
      </c>
      <c r="Y36" s="551">
        <f>IFERROR(Y35/H35,"0")</f>
        <v>0</v>
      </c>
      <c r="Z36" s="551">
        <f>IFERROR(IF(Z35="",0,Z35),"0")</f>
        <v>0</v>
      </c>
      <c r="AA36" s="552"/>
      <c r="AB36" s="552"/>
      <c r="AC36" s="552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58"/>
      <c r="P37" s="565" t="s">
        <v>75</v>
      </c>
      <c r="Q37" s="566"/>
      <c r="R37" s="566"/>
      <c r="S37" s="566"/>
      <c r="T37" s="566"/>
      <c r="U37" s="566"/>
      <c r="V37" s="567"/>
      <c r="W37" s="37" t="s">
        <v>69</v>
      </c>
      <c r="X37" s="551">
        <f>IFERROR(SUM(X35:X35),"0")</f>
        <v>0</v>
      </c>
      <c r="Y37" s="551">
        <f>IFERROR(SUM(Y35:Y35),"0")</f>
        <v>0</v>
      </c>
      <c r="Z37" s="37"/>
      <c r="AA37" s="552"/>
      <c r="AB37" s="552"/>
      <c r="AC37" s="552"/>
    </row>
    <row r="38" spans="1:68" ht="27.75" hidden="1" customHeight="1" x14ac:dyDescent="0.2">
      <c r="A38" s="675" t="s">
        <v>101</v>
      </c>
      <c r="B38" s="676"/>
      <c r="C38" s="676"/>
      <c r="D38" s="676"/>
      <c r="E38" s="676"/>
      <c r="F38" s="676"/>
      <c r="G38" s="676"/>
      <c r="H38" s="676"/>
      <c r="I38" s="676"/>
      <c r="J38" s="676"/>
      <c r="K38" s="676"/>
      <c r="L38" s="676"/>
      <c r="M38" s="676"/>
      <c r="N38" s="676"/>
      <c r="O38" s="676"/>
      <c r="P38" s="676"/>
      <c r="Q38" s="676"/>
      <c r="R38" s="676"/>
      <c r="S38" s="676"/>
      <c r="T38" s="676"/>
      <c r="U38" s="676"/>
      <c r="V38" s="676"/>
      <c r="W38" s="676"/>
      <c r="X38" s="676"/>
      <c r="Y38" s="676"/>
      <c r="Z38" s="676"/>
      <c r="AA38" s="48"/>
      <c r="AB38" s="48"/>
      <c r="AC38" s="48"/>
    </row>
    <row r="39" spans="1:68" ht="16.5" hidden="1" customHeight="1" x14ac:dyDescent="0.25">
      <c r="A39" s="570" t="s">
        <v>102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3"/>
      <c r="AB39" s="543"/>
      <c r="AC39" s="543"/>
    </row>
    <row r="40" spans="1:68" ht="14.25" hidden="1" customHeight="1" x14ac:dyDescent="0.25">
      <c r="A40" s="562" t="s">
        <v>103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4"/>
      <c r="AB40" s="544"/>
      <c r="AC40" s="544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59">
        <v>4607091385670</v>
      </c>
      <c r="E41" s="560"/>
      <c r="F41" s="548">
        <v>1.35</v>
      </c>
      <c r="G41" s="32">
        <v>8</v>
      </c>
      <c r="H41" s="548">
        <v>10.8</v>
      </c>
      <c r="I41" s="548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7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100</v>
      </c>
      <c r="Y41" s="550">
        <f>IFERROR(IF(X41="",0,CEILING((X41/$H41),1)*$H41),"")</f>
        <v>108</v>
      </c>
      <c r="Z41" s="36">
        <f>IFERROR(IF(Y41=0,"",ROUNDUP(Y41/H41,0)*0.01898),"")</f>
        <v>0.1898</v>
      </c>
      <c r="AA41" s="56"/>
      <c r="AB41" s="57"/>
      <c r="AC41" s="85" t="s">
        <v>109</v>
      </c>
      <c r="AG41" s="64"/>
      <c r="AJ41" s="68" t="s">
        <v>83</v>
      </c>
      <c r="AK41" s="68">
        <v>86.4</v>
      </c>
      <c r="BB41" s="86" t="s">
        <v>1</v>
      </c>
      <c r="BM41" s="64">
        <f>IFERROR(X41*I41/H41,"0")</f>
        <v>103.79629629629629</v>
      </c>
      <c r="BN41" s="64">
        <f>IFERROR(Y41*I41/H41,"0")</f>
        <v>112.1</v>
      </c>
      <c r="BO41" s="64">
        <f>IFERROR(1/J41*(X41/H41),"0")</f>
        <v>0.14467592592592593</v>
      </c>
      <c r="BP41" s="64">
        <f>IFERROR(1/J41*(Y41/H41),"0")</f>
        <v>0.15625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4301011382</v>
      </c>
      <c r="D42" s="559">
        <v>4607091385687</v>
      </c>
      <c r="E42" s="560"/>
      <c r="F42" s="548">
        <v>0.4</v>
      </c>
      <c r="G42" s="32">
        <v>10</v>
      </c>
      <c r="H42" s="548">
        <v>4</v>
      </c>
      <c r="I42" s="548">
        <v>4.1900000000000004</v>
      </c>
      <c r="J42" s="32">
        <v>132</v>
      </c>
      <c r="K42" s="32" t="s">
        <v>112</v>
      </c>
      <c r="L42" s="32" t="s">
        <v>113</v>
      </c>
      <c r="M42" s="33" t="s">
        <v>81</v>
      </c>
      <c r="N42" s="33"/>
      <c r="O42" s="32">
        <v>50</v>
      </c>
      <c r="P42" s="62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4"/>
      <c r="R42" s="554"/>
      <c r="S42" s="554"/>
      <c r="T42" s="555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 t="s">
        <v>83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114</v>
      </c>
      <c r="B43" s="54" t="s">
        <v>115</v>
      </c>
      <c r="C43" s="31">
        <v>4301011565</v>
      </c>
      <c r="D43" s="559">
        <v>4680115882539</v>
      </c>
      <c r="E43" s="560"/>
      <c r="F43" s="548">
        <v>0.37</v>
      </c>
      <c r="G43" s="32">
        <v>10</v>
      </c>
      <c r="H43" s="548">
        <v>3.7</v>
      </c>
      <c r="I43" s="548">
        <v>3.89</v>
      </c>
      <c r="J43" s="32">
        <v>132</v>
      </c>
      <c r="K43" s="32" t="s">
        <v>112</v>
      </c>
      <c r="L43" s="32"/>
      <c r="M43" s="33" t="s">
        <v>81</v>
      </c>
      <c r="N43" s="33"/>
      <c r="O43" s="32">
        <v>50</v>
      </c>
      <c r="P43" s="7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4"/>
      <c r="R43" s="554"/>
      <c r="S43" s="554"/>
      <c r="T43" s="555"/>
      <c r="U43" s="34"/>
      <c r="V43" s="34"/>
      <c r="W43" s="35" t="s">
        <v>69</v>
      </c>
      <c r="X43" s="549">
        <v>0</v>
      </c>
      <c r="Y43" s="550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56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58"/>
      <c r="P44" s="565" t="s">
        <v>75</v>
      </c>
      <c r="Q44" s="566"/>
      <c r="R44" s="566"/>
      <c r="S44" s="566"/>
      <c r="T44" s="566"/>
      <c r="U44" s="566"/>
      <c r="V44" s="567"/>
      <c r="W44" s="37" t="s">
        <v>76</v>
      </c>
      <c r="X44" s="551">
        <f>IFERROR(X41/H41,"0")+IFERROR(X42/H42,"0")+IFERROR(X43/H43,"0")</f>
        <v>9.2592592592592595</v>
      </c>
      <c r="Y44" s="551">
        <f>IFERROR(Y41/H41,"0")+IFERROR(Y42/H42,"0")+IFERROR(Y43/H43,"0")</f>
        <v>10</v>
      </c>
      <c r="Z44" s="551">
        <f>IFERROR(IF(Z41="",0,Z41),"0")+IFERROR(IF(Z42="",0,Z42),"0")+IFERROR(IF(Z43="",0,Z43),"0")</f>
        <v>0.1898</v>
      </c>
      <c r="AA44" s="552"/>
      <c r="AB44" s="552"/>
      <c r="AC44" s="552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58"/>
      <c r="P45" s="565" t="s">
        <v>75</v>
      </c>
      <c r="Q45" s="566"/>
      <c r="R45" s="566"/>
      <c r="S45" s="566"/>
      <c r="T45" s="566"/>
      <c r="U45" s="566"/>
      <c r="V45" s="567"/>
      <c r="W45" s="37" t="s">
        <v>69</v>
      </c>
      <c r="X45" s="551">
        <f>IFERROR(SUM(X41:X43),"0")</f>
        <v>100</v>
      </c>
      <c r="Y45" s="551">
        <f>IFERROR(SUM(Y41:Y43),"0")</f>
        <v>108</v>
      </c>
      <c r="Z45" s="37"/>
      <c r="AA45" s="552"/>
      <c r="AB45" s="552"/>
      <c r="AC45" s="552"/>
    </row>
    <row r="46" spans="1:68" ht="14.25" hidden="1" customHeight="1" x14ac:dyDescent="0.25">
      <c r="A46" s="562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4"/>
      <c r="AB46" s="544"/>
      <c r="AC46" s="544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59">
        <v>4680115884915</v>
      </c>
      <c r="E47" s="560"/>
      <c r="F47" s="548">
        <v>0.3</v>
      </c>
      <c r="G47" s="32">
        <v>6</v>
      </c>
      <c r="H47" s="548">
        <v>1.8</v>
      </c>
      <c r="I47" s="548">
        <v>1.98</v>
      </c>
      <c r="J47" s="32">
        <v>182</v>
      </c>
      <c r="K47" s="32" t="s">
        <v>67</v>
      </c>
      <c r="L47" s="32"/>
      <c r="M47" s="33" t="s">
        <v>81</v>
      </c>
      <c r="N47" s="33"/>
      <c r="O47" s="32">
        <v>40</v>
      </c>
      <c r="P47" s="64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4"/>
      <c r="R47" s="554"/>
      <c r="S47" s="554"/>
      <c r="T47" s="555"/>
      <c r="U47" s="34"/>
      <c r="V47" s="34"/>
      <c r="W47" s="35" t="s">
        <v>69</v>
      </c>
      <c r="X47" s="549">
        <v>0</v>
      </c>
      <c r="Y47" s="550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56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58"/>
      <c r="P48" s="565" t="s">
        <v>75</v>
      </c>
      <c r="Q48" s="566"/>
      <c r="R48" s="566"/>
      <c r="S48" s="566"/>
      <c r="T48" s="566"/>
      <c r="U48" s="566"/>
      <c r="V48" s="567"/>
      <c r="W48" s="37" t="s">
        <v>76</v>
      </c>
      <c r="X48" s="551">
        <f>IFERROR(X47/H47,"0")</f>
        <v>0</v>
      </c>
      <c r="Y48" s="551">
        <f>IFERROR(Y47/H47,"0")</f>
        <v>0</v>
      </c>
      <c r="Z48" s="551">
        <f>IFERROR(IF(Z47="",0,Z47),"0")</f>
        <v>0</v>
      </c>
      <c r="AA48" s="552"/>
      <c r="AB48" s="552"/>
      <c r="AC48" s="552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58"/>
      <c r="P49" s="565" t="s">
        <v>75</v>
      </c>
      <c r="Q49" s="566"/>
      <c r="R49" s="566"/>
      <c r="S49" s="566"/>
      <c r="T49" s="566"/>
      <c r="U49" s="566"/>
      <c r="V49" s="567"/>
      <c r="W49" s="37" t="s">
        <v>69</v>
      </c>
      <c r="X49" s="551">
        <f>IFERROR(SUM(X47:X47),"0")</f>
        <v>0</v>
      </c>
      <c r="Y49" s="551">
        <f>IFERROR(SUM(Y47:Y47),"0")</f>
        <v>0</v>
      </c>
      <c r="Z49" s="37"/>
      <c r="AA49" s="552"/>
      <c r="AB49" s="552"/>
      <c r="AC49" s="552"/>
    </row>
    <row r="50" spans="1:68" ht="16.5" hidden="1" customHeight="1" x14ac:dyDescent="0.25">
      <c r="A50" s="570" t="s">
        <v>119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3"/>
      <c r="AB50" s="543"/>
      <c r="AC50" s="543"/>
    </row>
    <row r="51" spans="1:68" ht="14.25" hidden="1" customHeight="1" x14ac:dyDescent="0.25">
      <c r="A51" s="562" t="s">
        <v>103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4"/>
      <c r="AB51" s="544"/>
      <c r="AC51" s="544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59">
        <v>4680115885882</v>
      </c>
      <c r="E52" s="560"/>
      <c r="F52" s="548">
        <v>1.4</v>
      </c>
      <c r="G52" s="32">
        <v>8</v>
      </c>
      <c r="H52" s="548">
        <v>11.2</v>
      </c>
      <c r="I52" s="548">
        <v>11.61</v>
      </c>
      <c r="J52" s="32">
        <v>64</v>
      </c>
      <c r="K52" s="32" t="s">
        <v>106</v>
      </c>
      <c r="L52" s="32"/>
      <c r="M52" s="33" t="s">
        <v>81</v>
      </c>
      <c r="N52" s="33"/>
      <c r="O52" s="32">
        <v>50</v>
      </c>
      <c r="P52" s="65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0</v>
      </c>
      <c r="Y52" s="550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59">
        <v>4680115881426</v>
      </c>
      <c r="E53" s="560"/>
      <c r="F53" s="548">
        <v>1.35</v>
      </c>
      <c r="G53" s="32">
        <v>8</v>
      </c>
      <c r="H53" s="548">
        <v>10.8</v>
      </c>
      <c r="I53" s="548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71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4"/>
      <c r="R53" s="554"/>
      <c r="S53" s="554"/>
      <c r="T53" s="555"/>
      <c r="U53" s="34"/>
      <c r="V53" s="34"/>
      <c r="W53" s="35" t="s">
        <v>69</v>
      </c>
      <c r="X53" s="549">
        <v>225</v>
      </c>
      <c r="Y53" s="550">
        <f t="shared" si="0"/>
        <v>226.8</v>
      </c>
      <c r="Z53" s="36">
        <f>IFERROR(IF(Y53=0,"",ROUNDUP(Y53/H53,0)*0.01898),"")</f>
        <v>0.39857999999999999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233.54166666666666</v>
      </c>
      <c r="BN53" s="64">
        <f t="shared" si="2"/>
        <v>235.41000000000003</v>
      </c>
      <c r="BO53" s="64">
        <f t="shared" si="3"/>
        <v>0.32552083333333331</v>
      </c>
      <c r="BP53" s="64">
        <f t="shared" si="4"/>
        <v>0.328125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59">
        <v>4680115880283</v>
      </c>
      <c r="E54" s="560"/>
      <c r="F54" s="548">
        <v>0.6</v>
      </c>
      <c r="G54" s="32">
        <v>8</v>
      </c>
      <c r="H54" s="548">
        <v>4.8</v>
      </c>
      <c r="I54" s="548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3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59">
        <v>4680115881525</v>
      </c>
      <c r="E55" s="560"/>
      <c r="F55" s="548">
        <v>0.4</v>
      </c>
      <c r="G55" s="32">
        <v>10</v>
      </c>
      <c r="H55" s="548">
        <v>4</v>
      </c>
      <c r="I55" s="548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59">
        <v>4680115885899</v>
      </c>
      <c r="E56" s="560"/>
      <c r="F56" s="548">
        <v>0.35</v>
      </c>
      <c r="G56" s="32">
        <v>6</v>
      </c>
      <c r="H56" s="548">
        <v>2.1</v>
      </c>
      <c r="I56" s="548">
        <v>2.2799999999999998</v>
      </c>
      <c r="J56" s="32">
        <v>182</v>
      </c>
      <c r="K56" s="32" t="s">
        <v>67</v>
      </c>
      <c r="L56" s="32"/>
      <c r="M56" s="33" t="s">
        <v>88</v>
      </c>
      <c r="N56" s="33"/>
      <c r="O56" s="32">
        <v>50</v>
      </c>
      <c r="P56" s="61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59">
        <v>4680115881419</v>
      </c>
      <c r="E57" s="560"/>
      <c r="F57" s="548">
        <v>0.45</v>
      </c>
      <c r="G57" s="32">
        <v>10</v>
      </c>
      <c r="H57" s="548">
        <v>4.5</v>
      </c>
      <c r="I57" s="548">
        <v>4.6900000000000004</v>
      </c>
      <c r="J57" s="32">
        <v>132</v>
      </c>
      <c r="K57" s="32" t="s">
        <v>112</v>
      </c>
      <c r="L57" s="32" t="s">
        <v>113</v>
      </c>
      <c r="M57" s="33" t="s">
        <v>108</v>
      </c>
      <c r="N57" s="33"/>
      <c r="O57" s="32">
        <v>50</v>
      </c>
      <c r="P57" s="84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4"/>
      <c r="R57" s="554"/>
      <c r="S57" s="554"/>
      <c r="T57" s="555"/>
      <c r="U57" s="34"/>
      <c r="V57" s="34"/>
      <c r="W57" s="35" t="s">
        <v>69</v>
      </c>
      <c r="X57" s="549">
        <v>67.5</v>
      </c>
      <c r="Y57" s="550">
        <f t="shared" si="0"/>
        <v>67.5</v>
      </c>
      <c r="Z57" s="36">
        <f>IFERROR(IF(Y57=0,"",ROUNDUP(Y57/H57,0)*0.00902),"")</f>
        <v>0.1353</v>
      </c>
      <c r="AA57" s="56"/>
      <c r="AB57" s="57"/>
      <c r="AC57" s="103" t="s">
        <v>137</v>
      </c>
      <c r="AG57" s="64"/>
      <c r="AJ57" s="68" t="s">
        <v>83</v>
      </c>
      <c r="AK57" s="68">
        <v>54</v>
      </c>
      <c r="BB57" s="104" t="s">
        <v>1</v>
      </c>
      <c r="BM57" s="64">
        <f t="shared" si="1"/>
        <v>70.350000000000009</v>
      </c>
      <c r="BN57" s="64">
        <f t="shared" si="2"/>
        <v>70.350000000000009</v>
      </c>
      <c r="BO57" s="64">
        <f t="shared" si="3"/>
        <v>0.11363636363636365</v>
      </c>
      <c r="BP57" s="64">
        <f t="shared" si="4"/>
        <v>0.11363636363636365</v>
      </c>
    </row>
    <row r="58" spans="1:68" x14ac:dyDescent="0.2">
      <c r="A58" s="556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58"/>
      <c r="P58" s="565" t="s">
        <v>75</v>
      </c>
      <c r="Q58" s="566"/>
      <c r="R58" s="566"/>
      <c r="S58" s="566"/>
      <c r="T58" s="566"/>
      <c r="U58" s="566"/>
      <c r="V58" s="567"/>
      <c r="W58" s="37" t="s">
        <v>76</v>
      </c>
      <c r="X58" s="551">
        <f>IFERROR(X52/H52,"0")+IFERROR(X53/H53,"0")+IFERROR(X54/H54,"0")+IFERROR(X55/H55,"0")+IFERROR(X56/H56,"0")+IFERROR(X57/H57,"0")</f>
        <v>35.833333333333329</v>
      </c>
      <c r="Y58" s="551">
        <f>IFERROR(Y52/H52,"0")+IFERROR(Y53/H53,"0")+IFERROR(Y54/H54,"0")+IFERROR(Y55/H55,"0")+IFERROR(Y56/H56,"0")+IFERROR(Y57/H57,"0")</f>
        <v>36</v>
      </c>
      <c r="Z58" s="551">
        <f>IFERROR(IF(Z52="",0,Z52),"0")+IFERROR(IF(Z53="",0,Z53),"0")+IFERROR(IF(Z54="",0,Z54),"0")+IFERROR(IF(Z55="",0,Z55),"0")+IFERROR(IF(Z56="",0,Z56),"0")+IFERROR(IF(Z57="",0,Z57),"0")</f>
        <v>0.53388000000000002</v>
      </c>
      <c r="AA58" s="552"/>
      <c r="AB58" s="552"/>
      <c r="AC58" s="552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58"/>
      <c r="P59" s="565" t="s">
        <v>75</v>
      </c>
      <c r="Q59" s="566"/>
      <c r="R59" s="566"/>
      <c r="S59" s="566"/>
      <c r="T59" s="566"/>
      <c r="U59" s="566"/>
      <c r="V59" s="567"/>
      <c r="W59" s="37" t="s">
        <v>69</v>
      </c>
      <c r="X59" s="551">
        <f>IFERROR(SUM(X52:X57),"0")</f>
        <v>292.5</v>
      </c>
      <c r="Y59" s="551">
        <f>IFERROR(SUM(Y52:Y57),"0")</f>
        <v>294.3</v>
      </c>
      <c r="Z59" s="37"/>
      <c r="AA59" s="552"/>
      <c r="AB59" s="552"/>
      <c r="AC59" s="552"/>
    </row>
    <row r="60" spans="1:68" ht="14.25" hidden="1" customHeight="1" x14ac:dyDescent="0.25">
      <c r="A60" s="562" t="s">
        <v>138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4"/>
      <c r="AB60" s="544"/>
      <c r="AC60" s="544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59">
        <v>4680115881440</v>
      </c>
      <c r="E61" s="560"/>
      <c r="F61" s="548">
        <v>1.35</v>
      </c>
      <c r="G61" s="32">
        <v>8</v>
      </c>
      <c r="H61" s="548">
        <v>10.8</v>
      </c>
      <c r="I61" s="548">
        <v>11.21</v>
      </c>
      <c r="J61" s="32">
        <v>64</v>
      </c>
      <c r="K61" s="32" t="s">
        <v>106</v>
      </c>
      <c r="L61" s="32"/>
      <c r="M61" s="33" t="s">
        <v>108</v>
      </c>
      <c r="N61" s="33"/>
      <c r="O61" s="32">
        <v>50</v>
      </c>
      <c r="P61" s="76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50</v>
      </c>
      <c r="Y61" s="550">
        <f>IFERROR(IF(X61="",0,CEILING((X61/$H61),1)*$H61),"")</f>
        <v>54</v>
      </c>
      <c r="Z61" s="36">
        <f>IFERROR(IF(Y61=0,"",ROUNDUP(Y61/H61,0)*0.01898),"")</f>
        <v>9.4899999999999998E-2</v>
      </c>
      <c r="AA61" s="56"/>
      <c r="AB61" s="57"/>
      <c r="AC61" s="105" t="s">
        <v>141</v>
      </c>
      <c r="AG61" s="64"/>
      <c r="AJ61" s="68"/>
      <c r="AK61" s="68">
        <v>0</v>
      </c>
      <c r="BB61" s="106" t="s">
        <v>1</v>
      </c>
      <c r="BM61" s="64">
        <f>IFERROR(X61*I61/H61,"0")</f>
        <v>51.898148148148145</v>
      </c>
      <c r="BN61" s="64">
        <f>IFERROR(Y61*I61/H61,"0")</f>
        <v>56.05</v>
      </c>
      <c r="BO61" s="64">
        <f>IFERROR(1/J61*(X61/H61),"0")</f>
        <v>7.2337962962962965E-2</v>
      </c>
      <c r="BP61" s="64">
        <f>IFERROR(1/J61*(Y61/H61),"0")</f>
        <v>7.8125E-2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59">
        <v>4680115885950</v>
      </c>
      <c r="E62" s="560"/>
      <c r="F62" s="548">
        <v>0.37</v>
      </c>
      <c r="G62" s="32">
        <v>6</v>
      </c>
      <c r="H62" s="548">
        <v>2.2200000000000002</v>
      </c>
      <c r="I62" s="548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8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4301020296</v>
      </c>
      <c r="D63" s="559">
        <v>4680115881433</v>
      </c>
      <c r="E63" s="560"/>
      <c r="F63" s="548">
        <v>0.45</v>
      </c>
      <c r="G63" s="32">
        <v>6</v>
      </c>
      <c r="H63" s="548">
        <v>2.7</v>
      </c>
      <c r="I63" s="548">
        <v>2.88</v>
      </c>
      <c r="J63" s="32">
        <v>182</v>
      </c>
      <c r="K63" s="32" t="s">
        <v>67</v>
      </c>
      <c r="L63" s="32" t="s">
        <v>80</v>
      </c>
      <c r="M63" s="33" t="s">
        <v>108</v>
      </c>
      <c r="N63" s="33"/>
      <c r="O63" s="32">
        <v>50</v>
      </c>
      <c r="P63" s="65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4"/>
      <c r="R63" s="554"/>
      <c r="S63" s="554"/>
      <c r="T63" s="555"/>
      <c r="U63" s="34"/>
      <c r="V63" s="34"/>
      <c r="W63" s="35" t="s">
        <v>69</v>
      </c>
      <c r="X63" s="549">
        <v>0</v>
      </c>
      <c r="Y63" s="550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 t="s">
        <v>83</v>
      </c>
      <c r="AK63" s="68">
        <v>37.799999999999997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56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58"/>
      <c r="P64" s="565" t="s">
        <v>75</v>
      </c>
      <c r="Q64" s="566"/>
      <c r="R64" s="566"/>
      <c r="S64" s="566"/>
      <c r="T64" s="566"/>
      <c r="U64" s="566"/>
      <c r="V64" s="567"/>
      <c r="W64" s="37" t="s">
        <v>76</v>
      </c>
      <c r="X64" s="551">
        <f>IFERROR(X61/H61,"0")+IFERROR(X62/H62,"0")+IFERROR(X63/H63,"0")</f>
        <v>4.6296296296296298</v>
      </c>
      <c r="Y64" s="551">
        <f>IFERROR(Y61/H61,"0")+IFERROR(Y62/H62,"0")+IFERROR(Y63/H63,"0")</f>
        <v>5</v>
      </c>
      <c r="Z64" s="551">
        <f>IFERROR(IF(Z61="",0,Z61),"0")+IFERROR(IF(Z62="",0,Z62),"0")+IFERROR(IF(Z63="",0,Z63),"0")</f>
        <v>9.4899999999999998E-2</v>
      </c>
      <c r="AA64" s="552"/>
      <c r="AB64" s="552"/>
      <c r="AC64" s="552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58"/>
      <c r="P65" s="565" t="s">
        <v>75</v>
      </c>
      <c r="Q65" s="566"/>
      <c r="R65" s="566"/>
      <c r="S65" s="566"/>
      <c r="T65" s="566"/>
      <c r="U65" s="566"/>
      <c r="V65" s="567"/>
      <c r="W65" s="37" t="s">
        <v>69</v>
      </c>
      <c r="X65" s="551">
        <f>IFERROR(SUM(X61:X63),"0")</f>
        <v>50</v>
      </c>
      <c r="Y65" s="551">
        <f>IFERROR(SUM(Y61:Y63),"0")</f>
        <v>54</v>
      </c>
      <c r="Z65" s="37"/>
      <c r="AA65" s="552"/>
      <c r="AB65" s="552"/>
      <c r="AC65" s="552"/>
    </row>
    <row r="66" spans="1:68" ht="14.25" hidden="1" customHeight="1" x14ac:dyDescent="0.25">
      <c r="A66" s="562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4"/>
      <c r="AB66" s="544"/>
      <c r="AC66" s="544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59">
        <v>4680115885073</v>
      </c>
      <c r="E67" s="560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59">
        <v>4680115885097</v>
      </c>
      <c r="E68" s="560"/>
      <c r="F68" s="548">
        <v>0.3</v>
      </c>
      <c r="G68" s="32">
        <v>6</v>
      </c>
      <c r="H68" s="548">
        <v>1.8</v>
      </c>
      <c r="I68" s="548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4"/>
      <c r="R68" s="554"/>
      <c r="S68" s="554"/>
      <c r="T68" s="555"/>
      <c r="U68" s="34"/>
      <c r="V68" s="34"/>
      <c r="W68" s="35" t="s">
        <v>69</v>
      </c>
      <c r="X68" s="549">
        <v>0</v>
      </c>
      <c r="Y68" s="55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6"/>
      <c r="B69" s="557"/>
      <c r="C69" s="557"/>
      <c r="D69" s="557"/>
      <c r="E69" s="557"/>
      <c r="F69" s="557"/>
      <c r="G69" s="557"/>
      <c r="H69" s="557"/>
      <c r="I69" s="557"/>
      <c r="J69" s="557"/>
      <c r="K69" s="557"/>
      <c r="L69" s="557"/>
      <c r="M69" s="557"/>
      <c r="N69" s="557"/>
      <c r="O69" s="558"/>
      <c r="P69" s="565" t="s">
        <v>75</v>
      </c>
      <c r="Q69" s="566"/>
      <c r="R69" s="566"/>
      <c r="S69" s="566"/>
      <c r="T69" s="566"/>
      <c r="U69" s="566"/>
      <c r="V69" s="567"/>
      <c r="W69" s="37" t="s">
        <v>76</v>
      </c>
      <c r="X69" s="551">
        <f>IFERROR(X67/H67,"0")+IFERROR(X68/H68,"0")</f>
        <v>0</v>
      </c>
      <c r="Y69" s="551">
        <f>IFERROR(Y67/H67,"0")+IFERROR(Y68/H68,"0")</f>
        <v>0</v>
      </c>
      <c r="Z69" s="551">
        <f>IFERROR(IF(Z67="",0,Z67),"0")+IFERROR(IF(Z68="",0,Z68),"0")</f>
        <v>0</v>
      </c>
      <c r="AA69" s="552"/>
      <c r="AB69" s="552"/>
      <c r="AC69" s="552"/>
    </row>
    <row r="70" spans="1:68" hidden="1" x14ac:dyDescent="0.2">
      <c r="A70" s="55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58"/>
      <c r="P70" s="565" t="s">
        <v>75</v>
      </c>
      <c r="Q70" s="566"/>
      <c r="R70" s="566"/>
      <c r="S70" s="566"/>
      <c r="T70" s="566"/>
      <c r="U70" s="566"/>
      <c r="V70" s="567"/>
      <c r="W70" s="37" t="s">
        <v>69</v>
      </c>
      <c r="X70" s="551">
        <f>IFERROR(SUM(X67:X68),"0")</f>
        <v>0</v>
      </c>
      <c r="Y70" s="551">
        <f>IFERROR(SUM(Y67:Y68),"0")</f>
        <v>0</v>
      </c>
      <c r="Z70" s="37"/>
      <c r="AA70" s="552"/>
      <c r="AB70" s="552"/>
      <c r="AC70" s="552"/>
    </row>
    <row r="71" spans="1:68" ht="14.25" hidden="1" customHeight="1" x14ac:dyDescent="0.25">
      <c r="A71" s="562" t="s">
        <v>77</v>
      </c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57"/>
      <c r="P71" s="557"/>
      <c r="Q71" s="557"/>
      <c r="R71" s="557"/>
      <c r="S71" s="557"/>
      <c r="T71" s="557"/>
      <c r="U71" s="557"/>
      <c r="V71" s="557"/>
      <c r="W71" s="557"/>
      <c r="X71" s="557"/>
      <c r="Y71" s="557"/>
      <c r="Z71" s="557"/>
      <c r="AA71" s="544"/>
      <c r="AB71" s="544"/>
      <c r="AC71" s="544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59">
        <v>4680115885769</v>
      </c>
      <c r="E72" s="560"/>
      <c r="F72" s="548">
        <v>1.4</v>
      </c>
      <c r="G72" s="32">
        <v>6</v>
      </c>
      <c r="H72" s="548">
        <v>8.4</v>
      </c>
      <c r="I72" s="548">
        <v>8.81</v>
      </c>
      <c r="J72" s="32">
        <v>64</v>
      </c>
      <c r="K72" s="32" t="s">
        <v>106</v>
      </c>
      <c r="L72" s="32"/>
      <c r="M72" s="33" t="s">
        <v>81</v>
      </c>
      <c r="N72" s="33"/>
      <c r="O72" s="32">
        <v>45</v>
      </c>
      <c r="P72" s="85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59">
        <v>4680115884311</v>
      </c>
      <c r="E73" s="560"/>
      <c r="F73" s="548">
        <v>0.3</v>
      </c>
      <c r="G73" s="32">
        <v>6</v>
      </c>
      <c r="H73" s="548">
        <v>1.8</v>
      </c>
      <c r="I73" s="548">
        <v>2.0459999999999998</v>
      </c>
      <c r="J73" s="32">
        <v>182</v>
      </c>
      <c r="K73" s="32" t="s">
        <v>67</v>
      </c>
      <c r="L73" s="32"/>
      <c r="M73" s="33" t="s">
        <v>81</v>
      </c>
      <c r="N73" s="33"/>
      <c r="O73" s="32">
        <v>40</v>
      </c>
      <c r="P73" s="57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59">
        <v>4680115885929</v>
      </c>
      <c r="E74" s="560"/>
      <c r="F74" s="548">
        <v>0.42</v>
      </c>
      <c r="G74" s="32">
        <v>6</v>
      </c>
      <c r="H74" s="548">
        <v>2.52</v>
      </c>
      <c r="I74" s="548">
        <v>2.7</v>
      </c>
      <c r="J74" s="32">
        <v>182</v>
      </c>
      <c r="K74" s="32" t="s">
        <v>67</v>
      </c>
      <c r="L74" s="32"/>
      <c r="M74" s="33" t="s">
        <v>81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59">
        <v>4680115884403</v>
      </c>
      <c r="E75" s="560"/>
      <c r="F75" s="548">
        <v>0.3</v>
      </c>
      <c r="G75" s="32">
        <v>6</v>
      </c>
      <c r="H75" s="548">
        <v>1.8</v>
      </c>
      <c r="I75" s="548">
        <v>1.98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40</v>
      </c>
      <c r="P75" s="84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4"/>
      <c r="R75" s="554"/>
      <c r="S75" s="554"/>
      <c r="T75" s="555"/>
      <c r="U75" s="34"/>
      <c r="V75" s="34"/>
      <c r="W75" s="35" t="s">
        <v>69</v>
      </c>
      <c r="X75" s="549">
        <v>0</v>
      </c>
      <c r="Y75" s="55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6"/>
      <c r="B76" s="557"/>
      <c r="C76" s="557"/>
      <c r="D76" s="557"/>
      <c r="E76" s="557"/>
      <c r="F76" s="557"/>
      <c r="G76" s="557"/>
      <c r="H76" s="557"/>
      <c r="I76" s="557"/>
      <c r="J76" s="557"/>
      <c r="K76" s="557"/>
      <c r="L76" s="557"/>
      <c r="M76" s="557"/>
      <c r="N76" s="557"/>
      <c r="O76" s="558"/>
      <c r="P76" s="565" t="s">
        <v>75</v>
      </c>
      <c r="Q76" s="566"/>
      <c r="R76" s="566"/>
      <c r="S76" s="566"/>
      <c r="T76" s="566"/>
      <c r="U76" s="566"/>
      <c r="V76" s="567"/>
      <c r="W76" s="37" t="s">
        <v>76</v>
      </c>
      <c r="X76" s="551">
        <f>IFERROR(X72/H72,"0")+IFERROR(X73/H73,"0")+IFERROR(X74/H74,"0")+IFERROR(X75/H75,"0")</f>
        <v>0</v>
      </c>
      <c r="Y76" s="551">
        <f>IFERROR(Y72/H72,"0")+IFERROR(Y73/H73,"0")+IFERROR(Y74/H74,"0")+IFERROR(Y75/H75,"0")</f>
        <v>0</v>
      </c>
      <c r="Z76" s="551">
        <f>IFERROR(IF(Z72="",0,Z72),"0")+IFERROR(IF(Z73="",0,Z73),"0")+IFERROR(IF(Z74="",0,Z74),"0")+IFERROR(IF(Z75="",0,Z75),"0")</f>
        <v>0</v>
      </c>
      <c r="AA76" s="552"/>
      <c r="AB76" s="552"/>
      <c r="AC76" s="552"/>
    </row>
    <row r="77" spans="1:68" hidden="1" x14ac:dyDescent="0.2">
      <c r="A77" s="55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58"/>
      <c r="P77" s="565" t="s">
        <v>75</v>
      </c>
      <c r="Q77" s="566"/>
      <c r="R77" s="566"/>
      <c r="S77" s="566"/>
      <c r="T77" s="566"/>
      <c r="U77" s="566"/>
      <c r="V77" s="567"/>
      <c r="W77" s="37" t="s">
        <v>69</v>
      </c>
      <c r="X77" s="551">
        <f>IFERROR(SUM(X72:X75),"0")</f>
        <v>0</v>
      </c>
      <c r="Y77" s="551">
        <f>IFERROR(SUM(Y72:Y75),"0")</f>
        <v>0</v>
      </c>
      <c r="Z77" s="37"/>
      <c r="AA77" s="552"/>
      <c r="AB77" s="552"/>
      <c r="AC77" s="552"/>
    </row>
    <row r="78" spans="1:68" ht="14.25" hidden="1" customHeight="1" x14ac:dyDescent="0.25">
      <c r="A78" s="562" t="s">
        <v>163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  <c r="Y78" s="557"/>
      <c r="Z78" s="557"/>
      <c r="AA78" s="544"/>
      <c r="AB78" s="544"/>
      <c r="AC78" s="544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59">
        <v>4680115881532</v>
      </c>
      <c r="E79" s="560"/>
      <c r="F79" s="548">
        <v>1.3</v>
      </c>
      <c r="G79" s="32">
        <v>6</v>
      </c>
      <c r="H79" s="548">
        <v>7.8</v>
      </c>
      <c r="I79" s="548">
        <v>8.2100000000000009</v>
      </c>
      <c r="J79" s="32">
        <v>64</v>
      </c>
      <c r="K79" s="32" t="s">
        <v>106</v>
      </c>
      <c r="L79" s="32"/>
      <c r="M79" s="33" t="s">
        <v>88</v>
      </c>
      <c r="N79" s="33"/>
      <c r="O79" s="32">
        <v>30</v>
      </c>
      <c r="P79" s="5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59">
        <v>4680115881464</v>
      </c>
      <c r="E80" s="560"/>
      <c r="F80" s="548">
        <v>0.4</v>
      </c>
      <c r="G80" s="32">
        <v>6</v>
      </c>
      <c r="H80" s="548">
        <v>2.4</v>
      </c>
      <c r="I80" s="548">
        <v>2.59</v>
      </c>
      <c r="J80" s="32">
        <v>132</v>
      </c>
      <c r="K80" s="32" t="s">
        <v>112</v>
      </c>
      <c r="L80" s="32"/>
      <c r="M80" s="33" t="s">
        <v>81</v>
      </c>
      <c r="N80" s="33"/>
      <c r="O80" s="32">
        <v>30</v>
      </c>
      <c r="P80" s="7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4"/>
      <c r="R80" s="554"/>
      <c r="S80" s="554"/>
      <c r="T80" s="555"/>
      <c r="U80" s="34"/>
      <c r="V80" s="34"/>
      <c r="W80" s="35" t="s">
        <v>69</v>
      </c>
      <c r="X80" s="549">
        <v>0</v>
      </c>
      <c r="Y80" s="55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6"/>
      <c r="B81" s="557"/>
      <c r="C81" s="557"/>
      <c r="D81" s="557"/>
      <c r="E81" s="557"/>
      <c r="F81" s="557"/>
      <c r="G81" s="557"/>
      <c r="H81" s="557"/>
      <c r="I81" s="557"/>
      <c r="J81" s="557"/>
      <c r="K81" s="557"/>
      <c r="L81" s="557"/>
      <c r="M81" s="557"/>
      <c r="N81" s="557"/>
      <c r="O81" s="558"/>
      <c r="P81" s="565" t="s">
        <v>75</v>
      </c>
      <c r="Q81" s="566"/>
      <c r="R81" s="566"/>
      <c r="S81" s="566"/>
      <c r="T81" s="566"/>
      <c r="U81" s="566"/>
      <c r="V81" s="567"/>
      <c r="W81" s="37" t="s">
        <v>76</v>
      </c>
      <c r="X81" s="551">
        <f>IFERROR(X79/H79,"0")+IFERROR(X80/H80,"0")</f>
        <v>0</v>
      </c>
      <c r="Y81" s="551">
        <f>IFERROR(Y79/H79,"0")+IFERROR(Y80/H80,"0")</f>
        <v>0</v>
      </c>
      <c r="Z81" s="551">
        <f>IFERROR(IF(Z79="",0,Z79),"0")+IFERROR(IF(Z80="",0,Z80),"0")</f>
        <v>0</v>
      </c>
      <c r="AA81" s="552"/>
      <c r="AB81" s="552"/>
      <c r="AC81" s="552"/>
    </row>
    <row r="82" spans="1:68" hidden="1" x14ac:dyDescent="0.2">
      <c r="A82" s="55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58"/>
      <c r="P82" s="565" t="s">
        <v>75</v>
      </c>
      <c r="Q82" s="566"/>
      <c r="R82" s="566"/>
      <c r="S82" s="566"/>
      <c r="T82" s="566"/>
      <c r="U82" s="566"/>
      <c r="V82" s="567"/>
      <c r="W82" s="37" t="s">
        <v>69</v>
      </c>
      <c r="X82" s="551">
        <f>IFERROR(SUM(X79:X80),"0")</f>
        <v>0</v>
      </c>
      <c r="Y82" s="551">
        <f>IFERROR(SUM(Y79:Y80),"0")</f>
        <v>0</v>
      </c>
      <c r="Z82" s="37"/>
      <c r="AA82" s="552"/>
      <c r="AB82" s="552"/>
      <c r="AC82" s="552"/>
    </row>
    <row r="83" spans="1:68" ht="16.5" hidden="1" customHeight="1" x14ac:dyDescent="0.25">
      <c r="A83" s="570" t="s">
        <v>170</v>
      </c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7"/>
      <c r="P83" s="557"/>
      <c r="Q83" s="557"/>
      <c r="R83" s="557"/>
      <c r="S83" s="557"/>
      <c r="T83" s="557"/>
      <c r="U83" s="557"/>
      <c r="V83" s="557"/>
      <c r="W83" s="557"/>
      <c r="X83" s="557"/>
      <c r="Y83" s="557"/>
      <c r="Z83" s="557"/>
      <c r="AA83" s="543"/>
      <c r="AB83" s="543"/>
      <c r="AC83" s="543"/>
    </row>
    <row r="84" spans="1:68" ht="14.25" hidden="1" customHeight="1" x14ac:dyDescent="0.25">
      <c r="A84" s="562" t="s">
        <v>103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4"/>
      <c r="AB84" s="544"/>
      <c r="AC84" s="544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59">
        <v>4680115881327</v>
      </c>
      <c r="E85" s="560"/>
      <c r="F85" s="548">
        <v>1.35</v>
      </c>
      <c r="G85" s="32">
        <v>8</v>
      </c>
      <c r="H85" s="548">
        <v>10.8</v>
      </c>
      <c r="I85" s="548">
        <v>11.21</v>
      </c>
      <c r="J85" s="32">
        <v>64</v>
      </c>
      <c r="K85" s="32" t="s">
        <v>106</v>
      </c>
      <c r="L85" s="32" t="s">
        <v>107</v>
      </c>
      <c r="M85" s="33" t="s">
        <v>88</v>
      </c>
      <c r="N85" s="33"/>
      <c r="O85" s="32">
        <v>50</v>
      </c>
      <c r="P85" s="86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4"/>
      <c r="R85" s="554"/>
      <c r="S85" s="554"/>
      <c r="T85" s="555"/>
      <c r="U85" s="34"/>
      <c r="V85" s="34"/>
      <c r="W85" s="35" t="s">
        <v>69</v>
      </c>
      <c r="X85" s="549">
        <v>50</v>
      </c>
      <c r="Y85" s="550">
        <f>IFERROR(IF(X85="",0,CEILING((X85/$H85),1)*$H85),"")</f>
        <v>54</v>
      </c>
      <c r="Z85" s="36">
        <f>IFERROR(IF(Y85=0,"",ROUNDUP(Y85/H85,0)*0.01898),"")</f>
        <v>9.4899999999999998E-2</v>
      </c>
      <c r="AA85" s="56"/>
      <c r="AB85" s="57"/>
      <c r="AC85" s="127" t="s">
        <v>173</v>
      </c>
      <c r="AG85" s="64"/>
      <c r="AJ85" s="68" t="s">
        <v>83</v>
      </c>
      <c r="AK85" s="68">
        <v>86.4</v>
      </c>
      <c r="BB85" s="128" t="s">
        <v>1</v>
      </c>
      <c r="BM85" s="64">
        <f>IFERROR(X85*I85/H85,"0")</f>
        <v>51.898148148148145</v>
      </c>
      <c r="BN85" s="64">
        <f>IFERROR(Y85*I85/H85,"0")</f>
        <v>56.05</v>
      </c>
      <c r="BO85" s="64">
        <f>IFERROR(1/J85*(X85/H85),"0")</f>
        <v>7.2337962962962965E-2</v>
      </c>
      <c r="BP85" s="64">
        <f>IFERROR(1/J85*(Y85/H85),"0")</f>
        <v>7.8125E-2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4301011261</v>
      </c>
      <c r="D86" s="559">
        <v>4680115887732</v>
      </c>
      <c r="E86" s="560"/>
      <c r="F86" s="548">
        <v>0.17</v>
      </c>
      <c r="G86" s="32">
        <v>10</v>
      </c>
      <c r="H86" s="548">
        <v>1.7</v>
      </c>
      <c r="I86" s="548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4301011476</v>
      </c>
      <c r="D87" s="559">
        <v>4680115881518</v>
      </c>
      <c r="E87" s="560"/>
      <c r="F87" s="548">
        <v>0.4</v>
      </c>
      <c r="G87" s="32">
        <v>10</v>
      </c>
      <c r="H87" s="548">
        <v>4</v>
      </c>
      <c r="I87" s="548">
        <v>4.1900000000000004</v>
      </c>
      <c r="J87" s="32">
        <v>132</v>
      </c>
      <c r="K87" s="32" t="s">
        <v>112</v>
      </c>
      <c r="L87" s="32"/>
      <c r="M87" s="33" t="s">
        <v>81</v>
      </c>
      <c r="N87" s="33"/>
      <c r="O87" s="32">
        <v>50</v>
      </c>
      <c r="P87" s="74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59">
        <v>4680115881303</v>
      </c>
      <c r="E88" s="560"/>
      <c r="F88" s="548">
        <v>0.45</v>
      </c>
      <c r="G88" s="32">
        <v>10</v>
      </c>
      <c r="H88" s="548">
        <v>4.5</v>
      </c>
      <c r="I88" s="548">
        <v>4.6900000000000004</v>
      </c>
      <c r="J88" s="32">
        <v>132</v>
      </c>
      <c r="K88" s="32" t="s">
        <v>112</v>
      </c>
      <c r="L88" s="32" t="s">
        <v>113</v>
      </c>
      <c r="M88" s="33" t="s">
        <v>88</v>
      </c>
      <c r="N88" s="33"/>
      <c r="O88" s="32">
        <v>50</v>
      </c>
      <c r="P88" s="74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4"/>
      <c r="R88" s="554"/>
      <c r="S88" s="554"/>
      <c r="T88" s="555"/>
      <c r="U88" s="34"/>
      <c r="V88" s="34"/>
      <c r="W88" s="35" t="s">
        <v>69</v>
      </c>
      <c r="X88" s="549">
        <v>54</v>
      </c>
      <c r="Y88" s="550">
        <f>IFERROR(IF(X88="",0,CEILING((X88/$H88),1)*$H88),"")</f>
        <v>54</v>
      </c>
      <c r="Z88" s="36">
        <f>IFERROR(IF(Y88=0,"",ROUNDUP(Y88/H88,0)*0.00902),"")</f>
        <v>0.10824</v>
      </c>
      <c r="AA88" s="56"/>
      <c r="AB88" s="57"/>
      <c r="AC88" s="133" t="s">
        <v>173</v>
      </c>
      <c r="AG88" s="64"/>
      <c r="AJ88" s="68" t="s">
        <v>83</v>
      </c>
      <c r="AK88" s="68">
        <v>54</v>
      </c>
      <c r="BB88" s="134" t="s">
        <v>1</v>
      </c>
      <c r="BM88" s="64">
        <f>IFERROR(X88*I88/H88,"0")</f>
        <v>56.28</v>
      </c>
      <c r="BN88" s="64">
        <f>IFERROR(Y88*I88/H88,"0")</f>
        <v>56.28</v>
      </c>
      <c r="BO88" s="64">
        <f>IFERROR(1/J88*(X88/H88),"0")</f>
        <v>9.0909090909090912E-2</v>
      </c>
      <c r="BP88" s="64">
        <f>IFERROR(1/J88*(Y88/H88),"0")</f>
        <v>9.0909090909090912E-2</v>
      </c>
    </row>
    <row r="89" spans="1:68" x14ac:dyDescent="0.2">
      <c r="A89" s="556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58"/>
      <c r="P89" s="565" t="s">
        <v>75</v>
      </c>
      <c r="Q89" s="566"/>
      <c r="R89" s="566"/>
      <c r="S89" s="566"/>
      <c r="T89" s="566"/>
      <c r="U89" s="566"/>
      <c r="V89" s="567"/>
      <c r="W89" s="37" t="s">
        <v>76</v>
      </c>
      <c r="X89" s="551">
        <f>IFERROR(X85/H85,"0")+IFERROR(X86/H86,"0")+IFERROR(X87/H87,"0")+IFERROR(X88/H88,"0")</f>
        <v>16.62962962962963</v>
      </c>
      <c r="Y89" s="551">
        <f>IFERROR(Y85/H85,"0")+IFERROR(Y86/H86,"0")+IFERROR(Y87/H87,"0")+IFERROR(Y88/H88,"0")</f>
        <v>17</v>
      </c>
      <c r="Z89" s="551">
        <f>IFERROR(IF(Z85="",0,Z85),"0")+IFERROR(IF(Z86="",0,Z86),"0")+IFERROR(IF(Z87="",0,Z87),"0")+IFERROR(IF(Z88="",0,Z88),"0")</f>
        <v>0.20313999999999999</v>
      </c>
      <c r="AA89" s="552"/>
      <c r="AB89" s="552"/>
      <c r="AC89" s="552"/>
    </row>
    <row r="90" spans="1:68" x14ac:dyDescent="0.2">
      <c r="A90" s="55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58"/>
      <c r="P90" s="565" t="s">
        <v>75</v>
      </c>
      <c r="Q90" s="566"/>
      <c r="R90" s="566"/>
      <c r="S90" s="566"/>
      <c r="T90" s="566"/>
      <c r="U90" s="566"/>
      <c r="V90" s="567"/>
      <c r="W90" s="37" t="s">
        <v>69</v>
      </c>
      <c r="X90" s="551">
        <f>IFERROR(SUM(X85:X88),"0")</f>
        <v>104</v>
      </c>
      <c r="Y90" s="551">
        <f>IFERROR(SUM(Y85:Y88),"0")</f>
        <v>108</v>
      </c>
      <c r="Z90" s="37"/>
      <c r="AA90" s="552"/>
      <c r="AB90" s="552"/>
      <c r="AC90" s="552"/>
    </row>
    <row r="91" spans="1:68" ht="14.25" hidden="1" customHeight="1" x14ac:dyDescent="0.25">
      <c r="A91" s="562" t="s">
        <v>77</v>
      </c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57"/>
      <c r="P91" s="557"/>
      <c r="Q91" s="557"/>
      <c r="R91" s="557"/>
      <c r="S91" s="557"/>
      <c r="T91" s="557"/>
      <c r="U91" s="557"/>
      <c r="V91" s="557"/>
      <c r="W91" s="557"/>
      <c r="X91" s="557"/>
      <c r="Y91" s="557"/>
      <c r="Z91" s="557"/>
      <c r="AA91" s="544"/>
      <c r="AB91" s="544"/>
      <c r="AC91" s="544"/>
    </row>
    <row r="92" spans="1:68" ht="27" hidden="1" customHeight="1" x14ac:dyDescent="0.25">
      <c r="A92" s="54" t="s">
        <v>182</v>
      </c>
      <c r="B92" s="54" t="s">
        <v>183</v>
      </c>
      <c r="C92" s="31">
        <v>4301051712</v>
      </c>
      <c r="D92" s="559">
        <v>4607091386967</v>
      </c>
      <c r="E92" s="560"/>
      <c r="F92" s="548">
        <v>1.35</v>
      </c>
      <c r="G92" s="32">
        <v>6</v>
      </c>
      <c r="H92" s="548">
        <v>8.1</v>
      </c>
      <c r="I92" s="548">
        <v>8.5939999999999994</v>
      </c>
      <c r="J92" s="32">
        <v>64</v>
      </c>
      <c r="K92" s="32" t="s">
        <v>106</v>
      </c>
      <c r="L92" s="32"/>
      <c r="M92" s="33" t="s">
        <v>88</v>
      </c>
      <c r="N92" s="33"/>
      <c r="O92" s="32">
        <v>45</v>
      </c>
      <c r="P92" s="62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4301051788</v>
      </c>
      <c r="D93" s="559">
        <v>4680115884953</v>
      </c>
      <c r="E93" s="560"/>
      <c r="F93" s="548">
        <v>0.37</v>
      </c>
      <c r="G93" s="32">
        <v>6</v>
      </c>
      <c r="H93" s="548">
        <v>2.2200000000000002</v>
      </c>
      <c r="I93" s="548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9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0</v>
      </c>
      <c r="Y93" s="55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187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188</v>
      </c>
      <c r="B94" s="54" t="s">
        <v>189</v>
      </c>
      <c r="C94" s="31">
        <v>4301051718</v>
      </c>
      <c r="D94" s="559">
        <v>4607091385731</v>
      </c>
      <c r="E94" s="560"/>
      <c r="F94" s="548">
        <v>0.45</v>
      </c>
      <c r="G94" s="32">
        <v>6</v>
      </c>
      <c r="H94" s="548">
        <v>2.7</v>
      </c>
      <c r="I94" s="548">
        <v>2.952</v>
      </c>
      <c r="J94" s="32">
        <v>182</v>
      </c>
      <c r="K94" s="32" t="s">
        <v>67</v>
      </c>
      <c r="L94" s="32"/>
      <c r="M94" s="33" t="s">
        <v>88</v>
      </c>
      <c r="N94" s="33"/>
      <c r="O94" s="32">
        <v>45</v>
      </c>
      <c r="P94" s="65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190</v>
      </c>
      <c r="B95" s="54" t="s">
        <v>191</v>
      </c>
      <c r="C95" s="31">
        <v>4301051438</v>
      </c>
      <c r="D95" s="559">
        <v>4680115880894</v>
      </c>
      <c r="E95" s="560"/>
      <c r="F95" s="548">
        <v>0.33</v>
      </c>
      <c r="G95" s="32">
        <v>6</v>
      </c>
      <c r="H95" s="548">
        <v>1.98</v>
      </c>
      <c r="I95" s="548">
        <v>2.238</v>
      </c>
      <c r="J95" s="32">
        <v>182</v>
      </c>
      <c r="K95" s="32" t="s">
        <v>67</v>
      </c>
      <c r="L95" s="32"/>
      <c r="M95" s="33" t="s">
        <v>81</v>
      </c>
      <c r="N95" s="33"/>
      <c r="O95" s="32">
        <v>45</v>
      </c>
      <c r="P95" s="63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4"/>
      <c r="R95" s="554"/>
      <c r="S95" s="554"/>
      <c r="T95" s="555"/>
      <c r="U95" s="34"/>
      <c r="V95" s="34"/>
      <c r="W95" s="35" t="s">
        <v>69</v>
      </c>
      <c r="X95" s="549">
        <v>0</v>
      </c>
      <c r="Y95" s="550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192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idden="1" x14ac:dyDescent="0.2">
      <c r="A96" s="556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58"/>
      <c r="P96" s="565" t="s">
        <v>75</v>
      </c>
      <c r="Q96" s="566"/>
      <c r="R96" s="566"/>
      <c r="S96" s="566"/>
      <c r="T96" s="566"/>
      <c r="U96" s="566"/>
      <c r="V96" s="567"/>
      <c r="W96" s="37" t="s">
        <v>76</v>
      </c>
      <c r="X96" s="551">
        <f>IFERROR(X92/H92,"0")+IFERROR(X93/H93,"0")+IFERROR(X94/H94,"0")+IFERROR(X95/H95,"0")</f>
        <v>0</v>
      </c>
      <c r="Y96" s="551">
        <f>IFERROR(Y92/H92,"0")+IFERROR(Y93/H93,"0")+IFERROR(Y94/H94,"0")+IFERROR(Y95/H95,"0")</f>
        <v>0</v>
      </c>
      <c r="Z96" s="551">
        <f>IFERROR(IF(Z92="",0,Z92),"0")+IFERROR(IF(Z93="",0,Z93),"0")+IFERROR(IF(Z94="",0,Z94),"0")+IFERROR(IF(Z95="",0,Z95),"0")</f>
        <v>0</v>
      </c>
      <c r="AA96" s="552"/>
      <c r="AB96" s="552"/>
      <c r="AC96" s="552"/>
    </row>
    <row r="97" spans="1:68" hidden="1" x14ac:dyDescent="0.2">
      <c r="A97" s="55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58"/>
      <c r="P97" s="565" t="s">
        <v>75</v>
      </c>
      <c r="Q97" s="566"/>
      <c r="R97" s="566"/>
      <c r="S97" s="566"/>
      <c r="T97" s="566"/>
      <c r="U97" s="566"/>
      <c r="V97" s="567"/>
      <c r="W97" s="37" t="s">
        <v>69</v>
      </c>
      <c r="X97" s="551">
        <f>IFERROR(SUM(X92:X95),"0")</f>
        <v>0</v>
      </c>
      <c r="Y97" s="551">
        <f>IFERROR(SUM(Y92:Y95),"0")</f>
        <v>0</v>
      </c>
      <c r="Z97" s="37"/>
      <c r="AA97" s="552"/>
      <c r="AB97" s="552"/>
      <c r="AC97" s="552"/>
    </row>
    <row r="98" spans="1:68" ht="16.5" hidden="1" customHeight="1" x14ac:dyDescent="0.25">
      <c r="A98" s="570" t="s">
        <v>193</v>
      </c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7"/>
      <c r="P98" s="557"/>
      <c r="Q98" s="557"/>
      <c r="R98" s="557"/>
      <c r="S98" s="557"/>
      <c r="T98" s="557"/>
      <c r="U98" s="557"/>
      <c r="V98" s="557"/>
      <c r="W98" s="557"/>
      <c r="X98" s="557"/>
      <c r="Y98" s="557"/>
      <c r="Z98" s="557"/>
      <c r="AA98" s="543"/>
      <c r="AB98" s="543"/>
      <c r="AC98" s="543"/>
    </row>
    <row r="99" spans="1:68" ht="14.25" hidden="1" customHeight="1" x14ac:dyDescent="0.25">
      <c r="A99" s="562" t="s">
        <v>103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4"/>
      <c r="AB99" s="544"/>
      <c r="AC99" s="544"/>
    </row>
    <row r="100" spans="1:68" ht="37.5" hidden="1" customHeight="1" x14ac:dyDescent="0.25">
      <c r="A100" s="54" t="s">
        <v>194</v>
      </c>
      <c r="B100" s="54" t="s">
        <v>195</v>
      </c>
      <c r="C100" s="31">
        <v>4301011514</v>
      </c>
      <c r="D100" s="559">
        <v>4680115882133</v>
      </c>
      <c r="E100" s="560"/>
      <c r="F100" s="548">
        <v>1.35</v>
      </c>
      <c r="G100" s="32">
        <v>8</v>
      </c>
      <c r="H100" s="548">
        <v>10.8</v>
      </c>
      <c r="I100" s="548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5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196</v>
      </c>
      <c r="AG100" s="64"/>
      <c r="AJ100" s="68" t="s">
        <v>83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197</v>
      </c>
      <c r="B101" s="54" t="s">
        <v>198</v>
      </c>
      <c r="C101" s="31">
        <v>4301012051</v>
      </c>
      <c r="D101" s="559">
        <v>4680115887718</v>
      </c>
      <c r="E101" s="560"/>
      <c r="F101" s="548">
        <v>0.11</v>
      </c>
      <c r="G101" s="32">
        <v>10</v>
      </c>
      <c r="H101" s="548">
        <v>1.1000000000000001</v>
      </c>
      <c r="I101" s="548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1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199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200</v>
      </c>
      <c r="B102" s="54" t="s">
        <v>201</v>
      </c>
      <c r="C102" s="31">
        <v>4301011417</v>
      </c>
      <c r="D102" s="559">
        <v>4680115880269</v>
      </c>
      <c r="E102" s="560"/>
      <c r="F102" s="548">
        <v>0.375</v>
      </c>
      <c r="G102" s="32">
        <v>10</v>
      </c>
      <c r="H102" s="548">
        <v>3.75</v>
      </c>
      <c r="I102" s="548">
        <v>3.94</v>
      </c>
      <c r="J102" s="32">
        <v>132</v>
      </c>
      <c r="K102" s="32" t="s">
        <v>112</v>
      </c>
      <c r="L102" s="32"/>
      <c r="M102" s="33" t="s">
        <v>81</v>
      </c>
      <c r="N102" s="33"/>
      <c r="O102" s="32">
        <v>50</v>
      </c>
      <c r="P102" s="81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196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202</v>
      </c>
      <c r="B103" s="54" t="s">
        <v>203</v>
      </c>
      <c r="C103" s="31">
        <v>4301011415</v>
      </c>
      <c r="D103" s="559">
        <v>4680115880429</v>
      </c>
      <c r="E103" s="560"/>
      <c r="F103" s="548">
        <v>0.45</v>
      </c>
      <c r="G103" s="32">
        <v>10</v>
      </c>
      <c r="H103" s="548">
        <v>4.5</v>
      </c>
      <c r="I103" s="548">
        <v>4.6900000000000004</v>
      </c>
      <c r="J103" s="32">
        <v>132</v>
      </c>
      <c r="K103" s="32" t="s">
        <v>112</v>
      </c>
      <c r="L103" s="32" t="s">
        <v>113</v>
      </c>
      <c r="M103" s="33" t="s">
        <v>81</v>
      </c>
      <c r="N103" s="33"/>
      <c r="O103" s="32">
        <v>50</v>
      </c>
      <c r="P103" s="65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196</v>
      </c>
      <c r="AG103" s="64"/>
      <c r="AJ103" s="68" t="s">
        <v>83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204</v>
      </c>
      <c r="B104" s="54" t="s">
        <v>205</v>
      </c>
      <c r="C104" s="31">
        <v>4301011462</v>
      </c>
      <c r="D104" s="559">
        <v>4680115881457</v>
      </c>
      <c r="E104" s="560"/>
      <c r="F104" s="548">
        <v>0.75</v>
      </c>
      <c r="G104" s="32">
        <v>6</v>
      </c>
      <c r="H104" s="548">
        <v>4.5</v>
      </c>
      <c r="I104" s="548">
        <v>4.6900000000000004</v>
      </c>
      <c r="J104" s="32">
        <v>132</v>
      </c>
      <c r="K104" s="32" t="s">
        <v>112</v>
      </c>
      <c r="L104" s="32"/>
      <c r="M104" s="33" t="s">
        <v>81</v>
      </c>
      <c r="N104" s="33"/>
      <c r="O104" s="32">
        <v>50</v>
      </c>
      <c r="P104" s="61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4"/>
      <c r="R104" s="554"/>
      <c r="S104" s="554"/>
      <c r="T104" s="555"/>
      <c r="U104" s="34"/>
      <c r="V104" s="34"/>
      <c r="W104" s="35" t="s">
        <v>69</v>
      </c>
      <c r="X104" s="549">
        <v>0</v>
      </c>
      <c r="Y104" s="550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196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idden="1" x14ac:dyDescent="0.2">
      <c r="A105" s="556"/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58"/>
      <c r="P105" s="565" t="s">
        <v>75</v>
      </c>
      <c r="Q105" s="566"/>
      <c r="R105" s="566"/>
      <c r="S105" s="566"/>
      <c r="T105" s="566"/>
      <c r="U105" s="566"/>
      <c r="V105" s="567"/>
      <c r="W105" s="37" t="s">
        <v>76</v>
      </c>
      <c r="X105" s="551">
        <f>IFERROR(X100/H100,"0")+IFERROR(X101/H101,"0")+IFERROR(X102/H102,"0")+IFERROR(X103/H103,"0")+IFERROR(X104/H104,"0")</f>
        <v>0</v>
      </c>
      <c r="Y105" s="551">
        <f>IFERROR(Y100/H100,"0")+IFERROR(Y101/H101,"0")+IFERROR(Y102/H102,"0")+IFERROR(Y103/H103,"0")+IFERROR(Y104/H104,"0")</f>
        <v>0</v>
      </c>
      <c r="Z105" s="551">
        <f>IFERROR(IF(Z100="",0,Z100),"0")+IFERROR(IF(Z101="",0,Z101),"0")+IFERROR(IF(Z102="",0,Z102),"0")+IFERROR(IF(Z103="",0,Z103),"0")+IFERROR(IF(Z104="",0,Z104),"0")</f>
        <v>0</v>
      </c>
      <c r="AA105" s="552"/>
      <c r="AB105" s="552"/>
      <c r="AC105" s="552"/>
    </row>
    <row r="106" spans="1:68" hidden="1" x14ac:dyDescent="0.2">
      <c r="A106" s="55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58"/>
      <c r="P106" s="565" t="s">
        <v>75</v>
      </c>
      <c r="Q106" s="566"/>
      <c r="R106" s="566"/>
      <c r="S106" s="566"/>
      <c r="T106" s="566"/>
      <c r="U106" s="566"/>
      <c r="V106" s="567"/>
      <c r="W106" s="37" t="s">
        <v>69</v>
      </c>
      <c r="X106" s="551">
        <f>IFERROR(SUM(X100:X104),"0")</f>
        <v>0</v>
      </c>
      <c r="Y106" s="551">
        <f>IFERROR(SUM(Y100:Y104),"0")</f>
        <v>0</v>
      </c>
      <c r="Z106" s="37"/>
      <c r="AA106" s="552"/>
      <c r="AB106" s="552"/>
      <c r="AC106" s="552"/>
    </row>
    <row r="107" spans="1:68" ht="14.25" hidden="1" customHeight="1" x14ac:dyDescent="0.25">
      <c r="A107" s="562" t="s">
        <v>138</v>
      </c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57"/>
      <c r="P107" s="557"/>
      <c r="Q107" s="557"/>
      <c r="R107" s="557"/>
      <c r="S107" s="557"/>
      <c r="T107" s="557"/>
      <c r="U107" s="557"/>
      <c r="V107" s="557"/>
      <c r="W107" s="557"/>
      <c r="X107" s="557"/>
      <c r="Y107" s="557"/>
      <c r="Z107" s="557"/>
      <c r="AA107" s="544"/>
      <c r="AB107" s="544"/>
      <c r="AC107" s="544"/>
    </row>
    <row r="108" spans="1:68" ht="16.5" hidden="1" customHeight="1" x14ac:dyDescent="0.25">
      <c r="A108" s="54" t="s">
        <v>206</v>
      </c>
      <c r="B108" s="54" t="s">
        <v>207</v>
      </c>
      <c r="C108" s="31">
        <v>4301020345</v>
      </c>
      <c r="D108" s="559">
        <v>4680115881488</v>
      </c>
      <c r="E108" s="560"/>
      <c r="F108" s="548">
        <v>1.35</v>
      </c>
      <c r="G108" s="32">
        <v>8</v>
      </c>
      <c r="H108" s="548">
        <v>10.8</v>
      </c>
      <c r="I108" s="548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6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209</v>
      </c>
      <c r="B109" s="54" t="s">
        <v>210</v>
      </c>
      <c r="C109" s="31">
        <v>4301020186</v>
      </c>
      <c r="D109" s="559">
        <v>4680115887664</v>
      </c>
      <c r="E109" s="560"/>
      <c r="F109" s="548">
        <v>0.1</v>
      </c>
      <c r="G109" s="32">
        <v>10</v>
      </c>
      <c r="H109" s="548">
        <v>1</v>
      </c>
      <c r="I109" s="548">
        <v>1.21</v>
      </c>
      <c r="J109" s="32">
        <v>392</v>
      </c>
      <c r="K109" s="32" t="s">
        <v>211</v>
      </c>
      <c r="L109" s="32"/>
      <c r="M109" s="33" t="s">
        <v>68</v>
      </c>
      <c r="N109" s="33"/>
      <c r="O109" s="32">
        <v>30</v>
      </c>
      <c r="P109" s="7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212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213</v>
      </c>
      <c r="B110" s="54" t="s">
        <v>214</v>
      </c>
      <c r="C110" s="31">
        <v>4301020346</v>
      </c>
      <c r="D110" s="559">
        <v>4680115882775</v>
      </c>
      <c r="E110" s="560"/>
      <c r="F110" s="548">
        <v>0.3</v>
      </c>
      <c r="G110" s="32">
        <v>8</v>
      </c>
      <c r="H110" s="548">
        <v>2.4</v>
      </c>
      <c r="I110" s="548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2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215</v>
      </c>
      <c r="B111" s="54" t="s">
        <v>216</v>
      </c>
      <c r="C111" s="31">
        <v>4301020344</v>
      </c>
      <c r="D111" s="559">
        <v>4680115880658</v>
      </c>
      <c r="E111" s="560"/>
      <c r="F111" s="548">
        <v>0.4</v>
      </c>
      <c r="G111" s="32">
        <v>6</v>
      </c>
      <c r="H111" s="548">
        <v>2.4</v>
      </c>
      <c r="I111" s="548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80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4"/>
      <c r="R111" s="554"/>
      <c r="S111" s="554"/>
      <c r="T111" s="555"/>
      <c r="U111" s="34"/>
      <c r="V111" s="34"/>
      <c r="W111" s="35" t="s">
        <v>69</v>
      </c>
      <c r="X111" s="549">
        <v>0</v>
      </c>
      <c r="Y111" s="550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208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56"/>
      <c r="B112" s="557"/>
      <c r="C112" s="557"/>
      <c r="D112" s="557"/>
      <c r="E112" s="557"/>
      <c r="F112" s="557"/>
      <c r="G112" s="557"/>
      <c r="H112" s="557"/>
      <c r="I112" s="557"/>
      <c r="J112" s="557"/>
      <c r="K112" s="557"/>
      <c r="L112" s="557"/>
      <c r="M112" s="557"/>
      <c r="N112" s="557"/>
      <c r="O112" s="558"/>
      <c r="P112" s="565" t="s">
        <v>75</v>
      </c>
      <c r="Q112" s="566"/>
      <c r="R112" s="566"/>
      <c r="S112" s="566"/>
      <c r="T112" s="566"/>
      <c r="U112" s="566"/>
      <c r="V112" s="567"/>
      <c r="W112" s="37" t="s">
        <v>76</v>
      </c>
      <c r="X112" s="551">
        <f>IFERROR(X108/H108,"0")+IFERROR(X109/H109,"0")+IFERROR(X110/H110,"0")+IFERROR(X111/H111,"0")</f>
        <v>0</v>
      </c>
      <c r="Y112" s="551">
        <f>IFERROR(Y108/H108,"0")+IFERROR(Y109/H109,"0")+IFERROR(Y110/H110,"0")+IFERROR(Y111/H111,"0")</f>
        <v>0</v>
      </c>
      <c r="Z112" s="551">
        <f>IFERROR(IF(Z108="",0,Z108),"0")+IFERROR(IF(Z109="",0,Z109),"0")+IFERROR(IF(Z110="",0,Z110),"0")+IFERROR(IF(Z111="",0,Z111),"0")</f>
        <v>0</v>
      </c>
      <c r="AA112" s="552"/>
      <c r="AB112" s="552"/>
      <c r="AC112" s="552"/>
    </row>
    <row r="113" spans="1:68" hidden="1" x14ac:dyDescent="0.2">
      <c r="A113" s="55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58"/>
      <c r="P113" s="565" t="s">
        <v>75</v>
      </c>
      <c r="Q113" s="566"/>
      <c r="R113" s="566"/>
      <c r="S113" s="566"/>
      <c r="T113" s="566"/>
      <c r="U113" s="566"/>
      <c r="V113" s="567"/>
      <c r="W113" s="37" t="s">
        <v>69</v>
      </c>
      <c r="X113" s="551">
        <f>IFERROR(SUM(X108:X111),"0")</f>
        <v>0</v>
      </c>
      <c r="Y113" s="551">
        <f>IFERROR(SUM(Y108:Y111),"0")</f>
        <v>0</v>
      </c>
      <c r="Z113" s="37"/>
      <c r="AA113" s="552"/>
      <c r="AB113" s="552"/>
      <c r="AC113" s="552"/>
    </row>
    <row r="114" spans="1:68" ht="14.25" hidden="1" customHeight="1" x14ac:dyDescent="0.25">
      <c r="A114" s="562" t="s">
        <v>77</v>
      </c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57"/>
      <c r="P114" s="557"/>
      <c r="Q114" s="557"/>
      <c r="R114" s="557"/>
      <c r="S114" s="557"/>
      <c r="T114" s="557"/>
      <c r="U114" s="557"/>
      <c r="V114" s="557"/>
      <c r="W114" s="557"/>
      <c r="X114" s="557"/>
      <c r="Y114" s="557"/>
      <c r="Z114" s="557"/>
      <c r="AA114" s="544"/>
      <c r="AB114" s="544"/>
      <c r="AC114" s="544"/>
    </row>
    <row r="115" spans="1:68" ht="27" customHeight="1" x14ac:dyDescent="0.25">
      <c r="A115" s="54" t="s">
        <v>217</v>
      </c>
      <c r="B115" s="54" t="s">
        <v>218</v>
      </c>
      <c r="C115" s="31">
        <v>4301051724</v>
      </c>
      <c r="D115" s="559">
        <v>4607091385168</v>
      </c>
      <c r="E115" s="560"/>
      <c r="F115" s="548">
        <v>1.35</v>
      </c>
      <c r="G115" s="32">
        <v>6</v>
      </c>
      <c r="H115" s="548">
        <v>8.1</v>
      </c>
      <c r="I115" s="548">
        <v>8.5879999999999992</v>
      </c>
      <c r="J115" s="32">
        <v>64</v>
      </c>
      <c r="K115" s="32" t="s">
        <v>106</v>
      </c>
      <c r="L115" s="32"/>
      <c r="M115" s="33" t="s">
        <v>88</v>
      </c>
      <c r="N115" s="33"/>
      <c r="O115" s="32">
        <v>45</v>
      </c>
      <c r="P115" s="74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80</v>
      </c>
      <c r="Y115" s="550">
        <f>IFERROR(IF(X115="",0,CEILING((X115/$H115),1)*$H115),"")</f>
        <v>81</v>
      </c>
      <c r="Z115" s="36">
        <f>IFERROR(IF(Y115=0,"",ROUNDUP(Y115/H115,0)*0.01898),"")</f>
        <v>0.1898</v>
      </c>
      <c r="AA115" s="56"/>
      <c r="AB115" s="57"/>
      <c r="AC115" s="161" t="s">
        <v>219</v>
      </c>
      <c r="AG115" s="64"/>
      <c r="AJ115" s="68"/>
      <c r="AK115" s="68">
        <v>0</v>
      </c>
      <c r="BB115" s="162" t="s">
        <v>1</v>
      </c>
      <c r="BM115" s="64">
        <f>IFERROR(X115*I115/H115,"0")</f>
        <v>84.819753086419752</v>
      </c>
      <c r="BN115" s="64">
        <f>IFERROR(Y115*I115/H115,"0")</f>
        <v>85.88</v>
      </c>
      <c r="BO115" s="64">
        <f>IFERROR(1/J115*(X115/H115),"0")</f>
        <v>0.15432098765432101</v>
      </c>
      <c r="BP115" s="64">
        <f>IFERROR(1/J115*(Y115/H115),"0")</f>
        <v>0.15625</v>
      </c>
    </row>
    <row r="116" spans="1:68" ht="27" hidden="1" customHeight="1" x14ac:dyDescent="0.25">
      <c r="A116" s="54" t="s">
        <v>220</v>
      </c>
      <c r="B116" s="54" t="s">
        <v>221</v>
      </c>
      <c r="C116" s="31">
        <v>4301051730</v>
      </c>
      <c r="D116" s="559">
        <v>4607091383256</v>
      </c>
      <c r="E116" s="560"/>
      <c r="F116" s="548">
        <v>0.33</v>
      </c>
      <c r="G116" s="32">
        <v>6</v>
      </c>
      <c r="H116" s="548">
        <v>1.98</v>
      </c>
      <c r="I116" s="548">
        <v>2.226</v>
      </c>
      <c r="J116" s="32">
        <v>182</v>
      </c>
      <c r="K116" s="32" t="s">
        <v>67</v>
      </c>
      <c r="L116" s="32"/>
      <c r="M116" s="33" t="s">
        <v>88</v>
      </c>
      <c r="N116" s="33"/>
      <c r="O116" s="32">
        <v>45</v>
      </c>
      <c r="P116" s="6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0</v>
      </c>
      <c r="Y116" s="550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219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222</v>
      </c>
      <c r="B117" s="54" t="s">
        <v>223</v>
      </c>
      <c r="C117" s="31">
        <v>4301051721</v>
      </c>
      <c r="D117" s="559">
        <v>4607091385748</v>
      </c>
      <c r="E117" s="560"/>
      <c r="F117" s="548">
        <v>0.45</v>
      </c>
      <c r="G117" s="32">
        <v>6</v>
      </c>
      <c r="H117" s="548">
        <v>2.7</v>
      </c>
      <c r="I117" s="548">
        <v>2.952</v>
      </c>
      <c r="J117" s="32">
        <v>182</v>
      </c>
      <c r="K117" s="32" t="s">
        <v>67</v>
      </c>
      <c r="L117" s="32"/>
      <c r="M117" s="33" t="s">
        <v>88</v>
      </c>
      <c r="N117" s="33"/>
      <c r="O117" s="32">
        <v>45</v>
      </c>
      <c r="P117" s="68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10.8</v>
      </c>
      <c r="Y117" s="550">
        <f>IFERROR(IF(X117="",0,CEILING((X117/$H117),1)*$H117),"")</f>
        <v>10.8</v>
      </c>
      <c r="Z117" s="36">
        <f>IFERROR(IF(Y117=0,"",ROUNDUP(Y117/H117,0)*0.00651),"")</f>
        <v>2.6040000000000001E-2</v>
      </c>
      <c r="AA117" s="56"/>
      <c r="AB117" s="57"/>
      <c r="AC117" s="165" t="s">
        <v>219</v>
      </c>
      <c r="AG117" s="64"/>
      <c r="AJ117" s="68"/>
      <c r="AK117" s="68">
        <v>0</v>
      </c>
      <c r="BB117" s="166" t="s">
        <v>1</v>
      </c>
      <c r="BM117" s="64">
        <f>IFERROR(X117*I117/H117,"0")</f>
        <v>11.808</v>
      </c>
      <c r="BN117" s="64">
        <f>IFERROR(Y117*I117/H117,"0")</f>
        <v>11.808</v>
      </c>
      <c r="BO117" s="64">
        <f>IFERROR(1/J117*(X117/H117),"0")</f>
        <v>2.197802197802198E-2</v>
      </c>
      <c r="BP117" s="64">
        <f>IFERROR(1/J117*(Y117/H117),"0")</f>
        <v>2.197802197802198E-2</v>
      </c>
    </row>
    <row r="118" spans="1:68" ht="16.5" hidden="1" customHeight="1" x14ac:dyDescent="0.25">
      <c r="A118" s="54" t="s">
        <v>224</v>
      </c>
      <c r="B118" s="54" t="s">
        <v>225</v>
      </c>
      <c r="C118" s="31">
        <v>4301051740</v>
      </c>
      <c r="D118" s="559">
        <v>4680115884533</v>
      </c>
      <c r="E118" s="560"/>
      <c r="F118" s="548">
        <v>0.3</v>
      </c>
      <c r="G118" s="32">
        <v>6</v>
      </c>
      <c r="H118" s="548">
        <v>1.8</v>
      </c>
      <c r="I118" s="548">
        <v>1.98</v>
      </c>
      <c r="J118" s="32">
        <v>182</v>
      </c>
      <c r="K118" s="32" t="s">
        <v>67</v>
      </c>
      <c r="L118" s="32" t="s">
        <v>80</v>
      </c>
      <c r="M118" s="33" t="s">
        <v>81</v>
      </c>
      <c r="N118" s="33"/>
      <c r="O118" s="32">
        <v>45</v>
      </c>
      <c r="P118" s="6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4"/>
      <c r="R118" s="554"/>
      <c r="S118" s="554"/>
      <c r="T118" s="555"/>
      <c r="U118" s="34"/>
      <c r="V118" s="34"/>
      <c r="W118" s="35" t="s">
        <v>69</v>
      </c>
      <c r="X118" s="549">
        <v>0</v>
      </c>
      <c r="Y118" s="550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83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56"/>
      <c r="B119" s="557"/>
      <c r="C119" s="557"/>
      <c r="D119" s="557"/>
      <c r="E119" s="557"/>
      <c r="F119" s="557"/>
      <c r="G119" s="557"/>
      <c r="H119" s="557"/>
      <c r="I119" s="557"/>
      <c r="J119" s="557"/>
      <c r="K119" s="557"/>
      <c r="L119" s="557"/>
      <c r="M119" s="557"/>
      <c r="N119" s="557"/>
      <c r="O119" s="558"/>
      <c r="P119" s="565" t="s">
        <v>75</v>
      </c>
      <c r="Q119" s="566"/>
      <c r="R119" s="566"/>
      <c r="S119" s="566"/>
      <c r="T119" s="566"/>
      <c r="U119" s="566"/>
      <c r="V119" s="567"/>
      <c r="W119" s="37" t="s">
        <v>76</v>
      </c>
      <c r="X119" s="551">
        <f>IFERROR(X115/H115,"0")+IFERROR(X116/H116,"0")+IFERROR(X117/H117,"0")+IFERROR(X118/H118,"0")</f>
        <v>13.876543209876544</v>
      </c>
      <c r="Y119" s="551">
        <f>IFERROR(Y115/H115,"0")+IFERROR(Y116/H116,"0")+IFERROR(Y117/H117,"0")+IFERROR(Y118/H118,"0")</f>
        <v>14</v>
      </c>
      <c r="Z119" s="551">
        <f>IFERROR(IF(Z115="",0,Z115),"0")+IFERROR(IF(Z116="",0,Z116),"0")+IFERROR(IF(Z117="",0,Z117),"0")+IFERROR(IF(Z118="",0,Z118),"0")</f>
        <v>0.21584</v>
      </c>
      <c r="AA119" s="552"/>
      <c r="AB119" s="552"/>
      <c r="AC119" s="552"/>
    </row>
    <row r="120" spans="1:68" x14ac:dyDescent="0.2">
      <c r="A120" s="55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58"/>
      <c r="P120" s="565" t="s">
        <v>75</v>
      </c>
      <c r="Q120" s="566"/>
      <c r="R120" s="566"/>
      <c r="S120" s="566"/>
      <c r="T120" s="566"/>
      <c r="U120" s="566"/>
      <c r="V120" s="567"/>
      <c r="W120" s="37" t="s">
        <v>69</v>
      </c>
      <c r="X120" s="551">
        <f>IFERROR(SUM(X115:X118),"0")</f>
        <v>90.8</v>
      </c>
      <c r="Y120" s="551">
        <f>IFERROR(SUM(Y115:Y118),"0")</f>
        <v>91.8</v>
      </c>
      <c r="Z120" s="37"/>
      <c r="AA120" s="552"/>
      <c r="AB120" s="552"/>
      <c r="AC120" s="552"/>
    </row>
    <row r="121" spans="1:68" ht="14.25" hidden="1" customHeight="1" x14ac:dyDescent="0.25">
      <c r="A121" s="562" t="s">
        <v>163</v>
      </c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57"/>
      <c r="P121" s="557"/>
      <c r="Q121" s="557"/>
      <c r="R121" s="557"/>
      <c r="S121" s="557"/>
      <c r="T121" s="557"/>
      <c r="U121" s="557"/>
      <c r="V121" s="557"/>
      <c r="W121" s="557"/>
      <c r="X121" s="557"/>
      <c r="Y121" s="557"/>
      <c r="Z121" s="557"/>
      <c r="AA121" s="544"/>
      <c r="AB121" s="544"/>
      <c r="AC121" s="544"/>
    </row>
    <row r="122" spans="1:68" ht="16.5" hidden="1" customHeight="1" x14ac:dyDescent="0.25">
      <c r="A122" s="54" t="s">
        <v>227</v>
      </c>
      <c r="B122" s="54" t="s">
        <v>228</v>
      </c>
      <c r="C122" s="31">
        <v>4301060317</v>
      </c>
      <c r="D122" s="559">
        <v>4680115880238</v>
      </c>
      <c r="E122" s="560"/>
      <c r="F122" s="548">
        <v>0.33</v>
      </c>
      <c r="G122" s="32">
        <v>6</v>
      </c>
      <c r="H122" s="548">
        <v>1.98</v>
      </c>
      <c r="I122" s="548">
        <v>2.238</v>
      </c>
      <c r="J122" s="32">
        <v>182</v>
      </c>
      <c r="K122" s="32" t="s">
        <v>67</v>
      </c>
      <c r="L122" s="32" t="s">
        <v>80</v>
      </c>
      <c r="M122" s="33" t="s">
        <v>81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4"/>
      <c r="R122" s="554"/>
      <c r="S122" s="554"/>
      <c r="T122" s="555"/>
      <c r="U122" s="34"/>
      <c r="V122" s="34"/>
      <c r="W122" s="35" t="s">
        <v>69</v>
      </c>
      <c r="X122" s="549">
        <v>0</v>
      </c>
      <c r="Y122" s="550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 t="s">
        <v>83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56"/>
      <c r="B123" s="557"/>
      <c r="C123" s="557"/>
      <c r="D123" s="557"/>
      <c r="E123" s="557"/>
      <c r="F123" s="557"/>
      <c r="G123" s="557"/>
      <c r="H123" s="557"/>
      <c r="I123" s="557"/>
      <c r="J123" s="557"/>
      <c r="K123" s="557"/>
      <c r="L123" s="557"/>
      <c r="M123" s="557"/>
      <c r="N123" s="557"/>
      <c r="O123" s="558"/>
      <c r="P123" s="565" t="s">
        <v>75</v>
      </c>
      <c r="Q123" s="566"/>
      <c r="R123" s="566"/>
      <c r="S123" s="566"/>
      <c r="T123" s="566"/>
      <c r="U123" s="566"/>
      <c r="V123" s="567"/>
      <c r="W123" s="37" t="s">
        <v>76</v>
      </c>
      <c r="X123" s="551">
        <f>IFERROR(X122/H122,"0")</f>
        <v>0</v>
      </c>
      <c r="Y123" s="551">
        <f>IFERROR(Y122/H122,"0")</f>
        <v>0</v>
      </c>
      <c r="Z123" s="551">
        <f>IFERROR(IF(Z122="",0,Z122),"0")</f>
        <v>0</v>
      </c>
      <c r="AA123" s="552"/>
      <c r="AB123" s="552"/>
      <c r="AC123" s="552"/>
    </row>
    <row r="124" spans="1:68" hidden="1" x14ac:dyDescent="0.2">
      <c r="A124" s="55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58"/>
      <c r="P124" s="565" t="s">
        <v>75</v>
      </c>
      <c r="Q124" s="566"/>
      <c r="R124" s="566"/>
      <c r="S124" s="566"/>
      <c r="T124" s="566"/>
      <c r="U124" s="566"/>
      <c r="V124" s="567"/>
      <c r="W124" s="37" t="s">
        <v>69</v>
      </c>
      <c r="X124" s="551">
        <f>IFERROR(SUM(X122:X122),"0")</f>
        <v>0</v>
      </c>
      <c r="Y124" s="551">
        <f>IFERROR(SUM(Y122:Y122),"0")</f>
        <v>0</v>
      </c>
      <c r="Z124" s="37"/>
      <c r="AA124" s="552"/>
      <c r="AB124" s="552"/>
      <c r="AC124" s="552"/>
    </row>
    <row r="125" spans="1:68" ht="16.5" hidden="1" customHeight="1" x14ac:dyDescent="0.25">
      <c r="A125" s="570" t="s">
        <v>230</v>
      </c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57"/>
      <c r="P125" s="557"/>
      <c r="Q125" s="557"/>
      <c r="R125" s="557"/>
      <c r="S125" s="557"/>
      <c r="T125" s="557"/>
      <c r="U125" s="557"/>
      <c r="V125" s="557"/>
      <c r="W125" s="557"/>
      <c r="X125" s="557"/>
      <c r="Y125" s="557"/>
      <c r="Z125" s="557"/>
      <c r="AA125" s="543"/>
      <c r="AB125" s="543"/>
      <c r="AC125" s="543"/>
    </row>
    <row r="126" spans="1:68" ht="14.25" hidden="1" customHeight="1" x14ac:dyDescent="0.25">
      <c r="A126" s="562" t="s">
        <v>103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4"/>
      <c r="AB126" s="544"/>
      <c r="AC126" s="544"/>
    </row>
    <row r="127" spans="1:68" ht="27" hidden="1" customHeight="1" x14ac:dyDescent="0.25">
      <c r="A127" s="54" t="s">
        <v>231</v>
      </c>
      <c r="B127" s="54" t="s">
        <v>232</v>
      </c>
      <c r="C127" s="31">
        <v>4301011562</v>
      </c>
      <c r="D127" s="559">
        <v>4680115882577</v>
      </c>
      <c r="E127" s="560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/>
      <c r="M127" s="33" t="s">
        <v>98</v>
      </c>
      <c r="N127" s="33"/>
      <c r="O127" s="32">
        <v>90</v>
      </c>
      <c r="P127" s="82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233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231</v>
      </c>
      <c r="B128" s="54" t="s">
        <v>234</v>
      </c>
      <c r="C128" s="31">
        <v>4301011564</v>
      </c>
      <c r="D128" s="559">
        <v>4680115882577</v>
      </c>
      <c r="E128" s="560"/>
      <c r="F128" s="548">
        <v>0.4</v>
      </c>
      <c r="G128" s="32">
        <v>8</v>
      </c>
      <c r="H128" s="548">
        <v>3.2</v>
      </c>
      <c r="I128" s="548">
        <v>3.38</v>
      </c>
      <c r="J128" s="32">
        <v>182</v>
      </c>
      <c r="K128" s="32" t="s">
        <v>67</v>
      </c>
      <c r="L128" s="32"/>
      <c r="M128" s="33" t="s">
        <v>98</v>
      </c>
      <c r="N128" s="33"/>
      <c r="O128" s="32">
        <v>90</v>
      </c>
      <c r="P128" s="8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4"/>
      <c r="R128" s="554"/>
      <c r="S128" s="554"/>
      <c r="T128" s="555"/>
      <c r="U128" s="34"/>
      <c r="V128" s="34"/>
      <c r="W128" s="35" t="s">
        <v>69</v>
      </c>
      <c r="X128" s="549">
        <v>0</v>
      </c>
      <c r="Y128" s="550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56"/>
      <c r="B129" s="557"/>
      <c r="C129" s="557"/>
      <c r="D129" s="557"/>
      <c r="E129" s="557"/>
      <c r="F129" s="557"/>
      <c r="G129" s="557"/>
      <c r="H129" s="557"/>
      <c r="I129" s="557"/>
      <c r="J129" s="557"/>
      <c r="K129" s="557"/>
      <c r="L129" s="557"/>
      <c r="M129" s="557"/>
      <c r="N129" s="557"/>
      <c r="O129" s="558"/>
      <c r="P129" s="565" t="s">
        <v>75</v>
      </c>
      <c r="Q129" s="566"/>
      <c r="R129" s="566"/>
      <c r="S129" s="566"/>
      <c r="T129" s="566"/>
      <c r="U129" s="566"/>
      <c r="V129" s="567"/>
      <c r="W129" s="37" t="s">
        <v>76</v>
      </c>
      <c r="X129" s="551">
        <f>IFERROR(X127/H127,"0")+IFERROR(X128/H128,"0")</f>
        <v>0</v>
      </c>
      <c r="Y129" s="551">
        <f>IFERROR(Y127/H127,"0")+IFERROR(Y128/H128,"0")</f>
        <v>0</v>
      </c>
      <c r="Z129" s="551">
        <f>IFERROR(IF(Z127="",0,Z127),"0")+IFERROR(IF(Z128="",0,Z128),"0")</f>
        <v>0</v>
      </c>
      <c r="AA129" s="552"/>
      <c r="AB129" s="552"/>
      <c r="AC129" s="552"/>
    </row>
    <row r="130" spans="1:68" hidden="1" x14ac:dyDescent="0.2">
      <c r="A130" s="55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58"/>
      <c r="P130" s="565" t="s">
        <v>75</v>
      </c>
      <c r="Q130" s="566"/>
      <c r="R130" s="566"/>
      <c r="S130" s="566"/>
      <c r="T130" s="566"/>
      <c r="U130" s="566"/>
      <c r="V130" s="567"/>
      <c r="W130" s="37" t="s">
        <v>69</v>
      </c>
      <c r="X130" s="551">
        <f>IFERROR(SUM(X127:X128),"0")</f>
        <v>0</v>
      </c>
      <c r="Y130" s="551">
        <f>IFERROR(SUM(Y127:Y128),"0")</f>
        <v>0</v>
      </c>
      <c r="Z130" s="37"/>
      <c r="AA130" s="552"/>
      <c r="AB130" s="552"/>
      <c r="AC130" s="552"/>
    </row>
    <row r="131" spans="1:68" ht="14.25" hidden="1" customHeight="1" x14ac:dyDescent="0.25">
      <c r="A131" s="562" t="s">
        <v>64</v>
      </c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57"/>
      <c r="P131" s="557"/>
      <c r="Q131" s="557"/>
      <c r="R131" s="557"/>
      <c r="S131" s="557"/>
      <c r="T131" s="557"/>
      <c r="U131" s="557"/>
      <c r="V131" s="557"/>
      <c r="W131" s="557"/>
      <c r="X131" s="557"/>
      <c r="Y131" s="557"/>
      <c r="Z131" s="557"/>
      <c r="AA131" s="544"/>
      <c r="AB131" s="544"/>
      <c r="AC131" s="544"/>
    </row>
    <row r="132" spans="1:68" ht="27" hidden="1" customHeight="1" x14ac:dyDescent="0.25">
      <c r="A132" s="54" t="s">
        <v>235</v>
      </c>
      <c r="B132" s="54" t="s">
        <v>236</v>
      </c>
      <c r="C132" s="31">
        <v>4301031235</v>
      </c>
      <c r="D132" s="559">
        <v>4680115883444</v>
      </c>
      <c r="E132" s="560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/>
      <c r="M132" s="33" t="s">
        <v>98</v>
      </c>
      <c r="N132" s="33"/>
      <c r="O132" s="32">
        <v>90</v>
      </c>
      <c r="P132" s="70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235</v>
      </c>
      <c r="B133" s="54" t="s">
        <v>238</v>
      </c>
      <c r="C133" s="31">
        <v>4301031234</v>
      </c>
      <c r="D133" s="559">
        <v>4680115883444</v>
      </c>
      <c r="E133" s="560"/>
      <c r="F133" s="548">
        <v>0.35</v>
      </c>
      <c r="G133" s="32">
        <v>8</v>
      </c>
      <c r="H133" s="548">
        <v>2.8</v>
      </c>
      <c r="I133" s="548">
        <v>3.0680000000000001</v>
      </c>
      <c r="J133" s="32">
        <v>182</v>
      </c>
      <c r="K133" s="32" t="s">
        <v>67</v>
      </c>
      <c r="L133" s="32"/>
      <c r="M133" s="33" t="s">
        <v>98</v>
      </c>
      <c r="N133" s="33"/>
      <c r="O133" s="32">
        <v>90</v>
      </c>
      <c r="P133" s="82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4"/>
      <c r="R133" s="554"/>
      <c r="S133" s="554"/>
      <c r="T133" s="555"/>
      <c r="U133" s="34"/>
      <c r="V133" s="34"/>
      <c r="W133" s="35" t="s">
        <v>69</v>
      </c>
      <c r="X133" s="549">
        <v>0</v>
      </c>
      <c r="Y133" s="550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56"/>
      <c r="B134" s="557"/>
      <c r="C134" s="557"/>
      <c r="D134" s="557"/>
      <c r="E134" s="557"/>
      <c r="F134" s="557"/>
      <c r="G134" s="557"/>
      <c r="H134" s="557"/>
      <c r="I134" s="557"/>
      <c r="J134" s="557"/>
      <c r="K134" s="557"/>
      <c r="L134" s="557"/>
      <c r="M134" s="557"/>
      <c r="N134" s="557"/>
      <c r="O134" s="558"/>
      <c r="P134" s="565" t="s">
        <v>75</v>
      </c>
      <c r="Q134" s="566"/>
      <c r="R134" s="566"/>
      <c r="S134" s="566"/>
      <c r="T134" s="566"/>
      <c r="U134" s="566"/>
      <c r="V134" s="567"/>
      <c r="W134" s="37" t="s">
        <v>76</v>
      </c>
      <c r="X134" s="551">
        <f>IFERROR(X132/H132,"0")+IFERROR(X133/H133,"0")</f>
        <v>0</v>
      </c>
      <c r="Y134" s="551">
        <f>IFERROR(Y132/H132,"0")+IFERROR(Y133/H133,"0")</f>
        <v>0</v>
      </c>
      <c r="Z134" s="551">
        <f>IFERROR(IF(Z132="",0,Z132),"0")+IFERROR(IF(Z133="",0,Z133),"0")</f>
        <v>0</v>
      </c>
      <c r="AA134" s="552"/>
      <c r="AB134" s="552"/>
      <c r="AC134" s="552"/>
    </row>
    <row r="135" spans="1:68" hidden="1" x14ac:dyDescent="0.2">
      <c r="A135" s="55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58"/>
      <c r="P135" s="565" t="s">
        <v>75</v>
      </c>
      <c r="Q135" s="566"/>
      <c r="R135" s="566"/>
      <c r="S135" s="566"/>
      <c r="T135" s="566"/>
      <c r="U135" s="566"/>
      <c r="V135" s="567"/>
      <c r="W135" s="37" t="s">
        <v>69</v>
      </c>
      <c r="X135" s="551">
        <f>IFERROR(SUM(X132:X133),"0")</f>
        <v>0</v>
      </c>
      <c r="Y135" s="551">
        <f>IFERROR(SUM(Y132:Y133),"0")</f>
        <v>0</v>
      </c>
      <c r="Z135" s="37"/>
      <c r="AA135" s="552"/>
      <c r="AB135" s="552"/>
      <c r="AC135" s="552"/>
    </row>
    <row r="136" spans="1:68" ht="14.25" hidden="1" customHeight="1" x14ac:dyDescent="0.25">
      <c r="A136" s="562" t="s">
        <v>77</v>
      </c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57"/>
      <c r="P136" s="557"/>
      <c r="Q136" s="557"/>
      <c r="R136" s="557"/>
      <c r="S136" s="557"/>
      <c r="T136" s="557"/>
      <c r="U136" s="557"/>
      <c r="V136" s="557"/>
      <c r="W136" s="557"/>
      <c r="X136" s="557"/>
      <c r="Y136" s="557"/>
      <c r="Z136" s="557"/>
      <c r="AA136" s="544"/>
      <c r="AB136" s="544"/>
      <c r="AC136" s="544"/>
    </row>
    <row r="137" spans="1:68" ht="16.5" hidden="1" customHeight="1" x14ac:dyDescent="0.25">
      <c r="A137" s="54" t="s">
        <v>239</v>
      </c>
      <c r="B137" s="54" t="s">
        <v>240</v>
      </c>
      <c r="C137" s="31">
        <v>4301051477</v>
      </c>
      <c r="D137" s="559">
        <v>4680115882584</v>
      </c>
      <c r="E137" s="560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71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239</v>
      </c>
      <c r="B138" s="54" t="s">
        <v>241</v>
      </c>
      <c r="C138" s="31">
        <v>4301051476</v>
      </c>
      <c r="D138" s="559">
        <v>4680115882584</v>
      </c>
      <c r="E138" s="560"/>
      <c r="F138" s="548">
        <v>0.33</v>
      </c>
      <c r="G138" s="32">
        <v>8</v>
      </c>
      <c r="H138" s="548">
        <v>2.64</v>
      </c>
      <c r="I138" s="548">
        <v>2.9079999999999999</v>
      </c>
      <c r="J138" s="32">
        <v>182</v>
      </c>
      <c r="K138" s="32" t="s">
        <v>67</v>
      </c>
      <c r="L138" s="32"/>
      <c r="M138" s="33" t="s">
        <v>98</v>
      </c>
      <c r="N138" s="33"/>
      <c r="O138" s="32">
        <v>60</v>
      </c>
      <c r="P138" s="69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4"/>
      <c r="R138" s="554"/>
      <c r="S138" s="554"/>
      <c r="T138" s="555"/>
      <c r="U138" s="34"/>
      <c r="V138" s="34"/>
      <c r="W138" s="35" t="s">
        <v>69</v>
      </c>
      <c r="X138" s="549">
        <v>0</v>
      </c>
      <c r="Y138" s="550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56"/>
      <c r="B139" s="557"/>
      <c r="C139" s="557"/>
      <c r="D139" s="557"/>
      <c r="E139" s="557"/>
      <c r="F139" s="557"/>
      <c r="G139" s="557"/>
      <c r="H139" s="557"/>
      <c r="I139" s="557"/>
      <c r="J139" s="557"/>
      <c r="K139" s="557"/>
      <c r="L139" s="557"/>
      <c r="M139" s="557"/>
      <c r="N139" s="557"/>
      <c r="O139" s="558"/>
      <c r="P139" s="565" t="s">
        <v>75</v>
      </c>
      <c r="Q139" s="566"/>
      <c r="R139" s="566"/>
      <c r="S139" s="566"/>
      <c r="T139" s="566"/>
      <c r="U139" s="566"/>
      <c r="V139" s="567"/>
      <c r="W139" s="37" t="s">
        <v>76</v>
      </c>
      <c r="X139" s="551">
        <f>IFERROR(X137/H137,"0")+IFERROR(X138/H138,"0")</f>
        <v>0</v>
      </c>
      <c r="Y139" s="551">
        <f>IFERROR(Y137/H137,"0")+IFERROR(Y138/H138,"0")</f>
        <v>0</v>
      </c>
      <c r="Z139" s="551">
        <f>IFERROR(IF(Z137="",0,Z137),"0")+IFERROR(IF(Z138="",0,Z138),"0")</f>
        <v>0</v>
      </c>
      <c r="AA139" s="552"/>
      <c r="AB139" s="552"/>
      <c r="AC139" s="552"/>
    </row>
    <row r="140" spans="1:68" hidden="1" x14ac:dyDescent="0.2">
      <c r="A140" s="55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58"/>
      <c r="P140" s="565" t="s">
        <v>75</v>
      </c>
      <c r="Q140" s="566"/>
      <c r="R140" s="566"/>
      <c r="S140" s="566"/>
      <c r="T140" s="566"/>
      <c r="U140" s="566"/>
      <c r="V140" s="567"/>
      <c r="W140" s="37" t="s">
        <v>69</v>
      </c>
      <c r="X140" s="551">
        <f>IFERROR(SUM(X137:X138),"0")</f>
        <v>0</v>
      </c>
      <c r="Y140" s="551">
        <f>IFERROR(SUM(Y137:Y138),"0")</f>
        <v>0</v>
      </c>
      <c r="Z140" s="37"/>
      <c r="AA140" s="552"/>
      <c r="AB140" s="552"/>
      <c r="AC140" s="552"/>
    </row>
    <row r="141" spans="1:68" ht="16.5" hidden="1" customHeight="1" x14ac:dyDescent="0.25">
      <c r="A141" s="570" t="s">
        <v>101</v>
      </c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57"/>
      <c r="P141" s="557"/>
      <c r="Q141" s="557"/>
      <c r="R141" s="557"/>
      <c r="S141" s="557"/>
      <c r="T141" s="557"/>
      <c r="U141" s="557"/>
      <c r="V141" s="557"/>
      <c r="W141" s="557"/>
      <c r="X141" s="557"/>
      <c r="Y141" s="557"/>
      <c r="Z141" s="557"/>
      <c r="AA141" s="543"/>
      <c r="AB141" s="543"/>
      <c r="AC141" s="543"/>
    </row>
    <row r="142" spans="1:68" ht="14.25" hidden="1" customHeight="1" x14ac:dyDescent="0.25">
      <c r="A142" s="562" t="s">
        <v>103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4"/>
      <c r="AB142" s="544"/>
      <c r="AC142" s="544"/>
    </row>
    <row r="143" spans="1:68" ht="27" hidden="1" customHeight="1" x14ac:dyDescent="0.25">
      <c r="A143" s="54" t="s">
        <v>242</v>
      </c>
      <c r="B143" s="54" t="s">
        <v>243</v>
      </c>
      <c r="C143" s="31">
        <v>4301012244</v>
      </c>
      <c r="D143" s="559">
        <v>4680115887374</v>
      </c>
      <c r="E143" s="560"/>
      <c r="F143" s="548">
        <v>1.6</v>
      </c>
      <c r="G143" s="32">
        <v>8</v>
      </c>
      <c r="H143" s="548">
        <v>12.8</v>
      </c>
      <c r="I143" s="548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68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245</v>
      </c>
      <c r="B144" s="54" t="s">
        <v>246</v>
      </c>
      <c r="C144" s="31">
        <v>4301011705</v>
      </c>
      <c r="D144" s="559">
        <v>4607091384604</v>
      </c>
      <c r="E144" s="560"/>
      <c r="F144" s="548">
        <v>0.4</v>
      </c>
      <c r="G144" s="32">
        <v>10</v>
      </c>
      <c r="H144" s="548">
        <v>4</v>
      </c>
      <c r="I144" s="548">
        <v>4.1900000000000004</v>
      </c>
      <c r="J144" s="32">
        <v>132</v>
      </c>
      <c r="K144" s="32" t="s">
        <v>112</v>
      </c>
      <c r="L144" s="32"/>
      <c r="M144" s="33" t="s">
        <v>108</v>
      </c>
      <c r="N144" s="33"/>
      <c r="O144" s="32">
        <v>50</v>
      </c>
      <c r="P144" s="6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4"/>
      <c r="R144" s="554"/>
      <c r="S144" s="554"/>
      <c r="T144" s="555"/>
      <c r="U144" s="34"/>
      <c r="V144" s="34"/>
      <c r="W144" s="35" t="s">
        <v>69</v>
      </c>
      <c r="X144" s="549">
        <v>0</v>
      </c>
      <c r="Y144" s="550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56"/>
      <c r="B145" s="557"/>
      <c r="C145" s="557"/>
      <c r="D145" s="557"/>
      <c r="E145" s="557"/>
      <c r="F145" s="557"/>
      <c r="G145" s="557"/>
      <c r="H145" s="557"/>
      <c r="I145" s="557"/>
      <c r="J145" s="557"/>
      <c r="K145" s="557"/>
      <c r="L145" s="557"/>
      <c r="M145" s="557"/>
      <c r="N145" s="557"/>
      <c r="O145" s="558"/>
      <c r="P145" s="565" t="s">
        <v>75</v>
      </c>
      <c r="Q145" s="566"/>
      <c r="R145" s="566"/>
      <c r="S145" s="566"/>
      <c r="T145" s="566"/>
      <c r="U145" s="566"/>
      <c r="V145" s="567"/>
      <c r="W145" s="37" t="s">
        <v>76</v>
      </c>
      <c r="X145" s="551">
        <f>IFERROR(X143/H143,"0")+IFERROR(X144/H144,"0")</f>
        <v>0</v>
      </c>
      <c r="Y145" s="551">
        <f>IFERROR(Y143/H143,"0")+IFERROR(Y144/H144,"0")</f>
        <v>0</v>
      </c>
      <c r="Z145" s="551">
        <f>IFERROR(IF(Z143="",0,Z143),"0")+IFERROR(IF(Z144="",0,Z144),"0")</f>
        <v>0</v>
      </c>
      <c r="AA145" s="552"/>
      <c r="AB145" s="552"/>
      <c r="AC145" s="552"/>
    </row>
    <row r="146" spans="1:68" hidden="1" x14ac:dyDescent="0.2">
      <c r="A146" s="55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58"/>
      <c r="P146" s="565" t="s">
        <v>75</v>
      </c>
      <c r="Q146" s="566"/>
      <c r="R146" s="566"/>
      <c r="S146" s="566"/>
      <c r="T146" s="566"/>
      <c r="U146" s="566"/>
      <c r="V146" s="567"/>
      <c r="W146" s="37" t="s">
        <v>69</v>
      </c>
      <c r="X146" s="551">
        <f>IFERROR(SUM(X143:X144),"0")</f>
        <v>0</v>
      </c>
      <c r="Y146" s="551">
        <f>IFERROR(SUM(Y143:Y144),"0")</f>
        <v>0</v>
      </c>
      <c r="Z146" s="37"/>
      <c r="AA146" s="552"/>
      <c r="AB146" s="552"/>
      <c r="AC146" s="552"/>
    </row>
    <row r="147" spans="1:68" ht="14.25" hidden="1" customHeight="1" x14ac:dyDescent="0.25">
      <c r="A147" s="562" t="s">
        <v>64</v>
      </c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57"/>
      <c r="P147" s="557"/>
      <c r="Q147" s="557"/>
      <c r="R147" s="557"/>
      <c r="S147" s="557"/>
      <c r="T147" s="557"/>
      <c r="U147" s="557"/>
      <c r="V147" s="557"/>
      <c r="W147" s="557"/>
      <c r="X147" s="557"/>
      <c r="Y147" s="557"/>
      <c r="Z147" s="557"/>
      <c r="AA147" s="544"/>
      <c r="AB147" s="544"/>
      <c r="AC147" s="544"/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59">
        <v>4680115887428</v>
      </c>
      <c r="E148" s="560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112</v>
      </c>
      <c r="L148" s="32"/>
      <c r="M148" s="33" t="s">
        <v>68</v>
      </c>
      <c r="N148" s="33"/>
      <c r="O148" s="32">
        <v>40</v>
      </c>
      <c r="P148" s="629" t="s">
        <v>250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0</v>
      </c>
      <c r="Y148" s="550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hidden="1" customHeight="1" x14ac:dyDescent="0.25">
      <c r="A149" s="54" t="s">
        <v>253</v>
      </c>
      <c r="B149" s="54" t="s">
        <v>254</v>
      </c>
      <c r="C149" s="31">
        <v>4301031453</v>
      </c>
      <c r="D149" s="559">
        <v>4680115887336</v>
      </c>
      <c r="E149" s="560"/>
      <c r="F149" s="548">
        <v>0.7</v>
      </c>
      <c r="G149" s="32">
        <v>6</v>
      </c>
      <c r="H149" s="548">
        <v>4.2</v>
      </c>
      <c r="I149" s="548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70" t="s">
        <v>255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4301031456</v>
      </c>
      <c r="D150" s="559">
        <v>4680115887398</v>
      </c>
      <c r="E150" s="560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112</v>
      </c>
      <c r="L150" s="32"/>
      <c r="M150" s="33" t="s">
        <v>68</v>
      </c>
      <c r="N150" s="33"/>
      <c r="O150" s="32">
        <v>40</v>
      </c>
      <c r="P150" s="584" t="s">
        <v>259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hidden="1" customHeight="1" x14ac:dyDescent="0.25">
      <c r="A151" s="54" t="s">
        <v>261</v>
      </c>
      <c r="B151" s="54" t="s">
        <v>262</v>
      </c>
      <c r="C151" s="31">
        <v>4301030895</v>
      </c>
      <c r="D151" s="559">
        <v>4607091387667</v>
      </c>
      <c r="E151" s="560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106</v>
      </c>
      <c r="L151" s="32"/>
      <c r="M151" s="33" t="s">
        <v>108</v>
      </c>
      <c r="N151" s="33"/>
      <c r="O151" s="32">
        <v>40</v>
      </c>
      <c r="P151" s="86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hidden="1" customHeight="1" x14ac:dyDescent="0.25">
      <c r="A152" s="54" t="s">
        <v>264</v>
      </c>
      <c r="B152" s="54" t="s">
        <v>265</v>
      </c>
      <c r="C152" s="31">
        <v>4301030961</v>
      </c>
      <c r="D152" s="559">
        <v>4607091387636</v>
      </c>
      <c r="E152" s="560"/>
      <c r="F152" s="548">
        <v>0.7</v>
      </c>
      <c r="G152" s="32">
        <v>6</v>
      </c>
      <c r="H152" s="548">
        <v>4.2</v>
      </c>
      <c r="I152" s="548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267</v>
      </c>
      <c r="B153" s="54" t="s">
        <v>268</v>
      </c>
      <c r="C153" s="31">
        <v>4301030963</v>
      </c>
      <c r="D153" s="559">
        <v>4607091382426</v>
      </c>
      <c r="E153" s="560"/>
      <c r="F153" s="548">
        <v>0.9</v>
      </c>
      <c r="G153" s="32">
        <v>10</v>
      </c>
      <c r="H153" s="548">
        <v>9</v>
      </c>
      <c r="I153" s="548">
        <v>9.56</v>
      </c>
      <c r="J153" s="32">
        <v>64</v>
      </c>
      <c r="K153" s="32" t="s">
        <v>106</v>
      </c>
      <c r="L153" s="32"/>
      <c r="M153" s="33" t="s">
        <v>68</v>
      </c>
      <c r="N153" s="33"/>
      <c r="O153" s="32">
        <v>40</v>
      </c>
      <c r="P153" s="74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54"/>
      <c r="R153" s="554"/>
      <c r="S153" s="554"/>
      <c r="T153" s="555"/>
      <c r="U153" s="34"/>
      <c r="V153" s="34"/>
      <c r="W153" s="35" t="s">
        <v>69</v>
      </c>
      <c r="X153" s="549">
        <v>0</v>
      </c>
      <c r="Y153" s="550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269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56"/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8"/>
      <c r="P154" s="565" t="s">
        <v>75</v>
      </c>
      <c r="Q154" s="566"/>
      <c r="R154" s="566"/>
      <c r="S154" s="566"/>
      <c r="T154" s="566"/>
      <c r="U154" s="566"/>
      <c r="V154" s="567"/>
      <c r="W154" s="37" t="s">
        <v>76</v>
      </c>
      <c r="X154" s="551">
        <f>IFERROR(X148/H148,"0")+IFERROR(X149/H149,"0")+IFERROR(X150/H150,"0")+IFERROR(X151/H151,"0")+IFERROR(X152/H152,"0")+IFERROR(X153/H153,"0")</f>
        <v>0</v>
      </c>
      <c r="Y154" s="551">
        <f>IFERROR(Y148/H148,"0")+IFERROR(Y149/H149,"0")+IFERROR(Y150/H150,"0")+IFERROR(Y151/H151,"0")+IFERROR(Y152/H152,"0")+IFERROR(Y153/H153,"0")</f>
        <v>0</v>
      </c>
      <c r="Z154" s="551">
        <f>IFERROR(IF(Z148="",0,Z148),"0")+IFERROR(IF(Z149="",0,Z149),"0")+IFERROR(IF(Z150="",0,Z150),"0")+IFERROR(IF(Z151="",0,Z151),"0")+IFERROR(IF(Z152="",0,Z152),"0")+IFERROR(IF(Z153="",0,Z153),"0")</f>
        <v>0</v>
      </c>
      <c r="AA154" s="552"/>
      <c r="AB154" s="552"/>
      <c r="AC154" s="552"/>
    </row>
    <row r="155" spans="1:68" hidden="1" x14ac:dyDescent="0.2">
      <c r="A155" s="557"/>
      <c r="B155" s="557"/>
      <c r="C155" s="557"/>
      <c r="D155" s="557"/>
      <c r="E155" s="557"/>
      <c r="F155" s="557"/>
      <c r="G155" s="557"/>
      <c r="H155" s="557"/>
      <c r="I155" s="557"/>
      <c r="J155" s="557"/>
      <c r="K155" s="557"/>
      <c r="L155" s="557"/>
      <c r="M155" s="557"/>
      <c r="N155" s="557"/>
      <c r="O155" s="558"/>
      <c r="P155" s="565" t="s">
        <v>75</v>
      </c>
      <c r="Q155" s="566"/>
      <c r="R155" s="566"/>
      <c r="S155" s="566"/>
      <c r="T155" s="566"/>
      <c r="U155" s="566"/>
      <c r="V155" s="567"/>
      <c r="W155" s="37" t="s">
        <v>69</v>
      </c>
      <c r="X155" s="551">
        <f>IFERROR(SUM(X148:X153),"0")</f>
        <v>0</v>
      </c>
      <c r="Y155" s="551">
        <f>IFERROR(SUM(Y148:Y153),"0")</f>
        <v>0</v>
      </c>
      <c r="Z155" s="37"/>
      <c r="AA155" s="552"/>
      <c r="AB155" s="552"/>
      <c r="AC155" s="552"/>
    </row>
    <row r="156" spans="1:68" ht="14.25" hidden="1" customHeight="1" x14ac:dyDescent="0.25">
      <c r="A156" s="562" t="s">
        <v>77</v>
      </c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7"/>
      <c r="P156" s="557"/>
      <c r="Q156" s="557"/>
      <c r="R156" s="557"/>
      <c r="S156" s="557"/>
      <c r="T156" s="557"/>
      <c r="U156" s="557"/>
      <c r="V156" s="557"/>
      <c r="W156" s="557"/>
      <c r="X156" s="557"/>
      <c r="Y156" s="557"/>
      <c r="Z156" s="557"/>
      <c r="AA156" s="544"/>
      <c r="AB156" s="544"/>
      <c r="AC156" s="544"/>
    </row>
    <row r="157" spans="1:68" ht="27" hidden="1" customHeight="1" x14ac:dyDescent="0.25">
      <c r="A157" s="54" t="s">
        <v>270</v>
      </c>
      <c r="B157" s="54" t="s">
        <v>271</v>
      </c>
      <c r="C157" s="31">
        <v>4301052064</v>
      </c>
      <c r="D157" s="559">
        <v>4680115887459</v>
      </c>
      <c r="E157" s="560"/>
      <c r="F157" s="548">
        <v>0.3</v>
      </c>
      <c r="G157" s="32">
        <v>6</v>
      </c>
      <c r="H157" s="548">
        <v>1.8</v>
      </c>
      <c r="I157" s="548">
        <v>2.0579999999999998</v>
      </c>
      <c r="J157" s="32">
        <v>182</v>
      </c>
      <c r="K157" s="32" t="s">
        <v>67</v>
      </c>
      <c r="L157" s="32"/>
      <c r="M157" s="33" t="s">
        <v>81</v>
      </c>
      <c r="N157" s="33"/>
      <c r="O157" s="32">
        <v>45</v>
      </c>
      <c r="P157" s="57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4"/>
      <c r="R157" s="554"/>
      <c r="S157" s="554"/>
      <c r="T157" s="555"/>
      <c r="U157" s="34"/>
      <c r="V157" s="34"/>
      <c r="W157" s="35" t="s">
        <v>69</v>
      </c>
      <c r="X157" s="549">
        <v>0</v>
      </c>
      <c r="Y157" s="550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6"/>
      <c r="B158" s="557"/>
      <c r="C158" s="557"/>
      <c r="D158" s="557"/>
      <c r="E158" s="557"/>
      <c r="F158" s="557"/>
      <c r="G158" s="557"/>
      <c r="H158" s="557"/>
      <c r="I158" s="557"/>
      <c r="J158" s="557"/>
      <c r="K158" s="557"/>
      <c r="L158" s="557"/>
      <c r="M158" s="557"/>
      <c r="N158" s="557"/>
      <c r="O158" s="558"/>
      <c r="P158" s="565" t="s">
        <v>75</v>
      </c>
      <c r="Q158" s="566"/>
      <c r="R158" s="566"/>
      <c r="S158" s="566"/>
      <c r="T158" s="566"/>
      <c r="U158" s="566"/>
      <c r="V158" s="567"/>
      <c r="W158" s="37" t="s">
        <v>76</v>
      </c>
      <c r="X158" s="551">
        <f>IFERROR(X157/H157,"0")</f>
        <v>0</v>
      </c>
      <c r="Y158" s="551">
        <f>IFERROR(Y157/H157,"0")</f>
        <v>0</v>
      </c>
      <c r="Z158" s="551">
        <f>IFERROR(IF(Z157="",0,Z157),"0")</f>
        <v>0</v>
      </c>
      <c r="AA158" s="552"/>
      <c r="AB158" s="552"/>
      <c r="AC158" s="552"/>
    </row>
    <row r="159" spans="1:68" hidden="1" x14ac:dyDescent="0.2">
      <c r="A159" s="557"/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8"/>
      <c r="P159" s="565" t="s">
        <v>75</v>
      </c>
      <c r="Q159" s="566"/>
      <c r="R159" s="566"/>
      <c r="S159" s="566"/>
      <c r="T159" s="566"/>
      <c r="U159" s="566"/>
      <c r="V159" s="567"/>
      <c r="W159" s="37" t="s">
        <v>69</v>
      </c>
      <c r="X159" s="551">
        <f>IFERROR(SUM(X157:X157),"0")</f>
        <v>0</v>
      </c>
      <c r="Y159" s="551">
        <f>IFERROR(SUM(Y157:Y157),"0")</f>
        <v>0</v>
      </c>
      <c r="Z159" s="37"/>
      <c r="AA159" s="552"/>
      <c r="AB159" s="552"/>
      <c r="AC159" s="552"/>
    </row>
    <row r="160" spans="1:68" ht="27.75" hidden="1" customHeight="1" x14ac:dyDescent="0.2">
      <c r="A160" s="675" t="s">
        <v>273</v>
      </c>
      <c r="B160" s="676"/>
      <c r="C160" s="676"/>
      <c r="D160" s="676"/>
      <c r="E160" s="676"/>
      <c r="F160" s="676"/>
      <c r="G160" s="676"/>
      <c r="H160" s="676"/>
      <c r="I160" s="676"/>
      <c r="J160" s="676"/>
      <c r="K160" s="676"/>
      <c r="L160" s="676"/>
      <c r="M160" s="676"/>
      <c r="N160" s="676"/>
      <c r="O160" s="676"/>
      <c r="P160" s="676"/>
      <c r="Q160" s="676"/>
      <c r="R160" s="676"/>
      <c r="S160" s="676"/>
      <c r="T160" s="676"/>
      <c r="U160" s="676"/>
      <c r="V160" s="676"/>
      <c r="W160" s="676"/>
      <c r="X160" s="676"/>
      <c r="Y160" s="676"/>
      <c r="Z160" s="676"/>
      <c r="AA160" s="48"/>
      <c r="AB160" s="48"/>
      <c r="AC160" s="48"/>
    </row>
    <row r="161" spans="1:68" ht="16.5" hidden="1" customHeight="1" x14ac:dyDescent="0.25">
      <c r="A161" s="570" t="s">
        <v>274</v>
      </c>
      <c r="B161" s="557"/>
      <c r="C161" s="557"/>
      <c r="D161" s="557"/>
      <c r="E161" s="557"/>
      <c r="F161" s="557"/>
      <c r="G161" s="557"/>
      <c r="H161" s="557"/>
      <c r="I161" s="557"/>
      <c r="J161" s="557"/>
      <c r="K161" s="557"/>
      <c r="L161" s="557"/>
      <c r="M161" s="557"/>
      <c r="N161" s="557"/>
      <c r="O161" s="557"/>
      <c r="P161" s="557"/>
      <c r="Q161" s="557"/>
      <c r="R161" s="557"/>
      <c r="S161" s="557"/>
      <c r="T161" s="557"/>
      <c r="U161" s="557"/>
      <c r="V161" s="557"/>
      <c r="W161" s="557"/>
      <c r="X161" s="557"/>
      <c r="Y161" s="557"/>
      <c r="Z161" s="557"/>
      <c r="AA161" s="543"/>
      <c r="AB161" s="543"/>
      <c r="AC161" s="543"/>
    </row>
    <row r="162" spans="1:68" ht="14.25" hidden="1" customHeight="1" x14ac:dyDescent="0.25">
      <c r="A162" s="562" t="s">
        <v>138</v>
      </c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57"/>
      <c r="P162" s="557"/>
      <c r="Q162" s="557"/>
      <c r="R162" s="557"/>
      <c r="S162" s="557"/>
      <c r="T162" s="557"/>
      <c r="U162" s="557"/>
      <c r="V162" s="557"/>
      <c r="W162" s="557"/>
      <c r="X162" s="557"/>
      <c r="Y162" s="557"/>
      <c r="Z162" s="557"/>
      <c r="AA162" s="544"/>
      <c r="AB162" s="544"/>
      <c r="AC162" s="544"/>
    </row>
    <row r="163" spans="1:68" ht="27" hidden="1" customHeight="1" x14ac:dyDescent="0.25">
      <c r="A163" s="54" t="s">
        <v>275</v>
      </c>
      <c r="B163" s="54" t="s">
        <v>276</v>
      </c>
      <c r="C163" s="31">
        <v>4301020323</v>
      </c>
      <c r="D163" s="559">
        <v>4680115886223</v>
      </c>
      <c r="E163" s="560"/>
      <c r="F163" s="548">
        <v>0.33</v>
      </c>
      <c r="G163" s="32">
        <v>6</v>
      </c>
      <c r="H163" s="548">
        <v>1.98</v>
      </c>
      <c r="I163" s="548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4"/>
      <c r="R163" s="554"/>
      <c r="S163" s="554"/>
      <c r="T163" s="555"/>
      <c r="U163" s="34"/>
      <c r="V163" s="34"/>
      <c r="W163" s="35" t="s">
        <v>69</v>
      </c>
      <c r="X163" s="549">
        <v>0</v>
      </c>
      <c r="Y163" s="550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56"/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8"/>
      <c r="P164" s="565" t="s">
        <v>75</v>
      </c>
      <c r="Q164" s="566"/>
      <c r="R164" s="566"/>
      <c r="S164" s="566"/>
      <c r="T164" s="566"/>
      <c r="U164" s="566"/>
      <c r="V164" s="567"/>
      <c r="W164" s="37" t="s">
        <v>76</v>
      </c>
      <c r="X164" s="551">
        <f>IFERROR(X163/H163,"0")</f>
        <v>0</v>
      </c>
      <c r="Y164" s="551">
        <f>IFERROR(Y163/H163,"0")</f>
        <v>0</v>
      </c>
      <c r="Z164" s="551">
        <f>IFERROR(IF(Z163="",0,Z163),"0")</f>
        <v>0</v>
      </c>
      <c r="AA164" s="552"/>
      <c r="AB164" s="552"/>
      <c r="AC164" s="552"/>
    </row>
    <row r="165" spans="1:68" hidden="1" x14ac:dyDescent="0.2">
      <c r="A165" s="557"/>
      <c r="B165" s="557"/>
      <c r="C165" s="557"/>
      <c r="D165" s="557"/>
      <c r="E165" s="557"/>
      <c r="F165" s="557"/>
      <c r="G165" s="557"/>
      <c r="H165" s="557"/>
      <c r="I165" s="557"/>
      <c r="J165" s="557"/>
      <c r="K165" s="557"/>
      <c r="L165" s="557"/>
      <c r="M165" s="557"/>
      <c r="N165" s="557"/>
      <c r="O165" s="558"/>
      <c r="P165" s="565" t="s">
        <v>75</v>
      </c>
      <c r="Q165" s="566"/>
      <c r="R165" s="566"/>
      <c r="S165" s="566"/>
      <c r="T165" s="566"/>
      <c r="U165" s="566"/>
      <c r="V165" s="567"/>
      <c r="W165" s="37" t="s">
        <v>69</v>
      </c>
      <c r="X165" s="551">
        <f>IFERROR(SUM(X163:X163),"0")</f>
        <v>0</v>
      </c>
      <c r="Y165" s="551">
        <f>IFERROR(SUM(Y163:Y163),"0")</f>
        <v>0</v>
      </c>
      <c r="Z165" s="37"/>
      <c r="AA165" s="552"/>
      <c r="AB165" s="552"/>
      <c r="AC165" s="552"/>
    </row>
    <row r="166" spans="1:68" ht="14.25" hidden="1" customHeight="1" x14ac:dyDescent="0.25">
      <c r="A166" s="562" t="s">
        <v>64</v>
      </c>
      <c r="B166" s="557"/>
      <c r="C166" s="557"/>
      <c r="D166" s="557"/>
      <c r="E166" s="557"/>
      <c r="F166" s="557"/>
      <c r="G166" s="557"/>
      <c r="H166" s="557"/>
      <c r="I166" s="557"/>
      <c r="J166" s="557"/>
      <c r="K166" s="557"/>
      <c r="L166" s="557"/>
      <c r="M166" s="557"/>
      <c r="N166" s="557"/>
      <c r="O166" s="557"/>
      <c r="P166" s="557"/>
      <c r="Q166" s="557"/>
      <c r="R166" s="557"/>
      <c r="S166" s="557"/>
      <c r="T166" s="557"/>
      <c r="U166" s="557"/>
      <c r="V166" s="557"/>
      <c r="W166" s="557"/>
      <c r="X166" s="557"/>
      <c r="Y166" s="557"/>
      <c r="Z166" s="557"/>
      <c r="AA166" s="544"/>
      <c r="AB166" s="544"/>
      <c r="AC166" s="544"/>
    </row>
    <row r="167" spans="1:68" ht="27" hidden="1" customHeight="1" x14ac:dyDescent="0.25">
      <c r="A167" s="54" t="s">
        <v>278</v>
      </c>
      <c r="B167" s="54" t="s">
        <v>279</v>
      </c>
      <c r="C167" s="31">
        <v>4301031191</v>
      </c>
      <c r="D167" s="559">
        <v>4680115880993</v>
      </c>
      <c r="E167" s="560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112</v>
      </c>
      <c r="L167" s="32" t="s">
        <v>113</v>
      </c>
      <c r="M167" s="33" t="s">
        <v>68</v>
      </c>
      <c r="N167" s="33"/>
      <c r="O167" s="32">
        <v>40</v>
      </c>
      <c r="P167" s="68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0</v>
      </c>
      <c r="Y167" s="550">
        <f t="shared" ref="Y167:Y178" si="10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03" t="s">
        <v>280</v>
      </c>
      <c r="AG167" s="64"/>
      <c r="AJ167" s="68" t="s">
        <v>83</v>
      </c>
      <c r="AK167" s="68">
        <v>50.4</v>
      </c>
      <c r="BB167" s="204" t="s">
        <v>1</v>
      </c>
      <c r="BM167" s="64">
        <f t="shared" ref="BM167:BM178" si="11">IFERROR(X167*I167/H167,"0")</f>
        <v>0</v>
      </c>
      <c r="BN167" s="64">
        <f t="shared" ref="BN167:BN178" si="12">IFERROR(Y167*I167/H167,"0")</f>
        <v>0</v>
      </c>
      <c r="BO167" s="64">
        <f t="shared" ref="BO167:BO178" si="13">IFERROR(1/J167*(X167/H167),"0")</f>
        <v>0</v>
      </c>
      <c r="BP167" s="64">
        <f t="shared" ref="BP167:BP178" si="14">IFERROR(1/J167*(Y167/H167),"0")</f>
        <v>0</v>
      </c>
    </row>
    <row r="168" spans="1:68" ht="27" hidden="1" customHeight="1" x14ac:dyDescent="0.25">
      <c r="A168" s="54" t="s">
        <v>281</v>
      </c>
      <c r="B168" s="54" t="s">
        <v>282</v>
      </c>
      <c r="C168" s="31">
        <v>4301031204</v>
      </c>
      <c r="D168" s="559">
        <v>4680115881761</v>
      </c>
      <c r="E168" s="560"/>
      <c r="F168" s="548">
        <v>0.7</v>
      </c>
      <c r="G168" s="32">
        <v>6</v>
      </c>
      <c r="H168" s="548">
        <v>4.2</v>
      </c>
      <c r="I168" s="548">
        <v>4.45</v>
      </c>
      <c r="J168" s="32">
        <v>132</v>
      </c>
      <c r="K168" s="32" t="s">
        <v>112</v>
      </c>
      <c r="L168" s="32"/>
      <c r="M168" s="33" t="s">
        <v>68</v>
      </c>
      <c r="N168" s="33"/>
      <c r="O168" s="32">
        <v>40</v>
      </c>
      <c r="P168" s="65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4301031201</v>
      </c>
      <c r="D169" s="559">
        <v>4680115881563</v>
      </c>
      <c r="E169" s="560"/>
      <c r="F169" s="548">
        <v>0.7</v>
      </c>
      <c r="G169" s="32">
        <v>6</v>
      </c>
      <c r="H169" s="548">
        <v>4.2</v>
      </c>
      <c r="I169" s="548">
        <v>4.3899999999999997</v>
      </c>
      <c r="J169" s="32">
        <v>132</v>
      </c>
      <c r="K169" s="32" t="s">
        <v>112</v>
      </c>
      <c r="L169" s="32" t="s">
        <v>113</v>
      </c>
      <c r="M169" s="33" t="s">
        <v>68</v>
      </c>
      <c r="N169" s="33"/>
      <c r="O169" s="32">
        <v>40</v>
      </c>
      <c r="P169" s="6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25</v>
      </c>
      <c r="Y169" s="550">
        <f t="shared" si="10"/>
        <v>25.200000000000003</v>
      </c>
      <c r="Z169" s="36">
        <f>IFERROR(IF(Y169=0,"",ROUNDUP(Y169/H169,0)*0.00902),"")</f>
        <v>5.4120000000000001E-2</v>
      </c>
      <c r="AA169" s="56"/>
      <c r="AB169" s="57"/>
      <c r="AC169" s="207" t="s">
        <v>286</v>
      </c>
      <c r="AG169" s="64"/>
      <c r="AJ169" s="68" t="s">
        <v>83</v>
      </c>
      <c r="AK169" s="68">
        <v>50.4</v>
      </c>
      <c r="BB169" s="208" t="s">
        <v>1</v>
      </c>
      <c r="BM169" s="64">
        <f t="shared" si="11"/>
        <v>26.130952380952376</v>
      </c>
      <c r="BN169" s="64">
        <f t="shared" si="12"/>
        <v>26.34</v>
      </c>
      <c r="BO169" s="64">
        <f t="shared" si="13"/>
        <v>4.5093795093795096E-2</v>
      </c>
      <c r="BP169" s="64">
        <f t="shared" si="14"/>
        <v>4.5454545454545456E-2</v>
      </c>
    </row>
    <row r="170" spans="1:68" ht="37.5" hidden="1" customHeight="1" x14ac:dyDescent="0.25">
      <c r="A170" s="54" t="s">
        <v>287</v>
      </c>
      <c r="B170" s="54" t="s">
        <v>288</v>
      </c>
      <c r="C170" s="31">
        <v>4301031447</v>
      </c>
      <c r="D170" s="559">
        <v>4680115887565</v>
      </c>
      <c r="E170" s="560"/>
      <c r="F170" s="548">
        <v>0.08</v>
      </c>
      <c r="G170" s="32">
        <v>10</v>
      </c>
      <c r="H170" s="548">
        <v>0.8</v>
      </c>
      <c r="I170" s="548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61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290</v>
      </c>
      <c r="B171" s="54" t="s">
        <v>291</v>
      </c>
      <c r="C171" s="31">
        <v>4301031199</v>
      </c>
      <c r="D171" s="559">
        <v>4680115880986</v>
      </c>
      <c r="E171" s="560"/>
      <c r="F171" s="548">
        <v>0.35</v>
      </c>
      <c r="G171" s="32">
        <v>6</v>
      </c>
      <c r="H171" s="548">
        <v>2.1</v>
      </c>
      <c r="I171" s="548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280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292</v>
      </c>
      <c r="B172" s="54" t="s">
        <v>293</v>
      </c>
      <c r="C172" s="31">
        <v>4301031443</v>
      </c>
      <c r="D172" s="559">
        <v>4680115887213</v>
      </c>
      <c r="E172" s="560"/>
      <c r="F172" s="548">
        <v>0.3</v>
      </c>
      <c r="G172" s="32">
        <v>6</v>
      </c>
      <c r="H172" s="548">
        <v>1.8</v>
      </c>
      <c r="I172" s="548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294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295</v>
      </c>
      <c r="B173" s="54" t="s">
        <v>296</v>
      </c>
      <c r="C173" s="31">
        <v>4301031205</v>
      </c>
      <c r="D173" s="559">
        <v>4680115881785</v>
      </c>
      <c r="E173" s="560"/>
      <c r="F173" s="548">
        <v>0.35</v>
      </c>
      <c r="G173" s="32">
        <v>6</v>
      </c>
      <c r="H173" s="548">
        <v>2.1</v>
      </c>
      <c r="I173" s="548">
        <v>2.23</v>
      </c>
      <c r="J173" s="32">
        <v>234</v>
      </c>
      <c r="K173" s="32" t="s">
        <v>73</v>
      </c>
      <c r="L173" s="32" t="s">
        <v>297</v>
      </c>
      <c r="M173" s="33" t="s">
        <v>68</v>
      </c>
      <c r="N173" s="33"/>
      <c r="O173" s="32">
        <v>40</v>
      </c>
      <c r="P173" s="63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 t="s">
        <v>83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298</v>
      </c>
      <c r="B174" s="54" t="s">
        <v>299</v>
      </c>
      <c r="C174" s="31">
        <v>4301031399</v>
      </c>
      <c r="D174" s="559">
        <v>4680115886537</v>
      </c>
      <c r="E174" s="560"/>
      <c r="F174" s="548">
        <v>0.3</v>
      </c>
      <c r="G174" s="32">
        <v>6</v>
      </c>
      <c r="H174" s="548">
        <v>1.8</v>
      </c>
      <c r="I174" s="548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7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300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301</v>
      </c>
      <c r="B175" s="54" t="s">
        <v>302</v>
      </c>
      <c r="C175" s="31">
        <v>4301031279</v>
      </c>
      <c r="D175" s="559">
        <v>4680115887596</v>
      </c>
      <c r="E175" s="560"/>
      <c r="F175" s="548">
        <v>0.08</v>
      </c>
      <c r="G175" s="32">
        <v>10</v>
      </c>
      <c r="H175" s="548">
        <v>0.8</v>
      </c>
      <c r="I175" s="548">
        <v>1.01</v>
      </c>
      <c r="J175" s="32">
        <v>336</v>
      </c>
      <c r="K175" s="32" t="s">
        <v>176</v>
      </c>
      <c r="L175" s="32"/>
      <c r="M175" s="33" t="s">
        <v>68</v>
      </c>
      <c r="N175" s="33"/>
      <c r="O175" s="32">
        <v>45</v>
      </c>
      <c r="P175" s="79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hidden="1" customHeight="1" x14ac:dyDescent="0.25">
      <c r="A176" s="54" t="s">
        <v>304</v>
      </c>
      <c r="B176" s="54" t="s">
        <v>305</v>
      </c>
      <c r="C176" s="31">
        <v>4301031202</v>
      </c>
      <c r="D176" s="559">
        <v>4680115881679</v>
      </c>
      <c r="E176" s="560"/>
      <c r="F176" s="548">
        <v>0.35</v>
      </c>
      <c r="G176" s="32">
        <v>6</v>
      </c>
      <c r="H176" s="548">
        <v>2.1</v>
      </c>
      <c r="I176" s="548">
        <v>2.2000000000000002</v>
      </c>
      <c r="J176" s="32">
        <v>234</v>
      </c>
      <c r="K176" s="32" t="s">
        <v>73</v>
      </c>
      <c r="L176" s="32" t="s">
        <v>297</v>
      </c>
      <c r="M176" s="33" t="s">
        <v>68</v>
      </c>
      <c r="N176" s="33"/>
      <c r="O176" s="32">
        <v>40</v>
      </c>
      <c r="P176" s="7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286</v>
      </c>
      <c r="AG176" s="64"/>
      <c r="AJ176" s="68" t="s">
        <v>83</v>
      </c>
      <c r="AK176" s="68">
        <v>37.799999999999997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306</v>
      </c>
      <c r="B177" s="54" t="s">
        <v>307</v>
      </c>
      <c r="C177" s="31">
        <v>4301031158</v>
      </c>
      <c r="D177" s="559">
        <v>4680115880191</v>
      </c>
      <c r="E177" s="560"/>
      <c r="F177" s="548">
        <v>0.4</v>
      </c>
      <c r="G177" s="32">
        <v>6</v>
      </c>
      <c r="H177" s="548">
        <v>2.4</v>
      </c>
      <c r="I177" s="548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0</v>
      </c>
      <c r="Y177" s="550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4301031245</v>
      </c>
      <c r="D178" s="559">
        <v>4680115883963</v>
      </c>
      <c r="E178" s="560"/>
      <c r="F178" s="548">
        <v>0.28000000000000003</v>
      </c>
      <c r="G178" s="32">
        <v>6</v>
      </c>
      <c r="H178" s="548">
        <v>1.68</v>
      </c>
      <c r="I178" s="548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56"/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8"/>
      <c r="P179" s="565" t="s">
        <v>75</v>
      </c>
      <c r="Q179" s="566"/>
      <c r="R179" s="566"/>
      <c r="S179" s="566"/>
      <c r="T179" s="566"/>
      <c r="U179" s="566"/>
      <c r="V179" s="567"/>
      <c r="W179" s="37" t="s">
        <v>76</v>
      </c>
      <c r="X179" s="55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5.9523809523809526</v>
      </c>
      <c r="Y179" s="55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6</v>
      </c>
      <c r="Z179" s="55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5.4120000000000001E-2</v>
      </c>
      <c r="AA179" s="552"/>
      <c r="AB179" s="552"/>
      <c r="AC179" s="552"/>
    </row>
    <row r="180" spans="1:68" x14ac:dyDescent="0.2">
      <c r="A180" s="557"/>
      <c r="B180" s="557"/>
      <c r="C180" s="557"/>
      <c r="D180" s="557"/>
      <c r="E180" s="557"/>
      <c r="F180" s="557"/>
      <c r="G180" s="557"/>
      <c r="H180" s="557"/>
      <c r="I180" s="557"/>
      <c r="J180" s="557"/>
      <c r="K180" s="557"/>
      <c r="L180" s="557"/>
      <c r="M180" s="557"/>
      <c r="N180" s="557"/>
      <c r="O180" s="558"/>
      <c r="P180" s="565" t="s">
        <v>75</v>
      </c>
      <c r="Q180" s="566"/>
      <c r="R180" s="566"/>
      <c r="S180" s="566"/>
      <c r="T180" s="566"/>
      <c r="U180" s="566"/>
      <c r="V180" s="567"/>
      <c r="W180" s="37" t="s">
        <v>69</v>
      </c>
      <c r="X180" s="551">
        <f>IFERROR(SUM(X167:X178),"0")</f>
        <v>25</v>
      </c>
      <c r="Y180" s="551">
        <f>IFERROR(SUM(Y167:Y178),"0")</f>
        <v>25.200000000000003</v>
      </c>
      <c r="Z180" s="37"/>
      <c r="AA180" s="552"/>
      <c r="AB180" s="552"/>
      <c r="AC180" s="552"/>
    </row>
    <row r="181" spans="1:68" ht="14.25" hidden="1" customHeight="1" x14ac:dyDescent="0.25">
      <c r="A181" s="562" t="s">
        <v>95</v>
      </c>
      <c r="B181" s="557"/>
      <c r="C181" s="557"/>
      <c r="D181" s="557"/>
      <c r="E181" s="557"/>
      <c r="F181" s="557"/>
      <c r="G181" s="557"/>
      <c r="H181" s="557"/>
      <c r="I181" s="557"/>
      <c r="J181" s="557"/>
      <c r="K181" s="557"/>
      <c r="L181" s="557"/>
      <c r="M181" s="557"/>
      <c r="N181" s="557"/>
      <c r="O181" s="557"/>
      <c r="P181" s="557"/>
      <c r="Q181" s="557"/>
      <c r="R181" s="557"/>
      <c r="S181" s="557"/>
      <c r="T181" s="557"/>
      <c r="U181" s="557"/>
      <c r="V181" s="557"/>
      <c r="W181" s="557"/>
      <c r="X181" s="557"/>
      <c r="Y181" s="557"/>
      <c r="Z181" s="557"/>
      <c r="AA181" s="544"/>
      <c r="AB181" s="544"/>
      <c r="AC181" s="544"/>
    </row>
    <row r="182" spans="1:68" ht="27" hidden="1" customHeight="1" x14ac:dyDescent="0.25">
      <c r="A182" s="54" t="s">
        <v>311</v>
      </c>
      <c r="B182" s="54" t="s">
        <v>312</v>
      </c>
      <c r="C182" s="31">
        <v>4301032053</v>
      </c>
      <c r="D182" s="559">
        <v>4680115886780</v>
      </c>
      <c r="E182" s="560"/>
      <c r="F182" s="548">
        <v>7.0000000000000007E-2</v>
      </c>
      <c r="G182" s="32">
        <v>18</v>
      </c>
      <c r="H182" s="548">
        <v>1.26</v>
      </c>
      <c r="I182" s="548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68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4"/>
      <c r="R182" s="554"/>
      <c r="S182" s="554"/>
      <c r="T182" s="555"/>
      <c r="U182" s="34"/>
      <c r="V182" s="34"/>
      <c r="W182" s="35" t="s">
        <v>69</v>
      </c>
      <c r="X182" s="549">
        <v>0</v>
      </c>
      <c r="Y182" s="550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316</v>
      </c>
      <c r="B183" s="54" t="s">
        <v>317</v>
      </c>
      <c r="C183" s="31">
        <v>4301032051</v>
      </c>
      <c r="D183" s="559">
        <v>4680115886742</v>
      </c>
      <c r="E183" s="560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319</v>
      </c>
      <c r="B184" s="54" t="s">
        <v>320</v>
      </c>
      <c r="C184" s="31">
        <v>4301032052</v>
      </c>
      <c r="D184" s="559">
        <v>4680115886766</v>
      </c>
      <c r="E184" s="560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61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56"/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8"/>
      <c r="P185" s="565" t="s">
        <v>75</v>
      </c>
      <c r="Q185" s="566"/>
      <c r="R185" s="566"/>
      <c r="S185" s="566"/>
      <c r="T185" s="566"/>
      <c r="U185" s="566"/>
      <c r="V185" s="567"/>
      <c r="W185" s="37" t="s">
        <v>76</v>
      </c>
      <c r="X185" s="551">
        <f>IFERROR(X182/H182,"0")+IFERROR(X183/H183,"0")+IFERROR(X184/H184,"0")</f>
        <v>0</v>
      </c>
      <c r="Y185" s="551">
        <f>IFERROR(Y182/H182,"0")+IFERROR(Y183/H183,"0")+IFERROR(Y184/H184,"0")</f>
        <v>0</v>
      </c>
      <c r="Z185" s="551">
        <f>IFERROR(IF(Z182="",0,Z182),"0")+IFERROR(IF(Z183="",0,Z183),"0")+IFERROR(IF(Z184="",0,Z184),"0")</f>
        <v>0</v>
      </c>
      <c r="AA185" s="552"/>
      <c r="AB185" s="552"/>
      <c r="AC185" s="552"/>
    </row>
    <row r="186" spans="1:68" hidden="1" x14ac:dyDescent="0.2">
      <c r="A186" s="557"/>
      <c r="B186" s="557"/>
      <c r="C186" s="557"/>
      <c r="D186" s="557"/>
      <c r="E186" s="557"/>
      <c r="F186" s="557"/>
      <c r="G186" s="557"/>
      <c r="H186" s="557"/>
      <c r="I186" s="557"/>
      <c r="J186" s="557"/>
      <c r="K186" s="557"/>
      <c r="L186" s="557"/>
      <c r="M186" s="557"/>
      <c r="N186" s="557"/>
      <c r="O186" s="558"/>
      <c r="P186" s="565" t="s">
        <v>75</v>
      </c>
      <c r="Q186" s="566"/>
      <c r="R186" s="566"/>
      <c r="S186" s="566"/>
      <c r="T186" s="566"/>
      <c r="U186" s="566"/>
      <c r="V186" s="567"/>
      <c r="W186" s="37" t="s">
        <v>69</v>
      </c>
      <c r="X186" s="551">
        <f>IFERROR(SUM(X182:X184),"0")</f>
        <v>0</v>
      </c>
      <c r="Y186" s="551">
        <f>IFERROR(SUM(Y182:Y184),"0")</f>
        <v>0</v>
      </c>
      <c r="Z186" s="37"/>
      <c r="AA186" s="552"/>
      <c r="AB186" s="552"/>
      <c r="AC186" s="552"/>
    </row>
    <row r="187" spans="1:68" ht="14.25" hidden="1" customHeight="1" x14ac:dyDescent="0.25">
      <c r="A187" s="562" t="s">
        <v>321</v>
      </c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57"/>
      <c r="P187" s="557"/>
      <c r="Q187" s="557"/>
      <c r="R187" s="557"/>
      <c r="S187" s="557"/>
      <c r="T187" s="557"/>
      <c r="U187" s="557"/>
      <c r="V187" s="557"/>
      <c r="W187" s="557"/>
      <c r="X187" s="557"/>
      <c r="Y187" s="557"/>
      <c r="Z187" s="557"/>
      <c r="AA187" s="544"/>
      <c r="AB187" s="544"/>
      <c r="AC187" s="544"/>
    </row>
    <row r="188" spans="1:68" ht="27" hidden="1" customHeight="1" x14ac:dyDescent="0.25">
      <c r="A188" s="54" t="s">
        <v>322</v>
      </c>
      <c r="B188" s="54" t="s">
        <v>323</v>
      </c>
      <c r="C188" s="31">
        <v>4301170013</v>
      </c>
      <c r="D188" s="559">
        <v>4680115886797</v>
      </c>
      <c r="E188" s="560"/>
      <c r="F188" s="548">
        <v>7.0000000000000007E-2</v>
      </c>
      <c r="G188" s="32">
        <v>18</v>
      </c>
      <c r="H188" s="548">
        <v>1.26</v>
      </c>
      <c r="I188" s="548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80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4"/>
      <c r="R188" s="554"/>
      <c r="S188" s="554"/>
      <c r="T188" s="555"/>
      <c r="U188" s="34"/>
      <c r="V188" s="34"/>
      <c r="W188" s="35" t="s">
        <v>69</v>
      </c>
      <c r="X188" s="549">
        <v>0</v>
      </c>
      <c r="Y188" s="550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56"/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8"/>
      <c r="P189" s="565" t="s">
        <v>75</v>
      </c>
      <c r="Q189" s="566"/>
      <c r="R189" s="566"/>
      <c r="S189" s="566"/>
      <c r="T189" s="566"/>
      <c r="U189" s="566"/>
      <c r="V189" s="567"/>
      <c r="W189" s="37" t="s">
        <v>76</v>
      </c>
      <c r="X189" s="551">
        <f>IFERROR(X188/H188,"0")</f>
        <v>0</v>
      </c>
      <c r="Y189" s="551">
        <f>IFERROR(Y188/H188,"0")</f>
        <v>0</v>
      </c>
      <c r="Z189" s="551">
        <f>IFERROR(IF(Z188="",0,Z188),"0")</f>
        <v>0</v>
      </c>
      <c r="AA189" s="552"/>
      <c r="AB189" s="552"/>
      <c r="AC189" s="552"/>
    </row>
    <row r="190" spans="1:68" hidden="1" x14ac:dyDescent="0.2">
      <c r="A190" s="557"/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8"/>
      <c r="P190" s="565" t="s">
        <v>75</v>
      </c>
      <c r="Q190" s="566"/>
      <c r="R190" s="566"/>
      <c r="S190" s="566"/>
      <c r="T190" s="566"/>
      <c r="U190" s="566"/>
      <c r="V190" s="567"/>
      <c r="W190" s="37" t="s">
        <v>69</v>
      </c>
      <c r="X190" s="551">
        <f>IFERROR(SUM(X188:X188),"0")</f>
        <v>0</v>
      </c>
      <c r="Y190" s="551">
        <f>IFERROR(SUM(Y188:Y188),"0")</f>
        <v>0</v>
      </c>
      <c r="Z190" s="37"/>
      <c r="AA190" s="552"/>
      <c r="AB190" s="552"/>
      <c r="AC190" s="552"/>
    </row>
    <row r="191" spans="1:68" ht="16.5" hidden="1" customHeight="1" x14ac:dyDescent="0.25">
      <c r="A191" s="570" t="s">
        <v>324</v>
      </c>
      <c r="B191" s="557"/>
      <c r="C191" s="557"/>
      <c r="D191" s="557"/>
      <c r="E191" s="557"/>
      <c r="F191" s="557"/>
      <c r="G191" s="557"/>
      <c r="H191" s="557"/>
      <c r="I191" s="557"/>
      <c r="J191" s="557"/>
      <c r="K191" s="557"/>
      <c r="L191" s="557"/>
      <c r="M191" s="557"/>
      <c r="N191" s="557"/>
      <c r="O191" s="557"/>
      <c r="P191" s="557"/>
      <c r="Q191" s="557"/>
      <c r="R191" s="557"/>
      <c r="S191" s="557"/>
      <c r="T191" s="557"/>
      <c r="U191" s="557"/>
      <c r="V191" s="557"/>
      <c r="W191" s="557"/>
      <c r="X191" s="557"/>
      <c r="Y191" s="557"/>
      <c r="Z191" s="557"/>
      <c r="AA191" s="543"/>
      <c r="AB191" s="543"/>
      <c r="AC191" s="543"/>
    </row>
    <row r="192" spans="1:68" ht="14.25" hidden="1" customHeight="1" x14ac:dyDescent="0.25">
      <c r="A192" s="562" t="s">
        <v>103</v>
      </c>
      <c r="B192" s="557"/>
      <c r="C192" s="557"/>
      <c r="D192" s="557"/>
      <c r="E192" s="557"/>
      <c r="F192" s="557"/>
      <c r="G192" s="557"/>
      <c r="H192" s="557"/>
      <c r="I192" s="557"/>
      <c r="J192" s="557"/>
      <c r="K192" s="557"/>
      <c r="L192" s="557"/>
      <c r="M192" s="557"/>
      <c r="N192" s="557"/>
      <c r="O192" s="557"/>
      <c r="P192" s="557"/>
      <c r="Q192" s="557"/>
      <c r="R192" s="557"/>
      <c r="S192" s="557"/>
      <c r="T192" s="557"/>
      <c r="U192" s="557"/>
      <c r="V192" s="557"/>
      <c r="W192" s="557"/>
      <c r="X192" s="557"/>
      <c r="Y192" s="557"/>
      <c r="Z192" s="557"/>
      <c r="AA192" s="544"/>
      <c r="AB192" s="544"/>
      <c r="AC192" s="544"/>
    </row>
    <row r="193" spans="1:68" ht="27" hidden="1" customHeight="1" x14ac:dyDescent="0.25">
      <c r="A193" s="54" t="s">
        <v>325</v>
      </c>
      <c r="B193" s="54" t="s">
        <v>326</v>
      </c>
      <c r="C193" s="31">
        <v>4301011450</v>
      </c>
      <c r="D193" s="559">
        <v>4680115881402</v>
      </c>
      <c r="E193" s="560"/>
      <c r="F193" s="548">
        <v>1.35</v>
      </c>
      <c r="G193" s="32">
        <v>8</v>
      </c>
      <c r="H193" s="548">
        <v>10.8</v>
      </c>
      <c r="I193" s="548">
        <v>11.21</v>
      </c>
      <c r="J193" s="32">
        <v>64</v>
      </c>
      <c r="K193" s="32" t="s">
        <v>106</v>
      </c>
      <c r="L193" s="32"/>
      <c r="M193" s="33" t="s">
        <v>108</v>
      </c>
      <c r="N193" s="33"/>
      <c r="O193" s="32">
        <v>55</v>
      </c>
      <c r="P193" s="78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4"/>
      <c r="R193" s="554"/>
      <c r="S193" s="554"/>
      <c r="T193" s="555"/>
      <c r="U193" s="34"/>
      <c r="V193" s="34"/>
      <c r="W193" s="35" t="s">
        <v>69</v>
      </c>
      <c r="X193" s="549">
        <v>0</v>
      </c>
      <c r="Y193" s="550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328</v>
      </c>
      <c r="B194" s="54" t="s">
        <v>329</v>
      </c>
      <c r="C194" s="31">
        <v>4301011768</v>
      </c>
      <c r="D194" s="559">
        <v>4680115881396</v>
      </c>
      <c r="E194" s="560"/>
      <c r="F194" s="548">
        <v>0.45</v>
      </c>
      <c r="G194" s="32">
        <v>6</v>
      </c>
      <c r="H194" s="548">
        <v>2.7</v>
      </c>
      <c r="I194" s="548">
        <v>2.88</v>
      </c>
      <c r="J194" s="32">
        <v>182</v>
      </c>
      <c r="K194" s="32" t="s">
        <v>67</v>
      </c>
      <c r="L194" s="32"/>
      <c r="M194" s="33" t="s">
        <v>108</v>
      </c>
      <c r="N194" s="33"/>
      <c r="O194" s="32">
        <v>55</v>
      </c>
      <c r="P194" s="63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56"/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8"/>
      <c r="P195" s="565" t="s">
        <v>75</v>
      </c>
      <c r="Q195" s="566"/>
      <c r="R195" s="566"/>
      <c r="S195" s="566"/>
      <c r="T195" s="566"/>
      <c r="U195" s="566"/>
      <c r="V195" s="567"/>
      <c r="W195" s="37" t="s">
        <v>76</v>
      </c>
      <c r="X195" s="551">
        <f>IFERROR(X193/H193,"0")+IFERROR(X194/H194,"0")</f>
        <v>0</v>
      </c>
      <c r="Y195" s="551">
        <f>IFERROR(Y193/H193,"0")+IFERROR(Y194/H194,"0")</f>
        <v>0</v>
      </c>
      <c r="Z195" s="551">
        <f>IFERROR(IF(Z193="",0,Z193),"0")+IFERROR(IF(Z194="",0,Z194),"0")</f>
        <v>0</v>
      </c>
      <c r="AA195" s="552"/>
      <c r="AB195" s="552"/>
      <c r="AC195" s="552"/>
    </row>
    <row r="196" spans="1:68" hidden="1" x14ac:dyDescent="0.2">
      <c r="A196" s="557"/>
      <c r="B196" s="557"/>
      <c r="C196" s="557"/>
      <c r="D196" s="557"/>
      <c r="E196" s="557"/>
      <c r="F196" s="557"/>
      <c r="G196" s="557"/>
      <c r="H196" s="557"/>
      <c r="I196" s="557"/>
      <c r="J196" s="557"/>
      <c r="K196" s="557"/>
      <c r="L196" s="557"/>
      <c r="M196" s="557"/>
      <c r="N196" s="557"/>
      <c r="O196" s="558"/>
      <c r="P196" s="565" t="s">
        <v>75</v>
      </c>
      <c r="Q196" s="566"/>
      <c r="R196" s="566"/>
      <c r="S196" s="566"/>
      <c r="T196" s="566"/>
      <c r="U196" s="566"/>
      <c r="V196" s="567"/>
      <c r="W196" s="37" t="s">
        <v>69</v>
      </c>
      <c r="X196" s="551">
        <f>IFERROR(SUM(X193:X194),"0")</f>
        <v>0</v>
      </c>
      <c r="Y196" s="551">
        <f>IFERROR(SUM(Y193:Y194),"0")</f>
        <v>0</v>
      </c>
      <c r="Z196" s="37"/>
      <c r="AA196" s="552"/>
      <c r="AB196" s="552"/>
      <c r="AC196" s="552"/>
    </row>
    <row r="197" spans="1:68" ht="14.25" hidden="1" customHeight="1" x14ac:dyDescent="0.25">
      <c r="A197" s="562" t="s">
        <v>138</v>
      </c>
      <c r="B197" s="557"/>
      <c r="C197" s="557"/>
      <c r="D197" s="557"/>
      <c r="E197" s="557"/>
      <c r="F197" s="557"/>
      <c r="G197" s="557"/>
      <c r="H197" s="557"/>
      <c r="I197" s="557"/>
      <c r="J197" s="557"/>
      <c r="K197" s="557"/>
      <c r="L197" s="557"/>
      <c r="M197" s="557"/>
      <c r="N197" s="557"/>
      <c r="O197" s="557"/>
      <c r="P197" s="557"/>
      <c r="Q197" s="557"/>
      <c r="R197" s="557"/>
      <c r="S197" s="557"/>
      <c r="T197" s="557"/>
      <c r="U197" s="557"/>
      <c r="V197" s="557"/>
      <c r="W197" s="557"/>
      <c r="X197" s="557"/>
      <c r="Y197" s="557"/>
      <c r="Z197" s="557"/>
      <c r="AA197" s="544"/>
      <c r="AB197" s="544"/>
      <c r="AC197" s="544"/>
    </row>
    <row r="198" spans="1:68" ht="16.5" hidden="1" customHeight="1" x14ac:dyDescent="0.25">
      <c r="A198" s="54" t="s">
        <v>330</v>
      </c>
      <c r="B198" s="54" t="s">
        <v>331</v>
      </c>
      <c r="C198" s="31">
        <v>4301020261</v>
      </c>
      <c r="D198" s="559">
        <v>4680115882935</v>
      </c>
      <c r="E198" s="560"/>
      <c r="F198" s="548">
        <v>1.35</v>
      </c>
      <c r="G198" s="32">
        <v>8</v>
      </c>
      <c r="H198" s="548">
        <v>10.8</v>
      </c>
      <c r="I198" s="548">
        <v>11.21</v>
      </c>
      <c r="J198" s="32">
        <v>64</v>
      </c>
      <c r="K198" s="32" t="s">
        <v>106</v>
      </c>
      <c r="L198" s="32"/>
      <c r="M198" s="33" t="s">
        <v>108</v>
      </c>
      <c r="N198" s="33"/>
      <c r="O198" s="32">
        <v>50</v>
      </c>
      <c r="P198" s="82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4"/>
      <c r="R198" s="554"/>
      <c r="S198" s="554"/>
      <c r="T198" s="555"/>
      <c r="U198" s="34"/>
      <c r="V198" s="34"/>
      <c r="W198" s="35" t="s">
        <v>69</v>
      </c>
      <c r="X198" s="549">
        <v>0</v>
      </c>
      <c r="Y198" s="550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333</v>
      </c>
      <c r="B199" s="54" t="s">
        <v>334</v>
      </c>
      <c r="C199" s="31">
        <v>4301020220</v>
      </c>
      <c r="D199" s="559">
        <v>4680115880764</v>
      </c>
      <c r="E199" s="560"/>
      <c r="F199" s="548">
        <v>0.35</v>
      </c>
      <c r="G199" s="32">
        <v>6</v>
      </c>
      <c r="H199" s="548">
        <v>2.1</v>
      </c>
      <c r="I199" s="548">
        <v>2.2799999999999998</v>
      </c>
      <c r="J199" s="32">
        <v>182</v>
      </c>
      <c r="K199" s="32" t="s">
        <v>67</v>
      </c>
      <c r="L199" s="32"/>
      <c r="M199" s="33" t="s">
        <v>108</v>
      </c>
      <c r="N199" s="33"/>
      <c r="O199" s="32">
        <v>50</v>
      </c>
      <c r="P199" s="85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56"/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8"/>
      <c r="P200" s="565" t="s">
        <v>75</v>
      </c>
      <c r="Q200" s="566"/>
      <c r="R200" s="566"/>
      <c r="S200" s="566"/>
      <c r="T200" s="566"/>
      <c r="U200" s="566"/>
      <c r="V200" s="567"/>
      <c r="W200" s="37" t="s">
        <v>76</v>
      </c>
      <c r="X200" s="551">
        <f>IFERROR(X198/H198,"0")+IFERROR(X199/H199,"0")</f>
        <v>0</v>
      </c>
      <c r="Y200" s="551">
        <f>IFERROR(Y198/H198,"0")+IFERROR(Y199/H199,"0")</f>
        <v>0</v>
      </c>
      <c r="Z200" s="551">
        <f>IFERROR(IF(Z198="",0,Z198),"0")+IFERROR(IF(Z199="",0,Z199),"0")</f>
        <v>0</v>
      </c>
      <c r="AA200" s="552"/>
      <c r="AB200" s="552"/>
      <c r="AC200" s="552"/>
    </row>
    <row r="201" spans="1:68" hidden="1" x14ac:dyDescent="0.2">
      <c r="A201" s="557"/>
      <c r="B201" s="557"/>
      <c r="C201" s="557"/>
      <c r="D201" s="557"/>
      <c r="E201" s="557"/>
      <c r="F201" s="557"/>
      <c r="G201" s="557"/>
      <c r="H201" s="557"/>
      <c r="I201" s="557"/>
      <c r="J201" s="557"/>
      <c r="K201" s="557"/>
      <c r="L201" s="557"/>
      <c r="M201" s="557"/>
      <c r="N201" s="557"/>
      <c r="O201" s="558"/>
      <c r="P201" s="565" t="s">
        <v>75</v>
      </c>
      <c r="Q201" s="566"/>
      <c r="R201" s="566"/>
      <c r="S201" s="566"/>
      <c r="T201" s="566"/>
      <c r="U201" s="566"/>
      <c r="V201" s="567"/>
      <c r="W201" s="37" t="s">
        <v>69</v>
      </c>
      <c r="X201" s="551">
        <f>IFERROR(SUM(X198:X199),"0")</f>
        <v>0</v>
      </c>
      <c r="Y201" s="551">
        <f>IFERROR(SUM(Y198:Y199),"0")</f>
        <v>0</v>
      </c>
      <c r="Z201" s="37"/>
      <c r="AA201" s="552"/>
      <c r="AB201" s="552"/>
      <c r="AC201" s="552"/>
    </row>
    <row r="202" spans="1:68" ht="14.25" hidden="1" customHeight="1" x14ac:dyDescent="0.25">
      <c r="A202" s="562" t="s">
        <v>64</v>
      </c>
      <c r="B202" s="557"/>
      <c r="C202" s="557"/>
      <c r="D202" s="557"/>
      <c r="E202" s="557"/>
      <c r="F202" s="557"/>
      <c r="G202" s="557"/>
      <c r="H202" s="557"/>
      <c r="I202" s="557"/>
      <c r="J202" s="557"/>
      <c r="K202" s="557"/>
      <c r="L202" s="557"/>
      <c r="M202" s="557"/>
      <c r="N202" s="557"/>
      <c r="O202" s="557"/>
      <c r="P202" s="557"/>
      <c r="Q202" s="557"/>
      <c r="R202" s="557"/>
      <c r="S202" s="557"/>
      <c r="T202" s="557"/>
      <c r="U202" s="557"/>
      <c r="V202" s="557"/>
      <c r="W202" s="557"/>
      <c r="X202" s="557"/>
      <c r="Y202" s="557"/>
      <c r="Z202" s="557"/>
      <c r="AA202" s="544"/>
      <c r="AB202" s="544"/>
      <c r="AC202" s="544"/>
    </row>
    <row r="203" spans="1:68" ht="27" customHeight="1" x14ac:dyDescent="0.25">
      <c r="A203" s="54" t="s">
        <v>335</v>
      </c>
      <c r="B203" s="54" t="s">
        <v>336</v>
      </c>
      <c r="C203" s="31">
        <v>4301031224</v>
      </c>
      <c r="D203" s="559">
        <v>4680115882683</v>
      </c>
      <c r="E203" s="560"/>
      <c r="F203" s="548">
        <v>0.9</v>
      </c>
      <c r="G203" s="32">
        <v>6</v>
      </c>
      <c r="H203" s="548">
        <v>5.4</v>
      </c>
      <c r="I203" s="548">
        <v>5.59</v>
      </c>
      <c r="J203" s="32">
        <v>132</v>
      </c>
      <c r="K203" s="32" t="s">
        <v>112</v>
      </c>
      <c r="L203" s="32" t="s">
        <v>113</v>
      </c>
      <c r="M203" s="33" t="s">
        <v>68</v>
      </c>
      <c r="N203" s="33"/>
      <c r="O203" s="32">
        <v>40</v>
      </c>
      <c r="P203" s="73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4"/>
      <c r="R203" s="554"/>
      <c r="S203" s="554"/>
      <c r="T203" s="555"/>
      <c r="U203" s="34"/>
      <c r="V203" s="34"/>
      <c r="W203" s="35" t="s">
        <v>69</v>
      </c>
      <c r="X203" s="549">
        <v>300</v>
      </c>
      <c r="Y203" s="550">
        <f t="shared" ref="Y203:Y210" si="15">IFERROR(IF(X203="",0,CEILING((X203/$H203),1)*$H203),"")</f>
        <v>302.40000000000003</v>
      </c>
      <c r="Z203" s="36">
        <f>IFERROR(IF(Y203=0,"",ROUNDUP(Y203/H203,0)*0.00902),"")</f>
        <v>0.50512000000000001</v>
      </c>
      <c r="AA203" s="56"/>
      <c r="AB203" s="57"/>
      <c r="AC203" s="243" t="s">
        <v>337</v>
      </c>
      <c r="AG203" s="64"/>
      <c r="AJ203" s="68" t="s">
        <v>83</v>
      </c>
      <c r="AK203" s="68">
        <v>64.8</v>
      </c>
      <c r="BB203" s="244" t="s">
        <v>1</v>
      </c>
      <c r="BM203" s="64">
        <f t="shared" ref="BM203:BM210" si="16">IFERROR(X203*I203/H203,"0")</f>
        <v>310.55555555555554</v>
      </c>
      <c r="BN203" s="64">
        <f t="shared" ref="BN203:BN210" si="17">IFERROR(Y203*I203/H203,"0")</f>
        <v>313.04000000000002</v>
      </c>
      <c r="BO203" s="64">
        <f t="shared" ref="BO203:BO210" si="18">IFERROR(1/J203*(X203/H203),"0")</f>
        <v>0.42087542087542085</v>
      </c>
      <c r="BP203" s="64">
        <f t="shared" ref="BP203:BP210" si="19">IFERROR(1/J203*(Y203/H203),"0")</f>
        <v>0.42424242424242425</v>
      </c>
    </row>
    <row r="204" spans="1:68" ht="27" customHeight="1" x14ac:dyDescent="0.25">
      <c r="A204" s="54" t="s">
        <v>338</v>
      </c>
      <c r="B204" s="54" t="s">
        <v>339</v>
      </c>
      <c r="C204" s="31">
        <v>4301031230</v>
      </c>
      <c r="D204" s="559">
        <v>4680115882690</v>
      </c>
      <c r="E204" s="560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112</v>
      </c>
      <c r="L204" s="32" t="s">
        <v>113</v>
      </c>
      <c r="M204" s="33" t="s">
        <v>68</v>
      </c>
      <c r="N204" s="33"/>
      <c r="O204" s="32">
        <v>40</v>
      </c>
      <c r="P204" s="75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60</v>
      </c>
      <c r="Y204" s="550">
        <f t="shared" si="15"/>
        <v>64.800000000000011</v>
      </c>
      <c r="Z204" s="36">
        <f>IFERROR(IF(Y204=0,"",ROUNDUP(Y204/H204,0)*0.00902),"")</f>
        <v>0.10824</v>
      </c>
      <c r="AA204" s="56"/>
      <c r="AB204" s="57"/>
      <c r="AC204" s="245" t="s">
        <v>340</v>
      </c>
      <c r="AG204" s="64"/>
      <c r="AJ204" s="68" t="s">
        <v>83</v>
      </c>
      <c r="AK204" s="68">
        <v>64.8</v>
      </c>
      <c r="BB204" s="246" t="s">
        <v>1</v>
      </c>
      <c r="BM204" s="64">
        <f t="shared" si="16"/>
        <v>62.1111111111111</v>
      </c>
      <c r="BN204" s="64">
        <f t="shared" si="17"/>
        <v>67.08</v>
      </c>
      <c r="BO204" s="64">
        <f t="shared" si="18"/>
        <v>8.4175084175084181E-2</v>
      </c>
      <c r="BP204" s="64">
        <f t="shared" si="19"/>
        <v>9.0909090909090925E-2</v>
      </c>
    </row>
    <row r="205" spans="1:68" ht="27" customHeight="1" x14ac:dyDescent="0.25">
      <c r="A205" s="54" t="s">
        <v>341</v>
      </c>
      <c r="B205" s="54" t="s">
        <v>342</v>
      </c>
      <c r="C205" s="31">
        <v>4301031220</v>
      </c>
      <c r="D205" s="559">
        <v>4680115882669</v>
      </c>
      <c r="E205" s="560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112</v>
      </c>
      <c r="L205" s="32" t="s">
        <v>113</v>
      </c>
      <c r="M205" s="33" t="s">
        <v>68</v>
      </c>
      <c r="N205" s="33"/>
      <c r="O205" s="32">
        <v>40</v>
      </c>
      <c r="P205" s="6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120</v>
      </c>
      <c r="Y205" s="550">
        <f t="shared" si="15"/>
        <v>124.2</v>
      </c>
      <c r="Z205" s="36">
        <f>IFERROR(IF(Y205=0,"",ROUNDUP(Y205/H205,0)*0.00902),"")</f>
        <v>0.20746000000000001</v>
      </c>
      <c r="AA205" s="56"/>
      <c r="AB205" s="57"/>
      <c r="AC205" s="247" t="s">
        <v>343</v>
      </c>
      <c r="AG205" s="64"/>
      <c r="AJ205" s="68" t="s">
        <v>83</v>
      </c>
      <c r="AK205" s="68">
        <v>64.8</v>
      </c>
      <c r="BB205" s="248" t="s">
        <v>1</v>
      </c>
      <c r="BM205" s="64">
        <f t="shared" si="16"/>
        <v>124.2222222222222</v>
      </c>
      <c r="BN205" s="64">
        <f t="shared" si="17"/>
        <v>128.57</v>
      </c>
      <c r="BO205" s="64">
        <f t="shared" si="18"/>
        <v>0.16835016835016836</v>
      </c>
      <c r="BP205" s="64">
        <f t="shared" si="19"/>
        <v>0.17424242424242425</v>
      </c>
    </row>
    <row r="206" spans="1:68" ht="27" customHeight="1" x14ac:dyDescent="0.25">
      <c r="A206" s="54" t="s">
        <v>344</v>
      </c>
      <c r="B206" s="54" t="s">
        <v>345</v>
      </c>
      <c r="C206" s="31">
        <v>4301031221</v>
      </c>
      <c r="D206" s="559">
        <v>4680115882676</v>
      </c>
      <c r="E206" s="560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112</v>
      </c>
      <c r="L206" s="32" t="s">
        <v>113</v>
      </c>
      <c r="M206" s="33" t="s">
        <v>68</v>
      </c>
      <c r="N206" s="33"/>
      <c r="O206" s="32">
        <v>40</v>
      </c>
      <c r="P206" s="75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90</v>
      </c>
      <c r="Y206" s="550">
        <f t="shared" si="15"/>
        <v>91.800000000000011</v>
      </c>
      <c r="Z206" s="36">
        <f>IFERROR(IF(Y206=0,"",ROUNDUP(Y206/H206,0)*0.00902),"")</f>
        <v>0.15334</v>
      </c>
      <c r="AA206" s="56"/>
      <c r="AB206" s="57"/>
      <c r="AC206" s="249" t="s">
        <v>346</v>
      </c>
      <c r="AG206" s="64"/>
      <c r="AJ206" s="68" t="s">
        <v>83</v>
      </c>
      <c r="AK206" s="68">
        <v>64.8</v>
      </c>
      <c r="BB206" s="250" t="s">
        <v>1</v>
      </c>
      <c r="BM206" s="64">
        <f t="shared" si="16"/>
        <v>93.166666666666657</v>
      </c>
      <c r="BN206" s="64">
        <f t="shared" si="17"/>
        <v>95.03</v>
      </c>
      <c r="BO206" s="64">
        <f t="shared" si="18"/>
        <v>0.12626262626262624</v>
      </c>
      <c r="BP206" s="64">
        <f t="shared" si="19"/>
        <v>0.12878787878787878</v>
      </c>
    </row>
    <row r="207" spans="1:68" ht="27" hidden="1" customHeight="1" x14ac:dyDescent="0.25">
      <c r="A207" s="54" t="s">
        <v>347</v>
      </c>
      <c r="B207" s="54" t="s">
        <v>348</v>
      </c>
      <c r="C207" s="31">
        <v>4301031223</v>
      </c>
      <c r="D207" s="559">
        <v>4680115884014</v>
      </c>
      <c r="E207" s="560"/>
      <c r="F207" s="548">
        <v>0.3</v>
      </c>
      <c r="G207" s="32">
        <v>6</v>
      </c>
      <c r="H207" s="548">
        <v>1.8</v>
      </c>
      <c r="I207" s="548">
        <v>1.93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67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0</v>
      </c>
      <c r="Y207" s="550">
        <f t="shared" si="15"/>
        <v>0</v>
      </c>
      <c r="Z207" s="36" t="str">
        <f>IFERROR(IF(Y207=0,"",ROUNDUP(Y207/H207,0)*0.00502),"")</f>
        <v/>
      </c>
      <c r="AA207" s="56"/>
      <c r="AB207" s="57"/>
      <c r="AC207" s="251" t="s">
        <v>337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4301031222</v>
      </c>
      <c r="D208" s="559">
        <v>4680115884007</v>
      </c>
      <c r="E208" s="560"/>
      <c r="F208" s="548">
        <v>0.3</v>
      </c>
      <c r="G208" s="32">
        <v>6</v>
      </c>
      <c r="H208" s="548">
        <v>1.8</v>
      </c>
      <c r="I208" s="548">
        <v>1.9</v>
      </c>
      <c r="J208" s="32">
        <v>234</v>
      </c>
      <c r="K208" s="32" t="s">
        <v>73</v>
      </c>
      <c r="L208" s="32" t="s">
        <v>297</v>
      </c>
      <c r="M208" s="33" t="s">
        <v>68</v>
      </c>
      <c r="N208" s="33"/>
      <c r="O208" s="32">
        <v>40</v>
      </c>
      <c r="P208" s="71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0</v>
      </c>
      <c r="Y208" s="550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340</v>
      </c>
      <c r="AG208" s="64"/>
      <c r="AJ208" s="68" t="s">
        <v>83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4301031229</v>
      </c>
      <c r="D209" s="559">
        <v>4680115884038</v>
      </c>
      <c r="E209" s="560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297</v>
      </c>
      <c r="M209" s="33" t="s">
        <v>68</v>
      </c>
      <c r="N209" s="33"/>
      <c r="O209" s="32">
        <v>40</v>
      </c>
      <c r="P209" s="60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 t="s">
        <v>83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4301031225</v>
      </c>
      <c r="D210" s="559">
        <v>4680115884021</v>
      </c>
      <c r="E210" s="560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 t="s">
        <v>297</v>
      </c>
      <c r="M210" s="33" t="s">
        <v>68</v>
      </c>
      <c r="N210" s="33"/>
      <c r="O210" s="32">
        <v>40</v>
      </c>
      <c r="P210" s="72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346</v>
      </c>
      <c r="AG210" s="64"/>
      <c r="AJ210" s="68" t="s">
        <v>83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x14ac:dyDescent="0.2">
      <c r="A211" s="556"/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8"/>
      <c r="P211" s="565" t="s">
        <v>75</v>
      </c>
      <c r="Q211" s="566"/>
      <c r="R211" s="566"/>
      <c r="S211" s="566"/>
      <c r="T211" s="566"/>
      <c r="U211" s="566"/>
      <c r="V211" s="567"/>
      <c r="W211" s="37" t="s">
        <v>76</v>
      </c>
      <c r="X211" s="551">
        <f>IFERROR(X203/H203,"0")+IFERROR(X204/H204,"0")+IFERROR(X205/H205,"0")+IFERROR(X206/H206,"0")+IFERROR(X207/H207,"0")+IFERROR(X208/H208,"0")+IFERROR(X209/H209,"0")+IFERROR(X210/H210,"0")</f>
        <v>105.55555555555554</v>
      </c>
      <c r="Y211" s="551">
        <f>IFERROR(Y203/H203,"0")+IFERROR(Y204/H204,"0")+IFERROR(Y205/H205,"0")+IFERROR(Y206/H206,"0")+IFERROR(Y207/H207,"0")+IFERROR(Y208/H208,"0")+IFERROR(Y209/H209,"0")+IFERROR(Y210/H210,"0")</f>
        <v>108</v>
      </c>
      <c r="Z211" s="551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0.97416000000000003</v>
      </c>
      <c r="AA211" s="552"/>
      <c r="AB211" s="552"/>
      <c r="AC211" s="552"/>
    </row>
    <row r="212" spans="1:68" x14ac:dyDescent="0.2">
      <c r="A212" s="557"/>
      <c r="B212" s="557"/>
      <c r="C212" s="557"/>
      <c r="D212" s="557"/>
      <c r="E212" s="557"/>
      <c r="F212" s="557"/>
      <c r="G212" s="557"/>
      <c r="H212" s="557"/>
      <c r="I212" s="557"/>
      <c r="J212" s="557"/>
      <c r="K212" s="557"/>
      <c r="L212" s="557"/>
      <c r="M212" s="557"/>
      <c r="N212" s="557"/>
      <c r="O212" s="558"/>
      <c r="P212" s="565" t="s">
        <v>75</v>
      </c>
      <c r="Q212" s="566"/>
      <c r="R212" s="566"/>
      <c r="S212" s="566"/>
      <c r="T212" s="566"/>
      <c r="U212" s="566"/>
      <c r="V212" s="567"/>
      <c r="W212" s="37" t="s">
        <v>69</v>
      </c>
      <c r="X212" s="551">
        <f>IFERROR(SUM(X203:X210),"0")</f>
        <v>570</v>
      </c>
      <c r="Y212" s="551">
        <f>IFERROR(SUM(Y203:Y210),"0")</f>
        <v>583.20000000000005</v>
      </c>
      <c r="Z212" s="37"/>
      <c r="AA212" s="552"/>
      <c r="AB212" s="552"/>
      <c r="AC212" s="552"/>
    </row>
    <row r="213" spans="1:68" ht="14.25" hidden="1" customHeight="1" x14ac:dyDescent="0.25">
      <c r="A213" s="562" t="s">
        <v>77</v>
      </c>
      <c r="B213" s="557"/>
      <c r="C213" s="557"/>
      <c r="D213" s="557"/>
      <c r="E213" s="557"/>
      <c r="F213" s="557"/>
      <c r="G213" s="557"/>
      <c r="H213" s="557"/>
      <c r="I213" s="557"/>
      <c r="J213" s="557"/>
      <c r="K213" s="557"/>
      <c r="L213" s="557"/>
      <c r="M213" s="557"/>
      <c r="N213" s="557"/>
      <c r="O213" s="557"/>
      <c r="P213" s="557"/>
      <c r="Q213" s="557"/>
      <c r="R213" s="557"/>
      <c r="S213" s="557"/>
      <c r="T213" s="557"/>
      <c r="U213" s="557"/>
      <c r="V213" s="557"/>
      <c r="W213" s="557"/>
      <c r="X213" s="557"/>
      <c r="Y213" s="557"/>
      <c r="Z213" s="557"/>
      <c r="AA213" s="544"/>
      <c r="AB213" s="544"/>
      <c r="AC213" s="544"/>
    </row>
    <row r="214" spans="1:68" ht="27" customHeight="1" x14ac:dyDescent="0.25">
      <c r="A214" s="54" t="s">
        <v>355</v>
      </c>
      <c r="B214" s="54" t="s">
        <v>356</v>
      </c>
      <c r="C214" s="31">
        <v>4301051408</v>
      </c>
      <c r="D214" s="559">
        <v>4680115881594</v>
      </c>
      <c r="E214" s="560"/>
      <c r="F214" s="548">
        <v>1.35</v>
      </c>
      <c r="G214" s="32">
        <v>6</v>
      </c>
      <c r="H214" s="548">
        <v>8.1</v>
      </c>
      <c r="I214" s="548">
        <v>8.5939999999999994</v>
      </c>
      <c r="J214" s="32">
        <v>64</v>
      </c>
      <c r="K214" s="32" t="s">
        <v>106</v>
      </c>
      <c r="L214" s="32"/>
      <c r="M214" s="33" t="s">
        <v>81</v>
      </c>
      <c r="N214" s="33"/>
      <c r="O214" s="32">
        <v>40</v>
      </c>
      <c r="P214" s="8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4"/>
      <c r="R214" s="554"/>
      <c r="S214" s="554"/>
      <c r="T214" s="555"/>
      <c r="U214" s="34"/>
      <c r="V214" s="34"/>
      <c r="W214" s="35" t="s">
        <v>69</v>
      </c>
      <c r="X214" s="549">
        <v>25</v>
      </c>
      <c r="Y214" s="550">
        <f t="shared" ref="Y214:Y222" si="20">IFERROR(IF(X214="",0,CEILING((X214/$H214),1)*$H214),"")</f>
        <v>32.4</v>
      </c>
      <c r="Z214" s="36">
        <f>IFERROR(IF(Y214=0,"",ROUNDUP(Y214/H214,0)*0.01898),"")</f>
        <v>7.5920000000000001E-2</v>
      </c>
      <c r="AA214" s="56"/>
      <c r="AB214" s="57"/>
      <c r="AC214" s="259" t="s">
        <v>357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26.524691358024693</v>
      </c>
      <c r="BN214" s="64">
        <f t="shared" ref="BN214:BN222" si="22">IFERROR(Y214*I214/H214,"0")</f>
        <v>34.375999999999998</v>
      </c>
      <c r="BO214" s="64">
        <f t="shared" ref="BO214:BO222" si="23">IFERROR(1/J214*(X214/H214),"0")</f>
        <v>4.8225308641975308E-2</v>
      </c>
      <c r="BP214" s="64">
        <f t="shared" ref="BP214:BP222" si="24">IFERROR(1/J214*(Y214/H214),"0")</f>
        <v>6.25E-2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4301051411</v>
      </c>
      <c r="D215" s="559">
        <v>4680115881617</v>
      </c>
      <c r="E215" s="560"/>
      <c r="F215" s="548">
        <v>1.35</v>
      </c>
      <c r="G215" s="32">
        <v>6</v>
      </c>
      <c r="H215" s="548">
        <v>8.1</v>
      </c>
      <c r="I215" s="548">
        <v>8.5760000000000005</v>
      </c>
      <c r="J215" s="32">
        <v>64</v>
      </c>
      <c r="K215" s="32" t="s">
        <v>106</v>
      </c>
      <c r="L215" s="32"/>
      <c r="M215" s="33" t="s">
        <v>81</v>
      </c>
      <c r="N215" s="33"/>
      <c r="O215" s="32">
        <v>40</v>
      </c>
      <c r="P215" s="58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0</v>
      </c>
      <c r="Y215" s="550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/>
      <c r="AK215" s="68">
        <v>0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4301051656</v>
      </c>
      <c r="D216" s="559">
        <v>4680115880573</v>
      </c>
      <c r="E216" s="560"/>
      <c r="F216" s="548">
        <v>1.45</v>
      </c>
      <c r="G216" s="32">
        <v>6</v>
      </c>
      <c r="H216" s="548">
        <v>8.6999999999999993</v>
      </c>
      <c r="I216" s="548">
        <v>9.1940000000000008</v>
      </c>
      <c r="J216" s="32">
        <v>64</v>
      </c>
      <c r="K216" s="32" t="s">
        <v>106</v>
      </c>
      <c r="L216" s="32" t="s">
        <v>107</v>
      </c>
      <c r="M216" s="33" t="s">
        <v>81</v>
      </c>
      <c r="N216" s="33"/>
      <c r="O216" s="32">
        <v>45</v>
      </c>
      <c r="P216" s="74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363</v>
      </c>
      <c r="AG216" s="64"/>
      <c r="AJ216" s="68" t="s">
        <v>83</v>
      </c>
      <c r="AK216" s="68">
        <v>69.599999999999994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hidden="1" customHeight="1" x14ac:dyDescent="0.25">
      <c r="A217" s="54" t="s">
        <v>364</v>
      </c>
      <c r="B217" s="54" t="s">
        <v>365</v>
      </c>
      <c r="C217" s="31">
        <v>4301051407</v>
      </c>
      <c r="D217" s="559">
        <v>4680115882195</v>
      </c>
      <c r="E217" s="560"/>
      <c r="F217" s="548">
        <v>0.4</v>
      </c>
      <c r="G217" s="32">
        <v>6</v>
      </c>
      <c r="H217" s="548">
        <v>2.4</v>
      </c>
      <c r="I217" s="548">
        <v>2.67</v>
      </c>
      <c r="J217" s="32">
        <v>182</v>
      </c>
      <c r="K217" s="32" t="s">
        <v>67</v>
      </c>
      <c r="L217" s="32" t="s">
        <v>80</v>
      </c>
      <c r="M217" s="33" t="s">
        <v>81</v>
      </c>
      <c r="N217" s="33"/>
      <c r="O217" s="32">
        <v>40</v>
      </c>
      <c r="P217" s="66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0</v>
      </c>
      <c r="Y217" s="550">
        <f t="shared" si="20"/>
        <v>0</v>
      </c>
      <c r="Z217" s="36" t="str">
        <f t="shared" ref="Z217:Z222" si="25">IFERROR(IF(Y217=0,"",ROUNDUP(Y217/H217,0)*0.00651),"")</f>
        <v/>
      </c>
      <c r="AA217" s="56"/>
      <c r="AB217" s="57"/>
      <c r="AC217" s="265" t="s">
        <v>357</v>
      </c>
      <c r="AG217" s="64"/>
      <c r="AJ217" s="68" t="s">
        <v>83</v>
      </c>
      <c r="AK217" s="68">
        <v>33.6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4301051752</v>
      </c>
      <c r="D218" s="559">
        <v>4680115882607</v>
      </c>
      <c r="E218" s="560"/>
      <c r="F218" s="548">
        <v>0.3</v>
      </c>
      <c r="G218" s="32">
        <v>6</v>
      </c>
      <c r="H218" s="548">
        <v>1.8</v>
      </c>
      <c r="I218" s="548">
        <v>2.052</v>
      </c>
      <c r="J218" s="32">
        <v>182</v>
      </c>
      <c r="K218" s="32" t="s">
        <v>67</v>
      </c>
      <c r="L218" s="32"/>
      <c r="M218" s="33" t="s">
        <v>88</v>
      </c>
      <c r="N218" s="33"/>
      <c r="O218" s="32">
        <v>45</v>
      </c>
      <c r="P218" s="86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0</v>
      </c>
      <c r="Y218" s="550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4301051666</v>
      </c>
      <c r="D219" s="559">
        <v>4680115880092</v>
      </c>
      <c r="E219" s="560"/>
      <c r="F219" s="548">
        <v>0.4</v>
      </c>
      <c r="G219" s="32">
        <v>6</v>
      </c>
      <c r="H219" s="548">
        <v>2.4</v>
      </c>
      <c r="I219" s="548">
        <v>2.6520000000000001</v>
      </c>
      <c r="J219" s="32">
        <v>182</v>
      </c>
      <c r="K219" s="32" t="s">
        <v>67</v>
      </c>
      <c r="L219" s="32" t="s">
        <v>80</v>
      </c>
      <c r="M219" s="33" t="s">
        <v>81</v>
      </c>
      <c r="N219" s="33"/>
      <c r="O219" s="32">
        <v>45</v>
      </c>
      <c r="P219" s="72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14.4</v>
      </c>
      <c r="Y219" s="550">
        <f t="shared" si="20"/>
        <v>14.399999999999999</v>
      </c>
      <c r="Z219" s="36">
        <f t="shared" si="25"/>
        <v>3.9059999999999997E-2</v>
      </c>
      <c r="AA219" s="56"/>
      <c r="AB219" s="57"/>
      <c r="AC219" s="269" t="s">
        <v>363</v>
      </c>
      <c r="AG219" s="64"/>
      <c r="AJ219" s="68" t="s">
        <v>83</v>
      </c>
      <c r="AK219" s="68">
        <v>33.6</v>
      </c>
      <c r="BB219" s="270" t="s">
        <v>1</v>
      </c>
      <c r="BM219" s="64">
        <f t="shared" si="21"/>
        <v>15.912000000000001</v>
      </c>
      <c r="BN219" s="64">
        <f t="shared" si="22"/>
        <v>15.912000000000001</v>
      </c>
      <c r="BO219" s="64">
        <f t="shared" si="23"/>
        <v>3.2967032967032968E-2</v>
      </c>
      <c r="BP219" s="64">
        <f t="shared" si="24"/>
        <v>3.2967032967032968E-2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4301051668</v>
      </c>
      <c r="D220" s="559">
        <v>4680115880221</v>
      </c>
      <c r="E220" s="560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/>
      <c r="M220" s="33" t="s">
        <v>81</v>
      </c>
      <c r="N220" s="33"/>
      <c r="O220" s="32">
        <v>45</v>
      </c>
      <c r="P220" s="5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0</v>
      </c>
      <c r="Y220" s="550">
        <f t="shared" si="20"/>
        <v>0</v>
      </c>
      <c r="Z220" s="36" t="str">
        <f t="shared" si="25"/>
        <v/>
      </c>
      <c r="AA220" s="56"/>
      <c r="AB220" s="57"/>
      <c r="AC220" s="271" t="s">
        <v>363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4301051945</v>
      </c>
      <c r="D221" s="559">
        <v>4680115880504</v>
      </c>
      <c r="E221" s="560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80</v>
      </c>
      <c r="M221" s="33" t="s">
        <v>88</v>
      </c>
      <c r="N221" s="33"/>
      <c r="O221" s="32">
        <v>40</v>
      </c>
      <c r="P221" s="5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374</v>
      </c>
      <c r="AG221" s="64"/>
      <c r="AJ221" s="68" t="s">
        <v>83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375</v>
      </c>
      <c r="B222" s="54" t="s">
        <v>376</v>
      </c>
      <c r="C222" s="31">
        <v>4301051410</v>
      </c>
      <c r="D222" s="559">
        <v>4680115882164</v>
      </c>
      <c r="E222" s="560"/>
      <c r="F222" s="548">
        <v>0.4</v>
      </c>
      <c r="G222" s="32">
        <v>6</v>
      </c>
      <c r="H222" s="548">
        <v>2.4</v>
      </c>
      <c r="I222" s="548">
        <v>2.6579999999999999</v>
      </c>
      <c r="J222" s="32">
        <v>182</v>
      </c>
      <c r="K222" s="32" t="s">
        <v>67</v>
      </c>
      <c r="L222" s="32" t="s">
        <v>80</v>
      </c>
      <c r="M222" s="33" t="s">
        <v>81</v>
      </c>
      <c r="N222" s="33"/>
      <c r="O222" s="32">
        <v>40</v>
      </c>
      <c r="P222" s="7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0</v>
      </c>
      <c r="Y222" s="550">
        <f t="shared" si="20"/>
        <v>0</v>
      </c>
      <c r="Z222" s="36" t="str">
        <f t="shared" si="25"/>
        <v/>
      </c>
      <c r="AA222" s="56"/>
      <c r="AB222" s="57"/>
      <c r="AC222" s="275" t="s">
        <v>360</v>
      </c>
      <c r="AG222" s="64"/>
      <c r="AJ222" s="68" t="s">
        <v>83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x14ac:dyDescent="0.2">
      <c r="A223" s="556"/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8"/>
      <c r="P223" s="565" t="s">
        <v>75</v>
      </c>
      <c r="Q223" s="566"/>
      <c r="R223" s="566"/>
      <c r="S223" s="566"/>
      <c r="T223" s="566"/>
      <c r="U223" s="566"/>
      <c r="V223" s="567"/>
      <c r="W223" s="37" t="s">
        <v>76</v>
      </c>
      <c r="X223" s="551">
        <f>IFERROR(X214/H214,"0")+IFERROR(X215/H215,"0")+IFERROR(X216/H216,"0")+IFERROR(X217/H217,"0")+IFERROR(X218/H218,"0")+IFERROR(X219/H219,"0")+IFERROR(X220/H220,"0")+IFERROR(X221/H221,"0")+IFERROR(X222/H222,"0")</f>
        <v>9.0864197530864192</v>
      </c>
      <c r="Y223" s="551">
        <f>IFERROR(Y214/H214,"0")+IFERROR(Y215/H215,"0")+IFERROR(Y216/H216,"0")+IFERROR(Y217/H217,"0")+IFERROR(Y218/H218,"0")+IFERROR(Y219/H219,"0")+IFERROR(Y220/H220,"0")+IFERROR(Y221/H221,"0")+IFERROR(Y222/H222,"0")</f>
        <v>10</v>
      </c>
      <c r="Z223" s="551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0.11498</v>
      </c>
      <c r="AA223" s="552"/>
      <c r="AB223" s="552"/>
      <c r="AC223" s="552"/>
    </row>
    <row r="224" spans="1:68" x14ac:dyDescent="0.2">
      <c r="A224" s="557"/>
      <c r="B224" s="557"/>
      <c r="C224" s="557"/>
      <c r="D224" s="557"/>
      <c r="E224" s="557"/>
      <c r="F224" s="557"/>
      <c r="G224" s="557"/>
      <c r="H224" s="557"/>
      <c r="I224" s="557"/>
      <c r="J224" s="557"/>
      <c r="K224" s="557"/>
      <c r="L224" s="557"/>
      <c r="M224" s="557"/>
      <c r="N224" s="557"/>
      <c r="O224" s="558"/>
      <c r="P224" s="565" t="s">
        <v>75</v>
      </c>
      <c r="Q224" s="566"/>
      <c r="R224" s="566"/>
      <c r="S224" s="566"/>
      <c r="T224" s="566"/>
      <c r="U224" s="566"/>
      <c r="V224" s="567"/>
      <c r="W224" s="37" t="s">
        <v>69</v>
      </c>
      <c r="X224" s="551">
        <f>IFERROR(SUM(X214:X222),"0")</f>
        <v>39.4</v>
      </c>
      <c r="Y224" s="551">
        <f>IFERROR(SUM(Y214:Y222),"0")</f>
        <v>46.8</v>
      </c>
      <c r="Z224" s="37"/>
      <c r="AA224" s="552"/>
      <c r="AB224" s="552"/>
      <c r="AC224" s="552"/>
    </row>
    <row r="225" spans="1:68" ht="14.25" hidden="1" customHeight="1" x14ac:dyDescent="0.25">
      <c r="A225" s="562" t="s">
        <v>163</v>
      </c>
      <c r="B225" s="557"/>
      <c r="C225" s="557"/>
      <c r="D225" s="557"/>
      <c r="E225" s="557"/>
      <c r="F225" s="557"/>
      <c r="G225" s="557"/>
      <c r="H225" s="557"/>
      <c r="I225" s="557"/>
      <c r="J225" s="557"/>
      <c r="K225" s="557"/>
      <c r="L225" s="557"/>
      <c r="M225" s="557"/>
      <c r="N225" s="557"/>
      <c r="O225" s="557"/>
      <c r="P225" s="557"/>
      <c r="Q225" s="557"/>
      <c r="R225" s="557"/>
      <c r="S225" s="557"/>
      <c r="T225" s="557"/>
      <c r="U225" s="557"/>
      <c r="V225" s="557"/>
      <c r="W225" s="557"/>
      <c r="X225" s="557"/>
      <c r="Y225" s="557"/>
      <c r="Z225" s="557"/>
      <c r="AA225" s="544"/>
      <c r="AB225" s="544"/>
      <c r="AC225" s="544"/>
    </row>
    <row r="226" spans="1:68" ht="27" hidden="1" customHeight="1" x14ac:dyDescent="0.25">
      <c r="A226" s="54" t="s">
        <v>377</v>
      </c>
      <c r="B226" s="54" t="s">
        <v>378</v>
      </c>
      <c r="C226" s="31">
        <v>4301060463</v>
      </c>
      <c r="D226" s="559">
        <v>4680115880818</v>
      </c>
      <c r="E226" s="560"/>
      <c r="F226" s="548">
        <v>0.4</v>
      </c>
      <c r="G226" s="32">
        <v>6</v>
      </c>
      <c r="H226" s="548">
        <v>2.4</v>
      </c>
      <c r="I226" s="548">
        <v>2.6520000000000001</v>
      </c>
      <c r="J226" s="32">
        <v>182</v>
      </c>
      <c r="K226" s="32" t="s">
        <v>67</v>
      </c>
      <c r="L226" s="32" t="s">
        <v>80</v>
      </c>
      <c r="M226" s="33" t="s">
        <v>88</v>
      </c>
      <c r="N226" s="33"/>
      <c r="O226" s="32">
        <v>40</v>
      </c>
      <c r="P226" s="79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4"/>
      <c r="R226" s="554"/>
      <c r="S226" s="554"/>
      <c r="T226" s="555"/>
      <c r="U226" s="34"/>
      <c r="V226" s="34"/>
      <c r="W226" s="35" t="s">
        <v>69</v>
      </c>
      <c r="X226" s="549">
        <v>0</v>
      </c>
      <c r="Y226" s="550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379</v>
      </c>
      <c r="AG226" s="64"/>
      <c r="AJ226" s="68" t="s">
        <v>83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380</v>
      </c>
      <c r="B227" s="54" t="s">
        <v>381</v>
      </c>
      <c r="C227" s="31">
        <v>4301060389</v>
      </c>
      <c r="D227" s="559">
        <v>4680115880801</v>
      </c>
      <c r="E227" s="560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 t="s">
        <v>80</v>
      </c>
      <c r="M227" s="33" t="s">
        <v>81</v>
      </c>
      <c r="N227" s="33"/>
      <c r="O227" s="32">
        <v>40</v>
      </c>
      <c r="P227" s="7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382</v>
      </c>
      <c r="AG227" s="64"/>
      <c r="AJ227" s="68" t="s">
        <v>83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56"/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8"/>
      <c r="P228" s="565" t="s">
        <v>75</v>
      </c>
      <c r="Q228" s="566"/>
      <c r="R228" s="566"/>
      <c r="S228" s="566"/>
      <c r="T228" s="566"/>
      <c r="U228" s="566"/>
      <c r="V228" s="567"/>
      <c r="W228" s="37" t="s">
        <v>76</v>
      </c>
      <c r="X228" s="551">
        <f>IFERROR(X226/H226,"0")+IFERROR(X227/H227,"0")</f>
        <v>0</v>
      </c>
      <c r="Y228" s="551">
        <f>IFERROR(Y226/H226,"0")+IFERROR(Y227/H227,"0")</f>
        <v>0</v>
      </c>
      <c r="Z228" s="551">
        <f>IFERROR(IF(Z226="",0,Z226),"0")+IFERROR(IF(Z227="",0,Z227),"0")</f>
        <v>0</v>
      </c>
      <c r="AA228" s="552"/>
      <c r="AB228" s="552"/>
      <c r="AC228" s="552"/>
    </row>
    <row r="229" spans="1:68" hidden="1" x14ac:dyDescent="0.2">
      <c r="A229" s="557"/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8"/>
      <c r="P229" s="565" t="s">
        <v>75</v>
      </c>
      <c r="Q229" s="566"/>
      <c r="R229" s="566"/>
      <c r="S229" s="566"/>
      <c r="T229" s="566"/>
      <c r="U229" s="566"/>
      <c r="V229" s="567"/>
      <c r="W229" s="37" t="s">
        <v>69</v>
      </c>
      <c r="X229" s="551">
        <f>IFERROR(SUM(X226:X227),"0")</f>
        <v>0</v>
      </c>
      <c r="Y229" s="551">
        <f>IFERROR(SUM(Y226:Y227),"0")</f>
        <v>0</v>
      </c>
      <c r="Z229" s="37"/>
      <c r="AA229" s="552"/>
      <c r="AB229" s="552"/>
      <c r="AC229" s="552"/>
    </row>
    <row r="230" spans="1:68" ht="16.5" hidden="1" customHeight="1" x14ac:dyDescent="0.25">
      <c r="A230" s="570" t="s">
        <v>383</v>
      </c>
      <c r="B230" s="557"/>
      <c r="C230" s="557"/>
      <c r="D230" s="557"/>
      <c r="E230" s="557"/>
      <c r="F230" s="557"/>
      <c r="G230" s="557"/>
      <c r="H230" s="557"/>
      <c r="I230" s="557"/>
      <c r="J230" s="557"/>
      <c r="K230" s="557"/>
      <c r="L230" s="557"/>
      <c r="M230" s="557"/>
      <c r="N230" s="557"/>
      <c r="O230" s="557"/>
      <c r="P230" s="557"/>
      <c r="Q230" s="557"/>
      <c r="R230" s="557"/>
      <c r="S230" s="557"/>
      <c r="T230" s="557"/>
      <c r="U230" s="557"/>
      <c r="V230" s="557"/>
      <c r="W230" s="557"/>
      <c r="X230" s="557"/>
      <c r="Y230" s="557"/>
      <c r="Z230" s="557"/>
      <c r="AA230" s="543"/>
      <c r="AB230" s="543"/>
      <c r="AC230" s="543"/>
    </row>
    <row r="231" spans="1:68" ht="14.25" hidden="1" customHeight="1" x14ac:dyDescent="0.25">
      <c r="A231" s="562" t="s">
        <v>103</v>
      </c>
      <c r="B231" s="557"/>
      <c r="C231" s="557"/>
      <c r="D231" s="557"/>
      <c r="E231" s="557"/>
      <c r="F231" s="557"/>
      <c r="G231" s="557"/>
      <c r="H231" s="557"/>
      <c r="I231" s="557"/>
      <c r="J231" s="557"/>
      <c r="K231" s="557"/>
      <c r="L231" s="557"/>
      <c r="M231" s="557"/>
      <c r="N231" s="557"/>
      <c r="O231" s="557"/>
      <c r="P231" s="557"/>
      <c r="Q231" s="557"/>
      <c r="R231" s="557"/>
      <c r="S231" s="557"/>
      <c r="T231" s="557"/>
      <c r="U231" s="557"/>
      <c r="V231" s="557"/>
      <c r="W231" s="557"/>
      <c r="X231" s="557"/>
      <c r="Y231" s="557"/>
      <c r="Z231" s="557"/>
      <c r="AA231" s="544"/>
      <c r="AB231" s="544"/>
      <c r="AC231" s="544"/>
    </row>
    <row r="232" spans="1:68" ht="27" hidden="1" customHeight="1" x14ac:dyDescent="0.25">
      <c r="A232" s="54" t="s">
        <v>384</v>
      </c>
      <c r="B232" s="54" t="s">
        <v>385</v>
      </c>
      <c r="C232" s="31">
        <v>4301011826</v>
      </c>
      <c r="D232" s="559">
        <v>4680115884137</v>
      </c>
      <c r="E232" s="560"/>
      <c r="F232" s="548">
        <v>1.45</v>
      </c>
      <c r="G232" s="32">
        <v>8</v>
      </c>
      <c r="H232" s="548">
        <v>11.6</v>
      </c>
      <c r="I232" s="548">
        <v>12.01</v>
      </c>
      <c r="J232" s="32">
        <v>64</v>
      </c>
      <c r="K232" s="32" t="s">
        <v>106</v>
      </c>
      <c r="L232" s="32"/>
      <c r="M232" s="33" t="s">
        <v>108</v>
      </c>
      <c r="N232" s="33"/>
      <c r="O232" s="32">
        <v>55</v>
      </c>
      <c r="P232" s="66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4"/>
      <c r="R232" s="554"/>
      <c r="S232" s="554"/>
      <c r="T232" s="555"/>
      <c r="U232" s="34"/>
      <c r="V232" s="34"/>
      <c r="W232" s="35" t="s">
        <v>69</v>
      </c>
      <c r="X232" s="549">
        <v>0</v>
      </c>
      <c r="Y232" s="550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/>
      <c r="AK232" s="68">
        <v>0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hidden="1" customHeight="1" x14ac:dyDescent="0.25">
      <c r="A233" s="54" t="s">
        <v>387</v>
      </c>
      <c r="B233" s="54" t="s">
        <v>388</v>
      </c>
      <c r="C233" s="31">
        <v>4301011724</v>
      </c>
      <c r="D233" s="559">
        <v>4680115884236</v>
      </c>
      <c r="E233" s="560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106</v>
      </c>
      <c r="L233" s="32"/>
      <c r="M233" s="33" t="s">
        <v>108</v>
      </c>
      <c r="N233" s="33"/>
      <c r="O233" s="32">
        <v>55</v>
      </c>
      <c r="P233" s="75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0</v>
      </c>
      <c r="Y233" s="550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hidden="1" customHeight="1" x14ac:dyDescent="0.25">
      <c r="A234" s="54" t="s">
        <v>390</v>
      </c>
      <c r="B234" s="54" t="s">
        <v>391</v>
      </c>
      <c r="C234" s="31">
        <v>4301011721</v>
      </c>
      <c r="D234" s="559">
        <v>4680115884175</v>
      </c>
      <c r="E234" s="560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5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4301012196</v>
      </c>
      <c r="D235" s="559">
        <v>4680115884144</v>
      </c>
      <c r="E235" s="560"/>
      <c r="F235" s="548">
        <v>0.4</v>
      </c>
      <c r="G235" s="32">
        <v>10</v>
      </c>
      <c r="H235" s="548">
        <v>4</v>
      </c>
      <c r="I235" s="548">
        <v>4.1900000000000004</v>
      </c>
      <c r="J235" s="32">
        <v>132</v>
      </c>
      <c r="K235" s="32" t="s">
        <v>112</v>
      </c>
      <c r="L235" s="32"/>
      <c r="M235" s="33" t="s">
        <v>108</v>
      </c>
      <c r="N235" s="33"/>
      <c r="O235" s="32">
        <v>55</v>
      </c>
      <c r="P235" s="69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393</v>
      </c>
      <c r="B236" s="54" t="s">
        <v>395</v>
      </c>
      <c r="C236" s="31">
        <v>4301011824</v>
      </c>
      <c r="D236" s="559">
        <v>4680115884144</v>
      </c>
      <c r="E236" s="560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112</v>
      </c>
      <c r="L236" s="32"/>
      <c r="M236" s="33" t="s">
        <v>108</v>
      </c>
      <c r="N236" s="33"/>
      <c r="O236" s="32">
        <v>55</v>
      </c>
      <c r="P236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396</v>
      </c>
      <c r="B237" s="54" t="s">
        <v>397</v>
      </c>
      <c r="C237" s="31">
        <v>4301012149</v>
      </c>
      <c r="D237" s="559">
        <v>4680115886551</v>
      </c>
      <c r="E237" s="560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112</v>
      </c>
      <c r="L237" s="32"/>
      <c r="M237" s="33" t="s">
        <v>108</v>
      </c>
      <c r="N237" s="33"/>
      <c r="O237" s="32">
        <v>55</v>
      </c>
      <c r="P237" s="6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399</v>
      </c>
      <c r="B238" s="54" t="s">
        <v>400</v>
      </c>
      <c r="C238" s="31">
        <v>4301012228</v>
      </c>
      <c r="D238" s="559">
        <v>4680115887282</v>
      </c>
      <c r="E238" s="560"/>
      <c r="F238" s="548">
        <v>0.4</v>
      </c>
      <c r="G238" s="32">
        <v>6</v>
      </c>
      <c r="H238" s="548">
        <v>2.4</v>
      </c>
      <c r="I238" s="548">
        <v>2.58</v>
      </c>
      <c r="J238" s="32">
        <v>182</v>
      </c>
      <c r="K238" s="32" t="s">
        <v>67</v>
      </c>
      <c r="L238" s="32"/>
      <c r="M238" s="33" t="s">
        <v>108</v>
      </c>
      <c r="N238" s="33"/>
      <c r="O238" s="32">
        <v>55</v>
      </c>
      <c r="P238" s="75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401</v>
      </c>
      <c r="B239" s="54" t="s">
        <v>402</v>
      </c>
      <c r="C239" s="31">
        <v>4301012195</v>
      </c>
      <c r="D239" s="559">
        <v>4680115884205</v>
      </c>
      <c r="E239" s="560"/>
      <c r="F239" s="548">
        <v>0.4</v>
      </c>
      <c r="G239" s="32">
        <v>10</v>
      </c>
      <c r="H239" s="548">
        <v>4</v>
      </c>
      <c r="I239" s="548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1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392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403</v>
      </c>
      <c r="C240" s="31">
        <v>4301011722</v>
      </c>
      <c r="D240" s="559">
        <v>4680115884205</v>
      </c>
      <c r="E240" s="560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112</v>
      </c>
      <c r="L240" s="32" t="s">
        <v>113</v>
      </c>
      <c r="M240" s="33" t="s">
        <v>108</v>
      </c>
      <c r="N240" s="33"/>
      <c r="O240" s="32">
        <v>55</v>
      </c>
      <c r="P240" s="63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 t="s">
        <v>83</v>
      </c>
      <c r="AK240" s="68">
        <v>48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idden="1" x14ac:dyDescent="0.2">
      <c r="A241" s="556"/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8"/>
      <c r="P241" s="565" t="s">
        <v>75</v>
      </c>
      <c r="Q241" s="566"/>
      <c r="R241" s="566"/>
      <c r="S241" s="566"/>
      <c r="T241" s="566"/>
      <c r="U241" s="566"/>
      <c r="V241" s="567"/>
      <c r="W241" s="37" t="s">
        <v>76</v>
      </c>
      <c r="X241" s="551">
        <f>IFERROR(X232/H232,"0")+IFERROR(X233/H233,"0")+IFERROR(X234/H234,"0")+IFERROR(X235/H235,"0")+IFERROR(X236/H236,"0")+IFERROR(X237/H237,"0")+IFERROR(X238/H238,"0")+IFERROR(X239/H239,"0")+IFERROR(X240/H240,"0")</f>
        <v>0</v>
      </c>
      <c r="Y241" s="551">
        <f>IFERROR(Y232/H232,"0")+IFERROR(Y233/H233,"0")+IFERROR(Y234/H234,"0")+IFERROR(Y235/H235,"0")+IFERROR(Y236/H236,"0")+IFERROR(Y237/H237,"0")+IFERROR(Y238/H238,"0")+IFERROR(Y239/H239,"0")+IFERROR(Y240/H240,"0")</f>
        <v>0</v>
      </c>
      <c r="Z241" s="551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2"/>
      <c r="AB241" s="552"/>
      <c r="AC241" s="552"/>
    </row>
    <row r="242" spans="1:68" hidden="1" x14ac:dyDescent="0.2">
      <c r="A242" s="557"/>
      <c r="B242" s="557"/>
      <c r="C242" s="557"/>
      <c r="D242" s="557"/>
      <c r="E242" s="557"/>
      <c r="F242" s="557"/>
      <c r="G242" s="557"/>
      <c r="H242" s="557"/>
      <c r="I242" s="557"/>
      <c r="J242" s="557"/>
      <c r="K242" s="557"/>
      <c r="L242" s="557"/>
      <c r="M242" s="557"/>
      <c r="N242" s="557"/>
      <c r="O242" s="558"/>
      <c r="P242" s="565" t="s">
        <v>75</v>
      </c>
      <c r="Q242" s="566"/>
      <c r="R242" s="566"/>
      <c r="S242" s="566"/>
      <c r="T242" s="566"/>
      <c r="U242" s="566"/>
      <c r="V242" s="567"/>
      <c r="W242" s="37" t="s">
        <v>69</v>
      </c>
      <c r="X242" s="551">
        <f>IFERROR(SUM(X232:X240),"0")</f>
        <v>0</v>
      </c>
      <c r="Y242" s="551">
        <f>IFERROR(SUM(Y232:Y240),"0")</f>
        <v>0</v>
      </c>
      <c r="Z242" s="37"/>
      <c r="AA242" s="552"/>
      <c r="AB242" s="552"/>
      <c r="AC242" s="552"/>
    </row>
    <row r="243" spans="1:68" ht="14.25" hidden="1" customHeight="1" x14ac:dyDescent="0.25">
      <c r="A243" s="562" t="s">
        <v>138</v>
      </c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57"/>
      <c r="P243" s="557"/>
      <c r="Q243" s="557"/>
      <c r="R243" s="557"/>
      <c r="S243" s="557"/>
      <c r="T243" s="557"/>
      <c r="U243" s="557"/>
      <c r="V243" s="557"/>
      <c r="W243" s="557"/>
      <c r="X243" s="557"/>
      <c r="Y243" s="557"/>
      <c r="Z243" s="557"/>
      <c r="AA243" s="544"/>
      <c r="AB243" s="544"/>
      <c r="AC243" s="544"/>
    </row>
    <row r="244" spans="1:68" ht="27" hidden="1" customHeight="1" x14ac:dyDescent="0.25">
      <c r="A244" s="54" t="s">
        <v>404</v>
      </c>
      <c r="B244" s="54" t="s">
        <v>405</v>
      </c>
      <c r="C244" s="31">
        <v>4301020377</v>
      </c>
      <c r="D244" s="559">
        <v>4680115885981</v>
      </c>
      <c r="E244" s="560"/>
      <c r="F244" s="548">
        <v>0.33</v>
      </c>
      <c r="G244" s="32">
        <v>6</v>
      </c>
      <c r="H244" s="548">
        <v>1.98</v>
      </c>
      <c r="I244" s="548">
        <v>2.08</v>
      </c>
      <c r="J244" s="32">
        <v>234</v>
      </c>
      <c r="K244" s="32" t="s">
        <v>73</v>
      </c>
      <c r="L244" s="32"/>
      <c r="M244" s="33" t="s">
        <v>81</v>
      </c>
      <c r="N244" s="33"/>
      <c r="O244" s="32">
        <v>50</v>
      </c>
      <c r="P244" s="58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4"/>
      <c r="R244" s="554"/>
      <c r="S244" s="554"/>
      <c r="T244" s="555"/>
      <c r="U244" s="34"/>
      <c r="V244" s="34"/>
      <c r="W244" s="35" t="s">
        <v>69</v>
      </c>
      <c r="X244" s="549">
        <v>0</v>
      </c>
      <c r="Y244" s="550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56"/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8"/>
      <c r="P245" s="565" t="s">
        <v>75</v>
      </c>
      <c r="Q245" s="566"/>
      <c r="R245" s="566"/>
      <c r="S245" s="566"/>
      <c r="T245" s="566"/>
      <c r="U245" s="566"/>
      <c r="V245" s="567"/>
      <c r="W245" s="37" t="s">
        <v>76</v>
      </c>
      <c r="X245" s="551">
        <f>IFERROR(X244/H244,"0")</f>
        <v>0</v>
      </c>
      <c r="Y245" s="551">
        <f>IFERROR(Y244/H244,"0")</f>
        <v>0</v>
      </c>
      <c r="Z245" s="551">
        <f>IFERROR(IF(Z244="",0,Z244),"0")</f>
        <v>0</v>
      </c>
      <c r="AA245" s="552"/>
      <c r="AB245" s="552"/>
      <c r="AC245" s="552"/>
    </row>
    <row r="246" spans="1:68" hidden="1" x14ac:dyDescent="0.2">
      <c r="A246" s="557"/>
      <c r="B246" s="557"/>
      <c r="C246" s="557"/>
      <c r="D246" s="557"/>
      <c r="E246" s="557"/>
      <c r="F246" s="557"/>
      <c r="G246" s="557"/>
      <c r="H246" s="557"/>
      <c r="I246" s="557"/>
      <c r="J246" s="557"/>
      <c r="K246" s="557"/>
      <c r="L246" s="557"/>
      <c r="M246" s="557"/>
      <c r="N246" s="557"/>
      <c r="O246" s="558"/>
      <c r="P246" s="565" t="s">
        <v>75</v>
      </c>
      <c r="Q246" s="566"/>
      <c r="R246" s="566"/>
      <c r="S246" s="566"/>
      <c r="T246" s="566"/>
      <c r="U246" s="566"/>
      <c r="V246" s="567"/>
      <c r="W246" s="37" t="s">
        <v>69</v>
      </c>
      <c r="X246" s="551">
        <f>IFERROR(SUM(X244:X244),"0")</f>
        <v>0</v>
      </c>
      <c r="Y246" s="551">
        <f>IFERROR(SUM(Y244:Y244),"0")</f>
        <v>0</v>
      </c>
      <c r="Z246" s="37"/>
      <c r="AA246" s="552"/>
      <c r="AB246" s="552"/>
      <c r="AC246" s="552"/>
    </row>
    <row r="247" spans="1:68" ht="14.25" hidden="1" customHeight="1" x14ac:dyDescent="0.25">
      <c r="A247" s="562" t="s">
        <v>407</v>
      </c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57"/>
      <c r="P247" s="557"/>
      <c r="Q247" s="557"/>
      <c r="R247" s="557"/>
      <c r="S247" s="557"/>
      <c r="T247" s="557"/>
      <c r="U247" s="557"/>
      <c r="V247" s="557"/>
      <c r="W247" s="557"/>
      <c r="X247" s="557"/>
      <c r="Y247" s="557"/>
      <c r="Z247" s="557"/>
      <c r="AA247" s="544"/>
      <c r="AB247" s="544"/>
      <c r="AC247" s="544"/>
    </row>
    <row r="248" spans="1:68" ht="27" hidden="1" customHeight="1" x14ac:dyDescent="0.25">
      <c r="A248" s="54" t="s">
        <v>408</v>
      </c>
      <c r="B248" s="54" t="s">
        <v>409</v>
      </c>
      <c r="C248" s="31">
        <v>4301040362</v>
      </c>
      <c r="D248" s="559">
        <v>4680115886803</v>
      </c>
      <c r="E248" s="560"/>
      <c r="F248" s="548">
        <v>0.12</v>
      </c>
      <c r="G248" s="32">
        <v>15</v>
      </c>
      <c r="H248" s="548">
        <v>1.8</v>
      </c>
      <c r="I248" s="548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69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4"/>
      <c r="R248" s="554"/>
      <c r="S248" s="554"/>
      <c r="T248" s="555"/>
      <c r="U248" s="34"/>
      <c r="V248" s="34"/>
      <c r="W248" s="35" t="s">
        <v>69</v>
      </c>
      <c r="X248" s="549">
        <v>0</v>
      </c>
      <c r="Y248" s="55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56"/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8"/>
      <c r="P249" s="565" t="s">
        <v>75</v>
      </c>
      <c r="Q249" s="566"/>
      <c r="R249" s="566"/>
      <c r="S249" s="566"/>
      <c r="T249" s="566"/>
      <c r="U249" s="566"/>
      <c r="V249" s="567"/>
      <c r="W249" s="37" t="s">
        <v>76</v>
      </c>
      <c r="X249" s="551">
        <f>IFERROR(X248/H248,"0")</f>
        <v>0</v>
      </c>
      <c r="Y249" s="551">
        <f>IFERROR(Y248/H248,"0")</f>
        <v>0</v>
      </c>
      <c r="Z249" s="551">
        <f>IFERROR(IF(Z248="",0,Z248),"0")</f>
        <v>0</v>
      </c>
      <c r="AA249" s="552"/>
      <c r="AB249" s="552"/>
      <c r="AC249" s="552"/>
    </row>
    <row r="250" spans="1:68" hidden="1" x14ac:dyDescent="0.2">
      <c r="A250" s="557"/>
      <c r="B250" s="557"/>
      <c r="C250" s="557"/>
      <c r="D250" s="557"/>
      <c r="E250" s="557"/>
      <c r="F250" s="557"/>
      <c r="G250" s="557"/>
      <c r="H250" s="557"/>
      <c r="I250" s="557"/>
      <c r="J250" s="557"/>
      <c r="K250" s="557"/>
      <c r="L250" s="557"/>
      <c r="M250" s="557"/>
      <c r="N250" s="557"/>
      <c r="O250" s="558"/>
      <c r="P250" s="565" t="s">
        <v>75</v>
      </c>
      <c r="Q250" s="566"/>
      <c r="R250" s="566"/>
      <c r="S250" s="566"/>
      <c r="T250" s="566"/>
      <c r="U250" s="566"/>
      <c r="V250" s="567"/>
      <c r="W250" s="37" t="s">
        <v>69</v>
      </c>
      <c r="X250" s="551">
        <f>IFERROR(SUM(X248:X248),"0")</f>
        <v>0</v>
      </c>
      <c r="Y250" s="551">
        <f>IFERROR(SUM(Y248:Y248),"0")</f>
        <v>0</v>
      </c>
      <c r="Z250" s="37"/>
      <c r="AA250" s="552"/>
      <c r="AB250" s="552"/>
      <c r="AC250" s="552"/>
    </row>
    <row r="251" spans="1:68" ht="14.25" hidden="1" customHeight="1" x14ac:dyDescent="0.25">
      <c r="A251" s="562" t="s">
        <v>411</v>
      </c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57"/>
      <c r="P251" s="557"/>
      <c r="Q251" s="557"/>
      <c r="R251" s="557"/>
      <c r="S251" s="557"/>
      <c r="T251" s="557"/>
      <c r="U251" s="557"/>
      <c r="V251" s="557"/>
      <c r="W251" s="557"/>
      <c r="X251" s="557"/>
      <c r="Y251" s="557"/>
      <c r="Z251" s="557"/>
      <c r="AA251" s="544"/>
      <c r="AB251" s="544"/>
      <c r="AC251" s="544"/>
    </row>
    <row r="252" spans="1:68" ht="27" hidden="1" customHeight="1" x14ac:dyDescent="0.25">
      <c r="A252" s="54" t="s">
        <v>412</v>
      </c>
      <c r="B252" s="54" t="s">
        <v>413</v>
      </c>
      <c r="C252" s="31">
        <v>4301041004</v>
      </c>
      <c r="D252" s="559">
        <v>4680115886704</v>
      </c>
      <c r="E252" s="560"/>
      <c r="F252" s="548">
        <v>5.5E-2</v>
      </c>
      <c r="G252" s="32">
        <v>18</v>
      </c>
      <c r="H252" s="548">
        <v>0.99</v>
      </c>
      <c r="I252" s="548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6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4"/>
      <c r="R252" s="554"/>
      <c r="S252" s="554"/>
      <c r="T252" s="555"/>
      <c r="U252" s="34"/>
      <c r="V252" s="34"/>
      <c r="W252" s="35" t="s">
        <v>69</v>
      </c>
      <c r="X252" s="549">
        <v>0</v>
      </c>
      <c r="Y252" s="550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415</v>
      </c>
      <c r="B253" s="54" t="s">
        <v>416</v>
      </c>
      <c r="C253" s="31">
        <v>4301041008</v>
      </c>
      <c r="D253" s="559">
        <v>4680115886681</v>
      </c>
      <c r="E253" s="560"/>
      <c r="F253" s="548">
        <v>0.12</v>
      </c>
      <c r="G253" s="32">
        <v>15</v>
      </c>
      <c r="H253" s="548">
        <v>1.8</v>
      </c>
      <c r="I253" s="548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84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417</v>
      </c>
      <c r="B254" s="54" t="s">
        <v>418</v>
      </c>
      <c r="C254" s="31">
        <v>4301041007</v>
      </c>
      <c r="D254" s="559">
        <v>4680115886735</v>
      </c>
      <c r="E254" s="560"/>
      <c r="F254" s="548">
        <v>0.05</v>
      </c>
      <c r="G254" s="32">
        <v>18</v>
      </c>
      <c r="H254" s="548">
        <v>0.9</v>
      </c>
      <c r="I254" s="548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7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419</v>
      </c>
      <c r="B255" s="54" t="s">
        <v>420</v>
      </c>
      <c r="C255" s="31">
        <v>4301041006</v>
      </c>
      <c r="D255" s="559">
        <v>4680115886728</v>
      </c>
      <c r="E255" s="560"/>
      <c r="F255" s="548">
        <v>5.5E-2</v>
      </c>
      <c r="G255" s="32">
        <v>18</v>
      </c>
      <c r="H255" s="548">
        <v>0.99</v>
      </c>
      <c r="I255" s="548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64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421</v>
      </c>
      <c r="B256" s="54" t="s">
        <v>422</v>
      </c>
      <c r="C256" s="31">
        <v>4301041005</v>
      </c>
      <c r="D256" s="559">
        <v>4680115886711</v>
      </c>
      <c r="E256" s="560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7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56"/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8"/>
      <c r="P257" s="565" t="s">
        <v>75</v>
      </c>
      <c r="Q257" s="566"/>
      <c r="R257" s="566"/>
      <c r="S257" s="566"/>
      <c r="T257" s="566"/>
      <c r="U257" s="566"/>
      <c r="V257" s="567"/>
      <c r="W257" s="37" t="s">
        <v>76</v>
      </c>
      <c r="X257" s="551">
        <f>IFERROR(X252/H252,"0")+IFERROR(X253/H253,"0")+IFERROR(X254/H254,"0")+IFERROR(X255/H255,"0")+IFERROR(X256/H256,"0")</f>
        <v>0</v>
      </c>
      <c r="Y257" s="551">
        <f>IFERROR(Y252/H252,"0")+IFERROR(Y253/H253,"0")+IFERROR(Y254/H254,"0")+IFERROR(Y255/H255,"0")+IFERROR(Y256/H256,"0")</f>
        <v>0</v>
      </c>
      <c r="Z257" s="551">
        <f>IFERROR(IF(Z252="",0,Z252),"0")+IFERROR(IF(Z253="",0,Z253),"0")+IFERROR(IF(Z254="",0,Z254),"0")+IFERROR(IF(Z255="",0,Z255),"0")+IFERROR(IF(Z256="",0,Z256),"0")</f>
        <v>0</v>
      </c>
      <c r="AA257" s="552"/>
      <c r="AB257" s="552"/>
      <c r="AC257" s="552"/>
    </row>
    <row r="258" spans="1:68" hidden="1" x14ac:dyDescent="0.2">
      <c r="A258" s="557"/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8"/>
      <c r="P258" s="565" t="s">
        <v>75</v>
      </c>
      <c r="Q258" s="566"/>
      <c r="R258" s="566"/>
      <c r="S258" s="566"/>
      <c r="T258" s="566"/>
      <c r="U258" s="566"/>
      <c r="V258" s="567"/>
      <c r="W258" s="37" t="s">
        <v>69</v>
      </c>
      <c r="X258" s="551">
        <f>IFERROR(SUM(X252:X256),"0")</f>
        <v>0</v>
      </c>
      <c r="Y258" s="551">
        <f>IFERROR(SUM(Y252:Y256),"0")</f>
        <v>0</v>
      </c>
      <c r="Z258" s="37"/>
      <c r="AA258" s="552"/>
      <c r="AB258" s="552"/>
      <c r="AC258" s="552"/>
    </row>
    <row r="259" spans="1:68" ht="16.5" hidden="1" customHeight="1" x14ac:dyDescent="0.25">
      <c r="A259" s="570" t="s">
        <v>423</v>
      </c>
      <c r="B259" s="557"/>
      <c r="C259" s="557"/>
      <c r="D259" s="557"/>
      <c r="E259" s="557"/>
      <c r="F259" s="557"/>
      <c r="G259" s="557"/>
      <c r="H259" s="557"/>
      <c r="I259" s="557"/>
      <c r="J259" s="557"/>
      <c r="K259" s="557"/>
      <c r="L259" s="557"/>
      <c r="M259" s="557"/>
      <c r="N259" s="557"/>
      <c r="O259" s="557"/>
      <c r="P259" s="557"/>
      <c r="Q259" s="557"/>
      <c r="R259" s="557"/>
      <c r="S259" s="557"/>
      <c r="T259" s="557"/>
      <c r="U259" s="557"/>
      <c r="V259" s="557"/>
      <c r="W259" s="557"/>
      <c r="X259" s="557"/>
      <c r="Y259" s="557"/>
      <c r="Z259" s="557"/>
      <c r="AA259" s="543"/>
      <c r="AB259" s="543"/>
      <c r="AC259" s="543"/>
    </row>
    <row r="260" spans="1:68" ht="14.25" hidden="1" customHeight="1" x14ac:dyDescent="0.25">
      <c r="A260" s="562" t="s">
        <v>103</v>
      </c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57"/>
      <c r="P260" s="557"/>
      <c r="Q260" s="557"/>
      <c r="R260" s="557"/>
      <c r="S260" s="557"/>
      <c r="T260" s="557"/>
      <c r="U260" s="557"/>
      <c r="V260" s="557"/>
      <c r="W260" s="557"/>
      <c r="X260" s="557"/>
      <c r="Y260" s="557"/>
      <c r="Z260" s="557"/>
      <c r="AA260" s="544"/>
      <c r="AB260" s="544"/>
      <c r="AC260" s="544"/>
    </row>
    <row r="261" spans="1:68" ht="27" hidden="1" customHeight="1" x14ac:dyDescent="0.25">
      <c r="A261" s="54" t="s">
        <v>424</v>
      </c>
      <c r="B261" s="54" t="s">
        <v>425</v>
      </c>
      <c r="C261" s="31">
        <v>4301011855</v>
      </c>
      <c r="D261" s="559">
        <v>4680115885837</v>
      </c>
      <c r="E261" s="560"/>
      <c r="F261" s="548">
        <v>1.35</v>
      </c>
      <c r="G261" s="32">
        <v>8</v>
      </c>
      <c r="H261" s="548">
        <v>10.8</v>
      </c>
      <c r="I261" s="548">
        <v>11.21</v>
      </c>
      <c r="J261" s="32">
        <v>64</v>
      </c>
      <c r="K261" s="32" t="s">
        <v>106</v>
      </c>
      <c r="L261" s="32"/>
      <c r="M261" s="33" t="s">
        <v>108</v>
      </c>
      <c r="N261" s="33"/>
      <c r="O261" s="32">
        <v>55</v>
      </c>
      <c r="P261" s="6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4"/>
      <c r="R261" s="554"/>
      <c r="S261" s="554"/>
      <c r="T261" s="555"/>
      <c r="U261" s="34"/>
      <c r="V261" s="34"/>
      <c r="W261" s="35" t="s">
        <v>69</v>
      </c>
      <c r="X261" s="549">
        <v>0</v>
      </c>
      <c r="Y261" s="550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427</v>
      </c>
      <c r="B262" s="54" t="s">
        <v>428</v>
      </c>
      <c r="C262" s="31">
        <v>4301011853</v>
      </c>
      <c r="D262" s="559">
        <v>4680115885851</v>
      </c>
      <c r="E262" s="560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106</v>
      </c>
      <c r="L262" s="32"/>
      <c r="M262" s="33" t="s">
        <v>108</v>
      </c>
      <c r="N262" s="33"/>
      <c r="O262" s="32">
        <v>55</v>
      </c>
      <c r="P262" s="87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430</v>
      </c>
      <c r="B263" s="54" t="s">
        <v>431</v>
      </c>
      <c r="C263" s="31">
        <v>4301011850</v>
      </c>
      <c r="D263" s="559">
        <v>4680115885806</v>
      </c>
      <c r="E263" s="560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106</v>
      </c>
      <c r="L263" s="32"/>
      <c r="M263" s="33" t="s">
        <v>108</v>
      </c>
      <c r="N263" s="33"/>
      <c r="O263" s="32">
        <v>55</v>
      </c>
      <c r="P263" s="85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100</v>
      </c>
      <c r="Y263" s="550">
        <f>IFERROR(IF(X263="",0,CEILING((X263/$H263),1)*$H263),"")</f>
        <v>108</v>
      </c>
      <c r="Z263" s="36">
        <f>IFERROR(IF(Y263=0,"",ROUNDUP(Y263/H263,0)*0.01898),"")</f>
        <v>0.1898</v>
      </c>
      <c r="AA263" s="56"/>
      <c r="AB263" s="57"/>
      <c r="AC263" s="317" t="s">
        <v>432</v>
      </c>
      <c r="AG263" s="64"/>
      <c r="AJ263" s="68"/>
      <c r="AK263" s="68">
        <v>0</v>
      </c>
      <c r="BB263" s="318" t="s">
        <v>1</v>
      </c>
      <c r="BM263" s="64">
        <f>IFERROR(X263*I263/H263,"0")</f>
        <v>103.79629629629629</v>
      </c>
      <c r="BN263" s="64">
        <f>IFERROR(Y263*I263/H263,"0")</f>
        <v>112.1</v>
      </c>
      <c r="BO263" s="64">
        <f>IFERROR(1/J263*(X263/H263),"0")</f>
        <v>0.14467592592592593</v>
      </c>
      <c r="BP263" s="64">
        <f>IFERROR(1/J263*(Y263/H263),"0")</f>
        <v>0.15625</v>
      </c>
    </row>
    <row r="264" spans="1:68" ht="27" hidden="1" customHeight="1" x14ac:dyDescent="0.25">
      <c r="A264" s="54" t="s">
        <v>433</v>
      </c>
      <c r="B264" s="54" t="s">
        <v>434</v>
      </c>
      <c r="C264" s="31">
        <v>4301011852</v>
      </c>
      <c r="D264" s="559">
        <v>4680115885844</v>
      </c>
      <c r="E264" s="560"/>
      <c r="F264" s="548">
        <v>0.4</v>
      </c>
      <c r="G264" s="32">
        <v>10</v>
      </c>
      <c r="H264" s="548">
        <v>4</v>
      </c>
      <c r="I264" s="548">
        <v>4.1900000000000004</v>
      </c>
      <c r="J264" s="32">
        <v>132</v>
      </c>
      <c r="K264" s="32" t="s">
        <v>112</v>
      </c>
      <c r="L264" s="32"/>
      <c r="M264" s="33" t="s">
        <v>108</v>
      </c>
      <c r="N264" s="33"/>
      <c r="O264" s="32">
        <v>55</v>
      </c>
      <c r="P264" s="71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436</v>
      </c>
      <c r="B265" s="54" t="s">
        <v>437</v>
      </c>
      <c r="C265" s="31">
        <v>4301011851</v>
      </c>
      <c r="D265" s="559">
        <v>4680115885820</v>
      </c>
      <c r="E265" s="560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112</v>
      </c>
      <c r="L265" s="32"/>
      <c r="M265" s="33" t="s">
        <v>108</v>
      </c>
      <c r="N265" s="33"/>
      <c r="O265" s="32">
        <v>55</v>
      </c>
      <c r="P265" s="64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56"/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8"/>
      <c r="P266" s="565" t="s">
        <v>75</v>
      </c>
      <c r="Q266" s="566"/>
      <c r="R266" s="566"/>
      <c r="S266" s="566"/>
      <c r="T266" s="566"/>
      <c r="U266" s="566"/>
      <c r="V266" s="567"/>
      <c r="W266" s="37" t="s">
        <v>76</v>
      </c>
      <c r="X266" s="551">
        <f>IFERROR(X261/H261,"0")+IFERROR(X262/H262,"0")+IFERROR(X263/H263,"0")+IFERROR(X264/H264,"0")+IFERROR(X265/H265,"0")</f>
        <v>9.2592592592592595</v>
      </c>
      <c r="Y266" s="551">
        <f>IFERROR(Y261/H261,"0")+IFERROR(Y262/H262,"0")+IFERROR(Y263/H263,"0")+IFERROR(Y264/H264,"0")+IFERROR(Y265/H265,"0")</f>
        <v>10</v>
      </c>
      <c r="Z266" s="551">
        <f>IFERROR(IF(Z261="",0,Z261),"0")+IFERROR(IF(Z262="",0,Z262),"0")+IFERROR(IF(Z263="",0,Z263),"0")+IFERROR(IF(Z264="",0,Z264),"0")+IFERROR(IF(Z265="",0,Z265),"0")</f>
        <v>0.1898</v>
      </c>
      <c r="AA266" s="552"/>
      <c r="AB266" s="552"/>
      <c r="AC266" s="552"/>
    </row>
    <row r="267" spans="1:68" x14ac:dyDescent="0.2">
      <c r="A267" s="557"/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8"/>
      <c r="P267" s="565" t="s">
        <v>75</v>
      </c>
      <c r="Q267" s="566"/>
      <c r="R267" s="566"/>
      <c r="S267" s="566"/>
      <c r="T267" s="566"/>
      <c r="U267" s="566"/>
      <c r="V267" s="567"/>
      <c r="W267" s="37" t="s">
        <v>69</v>
      </c>
      <c r="X267" s="551">
        <f>IFERROR(SUM(X261:X265),"0")</f>
        <v>100</v>
      </c>
      <c r="Y267" s="551">
        <f>IFERROR(SUM(Y261:Y265),"0")</f>
        <v>108</v>
      </c>
      <c r="Z267" s="37"/>
      <c r="AA267" s="552"/>
      <c r="AB267" s="552"/>
      <c r="AC267" s="552"/>
    </row>
    <row r="268" spans="1:68" ht="16.5" hidden="1" customHeight="1" x14ac:dyDescent="0.25">
      <c r="A268" s="570" t="s">
        <v>439</v>
      </c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57"/>
      <c r="P268" s="557"/>
      <c r="Q268" s="557"/>
      <c r="R268" s="557"/>
      <c r="S268" s="557"/>
      <c r="T268" s="557"/>
      <c r="U268" s="557"/>
      <c r="V268" s="557"/>
      <c r="W268" s="557"/>
      <c r="X268" s="557"/>
      <c r="Y268" s="557"/>
      <c r="Z268" s="557"/>
      <c r="AA268" s="543"/>
      <c r="AB268" s="543"/>
      <c r="AC268" s="543"/>
    </row>
    <row r="269" spans="1:68" ht="14.25" hidden="1" customHeight="1" x14ac:dyDescent="0.25">
      <c r="A269" s="562" t="s">
        <v>103</v>
      </c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57"/>
      <c r="P269" s="557"/>
      <c r="Q269" s="557"/>
      <c r="R269" s="557"/>
      <c r="S269" s="557"/>
      <c r="T269" s="557"/>
      <c r="U269" s="557"/>
      <c r="V269" s="557"/>
      <c r="W269" s="557"/>
      <c r="X269" s="557"/>
      <c r="Y269" s="557"/>
      <c r="Z269" s="557"/>
      <c r="AA269" s="544"/>
      <c r="AB269" s="544"/>
      <c r="AC269" s="544"/>
    </row>
    <row r="270" spans="1:68" ht="27" hidden="1" customHeight="1" x14ac:dyDescent="0.25">
      <c r="A270" s="54" t="s">
        <v>440</v>
      </c>
      <c r="B270" s="54" t="s">
        <v>441</v>
      </c>
      <c r="C270" s="31">
        <v>4301011223</v>
      </c>
      <c r="D270" s="559">
        <v>4607091383423</v>
      </c>
      <c r="E270" s="560"/>
      <c r="F270" s="548">
        <v>1.35</v>
      </c>
      <c r="G270" s="32">
        <v>8</v>
      </c>
      <c r="H270" s="548">
        <v>10.8</v>
      </c>
      <c r="I270" s="548">
        <v>11.305999999999999</v>
      </c>
      <c r="J270" s="32">
        <v>64</v>
      </c>
      <c r="K270" s="32" t="s">
        <v>106</v>
      </c>
      <c r="L270" s="32"/>
      <c r="M270" s="33" t="s">
        <v>81</v>
      </c>
      <c r="N270" s="33"/>
      <c r="O270" s="32">
        <v>35</v>
      </c>
      <c r="P270" s="81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4"/>
      <c r="R270" s="554"/>
      <c r="S270" s="554"/>
      <c r="T270" s="555"/>
      <c r="U270" s="34"/>
      <c r="V270" s="34"/>
      <c r="W270" s="35" t="s">
        <v>69</v>
      </c>
      <c r="X270" s="549">
        <v>0</v>
      </c>
      <c r="Y270" s="550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442</v>
      </c>
      <c r="B271" s="54" t="s">
        <v>443</v>
      </c>
      <c r="C271" s="31">
        <v>4301012199</v>
      </c>
      <c r="D271" s="559">
        <v>4680115886957</v>
      </c>
      <c r="E271" s="560"/>
      <c r="F271" s="548">
        <v>1.35</v>
      </c>
      <c r="G271" s="32">
        <v>8</v>
      </c>
      <c r="H271" s="548">
        <v>10.8</v>
      </c>
      <c r="I271" s="548">
        <v>11.21</v>
      </c>
      <c r="J271" s="32">
        <v>64</v>
      </c>
      <c r="K271" s="32" t="s">
        <v>106</v>
      </c>
      <c r="L271" s="32"/>
      <c r="M271" s="33" t="s">
        <v>81</v>
      </c>
      <c r="N271" s="33"/>
      <c r="O271" s="32">
        <v>30</v>
      </c>
      <c r="P271" s="63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445</v>
      </c>
      <c r="B272" s="54" t="s">
        <v>446</v>
      </c>
      <c r="C272" s="31">
        <v>4301012098</v>
      </c>
      <c r="D272" s="559">
        <v>4680115885660</v>
      </c>
      <c r="E272" s="560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106</v>
      </c>
      <c r="L272" s="32"/>
      <c r="M272" s="33" t="s">
        <v>81</v>
      </c>
      <c r="N272" s="33"/>
      <c r="O272" s="32">
        <v>35</v>
      </c>
      <c r="P272" s="72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4301012176</v>
      </c>
      <c r="D273" s="559">
        <v>4680115886773</v>
      </c>
      <c r="E273" s="560"/>
      <c r="F273" s="548">
        <v>0.9</v>
      </c>
      <c r="G273" s="32">
        <v>10</v>
      </c>
      <c r="H273" s="548">
        <v>9</v>
      </c>
      <c r="I273" s="548">
        <v>9.41</v>
      </c>
      <c r="J273" s="32">
        <v>64</v>
      </c>
      <c r="K273" s="32" t="s">
        <v>106</v>
      </c>
      <c r="L273" s="32"/>
      <c r="M273" s="33" t="s">
        <v>108</v>
      </c>
      <c r="N273" s="33"/>
      <c r="O273" s="32">
        <v>31</v>
      </c>
      <c r="P273" s="63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6"/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8"/>
      <c r="P274" s="565" t="s">
        <v>75</v>
      </c>
      <c r="Q274" s="566"/>
      <c r="R274" s="566"/>
      <c r="S274" s="566"/>
      <c r="T274" s="566"/>
      <c r="U274" s="566"/>
      <c r="V274" s="567"/>
      <c r="W274" s="37" t="s">
        <v>76</v>
      </c>
      <c r="X274" s="551">
        <f>IFERROR(X270/H270,"0")+IFERROR(X271/H271,"0")+IFERROR(X272/H272,"0")+IFERROR(X273/H273,"0")</f>
        <v>0</v>
      </c>
      <c r="Y274" s="551">
        <f>IFERROR(Y270/H270,"0")+IFERROR(Y271/H271,"0")+IFERROR(Y272/H272,"0")+IFERROR(Y273/H273,"0")</f>
        <v>0</v>
      </c>
      <c r="Z274" s="551">
        <f>IFERROR(IF(Z270="",0,Z270),"0")+IFERROR(IF(Z271="",0,Z271),"0")+IFERROR(IF(Z272="",0,Z272),"0")+IFERROR(IF(Z273="",0,Z273),"0")</f>
        <v>0</v>
      </c>
      <c r="AA274" s="552"/>
      <c r="AB274" s="552"/>
      <c r="AC274" s="552"/>
    </row>
    <row r="275" spans="1:68" hidden="1" x14ac:dyDescent="0.2">
      <c r="A275" s="557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8"/>
      <c r="P275" s="565" t="s">
        <v>75</v>
      </c>
      <c r="Q275" s="566"/>
      <c r="R275" s="566"/>
      <c r="S275" s="566"/>
      <c r="T275" s="566"/>
      <c r="U275" s="566"/>
      <c r="V275" s="567"/>
      <c r="W275" s="37" t="s">
        <v>69</v>
      </c>
      <c r="X275" s="551">
        <f>IFERROR(SUM(X270:X273),"0")</f>
        <v>0</v>
      </c>
      <c r="Y275" s="551">
        <f>IFERROR(SUM(Y270:Y273),"0")</f>
        <v>0</v>
      </c>
      <c r="Z275" s="37"/>
      <c r="AA275" s="552"/>
      <c r="AB275" s="552"/>
      <c r="AC275" s="552"/>
    </row>
    <row r="276" spans="1:68" ht="16.5" hidden="1" customHeight="1" x14ac:dyDescent="0.25">
      <c r="A276" s="570" t="s">
        <v>450</v>
      </c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57"/>
      <c r="P276" s="557"/>
      <c r="Q276" s="557"/>
      <c r="R276" s="557"/>
      <c r="S276" s="557"/>
      <c r="T276" s="557"/>
      <c r="U276" s="557"/>
      <c r="V276" s="557"/>
      <c r="W276" s="557"/>
      <c r="X276" s="557"/>
      <c r="Y276" s="557"/>
      <c r="Z276" s="557"/>
      <c r="AA276" s="543"/>
      <c r="AB276" s="543"/>
      <c r="AC276" s="543"/>
    </row>
    <row r="277" spans="1:68" ht="14.25" hidden="1" customHeight="1" x14ac:dyDescent="0.25">
      <c r="A277" s="562" t="s">
        <v>77</v>
      </c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  <c r="Z277" s="557"/>
      <c r="AA277" s="544"/>
      <c r="AB277" s="544"/>
      <c r="AC277" s="544"/>
    </row>
    <row r="278" spans="1:68" ht="27" hidden="1" customHeight="1" x14ac:dyDescent="0.25">
      <c r="A278" s="54" t="s">
        <v>451</v>
      </c>
      <c r="B278" s="54" t="s">
        <v>452</v>
      </c>
      <c r="C278" s="31">
        <v>4301051893</v>
      </c>
      <c r="D278" s="559">
        <v>4680115886186</v>
      </c>
      <c r="E278" s="560"/>
      <c r="F278" s="548">
        <v>0.3</v>
      </c>
      <c r="G278" s="32">
        <v>6</v>
      </c>
      <c r="H278" s="548">
        <v>1.8</v>
      </c>
      <c r="I278" s="548">
        <v>1.98</v>
      </c>
      <c r="J278" s="32">
        <v>182</v>
      </c>
      <c r="K278" s="32" t="s">
        <v>67</v>
      </c>
      <c r="L278" s="32"/>
      <c r="M278" s="33" t="s">
        <v>81</v>
      </c>
      <c r="N278" s="33"/>
      <c r="O278" s="32">
        <v>45</v>
      </c>
      <c r="P278" s="81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4"/>
      <c r="R278" s="554"/>
      <c r="S278" s="554"/>
      <c r="T278" s="555"/>
      <c r="U278" s="34"/>
      <c r="V278" s="34"/>
      <c r="W278" s="35" t="s">
        <v>69</v>
      </c>
      <c r="X278" s="549">
        <v>0</v>
      </c>
      <c r="Y278" s="550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454</v>
      </c>
      <c r="B279" s="54" t="s">
        <v>455</v>
      </c>
      <c r="C279" s="31">
        <v>4301051795</v>
      </c>
      <c r="D279" s="559">
        <v>4680115881228</v>
      </c>
      <c r="E279" s="560"/>
      <c r="F279" s="548">
        <v>0.4</v>
      </c>
      <c r="G279" s="32">
        <v>6</v>
      </c>
      <c r="H279" s="548">
        <v>2.4</v>
      </c>
      <c r="I279" s="548">
        <v>2.6520000000000001</v>
      </c>
      <c r="J279" s="32">
        <v>182</v>
      </c>
      <c r="K279" s="32" t="s">
        <v>67</v>
      </c>
      <c r="L279" s="32" t="s">
        <v>80</v>
      </c>
      <c r="M279" s="33" t="s">
        <v>88</v>
      </c>
      <c r="N279" s="33"/>
      <c r="O279" s="32">
        <v>40</v>
      </c>
      <c r="P279" s="7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456</v>
      </c>
      <c r="AG279" s="64"/>
      <c r="AJ279" s="68" t="s">
        <v>83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457</v>
      </c>
      <c r="B280" s="54" t="s">
        <v>458</v>
      </c>
      <c r="C280" s="31">
        <v>4301051388</v>
      </c>
      <c r="D280" s="559">
        <v>4680115881211</v>
      </c>
      <c r="E280" s="560"/>
      <c r="F280" s="548">
        <v>0.4</v>
      </c>
      <c r="G280" s="32">
        <v>6</v>
      </c>
      <c r="H280" s="548">
        <v>2.4</v>
      </c>
      <c r="I280" s="548">
        <v>2.58</v>
      </c>
      <c r="J280" s="32">
        <v>182</v>
      </c>
      <c r="K280" s="32" t="s">
        <v>67</v>
      </c>
      <c r="L280" s="32"/>
      <c r="M280" s="33" t="s">
        <v>81</v>
      </c>
      <c r="N280" s="33"/>
      <c r="O280" s="32">
        <v>45</v>
      </c>
      <c r="P280" s="69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0</v>
      </c>
      <c r="Y280" s="55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453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6"/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8"/>
      <c r="P281" s="565" t="s">
        <v>75</v>
      </c>
      <c r="Q281" s="566"/>
      <c r="R281" s="566"/>
      <c r="S281" s="566"/>
      <c r="T281" s="566"/>
      <c r="U281" s="566"/>
      <c r="V281" s="567"/>
      <c r="W281" s="37" t="s">
        <v>76</v>
      </c>
      <c r="X281" s="551">
        <f>IFERROR(X278/H278,"0")+IFERROR(X279/H279,"0")+IFERROR(X280/H280,"0")</f>
        <v>0</v>
      </c>
      <c r="Y281" s="551">
        <f>IFERROR(Y278/H278,"0")+IFERROR(Y279/H279,"0")+IFERROR(Y280/H280,"0")</f>
        <v>0</v>
      </c>
      <c r="Z281" s="551">
        <f>IFERROR(IF(Z278="",0,Z278),"0")+IFERROR(IF(Z279="",0,Z279),"0")+IFERROR(IF(Z280="",0,Z280),"0")</f>
        <v>0</v>
      </c>
      <c r="AA281" s="552"/>
      <c r="AB281" s="552"/>
      <c r="AC281" s="552"/>
    </row>
    <row r="282" spans="1:68" hidden="1" x14ac:dyDescent="0.2">
      <c r="A282" s="557"/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8"/>
      <c r="P282" s="565" t="s">
        <v>75</v>
      </c>
      <c r="Q282" s="566"/>
      <c r="R282" s="566"/>
      <c r="S282" s="566"/>
      <c r="T282" s="566"/>
      <c r="U282" s="566"/>
      <c r="V282" s="567"/>
      <c r="W282" s="37" t="s">
        <v>69</v>
      </c>
      <c r="X282" s="551">
        <f>IFERROR(SUM(X278:X280),"0")</f>
        <v>0</v>
      </c>
      <c r="Y282" s="551">
        <f>IFERROR(SUM(Y278:Y280),"0")</f>
        <v>0</v>
      </c>
      <c r="Z282" s="37"/>
      <c r="AA282" s="552"/>
      <c r="AB282" s="552"/>
      <c r="AC282" s="552"/>
    </row>
    <row r="283" spans="1:68" ht="16.5" hidden="1" customHeight="1" x14ac:dyDescent="0.25">
      <c r="A283" s="570" t="s">
        <v>459</v>
      </c>
      <c r="B283" s="557"/>
      <c r="C283" s="557"/>
      <c r="D283" s="557"/>
      <c r="E283" s="557"/>
      <c r="F283" s="557"/>
      <c r="G283" s="557"/>
      <c r="H283" s="557"/>
      <c r="I283" s="557"/>
      <c r="J283" s="557"/>
      <c r="K283" s="557"/>
      <c r="L283" s="557"/>
      <c r="M283" s="557"/>
      <c r="N283" s="557"/>
      <c r="O283" s="557"/>
      <c r="P283" s="557"/>
      <c r="Q283" s="557"/>
      <c r="R283" s="557"/>
      <c r="S283" s="557"/>
      <c r="T283" s="557"/>
      <c r="U283" s="557"/>
      <c r="V283" s="557"/>
      <c r="W283" s="557"/>
      <c r="X283" s="557"/>
      <c r="Y283" s="557"/>
      <c r="Z283" s="557"/>
      <c r="AA283" s="543"/>
      <c r="AB283" s="543"/>
      <c r="AC283" s="543"/>
    </row>
    <row r="284" spans="1:68" ht="14.25" hidden="1" customHeight="1" x14ac:dyDescent="0.25">
      <c r="A284" s="562" t="s">
        <v>64</v>
      </c>
      <c r="B284" s="557"/>
      <c r="C284" s="557"/>
      <c r="D284" s="557"/>
      <c r="E284" s="557"/>
      <c r="F284" s="557"/>
      <c r="G284" s="557"/>
      <c r="H284" s="557"/>
      <c r="I284" s="557"/>
      <c r="J284" s="557"/>
      <c r="K284" s="557"/>
      <c r="L284" s="557"/>
      <c r="M284" s="557"/>
      <c r="N284" s="557"/>
      <c r="O284" s="557"/>
      <c r="P284" s="557"/>
      <c r="Q284" s="557"/>
      <c r="R284" s="557"/>
      <c r="S284" s="557"/>
      <c r="T284" s="557"/>
      <c r="U284" s="557"/>
      <c r="V284" s="557"/>
      <c r="W284" s="557"/>
      <c r="X284" s="557"/>
      <c r="Y284" s="557"/>
      <c r="Z284" s="557"/>
      <c r="AA284" s="544"/>
      <c r="AB284" s="544"/>
      <c r="AC284" s="544"/>
    </row>
    <row r="285" spans="1:68" ht="27" hidden="1" customHeight="1" x14ac:dyDescent="0.25">
      <c r="A285" s="54" t="s">
        <v>460</v>
      </c>
      <c r="B285" s="54" t="s">
        <v>461</v>
      </c>
      <c r="C285" s="31">
        <v>4301031307</v>
      </c>
      <c r="D285" s="559">
        <v>4680115880344</v>
      </c>
      <c r="E285" s="560"/>
      <c r="F285" s="548">
        <v>0.28000000000000003</v>
      </c>
      <c r="G285" s="32">
        <v>6</v>
      </c>
      <c r="H285" s="548">
        <v>1.68</v>
      </c>
      <c r="I285" s="548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2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4"/>
      <c r="R285" s="554"/>
      <c r="S285" s="554"/>
      <c r="T285" s="555"/>
      <c r="U285" s="34"/>
      <c r="V285" s="34"/>
      <c r="W285" s="35" t="s">
        <v>69</v>
      </c>
      <c r="X285" s="549">
        <v>0</v>
      </c>
      <c r="Y285" s="550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463</v>
      </c>
      <c r="B286" s="54" t="s">
        <v>464</v>
      </c>
      <c r="C286" s="31">
        <v>4301031429</v>
      </c>
      <c r="D286" s="559">
        <v>4680115886919</v>
      </c>
      <c r="E286" s="560"/>
      <c r="F286" s="548">
        <v>0.4</v>
      </c>
      <c r="G286" s="32">
        <v>6</v>
      </c>
      <c r="H286" s="548">
        <v>2.4</v>
      </c>
      <c r="I286" s="548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56"/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8"/>
      <c r="P287" s="565" t="s">
        <v>75</v>
      </c>
      <c r="Q287" s="566"/>
      <c r="R287" s="566"/>
      <c r="S287" s="566"/>
      <c r="T287" s="566"/>
      <c r="U287" s="566"/>
      <c r="V287" s="567"/>
      <c r="W287" s="37" t="s">
        <v>76</v>
      </c>
      <c r="X287" s="551">
        <f>IFERROR(X285/H285,"0")+IFERROR(X286/H286,"0")</f>
        <v>0</v>
      </c>
      <c r="Y287" s="551">
        <f>IFERROR(Y285/H285,"0")+IFERROR(Y286/H286,"0")</f>
        <v>0</v>
      </c>
      <c r="Z287" s="551">
        <f>IFERROR(IF(Z285="",0,Z285),"0")+IFERROR(IF(Z286="",0,Z286),"0")</f>
        <v>0</v>
      </c>
      <c r="AA287" s="552"/>
      <c r="AB287" s="552"/>
      <c r="AC287" s="552"/>
    </row>
    <row r="288" spans="1:68" hidden="1" x14ac:dyDescent="0.2">
      <c r="A288" s="557"/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58"/>
      <c r="P288" s="565" t="s">
        <v>75</v>
      </c>
      <c r="Q288" s="566"/>
      <c r="R288" s="566"/>
      <c r="S288" s="566"/>
      <c r="T288" s="566"/>
      <c r="U288" s="566"/>
      <c r="V288" s="567"/>
      <c r="W288" s="37" t="s">
        <v>69</v>
      </c>
      <c r="X288" s="551">
        <f>IFERROR(SUM(X285:X286),"0")</f>
        <v>0</v>
      </c>
      <c r="Y288" s="551">
        <f>IFERROR(SUM(Y285:Y286),"0")</f>
        <v>0</v>
      </c>
      <c r="Z288" s="37"/>
      <c r="AA288" s="552"/>
      <c r="AB288" s="552"/>
      <c r="AC288" s="552"/>
    </row>
    <row r="289" spans="1:68" ht="14.25" hidden="1" customHeight="1" x14ac:dyDescent="0.25">
      <c r="A289" s="562" t="s">
        <v>77</v>
      </c>
      <c r="B289" s="557"/>
      <c r="C289" s="557"/>
      <c r="D289" s="557"/>
      <c r="E289" s="557"/>
      <c r="F289" s="557"/>
      <c r="G289" s="557"/>
      <c r="H289" s="557"/>
      <c r="I289" s="557"/>
      <c r="J289" s="557"/>
      <c r="K289" s="557"/>
      <c r="L289" s="557"/>
      <c r="M289" s="557"/>
      <c r="N289" s="557"/>
      <c r="O289" s="557"/>
      <c r="P289" s="557"/>
      <c r="Q289" s="557"/>
      <c r="R289" s="557"/>
      <c r="S289" s="557"/>
      <c r="T289" s="557"/>
      <c r="U289" s="557"/>
      <c r="V289" s="557"/>
      <c r="W289" s="557"/>
      <c r="X289" s="557"/>
      <c r="Y289" s="557"/>
      <c r="Z289" s="557"/>
      <c r="AA289" s="544"/>
      <c r="AB289" s="544"/>
      <c r="AC289" s="544"/>
    </row>
    <row r="290" spans="1:68" ht="37.5" hidden="1" customHeight="1" x14ac:dyDescent="0.25">
      <c r="A290" s="54" t="s">
        <v>466</v>
      </c>
      <c r="B290" s="54" t="s">
        <v>467</v>
      </c>
      <c r="C290" s="31">
        <v>4301051782</v>
      </c>
      <c r="D290" s="559">
        <v>4680115884618</v>
      </c>
      <c r="E290" s="560"/>
      <c r="F290" s="548">
        <v>0.6</v>
      </c>
      <c r="G290" s="32">
        <v>6</v>
      </c>
      <c r="H290" s="548">
        <v>3.6</v>
      </c>
      <c r="I290" s="548">
        <v>3.79</v>
      </c>
      <c r="J290" s="32">
        <v>132</v>
      </c>
      <c r="K290" s="32" t="s">
        <v>112</v>
      </c>
      <c r="L290" s="32"/>
      <c r="M290" s="33" t="s">
        <v>81</v>
      </c>
      <c r="N290" s="33"/>
      <c r="O290" s="32">
        <v>45</v>
      </c>
      <c r="P290" s="59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4"/>
      <c r="R290" s="554"/>
      <c r="S290" s="554"/>
      <c r="T290" s="555"/>
      <c r="U290" s="34"/>
      <c r="V290" s="34"/>
      <c r="W290" s="35" t="s">
        <v>69</v>
      </c>
      <c r="X290" s="549">
        <v>0</v>
      </c>
      <c r="Y290" s="550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469</v>
      </c>
      <c r="B291" s="54" t="s">
        <v>470</v>
      </c>
      <c r="C291" s="31">
        <v>4301052057</v>
      </c>
      <c r="D291" s="559">
        <v>4680115887114</v>
      </c>
      <c r="E291" s="560"/>
      <c r="F291" s="548">
        <v>0.55000000000000004</v>
      </c>
      <c r="G291" s="32">
        <v>6</v>
      </c>
      <c r="H291" s="548">
        <v>3.3</v>
      </c>
      <c r="I291" s="548">
        <v>3.49</v>
      </c>
      <c r="J291" s="32">
        <v>132</v>
      </c>
      <c r="K291" s="32" t="s">
        <v>112</v>
      </c>
      <c r="L291" s="32"/>
      <c r="M291" s="33" t="s">
        <v>81</v>
      </c>
      <c r="N291" s="33"/>
      <c r="O291" s="32">
        <v>45</v>
      </c>
      <c r="P291" s="8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56"/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8"/>
      <c r="P292" s="565" t="s">
        <v>75</v>
      </c>
      <c r="Q292" s="566"/>
      <c r="R292" s="566"/>
      <c r="S292" s="566"/>
      <c r="T292" s="566"/>
      <c r="U292" s="566"/>
      <c r="V292" s="567"/>
      <c r="W292" s="37" t="s">
        <v>76</v>
      </c>
      <c r="X292" s="551">
        <f>IFERROR(X290/H290,"0")+IFERROR(X291/H291,"0")</f>
        <v>0</v>
      </c>
      <c r="Y292" s="551">
        <f>IFERROR(Y290/H290,"0")+IFERROR(Y291/H291,"0")</f>
        <v>0</v>
      </c>
      <c r="Z292" s="551">
        <f>IFERROR(IF(Z290="",0,Z290),"0")+IFERROR(IF(Z291="",0,Z291),"0")</f>
        <v>0</v>
      </c>
      <c r="AA292" s="552"/>
      <c r="AB292" s="552"/>
      <c r="AC292" s="552"/>
    </row>
    <row r="293" spans="1:68" hidden="1" x14ac:dyDescent="0.2">
      <c r="A293" s="557"/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8"/>
      <c r="P293" s="565" t="s">
        <v>75</v>
      </c>
      <c r="Q293" s="566"/>
      <c r="R293" s="566"/>
      <c r="S293" s="566"/>
      <c r="T293" s="566"/>
      <c r="U293" s="566"/>
      <c r="V293" s="567"/>
      <c r="W293" s="37" t="s">
        <v>69</v>
      </c>
      <c r="X293" s="551">
        <f>IFERROR(SUM(X290:X291),"0")</f>
        <v>0</v>
      </c>
      <c r="Y293" s="551">
        <f>IFERROR(SUM(Y290:Y291),"0")</f>
        <v>0</v>
      </c>
      <c r="Z293" s="37"/>
      <c r="AA293" s="552"/>
      <c r="AB293" s="552"/>
      <c r="AC293" s="552"/>
    </row>
    <row r="294" spans="1:68" ht="16.5" hidden="1" customHeight="1" x14ac:dyDescent="0.25">
      <c r="A294" s="570" t="s">
        <v>472</v>
      </c>
      <c r="B294" s="557"/>
      <c r="C294" s="557"/>
      <c r="D294" s="557"/>
      <c r="E294" s="557"/>
      <c r="F294" s="557"/>
      <c r="G294" s="557"/>
      <c r="H294" s="557"/>
      <c r="I294" s="557"/>
      <c r="J294" s="557"/>
      <c r="K294" s="557"/>
      <c r="L294" s="557"/>
      <c r="M294" s="557"/>
      <c r="N294" s="557"/>
      <c r="O294" s="557"/>
      <c r="P294" s="557"/>
      <c r="Q294" s="557"/>
      <c r="R294" s="557"/>
      <c r="S294" s="557"/>
      <c r="T294" s="557"/>
      <c r="U294" s="557"/>
      <c r="V294" s="557"/>
      <c r="W294" s="557"/>
      <c r="X294" s="557"/>
      <c r="Y294" s="557"/>
      <c r="Z294" s="557"/>
      <c r="AA294" s="543"/>
      <c r="AB294" s="543"/>
      <c r="AC294" s="543"/>
    </row>
    <row r="295" spans="1:68" ht="14.25" hidden="1" customHeight="1" x14ac:dyDescent="0.25">
      <c r="A295" s="562" t="s">
        <v>103</v>
      </c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57"/>
      <c r="P295" s="557"/>
      <c r="Q295" s="557"/>
      <c r="R295" s="557"/>
      <c r="S295" s="557"/>
      <c r="T295" s="557"/>
      <c r="U295" s="557"/>
      <c r="V295" s="557"/>
      <c r="W295" s="557"/>
      <c r="X295" s="557"/>
      <c r="Y295" s="557"/>
      <c r="Z295" s="557"/>
      <c r="AA295" s="544"/>
      <c r="AB295" s="544"/>
      <c r="AC295" s="544"/>
    </row>
    <row r="296" spans="1:68" ht="27" hidden="1" customHeight="1" x14ac:dyDescent="0.25">
      <c r="A296" s="54" t="s">
        <v>473</v>
      </c>
      <c r="B296" s="54" t="s">
        <v>474</v>
      </c>
      <c r="C296" s="31">
        <v>4301012126</v>
      </c>
      <c r="D296" s="559">
        <v>4607091386004</v>
      </c>
      <c r="E296" s="560"/>
      <c r="F296" s="548">
        <v>1.35</v>
      </c>
      <c r="G296" s="32">
        <v>8</v>
      </c>
      <c r="H296" s="548">
        <v>10.8</v>
      </c>
      <c r="I296" s="548">
        <v>11.21</v>
      </c>
      <c r="J296" s="32">
        <v>64</v>
      </c>
      <c r="K296" s="32" t="s">
        <v>106</v>
      </c>
      <c r="L296" s="32"/>
      <c r="M296" s="33" t="s">
        <v>108</v>
      </c>
      <c r="N296" s="33"/>
      <c r="O296" s="32">
        <v>55</v>
      </c>
      <c r="P296" s="74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54"/>
      <c r="R296" s="554"/>
      <c r="S296" s="554"/>
      <c r="T296" s="555"/>
      <c r="U296" s="34"/>
      <c r="V296" s="34"/>
      <c r="W296" s="35" t="s">
        <v>69</v>
      </c>
      <c r="X296" s="549">
        <v>0</v>
      </c>
      <c r="Y296" s="550">
        <f t="shared" ref="Y296:Y301" si="31"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 t="shared" ref="BM296:BM301" si="32">IFERROR(X296*I296/H296,"0")</f>
        <v>0</v>
      </c>
      <c r="BN296" s="64">
        <f t="shared" ref="BN296:BN301" si="33">IFERROR(Y296*I296/H296,"0")</f>
        <v>0</v>
      </c>
      <c r="BO296" s="64">
        <f t="shared" ref="BO296:BO301" si="34">IFERROR(1/J296*(X296/H296),"0")</f>
        <v>0</v>
      </c>
      <c r="BP296" s="64">
        <f t="shared" ref="BP296:BP301" si="35">IFERROR(1/J296*(Y296/H296),"0")</f>
        <v>0</v>
      </c>
    </row>
    <row r="297" spans="1:68" ht="27" hidden="1" customHeight="1" x14ac:dyDescent="0.25">
      <c r="A297" s="54" t="s">
        <v>476</v>
      </c>
      <c r="B297" s="54" t="s">
        <v>477</v>
      </c>
      <c r="C297" s="31">
        <v>4301012024</v>
      </c>
      <c r="D297" s="559">
        <v>4680115885615</v>
      </c>
      <c r="E297" s="560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106</v>
      </c>
      <c r="L297" s="32"/>
      <c r="M297" s="33" t="s">
        <v>81</v>
      </c>
      <c r="N297" s="33"/>
      <c r="O297" s="32">
        <v>55</v>
      </c>
      <c r="P297" s="85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 t="shared" si="31"/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/>
      <c r="AK297" s="68">
        <v>0</v>
      </c>
      <c r="BB297" s="348" t="s">
        <v>1</v>
      </c>
      <c r="BM297" s="64">
        <f t="shared" si="32"/>
        <v>0</v>
      </c>
      <c r="BN297" s="64">
        <f t="shared" si="33"/>
        <v>0</v>
      </c>
      <c r="BO297" s="64">
        <f t="shared" si="34"/>
        <v>0</v>
      </c>
      <c r="BP297" s="64">
        <f t="shared" si="35"/>
        <v>0</v>
      </c>
    </row>
    <row r="298" spans="1:68" ht="37.5" hidden="1" customHeight="1" x14ac:dyDescent="0.25">
      <c r="A298" s="54" t="s">
        <v>479</v>
      </c>
      <c r="B298" s="54" t="s">
        <v>480</v>
      </c>
      <c r="C298" s="31">
        <v>4301011858</v>
      </c>
      <c r="D298" s="559">
        <v>4680115885646</v>
      </c>
      <c r="E298" s="560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82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 t="shared" si="31"/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/>
      <c r="AK298" s="68">
        <v>0</v>
      </c>
      <c r="BB298" s="350" t="s">
        <v>1</v>
      </c>
      <c r="BM298" s="64">
        <f t="shared" si="32"/>
        <v>0</v>
      </c>
      <c r="BN298" s="64">
        <f t="shared" si="33"/>
        <v>0</v>
      </c>
      <c r="BO298" s="64">
        <f t="shared" si="34"/>
        <v>0</v>
      </c>
      <c r="BP298" s="64">
        <f t="shared" si="35"/>
        <v>0</v>
      </c>
    </row>
    <row r="299" spans="1:68" ht="27" hidden="1" customHeight="1" x14ac:dyDescent="0.25">
      <c r="A299" s="54" t="s">
        <v>482</v>
      </c>
      <c r="B299" s="54" t="s">
        <v>483</v>
      </c>
      <c r="C299" s="31">
        <v>4301012016</v>
      </c>
      <c r="D299" s="559">
        <v>4680115885554</v>
      </c>
      <c r="E299" s="560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106</v>
      </c>
      <c r="L299" s="32"/>
      <c r="M299" s="33" t="s">
        <v>81</v>
      </c>
      <c r="N299" s="33"/>
      <c r="O299" s="32">
        <v>55</v>
      </c>
      <c r="P299" s="67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484</v>
      </c>
      <c r="AG299" s="64"/>
      <c r="AJ299" s="68"/>
      <c r="AK299" s="68">
        <v>0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hidden="1" customHeight="1" x14ac:dyDescent="0.25">
      <c r="A300" s="54" t="s">
        <v>485</v>
      </c>
      <c r="B300" s="54" t="s">
        <v>486</v>
      </c>
      <c r="C300" s="31">
        <v>4301011857</v>
      </c>
      <c r="D300" s="559">
        <v>4680115885622</v>
      </c>
      <c r="E300" s="560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112</v>
      </c>
      <c r="L300" s="32"/>
      <c r="M300" s="33" t="s">
        <v>108</v>
      </c>
      <c r="N300" s="33"/>
      <c r="O300" s="32">
        <v>55</v>
      </c>
      <c r="P300" s="70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 t="shared" si="31"/>
        <v>0</v>
      </c>
      <c r="Z300" s="36" t="str">
        <f>IFERROR(IF(Y300=0,"",ROUNDUP(Y300/H300,0)*0.00902),"")</f>
        <v/>
      </c>
      <c r="AA300" s="56"/>
      <c r="AB300" s="57"/>
      <c r="AC300" s="353" t="s">
        <v>478</v>
      </c>
      <c r="AG300" s="64"/>
      <c r="AJ300" s="68"/>
      <c r="AK300" s="68">
        <v>0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4301011859</v>
      </c>
      <c r="D301" s="559">
        <v>4680115885608</v>
      </c>
      <c r="E301" s="560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112</v>
      </c>
      <c r="L301" s="32"/>
      <c r="M301" s="33" t="s">
        <v>108</v>
      </c>
      <c r="N301" s="33"/>
      <c r="O301" s="32">
        <v>55</v>
      </c>
      <c r="P301" s="80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 t="shared" si="31"/>
        <v>0</v>
      </c>
      <c r="Z301" s="36" t="str">
        <f>IFERROR(IF(Y301=0,"",ROUNDUP(Y301/H301,0)*0.00902),"")</f>
        <v/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idden="1" x14ac:dyDescent="0.2">
      <c r="A302" s="556"/>
      <c r="B302" s="557"/>
      <c r="C302" s="557"/>
      <c r="D302" s="557"/>
      <c r="E302" s="557"/>
      <c r="F302" s="557"/>
      <c r="G302" s="557"/>
      <c r="H302" s="557"/>
      <c r="I302" s="557"/>
      <c r="J302" s="557"/>
      <c r="K302" s="557"/>
      <c r="L302" s="557"/>
      <c r="M302" s="557"/>
      <c r="N302" s="557"/>
      <c r="O302" s="558"/>
      <c r="P302" s="565" t="s">
        <v>75</v>
      </c>
      <c r="Q302" s="566"/>
      <c r="R302" s="566"/>
      <c r="S302" s="566"/>
      <c r="T302" s="566"/>
      <c r="U302" s="566"/>
      <c r="V302" s="567"/>
      <c r="W302" s="37" t="s">
        <v>76</v>
      </c>
      <c r="X302" s="551">
        <f>IFERROR(X296/H296,"0")+IFERROR(X297/H297,"0")+IFERROR(X298/H298,"0")+IFERROR(X299/H299,"0")+IFERROR(X300/H300,"0")+IFERROR(X301/H301,"0")</f>
        <v>0</v>
      </c>
      <c r="Y302" s="551">
        <f>IFERROR(Y296/H296,"0")+IFERROR(Y297/H297,"0")+IFERROR(Y298/H298,"0")+IFERROR(Y299/H299,"0")+IFERROR(Y300/H300,"0")+IFERROR(Y301/H301,"0")</f>
        <v>0</v>
      </c>
      <c r="Z302" s="551">
        <f>IFERROR(IF(Z296="",0,Z296),"0")+IFERROR(IF(Z297="",0,Z297),"0")+IFERROR(IF(Z298="",0,Z298),"0")+IFERROR(IF(Z299="",0,Z299),"0")+IFERROR(IF(Z300="",0,Z300),"0")+IFERROR(IF(Z301="",0,Z301),"0")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hidden="1" x14ac:dyDescent="0.2">
      <c r="A303" s="557"/>
      <c r="B303" s="557"/>
      <c r="C303" s="557"/>
      <c r="D303" s="557"/>
      <c r="E303" s="557"/>
      <c r="F303" s="557"/>
      <c r="G303" s="557"/>
      <c r="H303" s="557"/>
      <c r="I303" s="557"/>
      <c r="J303" s="557"/>
      <c r="K303" s="557"/>
      <c r="L303" s="557"/>
      <c r="M303" s="557"/>
      <c r="N303" s="557"/>
      <c r="O303" s="558"/>
      <c r="P303" s="565" t="s">
        <v>75</v>
      </c>
      <c r="Q303" s="566"/>
      <c r="R303" s="566"/>
      <c r="S303" s="566"/>
      <c r="T303" s="566"/>
      <c r="U303" s="566"/>
      <c r="V303" s="567"/>
      <c r="W303" s="37" t="s">
        <v>69</v>
      </c>
      <c r="X303" s="551">
        <f>IFERROR(SUM(X296:X301),"0")</f>
        <v>0</v>
      </c>
      <c r="Y303" s="551">
        <f>IFERROR(SUM(Y296:Y301),"0")</f>
        <v>0</v>
      </c>
      <c r="Z303" s="37"/>
      <c r="AA303" s="552"/>
      <c r="AB303" s="552"/>
      <c r="AC303" s="552"/>
    </row>
    <row r="304" spans="1:68" ht="14.25" hidden="1" customHeight="1" x14ac:dyDescent="0.25">
      <c r="A304" s="562" t="s">
        <v>64</v>
      </c>
      <c r="B304" s="557"/>
      <c r="C304" s="557"/>
      <c r="D304" s="557"/>
      <c r="E304" s="557"/>
      <c r="F304" s="557"/>
      <c r="G304" s="557"/>
      <c r="H304" s="557"/>
      <c r="I304" s="557"/>
      <c r="J304" s="557"/>
      <c r="K304" s="557"/>
      <c r="L304" s="557"/>
      <c r="M304" s="557"/>
      <c r="N304" s="557"/>
      <c r="O304" s="557"/>
      <c r="P304" s="557"/>
      <c r="Q304" s="557"/>
      <c r="R304" s="557"/>
      <c r="S304" s="557"/>
      <c r="T304" s="557"/>
      <c r="U304" s="557"/>
      <c r="V304" s="557"/>
      <c r="W304" s="557"/>
      <c r="X304" s="557"/>
      <c r="Y304" s="557"/>
      <c r="Z304" s="557"/>
      <c r="AA304" s="544"/>
      <c r="AB304" s="544"/>
      <c r="AC304" s="544"/>
    </row>
    <row r="305" spans="1:68" ht="27" customHeight="1" x14ac:dyDescent="0.25">
      <c r="A305" s="54" t="s">
        <v>490</v>
      </c>
      <c r="B305" s="54" t="s">
        <v>491</v>
      </c>
      <c r="C305" s="31">
        <v>4301030878</v>
      </c>
      <c r="D305" s="559">
        <v>4607091387193</v>
      </c>
      <c r="E305" s="560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112</v>
      </c>
      <c r="L305" s="32"/>
      <c r="M305" s="33" t="s">
        <v>68</v>
      </c>
      <c r="N305" s="33"/>
      <c r="O305" s="32">
        <v>35</v>
      </c>
      <c r="P305" s="71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60</v>
      </c>
      <c r="Y305" s="550">
        <f t="shared" ref="Y305:Y310" si="36">IFERROR(IF(X305="",0,CEILING((X305/$H305),1)*$H305),"")</f>
        <v>63</v>
      </c>
      <c r="Z305" s="36">
        <f>IFERROR(IF(Y305=0,"",ROUNDUP(Y305/H305,0)*0.00902),"")</f>
        <v>0.1353</v>
      </c>
      <c r="AA305" s="56"/>
      <c r="AB305" s="57"/>
      <c r="AC305" s="357" t="s">
        <v>492</v>
      </c>
      <c r="AG305" s="64"/>
      <c r="AJ305" s="68"/>
      <c r="AK305" s="68">
        <v>0</v>
      </c>
      <c r="BB305" s="358" t="s">
        <v>1</v>
      </c>
      <c r="BM305" s="64">
        <f t="shared" ref="BM305:BM310" si="37">IFERROR(X305*I305/H305,"0")</f>
        <v>63.571428571428569</v>
      </c>
      <c r="BN305" s="64">
        <f t="shared" ref="BN305:BN310" si="38">IFERROR(Y305*I305/H305,"0")</f>
        <v>66.75</v>
      </c>
      <c r="BO305" s="64">
        <f t="shared" ref="BO305:BO310" si="39">IFERROR(1/J305*(X305/H305),"0")</f>
        <v>0.10822510822510822</v>
      </c>
      <c r="BP305" s="64">
        <f t="shared" ref="BP305:BP310" si="40">IFERROR(1/J305*(Y305/H305),"0")</f>
        <v>0.11363636363636365</v>
      </c>
    </row>
    <row r="306" spans="1:68" ht="27" hidden="1" customHeight="1" x14ac:dyDescent="0.25">
      <c r="A306" s="54" t="s">
        <v>493</v>
      </c>
      <c r="B306" s="54" t="s">
        <v>494</v>
      </c>
      <c r="C306" s="31">
        <v>4301031153</v>
      </c>
      <c r="D306" s="559">
        <v>4607091387230</v>
      </c>
      <c r="E306" s="560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112</v>
      </c>
      <c r="L306" s="32"/>
      <c r="M306" s="33" t="s">
        <v>68</v>
      </c>
      <c r="N306" s="33"/>
      <c r="O306" s="32">
        <v>40</v>
      </c>
      <c r="P306" s="69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6"/>
        <v>0</v>
      </c>
      <c r="Z306" s="36" t="str">
        <f>IFERROR(IF(Y306=0,"",ROUNDUP(Y306/H306,0)*0.00902),"")</f>
        <v/>
      </c>
      <c r="AA306" s="56"/>
      <c r="AB306" s="57"/>
      <c r="AC306" s="359" t="s">
        <v>495</v>
      </c>
      <c r="AG306" s="64"/>
      <c r="AJ306" s="68"/>
      <c r="AK306" s="68">
        <v>0</v>
      </c>
      <c r="BB306" s="360" t="s">
        <v>1</v>
      </c>
      <c r="BM306" s="64">
        <f t="shared" si="37"/>
        <v>0</v>
      </c>
      <c r="BN306" s="64">
        <f t="shared" si="38"/>
        <v>0</v>
      </c>
      <c r="BO306" s="64">
        <f t="shared" si="39"/>
        <v>0</v>
      </c>
      <c r="BP306" s="64">
        <f t="shared" si="40"/>
        <v>0</v>
      </c>
    </row>
    <row r="307" spans="1:68" ht="27" hidden="1" customHeight="1" x14ac:dyDescent="0.25">
      <c r="A307" s="54" t="s">
        <v>496</v>
      </c>
      <c r="B307" s="54" t="s">
        <v>497</v>
      </c>
      <c r="C307" s="31">
        <v>4301031154</v>
      </c>
      <c r="D307" s="559">
        <v>4607091387292</v>
      </c>
      <c r="E307" s="560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112</v>
      </c>
      <c r="L307" s="32"/>
      <c r="M307" s="33" t="s">
        <v>68</v>
      </c>
      <c r="N307" s="33"/>
      <c r="O307" s="32">
        <v>45</v>
      </c>
      <c r="P307" s="87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6"/>
        <v>0</v>
      </c>
      <c r="Z307" s="36" t="str">
        <f>IFERROR(IF(Y307=0,"",ROUNDUP(Y307/H307,0)*0.00902),"")</f>
        <v/>
      </c>
      <c r="AA307" s="56"/>
      <c r="AB307" s="57"/>
      <c r="AC307" s="361" t="s">
        <v>498</v>
      </c>
      <c r="AG307" s="64"/>
      <c r="AJ307" s="68"/>
      <c r="AK307" s="68">
        <v>0</v>
      </c>
      <c r="BB307" s="362" t="s">
        <v>1</v>
      </c>
      <c r="BM307" s="64">
        <f t="shared" si="37"/>
        <v>0</v>
      </c>
      <c r="BN307" s="64">
        <f t="shared" si="38"/>
        <v>0</v>
      </c>
      <c r="BO307" s="64">
        <f t="shared" si="39"/>
        <v>0</v>
      </c>
      <c r="BP307" s="64">
        <f t="shared" si="40"/>
        <v>0</v>
      </c>
    </row>
    <row r="308" spans="1:68" ht="27" hidden="1" customHeight="1" x14ac:dyDescent="0.25">
      <c r="A308" s="54" t="s">
        <v>499</v>
      </c>
      <c r="B308" s="54" t="s">
        <v>500</v>
      </c>
      <c r="C308" s="31">
        <v>4301031152</v>
      </c>
      <c r="D308" s="559">
        <v>4607091387285</v>
      </c>
      <c r="E308" s="560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69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6"/>
        <v>0</v>
      </c>
      <c r="Z308" s="36" t="str">
        <f>IFERROR(IF(Y308=0,"",ROUNDUP(Y308/H308,0)*0.00502),"")</f>
        <v/>
      </c>
      <c r="AA308" s="56"/>
      <c r="AB308" s="57"/>
      <c r="AC308" s="363" t="s">
        <v>495</v>
      </c>
      <c r="AG308" s="64"/>
      <c r="AJ308" s="68"/>
      <c r="AK308" s="68">
        <v>0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4301031305</v>
      </c>
      <c r="D309" s="559">
        <v>4607091389845</v>
      </c>
      <c r="E309" s="560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297</v>
      </c>
      <c r="M309" s="33" t="s">
        <v>68</v>
      </c>
      <c r="N309" s="33"/>
      <c r="O309" s="32">
        <v>40</v>
      </c>
      <c r="P309" s="74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0</v>
      </c>
      <c r="Y309" s="550">
        <f t="shared" si="36"/>
        <v>0</v>
      </c>
      <c r="Z309" s="36" t="str">
        <f>IFERROR(IF(Y309=0,"",ROUNDUP(Y309/H309,0)*0.00502),"")</f>
        <v/>
      </c>
      <c r="AA309" s="56"/>
      <c r="AB309" s="57"/>
      <c r="AC309" s="365" t="s">
        <v>503</v>
      </c>
      <c r="AG309" s="64"/>
      <c r="AJ309" s="68" t="s">
        <v>83</v>
      </c>
      <c r="AK309" s="68">
        <v>37.799999999999997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hidden="1" customHeight="1" x14ac:dyDescent="0.25">
      <c r="A310" s="54" t="s">
        <v>504</v>
      </c>
      <c r="B310" s="54" t="s">
        <v>505</v>
      </c>
      <c r="C310" s="31">
        <v>4301031066</v>
      </c>
      <c r="D310" s="559">
        <v>4607091383836</v>
      </c>
      <c r="E310" s="560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 t="s">
        <v>80</v>
      </c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0</v>
      </c>
      <c r="Y310" s="550">
        <f t="shared" si="36"/>
        <v>0</v>
      </c>
      <c r="Z310" s="36" t="str">
        <f>IFERROR(IF(Y310=0,"",ROUNDUP(Y310/H310,0)*0.00651),"")</f>
        <v/>
      </c>
      <c r="AA310" s="56"/>
      <c r="AB310" s="57"/>
      <c r="AC310" s="367" t="s">
        <v>506</v>
      </c>
      <c r="AG310" s="64"/>
      <c r="AJ310" s="68" t="s">
        <v>83</v>
      </c>
      <c r="AK310" s="68">
        <v>25.2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x14ac:dyDescent="0.2">
      <c r="A311" s="556"/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58"/>
      <c r="P311" s="565" t="s">
        <v>75</v>
      </c>
      <c r="Q311" s="566"/>
      <c r="R311" s="566"/>
      <c r="S311" s="566"/>
      <c r="T311" s="566"/>
      <c r="U311" s="566"/>
      <c r="V311" s="567"/>
      <c r="W311" s="37" t="s">
        <v>76</v>
      </c>
      <c r="X311" s="551">
        <f>IFERROR(X305/H305,"0")+IFERROR(X306/H306,"0")+IFERROR(X307/H307,"0")+IFERROR(X308/H308,"0")+IFERROR(X309/H309,"0")+IFERROR(X310/H310,"0")</f>
        <v>14.285714285714285</v>
      </c>
      <c r="Y311" s="551">
        <f>IFERROR(Y305/H305,"0")+IFERROR(Y306/H306,"0")+IFERROR(Y307/H307,"0")+IFERROR(Y308/H308,"0")+IFERROR(Y309/H309,"0")+IFERROR(Y310/H310,"0")</f>
        <v>15</v>
      </c>
      <c r="Z311" s="551">
        <f>IFERROR(IF(Z305="",0,Z305),"0")+IFERROR(IF(Z306="",0,Z306),"0")+IFERROR(IF(Z307="",0,Z307),"0")+IFERROR(IF(Z308="",0,Z308),"0")+IFERROR(IF(Z309="",0,Z309),"0")+IFERROR(IF(Z310="",0,Z310),"0")</f>
        <v>0.1353</v>
      </c>
      <c r="AA311" s="552"/>
      <c r="AB311" s="552"/>
      <c r="AC311" s="552"/>
    </row>
    <row r="312" spans="1:68" x14ac:dyDescent="0.2">
      <c r="A312" s="557"/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58"/>
      <c r="P312" s="565" t="s">
        <v>75</v>
      </c>
      <c r="Q312" s="566"/>
      <c r="R312" s="566"/>
      <c r="S312" s="566"/>
      <c r="T312" s="566"/>
      <c r="U312" s="566"/>
      <c r="V312" s="567"/>
      <c r="W312" s="37" t="s">
        <v>69</v>
      </c>
      <c r="X312" s="551">
        <f>IFERROR(SUM(X305:X310),"0")</f>
        <v>60</v>
      </c>
      <c r="Y312" s="551">
        <f>IFERROR(SUM(Y305:Y310),"0")</f>
        <v>63</v>
      </c>
      <c r="Z312" s="37"/>
      <c r="AA312" s="552"/>
      <c r="AB312" s="552"/>
      <c r="AC312" s="552"/>
    </row>
    <row r="313" spans="1:68" ht="14.25" hidden="1" customHeight="1" x14ac:dyDescent="0.25">
      <c r="A313" s="562" t="s">
        <v>77</v>
      </c>
      <c r="B313" s="557"/>
      <c r="C313" s="557"/>
      <c r="D313" s="557"/>
      <c r="E313" s="557"/>
      <c r="F313" s="557"/>
      <c r="G313" s="557"/>
      <c r="H313" s="557"/>
      <c r="I313" s="557"/>
      <c r="J313" s="557"/>
      <c r="K313" s="557"/>
      <c r="L313" s="557"/>
      <c r="M313" s="557"/>
      <c r="N313" s="557"/>
      <c r="O313" s="557"/>
      <c r="P313" s="557"/>
      <c r="Q313" s="557"/>
      <c r="R313" s="557"/>
      <c r="S313" s="557"/>
      <c r="T313" s="557"/>
      <c r="U313" s="557"/>
      <c r="V313" s="557"/>
      <c r="W313" s="557"/>
      <c r="X313" s="557"/>
      <c r="Y313" s="557"/>
      <c r="Z313" s="557"/>
      <c r="AA313" s="544"/>
      <c r="AB313" s="544"/>
      <c r="AC313" s="544"/>
    </row>
    <row r="314" spans="1:68" ht="27" hidden="1" customHeight="1" x14ac:dyDescent="0.25">
      <c r="A314" s="54" t="s">
        <v>507</v>
      </c>
      <c r="B314" s="54" t="s">
        <v>508</v>
      </c>
      <c r="C314" s="31">
        <v>4301051100</v>
      </c>
      <c r="D314" s="559">
        <v>4607091387766</v>
      </c>
      <c r="E314" s="560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106</v>
      </c>
      <c r="L314" s="32"/>
      <c r="M314" s="33" t="s">
        <v>81</v>
      </c>
      <c r="N314" s="33"/>
      <c r="O314" s="32">
        <v>40</v>
      </c>
      <c r="P314" s="78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509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510</v>
      </c>
      <c r="B315" s="54" t="s">
        <v>511</v>
      </c>
      <c r="C315" s="31">
        <v>4301051818</v>
      </c>
      <c r="D315" s="559">
        <v>4607091387957</v>
      </c>
      <c r="E315" s="560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106</v>
      </c>
      <c r="L315" s="32"/>
      <c r="M315" s="33" t="s">
        <v>81</v>
      </c>
      <c r="N315" s="33"/>
      <c r="O315" s="32">
        <v>40</v>
      </c>
      <c r="P315" s="66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513</v>
      </c>
      <c r="B316" s="54" t="s">
        <v>514</v>
      </c>
      <c r="C316" s="31">
        <v>4301051819</v>
      </c>
      <c r="D316" s="559">
        <v>4607091387964</v>
      </c>
      <c r="E316" s="560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106</v>
      </c>
      <c r="L316" s="32"/>
      <c r="M316" s="33" t="s">
        <v>81</v>
      </c>
      <c r="N316" s="33"/>
      <c r="O316" s="32">
        <v>40</v>
      </c>
      <c r="P316" s="65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516</v>
      </c>
      <c r="B317" s="54" t="s">
        <v>517</v>
      </c>
      <c r="C317" s="31">
        <v>4301051734</v>
      </c>
      <c r="D317" s="559">
        <v>4680115884588</v>
      </c>
      <c r="E317" s="560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81</v>
      </c>
      <c r="N317" s="33"/>
      <c r="O317" s="32">
        <v>40</v>
      </c>
      <c r="P317" s="8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518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56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58"/>
      <c r="P318" s="565" t="s">
        <v>75</v>
      </c>
      <c r="Q318" s="566"/>
      <c r="R318" s="566"/>
      <c r="S318" s="566"/>
      <c r="T318" s="566"/>
      <c r="U318" s="566"/>
      <c r="V318" s="567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hidden="1" x14ac:dyDescent="0.2">
      <c r="A319" s="557"/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8"/>
      <c r="P319" s="565" t="s">
        <v>75</v>
      </c>
      <c r="Q319" s="566"/>
      <c r="R319" s="566"/>
      <c r="S319" s="566"/>
      <c r="T319" s="566"/>
      <c r="U319" s="566"/>
      <c r="V319" s="567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hidden="1" customHeight="1" x14ac:dyDescent="0.25">
      <c r="A320" s="562" t="s">
        <v>163</v>
      </c>
      <c r="B320" s="557"/>
      <c r="C320" s="557"/>
      <c r="D320" s="557"/>
      <c r="E320" s="557"/>
      <c r="F320" s="557"/>
      <c r="G320" s="557"/>
      <c r="H320" s="557"/>
      <c r="I320" s="557"/>
      <c r="J320" s="557"/>
      <c r="K320" s="557"/>
      <c r="L320" s="557"/>
      <c r="M320" s="557"/>
      <c r="N320" s="557"/>
      <c r="O320" s="557"/>
      <c r="P320" s="557"/>
      <c r="Q320" s="557"/>
      <c r="R320" s="557"/>
      <c r="S320" s="557"/>
      <c r="T320" s="557"/>
      <c r="U320" s="557"/>
      <c r="V320" s="557"/>
      <c r="W320" s="557"/>
      <c r="X320" s="557"/>
      <c r="Y320" s="557"/>
      <c r="Z320" s="557"/>
      <c r="AA320" s="544"/>
      <c r="AB320" s="544"/>
      <c r="AC320" s="544"/>
    </row>
    <row r="321" spans="1:68" ht="27" hidden="1" customHeight="1" x14ac:dyDescent="0.25">
      <c r="A321" s="54" t="s">
        <v>519</v>
      </c>
      <c r="B321" s="54" t="s">
        <v>520</v>
      </c>
      <c r="C321" s="31">
        <v>4301060387</v>
      </c>
      <c r="D321" s="559">
        <v>4607091380880</v>
      </c>
      <c r="E321" s="560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106</v>
      </c>
      <c r="L321" s="32" t="s">
        <v>107</v>
      </c>
      <c r="M321" s="33" t="s">
        <v>81</v>
      </c>
      <c r="N321" s="33"/>
      <c r="O321" s="32">
        <v>30</v>
      </c>
      <c r="P321" s="80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521</v>
      </c>
      <c r="AG321" s="64"/>
      <c r="AJ321" s="68" t="s">
        <v>83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522</v>
      </c>
      <c r="B322" s="54" t="s">
        <v>523</v>
      </c>
      <c r="C322" s="31">
        <v>4301060406</v>
      </c>
      <c r="D322" s="559">
        <v>4607091384482</v>
      </c>
      <c r="E322" s="560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106</v>
      </c>
      <c r="L322" s="32" t="s">
        <v>107</v>
      </c>
      <c r="M322" s="33" t="s">
        <v>81</v>
      </c>
      <c r="N322" s="33"/>
      <c r="O322" s="32">
        <v>30</v>
      </c>
      <c r="P322" s="74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60</v>
      </c>
      <c r="Y322" s="550">
        <f>IFERROR(IF(X322="",0,CEILING((X322/$H322),1)*$H322),"")</f>
        <v>62.4</v>
      </c>
      <c r="Z322" s="36">
        <f>IFERROR(IF(Y322=0,"",ROUNDUP(Y322/H322,0)*0.01898),"")</f>
        <v>0.15184</v>
      </c>
      <c r="AA322" s="56"/>
      <c r="AB322" s="57"/>
      <c r="AC322" s="379" t="s">
        <v>524</v>
      </c>
      <c r="AG322" s="64"/>
      <c r="AJ322" s="68" t="s">
        <v>83</v>
      </c>
      <c r="AK322" s="68">
        <v>62.4</v>
      </c>
      <c r="BB322" s="380" t="s">
        <v>1</v>
      </c>
      <c r="BM322" s="64">
        <f>IFERROR(X322*I322/H322,"0")</f>
        <v>63.800000000000004</v>
      </c>
      <c r="BN322" s="64">
        <f>IFERROR(Y322*I322/H322,"0")</f>
        <v>66.352000000000004</v>
      </c>
      <c r="BO322" s="64">
        <f>IFERROR(1/J322*(X322/H322),"0")</f>
        <v>0.1201923076923077</v>
      </c>
      <c r="BP322" s="64">
        <f>IFERROR(1/J322*(Y322/H322),"0")</f>
        <v>0.125</v>
      </c>
    </row>
    <row r="323" spans="1:68" ht="16.5" hidden="1" customHeight="1" x14ac:dyDescent="0.25">
      <c r="A323" s="54" t="s">
        <v>525</v>
      </c>
      <c r="B323" s="54" t="s">
        <v>526</v>
      </c>
      <c r="C323" s="31">
        <v>4301060484</v>
      </c>
      <c r="D323" s="559">
        <v>4607091380897</v>
      </c>
      <c r="E323" s="560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106</v>
      </c>
      <c r="L323" s="32"/>
      <c r="M323" s="33" t="s">
        <v>88</v>
      </c>
      <c r="N323" s="33"/>
      <c r="O323" s="32">
        <v>30</v>
      </c>
      <c r="P323" s="80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0</v>
      </c>
      <c r="Y323" s="55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527</v>
      </c>
      <c r="AG323" s="64"/>
      <c r="AJ323" s="68"/>
      <c r="AK323" s="68">
        <v>0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56"/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58"/>
      <c r="P324" s="565" t="s">
        <v>75</v>
      </c>
      <c r="Q324" s="566"/>
      <c r="R324" s="566"/>
      <c r="S324" s="566"/>
      <c r="T324" s="566"/>
      <c r="U324" s="566"/>
      <c r="V324" s="567"/>
      <c r="W324" s="37" t="s">
        <v>76</v>
      </c>
      <c r="X324" s="551">
        <f>IFERROR(X321/H321,"0")+IFERROR(X322/H322,"0")+IFERROR(X323/H323,"0")</f>
        <v>7.6923076923076925</v>
      </c>
      <c r="Y324" s="551">
        <f>IFERROR(Y321/H321,"0")+IFERROR(Y322/H322,"0")+IFERROR(Y323/H323,"0")</f>
        <v>8</v>
      </c>
      <c r="Z324" s="551">
        <f>IFERROR(IF(Z321="",0,Z321),"0")+IFERROR(IF(Z322="",0,Z322),"0")+IFERROR(IF(Z323="",0,Z323),"0")</f>
        <v>0.15184</v>
      </c>
      <c r="AA324" s="552"/>
      <c r="AB324" s="552"/>
      <c r="AC324" s="552"/>
    </row>
    <row r="325" spans="1:68" x14ac:dyDescent="0.2">
      <c r="A325" s="557"/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58"/>
      <c r="P325" s="565" t="s">
        <v>75</v>
      </c>
      <c r="Q325" s="566"/>
      <c r="R325" s="566"/>
      <c r="S325" s="566"/>
      <c r="T325" s="566"/>
      <c r="U325" s="566"/>
      <c r="V325" s="567"/>
      <c r="W325" s="37" t="s">
        <v>69</v>
      </c>
      <c r="X325" s="551">
        <f>IFERROR(SUM(X321:X323),"0")</f>
        <v>60</v>
      </c>
      <c r="Y325" s="551">
        <f>IFERROR(SUM(Y321:Y323),"0")</f>
        <v>62.4</v>
      </c>
      <c r="Z325" s="37"/>
      <c r="AA325" s="552"/>
      <c r="AB325" s="552"/>
      <c r="AC325" s="552"/>
    </row>
    <row r="326" spans="1:68" ht="14.25" hidden="1" customHeight="1" x14ac:dyDescent="0.25">
      <c r="A326" s="562" t="s">
        <v>95</v>
      </c>
      <c r="B326" s="557"/>
      <c r="C326" s="557"/>
      <c r="D326" s="557"/>
      <c r="E326" s="557"/>
      <c r="F326" s="557"/>
      <c r="G326" s="557"/>
      <c r="H326" s="557"/>
      <c r="I326" s="557"/>
      <c r="J326" s="557"/>
      <c r="K326" s="557"/>
      <c r="L326" s="557"/>
      <c r="M326" s="557"/>
      <c r="N326" s="557"/>
      <c r="O326" s="557"/>
      <c r="P326" s="557"/>
      <c r="Q326" s="557"/>
      <c r="R326" s="557"/>
      <c r="S326" s="557"/>
      <c r="T326" s="557"/>
      <c r="U326" s="557"/>
      <c r="V326" s="557"/>
      <c r="W326" s="557"/>
      <c r="X326" s="557"/>
      <c r="Y326" s="557"/>
      <c r="Z326" s="557"/>
      <c r="AA326" s="544"/>
      <c r="AB326" s="544"/>
      <c r="AC326" s="544"/>
    </row>
    <row r="327" spans="1:68" ht="27" hidden="1" customHeight="1" x14ac:dyDescent="0.25">
      <c r="A327" s="54" t="s">
        <v>528</v>
      </c>
      <c r="B327" s="54" t="s">
        <v>529</v>
      </c>
      <c r="C327" s="31">
        <v>4301030235</v>
      </c>
      <c r="D327" s="559">
        <v>4607091388381</v>
      </c>
      <c r="E327" s="560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112</v>
      </c>
      <c r="L327" s="32"/>
      <c r="M327" s="33" t="s">
        <v>98</v>
      </c>
      <c r="N327" s="33"/>
      <c r="O327" s="32">
        <v>180</v>
      </c>
      <c r="P327" s="75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530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531</v>
      </c>
      <c r="B328" s="54" t="s">
        <v>532</v>
      </c>
      <c r="C328" s="31">
        <v>4301030232</v>
      </c>
      <c r="D328" s="559">
        <v>4607091388374</v>
      </c>
      <c r="E328" s="560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112</v>
      </c>
      <c r="L328" s="32"/>
      <c r="M328" s="33" t="s">
        <v>98</v>
      </c>
      <c r="N328" s="33"/>
      <c r="O328" s="32">
        <v>180</v>
      </c>
      <c r="P328" s="57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530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4301032015</v>
      </c>
      <c r="D329" s="559">
        <v>4607091383102</v>
      </c>
      <c r="E329" s="560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 t="s">
        <v>80</v>
      </c>
      <c r="M329" s="33" t="s">
        <v>98</v>
      </c>
      <c r="N329" s="33"/>
      <c r="O329" s="32">
        <v>180</v>
      </c>
      <c r="P329" s="60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535</v>
      </c>
      <c r="AG329" s="64"/>
      <c r="AJ329" s="68" t="s">
        <v>83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536</v>
      </c>
      <c r="B330" s="54" t="s">
        <v>537</v>
      </c>
      <c r="C330" s="31">
        <v>4301030233</v>
      </c>
      <c r="D330" s="559">
        <v>4607091388404</v>
      </c>
      <c r="E330" s="560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/>
      <c r="M330" s="33" t="s">
        <v>98</v>
      </c>
      <c r="N330" s="33"/>
      <c r="O330" s="32">
        <v>180</v>
      </c>
      <c r="P330" s="66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530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6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58"/>
      <c r="P331" s="565" t="s">
        <v>75</v>
      </c>
      <c r="Q331" s="566"/>
      <c r="R331" s="566"/>
      <c r="S331" s="566"/>
      <c r="T331" s="566"/>
      <c r="U331" s="566"/>
      <c r="V331" s="567"/>
      <c r="W331" s="37" t="s">
        <v>76</v>
      </c>
      <c r="X331" s="551">
        <f>IFERROR(X327/H327,"0")+IFERROR(X328/H328,"0")+IFERROR(X329/H329,"0")+IFERROR(X330/H330,"0")</f>
        <v>0</v>
      </c>
      <c r="Y331" s="551">
        <f>IFERROR(Y327/H327,"0")+IFERROR(Y328/H328,"0")+IFERROR(Y329/H329,"0")+IFERROR(Y330/H330,"0")</f>
        <v>0</v>
      </c>
      <c r="Z331" s="551">
        <f>IFERROR(IF(Z327="",0,Z327),"0")+IFERROR(IF(Z328="",0,Z328),"0")+IFERROR(IF(Z329="",0,Z329),"0")+IFERROR(IF(Z330="",0,Z330),"0")</f>
        <v>0</v>
      </c>
      <c r="AA331" s="552"/>
      <c r="AB331" s="552"/>
      <c r="AC331" s="552"/>
    </row>
    <row r="332" spans="1:68" hidden="1" x14ac:dyDescent="0.2">
      <c r="A332" s="557"/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8"/>
      <c r="P332" s="565" t="s">
        <v>75</v>
      </c>
      <c r="Q332" s="566"/>
      <c r="R332" s="566"/>
      <c r="S332" s="566"/>
      <c r="T332" s="566"/>
      <c r="U332" s="566"/>
      <c r="V332" s="567"/>
      <c r="W332" s="37" t="s">
        <v>69</v>
      </c>
      <c r="X332" s="551">
        <f>IFERROR(SUM(X327:X330),"0")</f>
        <v>0</v>
      </c>
      <c r="Y332" s="551">
        <f>IFERROR(SUM(Y327:Y330),"0")</f>
        <v>0</v>
      </c>
      <c r="Z332" s="37"/>
      <c r="AA332" s="552"/>
      <c r="AB332" s="552"/>
      <c r="AC332" s="552"/>
    </row>
    <row r="333" spans="1:68" ht="14.25" hidden="1" customHeight="1" x14ac:dyDescent="0.25">
      <c r="A333" s="562" t="s">
        <v>538</v>
      </c>
      <c r="B333" s="557"/>
      <c r="C333" s="557"/>
      <c r="D333" s="557"/>
      <c r="E333" s="557"/>
      <c r="F333" s="557"/>
      <c r="G333" s="557"/>
      <c r="H333" s="557"/>
      <c r="I333" s="557"/>
      <c r="J333" s="557"/>
      <c r="K333" s="557"/>
      <c r="L333" s="557"/>
      <c r="M333" s="557"/>
      <c r="N333" s="557"/>
      <c r="O333" s="557"/>
      <c r="P333" s="557"/>
      <c r="Q333" s="557"/>
      <c r="R333" s="557"/>
      <c r="S333" s="557"/>
      <c r="T333" s="557"/>
      <c r="U333" s="557"/>
      <c r="V333" s="557"/>
      <c r="W333" s="557"/>
      <c r="X333" s="557"/>
      <c r="Y333" s="557"/>
      <c r="Z333" s="557"/>
      <c r="AA333" s="544"/>
      <c r="AB333" s="544"/>
      <c r="AC333" s="544"/>
    </row>
    <row r="334" spans="1:68" ht="16.5" hidden="1" customHeight="1" x14ac:dyDescent="0.25">
      <c r="A334" s="54" t="s">
        <v>539</v>
      </c>
      <c r="B334" s="54" t="s">
        <v>540</v>
      </c>
      <c r="C334" s="31">
        <v>4301180007</v>
      </c>
      <c r="D334" s="559">
        <v>4680115881808</v>
      </c>
      <c r="E334" s="560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541</v>
      </c>
      <c r="N334" s="33"/>
      <c r="O334" s="32">
        <v>730</v>
      </c>
      <c r="P334" s="62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542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543</v>
      </c>
      <c r="B335" s="54" t="s">
        <v>544</v>
      </c>
      <c r="C335" s="31">
        <v>4301180006</v>
      </c>
      <c r="D335" s="559">
        <v>4680115881822</v>
      </c>
      <c r="E335" s="560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541</v>
      </c>
      <c r="N335" s="33"/>
      <c r="O335" s="32">
        <v>730</v>
      </c>
      <c r="P335" s="78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542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4301180001</v>
      </c>
      <c r="D336" s="559">
        <v>4680115880016</v>
      </c>
      <c r="E336" s="560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541</v>
      </c>
      <c r="N336" s="33"/>
      <c r="O336" s="32">
        <v>730</v>
      </c>
      <c r="P336" s="8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542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56"/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8"/>
      <c r="P337" s="565" t="s">
        <v>75</v>
      </c>
      <c r="Q337" s="566"/>
      <c r="R337" s="566"/>
      <c r="S337" s="566"/>
      <c r="T337" s="566"/>
      <c r="U337" s="566"/>
      <c r="V337" s="567"/>
      <c r="W337" s="37" t="s">
        <v>76</v>
      </c>
      <c r="X337" s="551">
        <f>IFERROR(X334/H334,"0")+IFERROR(X335/H335,"0")+IFERROR(X336/H336,"0")</f>
        <v>0</v>
      </c>
      <c r="Y337" s="551">
        <f>IFERROR(Y334/H334,"0")+IFERROR(Y335/H335,"0")+IFERROR(Y336/H336,"0")</f>
        <v>0</v>
      </c>
      <c r="Z337" s="551">
        <f>IFERROR(IF(Z334="",0,Z334),"0")+IFERROR(IF(Z335="",0,Z335),"0")+IFERROR(IF(Z336="",0,Z336),"0")</f>
        <v>0</v>
      </c>
      <c r="AA337" s="552"/>
      <c r="AB337" s="552"/>
      <c r="AC337" s="552"/>
    </row>
    <row r="338" spans="1:68" hidden="1" x14ac:dyDescent="0.2">
      <c r="A338" s="557"/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8"/>
      <c r="P338" s="565" t="s">
        <v>75</v>
      </c>
      <c r="Q338" s="566"/>
      <c r="R338" s="566"/>
      <c r="S338" s="566"/>
      <c r="T338" s="566"/>
      <c r="U338" s="566"/>
      <c r="V338" s="567"/>
      <c r="W338" s="37" t="s">
        <v>69</v>
      </c>
      <c r="X338" s="551">
        <f>IFERROR(SUM(X334:X336),"0")</f>
        <v>0</v>
      </c>
      <c r="Y338" s="551">
        <f>IFERROR(SUM(Y334:Y336),"0")</f>
        <v>0</v>
      </c>
      <c r="Z338" s="37"/>
      <c r="AA338" s="552"/>
      <c r="AB338" s="552"/>
      <c r="AC338" s="552"/>
    </row>
    <row r="339" spans="1:68" ht="16.5" hidden="1" customHeight="1" x14ac:dyDescent="0.25">
      <c r="A339" s="570" t="s">
        <v>547</v>
      </c>
      <c r="B339" s="557"/>
      <c r="C339" s="557"/>
      <c r="D339" s="557"/>
      <c r="E339" s="557"/>
      <c r="F339" s="557"/>
      <c r="G339" s="557"/>
      <c r="H339" s="557"/>
      <c r="I339" s="557"/>
      <c r="J339" s="557"/>
      <c r="K339" s="557"/>
      <c r="L339" s="557"/>
      <c r="M339" s="557"/>
      <c r="N339" s="557"/>
      <c r="O339" s="557"/>
      <c r="P339" s="557"/>
      <c r="Q339" s="557"/>
      <c r="R339" s="557"/>
      <c r="S339" s="557"/>
      <c r="T339" s="557"/>
      <c r="U339" s="557"/>
      <c r="V339" s="557"/>
      <c r="W339" s="557"/>
      <c r="X339" s="557"/>
      <c r="Y339" s="557"/>
      <c r="Z339" s="557"/>
      <c r="AA339" s="543"/>
      <c r="AB339" s="543"/>
      <c r="AC339" s="543"/>
    </row>
    <row r="340" spans="1:68" ht="14.25" hidden="1" customHeight="1" x14ac:dyDescent="0.25">
      <c r="A340" s="562" t="s">
        <v>77</v>
      </c>
      <c r="B340" s="557"/>
      <c r="C340" s="557"/>
      <c r="D340" s="557"/>
      <c r="E340" s="557"/>
      <c r="F340" s="557"/>
      <c r="G340" s="557"/>
      <c r="H340" s="557"/>
      <c r="I340" s="557"/>
      <c r="J340" s="557"/>
      <c r="K340" s="557"/>
      <c r="L340" s="557"/>
      <c r="M340" s="557"/>
      <c r="N340" s="557"/>
      <c r="O340" s="557"/>
      <c r="P340" s="557"/>
      <c r="Q340" s="557"/>
      <c r="R340" s="557"/>
      <c r="S340" s="557"/>
      <c r="T340" s="557"/>
      <c r="U340" s="557"/>
      <c r="V340" s="557"/>
      <c r="W340" s="557"/>
      <c r="X340" s="557"/>
      <c r="Y340" s="557"/>
      <c r="Z340" s="557"/>
      <c r="AA340" s="544"/>
      <c r="AB340" s="544"/>
      <c r="AC340" s="544"/>
    </row>
    <row r="341" spans="1:68" ht="27" hidden="1" customHeight="1" x14ac:dyDescent="0.25">
      <c r="A341" s="54" t="s">
        <v>548</v>
      </c>
      <c r="B341" s="54" t="s">
        <v>549</v>
      </c>
      <c r="C341" s="31">
        <v>4301051489</v>
      </c>
      <c r="D341" s="559">
        <v>4607091387919</v>
      </c>
      <c r="E341" s="560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106</v>
      </c>
      <c r="L341" s="32"/>
      <c r="M341" s="33" t="s">
        <v>88</v>
      </c>
      <c r="N341" s="33"/>
      <c r="O341" s="32">
        <v>45</v>
      </c>
      <c r="P341" s="81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550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551</v>
      </c>
      <c r="B342" s="54" t="s">
        <v>552</v>
      </c>
      <c r="C342" s="31">
        <v>4301051461</v>
      </c>
      <c r="D342" s="559">
        <v>4680115883604</v>
      </c>
      <c r="E342" s="560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80</v>
      </c>
      <c r="M342" s="33" t="s">
        <v>81</v>
      </c>
      <c r="N342" s="33"/>
      <c r="O342" s="32">
        <v>45</v>
      </c>
      <c r="P342" s="84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12.6</v>
      </c>
      <c r="Y342" s="550">
        <f>IFERROR(IF(X342="",0,CEILING((X342/$H342),1)*$H342),"")</f>
        <v>12.600000000000001</v>
      </c>
      <c r="Z342" s="36">
        <f>IFERROR(IF(Y342=0,"",ROUNDUP(Y342/H342,0)*0.00651),"")</f>
        <v>3.9059999999999997E-2</v>
      </c>
      <c r="AA342" s="56"/>
      <c r="AB342" s="57"/>
      <c r="AC342" s="399" t="s">
        <v>553</v>
      </c>
      <c r="AG342" s="64"/>
      <c r="AJ342" s="68" t="s">
        <v>83</v>
      </c>
      <c r="AK342" s="68">
        <v>29.4</v>
      </c>
      <c r="BB342" s="400" t="s">
        <v>1</v>
      </c>
      <c r="BM342" s="64">
        <f>IFERROR(X342*I342/H342,"0")</f>
        <v>14.111999999999998</v>
      </c>
      <c r="BN342" s="64">
        <f>IFERROR(Y342*I342/H342,"0")</f>
        <v>14.112</v>
      </c>
      <c r="BO342" s="64">
        <f>IFERROR(1/J342*(X342/H342),"0")</f>
        <v>3.2967032967032968E-2</v>
      </c>
      <c r="BP342" s="64">
        <f>IFERROR(1/J342*(Y342/H342),"0")</f>
        <v>3.2967032967032968E-2</v>
      </c>
    </row>
    <row r="343" spans="1:68" ht="27" customHeight="1" x14ac:dyDescent="0.25">
      <c r="A343" s="54" t="s">
        <v>554</v>
      </c>
      <c r="B343" s="54" t="s">
        <v>555</v>
      </c>
      <c r="C343" s="31">
        <v>4301051864</v>
      </c>
      <c r="D343" s="559">
        <v>4680115883567</v>
      </c>
      <c r="E343" s="560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80</v>
      </c>
      <c r="M343" s="33" t="s">
        <v>88</v>
      </c>
      <c r="N343" s="33"/>
      <c r="O343" s="32">
        <v>40</v>
      </c>
      <c r="P343" s="77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6.3</v>
      </c>
      <c r="Y343" s="550">
        <f>IFERROR(IF(X343="",0,CEILING((X343/$H343),1)*$H343),"")</f>
        <v>6.3000000000000007</v>
      </c>
      <c r="Z343" s="36">
        <f>IFERROR(IF(Y343=0,"",ROUNDUP(Y343/H343,0)*0.00651),"")</f>
        <v>1.9529999999999999E-2</v>
      </c>
      <c r="AA343" s="56"/>
      <c r="AB343" s="57"/>
      <c r="AC343" s="401" t="s">
        <v>556</v>
      </c>
      <c r="AG343" s="64"/>
      <c r="AJ343" s="68" t="s">
        <v>83</v>
      </c>
      <c r="AK343" s="68">
        <v>29.4</v>
      </c>
      <c r="BB343" s="402" t="s">
        <v>1</v>
      </c>
      <c r="BM343" s="64">
        <f>IFERROR(X343*I343/H343,"0")</f>
        <v>7.02</v>
      </c>
      <c r="BN343" s="64">
        <f>IFERROR(Y343*I343/H343,"0")</f>
        <v>7.0200000000000005</v>
      </c>
      <c r="BO343" s="64">
        <f>IFERROR(1/J343*(X343/H343),"0")</f>
        <v>1.6483516483516484E-2</v>
      </c>
      <c r="BP343" s="64">
        <f>IFERROR(1/J343*(Y343/H343),"0")</f>
        <v>1.6483516483516484E-2</v>
      </c>
    </row>
    <row r="344" spans="1:68" x14ac:dyDescent="0.2">
      <c r="A344" s="556"/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8"/>
      <c r="P344" s="565" t="s">
        <v>75</v>
      </c>
      <c r="Q344" s="566"/>
      <c r="R344" s="566"/>
      <c r="S344" s="566"/>
      <c r="T344" s="566"/>
      <c r="U344" s="566"/>
      <c r="V344" s="567"/>
      <c r="W344" s="37" t="s">
        <v>76</v>
      </c>
      <c r="X344" s="551">
        <f>IFERROR(X341/H341,"0")+IFERROR(X342/H342,"0")+IFERROR(X343/H343,"0")</f>
        <v>9</v>
      </c>
      <c r="Y344" s="551">
        <f>IFERROR(Y341/H341,"0")+IFERROR(Y342/H342,"0")+IFERROR(Y343/H343,"0")</f>
        <v>9</v>
      </c>
      <c r="Z344" s="551">
        <f>IFERROR(IF(Z341="",0,Z341),"0")+IFERROR(IF(Z342="",0,Z342),"0")+IFERROR(IF(Z343="",0,Z343),"0")</f>
        <v>5.8589999999999996E-2</v>
      </c>
      <c r="AA344" s="552"/>
      <c r="AB344" s="552"/>
      <c r="AC344" s="552"/>
    </row>
    <row r="345" spans="1:68" x14ac:dyDescent="0.2">
      <c r="A345" s="557"/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8"/>
      <c r="P345" s="565" t="s">
        <v>75</v>
      </c>
      <c r="Q345" s="566"/>
      <c r="R345" s="566"/>
      <c r="S345" s="566"/>
      <c r="T345" s="566"/>
      <c r="U345" s="566"/>
      <c r="V345" s="567"/>
      <c r="W345" s="37" t="s">
        <v>69</v>
      </c>
      <c r="X345" s="551">
        <f>IFERROR(SUM(X341:X343),"0")</f>
        <v>18.899999999999999</v>
      </c>
      <c r="Y345" s="551">
        <f>IFERROR(SUM(Y341:Y343),"0")</f>
        <v>18.900000000000002</v>
      </c>
      <c r="Z345" s="37"/>
      <c r="AA345" s="552"/>
      <c r="AB345" s="552"/>
      <c r="AC345" s="552"/>
    </row>
    <row r="346" spans="1:68" ht="27.75" hidden="1" customHeight="1" x14ac:dyDescent="0.2">
      <c r="A346" s="675" t="s">
        <v>557</v>
      </c>
      <c r="B346" s="676"/>
      <c r="C346" s="676"/>
      <c r="D346" s="676"/>
      <c r="E346" s="676"/>
      <c r="F346" s="676"/>
      <c r="G346" s="676"/>
      <c r="H346" s="676"/>
      <c r="I346" s="676"/>
      <c r="J346" s="676"/>
      <c r="K346" s="676"/>
      <c r="L346" s="676"/>
      <c r="M346" s="676"/>
      <c r="N346" s="676"/>
      <c r="O346" s="676"/>
      <c r="P346" s="676"/>
      <c r="Q346" s="676"/>
      <c r="R346" s="676"/>
      <c r="S346" s="676"/>
      <c r="T346" s="676"/>
      <c r="U346" s="676"/>
      <c r="V346" s="676"/>
      <c r="W346" s="676"/>
      <c r="X346" s="676"/>
      <c r="Y346" s="676"/>
      <c r="Z346" s="676"/>
      <c r="AA346" s="48"/>
      <c r="AB346" s="48"/>
      <c r="AC346" s="48"/>
    </row>
    <row r="347" spans="1:68" ht="16.5" hidden="1" customHeight="1" x14ac:dyDescent="0.25">
      <c r="A347" s="570" t="s">
        <v>558</v>
      </c>
      <c r="B347" s="557"/>
      <c r="C347" s="557"/>
      <c r="D347" s="557"/>
      <c r="E347" s="557"/>
      <c r="F347" s="557"/>
      <c r="G347" s="557"/>
      <c r="H347" s="557"/>
      <c r="I347" s="557"/>
      <c r="J347" s="557"/>
      <c r="K347" s="557"/>
      <c r="L347" s="557"/>
      <c r="M347" s="557"/>
      <c r="N347" s="557"/>
      <c r="O347" s="557"/>
      <c r="P347" s="557"/>
      <c r="Q347" s="557"/>
      <c r="R347" s="557"/>
      <c r="S347" s="557"/>
      <c r="T347" s="557"/>
      <c r="U347" s="557"/>
      <c r="V347" s="557"/>
      <c r="W347" s="557"/>
      <c r="X347" s="557"/>
      <c r="Y347" s="557"/>
      <c r="Z347" s="557"/>
      <c r="AA347" s="543"/>
      <c r="AB347" s="543"/>
      <c r="AC347" s="543"/>
    </row>
    <row r="348" spans="1:68" ht="14.25" hidden="1" customHeight="1" x14ac:dyDescent="0.25">
      <c r="A348" s="562" t="s">
        <v>103</v>
      </c>
      <c r="B348" s="557"/>
      <c r="C348" s="557"/>
      <c r="D348" s="557"/>
      <c r="E348" s="557"/>
      <c r="F348" s="557"/>
      <c r="G348" s="557"/>
      <c r="H348" s="557"/>
      <c r="I348" s="557"/>
      <c r="J348" s="557"/>
      <c r="K348" s="557"/>
      <c r="L348" s="557"/>
      <c r="M348" s="557"/>
      <c r="N348" s="557"/>
      <c r="O348" s="557"/>
      <c r="P348" s="557"/>
      <c r="Q348" s="557"/>
      <c r="R348" s="557"/>
      <c r="S348" s="557"/>
      <c r="T348" s="557"/>
      <c r="U348" s="557"/>
      <c r="V348" s="557"/>
      <c r="W348" s="557"/>
      <c r="X348" s="557"/>
      <c r="Y348" s="557"/>
      <c r="Z348" s="557"/>
      <c r="AA348" s="544"/>
      <c r="AB348" s="544"/>
      <c r="AC348" s="544"/>
    </row>
    <row r="349" spans="1:68" ht="37.5" customHeight="1" x14ac:dyDescent="0.25">
      <c r="A349" s="54" t="s">
        <v>559</v>
      </c>
      <c r="B349" s="54" t="s">
        <v>560</v>
      </c>
      <c r="C349" s="31">
        <v>4301011869</v>
      </c>
      <c r="D349" s="559">
        <v>4680115884847</v>
      </c>
      <c r="E349" s="560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106</v>
      </c>
      <c r="L349" s="32" t="s">
        <v>107</v>
      </c>
      <c r="M349" s="33" t="s">
        <v>68</v>
      </c>
      <c r="N349" s="33"/>
      <c r="O349" s="32">
        <v>60</v>
      </c>
      <c r="P349" s="83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225</v>
      </c>
      <c r="Y349" s="550">
        <f t="shared" ref="Y349:Y355" si="41">IFERROR(IF(X349="",0,CEILING((X349/$H349),1)*$H349),"")</f>
        <v>225</v>
      </c>
      <c r="Z349" s="36">
        <f>IFERROR(IF(Y349=0,"",ROUNDUP(Y349/H349,0)*0.02175),"")</f>
        <v>0.32624999999999998</v>
      </c>
      <c r="AA349" s="56"/>
      <c r="AB349" s="57"/>
      <c r="AC349" s="403" t="s">
        <v>561</v>
      </c>
      <c r="AG349" s="64"/>
      <c r="AJ349" s="68" t="s">
        <v>83</v>
      </c>
      <c r="AK349" s="68">
        <v>120</v>
      </c>
      <c r="BB349" s="404" t="s">
        <v>1</v>
      </c>
      <c r="BM349" s="64">
        <f t="shared" ref="BM349:BM355" si="42">IFERROR(X349*I349/H349,"0")</f>
        <v>232.05</v>
      </c>
      <c r="BN349" s="64">
        <f t="shared" ref="BN349:BN355" si="43">IFERROR(Y349*I349/H349,"0")</f>
        <v>232.05</v>
      </c>
      <c r="BO349" s="64">
        <f t="shared" ref="BO349:BO355" si="44">IFERROR(1/J349*(X349/H349),"0")</f>
        <v>0.3125</v>
      </c>
      <c r="BP349" s="64">
        <f t="shared" ref="BP349:BP355" si="45">IFERROR(1/J349*(Y349/H349),"0")</f>
        <v>0.3125</v>
      </c>
    </row>
    <row r="350" spans="1:68" ht="27" customHeight="1" x14ac:dyDescent="0.25">
      <c r="A350" s="54" t="s">
        <v>562</v>
      </c>
      <c r="B350" s="54" t="s">
        <v>563</v>
      </c>
      <c r="C350" s="31">
        <v>4301011870</v>
      </c>
      <c r="D350" s="559">
        <v>4680115884854</v>
      </c>
      <c r="E350" s="560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106</v>
      </c>
      <c r="L350" s="32" t="s">
        <v>107</v>
      </c>
      <c r="M350" s="33" t="s">
        <v>68</v>
      </c>
      <c r="N350" s="33"/>
      <c r="O350" s="32">
        <v>60</v>
      </c>
      <c r="P350" s="65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200</v>
      </c>
      <c r="Y350" s="550">
        <f t="shared" si="41"/>
        <v>210</v>
      </c>
      <c r="Z350" s="36">
        <f>IFERROR(IF(Y350=0,"",ROUNDUP(Y350/H350,0)*0.02175),"")</f>
        <v>0.30449999999999999</v>
      </c>
      <c r="AA350" s="56"/>
      <c r="AB350" s="57"/>
      <c r="AC350" s="405" t="s">
        <v>564</v>
      </c>
      <c r="AG350" s="64"/>
      <c r="AJ350" s="68" t="s">
        <v>83</v>
      </c>
      <c r="AK350" s="68">
        <v>120</v>
      </c>
      <c r="BB350" s="406" t="s">
        <v>1</v>
      </c>
      <c r="BM350" s="64">
        <f t="shared" si="42"/>
        <v>206.26666666666668</v>
      </c>
      <c r="BN350" s="64">
        <f t="shared" si="43"/>
        <v>216.58</v>
      </c>
      <c r="BO350" s="64">
        <f t="shared" si="44"/>
        <v>0.27777777777777779</v>
      </c>
      <c r="BP350" s="64">
        <f t="shared" si="45"/>
        <v>0.29166666666666663</v>
      </c>
    </row>
    <row r="351" spans="1:68" ht="37.5" customHeight="1" x14ac:dyDescent="0.25">
      <c r="A351" s="54" t="s">
        <v>565</v>
      </c>
      <c r="B351" s="54" t="s">
        <v>566</v>
      </c>
      <c r="C351" s="31">
        <v>4301011867</v>
      </c>
      <c r="D351" s="559">
        <v>4680115884830</v>
      </c>
      <c r="E351" s="560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106</v>
      </c>
      <c r="L351" s="32" t="s">
        <v>107</v>
      </c>
      <c r="M351" s="33" t="s">
        <v>68</v>
      </c>
      <c r="N351" s="33"/>
      <c r="O351" s="32">
        <v>60</v>
      </c>
      <c r="P351" s="71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300</v>
      </c>
      <c r="Y351" s="550">
        <f t="shared" si="41"/>
        <v>300</v>
      </c>
      <c r="Z351" s="36">
        <f>IFERROR(IF(Y351=0,"",ROUNDUP(Y351/H351,0)*0.02175),"")</f>
        <v>0.43499999999999994</v>
      </c>
      <c r="AA351" s="56"/>
      <c r="AB351" s="57"/>
      <c r="AC351" s="407" t="s">
        <v>567</v>
      </c>
      <c r="AG351" s="64"/>
      <c r="AJ351" s="68" t="s">
        <v>83</v>
      </c>
      <c r="AK351" s="68">
        <v>120</v>
      </c>
      <c r="BB351" s="408" t="s">
        <v>1</v>
      </c>
      <c r="BM351" s="64">
        <f t="shared" si="42"/>
        <v>309.39999999999998</v>
      </c>
      <c r="BN351" s="64">
        <f t="shared" si="43"/>
        <v>309.39999999999998</v>
      </c>
      <c r="BO351" s="64">
        <f t="shared" si="44"/>
        <v>0.41666666666666663</v>
      </c>
      <c r="BP351" s="64">
        <f t="shared" si="45"/>
        <v>0.41666666666666663</v>
      </c>
    </row>
    <row r="352" spans="1:68" ht="27" hidden="1" customHeight="1" x14ac:dyDescent="0.25">
      <c r="A352" s="54" t="s">
        <v>568</v>
      </c>
      <c r="B352" s="54" t="s">
        <v>569</v>
      </c>
      <c r="C352" s="31">
        <v>4301012215</v>
      </c>
      <c r="D352" s="559">
        <v>4680115887046</v>
      </c>
      <c r="E352" s="560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106</v>
      </c>
      <c r="L352" s="32"/>
      <c r="M352" s="33" t="s">
        <v>88</v>
      </c>
      <c r="N352" s="33"/>
      <c r="O352" s="32">
        <v>60</v>
      </c>
      <c r="P352" s="66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0</v>
      </c>
      <c r="Y352" s="550">
        <f t="shared" si="41"/>
        <v>0</v>
      </c>
      <c r="Z352" s="36" t="str">
        <f>IFERROR(IF(Y352=0,"",ROUNDUP(Y352/H352,0)*0.02175),"")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42"/>
        <v>0</v>
      </c>
      <c r="BN352" s="64">
        <f t="shared" si="43"/>
        <v>0</v>
      </c>
      <c r="BO352" s="64">
        <f t="shared" si="44"/>
        <v>0</v>
      </c>
      <c r="BP352" s="64">
        <f t="shared" si="45"/>
        <v>0</v>
      </c>
    </row>
    <row r="353" spans="1:68" ht="27" hidden="1" customHeight="1" x14ac:dyDescent="0.25">
      <c r="A353" s="54" t="s">
        <v>571</v>
      </c>
      <c r="B353" s="54" t="s">
        <v>572</v>
      </c>
      <c r="C353" s="31">
        <v>4301011433</v>
      </c>
      <c r="D353" s="559">
        <v>4680115882638</v>
      </c>
      <c r="E353" s="560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112</v>
      </c>
      <c r="L353" s="32"/>
      <c r="M353" s="33" t="s">
        <v>108</v>
      </c>
      <c r="N353" s="33"/>
      <c r="O353" s="32">
        <v>90</v>
      </c>
      <c r="P353" s="70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41"/>
        <v>0</v>
      </c>
      <c r="Z353" s="36" t="str">
        <f>IFERROR(IF(Y353=0,"",ROUNDUP(Y353/H353,0)*0.00902),"")</f>
        <v/>
      </c>
      <c r="AA353" s="56"/>
      <c r="AB353" s="57"/>
      <c r="AC353" s="411" t="s">
        <v>573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4301011952</v>
      </c>
      <c r="D354" s="559">
        <v>4680115884922</v>
      </c>
      <c r="E354" s="560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112</v>
      </c>
      <c r="L354" s="32"/>
      <c r="M354" s="33" t="s">
        <v>68</v>
      </c>
      <c r="N354" s="33"/>
      <c r="O354" s="32">
        <v>60</v>
      </c>
      <c r="P354" s="82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41"/>
        <v>0</v>
      </c>
      <c r="Z354" s="36" t="str">
        <f>IFERROR(IF(Y354=0,"",ROUNDUP(Y354/H354,0)*0.00902),"")</f>
        <v/>
      </c>
      <c r="AA354" s="56"/>
      <c r="AB354" s="57"/>
      <c r="AC354" s="413" t="s">
        <v>564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37.5" hidden="1" customHeight="1" x14ac:dyDescent="0.25">
      <c r="A355" s="54" t="s">
        <v>576</v>
      </c>
      <c r="B355" s="54" t="s">
        <v>577</v>
      </c>
      <c r="C355" s="31">
        <v>4301011868</v>
      </c>
      <c r="D355" s="559">
        <v>4680115884861</v>
      </c>
      <c r="E355" s="560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112</v>
      </c>
      <c r="L355" s="32"/>
      <c r="M355" s="33" t="s">
        <v>68</v>
      </c>
      <c r="N355" s="33"/>
      <c r="O355" s="32">
        <v>60</v>
      </c>
      <c r="P355" s="86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0</v>
      </c>
      <c r="Y355" s="550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567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x14ac:dyDescent="0.2">
      <c r="A356" s="556"/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58"/>
      <c r="P356" s="565" t="s">
        <v>75</v>
      </c>
      <c r="Q356" s="566"/>
      <c r="R356" s="566"/>
      <c r="S356" s="566"/>
      <c r="T356" s="566"/>
      <c r="U356" s="566"/>
      <c r="V356" s="567"/>
      <c r="W356" s="37" t="s">
        <v>76</v>
      </c>
      <c r="X356" s="551">
        <f>IFERROR(X349/H349,"0")+IFERROR(X350/H350,"0")+IFERROR(X351/H351,"0")+IFERROR(X352/H352,"0")+IFERROR(X353/H353,"0")+IFERROR(X354/H354,"0")+IFERROR(X355/H355,"0")</f>
        <v>48.333333333333336</v>
      </c>
      <c r="Y356" s="551">
        <f>IFERROR(Y349/H349,"0")+IFERROR(Y350/H350,"0")+IFERROR(Y351/H351,"0")+IFERROR(Y352/H352,"0")+IFERROR(Y353/H353,"0")+IFERROR(Y354/H354,"0")+IFERROR(Y355/H355,"0")</f>
        <v>49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1.06575</v>
      </c>
      <c r="AA356" s="552"/>
      <c r="AB356" s="552"/>
      <c r="AC356" s="552"/>
    </row>
    <row r="357" spans="1:68" x14ac:dyDescent="0.2">
      <c r="A357" s="557"/>
      <c r="B357" s="557"/>
      <c r="C357" s="557"/>
      <c r="D357" s="557"/>
      <c r="E357" s="557"/>
      <c r="F357" s="557"/>
      <c r="G357" s="557"/>
      <c r="H357" s="557"/>
      <c r="I357" s="557"/>
      <c r="J357" s="557"/>
      <c r="K357" s="557"/>
      <c r="L357" s="557"/>
      <c r="M357" s="557"/>
      <c r="N357" s="557"/>
      <c r="O357" s="558"/>
      <c r="P357" s="565" t="s">
        <v>75</v>
      </c>
      <c r="Q357" s="566"/>
      <c r="R357" s="566"/>
      <c r="S357" s="566"/>
      <c r="T357" s="566"/>
      <c r="U357" s="566"/>
      <c r="V357" s="567"/>
      <c r="W357" s="37" t="s">
        <v>69</v>
      </c>
      <c r="X357" s="551">
        <f>IFERROR(SUM(X349:X355),"0")</f>
        <v>725</v>
      </c>
      <c r="Y357" s="551">
        <f>IFERROR(SUM(Y349:Y355),"0")</f>
        <v>735</v>
      </c>
      <c r="Z357" s="37"/>
      <c r="AA357" s="552"/>
      <c r="AB357" s="552"/>
      <c r="AC357" s="552"/>
    </row>
    <row r="358" spans="1:68" ht="14.25" hidden="1" customHeight="1" x14ac:dyDescent="0.25">
      <c r="A358" s="562" t="s">
        <v>138</v>
      </c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57"/>
      <c r="P358" s="557"/>
      <c r="Q358" s="557"/>
      <c r="R358" s="557"/>
      <c r="S358" s="557"/>
      <c r="T358" s="557"/>
      <c r="U358" s="557"/>
      <c r="V358" s="557"/>
      <c r="W358" s="557"/>
      <c r="X358" s="557"/>
      <c r="Y358" s="557"/>
      <c r="Z358" s="557"/>
      <c r="AA358" s="544"/>
      <c r="AB358" s="544"/>
      <c r="AC358" s="544"/>
    </row>
    <row r="359" spans="1:68" ht="27" customHeight="1" x14ac:dyDescent="0.25">
      <c r="A359" s="54" t="s">
        <v>578</v>
      </c>
      <c r="B359" s="54" t="s">
        <v>579</v>
      </c>
      <c r="C359" s="31">
        <v>4301020178</v>
      </c>
      <c r="D359" s="559">
        <v>4607091383980</v>
      </c>
      <c r="E359" s="560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106</v>
      </c>
      <c r="L359" s="32" t="s">
        <v>107</v>
      </c>
      <c r="M359" s="33" t="s">
        <v>108</v>
      </c>
      <c r="N359" s="33"/>
      <c r="O359" s="32">
        <v>50</v>
      </c>
      <c r="P359" s="8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300</v>
      </c>
      <c r="Y359" s="550">
        <f>IFERROR(IF(X359="",0,CEILING((X359/$H359),1)*$H359),"")</f>
        <v>300</v>
      </c>
      <c r="Z359" s="36">
        <f>IFERROR(IF(Y359=0,"",ROUNDUP(Y359/H359,0)*0.02175),"")</f>
        <v>0.43499999999999994</v>
      </c>
      <c r="AA359" s="56"/>
      <c r="AB359" s="57"/>
      <c r="AC359" s="417" t="s">
        <v>580</v>
      </c>
      <c r="AG359" s="64"/>
      <c r="AJ359" s="68" t="s">
        <v>83</v>
      </c>
      <c r="AK359" s="68">
        <v>120</v>
      </c>
      <c r="BB359" s="418" t="s">
        <v>1</v>
      </c>
      <c r="BM359" s="64">
        <f>IFERROR(X359*I359/H359,"0")</f>
        <v>309.39999999999998</v>
      </c>
      <c r="BN359" s="64">
        <f>IFERROR(Y359*I359/H359,"0")</f>
        <v>309.39999999999998</v>
      </c>
      <c r="BO359" s="64">
        <f>IFERROR(1/J359*(X359/H359),"0")</f>
        <v>0.41666666666666663</v>
      </c>
      <c r="BP359" s="64">
        <f>IFERROR(1/J359*(Y359/H359),"0")</f>
        <v>0.41666666666666663</v>
      </c>
    </row>
    <row r="360" spans="1:68" ht="27" hidden="1" customHeight="1" x14ac:dyDescent="0.25">
      <c r="A360" s="54" t="s">
        <v>581</v>
      </c>
      <c r="B360" s="54" t="s">
        <v>582</v>
      </c>
      <c r="C360" s="31">
        <v>4301020179</v>
      </c>
      <c r="D360" s="559">
        <v>4607091384178</v>
      </c>
      <c r="E360" s="560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112</v>
      </c>
      <c r="L360" s="32"/>
      <c r="M360" s="33" t="s">
        <v>108</v>
      </c>
      <c r="N360" s="33"/>
      <c r="O360" s="32">
        <v>50</v>
      </c>
      <c r="P360" s="86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583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56"/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58"/>
      <c r="P361" s="565" t="s">
        <v>75</v>
      </c>
      <c r="Q361" s="566"/>
      <c r="R361" s="566"/>
      <c r="S361" s="566"/>
      <c r="T361" s="566"/>
      <c r="U361" s="566"/>
      <c r="V361" s="567"/>
      <c r="W361" s="37" t="s">
        <v>76</v>
      </c>
      <c r="X361" s="551">
        <f>IFERROR(X359/H359,"0")+IFERROR(X360/H360,"0")</f>
        <v>20</v>
      </c>
      <c r="Y361" s="551">
        <f>IFERROR(Y359/H359,"0")+IFERROR(Y360/H360,"0")</f>
        <v>20</v>
      </c>
      <c r="Z361" s="551">
        <f>IFERROR(IF(Z359="",0,Z359),"0")+IFERROR(IF(Z360="",0,Z360),"0")</f>
        <v>0.43499999999999994</v>
      </c>
      <c r="AA361" s="552"/>
      <c r="AB361" s="552"/>
      <c r="AC361" s="552"/>
    </row>
    <row r="362" spans="1:68" x14ac:dyDescent="0.2">
      <c r="A362" s="557"/>
      <c r="B362" s="557"/>
      <c r="C362" s="557"/>
      <c r="D362" s="557"/>
      <c r="E362" s="557"/>
      <c r="F362" s="557"/>
      <c r="G362" s="557"/>
      <c r="H362" s="557"/>
      <c r="I362" s="557"/>
      <c r="J362" s="557"/>
      <c r="K362" s="557"/>
      <c r="L362" s="557"/>
      <c r="M362" s="557"/>
      <c r="N362" s="557"/>
      <c r="O362" s="558"/>
      <c r="P362" s="565" t="s">
        <v>75</v>
      </c>
      <c r="Q362" s="566"/>
      <c r="R362" s="566"/>
      <c r="S362" s="566"/>
      <c r="T362" s="566"/>
      <c r="U362" s="566"/>
      <c r="V362" s="567"/>
      <c r="W362" s="37" t="s">
        <v>69</v>
      </c>
      <c r="X362" s="551">
        <f>IFERROR(SUM(X359:X360),"0")</f>
        <v>300</v>
      </c>
      <c r="Y362" s="551">
        <f>IFERROR(SUM(Y359:Y360),"0")</f>
        <v>300</v>
      </c>
      <c r="Z362" s="37"/>
      <c r="AA362" s="552"/>
      <c r="AB362" s="552"/>
      <c r="AC362" s="552"/>
    </row>
    <row r="363" spans="1:68" ht="14.25" hidden="1" customHeight="1" x14ac:dyDescent="0.25">
      <c r="A363" s="562" t="s">
        <v>77</v>
      </c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57"/>
      <c r="P363" s="557"/>
      <c r="Q363" s="557"/>
      <c r="R363" s="557"/>
      <c r="S363" s="557"/>
      <c r="T363" s="557"/>
      <c r="U363" s="557"/>
      <c r="V363" s="557"/>
      <c r="W363" s="557"/>
      <c r="X363" s="557"/>
      <c r="Y363" s="557"/>
      <c r="Z363" s="557"/>
      <c r="AA363" s="544"/>
      <c r="AB363" s="544"/>
      <c r="AC363" s="544"/>
    </row>
    <row r="364" spans="1:68" ht="27" hidden="1" customHeight="1" x14ac:dyDescent="0.25">
      <c r="A364" s="54" t="s">
        <v>584</v>
      </c>
      <c r="B364" s="54" t="s">
        <v>585</v>
      </c>
      <c r="C364" s="31">
        <v>4301051903</v>
      </c>
      <c r="D364" s="559">
        <v>4607091383928</v>
      </c>
      <c r="E364" s="560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106</v>
      </c>
      <c r="L364" s="32"/>
      <c r="M364" s="33" t="s">
        <v>81</v>
      </c>
      <c r="N364" s="33"/>
      <c r="O364" s="32">
        <v>40</v>
      </c>
      <c r="P364" s="82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586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587</v>
      </c>
      <c r="B365" s="54" t="s">
        <v>588</v>
      </c>
      <c r="C365" s="31">
        <v>4301051897</v>
      </c>
      <c r="D365" s="559">
        <v>4607091384260</v>
      </c>
      <c r="E365" s="560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106</v>
      </c>
      <c r="L365" s="32"/>
      <c r="M365" s="33" t="s">
        <v>81</v>
      </c>
      <c r="N365" s="33"/>
      <c r="O365" s="32">
        <v>40</v>
      </c>
      <c r="P365" s="87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589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556"/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58"/>
      <c r="P366" s="565" t="s">
        <v>75</v>
      </c>
      <c r="Q366" s="566"/>
      <c r="R366" s="566"/>
      <c r="S366" s="566"/>
      <c r="T366" s="566"/>
      <c r="U366" s="566"/>
      <c r="V366" s="567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hidden="1" x14ac:dyDescent="0.2">
      <c r="A367" s="557"/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58"/>
      <c r="P367" s="565" t="s">
        <v>75</v>
      </c>
      <c r="Q367" s="566"/>
      <c r="R367" s="566"/>
      <c r="S367" s="566"/>
      <c r="T367" s="566"/>
      <c r="U367" s="566"/>
      <c r="V367" s="567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hidden="1" customHeight="1" x14ac:dyDescent="0.25">
      <c r="A368" s="562" t="s">
        <v>163</v>
      </c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57"/>
      <c r="P368" s="557"/>
      <c r="Q368" s="557"/>
      <c r="R368" s="557"/>
      <c r="S368" s="557"/>
      <c r="T368" s="557"/>
      <c r="U368" s="557"/>
      <c r="V368" s="557"/>
      <c r="W368" s="557"/>
      <c r="X368" s="557"/>
      <c r="Y368" s="557"/>
      <c r="Z368" s="557"/>
      <c r="AA368" s="544"/>
      <c r="AB368" s="544"/>
      <c r="AC368" s="544"/>
    </row>
    <row r="369" spans="1:68" ht="16.5" hidden="1" customHeight="1" x14ac:dyDescent="0.25">
      <c r="A369" s="54" t="s">
        <v>590</v>
      </c>
      <c r="B369" s="54" t="s">
        <v>591</v>
      </c>
      <c r="C369" s="31">
        <v>4301060524</v>
      </c>
      <c r="D369" s="559">
        <v>4607091384673</v>
      </c>
      <c r="E369" s="560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106</v>
      </c>
      <c r="L369" s="32"/>
      <c r="M369" s="33" t="s">
        <v>81</v>
      </c>
      <c r="N369" s="33"/>
      <c r="O369" s="32">
        <v>40</v>
      </c>
      <c r="P369" s="83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0</v>
      </c>
      <c r="Y369" s="55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592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6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8"/>
      <c r="P370" s="565" t="s">
        <v>75</v>
      </c>
      <c r="Q370" s="566"/>
      <c r="R370" s="566"/>
      <c r="S370" s="566"/>
      <c r="T370" s="566"/>
      <c r="U370" s="566"/>
      <c r="V370" s="567"/>
      <c r="W370" s="37" t="s">
        <v>76</v>
      </c>
      <c r="X370" s="551">
        <f>IFERROR(X369/H369,"0")</f>
        <v>0</v>
      </c>
      <c r="Y370" s="551">
        <f>IFERROR(Y369/H369,"0")</f>
        <v>0</v>
      </c>
      <c r="Z370" s="551">
        <f>IFERROR(IF(Z369="",0,Z369),"0")</f>
        <v>0</v>
      </c>
      <c r="AA370" s="552"/>
      <c r="AB370" s="552"/>
      <c r="AC370" s="552"/>
    </row>
    <row r="371" spans="1:68" hidden="1" x14ac:dyDescent="0.2">
      <c r="A371" s="557"/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8"/>
      <c r="P371" s="565" t="s">
        <v>75</v>
      </c>
      <c r="Q371" s="566"/>
      <c r="R371" s="566"/>
      <c r="S371" s="566"/>
      <c r="T371" s="566"/>
      <c r="U371" s="566"/>
      <c r="V371" s="567"/>
      <c r="W371" s="37" t="s">
        <v>69</v>
      </c>
      <c r="X371" s="551">
        <f>IFERROR(SUM(X369:X369),"0")</f>
        <v>0</v>
      </c>
      <c r="Y371" s="551">
        <f>IFERROR(SUM(Y369:Y369),"0")</f>
        <v>0</v>
      </c>
      <c r="Z371" s="37"/>
      <c r="AA371" s="552"/>
      <c r="AB371" s="552"/>
      <c r="AC371" s="552"/>
    </row>
    <row r="372" spans="1:68" ht="16.5" hidden="1" customHeight="1" x14ac:dyDescent="0.25">
      <c r="A372" s="570" t="s">
        <v>593</v>
      </c>
      <c r="B372" s="557"/>
      <c r="C372" s="557"/>
      <c r="D372" s="557"/>
      <c r="E372" s="557"/>
      <c r="F372" s="557"/>
      <c r="G372" s="557"/>
      <c r="H372" s="557"/>
      <c r="I372" s="557"/>
      <c r="J372" s="557"/>
      <c r="K372" s="557"/>
      <c r="L372" s="557"/>
      <c r="M372" s="557"/>
      <c r="N372" s="557"/>
      <c r="O372" s="557"/>
      <c r="P372" s="557"/>
      <c r="Q372" s="557"/>
      <c r="R372" s="557"/>
      <c r="S372" s="557"/>
      <c r="T372" s="557"/>
      <c r="U372" s="557"/>
      <c r="V372" s="557"/>
      <c r="W372" s="557"/>
      <c r="X372" s="557"/>
      <c r="Y372" s="557"/>
      <c r="Z372" s="557"/>
      <c r="AA372" s="543"/>
      <c r="AB372" s="543"/>
      <c r="AC372" s="543"/>
    </row>
    <row r="373" spans="1:68" ht="14.25" hidden="1" customHeight="1" x14ac:dyDescent="0.25">
      <c r="A373" s="562" t="s">
        <v>103</v>
      </c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57"/>
      <c r="P373" s="557"/>
      <c r="Q373" s="557"/>
      <c r="R373" s="557"/>
      <c r="S373" s="557"/>
      <c r="T373" s="557"/>
      <c r="U373" s="557"/>
      <c r="V373" s="557"/>
      <c r="W373" s="557"/>
      <c r="X373" s="557"/>
      <c r="Y373" s="557"/>
      <c r="Z373" s="557"/>
      <c r="AA373" s="544"/>
      <c r="AB373" s="544"/>
      <c r="AC373" s="544"/>
    </row>
    <row r="374" spans="1:68" ht="37.5" customHeight="1" x14ac:dyDescent="0.25">
      <c r="A374" s="54" t="s">
        <v>594</v>
      </c>
      <c r="B374" s="54" t="s">
        <v>595</v>
      </c>
      <c r="C374" s="31">
        <v>4301011875</v>
      </c>
      <c r="D374" s="559">
        <v>4680115884885</v>
      </c>
      <c r="E374" s="560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106</v>
      </c>
      <c r="L374" s="32"/>
      <c r="M374" s="33" t="s">
        <v>68</v>
      </c>
      <c r="N374" s="33"/>
      <c r="O374" s="32">
        <v>60</v>
      </c>
      <c r="P374" s="73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50</v>
      </c>
      <c r="Y374" s="550">
        <f>IFERROR(IF(X374="",0,CEILING((X374/$H374),1)*$H374),"")</f>
        <v>60</v>
      </c>
      <c r="Z374" s="36">
        <f>IFERROR(IF(Y374=0,"",ROUNDUP(Y374/H374,0)*0.01898),"")</f>
        <v>9.4899999999999998E-2</v>
      </c>
      <c r="AA374" s="56"/>
      <c r="AB374" s="57"/>
      <c r="AC374" s="427" t="s">
        <v>596</v>
      </c>
      <c r="AG374" s="64"/>
      <c r="AJ374" s="68"/>
      <c r="AK374" s="68">
        <v>0</v>
      </c>
      <c r="BB374" s="428" t="s">
        <v>1</v>
      </c>
      <c r="BM374" s="64">
        <f>IFERROR(X374*I374/H374,"0")</f>
        <v>51.708333333333336</v>
      </c>
      <c r="BN374" s="64">
        <f>IFERROR(Y374*I374/H374,"0")</f>
        <v>62.050000000000004</v>
      </c>
      <c r="BO374" s="64">
        <f>IFERROR(1/J374*(X374/H374),"0")</f>
        <v>6.5104166666666671E-2</v>
      </c>
      <c r="BP374" s="64">
        <f>IFERROR(1/J374*(Y374/H374),"0")</f>
        <v>7.8125E-2</v>
      </c>
    </row>
    <row r="375" spans="1:68" ht="37.5" hidden="1" customHeight="1" x14ac:dyDescent="0.25">
      <c r="A375" s="54" t="s">
        <v>597</v>
      </c>
      <c r="B375" s="54" t="s">
        <v>598</v>
      </c>
      <c r="C375" s="31">
        <v>4301011871</v>
      </c>
      <c r="D375" s="559">
        <v>4680115884908</v>
      </c>
      <c r="E375" s="560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112</v>
      </c>
      <c r="L375" s="32"/>
      <c r="M375" s="33" t="s">
        <v>68</v>
      </c>
      <c r="N375" s="33"/>
      <c r="O375" s="32">
        <v>60</v>
      </c>
      <c r="P375" s="7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596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56"/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58"/>
      <c r="P376" s="565" t="s">
        <v>75</v>
      </c>
      <c r="Q376" s="566"/>
      <c r="R376" s="566"/>
      <c r="S376" s="566"/>
      <c r="T376" s="566"/>
      <c r="U376" s="566"/>
      <c r="V376" s="567"/>
      <c r="W376" s="37" t="s">
        <v>76</v>
      </c>
      <c r="X376" s="551">
        <f>IFERROR(X374/H374,"0")+IFERROR(X375/H375,"0")</f>
        <v>4.166666666666667</v>
      </c>
      <c r="Y376" s="551">
        <f>IFERROR(Y374/H374,"0")+IFERROR(Y375/H375,"0")</f>
        <v>5</v>
      </c>
      <c r="Z376" s="551">
        <f>IFERROR(IF(Z374="",0,Z374),"0")+IFERROR(IF(Z375="",0,Z375),"0")</f>
        <v>9.4899999999999998E-2</v>
      </c>
      <c r="AA376" s="552"/>
      <c r="AB376" s="552"/>
      <c r="AC376" s="552"/>
    </row>
    <row r="377" spans="1:68" x14ac:dyDescent="0.2">
      <c r="A377" s="557"/>
      <c r="B377" s="557"/>
      <c r="C377" s="557"/>
      <c r="D377" s="557"/>
      <c r="E377" s="557"/>
      <c r="F377" s="557"/>
      <c r="G377" s="557"/>
      <c r="H377" s="557"/>
      <c r="I377" s="557"/>
      <c r="J377" s="557"/>
      <c r="K377" s="557"/>
      <c r="L377" s="557"/>
      <c r="M377" s="557"/>
      <c r="N377" s="557"/>
      <c r="O377" s="558"/>
      <c r="P377" s="565" t="s">
        <v>75</v>
      </c>
      <c r="Q377" s="566"/>
      <c r="R377" s="566"/>
      <c r="S377" s="566"/>
      <c r="T377" s="566"/>
      <c r="U377" s="566"/>
      <c r="V377" s="567"/>
      <c r="W377" s="37" t="s">
        <v>69</v>
      </c>
      <c r="X377" s="551">
        <f>IFERROR(SUM(X374:X375),"0")</f>
        <v>50</v>
      </c>
      <c r="Y377" s="551">
        <f>IFERROR(SUM(Y374:Y375),"0")</f>
        <v>60</v>
      </c>
      <c r="Z377" s="37"/>
      <c r="AA377" s="552"/>
      <c r="AB377" s="552"/>
      <c r="AC377" s="552"/>
    </row>
    <row r="378" spans="1:68" ht="14.25" hidden="1" customHeight="1" x14ac:dyDescent="0.25">
      <c r="A378" s="562" t="s">
        <v>64</v>
      </c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57"/>
      <c r="P378" s="557"/>
      <c r="Q378" s="557"/>
      <c r="R378" s="557"/>
      <c r="S378" s="557"/>
      <c r="T378" s="557"/>
      <c r="U378" s="557"/>
      <c r="V378" s="557"/>
      <c r="W378" s="557"/>
      <c r="X378" s="557"/>
      <c r="Y378" s="557"/>
      <c r="Z378" s="557"/>
      <c r="AA378" s="544"/>
      <c r="AB378" s="544"/>
      <c r="AC378" s="544"/>
    </row>
    <row r="379" spans="1:68" ht="27" hidden="1" customHeight="1" x14ac:dyDescent="0.25">
      <c r="A379" s="54" t="s">
        <v>599</v>
      </c>
      <c r="B379" s="54" t="s">
        <v>600</v>
      </c>
      <c r="C379" s="31">
        <v>4301031303</v>
      </c>
      <c r="D379" s="559">
        <v>4607091384802</v>
      </c>
      <c r="E379" s="560"/>
      <c r="F379" s="548">
        <v>0.73</v>
      </c>
      <c r="G379" s="32">
        <v>6</v>
      </c>
      <c r="H379" s="548">
        <v>4.38</v>
      </c>
      <c r="I379" s="548">
        <v>4.63</v>
      </c>
      <c r="J379" s="32">
        <v>132</v>
      </c>
      <c r="K379" s="32" t="s">
        <v>112</v>
      </c>
      <c r="L379" s="32"/>
      <c r="M379" s="33" t="s">
        <v>68</v>
      </c>
      <c r="N379" s="33"/>
      <c r="O379" s="32">
        <v>35</v>
      </c>
      <c r="P379" s="60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601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599</v>
      </c>
      <c r="B380" s="54" t="s">
        <v>602</v>
      </c>
      <c r="C380" s="31">
        <v>4301031457</v>
      </c>
      <c r="D380" s="559">
        <v>4607091384802</v>
      </c>
      <c r="E380" s="560"/>
      <c r="F380" s="548">
        <v>0.7</v>
      </c>
      <c r="G380" s="32">
        <v>6</v>
      </c>
      <c r="H380" s="548">
        <v>4.2</v>
      </c>
      <c r="I380" s="548">
        <v>4.45</v>
      </c>
      <c r="J380" s="32">
        <v>132</v>
      </c>
      <c r="K380" s="32" t="s">
        <v>112</v>
      </c>
      <c r="L380" s="32"/>
      <c r="M380" s="33" t="s">
        <v>68</v>
      </c>
      <c r="N380" s="33"/>
      <c r="O380" s="32">
        <v>50</v>
      </c>
      <c r="P380" s="74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56"/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58"/>
      <c r="P381" s="565" t="s">
        <v>75</v>
      </c>
      <c r="Q381" s="566"/>
      <c r="R381" s="566"/>
      <c r="S381" s="566"/>
      <c r="T381" s="566"/>
      <c r="U381" s="566"/>
      <c r="V381" s="567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hidden="1" x14ac:dyDescent="0.2">
      <c r="A382" s="557"/>
      <c r="B382" s="557"/>
      <c r="C382" s="557"/>
      <c r="D382" s="557"/>
      <c r="E382" s="557"/>
      <c r="F382" s="557"/>
      <c r="G382" s="557"/>
      <c r="H382" s="557"/>
      <c r="I382" s="557"/>
      <c r="J382" s="557"/>
      <c r="K382" s="557"/>
      <c r="L382" s="557"/>
      <c r="M382" s="557"/>
      <c r="N382" s="557"/>
      <c r="O382" s="558"/>
      <c r="P382" s="565" t="s">
        <v>75</v>
      </c>
      <c r="Q382" s="566"/>
      <c r="R382" s="566"/>
      <c r="S382" s="566"/>
      <c r="T382" s="566"/>
      <c r="U382" s="566"/>
      <c r="V382" s="567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hidden="1" customHeight="1" x14ac:dyDescent="0.25">
      <c r="A383" s="562" t="s">
        <v>77</v>
      </c>
      <c r="B383" s="557"/>
      <c r="C383" s="557"/>
      <c r="D383" s="557"/>
      <c r="E383" s="557"/>
      <c r="F383" s="557"/>
      <c r="G383" s="557"/>
      <c r="H383" s="557"/>
      <c r="I383" s="557"/>
      <c r="J383" s="557"/>
      <c r="K383" s="557"/>
      <c r="L383" s="557"/>
      <c r="M383" s="557"/>
      <c r="N383" s="557"/>
      <c r="O383" s="557"/>
      <c r="P383" s="557"/>
      <c r="Q383" s="557"/>
      <c r="R383" s="557"/>
      <c r="S383" s="557"/>
      <c r="T383" s="557"/>
      <c r="U383" s="557"/>
      <c r="V383" s="557"/>
      <c r="W383" s="557"/>
      <c r="X383" s="557"/>
      <c r="Y383" s="557"/>
      <c r="Z383" s="557"/>
      <c r="AA383" s="544"/>
      <c r="AB383" s="544"/>
      <c r="AC383" s="544"/>
    </row>
    <row r="384" spans="1:68" ht="27" hidden="1" customHeight="1" x14ac:dyDescent="0.25">
      <c r="A384" s="54" t="s">
        <v>604</v>
      </c>
      <c r="B384" s="54" t="s">
        <v>605</v>
      </c>
      <c r="C384" s="31">
        <v>4301051899</v>
      </c>
      <c r="D384" s="559">
        <v>4607091384246</v>
      </c>
      <c r="E384" s="560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106</v>
      </c>
      <c r="L384" s="32"/>
      <c r="M384" s="33" t="s">
        <v>81</v>
      </c>
      <c r="N384" s="33"/>
      <c r="O384" s="32">
        <v>40</v>
      </c>
      <c r="P384" s="56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0</v>
      </c>
      <c r="Y384" s="55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606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607</v>
      </c>
      <c r="B385" s="54" t="s">
        <v>608</v>
      </c>
      <c r="C385" s="31">
        <v>4301052069</v>
      </c>
      <c r="D385" s="559">
        <v>4607091384253</v>
      </c>
      <c r="E385" s="560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/>
      <c r="M385" s="33" t="s">
        <v>81</v>
      </c>
      <c r="N385" s="33"/>
      <c r="O385" s="32">
        <v>40</v>
      </c>
      <c r="P385" s="8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609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607</v>
      </c>
      <c r="B386" s="54" t="s">
        <v>610</v>
      </c>
      <c r="C386" s="31">
        <v>4301051660</v>
      </c>
      <c r="D386" s="559">
        <v>4607091384253</v>
      </c>
      <c r="E386" s="560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81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556"/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8"/>
      <c r="P387" s="565" t="s">
        <v>75</v>
      </c>
      <c r="Q387" s="566"/>
      <c r="R387" s="566"/>
      <c r="S387" s="566"/>
      <c r="T387" s="566"/>
      <c r="U387" s="566"/>
      <c r="V387" s="567"/>
      <c r="W387" s="37" t="s">
        <v>76</v>
      </c>
      <c r="X387" s="551">
        <f>IFERROR(X384/H384,"0")+IFERROR(X385/H385,"0")+IFERROR(X386/H386,"0")</f>
        <v>0</v>
      </c>
      <c r="Y387" s="551">
        <f>IFERROR(Y384/H384,"0")+IFERROR(Y385/H385,"0")+IFERROR(Y386/H386,"0")</f>
        <v>0</v>
      </c>
      <c r="Z387" s="551">
        <f>IFERROR(IF(Z384="",0,Z384),"0")+IFERROR(IF(Z385="",0,Z385),"0")+IFERROR(IF(Z386="",0,Z386),"0")</f>
        <v>0</v>
      </c>
      <c r="AA387" s="552"/>
      <c r="AB387" s="552"/>
      <c r="AC387" s="552"/>
    </row>
    <row r="388" spans="1:68" hidden="1" x14ac:dyDescent="0.2">
      <c r="A388" s="557"/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8"/>
      <c r="P388" s="565" t="s">
        <v>75</v>
      </c>
      <c r="Q388" s="566"/>
      <c r="R388" s="566"/>
      <c r="S388" s="566"/>
      <c r="T388" s="566"/>
      <c r="U388" s="566"/>
      <c r="V388" s="567"/>
      <c r="W388" s="37" t="s">
        <v>69</v>
      </c>
      <c r="X388" s="551">
        <f>IFERROR(SUM(X384:X386),"0")</f>
        <v>0</v>
      </c>
      <c r="Y388" s="551">
        <f>IFERROR(SUM(Y384:Y386),"0")</f>
        <v>0</v>
      </c>
      <c r="Z388" s="37"/>
      <c r="AA388" s="552"/>
      <c r="AB388" s="552"/>
      <c r="AC388" s="552"/>
    </row>
    <row r="389" spans="1:68" ht="27.75" hidden="1" customHeight="1" x14ac:dyDescent="0.2">
      <c r="A389" s="675" t="s">
        <v>611</v>
      </c>
      <c r="B389" s="676"/>
      <c r="C389" s="676"/>
      <c r="D389" s="676"/>
      <c r="E389" s="676"/>
      <c r="F389" s="676"/>
      <c r="G389" s="676"/>
      <c r="H389" s="676"/>
      <c r="I389" s="676"/>
      <c r="J389" s="676"/>
      <c r="K389" s="676"/>
      <c r="L389" s="676"/>
      <c r="M389" s="676"/>
      <c r="N389" s="676"/>
      <c r="O389" s="676"/>
      <c r="P389" s="676"/>
      <c r="Q389" s="676"/>
      <c r="R389" s="676"/>
      <c r="S389" s="676"/>
      <c r="T389" s="676"/>
      <c r="U389" s="676"/>
      <c r="V389" s="676"/>
      <c r="W389" s="676"/>
      <c r="X389" s="676"/>
      <c r="Y389" s="676"/>
      <c r="Z389" s="676"/>
      <c r="AA389" s="48"/>
      <c r="AB389" s="48"/>
      <c r="AC389" s="48"/>
    </row>
    <row r="390" spans="1:68" ht="16.5" hidden="1" customHeight="1" x14ac:dyDescent="0.25">
      <c r="A390" s="570" t="s">
        <v>612</v>
      </c>
      <c r="B390" s="557"/>
      <c r="C390" s="557"/>
      <c r="D390" s="557"/>
      <c r="E390" s="557"/>
      <c r="F390" s="557"/>
      <c r="G390" s="557"/>
      <c r="H390" s="557"/>
      <c r="I390" s="557"/>
      <c r="J390" s="557"/>
      <c r="K390" s="557"/>
      <c r="L390" s="557"/>
      <c r="M390" s="557"/>
      <c r="N390" s="557"/>
      <c r="O390" s="557"/>
      <c r="P390" s="557"/>
      <c r="Q390" s="557"/>
      <c r="R390" s="557"/>
      <c r="S390" s="557"/>
      <c r="T390" s="557"/>
      <c r="U390" s="557"/>
      <c r="V390" s="557"/>
      <c r="W390" s="557"/>
      <c r="X390" s="557"/>
      <c r="Y390" s="557"/>
      <c r="Z390" s="557"/>
      <c r="AA390" s="543"/>
      <c r="AB390" s="543"/>
      <c r="AC390" s="543"/>
    </row>
    <row r="391" spans="1:68" ht="14.25" hidden="1" customHeight="1" x14ac:dyDescent="0.25">
      <c r="A391" s="562" t="s">
        <v>64</v>
      </c>
      <c r="B391" s="557"/>
      <c r="C391" s="557"/>
      <c r="D391" s="557"/>
      <c r="E391" s="557"/>
      <c r="F391" s="557"/>
      <c r="G391" s="557"/>
      <c r="H391" s="557"/>
      <c r="I391" s="557"/>
      <c r="J391" s="557"/>
      <c r="K391" s="557"/>
      <c r="L391" s="557"/>
      <c r="M391" s="557"/>
      <c r="N391" s="557"/>
      <c r="O391" s="557"/>
      <c r="P391" s="557"/>
      <c r="Q391" s="557"/>
      <c r="R391" s="557"/>
      <c r="S391" s="557"/>
      <c r="T391" s="557"/>
      <c r="U391" s="557"/>
      <c r="V391" s="557"/>
      <c r="W391" s="557"/>
      <c r="X391" s="557"/>
      <c r="Y391" s="557"/>
      <c r="Z391" s="557"/>
      <c r="AA391" s="544"/>
      <c r="AB391" s="544"/>
      <c r="AC391" s="544"/>
    </row>
    <row r="392" spans="1:68" ht="27" customHeight="1" x14ac:dyDescent="0.25">
      <c r="A392" s="54" t="s">
        <v>613</v>
      </c>
      <c r="B392" s="54" t="s">
        <v>614</v>
      </c>
      <c r="C392" s="31">
        <v>4301031405</v>
      </c>
      <c r="D392" s="559">
        <v>4680115886100</v>
      </c>
      <c r="E392" s="560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112</v>
      </c>
      <c r="L392" s="32"/>
      <c r="M392" s="33" t="s">
        <v>68</v>
      </c>
      <c r="N392" s="33"/>
      <c r="O392" s="32">
        <v>50</v>
      </c>
      <c r="P392" s="58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25</v>
      </c>
      <c r="Y392" s="550">
        <f t="shared" ref="Y392:Y400" si="46">IFERROR(IF(X392="",0,CEILING((X392/$H392),1)*$H392),"")</f>
        <v>27</v>
      </c>
      <c r="Z392" s="36">
        <f>IFERROR(IF(Y392=0,"",ROUNDUP(Y392/H392,0)*0.00902),"")</f>
        <v>4.5100000000000001E-2</v>
      </c>
      <c r="AA392" s="56"/>
      <c r="AB392" s="57"/>
      <c r="AC392" s="441" t="s">
        <v>615</v>
      </c>
      <c r="AG392" s="64"/>
      <c r="AJ392" s="68"/>
      <c r="AK392" s="68">
        <v>0</v>
      </c>
      <c r="BB392" s="442" t="s">
        <v>1</v>
      </c>
      <c r="BM392" s="64">
        <f t="shared" ref="BM392:BM400" si="47">IFERROR(X392*I392/H392,"0")</f>
        <v>25.879629629629626</v>
      </c>
      <c r="BN392" s="64">
        <f t="shared" ref="BN392:BN400" si="48">IFERROR(Y392*I392/H392,"0")</f>
        <v>27.95</v>
      </c>
      <c r="BO392" s="64">
        <f t="shared" ref="BO392:BO400" si="49">IFERROR(1/J392*(X392/H392),"0")</f>
        <v>3.5072951739618406E-2</v>
      </c>
      <c r="BP392" s="64">
        <f t="shared" ref="BP392:BP400" si="50">IFERROR(1/J392*(Y392/H392),"0")</f>
        <v>3.787878787878788E-2</v>
      </c>
    </row>
    <row r="393" spans="1:68" ht="27" hidden="1" customHeight="1" x14ac:dyDescent="0.25">
      <c r="A393" s="54" t="s">
        <v>616</v>
      </c>
      <c r="B393" s="54" t="s">
        <v>617</v>
      </c>
      <c r="C393" s="31">
        <v>4301031406</v>
      </c>
      <c r="D393" s="559">
        <v>4680115886117</v>
      </c>
      <c r="E393" s="560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112</v>
      </c>
      <c r="L393" s="32"/>
      <c r="M393" s="33" t="s">
        <v>68</v>
      </c>
      <c r="N393" s="33"/>
      <c r="O393" s="32">
        <v>50</v>
      </c>
      <c r="P393" s="67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6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/>
      <c r="AK393" s="68">
        <v>0</v>
      </c>
      <c r="BB393" s="444" t="s">
        <v>1</v>
      </c>
      <c r="BM393" s="64">
        <f t="shared" si="47"/>
        <v>0</v>
      </c>
      <c r="BN393" s="64">
        <f t="shared" si="48"/>
        <v>0</v>
      </c>
      <c r="BO393" s="64">
        <f t="shared" si="49"/>
        <v>0</v>
      </c>
      <c r="BP393" s="64">
        <f t="shared" si="50"/>
        <v>0</v>
      </c>
    </row>
    <row r="394" spans="1:68" ht="27" customHeight="1" x14ac:dyDescent="0.25">
      <c r="A394" s="54" t="s">
        <v>619</v>
      </c>
      <c r="B394" s="54" t="s">
        <v>620</v>
      </c>
      <c r="C394" s="31">
        <v>4301031402</v>
      </c>
      <c r="D394" s="559">
        <v>4680115886124</v>
      </c>
      <c r="E394" s="560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112</v>
      </c>
      <c r="L394" s="32"/>
      <c r="M394" s="33" t="s">
        <v>68</v>
      </c>
      <c r="N394" s="33"/>
      <c r="O394" s="32">
        <v>50</v>
      </c>
      <c r="P394" s="59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40</v>
      </c>
      <c r="Y394" s="550">
        <f t="shared" si="46"/>
        <v>43.2</v>
      </c>
      <c r="Z394" s="36">
        <f>IFERROR(IF(Y394=0,"",ROUNDUP(Y394/H394,0)*0.00902),"")</f>
        <v>7.2160000000000002E-2</v>
      </c>
      <c r="AA394" s="56"/>
      <c r="AB394" s="57"/>
      <c r="AC394" s="445" t="s">
        <v>621</v>
      </c>
      <c r="AG394" s="64"/>
      <c r="AJ394" s="68"/>
      <c r="AK394" s="68">
        <v>0</v>
      </c>
      <c r="BB394" s="446" t="s">
        <v>1</v>
      </c>
      <c r="BM394" s="64">
        <f t="shared" si="47"/>
        <v>41.407407407407405</v>
      </c>
      <c r="BN394" s="64">
        <f t="shared" si="48"/>
        <v>44.72</v>
      </c>
      <c r="BO394" s="64">
        <f t="shared" si="49"/>
        <v>5.6116722783389444E-2</v>
      </c>
      <c r="BP394" s="64">
        <f t="shared" si="50"/>
        <v>6.0606060606060608E-2</v>
      </c>
    </row>
    <row r="395" spans="1:68" ht="27" hidden="1" customHeight="1" x14ac:dyDescent="0.25">
      <c r="A395" s="54" t="s">
        <v>622</v>
      </c>
      <c r="B395" s="54" t="s">
        <v>623</v>
      </c>
      <c r="C395" s="31">
        <v>4301031366</v>
      </c>
      <c r="D395" s="559">
        <v>4680115883147</v>
      </c>
      <c r="E395" s="560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660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6"/>
        <v>0</v>
      </c>
      <c r="Z395" s="36" t="str">
        <f t="shared" ref="Z395:Z400" si="51">IFERROR(IF(Y395=0,"",ROUNDUP(Y395/H395,0)*0.00502),"")</f>
        <v/>
      </c>
      <c r="AA395" s="56"/>
      <c r="AB395" s="57"/>
      <c r="AC395" s="447" t="s">
        <v>615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4301031362</v>
      </c>
      <c r="D396" s="559">
        <v>4607091384338</v>
      </c>
      <c r="E396" s="560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 t="s">
        <v>297</v>
      </c>
      <c r="M396" s="33" t="s">
        <v>68</v>
      </c>
      <c r="N396" s="33"/>
      <c r="O396" s="32">
        <v>50</v>
      </c>
      <c r="P396" s="78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0</v>
      </c>
      <c r="Y396" s="550">
        <f t="shared" si="46"/>
        <v>0</v>
      </c>
      <c r="Z396" s="36" t="str">
        <f t="shared" si="51"/>
        <v/>
      </c>
      <c r="AA396" s="56"/>
      <c r="AB396" s="57"/>
      <c r="AC396" s="449" t="s">
        <v>615</v>
      </c>
      <c r="AG396" s="64"/>
      <c r="AJ396" s="68" t="s">
        <v>83</v>
      </c>
      <c r="AK396" s="68">
        <v>37.799999999999997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37.5" hidden="1" customHeight="1" x14ac:dyDescent="0.25">
      <c r="A397" s="54" t="s">
        <v>626</v>
      </c>
      <c r="B397" s="54" t="s">
        <v>627</v>
      </c>
      <c r="C397" s="31">
        <v>4301031361</v>
      </c>
      <c r="D397" s="559">
        <v>4607091389524</v>
      </c>
      <c r="E397" s="560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0</v>
      </c>
      <c r="Y397" s="550">
        <f t="shared" si="46"/>
        <v>0</v>
      </c>
      <c r="Z397" s="36" t="str">
        <f t="shared" si="51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hidden="1" customHeight="1" x14ac:dyDescent="0.25">
      <c r="A398" s="54" t="s">
        <v>629</v>
      </c>
      <c r="B398" s="54" t="s">
        <v>630</v>
      </c>
      <c r="C398" s="31">
        <v>4301031364</v>
      </c>
      <c r="D398" s="559">
        <v>4680115883161</v>
      </c>
      <c r="E398" s="560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6"/>
        <v>0</v>
      </c>
      <c r="Z398" s="36" t="str">
        <f t="shared" si="51"/>
        <v/>
      </c>
      <c r="AA398" s="56"/>
      <c r="AB398" s="57"/>
      <c r="AC398" s="453" t="s">
        <v>631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27" hidden="1" customHeight="1" x14ac:dyDescent="0.25">
      <c r="A399" s="54" t="s">
        <v>632</v>
      </c>
      <c r="B399" s="54" t="s">
        <v>633</v>
      </c>
      <c r="C399" s="31">
        <v>4301031358</v>
      </c>
      <c r="D399" s="559">
        <v>4607091389531</v>
      </c>
      <c r="E399" s="560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0</v>
      </c>
      <c r="Y399" s="550">
        <f t="shared" si="46"/>
        <v>0</v>
      </c>
      <c r="Z399" s="36" t="str">
        <f t="shared" si="51"/>
        <v/>
      </c>
      <c r="AA399" s="56"/>
      <c r="AB399" s="57"/>
      <c r="AC399" s="455" t="s">
        <v>634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37.5" hidden="1" customHeight="1" x14ac:dyDescent="0.25">
      <c r="A400" s="54" t="s">
        <v>635</v>
      </c>
      <c r="B400" s="54" t="s">
        <v>636</v>
      </c>
      <c r="C400" s="31">
        <v>4301031360</v>
      </c>
      <c r="D400" s="559">
        <v>4607091384345</v>
      </c>
      <c r="E400" s="560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57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6"/>
        <v>0</v>
      </c>
      <c r="Z400" s="36" t="str">
        <f t="shared" si="51"/>
        <v/>
      </c>
      <c r="AA400" s="56"/>
      <c r="AB400" s="57"/>
      <c r="AC400" s="457" t="s">
        <v>631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x14ac:dyDescent="0.2">
      <c r="A401" s="556"/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58"/>
      <c r="P401" s="565" t="s">
        <v>75</v>
      </c>
      <c r="Q401" s="566"/>
      <c r="R401" s="566"/>
      <c r="S401" s="566"/>
      <c r="T401" s="566"/>
      <c r="U401" s="566"/>
      <c r="V401" s="567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12.037037037037036</v>
      </c>
      <c r="Y401" s="551">
        <f>IFERROR(Y392/H392,"0")+IFERROR(Y393/H393,"0")+IFERROR(Y394/H394,"0")+IFERROR(Y395/H395,"0")+IFERROR(Y396/H396,"0")+IFERROR(Y397/H397,"0")+IFERROR(Y398/H398,"0")+IFERROR(Y399/H399,"0")+IFERROR(Y400/H400,"0")</f>
        <v>13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0.11726</v>
      </c>
      <c r="AA401" s="552"/>
      <c r="AB401" s="552"/>
      <c r="AC401" s="552"/>
    </row>
    <row r="402" spans="1:68" x14ac:dyDescent="0.2">
      <c r="A402" s="557"/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8"/>
      <c r="P402" s="565" t="s">
        <v>75</v>
      </c>
      <c r="Q402" s="566"/>
      <c r="R402" s="566"/>
      <c r="S402" s="566"/>
      <c r="T402" s="566"/>
      <c r="U402" s="566"/>
      <c r="V402" s="567"/>
      <c r="W402" s="37" t="s">
        <v>69</v>
      </c>
      <c r="X402" s="551">
        <f>IFERROR(SUM(X392:X400),"0")</f>
        <v>65</v>
      </c>
      <c r="Y402" s="551">
        <f>IFERROR(SUM(Y392:Y400),"0")</f>
        <v>70.2</v>
      </c>
      <c r="Z402" s="37"/>
      <c r="AA402" s="552"/>
      <c r="AB402" s="552"/>
      <c r="AC402" s="552"/>
    </row>
    <row r="403" spans="1:68" ht="14.25" hidden="1" customHeight="1" x14ac:dyDescent="0.25">
      <c r="A403" s="562" t="s">
        <v>77</v>
      </c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57"/>
      <c r="P403" s="557"/>
      <c r="Q403" s="557"/>
      <c r="R403" s="557"/>
      <c r="S403" s="557"/>
      <c r="T403" s="557"/>
      <c r="U403" s="557"/>
      <c r="V403" s="557"/>
      <c r="W403" s="557"/>
      <c r="X403" s="557"/>
      <c r="Y403" s="557"/>
      <c r="Z403" s="557"/>
      <c r="AA403" s="544"/>
      <c r="AB403" s="544"/>
      <c r="AC403" s="544"/>
    </row>
    <row r="404" spans="1:68" ht="27" hidden="1" customHeight="1" x14ac:dyDescent="0.25">
      <c r="A404" s="54" t="s">
        <v>637</v>
      </c>
      <c r="B404" s="54" t="s">
        <v>638</v>
      </c>
      <c r="C404" s="31">
        <v>4301051284</v>
      </c>
      <c r="D404" s="559">
        <v>4607091384352</v>
      </c>
      <c r="E404" s="560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112</v>
      </c>
      <c r="L404" s="32"/>
      <c r="M404" s="33" t="s">
        <v>81</v>
      </c>
      <c r="N404" s="33"/>
      <c r="O404" s="32">
        <v>45</v>
      </c>
      <c r="P404" s="6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639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640</v>
      </c>
      <c r="B405" s="54" t="s">
        <v>641</v>
      </c>
      <c r="C405" s="31">
        <v>4301051431</v>
      </c>
      <c r="D405" s="559">
        <v>4607091389654</v>
      </c>
      <c r="E405" s="560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81</v>
      </c>
      <c r="N405" s="33"/>
      <c r="O405" s="32">
        <v>45</v>
      </c>
      <c r="P405" s="63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642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56"/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8"/>
      <c r="P406" s="565" t="s">
        <v>75</v>
      </c>
      <c r="Q406" s="566"/>
      <c r="R406" s="566"/>
      <c r="S406" s="566"/>
      <c r="T406" s="566"/>
      <c r="U406" s="566"/>
      <c r="V406" s="567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hidden="1" x14ac:dyDescent="0.2">
      <c r="A407" s="557"/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8"/>
      <c r="P407" s="565" t="s">
        <v>75</v>
      </c>
      <c r="Q407" s="566"/>
      <c r="R407" s="566"/>
      <c r="S407" s="566"/>
      <c r="T407" s="566"/>
      <c r="U407" s="566"/>
      <c r="V407" s="567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hidden="1" customHeight="1" x14ac:dyDescent="0.25">
      <c r="A408" s="570" t="s">
        <v>643</v>
      </c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57"/>
      <c r="P408" s="557"/>
      <c r="Q408" s="557"/>
      <c r="R408" s="557"/>
      <c r="S408" s="557"/>
      <c r="T408" s="557"/>
      <c r="U408" s="557"/>
      <c r="V408" s="557"/>
      <c r="W408" s="557"/>
      <c r="X408" s="557"/>
      <c r="Y408" s="557"/>
      <c r="Z408" s="557"/>
      <c r="AA408" s="543"/>
      <c r="AB408" s="543"/>
      <c r="AC408" s="543"/>
    </row>
    <row r="409" spans="1:68" ht="14.25" hidden="1" customHeight="1" x14ac:dyDescent="0.25">
      <c r="A409" s="562" t="s">
        <v>138</v>
      </c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57"/>
      <c r="P409" s="557"/>
      <c r="Q409" s="557"/>
      <c r="R409" s="557"/>
      <c r="S409" s="557"/>
      <c r="T409" s="557"/>
      <c r="U409" s="557"/>
      <c r="V409" s="557"/>
      <c r="W409" s="557"/>
      <c r="X409" s="557"/>
      <c r="Y409" s="557"/>
      <c r="Z409" s="557"/>
      <c r="AA409" s="544"/>
      <c r="AB409" s="544"/>
      <c r="AC409" s="544"/>
    </row>
    <row r="410" spans="1:68" ht="27" hidden="1" customHeight="1" x14ac:dyDescent="0.25">
      <c r="A410" s="54" t="s">
        <v>644</v>
      </c>
      <c r="B410" s="54" t="s">
        <v>645</v>
      </c>
      <c r="C410" s="31">
        <v>4301020319</v>
      </c>
      <c r="D410" s="559">
        <v>4680115885240</v>
      </c>
      <c r="E410" s="560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646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6"/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58"/>
      <c r="P411" s="565" t="s">
        <v>75</v>
      </c>
      <c r="Q411" s="566"/>
      <c r="R411" s="566"/>
      <c r="S411" s="566"/>
      <c r="T411" s="566"/>
      <c r="U411" s="566"/>
      <c r="V411" s="567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hidden="1" x14ac:dyDescent="0.2">
      <c r="A412" s="557"/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58"/>
      <c r="P412" s="565" t="s">
        <v>75</v>
      </c>
      <c r="Q412" s="566"/>
      <c r="R412" s="566"/>
      <c r="S412" s="566"/>
      <c r="T412" s="566"/>
      <c r="U412" s="566"/>
      <c r="V412" s="567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hidden="1" customHeight="1" x14ac:dyDescent="0.25">
      <c r="A413" s="562" t="s">
        <v>64</v>
      </c>
      <c r="B413" s="557"/>
      <c r="C413" s="557"/>
      <c r="D413" s="557"/>
      <c r="E413" s="557"/>
      <c r="F413" s="557"/>
      <c r="G413" s="557"/>
      <c r="H413" s="557"/>
      <c r="I413" s="557"/>
      <c r="J413" s="557"/>
      <c r="K413" s="557"/>
      <c r="L413" s="557"/>
      <c r="M413" s="557"/>
      <c r="N413" s="557"/>
      <c r="O413" s="557"/>
      <c r="P413" s="557"/>
      <c r="Q413" s="557"/>
      <c r="R413" s="557"/>
      <c r="S413" s="557"/>
      <c r="T413" s="557"/>
      <c r="U413" s="557"/>
      <c r="V413" s="557"/>
      <c r="W413" s="557"/>
      <c r="X413" s="557"/>
      <c r="Y413" s="557"/>
      <c r="Z413" s="557"/>
      <c r="AA413" s="544"/>
      <c r="AB413" s="544"/>
      <c r="AC413" s="544"/>
    </row>
    <row r="414" spans="1:68" ht="27" customHeight="1" x14ac:dyDescent="0.25">
      <c r="A414" s="54" t="s">
        <v>647</v>
      </c>
      <c r="B414" s="54" t="s">
        <v>648</v>
      </c>
      <c r="C414" s="31">
        <v>4301031403</v>
      </c>
      <c r="D414" s="559">
        <v>4680115886094</v>
      </c>
      <c r="E414" s="560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112</v>
      </c>
      <c r="L414" s="32"/>
      <c r="M414" s="33" t="s">
        <v>108</v>
      </c>
      <c r="N414" s="33"/>
      <c r="O414" s="32">
        <v>50</v>
      </c>
      <c r="P414" s="85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40</v>
      </c>
      <c r="Y414" s="550">
        <f>IFERROR(IF(X414="",0,CEILING((X414/$H414),1)*$H414),"")</f>
        <v>43.2</v>
      </c>
      <c r="Z414" s="36">
        <f>IFERROR(IF(Y414=0,"",ROUNDUP(Y414/H414,0)*0.00902),"")</f>
        <v>7.2160000000000002E-2</v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41.407407407407405</v>
      </c>
      <c r="BN414" s="64">
        <f>IFERROR(Y414*I414/H414,"0")</f>
        <v>44.72</v>
      </c>
      <c r="BO414" s="64">
        <f>IFERROR(1/J414*(X414/H414),"0")</f>
        <v>5.6116722783389444E-2</v>
      </c>
      <c r="BP414" s="64">
        <f>IFERROR(1/J414*(Y414/H414),"0")</f>
        <v>6.0606060606060608E-2</v>
      </c>
    </row>
    <row r="415" spans="1:68" ht="27" hidden="1" customHeight="1" x14ac:dyDescent="0.25">
      <c r="A415" s="54" t="s">
        <v>650</v>
      </c>
      <c r="B415" s="54" t="s">
        <v>651</v>
      </c>
      <c r="C415" s="31">
        <v>4301031363</v>
      </c>
      <c r="D415" s="559">
        <v>4607091389425</v>
      </c>
      <c r="E415" s="560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4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653</v>
      </c>
      <c r="B416" s="54" t="s">
        <v>654</v>
      </c>
      <c r="C416" s="31">
        <v>4301031373</v>
      </c>
      <c r="D416" s="559">
        <v>4680115880771</v>
      </c>
      <c r="E416" s="560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655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656</v>
      </c>
      <c r="B417" s="54" t="s">
        <v>657</v>
      </c>
      <c r="C417" s="31">
        <v>4301031359</v>
      </c>
      <c r="D417" s="559">
        <v>4607091389500</v>
      </c>
      <c r="E417" s="560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655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56"/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8"/>
      <c r="P418" s="565" t="s">
        <v>75</v>
      </c>
      <c r="Q418" s="566"/>
      <c r="R418" s="566"/>
      <c r="S418" s="566"/>
      <c r="T418" s="566"/>
      <c r="U418" s="566"/>
      <c r="V418" s="567"/>
      <c r="W418" s="37" t="s">
        <v>76</v>
      </c>
      <c r="X418" s="551">
        <f>IFERROR(X414/H414,"0")+IFERROR(X415/H415,"0")+IFERROR(X416/H416,"0")+IFERROR(X417/H417,"0")</f>
        <v>7.4074074074074066</v>
      </c>
      <c r="Y418" s="551">
        <f>IFERROR(Y414/H414,"0")+IFERROR(Y415/H415,"0")+IFERROR(Y416/H416,"0")+IFERROR(Y417/H417,"0")</f>
        <v>8</v>
      </c>
      <c r="Z418" s="551">
        <f>IFERROR(IF(Z414="",0,Z414),"0")+IFERROR(IF(Z415="",0,Z415),"0")+IFERROR(IF(Z416="",0,Z416),"0")+IFERROR(IF(Z417="",0,Z417),"0")</f>
        <v>7.2160000000000002E-2</v>
      </c>
      <c r="AA418" s="552"/>
      <c r="AB418" s="552"/>
      <c r="AC418" s="552"/>
    </row>
    <row r="419" spans="1:68" x14ac:dyDescent="0.2">
      <c r="A419" s="557"/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8"/>
      <c r="P419" s="565" t="s">
        <v>75</v>
      </c>
      <c r="Q419" s="566"/>
      <c r="R419" s="566"/>
      <c r="S419" s="566"/>
      <c r="T419" s="566"/>
      <c r="U419" s="566"/>
      <c r="V419" s="567"/>
      <c r="W419" s="37" t="s">
        <v>69</v>
      </c>
      <c r="X419" s="551">
        <f>IFERROR(SUM(X414:X417),"0")</f>
        <v>40</v>
      </c>
      <c r="Y419" s="551">
        <f>IFERROR(SUM(Y414:Y417),"0")</f>
        <v>43.2</v>
      </c>
      <c r="Z419" s="37"/>
      <c r="AA419" s="552"/>
      <c r="AB419" s="552"/>
      <c r="AC419" s="552"/>
    </row>
    <row r="420" spans="1:68" ht="16.5" hidden="1" customHeight="1" x14ac:dyDescent="0.25">
      <c r="A420" s="570" t="s">
        <v>658</v>
      </c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  <c r="Z420" s="557"/>
      <c r="AA420" s="543"/>
      <c r="AB420" s="543"/>
      <c r="AC420" s="543"/>
    </row>
    <row r="421" spans="1:68" ht="14.25" hidden="1" customHeight="1" x14ac:dyDescent="0.25">
      <c r="A421" s="562" t="s">
        <v>64</v>
      </c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57"/>
      <c r="P421" s="557"/>
      <c r="Q421" s="557"/>
      <c r="R421" s="557"/>
      <c r="S421" s="557"/>
      <c r="T421" s="557"/>
      <c r="U421" s="557"/>
      <c r="V421" s="557"/>
      <c r="W421" s="557"/>
      <c r="X421" s="557"/>
      <c r="Y421" s="557"/>
      <c r="Z421" s="557"/>
      <c r="AA421" s="544"/>
      <c r="AB421" s="544"/>
      <c r="AC421" s="544"/>
    </row>
    <row r="422" spans="1:68" ht="27" hidden="1" customHeight="1" x14ac:dyDescent="0.25">
      <c r="A422" s="54" t="s">
        <v>659</v>
      </c>
      <c r="B422" s="54" t="s">
        <v>660</v>
      </c>
      <c r="C422" s="31">
        <v>4301031347</v>
      </c>
      <c r="D422" s="559">
        <v>4680115885110</v>
      </c>
      <c r="E422" s="560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71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661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556"/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8"/>
      <c r="P423" s="565" t="s">
        <v>75</v>
      </c>
      <c r="Q423" s="566"/>
      <c r="R423" s="566"/>
      <c r="S423" s="566"/>
      <c r="T423" s="566"/>
      <c r="U423" s="566"/>
      <c r="V423" s="567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hidden="1" x14ac:dyDescent="0.2">
      <c r="A424" s="557"/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8"/>
      <c r="P424" s="565" t="s">
        <v>75</v>
      </c>
      <c r="Q424" s="566"/>
      <c r="R424" s="566"/>
      <c r="S424" s="566"/>
      <c r="T424" s="566"/>
      <c r="U424" s="566"/>
      <c r="V424" s="567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hidden="1" customHeight="1" x14ac:dyDescent="0.2">
      <c r="A425" s="675" t="s">
        <v>662</v>
      </c>
      <c r="B425" s="676"/>
      <c r="C425" s="676"/>
      <c r="D425" s="676"/>
      <c r="E425" s="676"/>
      <c r="F425" s="676"/>
      <c r="G425" s="676"/>
      <c r="H425" s="676"/>
      <c r="I425" s="676"/>
      <c r="J425" s="676"/>
      <c r="K425" s="676"/>
      <c r="L425" s="676"/>
      <c r="M425" s="676"/>
      <c r="N425" s="676"/>
      <c r="O425" s="676"/>
      <c r="P425" s="676"/>
      <c r="Q425" s="676"/>
      <c r="R425" s="676"/>
      <c r="S425" s="676"/>
      <c r="T425" s="676"/>
      <c r="U425" s="676"/>
      <c r="V425" s="676"/>
      <c r="W425" s="676"/>
      <c r="X425" s="676"/>
      <c r="Y425" s="676"/>
      <c r="Z425" s="676"/>
      <c r="AA425" s="48"/>
      <c r="AB425" s="48"/>
      <c r="AC425" s="48"/>
    </row>
    <row r="426" spans="1:68" ht="16.5" hidden="1" customHeight="1" x14ac:dyDescent="0.25">
      <c r="A426" s="570" t="s">
        <v>662</v>
      </c>
      <c r="B426" s="557"/>
      <c r="C426" s="557"/>
      <c r="D426" s="557"/>
      <c r="E426" s="557"/>
      <c r="F426" s="557"/>
      <c r="G426" s="557"/>
      <c r="H426" s="557"/>
      <c r="I426" s="557"/>
      <c r="J426" s="557"/>
      <c r="K426" s="557"/>
      <c r="L426" s="557"/>
      <c r="M426" s="557"/>
      <c r="N426" s="557"/>
      <c r="O426" s="557"/>
      <c r="P426" s="557"/>
      <c r="Q426" s="557"/>
      <c r="R426" s="557"/>
      <c r="S426" s="557"/>
      <c r="T426" s="557"/>
      <c r="U426" s="557"/>
      <c r="V426" s="557"/>
      <c r="W426" s="557"/>
      <c r="X426" s="557"/>
      <c r="Y426" s="557"/>
      <c r="Z426" s="557"/>
      <c r="AA426" s="543"/>
      <c r="AB426" s="543"/>
      <c r="AC426" s="543"/>
    </row>
    <row r="427" spans="1:68" ht="14.25" hidden="1" customHeight="1" x14ac:dyDescent="0.25">
      <c r="A427" s="562" t="s">
        <v>103</v>
      </c>
      <c r="B427" s="557"/>
      <c r="C427" s="557"/>
      <c r="D427" s="557"/>
      <c r="E427" s="557"/>
      <c r="F427" s="557"/>
      <c r="G427" s="557"/>
      <c r="H427" s="557"/>
      <c r="I427" s="557"/>
      <c r="J427" s="557"/>
      <c r="K427" s="557"/>
      <c r="L427" s="557"/>
      <c r="M427" s="557"/>
      <c r="N427" s="557"/>
      <c r="O427" s="557"/>
      <c r="P427" s="557"/>
      <c r="Q427" s="557"/>
      <c r="R427" s="557"/>
      <c r="S427" s="557"/>
      <c r="T427" s="557"/>
      <c r="U427" s="557"/>
      <c r="V427" s="557"/>
      <c r="W427" s="557"/>
      <c r="X427" s="557"/>
      <c r="Y427" s="557"/>
      <c r="Z427" s="557"/>
      <c r="AA427" s="544"/>
      <c r="AB427" s="544"/>
      <c r="AC427" s="544"/>
    </row>
    <row r="428" spans="1:68" ht="27" customHeight="1" x14ac:dyDescent="0.25">
      <c r="A428" s="54" t="s">
        <v>663</v>
      </c>
      <c r="B428" s="54" t="s">
        <v>664</v>
      </c>
      <c r="C428" s="31">
        <v>4301011795</v>
      </c>
      <c r="D428" s="559">
        <v>4607091389067</v>
      </c>
      <c r="E428" s="560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106</v>
      </c>
      <c r="L428" s="32" t="s">
        <v>107</v>
      </c>
      <c r="M428" s="33" t="s">
        <v>108</v>
      </c>
      <c r="N428" s="33"/>
      <c r="O428" s="32">
        <v>60</v>
      </c>
      <c r="P428" s="64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45</v>
      </c>
      <c r="Y428" s="550">
        <f t="shared" ref="Y428:Y439" si="52">IFERROR(IF(X428="",0,CEILING((X428/$H428),1)*$H428),"")</f>
        <v>47.52</v>
      </c>
      <c r="Z428" s="36">
        <f t="shared" ref="Z428:Z434" si="53">IFERROR(IF(Y428=0,"",ROUNDUP(Y428/H428,0)*0.01196),"")</f>
        <v>0.10764</v>
      </c>
      <c r="AA428" s="56"/>
      <c r="AB428" s="57"/>
      <c r="AC428" s="475" t="s">
        <v>109</v>
      </c>
      <c r="AG428" s="64"/>
      <c r="AJ428" s="68" t="s">
        <v>83</v>
      </c>
      <c r="AK428" s="68">
        <v>42.24</v>
      </c>
      <c r="BB428" s="476" t="s">
        <v>1</v>
      </c>
      <c r="BM428" s="64">
        <f t="shared" ref="BM428:BM439" si="54">IFERROR(X428*I428/H428,"0")</f>
        <v>47.98295454545454</v>
      </c>
      <c r="BN428" s="64">
        <f t="shared" ref="BN428:BN439" si="55">IFERROR(Y428*I428/H428,"0")</f>
        <v>50.669999999999995</v>
      </c>
      <c r="BO428" s="64">
        <f t="shared" ref="BO428:BO439" si="56">IFERROR(1/J428*(X428/H428),"0")</f>
        <v>8.1949300699300689E-2</v>
      </c>
      <c r="BP428" s="64">
        <f t="shared" ref="BP428:BP439" si="57">IFERROR(1/J428*(Y428/H428),"0")</f>
        <v>8.6538461538461536E-2</v>
      </c>
    </row>
    <row r="429" spans="1:68" ht="27" hidden="1" customHeight="1" x14ac:dyDescent="0.25">
      <c r="A429" s="54" t="s">
        <v>665</v>
      </c>
      <c r="B429" s="54" t="s">
        <v>666</v>
      </c>
      <c r="C429" s="31">
        <v>4301012145</v>
      </c>
      <c r="D429" s="559">
        <v>4607091383522</v>
      </c>
      <c r="E429" s="560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106</v>
      </c>
      <c r="L429" s="32"/>
      <c r="M429" s="33" t="s">
        <v>108</v>
      </c>
      <c r="N429" s="33"/>
      <c r="O429" s="32">
        <v>60</v>
      </c>
      <c r="P429" s="65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52"/>
        <v>0</v>
      </c>
      <c r="Z429" s="36" t="str">
        <f t="shared" si="53"/>
        <v/>
      </c>
      <c r="AA429" s="56"/>
      <c r="AB429" s="57"/>
      <c r="AC429" s="477" t="s">
        <v>667</v>
      </c>
      <c r="AG429" s="64"/>
      <c r="AJ429" s="68"/>
      <c r="AK429" s="68">
        <v>0</v>
      </c>
      <c r="BB429" s="478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hidden="1" customHeight="1" x14ac:dyDescent="0.25">
      <c r="A430" s="54" t="s">
        <v>665</v>
      </c>
      <c r="B430" s="54" t="s">
        <v>668</v>
      </c>
      <c r="C430" s="31">
        <v>4301012210</v>
      </c>
      <c r="D430" s="559">
        <v>4607091383522</v>
      </c>
      <c r="E430" s="560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106</v>
      </c>
      <c r="L430" s="32"/>
      <c r="M430" s="33" t="s">
        <v>108</v>
      </c>
      <c r="N430" s="33"/>
      <c r="O430" s="32">
        <v>60</v>
      </c>
      <c r="P430" s="81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52"/>
        <v>0</v>
      </c>
      <c r="Z430" s="36" t="str">
        <f t="shared" si="53"/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hidden="1" customHeight="1" x14ac:dyDescent="0.25">
      <c r="A431" s="54" t="s">
        <v>669</v>
      </c>
      <c r="B431" s="54" t="s">
        <v>670</v>
      </c>
      <c r="C431" s="31">
        <v>4301011961</v>
      </c>
      <c r="D431" s="559">
        <v>4680115885271</v>
      </c>
      <c r="E431" s="560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70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0</v>
      </c>
      <c r="Y431" s="550">
        <f t="shared" si="52"/>
        <v>0</v>
      </c>
      <c r="Z431" s="36" t="str">
        <f t="shared" si="53"/>
        <v/>
      </c>
      <c r="AA431" s="56"/>
      <c r="AB431" s="57"/>
      <c r="AC431" s="481" t="s">
        <v>671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672</v>
      </c>
      <c r="B432" s="54" t="s">
        <v>673</v>
      </c>
      <c r="C432" s="31">
        <v>4301011376</v>
      </c>
      <c r="D432" s="559">
        <v>4680115885226</v>
      </c>
      <c r="E432" s="560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106</v>
      </c>
      <c r="L432" s="32" t="s">
        <v>107</v>
      </c>
      <c r="M432" s="33" t="s">
        <v>81</v>
      </c>
      <c r="N432" s="33"/>
      <c r="O432" s="32">
        <v>60</v>
      </c>
      <c r="P432" s="56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225</v>
      </c>
      <c r="Y432" s="550">
        <f t="shared" si="52"/>
        <v>227.04000000000002</v>
      </c>
      <c r="Z432" s="36">
        <f t="shared" si="53"/>
        <v>0.51427999999999996</v>
      </c>
      <c r="AA432" s="56"/>
      <c r="AB432" s="57"/>
      <c r="AC432" s="483" t="s">
        <v>674</v>
      </c>
      <c r="AG432" s="64"/>
      <c r="AJ432" s="68" t="s">
        <v>83</v>
      </c>
      <c r="AK432" s="68">
        <v>42.24</v>
      </c>
      <c r="BB432" s="484" t="s">
        <v>1</v>
      </c>
      <c r="BM432" s="64">
        <f t="shared" si="54"/>
        <v>239.91477272727272</v>
      </c>
      <c r="BN432" s="64">
        <f t="shared" si="55"/>
        <v>242.09</v>
      </c>
      <c r="BO432" s="64">
        <f t="shared" si="56"/>
        <v>0.40974650349650349</v>
      </c>
      <c r="BP432" s="64">
        <f t="shared" si="57"/>
        <v>0.41346153846153849</v>
      </c>
    </row>
    <row r="433" spans="1:68" ht="16.5" hidden="1" customHeight="1" x14ac:dyDescent="0.25">
      <c r="A433" s="54" t="s">
        <v>675</v>
      </c>
      <c r="B433" s="54" t="s">
        <v>676</v>
      </c>
      <c r="C433" s="31">
        <v>4301011774</v>
      </c>
      <c r="D433" s="559">
        <v>4680115884502</v>
      </c>
      <c r="E433" s="560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106</v>
      </c>
      <c r="L433" s="32"/>
      <c r="M433" s="33" t="s">
        <v>108</v>
      </c>
      <c r="N433" s="33"/>
      <c r="O433" s="32">
        <v>60</v>
      </c>
      <c r="P433" s="8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52"/>
        <v>0</v>
      </c>
      <c r="Z433" s="36" t="str">
        <f t="shared" si="53"/>
        <v/>
      </c>
      <c r="AA433" s="56"/>
      <c r="AB433" s="57"/>
      <c r="AC433" s="485" t="s">
        <v>677</v>
      </c>
      <c r="AG433" s="64"/>
      <c r="AJ433" s="68"/>
      <c r="AK433" s="68">
        <v>0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customHeight="1" x14ac:dyDescent="0.25">
      <c r="A434" s="54" t="s">
        <v>678</v>
      </c>
      <c r="B434" s="54" t="s">
        <v>679</v>
      </c>
      <c r="C434" s="31">
        <v>4301011771</v>
      </c>
      <c r="D434" s="559">
        <v>4607091389104</v>
      </c>
      <c r="E434" s="560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106</v>
      </c>
      <c r="L434" s="32" t="s">
        <v>107</v>
      </c>
      <c r="M434" s="33" t="s">
        <v>108</v>
      </c>
      <c r="N434" s="33"/>
      <c r="O434" s="32">
        <v>60</v>
      </c>
      <c r="P434" s="85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200</v>
      </c>
      <c r="Y434" s="550">
        <f t="shared" si="52"/>
        <v>200.64000000000001</v>
      </c>
      <c r="Z434" s="36">
        <f t="shared" si="53"/>
        <v>0.45448</v>
      </c>
      <c r="AA434" s="56"/>
      <c r="AB434" s="57"/>
      <c r="AC434" s="487" t="s">
        <v>680</v>
      </c>
      <c r="AG434" s="64"/>
      <c r="AJ434" s="68" t="s">
        <v>83</v>
      </c>
      <c r="AK434" s="68">
        <v>42.24</v>
      </c>
      <c r="BB434" s="488" t="s">
        <v>1</v>
      </c>
      <c r="BM434" s="64">
        <f t="shared" si="54"/>
        <v>213.25757575757575</v>
      </c>
      <c r="BN434" s="64">
        <f t="shared" si="55"/>
        <v>213.94</v>
      </c>
      <c r="BO434" s="64">
        <f t="shared" si="56"/>
        <v>0.36421911421911418</v>
      </c>
      <c r="BP434" s="64">
        <f t="shared" si="57"/>
        <v>0.36538461538461542</v>
      </c>
    </row>
    <row r="435" spans="1:68" ht="27" hidden="1" customHeight="1" x14ac:dyDescent="0.25">
      <c r="A435" s="54" t="s">
        <v>681</v>
      </c>
      <c r="B435" s="54" t="s">
        <v>682</v>
      </c>
      <c r="C435" s="31">
        <v>4301012125</v>
      </c>
      <c r="D435" s="559">
        <v>4680115886391</v>
      </c>
      <c r="E435" s="560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81</v>
      </c>
      <c r="N435" s="33"/>
      <c r="O435" s="32">
        <v>60</v>
      </c>
      <c r="P435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52"/>
        <v>0</v>
      </c>
      <c r="Z435" s="36" t="str">
        <f>IFERROR(IF(Y435=0,"",ROUNDUP(Y435/H435,0)*0.00651),"")</f>
        <v/>
      </c>
      <c r="AA435" s="56"/>
      <c r="AB435" s="57"/>
      <c r="AC435" s="489" t="s">
        <v>109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4301012035</v>
      </c>
      <c r="D436" s="559">
        <v>4680115880603</v>
      </c>
      <c r="E436" s="560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112</v>
      </c>
      <c r="L436" s="32"/>
      <c r="M436" s="33" t="s">
        <v>108</v>
      </c>
      <c r="N436" s="33"/>
      <c r="O436" s="32">
        <v>60</v>
      </c>
      <c r="P436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0</v>
      </c>
      <c r="Y436" s="550">
        <f t="shared" si="52"/>
        <v>0</v>
      </c>
      <c r="Z436" s="36" t="str">
        <f>IFERROR(IF(Y436=0,"",ROUNDUP(Y436/H436,0)*0.00902),"")</f>
        <v/>
      </c>
      <c r="AA436" s="56"/>
      <c r="AB436" s="57"/>
      <c r="AC436" s="491" t="s">
        <v>109</v>
      </c>
      <c r="AG436" s="64"/>
      <c r="AJ436" s="68"/>
      <c r="AK436" s="68">
        <v>0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4301012036</v>
      </c>
      <c r="D437" s="559">
        <v>4680115882782</v>
      </c>
      <c r="E437" s="560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112</v>
      </c>
      <c r="L437" s="32"/>
      <c r="M437" s="33" t="s">
        <v>108</v>
      </c>
      <c r="N437" s="33"/>
      <c r="O437" s="32">
        <v>60</v>
      </c>
      <c r="P437" s="5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52"/>
        <v>0</v>
      </c>
      <c r="Z437" s="36" t="str">
        <f>IFERROR(IF(Y437=0,"",ROUNDUP(Y437/H437,0)*0.00937),"")</f>
        <v/>
      </c>
      <c r="AA437" s="56"/>
      <c r="AB437" s="57"/>
      <c r="AC437" s="493" t="s">
        <v>671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4301012050</v>
      </c>
      <c r="D438" s="559">
        <v>4680115885479</v>
      </c>
      <c r="E438" s="560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108</v>
      </c>
      <c r="N438" s="33"/>
      <c r="O438" s="32">
        <v>60</v>
      </c>
      <c r="P438" s="73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52"/>
        <v>0</v>
      </c>
      <c r="Z438" s="36" t="str">
        <f>IFERROR(IF(Y438=0,"",ROUNDUP(Y438/H438,0)*0.00651),"")</f>
        <v/>
      </c>
      <c r="AA438" s="56"/>
      <c r="AB438" s="57"/>
      <c r="AC438" s="495" t="s">
        <v>689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hidden="1" customHeight="1" x14ac:dyDescent="0.25">
      <c r="A439" s="54" t="s">
        <v>690</v>
      </c>
      <c r="B439" s="54" t="s">
        <v>691</v>
      </c>
      <c r="C439" s="31">
        <v>4301012034</v>
      </c>
      <c r="D439" s="559">
        <v>4607091389982</v>
      </c>
      <c r="E439" s="560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112</v>
      </c>
      <c r="L439" s="32"/>
      <c r="M439" s="33" t="s">
        <v>108</v>
      </c>
      <c r="N439" s="33"/>
      <c r="O439" s="32">
        <v>60</v>
      </c>
      <c r="P439" s="8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0</v>
      </c>
      <c r="Y439" s="550">
        <f t="shared" si="52"/>
        <v>0</v>
      </c>
      <c r="Z439" s="36" t="str">
        <f>IFERROR(IF(Y439=0,"",ROUNDUP(Y439/H439,0)*0.00902),"")</f>
        <v/>
      </c>
      <c r="AA439" s="56"/>
      <c r="AB439" s="57"/>
      <c r="AC439" s="497" t="s">
        <v>680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x14ac:dyDescent="0.2">
      <c r="A440" s="556"/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58"/>
      <c r="P440" s="565" t="s">
        <v>75</v>
      </c>
      <c r="Q440" s="566"/>
      <c r="R440" s="566"/>
      <c r="S440" s="566"/>
      <c r="T440" s="566"/>
      <c r="U440" s="566"/>
      <c r="V440" s="567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89.015151515151501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90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1.0764</v>
      </c>
      <c r="AA440" s="552"/>
      <c r="AB440" s="552"/>
      <c r="AC440" s="552"/>
    </row>
    <row r="441" spans="1:68" x14ac:dyDescent="0.2">
      <c r="A441" s="557"/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8"/>
      <c r="P441" s="565" t="s">
        <v>75</v>
      </c>
      <c r="Q441" s="566"/>
      <c r="R441" s="566"/>
      <c r="S441" s="566"/>
      <c r="T441" s="566"/>
      <c r="U441" s="566"/>
      <c r="V441" s="567"/>
      <c r="W441" s="37" t="s">
        <v>69</v>
      </c>
      <c r="X441" s="551">
        <f>IFERROR(SUM(X428:X439),"0")</f>
        <v>470</v>
      </c>
      <c r="Y441" s="551">
        <f>IFERROR(SUM(Y428:Y439),"0")</f>
        <v>475.20000000000005</v>
      </c>
      <c r="Z441" s="37"/>
      <c r="AA441" s="552"/>
      <c r="AB441" s="552"/>
      <c r="AC441" s="552"/>
    </row>
    <row r="442" spans="1:68" ht="14.25" hidden="1" customHeight="1" x14ac:dyDescent="0.25">
      <c r="A442" s="562" t="s">
        <v>138</v>
      </c>
      <c r="B442" s="557"/>
      <c r="C442" s="557"/>
      <c r="D442" s="557"/>
      <c r="E442" s="557"/>
      <c r="F442" s="557"/>
      <c r="G442" s="557"/>
      <c r="H442" s="557"/>
      <c r="I442" s="557"/>
      <c r="J442" s="557"/>
      <c r="K442" s="557"/>
      <c r="L442" s="557"/>
      <c r="M442" s="557"/>
      <c r="N442" s="557"/>
      <c r="O442" s="557"/>
      <c r="P442" s="557"/>
      <c r="Q442" s="557"/>
      <c r="R442" s="557"/>
      <c r="S442" s="557"/>
      <c r="T442" s="557"/>
      <c r="U442" s="557"/>
      <c r="V442" s="557"/>
      <c r="W442" s="557"/>
      <c r="X442" s="557"/>
      <c r="Y442" s="557"/>
      <c r="Z442" s="557"/>
      <c r="AA442" s="544"/>
      <c r="AB442" s="544"/>
      <c r="AC442" s="544"/>
    </row>
    <row r="443" spans="1:68" ht="16.5" customHeight="1" x14ac:dyDescent="0.25">
      <c r="A443" s="54" t="s">
        <v>692</v>
      </c>
      <c r="B443" s="54" t="s">
        <v>693</v>
      </c>
      <c r="C443" s="31">
        <v>4301020334</v>
      </c>
      <c r="D443" s="559">
        <v>4607091388930</v>
      </c>
      <c r="E443" s="560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106</v>
      </c>
      <c r="L443" s="32"/>
      <c r="M443" s="33" t="s">
        <v>81</v>
      </c>
      <c r="N443" s="33"/>
      <c r="O443" s="32">
        <v>70</v>
      </c>
      <c r="P443" s="56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225</v>
      </c>
      <c r="Y443" s="550">
        <f>IFERROR(IF(X443="",0,CEILING((X443/$H443),1)*$H443),"")</f>
        <v>227.04000000000002</v>
      </c>
      <c r="Z443" s="36">
        <f>IFERROR(IF(Y443=0,"",ROUNDUP(Y443/H443,0)*0.01196),"")</f>
        <v>0.51427999999999996</v>
      </c>
      <c r="AA443" s="56"/>
      <c r="AB443" s="57"/>
      <c r="AC443" s="499" t="s">
        <v>694</v>
      </c>
      <c r="AG443" s="64"/>
      <c r="AJ443" s="68"/>
      <c r="AK443" s="68">
        <v>0</v>
      </c>
      <c r="BB443" s="500" t="s">
        <v>1</v>
      </c>
      <c r="BM443" s="64">
        <f>IFERROR(X443*I443/H443,"0")</f>
        <v>239.91477272727272</v>
      </c>
      <c r="BN443" s="64">
        <f>IFERROR(Y443*I443/H443,"0")</f>
        <v>242.09</v>
      </c>
      <c r="BO443" s="64">
        <f>IFERROR(1/J443*(X443/H443),"0")</f>
        <v>0.40974650349650349</v>
      </c>
      <c r="BP443" s="64">
        <f>IFERROR(1/J443*(Y443/H443),"0")</f>
        <v>0.41346153846153849</v>
      </c>
    </row>
    <row r="444" spans="1:68" ht="16.5" hidden="1" customHeight="1" x14ac:dyDescent="0.25">
      <c r="A444" s="54" t="s">
        <v>695</v>
      </c>
      <c r="B444" s="54" t="s">
        <v>696</v>
      </c>
      <c r="C444" s="31">
        <v>4301020384</v>
      </c>
      <c r="D444" s="559">
        <v>4680115886407</v>
      </c>
      <c r="E444" s="560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81</v>
      </c>
      <c r="N444" s="33"/>
      <c r="O444" s="32">
        <v>70</v>
      </c>
      <c r="P444" s="8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694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4301020385</v>
      </c>
      <c r="D445" s="559">
        <v>4680115880054</v>
      </c>
      <c r="E445" s="560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112</v>
      </c>
      <c r="L445" s="32"/>
      <c r="M445" s="33" t="s">
        <v>108</v>
      </c>
      <c r="N445" s="33"/>
      <c r="O445" s="32">
        <v>70</v>
      </c>
      <c r="P445" s="64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694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56"/>
      <c r="B446" s="557"/>
      <c r="C446" s="557"/>
      <c r="D446" s="557"/>
      <c r="E446" s="557"/>
      <c r="F446" s="557"/>
      <c r="G446" s="557"/>
      <c r="H446" s="557"/>
      <c r="I446" s="557"/>
      <c r="J446" s="557"/>
      <c r="K446" s="557"/>
      <c r="L446" s="557"/>
      <c r="M446" s="557"/>
      <c r="N446" s="557"/>
      <c r="O446" s="558"/>
      <c r="P446" s="565" t="s">
        <v>75</v>
      </c>
      <c r="Q446" s="566"/>
      <c r="R446" s="566"/>
      <c r="S446" s="566"/>
      <c r="T446" s="566"/>
      <c r="U446" s="566"/>
      <c r="V446" s="567"/>
      <c r="W446" s="37" t="s">
        <v>76</v>
      </c>
      <c r="X446" s="551">
        <f>IFERROR(X443/H443,"0")+IFERROR(X444/H444,"0")+IFERROR(X445/H445,"0")</f>
        <v>42.61363636363636</v>
      </c>
      <c r="Y446" s="551">
        <f>IFERROR(Y443/H443,"0")+IFERROR(Y444/H444,"0")+IFERROR(Y445/H445,"0")</f>
        <v>43</v>
      </c>
      <c r="Z446" s="551">
        <f>IFERROR(IF(Z443="",0,Z443),"0")+IFERROR(IF(Z444="",0,Z444),"0")+IFERROR(IF(Z445="",0,Z445),"0")</f>
        <v>0.51427999999999996</v>
      </c>
      <c r="AA446" s="552"/>
      <c r="AB446" s="552"/>
      <c r="AC446" s="552"/>
    </row>
    <row r="447" spans="1:68" x14ac:dyDescent="0.2">
      <c r="A447" s="557"/>
      <c r="B447" s="557"/>
      <c r="C447" s="557"/>
      <c r="D447" s="557"/>
      <c r="E447" s="557"/>
      <c r="F447" s="557"/>
      <c r="G447" s="557"/>
      <c r="H447" s="557"/>
      <c r="I447" s="557"/>
      <c r="J447" s="557"/>
      <c r="K447" s="557"/>
      <c r="L447" s="557"/>
      <c r="M447" s="557"/>
      <c r="N447" s="557"/>
      <c r="O447" s="558"/>
      <c r="P447" s="565" t="s">
        <v>75</v>
      </c>
      <c r="Q447" s="566"/>
      <c r="R447" s="566"/>
      <c r="S447" s="566"/>
      <c r="T447" s="566"/>
      <c r="U447" s="566"/>
      <c r="V447" s="567"/>
      <c r="W447" s="37" t="s">
        <v>69</v>
      </c>
      <c r="X447" s="551">
        <f>IFERROR(SUM(X443:X445),"0")</f>
        <v>225</v>
      </c>
      <c r="Y447" s="551">
        <f>IFERROR(SUM(Y443:Y445),"0")</f>
        <v>227.04000000000002</v>
      </c>
      <c r="Z447" s="37"/>
      <c r="AA447" s="552"/>
      <c r="AB447" s="552"/>
      <c r="AC447" s="552"/>
    </row>
    <row r="448" spans="1:68" ht="14.25" hidden="1" customHeight="1" x14ac:dyDescent="0.25">
      <c r="A448" s="562" t="s">
        <v>64</v>
      </c>
      <c r="B448" s="557"/>
      <c r="C448" s="557"/>
      <c r="D448" s="557"/>
      <c r="E448" s="557"/>
      <c r="F448" s="557"/>
      <c r="G448" s="557"/>
      <c r="H448" s="557"/>
      <c r="I448" s="557"/>
      <c r="J448" s="557"/>
      <c r="K448" s="557"/>
      <c r="L448" s="557"/>
      <c r="M448" s="557"/>
      <c r="N448" s="557"/>
      <c r="O448" s="557"/>
      <c r="P448" s="557"/>
      <c r="Q448" s="557"/>
      <c r="R448" s="557"/>
      <c r="S448" s="557"/>
      <c r="T448" s="557"/>
      <c r="U448" s="557"/>
      <c r="V448" s="557"/>
      <c r="W448" s="557"/>
      <c r="X448" s="557"/>
      <c r="Y448" s="557"/>
      <c r="Z448" s="557"/>
      <c r="AA448" s="544"/>
      <c r="AB448" s="544"/>
      <c r="AC448" s="544"/>
    </row>
    <row r="449" spans="1:68" ht="27" customHeight="1" x14ac:dyDescent="0.25">
      <c r="A449" s="54" t="s">
        <v>699</v>
      </c>
      <c r="B449" s="54" t="s">
        <v>700</v>
      </c>
      <c r="C449" s="31">
        <v>4301031349</v>
      </c>
      <c r="D449" s="559">
        <v>4680115883116</v>
      </c>
      <c r="E449" s="560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106</v>
      </c>
      <c r="L449" s="32"/>
      <c r="M449" s="33" t="s">
        <v>108</v>
      </c>
      <c r="N449" s="33"/>
      <c r="O449" s="32">
        <v>70</v>
      </c>
      <c r="P449" s="86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40</v>
      </c>
      <c r="Y449" s="550">
        <f t="shared" ref="Y449:Y454" si="58">IFERROR(IF(X449="",0,CEILING((X449/$H449),1)*$H449),"")</f>
        <v>42.24</v>
      </c>
      <c r="Z449" s="36">
        <f>IFERROR(IF(Y449=0,"",ROUNDUP(Y449/H449,0)*0.01196),"")</f>
        <v>9.5680000000000001E-2</v>
      </c>
      <c r="AA449" s="56"/>
      <c r="AB449" s="57"/>
      <c r="AC449" s="505" t="s">
        <v>701</v>
      </c>
      <c r="AG449" s="64"/>
      <c r="AJ449" s="68"/>
      <c r="AK449" s="68">
        <v>0</v>
      </c>
      <c r="BB449" s="506" t="s">
        <v>1</v>
      </c>
      <c r="BM449" s="64">
        <f t="shared" ref="BM449:BM454" si="59">IFERROR(X449*I449/H449,"0")</f>
        <v>42.651515151515149</v>
      </c>
      <c r="BN449" s="64">
        <f t="shared" ref="BN449:BN454" si="60">IFERROR(Y449*I449/H449,"0")</f>
        <v>45.04</v>
      </c>
      <c r="BO449" s="64">
        <f t="shared" ref="BO449:BO454" si="61">IFERROR(1/J449*(X449/H449),"0")</f>
        <v>7.2843822843822847E-2</v>
      </c>
      <c r="BP449" s="64">
        <f t="shared" ref="BP449:BP454" si="62">IFERROR(1/J449*(Y449/H449),"0")</f>
        <v>7.6923076923076927E-2</v>
      </c>
    </row>
    <row r="450" spans="1:68" ht="27" customHeight="1" x14ac:dyDescent="0.25">
      <c r="A450" s="54" t="s">
        <v>702</v>
      </c>
      <c r="B450" s="54" t="s">
        <v>703</v>
      </c>
      <c r="C450" s="31">
        <v>4301031350</v>
      </c>
      <c r="D450" s="559">
        <v>4680115883093</v>
      </c>
      <c r="E450" s="560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106</v>
      </c>
      <c r="L450" s="32" t="s">
        <v>107</v>
      </c>
      <c r="M450" s="33" t="s">
        <v>68</v>
      </c>
      <c r="N450" s="33"/>
      <c r="O450" s="32">
        <v>70</v>
      </c>
      <c r="P450" s="71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100</v>
      </c>
      <c r="Y450" s="550">
        <f t="shared" si="58"/>
        <v>100.32000000000001</v>
      </c>
      <c r="Z450" s="36">
        <f>IFERROR(IF(Y450=0,"",ROUNDUP(Y450/H450,0)*0.01196),"")</f>
        <v>0.22724</v>
      </c>
      <c r="AA450" s="56"/>
      <c r="AB450" s="57"/>
      <c r="AC450" s="507" t="s">
        <v>704</v>
      </c>
      <c r="AG450" s="64"/>
      <c r="AJ450" s="68" t="s">
        <v>83</v>
      </c>
      <c r="AK450" s="68">
        <v>42.24</v>
      </c>
      <c r="BB450" s="508" t="s">
        <v>1</v>
      </c>
      <c r="BM450" s="64">
        <f t="shared" si="59"/>
        <v>106.62878787878788</v>
      </c>
      <c r="BN450" s="64">
        <f t="shared" si="60"/>
        <v>106.97</v>
      </c>
      <c r="BO450" s="64">
        <f t="shared" si="61"/>
        <v>0.18210955710955709</v>
      </c>
      <c r="BP450" s="64">
        <f t="shared" si="62"/>
        <v>0.18269230769230771</v>
      </c>
    </row>
    <row r="451" spans="1:68" ht="27" customHeight="1" x14ac:dyDescent="0.25">
      <c r="A451" s="54" t="s">
        <v>705</v>
      </c>
      <c r="B451" s="54" t="s">
        <v>706</v>
      </c>
      <c r="C451" s="31">
        <v>4301031353</v>
      </c>
      <c r="D451" s="559">
        <v>4680115883109</v>
      </c>
      <c r="E451" s="560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106</v>
      </c>
      <c r="L451" s="32" t="s">
        <v>107</v>
      </c>
      <c r="M451" s="33" t="s">
        <v>68</v>
      </c>
      <c r="N451" s="33"/>
      <c r="O451" s="32">
        <v>70</v>
      </c>
      <c r="P451" s="74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100</v>
      </c>
      <c r="Y451" s="550">
        <f t="shared" si="58"/>
        <v>100.32000000000001</v>
      </c>
      <c r="Z451" s="36">
        <f>IFERROR(IF(Y451=0,"",ROUNDUP(Y451/H451,0)*0.01196),"")</f>
        <v>0.22724</v>
      </c>
      <c r="AA451" s="56"/>
      <c r="AB451" s="57"/>
      <c r="AC451" s="509" t="s">
        <v>707</v>
      </c>
      <c r="AG451" s="64"/>
      <c r="AJ451" s="68" t="s">
        <v>83</v>
      </c>
      <c r="AK451" s="68">
        <v>42.24</v>
      </c>
      <c r="BB451" s="510" t="s">
        <v>1</v>
      </c>
      <c r="BM451" s="64">
        <f t="shared" si="59"/>
        <v>106.62878787878788</v>
      </c>
      <c r="BN451" s="64">
        <f t="shared" si="60"/>
        <v>106.97</v>
      </c>
      <c r="BO451" s="64">
        <f t="shared" si="61"/>
        <v>0.18210955710955709</v>
      </c>
      <c r="BP451" s="64">
        <f t="shared" si="62"/>
        <v>0.18269230769230771</v>
      </c>
    </row>
    <row r="452" spans="1:68" ht="27" hidden="1" customHeight="1" x14ac:dyDescent="0.25">
      <c r="A452" s="54" t="s">
        <v>708</v>
      </c>
      <c r="B452" s="54" t="s">
        <v>709</v>
      </c>
      <c r="C452" s="31">
        <v>4301031419</v>
      </c>
      <c r="D452" s="559">
        <v>4680115882072</v>
      </c>
      <c r="E452" s="560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112</v>
      </c>
      <c r="L452" s="32"/>
      <c r="M452" s="33" t="s">
        <v>108</v>
      </c>
      <c r="N452" s="33"/>
      <c r="O452" s="32">
        <v>70</v>
      </c>
      <c r="P452" s="59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0</v>
      </c>
      <c r="Y452" s="550">
        <f t="shared" si="58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4301031418</v>
      </c>
      <c r="D453" s="559">
        <v>4680115882102</v>
      </c>
      <c r="E453" s="560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112</v>
      </c>
      <c r="L453" s="32"/>
      <c r="M453" s="33" t="s">
        <v>68</v>
      </c>
      <c r="N453" s="33"/>
      <c r="O453" s="32">
        <v>70</v>
      </c>
      <c r="P453" s="62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0</v>
      </c>
      <c r="Y453" s="550">
        <f t="shared" si="58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4301031417</v>
      </c>
      <c r="D454" s="559">
        <v>4680115882096</v>
      </c>
      <c r="E454" s="560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112</v>
      </c>
      <c r="L454" s="32"/>
      <c r="M454" s="33" t="s">
        <v>68</v>
      </c>
      <c r="N454" s="33"/>
      <c r="O454" s="32">
        <v>70</v>
      </c>
      <c r="P454" s="56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0</v>
      </c>
      <c r="Y454" s="550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707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x14ac:dyDescent="0.2">
      <c r="A455" s="556"/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58"/>
      <c r="P455" s="565" t="s">
        <v>75</v>
      </c>
      <c r="Q455" s="566"/>
      <c r="R455" s="566"/>
      <c r="S455" s="566"/>
      <c r="T455" s="566"/>
      <c r="U455" s="566"/>
      <c r="V455" s="567"/>
      <c r="W455" s="37" t="s">
        <v>76</v>
      </c>
      <c r="X455" s="551">
        <f>IFERROR(X449/H449,"0")+IFERROR(X450/H450,"0")+IFERROR(X451/H451,"0")+IFERROR(X452/H452,"0")+IFERROR(X453/H453,"0")+IFERROR(X454/H454,"0")</f>
        <v>45.454545454545453</v>
      </c>
      <c r="Y455" s="551">
        <f>IFERROR(Y449/H449,"0")+IFERROR(Y450/H450,"0")+IFERROR(Y451/H451,"0")+IFERROR(Y452/H452,"0")+IFERROR(Y453/H453,"0")+IFERROR(Y454/H454,"0")</f>
        <v>46</v>
      </c>
      <c r="Z455" s="551">
        <f>IFERROR(IF(Z449="",0,Z449),"0")+IFERROR(IF(Z450="",0,Z450),"0")+IFERROR(IF(Z451="",0,Z451),"0")+IFERROR(IF(Z452="",0,Z452),"0")+IFERROR(IF(Z453="",0,Z453),"0")+IFERROR(IF(Z454="",0,Z454),"0")</f>
        <v>0.55015999999999998</v>
      </c>
      <c r="AA455" s="552"/>
      <c r="AB455" s="552"/>
      <c r="AC455" s="552"/>
    </row>
    <row r="456" spans="1:68" x14ac:dyDescent="0.2">
      <c r="A456" s="557"/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58"/>
      <c r="P456" s="565" t="s">
        <v>75</v>
      </c>
      <c r="Q456" s="566"/>
      <c r="R456" s="566"/>
      <c r="S456" s="566"/>
      <c r="T456" s="566"/>
      <c r="U456" s="566"/>
      <c r="V456" s="567"/>
      <c r="W456" s="37" t="s">
        <v>69</v>
      </c>
      <c r="X456" s="551">
        <f>IFERROR(SUM(X449:X454),"0")</f>
        <v>240</v>
      </c>
      <c r="Y456" s="551">
        <f>IFERROR(SUM(Y449:Y454),"0")</f>
        <v>242.88</v>
      </c>
      <c r="Z456" s="37"/>
      <c r="AA456" s="552"/>
      <c r="AB456" s="552"/>
      <c r="AC456" s="552"/>
    </row>
    <row r="457" spans="1:68" ht="14.25" hidden="1" customHeight="1" x14ac:dyDescent="0.25">
      <c r="A457" s="562" t="s">
        <v>77</v>
      </c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57"/>
      <c r="P457" s="557"/>
      <c r="Q457" s="557"/>
      <c r="R457" s="557"/>
      <c r="S457" s="557"/>
      <c r="T457" s="557"/>
      <c r="U457" s="557"/>
      <c r="V457" s="557"/>
      <c r="W457" s="557"/>
      <c r="X457" s="557"/>
      <c r="Y457" s="557"/>
      <c r="Z457" s="557"/>
      <c r="AA457" s="544"/>
      <c r="AB457" s="544"/>
      <c r="AC457" s="544"/>
    </row>
    <row r="458" spans="1:68" ht="27" hidden="1" customHeight="1" x14ac:dyDescent="0.25">
      <c r="A458" s="54" t="s">
        <v>714</v>
      </c>
      <c r="B458" s="54" t="s">
        <v>715</v>
      </c>
      <c r="C458" s="31">
        <v>4301051064</v>
      </c>
      <c r="D458" s="559">
        <v>4680115883536</v>
      </c>
      <c r="E458" s="560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81</v>
      </c>
      <c r="N458" s="33"/>
      <c r="O458" s="32">
        <v>45</v>
      </c>
      <c r="P458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716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556"/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8"/>
      <c r="P459" s="565" t="s">
        <v>75</v>
      </c>
      <c r="Q459" s="566"/>
      <c r="R459" s="566"/>
      <c r="S459" s="566"/>
      <c r="T459" s="566"/>
      <c r="U459" s="566"/>
      <c r="V459" s="567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hidden="1" x14ac:dyDescent="0.2">
      <c r="A460" s="557"/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8"/>
      <c r="P460" s="565" t="s">
        <v>75</v>
      </c>
      <c r="Q460" s="566"/>
      <c r="R460" s="566"/>
      <c r="S460" s="566"/>
      <c r="T460" s="566"/>
      <c r="U460" s="566"/>
      <c r="V460" s="567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hidden="1" customHeight="1" x14ac:dyDescent="0.2">
      <c r="A461" s="675" t="s">
        <v>717</v>
      </c>
      <c r="B461" s="676"/>
      <c r="C461" s="676"/>
      <c r="D461" s="676"/>
      <c r="E461" s="676"/>
      <c r="F461" s="676"/>
      <c r="G461" s="676"/>
      <c r="H461" s="676"/>
      <c r="I461" s="676"/>
      <c r="J461" s="676"/>
      <c r="K461" s="676"/>
      <c r="L461" s="676"/>
      <c r="M461" s="676"/>
      <c r="N461" s="676"/>
      <c r="O461" s="676"/>
      <c r="P461" s="676"/>
      <c r="Q461" s="676"/>
      <c r="R461" s="676"/>
      <c r="S461" s="676"/>
      <c r="T461" s="676"/>
      <c r="U461" s="676"/>
      <c r="V461" s="676"/>
      <c r="W461" s="676"/>
      <c r="X461" s="676"/>
      <c r="Y461" s="676"/>
      <c r="Z461" s="676"/>
      <c r="AA461" s="48"/>
      <c r="AB461" s="48"/>
      <c r="AC461" s="48"/>
    </row>
    <row r="462" spans="1:68" ht="16.5" hidden="1" customHeight="1" x14ac:dyDescent="0.25">
      <c r="A462" s="570" t="s">
        <v>717</v>
      </c>
      <c r="B462" s="557"/>
      <c r="C462" s="557"/>
      <c r="D462" s="557"/>
      <c r="E462" s="557"/>
      <c r="F462" s="557"/>
      <c r="G462" s="557"/>
      <c r="H462" s="557"/>
      <c r="I462" s="557"/>
      <c r="J462" s="557"/>
      <c r="K462" s="557"/>
      <c r="L462" s="557"/>
      <c r="M462" s="557"/>
      <c r="N462" s="557"/>
      <c r="O462" s="557"/>
      <c r="P462" s="557"/>
      <c r="Q462" s="557"/>
      <c r="R462" s="557"/>
      <c r="S462" s="557"/>
      <c r="T462" s="557"/>
      <c r="U462" s="557"/>
      <c r="V462" s="557"/>
      <c r="W462" s="557"/>
      <c r="X462" s="557"/>
      <c r="Y462" s="557"/>
      <c r="Z462" s="557"/>
      <c r="AA462" s="543"/>
      <c r="AB462" s="543"/>
      <c r="AC462" s="543"/>
    </row>
    <row r="463" spans="1:68" ht="14.25" hidden="1" customHeight="1" x14ac:dyDescent="0.25">
      <c r="A463" s="562" t="s">
        <v>103</v>
      </c>
      <c r="B463" s="557"/>
      <c r="C463" s="557"/>
      <c r="D463" s="557"/>
      <c r="E463" s="557"/>
      <c r="F463" s="557"/>
      <c r="G463" s="557"/>
      <c r="H463" s="557"/>
      <c r="I463" s="557"/>
      <c r="J463" s="557"/>
      <c r="K463" s="557"/>
      <c r="L463" s="557"/>
      <c r="M463" s="557"/>
      <c r="N463" s="557"/>
      <c r="O463" s="557"/>
      <c r="P463" s="557"/>
      <c r="Q463" s="557"/>
      <c r="R463" s="557"/>
      <c r="S463" s="557"/>
      <c r="T463" s="557"/>
      <c r="U463" s="557"/>
      <c r="V463" s="557"/>
      <c r="W463" s="557"/>
      <c r="X463" s="557"/>
      <c r="Y463" s="557"/>
      <c r="Z463" s="557"/>
      <c r="AA463" s="544"/>
      <c r="AB463" s="544"/>
      <c r="AC463" s="544"/>
    </row>
    <row r="464" spans="1:68" ht="27" hidden="1" customHeight="1" x14ac:dyDescent="0.25">
      <c r="A464" s="54" t="s">
        <v>718</v>
      </c>
      <c r="B464" s="54" t="s">
        <v>719</v>
      </c>
      <c r="C464" s="31">
        <v>4301011763</v>
      </c>
      <c r="D464" s="559">
        <v>4640242181011</v>
      </c>
      <c r="E464" s="560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106</v>
      </c>
      <c r="L464" s="32"/>
      <c r="M464" s="33" t="s">
        <v>81</v>
      </c>
      <c r="N464" s="33"/>
      <c r="O464" s="32">
        <v>55</v>
      </c>
      <c r="P464" s="63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721</v>
      </c>
      <c r="B465" s="54" t="s">
        <v>722</v>
      </c>
      <c r="C465" s="31">
        <v>4301011585</v>
      </c>
      <c r="D465" s="559">
        <v>4640242180441</v>
      </c>
      <c r="E465" s="560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106</v>
      </c>
      <c r="L465" s="32"/>
      <c r="M465" s="33" t="s">
        <v>108</v>
      </c>
      <c r="N465" s="33"/>
      <c r="O465" s="32">
        <v>50</v>
      </c>
      <c r="P465" s="81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724</v>
      </c>
      <c r="B466" s="54" t="s">
        <v>725</v>
      </c>
      <c r="C466" s="31">
        <v>4301011584</v>
      </c>
      <c r="D466" s="559">
        <v>4640242180564</v>
      </c>
      <c r="E466" s="560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106</v>
      </c>
      <c r="L466" s="32"/>
      <c r="M466" s="33" t="s">
        <v>108</v>
      </c>
      <c r="N466" s="33"/>
      <c r="O466" s="32">
        <v>50</v>
      </c>
      <c r="P466" s="64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20</v>
      </c>
      <c r="Y466" s="550">
        <f>IFERROR(IF(X466="",0,CEILING((X466/$H466),1)*$H466),"")</f>
        <v>24</v>
      </c>
      <c r="Z466" s="36">
        <f>IFERROR(IF(Y466=0,"",ROUNDUP(Y466/H466,0)*0.01898),"")</f>
        <v>3.7960000000000001E-2</v>
      </c>
      <c r="AA466" s="56"/>
      <c r="AB466" s="57"/>
      <c r="AC466" s="523" t="s">
        <v>726</v>
      </c>
      <c r="AG466" s="64"/>
      <c r="AJ466" s="68"/>
      <c r="AK466" s="68">
        <v>0</v>
      </c>
      <c r="BB466" s="524" t="s">
        <v>1</v>
      </c>
      <c r="BM466" s="64">
        <f>IFERROR(X466*I466/H466,"0")</f>
        <v>20.683333333333334</v>
      </c>
      <c r="BN466" s="64">
        <f>IFERROR(Y466*I466/H466,"0")</f>
        <v>24.820000000000004</v>
      </c>
      <c r="BO466" s="64">
        <f>IFERROR(1/J466*(X466/H466),"0")</f>
        <v>2.6041666666666668E-2</v>
      </c>
      <c r="BP466" s="64">
        <f>IFERROR(1/J466*(Y466/H466),"0")</f>
        <v>3.125E-2</v>
      </c>
    </row>
    <row r="467" spans="1:68" ht="27" hidden="1" customHeight="1" x14ac:dyDescent="0.25">
      <c r="A467" s="54" t="s">
        <v>727</v>
      </c>
      <c r="B467" s="54" t="s">
        <v>728</v>
      </c>
      <c r="C467" s="31">
        <v>4301011764</v>
      </c>
      <c r="D467" s="559">
        <v>4640242181189</v>
      </c>
      <c r="E467" s="560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112</v>
      </c>
      <c r="L467" s="32"/>
      <c r="M467" s="33" t="s">
        <v>81</v>
      </c>
      <c r="N467" s="33"/>
      <c r="O467" s="32">
        <v>55</v>
      </c>
      <c r="P467" s="69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720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6"/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58"/>
      <c r="P468" s="565" t="s">
        <v>75</v>
      </c>
      <c r="Q468" s="566"/>
      <c r="R468" s="566"/>
      <c r="S468" s="566"/>
      <c r="T468" s="566"/>
      <c r="U468" s="566"/>
      <c r="V468" s="567"/>
      <c r="W468" s="37" t="s">
        <v>76</v>
      </c>
      <c r="X468" s="551">
        <f>IFERROR(X464/H464,"0")+IFERROR(X465/H465,"0")+IFERROR(X466/H466,"0")+IFERROR(X467/H467,"0")</f>
        <v>1.6666666666666667</v>
      </c>
      <c r="Y468" s="551">
        <f>IFERROR(Y464/H464,"0")+IFERROR(Y465/H465,"0")+IFERROR(Y466/H466,"0")+IFERROR(Y467/H467,"0")</f>
        <v>2</v>
      </c>
      <c r="Z468" s="551">
        <f>IFERROR(IF(Z464="",0,Z464),"0")+IFERROR(IF(Z465="",0,Z465),"0")+IFERROR(IF(Z466="",0,Z466),"0")+IFERROR(IF(Z467="",0,Z467),"0")</f>
        <v>3.7960000000000001E-2</v>
      </c>
      <c r="AA468" s="552"/>
      <c r="AB468" s="552"/>
      <c r="AC468" s="552"/>
    </row>
    <row r="469" spans="1:68" x14ac:dyDescent="0.2">
      <c r="A469" s="557"/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58"/>
      <c r="P469" s="565" t="s">
        <v>75</v>
      </c>
      <c r="Q469" s="566"/>
      <c r="R469" s="566"/>
      <c r="S469" s="566"/>
      <c r="T469" s="566"/>
      <c r="U469" s="566"/>
      <c r="V469" s="567"/>
      <c r="W469" s="37" t="s">
        <v>69</v>
      </c>
      <c r="X469" s="551">
        <f>IFERROR(SUM(X464:X467),"0")</f>
        <v>20</v>
      </c>
      <c r="Y469" s="551">
        <f>IFERROR(SUM(Y464:Y467),"0")</f>
        <v>24</v>
      </c>
      <c r="Z469" s="37"/>
      <c r="AA469" s="552"/>
      <c r="AB469" s="552"/>
      <c r="AC469" s="552"/>
    </row>
    <row r="470" spans="1:68" ht="14.25" hidden="1" customHeight="1" x14ac:dyDescent="0.25">
      <c r="A470" s="562" t="s">
        <v>138</v>
      </c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57"/>
      <c r="P470" s="557"/>
      <c r="Q470" s="557"/>
      <c r="R470" s="557"/>
      <c r="S470" s="557"/>
      <c r="T470" s="557"/>
      <c r="U470" s="557"/>
      <c r="V470" s="557"/>
      <c r="W470" s="557"/>
      <c r="X470" s="557"/>
      <c r="Y470" s="557"/>
      <c r="Z470" s="557"/>
      <c r="AA470" s="544"/>
      <c r="AB470" s="544"/>
      <c r="AC470" s="544"/>
    </row>
    <row r="471" spans="1:68" ht="27" hidden="1" customHeight="1" x14ac:dyDescent="0.25">
      <c r="A471" s="54" t="s">
        <v>729</v>
      </c>
      <c r="B471" s="54" t="s">
        <v>730</v>
      </c>
      <c r="C471" s="31">
        <v>4301020400</v>
      </c>
      <c r="D471" s="559">
        <v>4640242180519</v>
      </c>
      <c r="E471" s="560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106</v>
      </c>
      <c r="L471" s="32"/>
      <c r="M471" s="33" t="s">
        <v>108</v>
      </c>
      <c r="N471" s="33"/>
      <c r="O471" s="32">
        <v>50</v>
      </c>
      <c r="P471" s="62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732</v>
      </c>
      <c r="B472" s="54" t="s">
        <v>733</v>
      </c>
      <c r="C472" s="31">
        <v>4301020260</v>
      </c>
      <c r="D472" s="559">
        <v>4640242180526</v>
      </c>
      <c r="E472" s="560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106</v>
      </c>
      <c r="L472" s="32"/>
      <c r="M472" s="33" t="s">
        <v>108</v>
      </c>
      <c r="N472" s="33"/>
      <c r="O472" s="32">
        <v>50</v>
      </c>
      <c r="P472" s="76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734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6"/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58"/>
      <c r="P473" s="565" t="s">
        <v>75</v>
      </c>
      <c r="Q473" s="566"/>
      <c r="R473" s="566"/>
      <c r="S473" s="566"/>
      <c r="T473" s="566"/>
      <c r="U473" s="566"/>
      <c r="V473" s="567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hidden="1" x14ac:dyDescent="0.2">
      <c r="A474" s="557"/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58"/>
      <c r="P474" s="565" t="s">
        <v>75</v>
      </c>
      <c r="Q474" s="566"/>
      <c r="R474" s="566"/>
      <c r="S474" s="566"/>
      <c r="T474" s="566"/>
      <c r="U474" s="566"/>
      <c r="V474" s="567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hidden="1" customHeight="1" x14ac:dyDescent="0.25">
      <c r="A475" s="562" t="s">
        <v>64</v>
      </c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57"/>
      <c r="P475" s="557"/>
      <c r="Q475" s="557"/>
      <c r="R475" s="557"/>
      <c r="S475" s="557"/>
      <c r="T475" s="557"/>
      <c r="U475" s="557"/>
      <c r="V475" s="557"/>
      <c r="W475" s="557"/>
      <c r="X475" s="557"/>
      <c r="Y475" s="557"/>
      <c r="Z475" s="557"/>
      <c r="AA475" s="544"/>
      <c r="AB475" s="544"/>
      <c r="AC475" s="544"/>
    </row>
    <row r="476" spans="1:68" ht="27" hidden="1" customHeight="1" x14ac:dyDescent="0.25">
      <c r="A476" s="54" t="s">
        <v>735</v>
      </c>
      <c r="B476" s="54" t="s">
        <v>736</v>
      </c>
      <c r="C476" s="31">
        <v>4301031244</v>
      </c>
      <c r="D476" s="559">
        <v>4640242180595</v>
      </c>
      <c r="E476" s="560"/>
      <c r="F476" s="548">
        <v>0.7</v>
      </c>
      <c r="G476" s="32">
        <v>6</v>
      </c>
      <c r="H476" s="548">
        <v>4.2</v>
      </c>
      <c r="I476" s="548">
        <v>4.45</v>
      </c>
      <c r="J476" s="32">
        <v>132</v>
      </c>
      <c r="K476" s="32" t="s">
        <v>112</v>
      </c>
      <c r="L476" s="32"/>
      <c r="M476" s="33" t="s">
        <v>68</v>
      </c>
      <c r="N476" s="33"/>
      <c r="O476" s="32">
        <v>40</v>
      </c>
      <c r="P476" s="63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737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6"/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8"/>
      <c r="P477" s="565" t="s">
        <v>75</v>
      </c>
      <c r="Q477" s="566"/>
      <c r="R477" s="566"/>
      <c r="S477" s="566"/>
      <c r="T477" s="566"/>
      <c r="U477" s="566"/>
      <c r="V477" s="567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hidden="1" x14ac:dyDescent="0.2">
      <c r="A478" s="557"/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8"/>
      <c r="P478" s="565" t="s">
        <v>75</v>
      </c>
      <c r="Q478" s="566"/>
      <c r="R478" s="566"/>
      <c r="S478" s="566"/>
      <c r="T478" s="566"/>
      <c r="U478" s="566"/>
      <c r="V478" s="567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hidden="1" customHeight="1" x14ac:dyDescent="0.25">
      <c r="A479" s="562" t="s">
        <v>77</v>
      </c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57"/>
      <c r="P479" s="557"/>
      <c r="Q479" s="557"/>
      <c r="R479" s="557"/>
      <c r="S479" s="557"/>
      <c r="T479" s="557"/>
      <c r="U479" s="557"/>
      <c r="V479" s="557"/>
      <c r="W479" s="557"/>
      <c r="X479" s="557"/>
      <c r="Y479" s="557"/>
      <c r="Z479" s="557"/>
      <c r="AA479" s="544"/>
      <c r="AB479" s="544"/>
      <c r="AC479" s="544"/>
    </row>
    <row r="480" spans="1:68" ht="27" customHeight="1" x14ac:dyDescent="0.25">
      <c r="A480" s="54" t="s">
        <v>738</v>
      </c>
      <c r="B480" s="54" t="s">
        <v>739</v>
      </c>
      <c r="C480" s="31">
        <v>4301052046</v>
      </c>
      <c r="D480" s="559">
        <v>4640242180533</v>
      </c>
      <c r="E480" s="560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106</v>
      </c>
      <c r="L480" s="32"/>
      <c r="M480" s="33" t="s">
        <v>88</v>
      </c>
      <c r="N480" s="33"/>
      <c r="O480" s="32">
        <v>45</v>
      </c>
      <c r="P480" s="85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150</v>
      </c>
      <c r="Y480" s="550">
        <f>IFERROR(IF(X480="",0,CEILING((X480/$H480),1)*$H480),"")</f>
        <v>153</v>
      </c>
      <c r="Z480" s="36">
        <f>IFERROR(IF(Y480=0,"",ROUNDUP(Y480/H480,0)*0.01898),"")</f>
        <v>0.32266</v>
      </c>
      <c r="AA480" s="56"/>
      <c r="AB480" s="57"/>
      <c r="AC480" s="533" t="s">
        <v>740</v>
      </c>
      <c r="AG480" s="64"/>
      <c r="AJ480" s="68"/>
      <c r="AK480" s="68">
        <v>0</v>
      </c>
      <c r="BB480" s="534" t="s">
        <v>1</v>
      </c>
      <c r="BM480" s="64">
        <f>IFERROR(X480*I480/H480,"0")</f>
        <v>158.23333333333332</v>
      </c>
      <c r="BN480" s="64">
        <f>IFERROR(Y480*I480/H480,"0")</f>
        <v>161.398</v>
      </c>
      <c r="BO480" s="64">
        <f>IFERROR(1/J480*(X480/H480),"0")</f>
        <v>0.26041666666666669</v>
      </c>
      <c r="BP480" s="64">
        <f>IFERROR(1/J480*(Y480/H480),"0")</f>
        <v>0.265625</v>
      </c>
    </row>
    <row r="481" spans="1:68" x14ac:dyDescent="0.2">
      <c r="A481" s="556"/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8"/>
      <c r="P481" s="565" t="s">
        <v>75</v>
      </c>
      <c r="Q481" s="566"/>
      <c r="R481" s="566"/>
      <c r="S481" s="566"/>
      <c r="T481" s="566"/>
      <c r="U481" s="566"/>
      <c r="V481" s="567"/>
      <c r="W481" s="37" t="s">
        <v>76</v>
      </c>
      <c r="X481" s="551">
        <f>IFERROR(X480/H480,"0")</f>
        <v>16.666666666666668</v>
      </c>
      <c r="Y481" s="551">
        <f>IFERROR(Y480/H480,"0")</f>
        <v>17</v>
      </c>
      <c r="Z481" s="551">
        <f>IFERROR(IF(Z480="",0,Z480),"0")</f>
        <v>0.32266</v>
      </c>
      <c r="AA481" s="552"/>
      <c r="AB481" s="552"/>
      <c r="AC481" s="552"/>
    </row>
    <row r="482" spans="1:68" x14ac:dyDescent="0.2">
      <c r="A482" s="557"/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8"/>
      <c r="P482" s="565" t="s">
        <v>75</v>
      </c>
      <c r="Q482" s="566"/>
      <c r="R482" s="566"/>
      <c r="S482" s="566"/>
      <c r="T482" s="566"/>
      <c r="U482" s="566"/>
      <c r="V482" s="567"/>
      <c r="W482" s="37" t="s">
        <v>69</v>
      </c>
      <c r="X482" s="551">
        <f>IFERROR(SUM(X480:X480),"0")</f>
        <v>150</v>
      </c>
      <c r="Y482" s="551">
        <f>IFERROR(SUM(Y480:Y480),"0")</f>
        <v>153</v>
      </c>
      <c r="Z482" s="37"/>
      <c r="AA482" s="552"/>
      <c r="AB482" s="552"/>
      <c r="AC482" s="552"/>
    </row>
    <row r="483" spans="1:68" ht="14.25" hidden="1" customHeight="1" x14ac:dyDescent="0.25">
      <c r="A483" s="562" t="s">
        <v>163</v>
      </c>
      <c r="B483" s="557"/>
      <c r="C483" s="557"/>
      <c r="D483" s="557"/>
      <c r="E483" s="557"/>
      <c r="F483" s="557"/>
      <c r="G483" s="557"/>
      <c r="H483" s="557"/>
      <c r="I483" s="557"/>
      <c r="J483" s="557"/>
      <c r="K483" s="557"/>
      <c r="L483" s="557"/>
      <c r="M483" s="557"/>
      <c r="N483" s="557"/>
      <c r="O483" s="557"/>
      <c r="P483" s="557"/>
      <c r="Q483" s="557"/>
      <c r="R483" s="557"/>
      <c r="S483" s="557"/>
      <c r="T483" s="557"/>
      <c r="U483" s="557"/>
      <c r="V483" s="557"/>
      <c r="W483" s="557"/>
      <c r="X483" s="557"/>
      <c r="Y483" s="557"/>
      <c r="Z483" s="557"/>
      <c r="AA483" s="544"/>
      <c r="AB483" s="544"/>
      <c r="AC483" s="544"/>
    </row>
    <row r="484" spans="1:68" ht="27" hidden="1" customHeight="1" x14ac:dyDescent="0.25">
      <c r="A484" s="54" t="s">
        <v>741</v>
      </c>
      <c r="B484" s="54" t="s">
        <v>742</v>
      </c>
      <c r="C484" s="31">
        <v>4301060491</v>
      </c>
      <c r="D484" s="559">
        <v>4640242180120</v>
      </c>
      <c r="E484" s="560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106</v>
      </c>
      <c r="L484" s="32"/>
      <c r="M484" s="33" t="s">
        <v>81</v>
      </c>
      <c r="N484" s="33"/>
      <c r="O484" s="32">
        <v>40</v>
      </c>
      <c r="P484" s="84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744</v>
      </c>
      <c r="B485" s="54" t="s">
        <v>745</v>
      </c>
      <c r="C485" s="31">
        <v>4301060493</v>
      </c>
      <c r="D485" s="559">
        <v>4640242180137</v>
      </c>
      <c r="E485" s="560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106</v>
      </c>
      <c r="L485" s="32"/>
      <c r="M485" s="33" t="s">
        <v>81</v>
      </c>
      <c r="N485" s="33"/>
      <c r="O485" s="32">
        <v>40</v>
      </c>
      <c r="P485" s="76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746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56"/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8"/>
      <c r="P486" s="565" t="s">
        <v>75</v>
      </c>
      <c r="Q486" s="566"/>
      <c r="R486" s="566"/>
      <c r="S486" s="566"/>
      <c r="T486" s="566"/>
      <c r="U486" s="566"/>
      <c r="V486" s="567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hidden="1" x14ac:dyDescent="0.2">
      <c r="A487" s="557"/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8"/>
      <c r="P487" s="565" t="s">
        <v>75</v>
      </c>
      <c r="Q487" s="566"/>
      <c r="R487" s="566"/>
      <c r="S487" s="566"/>
      <c r="T487" s="566"/>
      <c r="U487" s="566"/>
      <c r="V487" s="567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hidden="1" customHeight="1" x14ac:dyDescent="0.25">
      <c r="A488" s="570" t="s">
        <v>747</v>
      </c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7"/>
      <c r="P488" s="557"/>
      <c r="Q488" s="557"/>
      <c r="R488" s="557"/>
      <c r="S488" s="557"/>
      <c r="T488" s="557"/>
      <c r="U488" s="557"/>
      <c r="V488" s="557"/>
      <c r="W488" s="557"/>
      <c r="X488" s="557"/>
      <c r="Y488" s="557"/>
      <c r="Z488" s="557"/>
      <c r="AA488" s="543"/>
      <c r="AB488" s="543"/>
      <c r="AC488" s="543"/>
    </row>
    <row r="489" spans="1:68" ht="14.25" hidden="1" customHeight="1" x14ac:dyDescent="0.25">
      <c r="A489" s="562" t="s">
        <v>138</v>
      </c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57"/>
      <c r="P489" s="557"/>
      <c r="Q489" s="557"/>
      <c r="R489" s="557"/>
      <c r="S489" s="557"/>
      <c r="T489" s="557"/>
      <c r="U489" s="557"/>
      <c r="V489" s="557"/>
      <c r="W489" s="557"/>
      <c r="X489" s="557"/>
      <c r="Y489" s="557"/>
      <c r="Z489" s="557"/>
      <c r="AA489" s="544"/>
      <c r="AB489" s="544"/>
      <c r="AC489" s="544"/>
    </row>
    <row r="490" spans="1:68" ht="27" hidden="1" customHeight="1" x14ac:dyDescent="0.25">
      <c r="A490" s="54" t="s">
        <v>748</v>
      </c>
      <c r="B490" s="54" t="s">
        <v>749</v>
      </c>
      <c r="C490" s="31">
        <v>4301020314</v>
      </c>
      <c r="D490" s="559">
        <v>4640242180090</v>
      </c>
      <c r="E490" s="560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106</v>
      </c>
      <c r="L490" s="32"/>
      <c r="M490" s="33" t="s">
        <v>108</v>
      </c>
      <c r="N490" s="33"/>
      <c r="O490" s="32">
        <v>50</v>
      </c>
      <c r="P490" s="80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750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556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58"/>
      <c r="P491" s="565" t="s">
        <v>75</v>
      </c>
      <c r="Q491" s="566"/>
      <c r="R491" s="566"/>
      <c r="S491" s="566"/>
      <c r="T491" s="566"/>
      <c r="U491" s="566"/>
      <c r="V491" s="567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hidden="1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558"/>
      <c r="P492" s="565" t="s">
        <v>75</v>
      </c>
      <c r="Q492" s="566"/>
      <c r="R492" s="566"/>
      <c r="S492" s="566"/>
      <c r="T492" s="566"/>
      <c r="U492" s="566"/>
      <c r="V492" s="567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0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32"/>
      <c r="P493" s="723" t="s">
        <v>751</v>
      </c>
      <c r="Q493" s="681"/>
      <c r="R493" s="681"/>
      <c r="S493" s="681"/>
      <c r="T493" s="681"/>
      <c r="U493" s="681"/>
      <c r="V493" s="682"/>
      <c r="W493" s="37" t="s">
        <v>69</v>
      </c>
      <c r="X493" s="551">
        <f>IFERROR(X25+X33+X37+X45+X49+X59+X65+X70+X77+X82+X90+X97+X106+X113+X120+X124+X130+X135+X140+X146+X155+X159+X165+X180+X186+X190+X196+X201+X212+X224+X229+X242+X246+X250+X258+X267+X275+X282+X288+X293+X303+X312+X319+X325+X332+X338+X345+X357+X362+X367+X371+X377+X382+X388+X402+X407+X412+X419+X424+X441+X447+X456+X460+X469+X474+X478+X482+X487+X492,"0")</f>
        <v>3795.6000000000004</v>
      </c>
      <c r="Y493" s="551">
        <f>IFERROR(Y25+Y33+Y37+Y45+Y49+Y59+Y65+Y70+Y77+Y82+Y90+Y97+Y106+Y113+Y120+Y124+Y130+Y135+Y140+Y146+Y155+Y159+Y165+Y180+Y186+Y190+Y196+Y201+Y212+Y224+Y229+Y242+Y246+Y250+Y258+Y267+Y275+Y282+Y288+Y293+Y303+Y312+Y319+Y325+Y332+Y338+Y345+Y357+Y362+Y367+Y371+Y377+Y382+Y388+Y402+Y407+Y412+Y419+Y424+Y441+Y447+Y456+Y460+Y469+Y474+Y478+Y482+Y487+Y492,"0")</f>
        <v>3894.12</v>
      </c>
      <c r="Z493" s="37"/>
      <c r="AA493" s="552"/>
      <c r="AB493" s="552"/>
      <c r="AC493" s="552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32"/>
      <c r="P494" s="723" t="s">
        <v>752</v>
      </c>
      <c r="Q494" s="681"/>
      <c r="R494" s="681"/>
      <c r="S494" s="681"/>
      <c r="T494" s="681"/>
      <c r="U494" s="681"/>
      <c r="V494" s="682"/>
      <c r="W494" s="37" t="s">
        <v>69</v>
      </c>
      <c r="X494" s="551">
        <f>IFERROR(SUM(BM22:BM490),"0")</f>
        <v>3968.7302142857143</v>
      </c>
      <c r="Y494" s="551">
        <f>IFERROR(SUM(BN22:BN490),"0")</f>
        <v>4071.4679999999998</v>
      </c>
      <c r="Z494" s="37"/>
      <c r="AA494" s="552"/>
      <c r="AB494" s="552"/>
      <c r="AC494" s="552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32"/>
      <c r="P495" s="723" t="s">
        <v>753</v>
      </c>
      <c r="Q495" s="681"/>
      <c r="R495" s="681"/>
      <c r="S495" s="681"/>
      <c r="T495" s="681"/>
      <c r="U495" s="681"/>
      <c r="V495" s="682"/>
      <c r="W495" s="37" t="s">
        <v>754</v>
      </c>
      <c r="X495" s="38">
        <f>ROUNDUP(SUM(BO22:BO490),0)</f>
        <v>6</v>
      </c>
      <c r="Y495" s="38">
        <f>ROUNDUP(SUM(BP22:BP490),0)</f>
        <v>7</v>
      </c>
      <c r="Z495" s="37"/>
      <c r="AA495" s="552"/>
      <c r="AB495" s="552"/>
      <c r="AC495" s="552"/>
    </row>
    <row r="496" spans="1:68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32"/>
      <c r="P496" s="723" t="s">
        <v>755</v>
      </c>
      <c r="Q496" s="681"/>
      <c r="R496" s="681"/>
      <c r="S496" s="681"/>
      <c r="T496" s="681"/>
      <c r="U496" s="681"/>
      <c r="V496" s="682"/>
      <c r="W496" s="37" t="s">
        <v>69</v>
      </c>
      <c r="X496" s="551">
        <f>GrossWeightTotal+PalletQtyTotal*25</f>
        <v>4118.7302142857143</v>
      </c>
      <c r="Y496" s="551">
        <f>GrossWeightTotalR+PalletQtyTotalR*25</f>
        <v>4246.4679999999998</v>
      </c>
      <c r="Z496" s="37"/>
      <c r="AA496" s="552"/>
      <c r="AB496" s="552"/>
      <c r="AC496" s="552"/>
    </row>
    <row r="497" spans="1:32" x14ac:dyDescent="0.2">
      <c r="A497" s="557"/>
      <c r="B497" s="557"/>
      <c r="C497" s="557"/>
      <c r="D497" s="557"/>
      <c r="E497" s="557"/>
      <c r="F497" s="557"/>
      <c r="G497" s="557"/>
      <c r="H497" s="557"/>
      <c r="I497" s="557"/>
      <c r="J497" s="557"/>
      <c r="K497" s="557"/>
      <c r="L497" s="557"/>
      <c r="M497" s="557"/>
      <c r="N497" s="557"/>
      <c r="O497" s="732"/>
      <c r="P497" s="723" t="s">
        <v>756</v>
      </c>
      <c r="Q497" s="681"/>
      <c r="R497" s="681"/>
      <c r="S497" s="681"/>
      <c r="T497" s="681"/>
      <c r="U497" s="681"/>
      <c r="V497" s="682"/>
      <c r="W497" s="37" t="s">
        <v>754</v>
      </c>
      <c r="X497" s="551">
        <f>IFERROR(X24+X32+X36+X44+X48+X58+X64+X69+X76+X81+X89+X96+X105+X112+X119+X123+X129+X134+X139+X145+X154+X158+X164+X179+X185+X189+X195+X200+X211+X223+X228+X241+X245+X249+X257+X266+X274+X281+X287+X292+X302+X311+X318+X324+X331+X337+X344+X356+X361+X366+X370+X376+X381+X387+X401+X406+X411+X418+X423+X440+X446+X455+X459+X468+X473+X477+X481+X486+X491,"0")</f>
        <v>528.42114367114357</v>
      </c>
      <c r="Y497" s="551">
        <f>IFERROR(Y24+Y32+Y36+Y44+Y48+Y58+Y64+Y69+Y76+Y81+Y89+Y96+Y105+Y112+Y119+Y123+Y129+Y134+Y139+Y145+Y154+Y158+Y164+Y179+Y185+Y189+Y195+Y200+Y211+Y223+Y228+Y241+Y245+Y249+Y257+Y266+Y274+Y281+Y287+Y292+Y302+Y311+Y318+Y324+Y331+Y337+Y344+Y356+Y361+Y366+Y370+Y376+Y381+Y387+Y401+Y406+Y411+Y418+Y423+Y440+Y446+Y455+Y459+Y468+Y473+Y477+Y481+Y486+Y491,"0")</f>
        <v>541</v>
      </c>
      <c r="Z497" s="37"/>
      <c r="AA497" s="552"/>
      <c r="AB497" s="552"/>
      <c r="AC497" s="552"/>
    </row>
    <row r="498" spans="1:32" ht="14.25" hidden="1" customHeight="1" x14ac:dyDescent="0.2">
      <c r="A498" s="557"/>
      <c r="B498" s="557"/>
      <c r="C498" s="557"/>
      <c r="D498" s="557"/>
      <c r="E498" s="557"/>
      <c r="F498" s="557"/>
      <c r="G498" s="557"/>
      <c r="H498" s="557"/>
      <c r="I498" s="557"/>
      <c r="J498" s="557"/>
      <c r="K498" s="557"/>
      <c r="L498" s="557"/>
      <c r="M498" s="557"/>
      <c r="N498" s="557"/>
      <c r="O498" s="732"/>
      <c r="P498" s="723" t="s">
        <v>757</v>
      </c>
      <c r="Q498" s="681"/>
      <c r="R498" s="681"/>
      <c r="S498" s="681"/>
      <c r="T498" s="681"/>
      <c r="U498" s="681"/>
      <c r="V498" s="682"/>
      <c r="W498" s="39" t="s">
        <v>758</v>
      </c>
      <c r="X498" s="37"/>
      <c r="Y498" s="37"/>
      <c r="Z498" s="37">
        <f>IFERROR(Z24+Z32+Z36+Z44+Z48+Z58+Z64+Z69+Z76+Z81+Z89+Z96+Z105+Z112+Z119+Z123+Z129+Z134+Z139+Z145+Z154+Z158+Z164+Z179+Z185+Z189+Z195+Z200+Z211+Z223+Z228+Z241+Z245+Z249+Z257+Z266+Z274+Z281+Z287+Z292+Z302+Z311+Z318+Z324+Z331+Z337+Z344+Z356+Z361+Z366+Z370+Z376+Z381+Z387+Z401+Z406+Z411+Z418+Z423+Z440+Z446+Z455+Z459+Z468+Z473+Z477+Z481+Z486+Z491,"0")</f>
        <v>7.2028800000000004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759</v>
      </c>
      <c r="B500" s="541" t="s">
        <v>63</v>
      </c>
      <c r="C500" s="597" t="s">
        <v>101</v>
      </c>
      <c r="D500" s="754"/>
      <c r="E500" s="754"/>
      <c r="F500" s="754"/>
      <c r="G500" s="754"/>
      <c r="H500" s="755"/>
      <c r="I500" s="597" t="s">
        <v>273</v>
      </c>
      <c r="J500" s="754"/>
      <c r="K500" s="754"/>
      <c r="L500" s="754"/>
      <c r="M500" s="754"/>
      <c r="N500" s="754"/>
      <c r="O500" s="754"/>
      <c r="P500" s="754"/>
      <c r="Q500" s="754"/>
      <c r="R500" s="755"/>
      <c r="S500" s="597" t="s">
        <v>557</v>
      </c>
      <c r="T500" s="755"/>
      <c r="U500" s="597" t="s">
        <v>611</v>
      </c>
      <c r="V500" s="754"/>
      <c r="W500" s="755"/>
      <c r="X500" s="541" t="s">
        <v>662</v>
      </c>
      <c r="Y500" s="597" t="s">
        <v>717</v>
      </c>
      <c r="Z500" s="755"/>
      <c r="AB500" s="52"/>
      <c r="AC500" s="52"/>
      <c r="AF500" s="542"/>
    </row>
    <row r="501" spans="1:32" ht="14.25" customHeight="1" thickTop="1" x14ac:dyDescent="0.2">
      <c r="A501" s="797" t="s">
        <v>760</v>
      </c>
      <c r="B501" s="597" t="s">
        <v>63</v>
      </c>
      <c r="C501" s="597" t="s">
        <v>102</v>
      </c>
      <c r="D501" s="597" t="s">
        <v>119</v>
      </c>
      <c r="E501" s="597" t="s">
        <v>170</v>
      </c>
      <c r="F501" s="597" t="s">
        <v>193</v>
      </c>
      <c r="G501" s="597" t="s">
        <v>230</v>
      </c>
      <c r="H501" s="597" t="s">
        <v>101</v>
      </c>
      <c r="I501" s="597" t="s">
        <v>274</v>
      </c>
      <c r="J501" s="597" t="s">
        <v>324</v>
      </c>
      <c r="K501" s="597" t="s">
        <v>383</v>
      </c>
      <c r="L501" s="597" t="s">
        <v>423</v>
      </c>
      <c r="M501" s="597" t="s">
        <v>439</v>
      </c>
      <c r="N501" s="542"/>
      <c r="O501" s="597" t="s">
        <v>450</v>
      </c>
      <c r="P501" s="597" t="s">
        <v>459</v>
      </c>
      <c r="Q501" s="597" t="s">
        <v>472</v>
      </c>
      <c r="R501" s="597" t="s">
        <v>547</v>
      </c>
      <c r="S501" s="597" t="s">
        <v>558</v>
      </c>
      <c r="T501" s="597" t="s">
        <v>593</v>
      </c>
      <c r="U501" s="597" t="s">
        <v>612</v>
      </c>
      <c r="V501" s="597" t="s">
        <v>643</v>
      </c>
      <c r="W501" s="597" t="s">
        <v>658</v>
      </c>
      <c r="X501" s="597" t="s">
        <v>662</v>
      </c>
      <c r="Y501" s="597" t="s">
        <v>717</v>
      </c>
      <c r="Z501" s="597" t="s">
        <v>747</v>
      </c>
      <c r="AB501" s="52"/>
      <c r="AC501" s="52"/>
      <c r="AF501" s="542"/>
    </row>
    <row r="502" spans="1:32" ht="13.5" customHeight="1" thickBot="1" x14ac:dyDescent="0.25">
      <c r="A502" s="798"/>
      <c r="B502" s="598"/>
      <c r="C502" s="598"/>
      <c r="D502" s="598"/>
      <c r="E502" s="598"/>
      <c r="F502" s="598"/>
      <c r="G502" s="598"/>
      <c r="H502" s="598"/>
      <c r="I502" s="598"/>
      <c r="J502" s="598"/>
      <c r="K502" s="598"/>
      <c r="L502" s="598"/>
      <c r="M502" s="598"/>
      <c r="N502" s="542"/>
      <c r="O502" s="598"/>
      <c r="P502" s="598"/>
      <c r="Q502" s="598"/>
      <c r="R502" s="598"/>
      <c r="S502" s="598"/>
      <c r="T502" s="598"/>
      <c r="U502" s="598"/>
      <c r="V502" s="598"/>
      <c r="W502" s="598"/>
      <c r="X502" s="598"/>
      <c r="Y502" s="598"/>
      <c r="Z502" s="598"/>
      <c r="AB502" s="52"/>
      <c r="AC502" s="52"/>
      <c r="AF502" s="542"/>
    </row>
    <row r="503" spans="1:32" ht="18" customHeight="1" thickTop="1" thickBot="1" x14ac:dyDescent="0.25">
      <c r="A503" s="40" t="s">
        <v>761</v>
      </c>
      <c r="B503" s="46">
        <f>IFERROR(Y22*1,"0")+IFERROR(Y23*1,"0")+IFERROR(Y27*1,"0")+IFERROR(Y28*1,"0")+IFERROR(Y29*1,"0")+IFERROR(Y30*1,"0")+IFERROR(Y31*1,"0")+IFERROR(Y35*1,"0")</f>
        <v>0</v>
      </c>
      <c r="C503" s="46">
        <f>IFERROR(Y41*1,"0")+IFERROR(Y42*1,"0")+IFERROR(Y43*1,"0")+IFERROR(Y47*1,"0")</f>
        <v>108</v>
      </c>
      <c r="D503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348.3</v>
      </c>
      <c r="E503" s="46">
        <f>IFERROR(Y85*1,"0")+IFERROR(Y86*1,"0")+IFERROR(Y87*1,"0")+IFERROR(Y88*1,"0")+IFERROR(Y92*1,"0")+IFERROR(Y93*1,"0")+IFERROR(Y94*1,"0")+IFERROR(Y95*1,"0")</f>
        <v>108</v>
      </c>
      <c r="F503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91.8</v>
      </c>
      <c r="G503" s="46">
        <f>IFERROR(Y127*1,"0")+IFERROR(Y128*1,"0")+IFERROR(Y132*1,"0")+IFERROR(Y133*1,"0")+IFERROR(Y137*1,"0")+IFERROR(Y138*1,"0")</f>
        <v>0</v>
      </c>
      <c r="H503" s="46">
        <f>IFERROR(Y143*1,"0")+IFERROR(Y144*1,"0")+IFERROR(Y148*1,"0")+IFERROR(Y149*1,"0")+IFERROR(Y150*1,"0")+IFERROR(Y151*1,"0")+IFERROR(Y152*1,"0")+IFERROR(Y153*1,"0")+IFERROR(Y157*1,"0")</f>
        <v>0</v>
      </c>
      <c r="I503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25.200000000000003</v>
      </c>
      <c r="J503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630</v>
      </c>
      <c r="K503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3" s="46">
        <f>IFERROR(Y261*1,"0")+IFERROR(Y262*1,"0")+IFERROR(Y263*1,"0")+IFERROR(Y264*1,"0")+IFERROR(Y265*1,"0")</f>
        <v>108</v>
      </c>
      <c r="M503" s="46">
        <f>IFERROR(Y270*1,"0")+IFERROR(Y271*1,"0")+IFERROR(Y272*1,"0")+IFERROR(Y273*1,"0")</f>
        <v>0</v>
      </c>
      <c r="N503" s="542"/>
      <c r="O503" s="46">
        <f>IFERROR(Y278*1,"0")+IFERROR(Y279*1,"0")+IFERROR(Y280*1,"0")</f>
        <v>0</v>
      </c>
      <c r="P503" s="46">
        <f>IFERROR(Y285*1,"0")+IFERROR(Y286*1,"0")+IFERROR(Y290*1,"0")+IFERROR(Y291*1,"0")</f>
        <v>0</v>
      </c>
      <c r="Q503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125.4</v>
      </c>
      <c r="R503" s="46">
        <f>IFERROR(Y341*1,"0")+IFERROR(Y342*1,"0")+IFERROR(Y343*1,"0")</f>
        <v>18.900000000000002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1035</v>
      </c>
      <c r="T503" s="46">
        <f>IFERROR(Y374*1,"0")+IFERROR(Y375*1,"0")+IFERROR(Y379*1,"0")+IFERROR(Y380*1,"0")+IFERROR(Y384*1,"0")+IFERROR(Y385*1,"0")+IFERROR(Y386*1,"0")</f>
        <v>60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70.2</v>
      </c>
      <c r="V503" s="46">
        <f>IFERROR(Y410*1,"0")+IFERROR(Y414*1,"0")+IFERROR(Y415*1,"0")+IFERROR(Y416*1,"0")+IFERROR(Y417*1,"0")</f>
        <v>43.2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945.12000000000012</v>
      </c>
      <c r="Y503" s="46">
        <f>IFERROR(Y464*1,"0")+IFERROR(Y465*1,"0")+IFERROR(Y466*1,"0")+IFERROR(Y467*1,"0")+IFERROR(Y471*1,"0")+IFERROR(Y472*1,"0")+IFERROR(Y476*1,"0")+IFERROR(Y480*1,"0")+IFERROR(Y484*1,"0")+IFERROR(Y485*1,"0")</f>
        <v>177</v>
      </c>
      <c r="Z503" s="46">
        <f>IFERROR(Y490*1,"0")</f>
        <v>0</v>
      </c>
      <c r="AB503" s="52"/>
      <c r="AC503" s="52"/>
      <c r="AF503" s="542"/>
    </row>
  </sheetData>
  <sheetProtection algorithmName="SHA-512" hashValue="RpGBYhBblRK3082e5UpuNebAqGbshddgzUCaTSQnjl1Gy0xuDxcxxovwPbNxy7LCVYw47ADVwlfXfxNZQ+HKsQ==" saltValue="FcMHyu3abYMWT4LHthcheA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,67"/>
        <filter val="10,80"/>
        <filter val="100,00"/>
        <filter val="104,00"/>
        <filter val="105,56"/>
        <filter val="12,04"/>
        <filter val="12,60"/>
        <filter val="120,00"/>
        <filter val="13,88"/>
        <filter val="14,29"/>
        <filter val="14,40"/>
        <filter val="150,00"/>
        <filter val="16,63"/>
        <filter val="16,67"/>
        <filter val="18,90"/>
        <filter val="20,00"/>
        <filter val="200,00"/>
        <filter val="225,00"/>
        <filter val="240,00"/>
        <filter val="25,00"/>
        <filter val="292,50"/>
        <filter val="3 795,60"/>
        <filter val="3 968,73"/>
        <filter val="300,00"/>
        <filter val="35,83"/>
        <filter val="39,40"/>
        <filter val="4 118,73"/>
        <filter val="4,17"/>
        <filter val="4,63"/>
        <filter val="40,00"/>
        <filter val="42,61"/>
        <filter val="45,00"/>
        <filter val="45,45"/>
        <filter val="470,00"/>
        <filter val="48,33"/>
        <filter val="5,95"/>
        <filter val="50,00"/>
        <filter val="528,42"/>
        <filter val="54,00"/>
        <filter val="570,00"/>
        <filter val="6"/>
        <filter val="6,30"/>
        <filter val="60,00"/>
        <filter val="65,00"/>
        <filter val="67,50"/>
        <filter val="7,41"/>
        <filter val="7,69"/>
        <filter val="725,00"/>
        <filter val="80,00"/>
        <filter val="89,02"/>
        <filter val="9,00"/>
        <filter val="9,09"/>
        <filter val="9,26"/>
        <filter val="90,00"/>
        <filter val="90,80"/>
      </filters>
    </filterColumn>
    <filterColumn colId="29" showButton="0"/>
    <filterColumn colId="30" showButton="0"/>
  </autoFilter>
  <mergeCells count="882">
    <mergeCell ref="S501:S502"/>
    <mergeCell ref="X17:X18"/>
    <mergeCell ref="P307:T307"/>
    <mergeCell ref="P444:T444"/>
    <mergeCell ref="D110:E110"/>
    <mergeCell ref="P365:T365"/>
    <mergeCell ref="P387:V387"/>
    <mergeCell ref="P496:V496"/>
    <mergeCell ref="J501:J502"/>
    <mergeCell ref="A426:Z426"/>
    <mergeCell ref="U17:V17"/>
    <mergeCell ref="Y17:Y18"/>
    <mergeCell ref="A266:O267"/>
    <mergeCell ref="D57:E57"/>
    <mergeCell ref="N17:N18"/>
    <mergeCell ref="A58:O59"/>
    <mergeCell ref="P495:V495"/>
    <mergeCell ref="A114:Z114"/>
    <mergeCell ref="A191:Z191"/>
    <mergeCell ref="P439:T439"/>
    <mergeCell ref="A51:Z51"/>
    <mergeCell ref="A107:Z107"/>
    <mergeCell ref="P262:T262"/>
    <mergeCell ref="P433:T433"/>
    <mergeCell ref="A10:C10"/>
    <mergeCell ref="D501:D502"/>
    <mergeCell ref="L501:L502"/>
    <mergeCell ref="P361:V361"/>
    <mergeCell ref="A413:Z413"/>
    <mergeCell ref="P218:T218"/>
    <mergeCell ref="P69:V69"/>
    <mergeCell ref="P140:V140"/>
    <mergeCell ref="A136:Z136"/>
    <mergeCell ref="A21:Z21"/>
    <mergeCell ref="A192:Z192"/>
    <mergeCell ref="P311:V311"/>
    <mergeCell ref="D184:E184"/>
    <mergeCell ref="A366:O367"/>
    <mergeCell ref="D42:E42"/>
    <mergeCell ref="A181:Z181"/>
    <mergeCell ref="P356:V356"/>
    <mergeCell ref="A468:O469"/>
    <mergeCell ref="D17:E18"/>
    <mergeCell ref="D173:E173"/>
    <mergeCell ref="A479:Z479"/>
    <mergeCell ref="P149:T149"/>
    <mergeCell ref="P174:T174"/>
    <mergeCell ref="A339:Z339"/>
    <mergeCell ref="A8:C8"/>
    <mergeCell ref="P385:T385"/>
    <mergeCell ref="D355:E355"/>
    <mergeCell ref="P410:T410"/>
    <mergeCell ref="P360:T360"/>
    <mergeCell ref="A477:O478"/>
    <mergeCell ref="P151:T151"/>
    <mergeCell ref="P76:V76"/>
    <mergeCell ref="D395:E395"/>
    <mergeCell ref="P449:T449"/>
    <mergeCell ref="D471:E471"/>
    <mergeCell ref="A131:Z131"/>
    <mergeCell ref="V12:W12"/>
    <mergeCell ref="A200:O201"/>
    <mergeCell ref="D458:E458"/>
    <mergeCell ref="D262:E262"/>
    <mergeCell ref="D433:E433"/>
    <mergeCell ref="D237:E237"/>
    <mergeCell ref="A39:Z39"/>
    <mergeCell ref="A44:O45"/>
    <mergeCell ref="P85:T85"/>
    <mergeCell ref="D291:E291"/>
    <mergeCell ref="D239:E239"/>
    <mergeCell ref="D95:E95"/>
    <mergeCell ref="Q5:R5"/>
    <mergeCell ref="F17:F18"/>
    <mergeCell ref="P72:T72"/>
    <mergeCell ref="P199:T199"/>
    <mergeCell ref="P297:T297"/>
    <mergeCell ref="P435:T435"/>
    <mergeCell ref="D278:E278"/>
    <mergeCell ref="D163:E163"/>
    <mergeCell ref="P291:T291"/>
    <mergeCell ref="D234:E234"/>
    <mergeCell ref="D405:E405"/>
    <mergeCell ref="A24:O25"/>
    <mergeCell ref="P263:T263"/>
    <mergeCell ref="P434:T434"/>
    <mergeCell ref="D244:E244"/>
    <mergeCell ref="D171:E171"/>
    <mergeCell ref="D342:E342"/>
    <mergeCell ref="P355:T355"/>
    <mergeCell ref="D336:E336"/>
    <mergeCell ref="Q6:R6"/>
    <mergeCell ref="A425:Z425"/>
    <mergeCell ref="A189:O190"/>
    <mergeCell ref="A320:Z320"/>
    <mergeCell ref="A347:Z347"/>
    <mergeCell ref="P303:V303"/>
    <mergeCell ref="P484:T484"/>
    <mergeCell ref="P436:T436"/>
    <mergeCell ref="D102:E102"/>
    <mergeCell ref="P81:V81"/>
    <mergeCell ref="A269:Z269"/>
    <mergeCell ref="P419:V419"/>
    <mergeCell ref="P145:V145"/>
    <mergeCell ref="D133:E133"/>
    <mergeCell ref="A231:Z231"/>
    <mergeCell ref="P381:V381"/>
    <mergeCell ref="A333:Z333"/>
    <mergeCell ref="P468:V468"/>
    <mergeCell ref="A160:Z160"/>
    <mergeCell ref="P275:V275"/>
    <mergeCell ref="P366:V366"/>
    <mergeCell ref="P359:T359"/>
    <mergeCell ref="P415:T415"/>
    <mergeCell ref="A348:Z348"/>
    <mergeCell ref="P480:T480"/>
    <mergeCell ref="P424:V424"/>
    <mergeCell ref="P414:T414"/>
    <mergeCell ref="AD17:AF18"/>
    <mergeCell ref="A481:O482"/>
    <mergeCell ref="D101:E101"/>
    <mergeCell ref="A337:O338"/>
    <mergeCell ref="F5:G5"/>
    <mergeCell ref="A488:Z488"/>
    <mergeCell ref="P411:V411"/>
    <mergeCell ref="A463:Z463"/>
    <mergeCell ref="P67:T67"/>
    <mergeCell ref="D430:E430"/>
    <mergeCell ref="P119:V119"/>
    <mergeCell ref="D175:E175"/>
    <mergeCell ref="A36:O37"/>
    <mergeCell ref="P253:T253"/>
    <mergeCell ref="D221:E221"/>
    <mergeCell ref="V11:W11"/>
    <mergeCell ref="A294:Z294"/>
    <mergeCell ref="D392:E392"/>
    <mergeCell ref="A370:O371"/>
    <mergeCell ref="P469:V469"/>
    <mergeCell ref="P57:T57"/>
    <mergeCell ref="P75:T75"/>
    <mergeCell ref="P342:T342"/>
    <mergeCell ref="P317:T317"/>
    <mergeCell ref="P2:W3"/>
    <mergeCell ref="P133:T133"/>
    <mergeCell ref="P498:V498"/>
    <mergeCell ref="P127:T127"/>
    <mergeCell ref="P298:T298"/>
    <mergeCell ref="P198:T198"/>
    <mergeCell ref="P369:T369"/>
    <mergeCell ref="P54:T54"/>
    <mergeCell ref="D437:E437"/>
    <mergeCell ref="D35:E35"/>
    <mergeCell ref="P312:V312"/>
    <mergeCell ref="A289:Z289"/>
    <mergeCell ref="D404:E404"/>
    <mergeCell ref="D10:E10"/>
    <mergeCell ref="F10:G10"/>
    <mergeCell ref="D305:E305"/>
    <mergeCell ref="D270:E270"/>
    <mergeCell ref="P349:T349"/>
    <mergeCell ref="D397:E397"/>
    <mergeCell ref="A344:O345"/>
    <mergeCell ref="P376:V376"/>
    <mergeCell ref="P128:T128"/>
    <mergeCell ref="D310:E310"/>
    <mergeCell ref="A245:O246"/>
    <mergeCell ref="B501:B502"/>
    <mergeCell ref="A247:Z247"/>
    <mergeCell ref="P189:V189"/>
    <mergeCell ref="P456:V456"/>
    <mergeCell ref="D177:E177"/>
    <mergeCell ref="P287:V287"/>
    <mergeCell ref="A483:Z483"/>
    <mergeCell ref="P281:V281"/>
    <mergeCell ref="P183:T183"/>
    <mergeCell ref="D226:E226"/>
    <mergeCell ref="P354:T354"/>
    <mergeCell ref="P364:T364"/>
    <mergeCell ref="U500:W500"/>
    <mergeCell ref="I501:I502"/>
    <mergeCell ref="D323:E323"/>
    <mergeCell ref="D394:E394"/>
    <mergeCell ref="D279:E279"/>
    <mergeCell ref="P406:V406"/>
    <mergeCell ref="D450:E450"/>
    <mergeCell ref="K501:K502"/>
    <mergeCell ref="D216:E216"/>
    <mergeCell ref="D265:E265"/>
    <mergeCell ref="P195:V195"/>
    <mergeCell ref="D252:E252"/>
    <mergeCell ref="A409:Z409"/>
    <mergeCell ref="O17:O18"/>
    <mergeCell ref="P336:T336"/>
    <mergeCell ref="P258:V258"/>
    <mergeCell ref="P423:V423"/>
    <mergeCell ref="P223:V223"/>
    <mergeCell ref="P430:T430"/>
    <mergeCell ref="P494:V494"/>
    <mergeCell ref="P102:T102"/>
    <mergeCell ref="P417:T417"/>
    <mergeCell ref="P481:V481"/>
    <mergeCell ref="P62:T62"/>
    <mergeCell ref="D152:E152"/>
    <mergeCell ref="D29:E29"/>
    <mergeCell ref="D23:E23"/>
    <mergeCell ref="A134:O135"/>
    <mergeCell ref="A20:Z20"/>
    <mergeCell ref="A125:Z125"/>
    <mergeCell ref="P371:V371"/>
    <mergeCell ref="D452:E452"/>
    <mergeCell ref="P493:V493"/>
    <mergeCell ref="A411:O412"/>
    <mergeCell ref="P110:T110"/>
    <mergeCell ref="D170:E170"/>
    <mergeCell ref="Y500:Z500"/>
    <mergeCell ref="P301:T301"/>
    <mergeCell ref="D385:E385"/>
    <mergeCell ref="P178:T178"/>
    <mergeCell ref="D86:E86"/>
    <mergeCell ref="P214:T214"/>
    <mergeCell ref="P270:T270"/>
    <mergeCell ref="P341:T341"/>
    <mergeCell ref="A64:O65"/>
    <mergeCell ref="D151:E151"/>
    <mergeCell ref="D384:E384"/>
    <mergeCell ref="A387:O388"/>
    <mergeCell ref="D449:E449"/>
    <mergeCell ref="A457:Z457"/>
    <mergeCell ref="D150:E150"/>
    <mergeCell ref="P278:T278"/>
    <mergeCell ref="P129:V129"/>
    <mergeCell ref="P101:T101"/>
    <mergeCell ref="D321:E321"/>
    <mergeCell ref="D215:E215"/>
    <mergeCell ref="D386:E386"/>
    <mergeCell ref="P465:T465"/>
    <mergeCell ref="P250:V250"/>
    <mergeCell ref="P492:V492"/>
    <mergeCell ref="V501:V502"/>
    <mergeCell ref="D436:E436"/>
    <mergeCell ref="P490:T490"/>
    <mergeCell ref="X501:X502"/>
    <mergeCell ref="A105:O106"/>
    <mergeCell ref="D227:E227"/>
    <mergeCell ref="A9:C9"/>
    <mergeCell ref="P321:T321"/>
    <mergeCell ref="P323:T323"/>
    <mergeCell ref="P70:V70"/>
    <mergeCell ref="A91:Z91"/>
    <mergeCell ref="P337:V337"/>
    <mergeCell ref="A389:Z389"/>
    <mergeCell ref="A156:Z156"/>
    <mergeCell ref="P32:V32"/>
    <mergeCell ref="P474:V474"/>
    <mergeCell ref="Q13:R13"/>
    <mergeCell ref="P97:V97"/>
    <mergeCell ref="P134:V134"/>
    <mergeCell ref="P401:V401"/>
    <mergeCell ref="I500:R500"/>
    <mergeCell ref="A391:Z391"/>
    <mergeCell ref="A318:O319"/>
    <mergeCell ref="A493:O498"/>
    <mergeCell ref="Y501:Y502"/>
    <mergeCell ref="A230:Z230"/>
    <mergeCell ref="D222:E222"/>
    <mergeCell ref="A501:A502"/>
    <mergeCell ref="P35:T35"/>
    <mergeCell ref="G17:G18"/>
    <mergeCell ref="A81:O82"/>
    <mergeCell ref="A295:Z295"/>
    <mergeCell ref="D314:E314"/>
    <mergeCell ref="P399:T399"/>
    <mergeCell ref="P242:V242"/>
    <mergeCell ref="P407:V407"/>
    <mergeCell ref="A403:Z403"/>
    <mergeCell ref="D80:E80"/>
    <mergeCell ref="P188:T188"/>
    <mergeCell ref="P357:V357"/>
    <mergeCell ref="P382:V382"/>
    <mergeCell ref="A225:Z225"/>
    <mergeCell ref="A461:Z461"/>
    <mergeCell ref="P123:V123"/>
    <mergeCell ref="D434:E434"/>
    <mergeCell ref="P482:V482"/>
    <mergeCell ref="A241:O242"/>
    <mergeCell ref="P111:T111"/>
    <mergeCell ref="H5:M5"/>
    <mergeCell ref="P473:V473"/>
    <mergeCell ref="P158:V158"/>
    <mergeCell ref="A228:O229"/>
    <mergeCell ref="D317:E317"/>
    <mergeCell ref="P396:T396"/>
    <mergeCell ref="A390:Z390"/>
    <mergeCell ref="D6:M6"/>
    <mergeCell ref="D439:E439"/>
    <mergeCell ref="P175:T175"/>
    <mergeCell ref="P266:V266"/>
    <mergeCell ref="A292:O293"/>
    <mergeCell ref="P331:V331"/>
    <mergeCell ref="D143:E143"/>
    <mergeCell ref="P227:T227"/>
    <mergeCell ref="P398:T398"/>
    <mergeCell ref="P177:T177"/>
    <mergeCell ref="A223:O224"/>
    <mergeCell ref="P93:T93"/>
    <mergeCell ref="P226:T226"/>
    <mergeCell ref="D85:E85"/>
    <mergeCell ref="D207:E207"/>
    <mergeCell ref="D256:E256"/>
    <mergeCell ref="P120:V120"/>
    <mergeCell ref="V6:W9"/>
    <mergeCell ref="A112:O113"/>
    <mergeCell ref="D128:E128"/>
    <mergeCell ref="D199:E199"/>
    <mergeCell ref="P256:T256"/>
    <mergeCell ref="P109:T109"/>
    <mergeCell ref="D364:E364"/>
    <mergeCell ref="D435:E435"/>
    <mergeCell ref="D217:E217"/>
    <mergeCell ref="P222:T222"/>
    <mergeCell ref="P22:T22"/>
    <mergeCell ref="P193:T193"/>
    <mergeCell ref="P314:T314"/>
    <mergeCell ref="D428:E428"/>
    <mergeCell ref="D415:E415"/>
    <mergeCell ref="A346:Z346"/>
    <mergeCell ref="P80:T80"/>
    <mergeCell ref="D194:E194"/>
    <mergeCell ref="Z17:Z18"/>
    <mergeCell ref="A283:Z283"/>
    <mergeCell ref="A277:Z277"/>
    <mergeCell ref="P44:V44"/>
    <mergeCell ref="P335:T335"/>
    <mergeCell ref="D299:E299"/>
    <mergeCell ref="A489:Z489"/>
    <mergeCell ref="A141:Z141"/>
    <mergeCell ref="W501:W502"/>
    <mergeCell ref="H10:M10"/>
    <mergeCell ref="AA17:AA18"/>
    <mergeCell ref="AC17:AC18"/>
    <mergeCell ref="P485:T485"/>
    <mergeCell ref="P108:T108"/>
    <mergeCell ref="P279:T279"/>
    <mergeCell ref="D393:E393"/>
    <mergeCell ref="A420:Z420"/>
    <mergeCell ref="P472:T472"/>
    <mergeCell ref="P254:T254"/>
    <mergeCell ref="F501:F502"/>
    <mergeCell ref="P343:T343"/>
    <mergeCell ref="H501:H502"/>
    <mergeCell ref="D153:E153"/>
    <mergeCell ref="D484:E484"/>
    <mergeCell ref="A455:O456"/>
    <mergeCell ref="AB17:AB18"/>
    <mergeCell ref="A448:Z448"/>
    <mergeCell ref="S500:T500"/>
    <mergeCell ref="D465:E465"/>
    <mergeCell ref="D296:E296"/>
    <mergeCell ref="M501:M502"/>
    <mergeCell ref="O501:O502"/>
    <mergeCell ref="P58:V58"/>
    <mergeCell ref="A13:M13"/>
    <mergeCell ref="P380:T380"/>
    <mergeCell ref="Q501:Q502"/>
    <mergeCell ref="D61:E61"/>
    <mergeCell ref="P115:T115"/>
    <mergeCell ref="D254:E254"/>
    <mergeCell ref="A15:M15"/>
    <mergeCell ref="P238:T238"/>
    <mergeCell ref="P302:V302"/>
    <mergeCell ref="A427:Z427"/>
    <mergeCell ref="D490:E490"/>
    <mergeCell ref="P204:T204"/>
    <mergeCell ref="P375:T375"/>
    <mergeCell ref="D62:E62"/>
    <mergeCell ref="C500:H500"/>
    <mergeCell ref="D56:E56"/>
    <mergeCell ref="D193:E193"/>
    <mergeCell ref="D127:E127"/>
    <mergeCell ref="P206:T206"/>
    <mergeCell ref="P233:T233"/>
    <mergeCell ref="D176:E176"/>
    <mergeCell ref="D485:E485"/>
    <mergeCell ref="P447:V447"/>
    <mergeCell ref="D137:E137"/>
    <mergeCell ref="P216:T216"/>
    <mergeCell ref="P124:V124"/>
    <mergeCell ref="D422:E422"/>
    <mergeCell ref="D74:E74"/>
    <mergeCell ref="P87:T87"/>
    <mergeCell ref="D68:E68"/>
    <mergeCell ref="D335:E335"/>
    <mergeCell ref="P451:T451"/>
    <mergeCell ref="A470:Z470"/>
    <mergeCell ref="D188:E188"/>
    <mergeCell ref="A440:O441"/>
    <mergeCell ref="D286:E286"/>
    <mergeCell ref="P322:T322"/>
    <mergeCell ref="D132:E132"/>
    <mergeCell ref="D399:E399"/>
    <mergeCell ref="P309:T309"/>
    <mergeCell ref="D178:E178"/>
    <mergeCell ref="P88:T88"/>
    <mergeCell ref="D172:E172"/>
    <mergeCell ref="P153:T153"/>
    <mergeCell ref="P338:V338"/>
    <mergeCell ref="T5:U5"/>
    <mergeCell ref="V5:W5"/>
    <mergeCell ref="P203:T203"/>
    <mergeCell ref="P374:T374"/>
    <mergeCell ref="A491:O492"/>
    <mergeCell ref="D111:E111"/>
    <mergeCell ref="D233:E233"/>
    <mergeCell ref="P212:V212"/>
    <mergeCell ref="A142:Z142"/>
    <mergeCell ref="Q8:R8"/>
    <mergeCell ref="D183:E183"/>
    <mergeCell ref="P438:T438"/>
    <mergeCell ref="D444:E444"/>
    <mergeCell ref="D248:E248"/>
    <mergeCell ref="D219:E219"/>
    <mergeCell ref="D104:E104"/>
    <mergeCell ref="A257:O258"/>
    <mergeCell ref="T6:U9"/>
    <mergeCell ref="P319:V319"/>
    <mergeCell ref="Q10:R10"/>
    <mergeCell ref="A442:Z442"/>
    <mergeCell ref="D41:E41"/>
    <mergeCell ref="P296:T296"/>
    <mergeCell ref="A486:O487"/>
    <mergeCell ref="G501:G502"/>
    <mergeCell ref="A251:Z251"/>
    <mergeCell ref="P497:V497"/>
    <mergeCell ref="P122:T122"/>
    <mergeCell ref="P288:V288"/>
    <mergeCell ref="P43:T43"/>
    <mergeCell ref="P65:V65"/>
    <mergeCell ref="D157:E157"/>
    <mergeCell ref="P285:T285"/>
    <mergeCell ref="D328:E328"/>
    <mergeCell ref="A126:Z126"/>
    <mergeCell ref="A259:Z259"/>
    <mergeCell ref="P228:V228"/>
    <mergeCell ref="P293:V293"/>
    <mergeCell ref="D343:E343"/>
    <mergeCell ref="P397:T397"/>
    <mergeCell ref="P200:V200"/>
    <mergeCell ref="P74:T74"/>
    <mergeCell ref="D182:E182"/>
    <mergeCell ref="P292:V292"/>
    <mergeCell ref="P310:T310"/>
    <mergeCell ref="D109:E109"/>
    <mergeCell ref="P163:T163"/>
    <mergeCell ref="D280:E280"/>
    <mergeCell ref="Z501:Z502"/>
    <mergeCell ref="P486:V486"/>
    <mergeCell ref="P146:V146"/>
    <mergeCell ref="D63:E63"/>
    <mergeCell ref="D330:E330"/>
    <mergeCell ref="P305:T305"/>
    <mergeCell ref="A421:Z421"/>
    <mergeCell ref="A304:Z304"/>
    <mergeCell ref="A98:Z98"/>
    <mergeCell ref="P344:V344"/>
    <mergeCell ref="D350:E350"/>
    <mergeCell ref="A162:Z162"/>
    <mergeCell ref="P208:T208"/>
    <mergeCell ref="D396:E396"/>
    <mergeCell ref="P450:T450"/>
    <mergeCell ref="D116:E116"/>
    <mergeCell ref="D414:E414"/>
    <mergeCell ref="D352:E352"/>
    <mergeCell ref="P219:T219"/>
    <mergeCell ref="P501:P502"/>
    <mergeCell ref="A69:O70"/>
    <mergeCell ref="P272:T272"/>
    <mergeCell ref="P210:T210"/>
    <mergeCell ref="D327:E327"/>
    <mergeCell ref="E501:E502"/>
    <mergeCell ref="A17:A18"/>
    <mergeCell ref="K17:K18"/>
    <mergeCell ref="P300:T300"/>
    <mergeCell ref="C17:C18"/>
    <mergeCell ref="P431:T431"/>
    <mergeCell ref="D103:E103"/>
    <mergeCell ref="D168:E168"/>
    <mergeCell ref="D466:E466"/>
    <mergeCell ref="P137:T137"/>
    <mergeCell ref="D118:E118"/>
    <mergeCell ref="P53:T53"/>
    <mergeCell ref="D167:E167"/>
    <mergeCell ref="P351:T351"/>
    <mergeCell ref="P422:T422"/>
    <mergeCell ref="D232:E232"/>
    <mergeCell ref="A406:O407"/>
    <mergeCell ref="P264:T264"/>
    <mergeCell ref="P68:T68"/>
    <mergeCell ref="P239:T239"/>
    <mergeCell ref="P186:V186"/>
    <mergeCell ref="A418:O419"/>
    <mergeCell ref="A185:O186"/>
    <mergeCell ref="A356:O357"/>
    <mergeCell ref="A5:C5"/>
    <mergeCell ref="P418:V418"/>
    <mergeCell ref="P412:V412"/>
    <mergeCell ref="A408:Z408"/>
    <mergeCell ref="P64:V64"/>
    <mergeCell ref="P135:V135"/>
    <mergeCell ref="P362:V362"/>
    <mergeCell ref="A187:Z187"/>
    <mergeCell ref="D464:E464"/>
    <mergeCell ref="D9:E9"/>
    <mergeCell ref="F9:G9"/>
    <mergeCell ref="D169:E169"/>
    <mergeCell ref="P353:T353"/>
    <mergeCell ref="P82:V82"/>
    <mergeCell ref="P440:V440"/>
    <mergeCell ref="P132:T132"/>
    <mergeCell ref="A121:Z121"/>
    <mergeCell ref="P367:V367"/>
    <mergeCell ref="A249:O250"/>
    <mergeCell ref="D52:E52"/>
    <mergeCell ref="D27:E27"/>
    <mergeCell ref="P15:T16"/>
    <mergeCell ref="P23:T23"/>
    <mergeCell ref="D398:E398"/>
    <mergeCell ref="Q12:R12"/>
    <mergeCell ref="P280:T280"/>
    <mergeCell ref="P169:T169"/>
    <mergeCell ref="D261:E261"/>
    <mergeCell ref="A274:O275"/>
    <mergeCell ref="P467:T467"/>
    <mergeCell ref="P196:V196"/>
    <mergeCell ref="P491:V491"/>
    <mergeCell ref="D454:E454"/>
    <mergeCell ref="P308:T308"/>
    <mergeCell ref="D416:E416"/>
    <mergeCell ref="D93:E93"/>
    <mergeCell ref="D264:E264"/>
    <mergeCell ref="D220:E220"/>
    <mergeCell ref="P370:V370"/>
    <mergeCell ref="A12:M12"/>
    <mergeCell ref="A19:Z19"/>
    <mergeCell ref="A14:M14"/>
    <mergeCell ref="D480:E480"/>
    <mergeCell ref="D467:E467"/>
    <mergeCell ref="P138:T138"/>
    <mergeCell ref="P25:V25"/>
    <mergeCell ref="P318:V318"/>
    <mergeCell ref="I17:I18"/>
    <mergeCell ref="A6:C6"/>
    <mergeCell ref="D309:E309"/>
    <mergeCell ref="P118:T118"/>
    <mergeCell ref="P416:T416"/>
    <mergeCell ref="D88:E88"/>
    <mergeCell ref="P167:T167"/>
    <mergeCell ref="D148:E148"/>
    <mergeCell ref="A161:Z161"/>
    <mergeCell ref="P117:T117"/>
    <mergeCell ref="P55:T55"/>
    <mergeCell ref="D115:E115"/>
    <mergeCell ref="A324:O325"/>
    <mergeCell ref="P182:T182"/>
    <mergeCell ref="D43:E43"/>
    <mergeCell ref="J9:M9"/>
    <mergeCell ref="P155:V155"/>
    <mergeCell ref="D285:E285"/>
    <mergeCell ref="A154:O155"/>
    <mergeCell ref="P143:T143"/>
    <mergeCell ref="A129:O130"/>
    <mergeCell ref="P248:T248"/>
    <mergeCell ref="P235:T235"/>
    <mergeCell ref="P306:T306"/>
    <mergeCell ref="D349:E349"/>
    <mergeCell ref="Q9:R9"/>
    <mergeCell ref="P267:V267"/>
    <mergeCell ref="D451:E451"/>
    <mergeCell ref="D255:E255"/>
    <mergeCell ref="P49:V49"/>
    <mergeCell ref="P36:V36"/>
    <mergeCell ref="P478:V478"/>
    <mergeCell ref="Q11:R11"/>
    <mergeCell ref="P205:T205"/>
    <mergeCell ref="D322:E322"/>
    <mergeCell ref="A195:O196"/>
    <mergeCell ref="D453:E453"/>
    <mergeCell ref="D476:E476"/>
    <mergeCell ref="A38:Z38"/>
    <mergeCell ref="P455:V455"/>
    <mergeCell ref="A147:Z147"/>
    <mergeCell ref="P207:T207"/>
    <mergeCell ref="P249:V249"/>
    <mergeCell ref="A302:O303"/>
    <mergeCell ref="A372:Z372"/>
    <mergeCell ref="P299:T299"/>
    <mergeCell ref="D138:E138"/>
    <mergeCell ref="A40:Z40"/>
    <mergeCell ref="P393:T393"/>
    <mergeCell ref="P352:T352"/>
    <mergeCell ref="D72:E72"/>
    <mergeCell ref="A326:Z326"/>
    <mergeCell ref="D235:E235"/>
    <mergeCell ref="D203:E203"/>
    <mergeCell ref="D374:E374"/>
    <mergeCell ref="P165:V165"/>
    <mergeCell ref="P232:T232"/>
    <mergeCell ref="P330:T330"/>
    <mergeCell ref="D75:E75"/>
    <mergeCell ref="D206:E206"/>
    <mergeCell ref="P241:V241"/>
    <mergeCell ref="D298:E298"/>
    <mergeCell ref="D273:E273"/>
    <mergeCell ref="P327:T327"/>
    <mergeCell ref="P105:V105"/>
    <mergeCell ref="P176:T176"/>
    <mergeCell ref="D149:E149"/>
    <mergeCell ref="A284:Z284"/>
    <mergeCell ref="D218:E218"/>
    <mergeCell ref="P185:V185"/>
    <mergeCell ref="D306:E306"/>
    <mergeCell ref="A119:O120"/>
    <mergeCell ref="D341:E341"/>
    <mergeCell ref="H17:H18"/>
    <mergeCell ref="P261:T261"/>
    <mergeCell ref="D204:E204"/>
    <mergeCell ref="P217:T217"/>
    <mergeCell ref="D198:E198"/>
    <mergeCell ref="D22:E22"/>
    <mergeCell ref="D31:E31"/>
    <mergeCell ref="A166:Z166"/>
    <mergeCell ref="P286:T286"/>
    <mergeCell ref="A26:Z26"/>
    <mergeCell ref="P29:T29"/>
    <mergeCell ref="A34:Z34"/>
    <mergeCell ref="P144:T144"/>
    <mergeCell ref="P27:T27"/>
    <mergeCell ref="A66:Z66"/>
    <mergeCell ref="P61:T61"/>
    <mergeCell ref="P41:T41"/>
    <mergeCell ref="D54:E54"/>
    <mergeCell ref="A48:O49"/>
    <mergeCell ref="M17:M18"/>
    <mergeCell ref="D108:E108"/>
    <mergeCell ref="D375:E375"/>
    <mergeCell ref="P429:T429"/>
    <mergeCell ref="D369:E369"/>
    <mergeCell ref="P52:T52"/>
    <mergeCell ref="P350:T350"/>
    <mergeCell ref="P201:V201"/>
    <mergeCell ref="P139:V139"/>
    <mergeCell ref="D271:E271"/>
    <mergeCell ref="P103:T103"/>
    <mergeCell ref="P59:V59"/>
    <mergeCell ref="P130:V130"/>
    <mergeCell ref="P168:T168"/>
    <mergeCell ref="D380:E380"/>
    <mergeCell ref="D67:E67"/>
    <mergeCell ref="P100:T100"/>
    <mergeCell ref="P94:T94"/>
    <mergeCell ref="P388:V388"/>
    <mergeCell ref="A331:O332"/>
    <mergeCell ref="P316:T316"/>
    <mergeCell ref="P113:V113"/>
    <mergeCell ref="A83:Z83"/>
    <mergeCell ref="A276:Z276"/>
    <mergeCell ref="P395:T395"/>
    <mergeCell ref="D1:F1"/>
    <mergeCell ref="P190:V190"/>
    <mergeCell ref="A71:Z71"/>
    <mergeCell ref="P466:T466"/>
    <mergeCell ref="A313:Z313"/>
    <mergeCell ref="P47:T47"/>
    <mergeCell ref="P282:V282"/>
    <mergeCell ref="A164:O165"/>
    <mergeCell ref="J17:J18"/>
    <mergeCell ref="L17:L18"/>
    <mergeCell ref="D240:E240"/>
    <mergeCell ref="P48:V48"/>
    <mergeCell ref="P255:T255"/>
    <mergeCell ref="D334:E334"/>
    <mergeCell ref="P112:V112"/>
    <mergeCell ref="P428:T428"/>
    <mergeCell ref="D100:E100"/>
    <mergeCell ref="P17:T18"/>
    <mergeCell ref="P63:T63"/>
    <mergeCell ref="D443:E443"/>
    <mergeCell ref="D308:E308"/>
    <mergeCell ref="A46:Z46"/>
    <mergeCell ref="D87:E87"/>
    <mergeCell ref="D209:E209"/>
    <mergeCell ref="P116:T116"/>
    <mergeCell ref="D122:E122"/>
    <mergeCell ref="A423:O424"/>
    <mergeCell ref="P194:T194"/>
    <mergeCell ref="D438:E438"/>
    <mergeCell ref="U501:U502"/>
    <mergeCell ref="A475:Z475"/>
    <mergeCell ref="P487:V487"/>
    <mergeCell ref="P476:T476"/>
    <mergeCell ref="D353:E353"/>
    <mergeCell ref="A373:Z373"/>
    <mergeCell ref="D365:E365"/>
    <mergeCell ref="D315:E315"/>
    <mergeCell ref="P173:T173"/>
    <mergeCell ref="P271:T271"/>
    <mergeCell ref="P265:T265"/>
    <mergeCell ref="D208:E208"/>
    <mergeCell ref="D351:E351"/>
    <mergeCell ref="A473:O474"/>
    <mergeCell ref="P445:T445"/>
    <mergeCell ref="P332:V332"/>
    <mergeCell ref="D400:E400"/>
    <mergeCell ref="A340:Z340"/>
    <mergeCell ref="D359:E359"/>
    <mergeCell ref="P92:T92"/>
    <mergeCell ref="P334:T334"/>
    <mergeCell ref="D144:E144"/>
    <mergeCell ref="D5:E5"/>
    <mergeCell ref="P453:T453"/>
    <mergeCell ref="P42:T42"/>
    <mergeCell ref="A32:O33"/>
    <mergeCell ref="D290:E290"/>
    <mergeCell ref="D94:E94"/>
    <mergeCell ref="D417:E417"/>
    <mergeCell ref="A401:O402"/>
    <mergeCell ref="P148:T148"/>
    <mergeCell ref="P240:T240"/>
    <mergeCell ref="A96:O97"/>
    <mergeCell ref="D354:E354"/>
    <mergeCell ref="P106:V106"/>
    <mergeCell ref="P33:V33"/>
    <mergeCell ref="P164:V164"/>
    <mergeCell ref="P273:T273"/>
    <mergeCell ref="D316:E316"/>
    <mergeCell ref="D272:E272"/>
    <mergeCell ref="A123:O124"/>
    <mergeCell ref="P95:T95"/>
    <mergeCell ref="P405:T405"/>
    <mergeCell ref="B17:B18"/>
    <mergeCell ref="A60:Z60"/>
    <mergeCell ref="P56:T56"/>
    <mergeCell ref="P170:T170"/>
    <mergeCell ref="H1:Q1"/>
    <mergeCell ref="A268:Z268"/>
    <mergeCell ref="A243:Z243"/>
    <mergeCell ref="P274:V274"/>
    <mergeCell ref="A99:Z99"/>
    <mergeCell ref="D214:E214"/>
    <mergeCell ref="P246:V246"/>
    <mergeCell ref="D28:E28"/>
    <mergeCell ref="P257:V257"/>
    <mergeCell ref="P184:T184"/>
    <mergeCell ref="D236:E236"/>
    <mergeCell ref="D117:E117"/>
    <mergeCell ref="D92:E92"/>
    <mergeCell ref="D55:E55"/>
    <mergeCell ref="D30:E30"/>
    <mergeCell ref="P171:T171"/>
    <mergeCell ref="A179:O180"/>
    <mergeCell ref="D7:M7"/>
    <mergeCell ref="P236:T236"/>
    <mergeCell ref="D79:E79"/>
    <mergeCell ref="A197:Z197"/>
    <mergeCell ref="P379:T379"/>
    <mergeCell ref="D360:E360"/>
    <mergeCell ref="D431:E431"/>
    <mergeCell ref="D8:M8"/>
    <mergeCell ref="A211:O212"/>
    <mergeCell ref="D300:E300"/>
    <mergeCell ref="P237:T237"/>
    <mergeCell ref="P31:T31"/>
    <mergeCell ref="P329:T329"/>
    <mergeCell ref="P180:V180"/>
    <mergeCell ref="P45:V45"/>
    <mergeCell ref="D53:E53"/>
    <mergeCell ref="D47:E47"/>
    <mergeCell ref="A84:Z84"/>
    <mergeCell ref="P159:V159"/>
    <mergeCell ref="P209:T209"/>
    <mergeCell ref="W17:W18"/>
    <mergeCell ref="A50:Z50"/>
    <mergeCell ref="P96:V96"/>
    <mergeCell ref="P90:V90"/>
    <mergeCell ref="A213:Z213"/>
    <mergeCell ref="P37:V37"/>
    <mergeCell ref="P104:T104"/>
    <mergeCell ref="P394:T394"/>
    <mergeCell ref="D429:E429"/>
    <mergeCell ref="D379:E379"/>
    <mergeCell ref="R501:R502"/>
    <mergeCell ref="P452:T452"/>
    <mergeCell ref="P377:V377"/>
    <mergeCell ref="A202:Z202"/>
    <mergeCell ref="T501:T502"/>
    <mergeCell ref="P441:V441"/>
    <mergeCell ref="A260:Z260"/>
    <mergeCell ref="P477:V477"/>
    <mergeCell ref="C501:C502"/>
    <mergeCell ref="A358:Z358"/>
    <mergeCell ref="P404:T404"/>
    <mergeCell ref="P252:T252"/>
    <mergeCell ref="P345:V345"/>
    <mergeCell ref="P471:T471"/>
    <mergeCell ref="P460:V460"/>
    <mergeCell ref="D432:E432"/>
    <mergeCell ref="P464:T464"/>
    <mergeCell ref="D445:E445"/>
    <mergeCell ref="D301:E301"/>
    <mergeCell ref="D329:E329"/>
    <mergeCell ref="P315:T315"/>
    <mergeCell ref="R1:T1"/>
    <mergeCell ref="A158:O159"/>
    <mergeCell ref="P28:T28"/>
    <mergeCell ref="P150:T150"/>
    <mergeCell ref="P172:T172"/>
    <mergeCell ref="P221:T221"/>
    <mergeCell ref="P392:T392"/>
    <mergeCell ref="A145:O146"/>
    <mergeCell ref="P215:T215"/>
    <mergeCell ref="D307:E307"/>
    <mergeCell ref="A139:O140"/>
    <mergeCell ref="P386:T386"/>
    <mergeCell ref="A381:O382"/>
    <mergeCell ref="P229:V229"/>
    <mergeCell ref="A89:O90"/>
    <mergeCell ref="P30:T30"/>
    <mergeCell ref="D73:E73"/>
    <mergeCell ref="P77:V77"/>
    <mergeCell ref="A76:O77"/>
    <mergeCell ref="P152:T152"/>
    <mergeCell ref="P179:V179"/>
    <mergeCell ref="P290:T290"/>
    <mergeCell ref="A311:O312"/>
    <mergeCell ref="V10:W10"/>
    <mergeCell ref="H9:I9"/>
    <mergeCell ref="P224:V224"/>
    <mergeCell ref="P24:V24"/>
    <mergeCell ref="P89:V89"/>
    <mergeCell ref="P211:V211"/>
    <mergeCell ref="A383:Z383"/>
    <mergeCell ref="D297:E297"/>
    <mergeCell ref="A78:Z78"/>
    <mergeCell ref="P324:V324"/>
    <mergeCell ref="P220:T220"/>
    <mergeCell ref="D263:E263"/>
    <mergeCell ref="A363:Z363"/>
    <mergeCell ref="D238:E238"/>
    <mergeCell ref="P86:T86"/>
    <mergeCell ref="A287:O288"/>
    <mergeCell ref="P157:T157"/>
    <mergeCell ref="P328:T328"/>
    <mergeCell ref="A281:O282"/>
    <mergeCell ref="P79:T79"/>
    <mergeCell ref="P73:T73"/>
    <mergeCell ref="P244:T244"/>
    <mergeCell ref="A376:O377"/>
    <mergeCell ref="P234:T234"/>
    <mergeCell ref="P154:V154"/>
    <mergeCell ref="P437:T437"/>
    <mergeCell ref="A361:O362"/>
    <mergeCell ref="D174:E174"/>
    <mergeCell ref="D472:E472"/>
    <mergeCell ref="P454:T454"/>
    <mergeCell ref="D205:E205"/>
    <mergeCell ref="A378:Z378"/>
    <mergeCell ref="P384:T384"/>
    <mergeCell ref="P432:T432"/>
    <mergeCell ref="P446:V446"/>
    <mergeCell ref="P402:V402"/>
    <mergeCell ref="P443:T443"/>
    <mergeCell ref="D253:E253"/>
    <mergeCell ref="P458:T458"/>
    <mergeCell ref="A459:O460"/>
    <mergeCell ref="A462:Z462"/>
    <mergeCell ref="A446:O447"/>
    <mergeCell ref="D210:E210"/>
    <mergeCell ref="P400:T400"/>
    <mergeCell ref="D410:E410"/>
    <mergeCell ref="P245:V245"/>
    <mergeCell ref="A368:Z368"/>
    <mergeCell ref="P459:V459"/>
    <mergeCell ref="P325:V32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7 X41:X42 X57 X63 X85 X88 X100 X103 X118 X122 X167 X169 X173 X176 X203:X206 X208:X210 X216:X217 X219 X221:X222 X226:X227 X240 X279 X309:X310 X321:X322 X329 X342:X343 X349:X351 X359 X396 X428 X432 X434 X450:X451" xr:uid="{00000000-0002-0000-0000-000011000000}">
      <formula1>IF(AK27&gt;0,OR(X27=0,AND(IF(X27-AK27&gt;=0,TRUE,FALSE),X27&gt;0,IF(X27/H27=ROUND(X27/H27,0),TRUE,FALSE))),FALSE)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762</v>
      </c>
      <c r="H1" s="52"/>
    </row>
    <row r="3" spans="2:8" x14ac:dyDescent="0.2">
      <c r="B3" s="47" t="s">
        <v>763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764</v>
      </c>
      <c r="D6" s="47" t="s">
        <v>765</v>
      </c>
      <c r="E6" s="47"/>
    </row>
    <row r="8" spans="2:8" x14ac:dyDescent="0.2">
      <c r="B8" s="47" t="s">
        <v>19</v>
      </c>
      <c r="C8" s="47" t="s">
        <v>764</v>
      </c>
      <c r="D8" s="47"/>
      <c r="E8" s="47"/>
    </row>
    <row r="10" spans="2:8" x14ac:dyDescent="0.2">
      <c r="B10" s="47" t="s">
        <v>766</v>
      </c>
      <c r="C10" s="47"/>
      <c r="D10" s="47"/>
      <c r="E10" s="47"/>
    </row>
    <row r="11" spans="2:8" x14ac:dyDescent="0.2">
      <c r="B11" s="47" t="s">
        <v>767</v>
      </c>
      <c r="C11" s="47"/>
      <c r="D11" s="47"/>
      <c r="E11" s="47"/>
    </row>
    <row r="12" spans="2:8" x14ac:dyDescent="0.2">
      <c r="B12" s="47" t="s">
        <v>768</v>
      </c>
      <c r="C12" s="47"/>
      <c r="D12" s="47"/>
      <c r="E12" s="47"/>
    </row>
    <row r="13" spans="2:8" x14ac:dyDescent="0.2">
      <c r="B13" s="47" t="s">
        <v>769</v>
      </c>
      <c r="C13" s="47"/>
      <c r="D13" s="47"/>
      <c r="E13" s="47"/>
    </row>
    <row r="14" spans="2:8" x14ac:dyDescent="0.2">
      <c r="B14" s="47" t="s">
        <v>770</v>
      </c>
      <c r="C14" s="47"/>
      <c r="D14" s="47"/>
      <c r="E14" s="47"/>
    </row>
    <row r="15" spans="2:8" x14ac:dyDescent="0.2">
      <c r="B15" s="47" t="s">
        <v>771</v>
      </c>
      <c r="C15" s="47"/>
      <c r="D15" s="47"/>
      <c r="E15" s="47"/>
    </row>
    <row r="16" spans="2:8" x14ac:dyDescent="0.2">
      <c r="B16" s="47" t="s">
        <v>772</v>
      </c>
      <c r="C16" s="47"/>
      <c r="D16" s="47"/>
      <c r="E16" s="47"/>
    </row>
    <row r="17" spans="2:5" x14ac:dyDescent="0.2">
      <c r="B17" s="47" t="s">
        <v>773</v>
      </c>
      <c r="C17" s="47"/>
      <c r="D17" s="47"/>
      <c r="E17" s="47"/>
    </row>
    <row r="18" spans="2:5" x14ac:dyDescent="0.2">
      <c r="B18" s="47" t="s">
        <v>774</v>
      </c>
      <c r="C18" s="47"/>
      <c r="D18" s="47"/>
      <c r="E18" s="47"/>
    </row>
    <row r="19" spans="2:5" x14ac:dyDescent="0.2">
      <c r="B19" s="47" t="s">
        <v>775</v>
      </c>
      <c r="C19" s="47"/>
      <c r="D19" s="47"/>
      <c r="E19" s="47"/>
    </row>
    <row r="20" spans="2:5" x14ac:dyDescent="0.2">
      <c r="B20" s="47" t="s">
        <v>776</v>
      </c>
      <c r="C20" s="47"/>
      <c r="D20" s="47"/>
      <c r="E20" s="47"/>
    </row>
  </sheetData>
  <sheetProtection algorithmName="SHA-512" hashValue="NCWhixcse3t7Za5aSZ/ftl870sLcHMACZ1VGb3rXKpqOt+v2YUqdbBkyLDd6LdaC0ybTxeJzxbesQC62Y3JBhw==" saltValue="UmkjhOhJQEZFa1wyYmBdy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2025-12-18T11:26:43Z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