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1A4AC1A-6CDD-4520-B9A0-FBD04F4045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Y49" i="1"/>
  <c r="X49" i="1"/>
  <c r="X48" i="1"/>
  <c r="BO47" i="1"/>
  <c r="BM47" i="1"/>
  <c r="Z47" i="1"/>
  <c r="Z48" i="1" s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Z81" i="1" l="1"/>
  <c r="Z44" i="1"/>
  <c r="Z405" i="1"/>
  <c r="H9" i="1"/>
  <c r="A10" i="1"/>
  <c r="Y24" i="1"/>
  <c r="Y32" i="1"/>
  <c r="Y44" i="1"/>
  <c r="D502" i="1"/>
  <c r="Y59" i="1"/>
  <c r="BP52" i="1"/>
  <c r="BN52" i="1"/>
  <c r="Z52" i="1"/>
  <c r="Z58" i="1" s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Z32" i="1" s="1"/>
  <c r="BN28" i="1"/>
  <c r="Z30" i="1"/>
  <c r="BN30" i="1"/>
  <c r="C502" i="1"/>
  <c r="Z42" i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Z96" i="1" s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54" i="1" l="1"/>
  <c r="Z417" i="1"/>
  <c r="Z336" i="1"/>
  <c r="Z241" i="1"/>
  <c r="Z179" i="1"/>
  <c r="Y493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<sst xmlns="http://schemas.openxmlformats.org/spreadsheetml/2006/main" count="2299" uniqueCount="774">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</sst>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46012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0.375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100</v>
      </c>
      <c r="Y41" s="548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200</v>
      </c>
      <c r="Y43" s="548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59.25925925925926</v>
      </c>
      <c r="Y44" s="549">
        <f>IFERROR(Y41/H41,"0")+IFERROR(Y42/H42,"0")+IFERROR(Y43/H43,"0")</f>
        <v>60</v>
      </c>
      <c r="Z44" s="549">
        <f>IFERROR(IF(Z41="",0,Z41),"0")+IFERROR(IF(Z42="",0,Z42),"0")+IFERROR(IF(Z43="",0,Z43),"0")</f>
        <v>0.64080000000000004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300</v>
      </c>
      <c r="Y45" s="549">
        <f>IFERROR(SUM(Y41:Y43),"0")</f>
        <v>308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200</v>
      </c>
      <c r="Y53" s="548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360</v>
      </c>
      <c r="Y57" s="548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98.518518518518519</v>
      </c>
      <c r="Y58" s="549">
        <f>IFERROR(Y52/H52,"0")+IFERROR(Y53/H53,"0")+IFERROR(Y54/H54,"0")+IFERROR(Y55/H55,"0")+IFERROR(Y56/H56,"0")+IFERROR(Y57/H57,"0")</f>
        <v>99</v>
      </c>
      <c r="Z58" s="549">
        <f>IFERROR(IF(Z52="",0,Z52),"0")+IFERROR(IF(Z53="",0,Z53),"0")+IFERROR(IF(Z54="",0,Z54),"0")+IFERROR(IF(Z55="",0,Z55),"0")+IFERROR(IF(Z56="",0,Z56),"0")+IFERROR(IF(Z57="",0,Z57),"0")</f>
        <v>1.08222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560</v>
      </c>
      <c r="Y59" s="549">
        <f>IFERROR(SUM(Y52:Y57),"0")</f>
        <v>565.20000000000005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150</v>
      </c>
      <c r="Y61" s="548">
        <f>IFERROR(IF(X61="",0,CEILING((X61/$H61),1)*$H61),"")</f>
        <v>151.20000000000002</v>
      </c>
      <c r="Z61" s="36">
        <f>IFERROR(IF(Y61=0,"",ROUNDUP(Y61/H61,0)*0.01898),"")</f>
        <v>0.26572000000000001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155.69444444444446</v>
      </c>
      <c r="BN61" s="64">
        <f>IFERROR(Y61*I61/H61,"0")</f>
        <v>156.94</v>
      </c>
      <c r="BO61" s="64">
        <f>IFERROR(1/J61*(X61/H61),"0")</f>
        <v>0.21701388888888887</v>
      </c>
      <c r="BP61" s="64">
        <f>IFERROR(1/J61*(Y61/H61),"0")</f>
        <v>0.21875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135</v>
      </c>
      <c r="Y63" s="548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63.888888888888886</v>
      </c>
      <c r="Y64" s="549">
        <f>IFERROR(Y61/H61,"0")+IFERROR(Y62/H62,"0")+IFERROR(Y63/H63,"0")</f>
        <v>64</v>
      </c>
      <c r="Z64" s="549">
        <f>IFERROR(IF(Z61="",0,Z61),"0")+IFERROR(IF(Z62="",0,Z62),"0")+IFERROR(IF(Z63="",0,Z63),"0")</f>
        <v>0.59122000000000008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285</v>
      </c>
      <c r="Y65" s="549">
        <f>IFERROR(SUM(Y61:Y63),"0")</f>
        <v>286.20000000000005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100</v>
      </c>
      <c r="Y85" s="548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405</v>
      </c>
      <c r="Y88" s="548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422.1</v>
      </c>
      <c r="BN88" s="64">
        <f>IFERROR(Y88*I88/H88,"0")</f>
        <v>422.1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99.259259259259267</v>
      </c>
      <c r="Y89" s="549">
        <f>IFERROR(Y85/H85,"0")+IFERROR(Y86/H86,"0")+IFERROR(Y87/H87,"0")+IFERROR(Y88/H88,"0")</f>
        <v>100</v>
      </c>
      <c r="Z89" s="549">
        <f>IFERROR(IF(Z85="",0,Z85),"0")+IFERROR(IF(Z86="",0,Z86),"0")+IFERROR(IF(Z87="",0,Z87),"0")+IFERROR(IF(Z88="",0,Z88),"0")</f>
        <v>1.0016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505</v>
      </c>
      <c r="Y90" s="549">
        <f>IFERROR(SUM(Y85:Y88),"0")</f>
        <v>513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135</v>
      </c>
      <c r="Y94" s="548">
        <f>IFERROR(IF(X94="",0,CEILING((X94/$H94),1)*$H94),"")</f>
        <v>135</v>
      </c>
      <c r="Z94" s="36">
        <f>IFERROR(IF(Y94=0,"",ROUNDUP(Y94/H94,0)*0.00651),"")</f>
        <v>0.32550000000000001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147.6</v>
      </c>
      <c r="BN94" s="64">
        <f>IFERROR(Y94*I94/H94,"0")</f>
        <v>147.6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62.345679012345677</v>
      </c>
      <c r="Y96" s="549">
        <f>IFERROR(Y92/H92,"0")+IFERROR(Y93/H93,"0")+IFERROR(Y94/H94,"0")+IFERROR(Y95/H95,"0")</f>
        <v>63</v>
      </c>
      <c r="Z96" s="549">
        <f>IFERROR(IF(Z92="",0,Z92),"0")+IFERROR(IF(Z93="",0,Z93),"0")+IFERROR(IF(Z94="",0,Z94),"0")+IFERROR(IF(Z95="",0,Z95),"0")</f>
        <v>0.57224000000000008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235</v>
      </c>
      <c r="Y97" s="549">
        <f>IFERROR(SUM(Y92:Y95),"0")</f>
        <v>240.3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50</v>
      </c>
      <c r="Y100" s="548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270</v>
      </c>
      <c r="Y103" s="548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64.629629629629633</v>
      </c>
      <c r="Y105" s="549">
        <f>IFERROR(Y100/H100,"0")+IFERROR(Y101/H101,"0")+IFERROR(Y102/H102,"0")+IFERROR(Y103/H103,"0")+IFERROR(Y104/H104,"0")</f>
        <v>65</v>
      </c>
      <c r="Z105" s="549">
        <f>IFERROR(IF(Z100="",0,Z100),"0")+IFERROR(IF(Z101="",0,Z101),"0")+IFERROR(IF(Z102="",0,Z102),"0")+IFERROR(IF(Z103="",0,Z103),"0")+IFERROR(IF(Z104="",0,Z104),"0")</f>
        <v>0.6361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320</v>
      </c>
      <c r="Y106" s="549">
        <f>IFERROR(SUM(Y100:Y104),"0")</f>
        <v>324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90</v>
      </c>
      <c r="Y117" s="548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33.333333333333329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0.22134000000000001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90</v>
      </c>
      <c r="Y120" s="549">
        <f>IFERROR(SUM(Y115:Y118),"0")</f>
        <v>91.800000000000011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100</v>
      </c>
      <c r="Y127" s="548">
        <f>IFERROR(IF(X127="",0,CEILING((X127/$H127),1)*$H127),"")</f>
        <v>102.4</v>
      </c>
      <c r="Z127" s="36">
        <f>IFERROR(IF(Y127=0,"",ROUNDUP(Y127/H127,0)*0.00651),"")</f>
        <v>0.20832000000000001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105.625</v>
      </c>
      <c r="BN127" s="64">
        <f>IFERROR(Y127*I127/H127,"0")</f>
        <v>108.16</v>
      </c>
      <c r="BO127" s="64">
        <f>IFERROR(1/J127*(X127/H127),"0")</f>
        <v>0.1717032967032967</v>
      </c>
      <c r="BP127" s="64">
        <f>IFERROR(1/J127*(Y127/H127),"0")</f>
        <v>0.17582417582417584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31.25</v>
      </c>
      <c r="Y129" s="549">
        <f>IFERROR(Y127/H127,"0")+IFERROR(Y128/H128,"0")</f>
        <v>32</v>
      </c>
      <c r="Z129" s="549">
        <f>IFERROR(IF(Z127="",0,Z127),"0")+IFERROR(IF(Z128="",0,Z128),"0")</f>
        <v>0.20832000000000001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100</v>
      </c>
      <c r="Y130" s="549">
        <f>IFERROR(SUM(Y127:Y128),"0")</f>
        <v>102.4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35</v>
      </c>
      <c r="Y133" s="548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12.5</v>
      </c>
      <c r="Y134" s="549">
        <f>IFERROR(Y132/H132,"0")+IFERROR(Y133/H133,"0")</f>
        <v>13</v>
      </c>
      <c r="Z134" s="549">
        <f>IFERROR(IF(Z132="",0,Z132),"0")+IFERROR(IF(Z133="",0,Z133),"0")</f>
        <v>8.4629999999999997E-2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35</v>
      </c>
      <c r="Y135" s="549">
        <f>IFERROR(SUM(Y132:Y133),"0")</f>
        <v>36.4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59.400000000000013</v>
      </c>
      <c r="Y138" s="548">
        <f>IFERROR(IF(X138="",0,CEILING((X138/$H138),1)*$H138),"")</f>
        <v>60.720000000000006</v>
      </c>
      <c r="Z138" s="36">
        <f>IFERROR(IF(Y138=0,"",ROUNDUP(Y138/H138,0)*0.00651),"")</f>
        <v>0.14973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65.430000000000007</v>
      </c>
      <c r="BN138" s="64">
        <f>IFERROR(Y138*I138/H138,"0")</f>
        <v>66.884</v>
      </c>
      <c r="BO138" s="64">
        <f>IFERROR(1/J138*(X138/H138),"0")</f>
        <v>0.12362637362637366</v>
      </c>
      <c r="BP138" s="64">
        <f>IFERROR(1/J138*(Y138/H138),"0")</f>
        <v>0.1263736263736264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22.500000000000004</v>
      </c>
      <c r="Y139" s="549">
        <f>IFERROR(Y137/H137,"0")+IFERROR(Y138/H138,"0")</f>
        <v>23</v>
      </c>
      <c r="Z139" s="549">
        <f>IFERROR(IF(Z137="",0,Z137),"0")+IFERROR(IF(Z138="",0,Z138),"0")</f>
        <v>0.14973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59.400000000000013</v>
      </c>
      <c r="Y140" s="549">
        <f>IFERROR(SUM(Y137:Y138),"0")</f>
        <v>60.720000000000006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50</v>
      </c>
      <c r="Y167" s="548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52.976190476190474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9.0187590187590191E-2</v>
      </c>
      <c r="BP167" s="64">
        <f t="shared" ref="BP167:BP178" si="14">IFERROR(1/J167*(Y167/H167),"0")</f>
        <v>9.0909090909090912E-2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20</v>
      </c>
      <c r="Y168" s="548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21.19047619047619</v>
      </c>
      <c r="BN168" s="64">
        <f t="shared" si="12"/>
        <v>22.25</v>
      </c>
      <c r="BO168" s="64">
        <f t="shared" si="13"/>
        <v>3.6075036075036072E-2</v>
      </c>
      <c r="BP168" s="64">
        <f t="shared" si="14"/>
        <v>3.787878787878788E-2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100</v>
      </c>
      <c r="Y169" s="548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104.5238095238095</v>
      </c>
      <c r="BN169" s="64">
        <f t="shared" si="12"/>
        <v>105.36</v>
      </c>
      <c r="BO169" s="64">
        <f t="shared" si="13"/>
        <v>0.18037518037518038</v>
      </c>
      <c r="BP169" s="64">
        <f t="shared" si="14"/>
        <v>0.18181818181818182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140</v>
      </c>
      <c r="Y171" s="548">
        <f t="shared" si="10"/>
        <v>140.70000000000002</v>
      </c>
      <c r="Z171" s="36">
        <f>IFERROR(IF(Y171=0,"",ROUNDUP(Y171/H171,0)*0.00502),"")</f>
        <v>0.33634000000000003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148.66666666666666</v>
      </c>
      <c r="BN171" s="64">
        <f t="shared" si="12"/>
        <v>149.41</v>
      </c>
      <c r="BO171" s="64">
        <f t="shared" si="13"/>
        <v>0.28490028490028491</v>
      </c>
      <c r="BP171" s="64">
        <f t="shared" si="14"/>
        <v>0.28632478632478636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140</v>
      </c>
      <c r="Y173" s="548">
        <f t="shared" si="10"/>
        <v>140.70000000000002</v>
      </c>
      <c r="Z173" s="36">
        <f>IFERROR(IF(Y173=0,"",ROUNDUP(Y173/H173,0)*0.00502),"")</f>
        <v>0.33634000000000003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148.66666666666666</v>
      </c>
      <c r="BN173" s="64">
        <f t="shared" si="12"/>
        <v>149.41</v>
      </c>
      <c r="BO173" s="64">
        <f t="shared" si="13"/>
        <v>0.28490028490028491</v>
      </c>
      <c r="BP173" s="64">
        <f t="shared" si="14"/>
        <v>0.28632478632478636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227.5</v>
      </c>
      <c r="Y176" s="548">
        <f t="shared" si="10"/>
        <v>228.9</v>
      </c>
      <c r="Z176" s="36">
        <f>IFERROR(IF(Y176=0,"",ROUNDUP(Y176/H176,0)*0.00502),"")</f>
        <v>0.54718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238.33333333333334</v>
      </c>
      <c r="BN176" s="64">
        <f t="shared" si="12"/>
        <v>239.8</v>
      </c>
      <c r="BO176" s="64">
        <f t="shared" si="13"/>
        <v>0.46296296296296297</v>
      </c>
      <c r="BP176" s="64">
        <f t="shared" si="14"/>
        <v>0.46581196581196588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282.14285714285711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284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1.5896800000000002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677.5</v>
      </c>
      <c r="Y180" s="549">
        <f>IFERROR(SUM(Y167:Y178),"0")</f>
        <v>682.5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7.0000000000000009</v>
      </c>
      <c r="Y183" s="548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5.5555555555555562</v>
      </c>
      <c r="Y185" s="549">
        <f>IFERROR(Y182/H182,"0")+IFERROR(Y183/H183,"0")+IFERROR(Y184/H184,"0")</f>
        <v>6</v>
      </c>
      <c r="Z185" s="549">
        <f>IFERROR(IF(Z182="",0,Z182),"0")+IFERROR(IF(Z183="",0,Z183),"0")+IFERROR(IF(Z184="",0,Z184),"0")</f>
        <v>3.5400000000000001E-2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7.0000000000000009</v>
      </c>
      <c r="Y186" s="549">
        <f>IFERROR(SUM(Y182:Y184),"0")</f>
        <v>7.5600000000000005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7.0000000000000009</v>
      </c>
      <c r="Y188" s="548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5.5555555555555562</v>
      </c>
      <c r="Y189" s="549">
        <f>IFERROR(Y188/H188,"0")</f>
        <v>6</v>
      </c>
      <c r="Z189" s="549">
        <f>IFERROR(IF(Z188="",0,Z188),"0")</f>
        <v>3.5400000000000001E-2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7.0000000000000009</v>
      </c>
      <c r="Y190" s="549">
        <f>IFERROR(SUM(Y188:Y188),"0")</f>
        <v>7.5600000000000005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150</v>
      </c>
      <c r="Y203" s="548">
        <f t="shared" ref="Y203:Y210" si="15">IFERROR(IF(X203="",0,CEILING((X203/$H203),1)*$H203),"")</f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155.27777777777777</v>
      </c>
      <c r="BN203" s="64">
        <f t="shared" ref="BN203:BN210" si="17">IFERROR(Y203*I203/H203,"0")</f>
        <v>156.52000000000001</v>
      </c>
      <c r="BO203" s="64">
        <f t="shared" ref="BO203:BO210" si="18">IFERROR(1/J203*(X203/H203),"0")</f>
        <v>0.21043771043771042</v>
      </c>
      <c r="BP203" s="64">
        <f t="shared" ref="BP203:BP210" si="19">IFERROR(1/J203*(Y203/H203),"0")</f>
        <v>0.21212121212121213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90</v>
      </c>
      <c r="Y204" s="548">
        <f t="shared" si="15"/>
        <v>91.800000000000011</v>
      </c>
      <c r="Z204" s="36">
        <f>IFERROR(IF(Y204=0,"",ROUNDUP(Y204/H204,0)*0.00902),"")</f>
        <v>0.15334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93.166666666666657</v>
      </c>
      <c r="BN204" s="64">
        <f t="shared" si="17"/>
        <v>95.03</v>
      </c>
      <c r="BO204" s="64">
        <f t="shared" si="18"/>
        <v>0.12626262626262624</v>
      </c>
      <c r="BP204" s="64">
        <f t="shared" si="19"/>
        <v>0.12878787878787878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700</v>
      </c>
      <c r="Y205" s="548">
        <f t="shared" si="15"/>
        <v>702</v>
      </c>
      <c r="Z205" s="36">
        <f>IFERROR(IF(Y205=0,"",ROUNDUP(Y205/H205,0)*0.00902),"")</f>
        <v>1.1726000000000001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724.62962962962956</v>
      </c>
      <c r="BN205" s="64">
        <f t="shared" si="17"/>
        <v>726.69999999999993</v>
      </c>
      <c r="BO205" s="64">
        <f t="shared" si="18"/>
        <v>0.98204264870931535</v>
      </c>
      <c r="BP205" s="64">
        <f t="shared" si="19"/>
        <v>0.98484848484848486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130</v>
      </c>
      <c r="Y206" s="548">
        <f t="shared" si="15"/>
        <v>135</v>
      </c>
      <c r="Z206" s="36">
        <f>IFERROR(IF(Y206=0,"",ROUNDUP(Y206/H206,0)*0.00902),"")</f>
        <v>0.22550000000000001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134.57407407407405</v>
      </c>
      <c r="BN206" s="64">
        <f t="shared" si="17"/>
        <v>139.75</v>
      </c>
      <c r="BO206" s="64">
        <f t="shared" si="18"/>
        <v>0.18237934904601572</v>
      </c>
      <c r="BP206" s="64">
        <f t="shared" si="19"/>
        <v>0.18939393939393939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135</v>
      </c>
      <c r="Y207" s="548">
        <f t="shared" si="15"/>
        <v>135</v>
      </c>
      <c r="Z207" s="36">
        <f>IFERROR(IF(Y207=0,"",ROUNDUP(Y207/H207,0)*0.00502),"")</f>
        <v>0.3765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144.75</v>
      </c>
      <c r="BN207" s="64">
        <f t="shared" si="17"/>
        <v>144.75</v>
      </c>
      <c r="BO207" s="64">
        <f t="shared" si="18"/>
        <v>0.32051282051282054</v>
      </c>
      <c r="BP207" s="64">
        <f t="shared" si="19"/>
        <v>0.32051282051282054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90</v>
      </c>
      <c r="Y208" s="548">
        <f t="shared" si="15"/>
        <v>90</v>
      </c>
      <c r="Z208" s="36">
        <f>IFERROR(IF(Y208=0,"",ROUNDUP(Y208/H208,0)*0.00502),"")</f>
        <v>0.251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95</v>
      </c>
      <c r="BN208" s="64">
        <f t="shared" si="17"/>
        <v>95</v>
      </c>
      <c r="BO208" s="64">
        <f t="shared" si="18"/>
        <v>0.21367521367521369</v>
      </c>
      <c r="BP208" s="64">
        <f t="shared" si="19"/>
        <v>0.21367521367521369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120</v>
      </c>
      <c r="Y209" s="548">
        <f t="shared" si="15"/>
        <v>120.60000000000001</v>
      </c>
      <c r="Z209" s="36">
        <f>IFERROR(IF(Y209=0,"",ROUNDUP(Y209/H209,0)*0.00502),"")</f>
        <v>0.33634000000000003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126.66666666666666</v>
      </c>
      <c r="BN209" s="64">
        <f t="shared" si="17"/>
        <v>127.30000000000001</v>
      </c>
      <c r="BO209" s="64">
        <f t="shared" si="18"/>
        <v>0.28490028490028496</v>
      </c>
      <c r="BP209" s="64">
        <f t="shared" si="19"/>
        <v>0.28632478632478636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105</v>
      </c>
      <c r="Y210" s="548">
        <f t="shared" si="15"/>
        <v>106.2</v>
      </c>
      <c r="Z210" s="36">
        <f>IFERROR(IF(Y210=0,"",ROUNDUP(Y210/H210,0)*0.00502),"")</f>
        <v>0.29618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110.83333333333333</v>
      </c>
      <c r="BN210" s="64">
        <f t="shared" si="17"/>
        <v>112.1</v>
      </c>
      <c r="BO210" s="64">
        <f t="shared" si="18"/>
        <v>0.2492877492877493</v>
      </c>
      <c r="BP210" s="64">
        <f t="shared" si="19"/>
        <v>0.25213675213675218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448.14814814814815</v>
      </c>
      <c r="Y211" s="549">
        <f>IFERROR(Y203/H203,"0")+IFERROR(Y204/H204,"0")+IFERROR(Y205/H205,"0")+IFERROR(Y206/H206,"0")+IFERROR(Y207/H207,"0")+IFERROR(Y208/H208,"0")+IFERROR(Y209/H209,"0")+IFERROR(Y210/H210,"0")</f>
        <v>451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3.0640199999999997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1520</v>
      </c>
      <c r="Y212" s="549">
        <f>IFERROR(SUM(Y203:Y210),"0")</f>
        <v>1531.8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100</v>
      </c>
      <c r="Y216" s="548">
        <f t="shared" si="20"/>
        <v>104.39999999999999</v>
      </c>
      <c r="Z216" s="36">
        <f>IFERROR(IF(Y216=0,"",ROUNDUP(Y216/H216,0)*0.01898),"")</f>
        <v>0.22776000000000002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105.67816091954025</v>
      </c>
      <c r="BN216" s="64">
        <f t="shared" si="22"/>
        <v>110.32800000000002</v>
      </c>
      <c r="BO216" s="64">
        <f t="shared" si="23"/>
        <v>0.1795977011494253</v>
      </c>
      <c r="BP216" s="64">
        <f t="shared" si="24"/>
        <v>0.1875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200</v>
      </c>
      <c r="Y217" s="548">
        <f t="shared" si="20"/>
        <v>201.6</v>
      </c>
      <c r="Z217" s="36">
        <f t="shared" ref="Z217:Z222" si="25">IFERROR(IF(Y217=0,"",ROUNDUP(Y217/H217,0)*0.00651),"")</f>
        <v>0.54683999999999999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222.5</v>
      </c>
      <c r="BN217" s="64">
        <f t="shared" si="22"/>
        <v>224.27999999999997</v>
      </c>
      <c r="BO217" s="64">
        <f t="shared" si="23"/>
        <v>0.45787545787545797</v>
      </c>
      <c r="BP217" s="64">
        <f t="shared" si="24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240</v>
      </c>
      <c r="Y219" s="548">
        <f t="shared" si="20"/>
        <v>240</v>
      </c>
      <c r="Z219" s="36">
        <f t="shared" si="25"/>
        <v>0.65100000000000002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265.20000000000005</v>
      </c>
      <c r="BN219" s="64">
        <f t="shared" si="22"/>
        <v>265.20000000000005</v>
      </c>
      <c r="BO219" s="64">
        <f t="shared" si="23"/>
        <v>0.5494505494505495</v>
      </c>
      <c r="BP219" s="64">
        <f t="shared" si="24"/>
        <v>0.5494505494505495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120</v>
      </c>
      <c r="Y221" s="548">
        <f t="shared" si="20"/>
        <v>120</v>
      </c>
      <c r="Z221" s="36">
        <f t="shared" si="25"/>
        <v>0.32550000000000001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160</v>
      </c>
      <c r="Y222" s="548">
        <f t="shared" si="20"/>
        <v>160.79999999999998</v>
      </c>
      <c r="Z222" s="36">
        <f t="shared" si="25"/>
        <v>0.43617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177.2</v>
      </c>
      <c r="BN222" s="64">
        <f t="shared" si="22"/>
        <v>178.08599999999998</v>
      </c>
      <c r="BO222" s="64">
        <f t="shared" si="23"/>
        <v>0.36630036630036633</v>
      </c>
      <c r="BP222" s="64">
        <f t="shared" si="24"/>
        <v>0.36813186813186816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311.49425287356325</v>
      </c>
      <c r="Y223" s="549">
        <f>IFERROR(Y214/H214,"0")+IFERROR(Y215/H215,"0")+IFERROR(Y216/H216,"0")+IFERROR(Y217/H217,"0")+IFERROR(Y218/H218,"0")+IFERROR(Y219/H219,"0")+IFERROR(Y220/H220,"0")+IFERROR(Y221/H221,"0")+IFERROR(Y222/H222,"0")</f>
        <v>313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2.1872700000000003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820</v>
      </c>
      <c r="Y224" s="549">
        <f>IFERROR(SUM(Y214:Y222),"0")</f>
        <v>826.8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56</v>
      </c>
      <c r="Y226" s="548">
        <f>IFERROR(IF(X226="",0,CEILING((X226/$H226),1)*$H226),"")</f>
        <v>57.599999999999994</v>
      </c>
      <c r="Z226" s="36">
        <f>IFERROR(IF(Y226=0,"",ROUNDUP(Y226/H226,0)*0.00651),"")</f>
        <v>0.15623999999999999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61.88</v>
      </c>
      <c r="BN226" s="64">
        <f>IFERROR(Y226*I226/H226,"0")</f>
        <v>63.648000000000003</v>
      </c>
      <c r="BO226" s="64">
        <f>IFERROR(1/J226*(X226/H226),"0")</f>
        <v>0.12820512820512822</v>
      </c>
      <c r="BP226" s="64">
        <f>IFERROR(1/J226*(Y226/H226),"0")</f>
        <v>0.13186813186813187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80</v>
      </c>
      <c r="Y227" s="548">
        <f>IFERROR(IF(X227="",0,CEILING((X227/$H227),1)*$H227),"")</f>
        <v>81.599999999999994</v>
      </c>
      <c r="Z227" s="36">
        <f>IFERROR(IF(Y227=0,"",ROUNDUP(Y227/H227,0)*0.00651),"")</f>
        <v>0.22134000000000001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88.40000000000002</v>
      </c>
      <c r="BN227" s="64">
        <f>IFERROR(Y227*I227/H227,"0")</f>
        <v>90.168000000000006</v>
      </c>
      <c r="BO227" s="64">
        <f>IFERROR(1/J227*(X227/H227),"0")</f>
        <v>0.18315018315018317</v>
      </c>
      <c r="BP227" s="64">
        <f>IFERROR(1/J227*(Y227/H227),"0")</f>
        <v>0.18681318681318682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56.666666666666671</v>
      </c>
      <c r="Y228" s="549">
        <f>IFERROR(Y226/H226,"0")+IFERROR(Y227/H227,"0")</f>
        <v>58</v>
      </c>
      <c r="Z228" s="549">
        <f>IFERROR(IF(Z226="",0,Z226),"0")+IFERROR(IF(Z227="",0,Z227),"0")</f>
        <v>0.37758000000000003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136</v>
      </c>
      <c r="Y229" s="549">
        <f>IFERROR(SUM(Y226:Y227),"0")</f>
        <v>139.19999999999999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60</v>
      </c>
      <c r="Y234" s="548">
        <f t="shared" si="26"/>
        <v>69.599999999999994</v>
      </c>
      <c r="Z234" s="36">
        <f>IFERROR(IF(Y234=0,"",ROUNDUP(Y234/H234,0)*0.01898),"")</f>
        <v>0.11388000000000001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62.12068965517242</v>
      </c>
      <c r="BN234" s="64">
        <f t="shared" si="28"/>
        <v>72.06</v>
      </c>
      <c r="BO234" s="64">
        <f t="shared" si="29"/>
        <v>8.0818965517241381E-2</v>
      </c>
      <c r="BP234" s="64">
        <f t="shared" si="30"/>
        <v>9.375E-2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32</v>
      </c>
      <c r="Y235" s="548">
        <f t="shared" si="26"/>
        <v>32</v>
      </c>
      <c r="Z235" s="36">
        <f>IFERROR(IF(Y235=0,"",ROUNDUP(Y235/H235,0)*0.00902),"")</f>
        <v>7.2160000000000002E-2</v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33.520000000000003</v>
      </c>
      <c r="BN235" s="64">
        <f t="shared" si="28"/>
        <v>33.520000000000003</v>
      </c>
      <c r="BO235" s="64">
        <f t="shared" si="29"/>
        <v>6.0606060606060608E-2</v>
      </c>
      <c r="BP235" s="64">
        <f t="shared" si="30"/>
        <v>6.0606060606060608E-2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56</v>
      </c>
      <c r="Y239" s="548">
        <f t="shared" si="26"/>
        <v>56</v>
      </c>
      <c r="Z239" s="36">
        <f>IFERROR(IF(Y239=0,"",ROUNDUP(Y239/H239,0)*0.00902),"")</f>
        <v>0.12628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58.660000000000004</v>
      </c>
      <c r="BN239" s="64">
        <f t="shared" si="28"/>
        <v>58.660000000000004</v>
      </c>
      <c r="BO239" s="64">
        <f t="shared" si="29"/>
        <v>0.10606060606060606</v>
      </c>
      <c r="BP239" s="64">
        <f t="shared" si="30"/>
        <v>0.10606060606060606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27.172413793103448</v>
      </c>
      <c r="Y241" s="549">
        <f>IFERROR(Y232/H232,"0")+IFERROR(Y233/H233,"0")+IFERROR(Y234/H234,"0")+IFERROR(Y235/H235,"0")+IFERROR(Y236/H236,"0")+IFERROR(Y237/H237,"0")+IFERROR(Y238/H238,"0")+IFERROR(Y239/H239,"0")+IFERROR(Y240/H240,"0")</f>
        <v>28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0.31232000000000004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148</v>
      </c>
      <c r="Y242" s="549">
        <f>IFERROR(SUM(Y232:Y240),"0")</f>
        <v>157.6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12</v>
      </c>
      <c r="Y248" s="548">
        <f>IFERROR(IF(X248="",0,CEILING((X248/$H248),1)*$H248),"")</f>
        <v>12.6</v>
      </c>
      <c r="Z248" s="36">
        <f>IFERROR(IF(Y248=0,"",ROUNDUP(Y248/H248,0)*0.0059),"")</f>
        <v>4.1299999999999996E-2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13.166666666666668</v>
      </c>
      <c r="BN248" s="64">
        <f>IFERROR(Y248*I248/H248,"0")</f>
        <v>13.825000000000001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6.6666666666666661</v>
      </c>
      <c r="Y249" s="549">
        <f>IFERROR(Y248/H248,"0")</f>
        <v>7</v>
      </c>
      <c r="Z249" s="549">
        <f>IFERROR(IF(Z248="",0,Z248),"0")</f>
        <v>4.1299999999999996E-2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12</v>
      </c>
      <c r="Y250" s="549">
        <f>IFERROR(SUM(Y248:Y248),"0")</f>
        <v>12.6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24</v>
      </c>
      <c r="Y253" s="548">
        <f>IFERROR(IF(X253="",0,CEILING((X253/$H253),1)*$H253),"")</f>
        <v>25.2</v>
      </c>
      <c r="Z253" s="36">
        <f>IFERROR(IF(Y253=0,"",ROUNDUP(Y253/H253,0)*0.0059),"")</f>
        <v>8.2599999999999993E-2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26.333333333333336</v>
      </c>
      <c r="BN253" s="64">
        <f>IFERROR(Y253*I253/H253,"0")</f>
        <v>27.650000000000002</v>
      </c>
      <c r="BO253" s="64">
        <f>IFERROR(1/J253*(X253/H253),"0")</f>
        <v>6.1728395061728385E-2</v>
      </c>
      <c r="BP253" s="64">
        <f>IFERROR(1/J253*(Y253/H253),"0")</f>
        <v>6.4814814814814811E-2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2.5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16.111111111111111</v>
      </c>
      <c r="Y257" s="549">
        <f>IFERROR(Y252/H252,"0")+IFERROR(Y253/H253,"0")+IFERROR(Y254/H254,"0")+IFERROR(Y255/H255,"0")+IFERROR(Y256/H256,"0")</f>
        <v>17</v>
      </c>
      <c r="Z257" s="549">
        <f>IFERROR(IF(Z252="",0,Z252),"0")+IFERROR(IF(Z253="",0,Z253),"0")+IFERROR(IF(Z254="",0,Z254),"0")+IFERROR(IF(Z255="",0,Z255),"0")+IFERROR(IF(Z256="",0,Z256),"0")</f>
        <v>0.1003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26.5</v>
      </c>
      <c r="Y258" s="549">
        <f>IFERROR(SUM(Y252:Y256),"0")</f>
        <v>27.9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120</v>
      </c>
      <c r="Y280" s="548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83.333333333333343</v>
      </c>
      <c r="Y281" s="549">
        <f>IFERROR(Y278/H278,"0")+IFERROR(Y279/H279,"0")+IFERROR(Y280/H280,"0")</f>
        <v>84</v>
      </c>
      <c r="Z281" s="549">
        <f>IFERROR(IF(Z278="",0,Z278),"0")+IFERROR(IF(Z279="",0,Z279),"0")+IFERROR(IF(Z280="",0,Z280),"0")</f>
        <v>0.54683999999999999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200</v>
      </c>
      <c r="Y282" s="549">
        <f>IFERROR(SUM(Y278:Y280),"0")</f>
        <v>201.6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245</v>
      </c>
      <c r="Y308" s="548">
        <f t="shared" si="31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256.66666666666663</v>
      </c>
      <c r="BN308" s="64">
        <f t="shared" si="33"/>
        <v>257.40000000000003</v>
      </c>
      <c r="BO308" s="64">
        <f t="shared" si="34"/>
        <v>0.4985754985754986</v>
      </c>
      <c r="BP308" s="64">
        <f t="shared" si="35"/>
        <v>0.5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9</v>
      </c>
      <c r="Y309" s="548">
        <f t="shared" si="31"/>
        <v>9</v>
      </c>
      <c r="Z309" s="36">
        <f>IFERROR(IF(Y309=0,"",ROUNDUP(Y309/H309,0)*0.00651),"")</f>
        <v>3.2550000000000003E-2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10.139999999999999</v>
      </c>
      <c r="BN309" s="64">
        <f t="shared" si="33"/>
        <v>10.139999999999999</v>
      </c>
      <c r="BO309" s="64">
        <f t="shared" si="34"/>
        <v>2.7472527472527476E-2</v>
      </c>
      <c r="BP309" s="64">
        <f t="shared" si="35"/>
        <v>2.7472527472527476E-2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121.66666666666666</v>
      </c>
      <c r="Y310" s="549">
        <f>IFERROR(Y304/H304,"0")+IFERROR(Y305/H305,"0")+IFERROR(Y306/H306,"0")+IFERROR(Y307/H307,"0")+IFERROR(Y308/H308,"0")+IFERROR(Y309/H309,"0")</f>
        <v>122</v>
      </c>
      <c r="Z310" s="549">
        <f>IFERROR(IF(Z304="",0,Z304),"0")+IFERROR(IF(Z305="",0,Z305),"0")+IFERROR(IF(Z306="",0,Z306),"0")+IFERROR(IF(Z307="",0,Z307),"0")+IFERROR(IF(Z308="",0,Z308),"0")+IFERROR(IF(Z309="",0,Z309),"0")</f>
        <v>0.61988999999999994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254</v>
      </c>
      <c r="Y311" s="549">
        <f>IFERROR(SUM(Y304:Y309),"0")</f>
        <v>254.70000000000002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300</v>
      </c>
      <c r="Y321" s="548">
        <f>IFERROR(IF(X321="",0,CEILING((X321/$H321),1)*$H321),"")</f>
        <v>304.2</v>
      </c>
      <c r="Z321" s="36">
        <f>IFERROR(IF(Y321=0,"",ROUNDUP(Y321/H321,0)*0.01898),"")</f>
        <v>0.74021999999999999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319.00000000000006</v>
      </c>
      <c r="BN321" s="64">
        <f>IFERROR(Y321*I321/H321,"0")</f>
        <v>323.46600000000001</v>
      </c>
      <c r="BO321" s="64">
        <f>IFERROR(1/J321*(X321/H321),"0")</f>
        <v>0.60096153846153844</v>
      </c>
      <c r="BP321" s="64">
        <f>IFERROR(1/J321*(Y321/H321),"0")</f>
        <v>0.609375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100</v>
      </c>
      <c r="Y322" s="548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50.366300366300365</v>
      </c>
      <c r="Y323" s="549">
        <f>IFERROR(Y320/H320,"0")+IFERROR(Y321/H321,"0")+IFERROR(Y322/H322,"0")</f>
        <v>51</v>
      </c>
      <c r="Z323" s="549">
        <f>IFERROR(IF(Z320="",0,Z320),"0")+IFERROR(IF(Z321="",0,Z321),"0")+IFERROR(IF(Z322="",0,Z322),"0")</f>
        <v>0.96798000000000006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400</v>
      </c>
      <c r="Y324" s="549">
        <f>IFERROR(SUM(Y320:Y322),"0")</f>
        <v>405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489.99999999999989</v>
      </c>
      <c r="Y341" s="548">
        <f>IFERROR(IF(X341="",0,CEILING((X341/$H341),1)*$H341),"")</f>
        <v>491.40000000000003</v>
      </c>
      <c r="Z341" s="36">
        <f>IFERROR(IF(Y341=0,"",ROUNDUP(Y341/H341,0)*0.00651),"")</f>
        <v>1.5233400000000001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548.79999999999973</v>
      </c>
      <c r="BN341" s="64">
        <f>IFERROR(Y341*I341/H341,"0")</f>
        <v>550.36799999999994</v>
      </c>
      <c r="BO341" s="64">
        <f>IFERROR(1/J341*(X341/H341),"0")</f>
        <v>1.2820512820512817</v>
      </c>
      <c r="BP341" s="64">
        <f>IFERROR(1/J341*(Y341/H341),"0")</f>
        <v>1.2857142857142858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245</v>
      </c>
      <c r="Y342" s="548">
        <f>IFERROR(IF(X342="",0,CEILING((X342/$H342),1)*$H342),"")</f>
        <v>245.70000000000002</v>
      </c>
      <c r="Z342" s="36">
        <f>IFERROR(IF(Y342=0,"",ROUNDUP(Y342/H342,0)*0.00651),"")</f>
        <v>0.76167000000000007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272.99999999999994</v>
      </c>
      <c r="BN342" s="64">
        <f>IFERROR(Y342*I342/H342,"0")</f>
        <v>273.77999999999997</v>
      </c>
      <c r="BO342" s="64">
        <f>IFERROR(1/J342*(X342/H342),"0")</f>
        <v>0.64102564102564097</v>
      </c>
      <c r="BP342" s="64">
        <f>IFERROR(1/J342*(Y342/H342),"0")</f>
        <v>0.6428571428571429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349.99999999999989</v>
      </c>
      <c r="Y343" s="549">
        <f>IFERROR(Y340/H340,"0")+IFERROR(Y341/H341,"0")+IFERROR(Y342/H342,"0")</f>
        <v>351</v>
      </c>
      <c r="Z343" s="549">
        <f>IFERROR(IF(Z340="",0,Z340),"0")+IFERROR(IF(Z341="",0,Z341),"0")+IFERROR(IF(Z342="",0,Z342),"0")</f>
        <v>2.2850100000000002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734.99999999999989</v>
      </c>
      <c r="Y344" s="549">
        <f>IFERROR(SUM(Y340:Y342),"0")</f>
        <v>737.1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1300</v>
      </c>
      <c r="Y348" s="548">
        <f t="shared" ref="Y348:Y354" si="36">IFERROR(IF(X348="",0,CEILING((X348/$H348),1)*$H348),"")</f>
        <v>1305</v>
      </c>
      <c r="Z348" s="36">
        <f>IFERROR(IF(Y348=0,"",ROUNDUP(Y348/H348,0)*0.02175),"")</f>
        <v>1.8922499999999998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1340.7333333333333</v>
      </c>
      <c r="BN348" s="64">
        <f t="shared" ref="BN348:BN354" si="38">IFERROR(Y348*I348/H348,"0")</f>
        <v>1345.89</v>
      </c>
      <c r="BO348" s="64">
        <f t="shared" ref="BO348:BO354" si="39">IFERROR(1/J348*(X348/H348),"0")</f>
        <v>1.8055555555555556</v>
      </c>
      <c r="BP348" s="64">
        <f t="shared" ref="BP348:BP354" si="40">IFERROR(1/J348*(Y348/H348),"0")</f>
        <v>1.8125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500</v>
      </c>
      <c r="Y349" s="548">
        <f t="shared" si="36"/>
        <v>510</v>
      </c>
      <c r="Z349" s="36">
        <f>IFERROR(IF(Y349=0,"",ROUNDUP(Y349/H349,0)*0.02175),"")</f>
        <v>0.73949999999999994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515.66666666666663</v>
      </c>
      <c r="BN349" s="64">
        <f t="shared" si="38"/>
        <v>525.98</v>
      </c>
      <c r="BO349" s="64">
        <f t="shared" si="39"/>
        <v>0.69444444444444442</v>
      </c>
      <c r="BP349" s="64">
        <f t="shared" si="40"/>
        <v>0.70833333333333326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1000</v>
      </c>
      <c r="Y350" s="548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300</v>
      </c>
      <c r="Y351" s="548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40</v>
      </c>
      <c r="Y354" s="548">
        <f t="shared" si="36"/>
        <v>40</v>
      </c>
      <c r="Z354" s="36">
        <f>IFERROR(IF(Y354=0,"",ROUNDUP(Y354/H354,0)*0.00902),"")</f>
        <v>7.2160000000000002E-2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41.52</v>
      </c>
      <c r="BN354" s="64">
        <f t="shared" si="38"/>
        <v>41.52</v>
      </c>
      <c r="BO354" s="64">
        <f t="shared" si="39"/>
        <v>6.0606060606060608E-2</v>
      </c>
      <c r="BP354" s="64">
        <f t="shared" si="40"/>
        <v>6.0606060606060608E-2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214.66666666666669</v>
      </c>
      <c r="Y355" s="549">
        <f>IFERROR(Y348/H348,"0")+IFERROR(Y349/H349,"0")+IFERROR(Y350/H350,"0")+IFERROR(Y351/H351,"0")+IFERROR(Y352/H352,"0")+IFERROR(Y353/H353,"0")+IFERROR(Y354/H354,"0")</f>
        <v>216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4.5961599999999994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3140</v>
      </c>
      <c r="Y356" s="549">
        <f>IFERROR(SUM(Y348:Y354),"0")</f>
        <v>3160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1000</v>
      </c>
      <c r="Y358" s="548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12</v>
      </c>
      <c r="Y359" s="548">
        <f>IFERROR(IF(X359="",0,CEILING((X359/$H359),1)*$H359),"")</f>
        <v>12</v>
      </c>
      <c r="Z359" s="36">
        <f>IFERROR(IF(Y359=0,"",ROUNDUP(Y359/H359,0)*0.00902),"")</f>
        <v>2.7060000000000001E-2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12.57</v>
      </c>
      <c r="BN359" s="64">
        <f>IFERROR(Y359*I359/H359,"0")</f>
        <v>12.57</v>
      </c>
      <c r="BO359" s="64">
        <f>IFERROR(1/J359*(X359/H359),"0")</f>
        <v>2.2727272727272728E-2</v>
      </c>
      <c r="BP359" s="64">
        <f>IFERROR(1/J359*(Y359/H359),"0")</f>
        <v>2.2727272727272728E-2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69.666666666666671</v>
      </c>
      <c r="Y360" s="549">
        <f>IFERROR(Y358/H358,"0")+IFERROR(Y359/H359,"0")</f>
        <v>70</v>
      </c>
      <c r="Z360" s="549">
        <f>IFERROR(IF(Z358="",0,Z358),"0")+IFERROR(IF(Z359="",0,Z359),"0")</f>
        <v>1.48431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1012</v>
      </c>
      <c r="Y361" s="549">
        <f>IFERROR(SUM(Y358:Y359),"0")</f>
        <v>1017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60</v>
      </c>
      <c r="Y364" s="548">
        <f>IFERROR(IF(X364="",0,CEILING((X364/$H364),1)*$H364),"")</f>
        <v>63</v>
      </c>
      <c r="Z364" s="36">
        <f>IFERROR(IF(Y364=0,"",ROUNDUP(Y364/H364,0)*0.01898),"")</f>
        <v>0.13286000000000001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63.293333333333329</v>
      </c>
      <c r="BN364" s="64">
        <f>IFERROR(Y364*I364/H364,"0")</f>
        <v>66.457999999999998</v>
      </c>
      <c r="BO364" s="64">
        <f>IFERROR(1/J364*(X364/H364),"0")</f>
        <v>0.10416666666666667</v>
      </c>
      <c r="BP364" s="64">
        <f>IFERROR(1/J364*(Y364/H364),"0")</f>
        <v>0.109375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6.666666666666667</v>
      </c>
      <c r="Y365" s="549">
        <f>IFERROR(Y363/H363,"0")+IFERROR(Y364/H364,"0")</f>
        <v>7</v>
      </c>
      <c r="Z365" s="549">
        <f>IFERROR(IF(Z363="",0,Z363),"0")+IFERROR(IF(Z364="",0,Z364),"0")</f>
        <v>0.13286000000000001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60</v>
      </c>
      <c r="Y366" s="549">
        <f>IFERROR(SUM(Y363:Y364),"0")</f>
        <v>63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60</v>
      </c>
      <c r="Y373" s="548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62.050000000000004</v>
      </c>
      <c r="BN373" s="64">
        <f>IFERROR(Y373*I373/H373,"0")</f>
        <v>62.050000000000004</v>
      </c>
      <c r="BO373" s="64">
        <f>IFERROR(1/J373*(X373/H373),"0")</f>
        <v>7.8125E-2</v>
      </c>
      <c r="BP373" s="64">
        <f>IFERROR(1/J373*(Y373/H373),"0")</f>
        <v>7.8125E-2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5</v>
      </c>
      <c r="Y375" s="549">
        <f>IFERROR(Y373/H373,"0")+IFERROR(Y374/H374,"0")</f>
        <v>5</v>
      </c>
      <c r="Z375" s="549">
        <f>IFERROR(IF(Z373="",0,Z373),"0")+IFERROR(IF(Z374="",0,Z374),"0")</f>
        <v>9.4899999999999998E-2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60</v>
      </c>
      <c r="Y376" s="549">
        <f>IFERROR(SUM(Y373:Y374),"0")</f>
        <v>60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17.5</v>
      </c>
      <c r="Y395" s="548">
        <f t="shared" si="41"/>
        <v>18.900000000000002</v>
      </c>
      <c r="Z395" s="36">
        <f t="shared" si="46"/>
        <v>4.5179999999999998E-2</v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18.583333333333332</v>
      </c>
      <c r="BN395" s="64">
        <f t="shared" si="43"/>
        <v>20.07</v>
      </c>
      <c r="BO395" s="64">
        <f t="shared" si="44"/>
        <v>3.5612535612535613E-2</v>
      </c>
      <c r="BP395" s="64">
        <f t="shared" si="45"/>
        <v>3.8461538461538464E-2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10.5</v>
      </c>
      <c r="Y396" s="548">
        <f t="shared" si="41"/>
        <v>10.5</v>
      </c>
      <c r="Z396" s="36">
        <f t="shared" si="46"/>
        <v>2.5100000000000001E-2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11.149999999999999</v>
      </c>
      <c r="BN396" s="64">
        <f t="shared" si="43"/>
        <v>11.149999999999999</v>
      </c>
      <c r="BO396" s="64">
        <f t="shared" si="44"/>
        <v>2.1367521367521368E-2</v>
      </c>
      <c r="BP396" s="64">
        <f t="shared" si="45"/>
        <v>2.1367521367521368E-2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35</v>
      </c>
      <c r="Y398" s="548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29.999999999999996</v>
      </c>
      <c r="Y400" s="549">
        <f>IFERROR(Y391/H391,"0")+IFERROR(Y392/H392,"0")+IFERROR(Y393/H393,"0")+IFERROR(Y394/H394,"0")+IFERROR(Y395/H395,"0")+IFERROR(Y396/H396,"0")+IFERROR(Y397/H397,"0")+IFERROR(Y398/H398,"0")+IFERROR(Y399/H399,"0")</f>
        <v>31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0.15561999999999998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63</v>
      </c>
      <c r="Y401" s="549">
        <f>IFERROR(SUM(Y391:Y399),"0")</f>
        <v>65.100000000000009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17.5</v>
      </c>
      <c r="Y416" s="548">
        <f>IFERROR(IF(X416="",0,CEILING((X416/$H416),1)*$H416),"")</f>
        <v>18.900000000000002</v>
      </c>
      <c r="Z416" s="36">
        <f>IFERROR(IF(Y416=0,"",ROUNDUP(Y416/H416,0)*0.00502),"")</f>
        <v>4.5179999999999998E-2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18.583333333333332</v>
      </c>
      <c r="BN416" s="64">
        <f>IFERROR(Y416*I416/H416,"0")</f>
        <v>20.07</v>
      </c>
      <c r="BO416" s="64">
        <f>IFERROR(1/J416*(X416/H416),"0")</f>
        <v>3.5612535612535613E-2</v>
      </c>
      <c r="BP416" s="64">
        <f>IFERROR(1/J416*(Y416/H416),"0")</f>
        <v>3.8461538461538464E-2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8.3333333333333321</v>
      </c>
      <c r="Y417" s="549">
        <f>IFERROR(Y413/H413,"0")+IFERROR(Y414/H414,"0")+IFERROR(Y415/H415,"0")+IFERROR(Y416/H416,"0")</f>
        <v>9</v>
      </c>
      <c r="Z417" s="549">
        <f>IFERROR(IF(Z413="",0,Z413),"0")+IFERROR(IF(Z414="",0,Z414),"0")+IFERROR(IF(Z415="",0,Z415),"0")+IFERROR(IF(Z416="",0,Z416),"0")</f>
        <v>4.5179999999999998E-2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17.5</v>
      </c>
      <c r="Y418" s="549">
        <f>IFERROR(SUM(Y413:Y416),"0")</f>
        <v>18.900000000000002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40</v>
      </c>
      <c r="Y421" s="548">
        <f>IFERROR(IF(X421="",0,CEILING((X421/$H421),1)*$H421),"")</f>
        <v>40.799999999999997</v>
      </c>
      <c r="Z421" s="36">
        <f>IFERROR(IF(Y421=0,"",ROUNDUP(Y421/H421,0)*0.00651),"")</f>
        <v>0.22134000000000001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70</v>
      </c>
      <c r="BN421" s="64">
        <f>IFERROR(Y421*I421/H421,"0")</f>
        <v>71.399999999999991</v>
      </c>
      <c r="BO421" s="64">
        <f>IFERROR(1/J421*(X421/H421),"0")</f>
        <v>0.18315018315018317</v>
      </c>
      <c r="BP421" s="64">
        <f>IFERROR(1/J421*(Y421/H421),"0")</f>
        <v>0.18681318681318682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33.333333333333336</v>
      </c>
      <c r="Y422" s="549">
        <f>IFERROR(Y421/H421,"0")</f>
        <v>34</v>
      </c>
      <c r="Z422" s="549">
        <f>IFERROR(IF(Z421="",0,Z421),"0")</f>
        <v>0.22134000000000001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40</v>
      </c>
      <c r="Y423" s="549">
        <f>IFERROR(SUM(Y421:Y421),"0")</f>
        <v>40.799999999999997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100</v>
      </c>
      <c r="Y431" s="548">
        <f t="shared" si="47"/>
        <v>100.32000000000001</v>
      </c>
      <c r="Z431" s="36">
        <f t="shared" si="48"/>
        <v>0.22724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106.62878787878788</v>
      </c>
      <c r="BN431" s="64">
        <f t="shared" si="50"/>
        <v>106.97</v>
      </c>
      <c r="BO431" s="64">
        <f t="shared" si="51"/>
        <v>0.18210955710955709</v>
      </c>
      <c r="BP431" s="64">
        <f t="shared" si="52"/>
        <v>0.18269230769230771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200</v>
      </c>
      <c r="Y433" s="548">
        <f t="shared" si="47"/>
        <v>200.64000000000001</v>
      </c>
      <c r="Z433" s="36">
        <f t="shared" si="48"/>
        <v>0.45448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213.25757575757575</v>
      </c>
      <c r="BN433" s="64">
        <f t="shared" si="50"/>
        <v>213.94</v>
      </c>
      <c r="BO433" s="64">
        <f t="shared" si="51"/>
        <v>0.36421911421911418</v>
      </c>
      <c r="BP433" s="64">
        <f t="shared" si="52"/>
        <v>0.36538461538461542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72</v>
      </c>
      <c r="Y435" s="548">
        <f t="shared" si="47"/>
        <v>72</v>
      </c>
      <c r="Z435" s="36">
        <f>IFERROR(IF(Y435=0,"",ROUNDUP(Y435/H435,0)*0.00902),"")</f>
        <v>0.1353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103.65</v>
      </c>
      <c r="BN435" s="64">
        <f t="shared" si="50"/>
        <v>103.65</v>
      </c>
      <c r="BO435" s="64">
        <f t="shared" si="51"/>
        <v>0.11363636363636365</v>
      </c>
      <c r="BP435" s="64">
        <f t="shared" si="52"/>
        <v>0.11363636363636365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162</v>
      </c>
      <c r="Y438" s="548">
        <f t="shared" si="47"/>
        <v>163.19999999999999</v>
      </c>
      <c r="Z438" s="36">
        <f>IFERROR(IF(Y438=0,"",ROUNDUP(Y438/H438,0)*0.00902),"")</f>
        <v>0.30668000000000001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233.21250000000003</v>
      </c>
      <c r="BN438" s="64">
        <f t="shared" si="50"/>
        <v>234.94</v>
      </c>
      <c r="BO438" s="64">
        <f t="shared" si="51"/>
        <v>0.25568181818181818</v>
      </c>
      <c r="BP438" s="64">
        <f t="shared" si="52"/>
        <v>0.25757575757575757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105.56818181818181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1.1236999999999999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534</v>
      </c>
      <c r="Y440" s="549">
        <f>IFERROR(SUM(Y427:Y438),"0")</f>
        <v>536.16000000000008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100</v>
      </c>
      <c r="Y442" s="548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18.939393939393938</v>
      </c>
      <c r="Y445" s="549">
        <f>IFERROR(Y442/H442,"0")+IFERROR(Y443/H443,"0")+IFERROR(Y444/H444,"0")</f>
        <v>19</v>
      </c>
      <c r="Z445" s="549">
        <f>IFERROR(IF(Z442="",0,Z442),"0")+IFERROR(IF(Z443="",0,Z443),"0")+IFERROR(IF(Z444="",0,Z444),"0")</f>
        <v>0.22724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100</v>
      </c>
      <c r="Y446" s="549">
        <f>IFERROR(SUM(Y442:Y444),"0")</f>
        <v>100.32000000000001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40</v>
      </c>
      <c r="Y448" s="548">
        <f t="shared" ref="Y448:Y453" si="53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42.651515151515149</v>
      </c>
      <c r="BN448" s="64">
        <f t="shared" ref="BN448:BN453" si="55">IFERROR(Y448*I448/H448,"0")</f>
        <v>45.04</v>
      </c>
      <c r="BO448" s="64">
        <f t="shared" ref="BO448:BO453" si="56">IFERROR(1/J448*(X448/H448),"0")</f>
        <v>7.2843822843822847E-2</v>
      </c>
      <c r="BP448" s="64">
        <f t="shared" ref="BP448:BP453" si="57">IFERROR(1/J448*(Y448/H448),"0")</f>
        <v>7.6923076923076927E-2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120</v>
      </c>
      <c r="Y450" s="548">
        <f t="shared" si="53"/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127.95454545454545</v>
      </c>
      <c r="BN450" s="64">
        <f t="shared" si="55"/>
        <v>129.49</v>
      </c>
      <c r="BO450" s="64">
        <f t="shared" si="56"/>
        <v>0.21853146853146854</v>
      </c>
      <c r="BP450" s="64">
        <f t="shared" si="57"/>
        <v>0.22115384615384617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30</v>
      </c>
      <c r="Y451" s="548">
        <f t="shared" si="53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43.187500000000007</v>
      </c>
      <c r="BN451" s="64">
        <f t="shared" si="55"/>
        <v>48.370000000000005</v>
      </c>
      <c r="BO451" s="64">
        <f t="shared" si="56"/>
        <v>4.7348484848484848E-2</v>
      </c>
      <c r="BP451" s="64">
        <f t="shared" si="57"/>
        <v>5.3030303030303039E-2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36</v>
      </c>
      <c r="Y452" s="548">
        <f t="shared" si="53"/>
        <v>38.4</v>
      </c>
      <c r="Z452" s="36">
        <f>IFERROR(IF(Y452=0,"",ROUNDUP(Y452/H452,0)*0.00902),"")</f>
        <v>7.2160000000000002E-2</v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50.025000000000006</v>
      </c>
      <c r="BN452" s="64">
        <f t="shared" si="55"/>
        <v>53.36</v>
      </c>
      <c r="BO452" s="64">
        <f t="shared" si="56"/>
        <v>5.6818181818181823E-2</v>
      </c>
      <c r="BP452" s="64">
        <f t="shared" si="57"/>
        <v>6.0606060606060608E-2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60</v>
      </c>
      <c r="Y453" s="548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83.375</v>
      </c>
      <c r="BN453" s="64">
        <f t="shared" si="55"/>
        <v>86.71</v>
      </c>
      <c r="BO453" s="64">
        <f t="shared" si="56"/>
        <v>9.4696969696969696E-2</v>
      </c>
      <c r="BP453" s="64">
        <f t="shared" si="57"/>
        <v>9.8484848484848481E-2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66.022727272727266</v>
      </c>
      <c r="Y454" s="549">
        <f>IFERROR(Y448/H448,"0")+IFERROR(Y449/H449,"0")+IFERROR(Y450/H450,"0")+IFERROR(Y451/H451,"0")+IFERROR(Y452/H452,"0")+IFERROR(Y453/H453,"0")</f>
        <v>69</v>
      </c>
      <c r="Z454" s="549">
        <f>IFERROR(IF(Z448="",0,Z448),"0")+IFERROR(IF(Z449="",0,Z449),"0")+IFERROR(IF(Z450="",0,Z450),"0")+IFERROR(IF(Z451="",0,Z451),"0")+IFERROR(IF(Z452="",0,Z452),"0")+IFERROR(IF(Z453="",0,Z453),"0")</f>
        <v>0.74292000000000002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336</v>
      </c>
      <c r="Y455" s="549">
        <f>IFERROR(SUM(Y448:Y453),"0")</f>
        <v>350.88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700</v>
      </c>
      <c r="Y479" s="548">
        <f>IFERROR(IF(X479="",0,CEILING((X479/$H479),1)*$H479),"")</f>
        <v>702</v>
      </c>
      <c r="Z479" s="36">
        <f>IFERROR(IF(Y479=0,"",ROUNDUP(Y479/H479,0)*0.01898),"")</f>
        <v>1.48044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738.42222222222222</v>
      </c>
      <c r="BN479" s="64">
        <f>IFERROR(Y479*I479/H479,"0")</f>
        <v>740.53199999999993</v>
      </c>
      <c r="BO479" s="64">
        <f>IFERROR(1/J479*(X479/H479),"0")</f>
        <v>1.2152777777777777</v>
      </c>
      <c r="BP479" s="64">
        <f>IFERROR(1/J479*(Y479/H479),"0")</f>
        <v>1.21875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77.777777777777771</v>
      </c>
      <c r="Y480" s="549">
        <f>IFERROR(Y479/H479,"0")</f>
        <v>78</v>
      </c>
      <c r="Z480" s="549">
        <f>IFERROR(IF(Z479="",0,Z479),"0")</f>
        <v>1.48044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700</v>
      </c>
      <c r="Y481" s="549">
        <f>IFERROR(SUM(Y479:Y479),"0")</f>
        <v>702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13494.9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13634.099999999999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14378.713354342548</v>
      </c>
      <c r="Y493" s="549">
        <f>IFERROR(SUM(BN22:BN489),"0")</f>
        <v>14529.242999999997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24</v>
      </c>
      <c r="Y494" s="38">
        <f>ROUNDUP(SUM(BP22:BP489),0)</f>
        <v>24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14978.713354342548</v>
      </c>
      <c r="Y495" s="549">
        <f>GrossWeightTotalR+PalletQtyTotalR*25</f>
        <v>15129.242999999997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2948.3388432555103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2975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27.655860000000001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308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851.40000000000009</v>
      </c>
      <c r="E502" s="46">
        <f>IFERROR(Y85*1,"0")+IFERROR(Y86*1,"0")+IFERROR(Y87*1,"0")+IFERROR(Y88*1,"0")+IFERROR(Y92*1,"0")+IFERROR(Y93*1,"0")+IFERROR(Y94*1,"0")+IFERROR(Y95*1,"0")</f>
        <v>753.3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415.8</v>
      </c>
      <c r="G502" s="46">
        <f>IFERROR(Y127*1,"0")+IFERROR(Y128*1,"0")+IFERROR(Y132*1,"0")+IFERROR(Y133*1,"0")+IFERROR(Y137*1,"0")+IFERROR(Y138*1,"0")</f>
        <v>199.52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697.61999999999989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2497.8000000000002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198.09999999999997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201.6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659.7</v>
      </c>
      <c r="R502" s="46">
        <f>IFERROR(Y340*1,"0")+IFERROR(Y341*1,"0")+IFERROR(Y342*1,"0")</f>
        <v>737.1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4240</v>
      </c>
      <c r="T502" s="46">
        <f>IFERROR(Y373*1,"0")+IFERROR(Y374*1,"0")+IFERROR(Y378*1,"0")+IFERROR(Y379*1,"0")+IFERROR(Y383*1,"0")+IFERROR(Y384*1,"0")+IFERROR(Y385*1,"0")</f>
        <v>60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65.100000000000009</v>
      </c>
      <c r="V502" s="46">
        <f>IFERROR(Y409*1,"0")+IFERROR(Y413*1,"0")+IFERROR(Y414*1,"0")+IFERROR(Y415*1,"0")+IFERROR(Y416*1,"0")</f>
        <v>18.900000000000002</v>
      </c>
      <c r="W502" s="46">
        <f>IFERROR(Y421*1,"0")</f>
        <v>40.799999999999997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987.36000000000013</v>
      </c>
      <c r="Y502" s="46">
        <f>IFERROR(Y463*1,"0")+IFERROR(Y464*1,"0")+IFERROR(Y465*1,"0")+IFERROR(Y466*1,"0")+IFERROR(Y470*1,"0")+IFERROR(Y471*1,"0")+IFERROR(Y475*1,"0")+IFERROR(Y479*1,"0")+IFERROR(Y483*1,"0")+IFERROR(Y484*1,"0")</f>
        <v>702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