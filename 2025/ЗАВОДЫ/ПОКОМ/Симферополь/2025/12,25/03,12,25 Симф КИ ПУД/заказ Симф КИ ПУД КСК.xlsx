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2,25 Симф КИ ПУД\"/>
    </mc:Choice>
  </mc:AlternateContent>
  <xr:revisionPtr revIDLastSave="0" documentId="13_ncr:1_{A718F3DE-B9F4-4B76-805B-549FC13E6A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Z126" i="1" l="1"/>
  <c r="Z31" i="1"/>
  <c r="BP27" i="1"/>
  <c r="BN27" i="1"/>
  <c r="Y490" i="1" s="1"/>
  <c r="Z27" i="1"/>
  <c r="B499" i="1"/>
  <c r="Y31" i="1"/>
  <c r="Y493" i="1" s="1"/>
  <c r="Z43" i="1"/>
  <c r="BP41" i="1"/>
  <c r="BN41" i="1"/>
  <c r="Z41" i="1"/>
  <c r="BP54" i="1"/>
  <c r="Y491" i="1" s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6" i="1"/>
  <c r="BN146" i="1"/>
  <c r="Z146" i="1"/>
  <c r="Z148" i="1" s="1"/>
  <c r="Y148" i="1"/>
  <c r="Z171" i="1"/>
  <c r="Z187" i="1"/>
  <c r="X489" i="1"/>
  <c r="Y32" i="1"/>
  <c r="Y489" i="1" s="1"/>
  <c r="BP29" i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F499" i="1"/>
  <c r="BP102" i="1"/>
  <c r="BN102" i="1"/>
  <c r="Z102" i="1"/>
  <c r="Z103" i="1" s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Z234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1" i="1"/>
  <c r="BP377" i="1"/>
  <c r="BN377" i="1"/>
  <c r="Z377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J499" i="1"/>
  <c r="S499" i="1"/>
  <c r="H9" i="1"/>
  <c r="X490" i="1"/>
  <c r="X491" i="1"/>
  <c r="X493" i="1"/>
  <c r="C499" i="1"/>
  <c r="Y44" i="1"/>
  <c r="D499" i="1"/>
  <c r="Y57" i="1"/>
  <c r="Y103" i="1"/>
  <c r="G499" i="1"/>
  <c r="Y12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Z250" i="1" s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Z324" i="1" s="1"/>
  <c r="Y325" i="1"/>
  <c r="Y330" i="1"/>
  <c r="BP327" i="1"/>
  <c r="BN327" i="1"/>
  <c r="Z327" i="1"/>
  <c r="BP336" i="1"/>
  <c r="BN336" i="1"/>
  <c r="Z336" i="1"/>
  <c r="Y338" i="1"/>
  <c r="Y349" i="1"/>
  <c r="BP342" i="1"/>
  <c r="BN342" i="1"/>
  <c r="Z342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BP390" i="1"/>
  <c r="BN390" i="1"/>
  <c r="Z390" i="1"/>
  <c r="Z394" i="1" s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Y492" i="1" l="1"/>
  <c r="Z337" i="1"/>
  <c r="Z304" i="1"/>
  <c r="Z294" i="1"/>
  <c r="Z69" i="1"/>
  <c r="Z494" i="1" s="1"/>
  <c r="Z447" i="1"/>
  <c r="Z468" i="1"/>
  <c r="Z432" i="1"/>
  <c r="Z411" i="1"/>
  <c r="Z349" i="1"/>
  <c r="Z330" i="1"/>
  <c r="Z311" i="1"/>
  <c r="Z267" i="1"/>
  <c r="Z259" i="1"/>
  <c r="X492" i="1"/>
  <c r="Z438" i="1"/>
  <c r="Z274" i="1"/>
  <c r="Z109" i="1"/>
  <c r="Z88" i="1"/>
  <c r="Z116" i="1"/>
  <c r="Z95" i="1"/>
</calcChain>
</file>

<file path=xl/sharedStrings.xml><?xml version="1.0" encoding="utf-8"?>
<sst xmlns="http://schemas.openxmlformats.org/spreadsheetml/2006/main" count="2146" uniqueCount="761">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</sst>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3" t="s">
        <v>0</v>
      </c>
      <c r="E1" s="590"/>
      <c r="F1" s="590"/>
      <c r="G1" s="12" t="s">
        <v>1</v>
      </c>
      <c r="H1" s="803" t="s">
        <v>2</v>
      </c>
      <c r="I1" s="590"/>
      <c r="J1" s="590"/>
      <c r="K1" s="590"/>
      <c r="L1" s="590"/>
      <c r="M1" s="590"/>
      <c r="N1" s="590"/>
      <c r="O1" s="590"/>
      <c r="P1" s="590"/>
      <c r="Q1" s="590"/>
      <c r="R1" s="846" t="s">
        <v>3</v>
      </c>
      <c r="S1" s="590"/>
      <c r="T1" s="5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9" t="s">
        <v>8</v>
      </c>
      <c r="B5" s="616"/>
      <c r="C5" s="598"/>
      <c r="D5" s="663"/>
      <c r="E5" s="665"/>
      <c r="F5" s="597" t="s">
        <v>9</v>
      </c>
      <c r="G5" s="598"/>
      <c r="H5" s="663"/>
      <c r="I5" s="664"/>
      <c r="J5" s="664"/>
      <c r="K5" s="664"/>
      <c r="L5" s="664"/>
      <c r="M5" s="665"/>
      <c r="N5" s="58"/>
      <c r="P5" s="24" t="s">
        <v>10</v>
      </c>
      <c r="Q5" s="578">
        <v>45996</v>
      </c>
      <c r="R5" s="579"/>
      <c r="T5" s="733" t="s">
        <v>11</v>
      </c>
      <c r="U5" s="575"/>
      <c r="V5" s="734" t="s">
        <v>12</v>
      </c>
      <c r="W5" s="579"/>
      <c r="AB5" s="51"/>
      <c r="AC5" s="51"/>
      <c r="AD5" s="51"/>
      <c r="AE5" s="51"/>
    </row>
    <row r="6" spans="1:32" s="535" customFormat="1" ht="24" customHeight="1" x14ac:dyDescent="0.2">
      <c r="A6" s="769" t="s">
        <v>13</v>
      </c>
      <c r="B6" s="616"/>
      <c r="C6" s="598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79"/>
      <c r="N6" s="59"/>
      <c r="P6" s="24" t="s">
        <v>15</v>
      </c>
      <c r="Q6" s="586" t="str">
        <f>IF(Q5=0," ",CHOOSE(WEEKDAY(Q5,2),"Понедельник","Вторник","Среда","Четверг","Пятница","Суббота","Воскресенье"))</f>
        <v>Пятница</v>
      </c>
      <c r="R6" s="557"/>
      <c r="T6" s="738" t="s">
        <v>16</v>
      </c>
      <c r="U6" s="575"/>
      <c r="V6" s="718" t="s">
        <v>17</v>
      </c>
      <c r="W6" s="71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7" t="str">
        <f>IFERROR(VLOOKUP(DeliveryAddress,Table,3,0),1)</f>
        <v>1</v>
      </c>
      <c r="E7" s="818"/>
      <c r="F7" s="818"/>
      <c r="G7" s="818"/>
      <c r="H7" s="818"/>
      <c r="I7" s="818"/>
      <c r="J7" s="818"/>
      <c r="K7" s="818"/>
      <c r="L7" s="818"/>
      <c r="M7" s="736"/>
      <c r="N7" s="60"/>
      <c r="P7" s="24"/>
      <c r="Q7" s="42"/>
      <c r="R7" s="42"/>
      <c r="T7" s="546"/>
      <c r="U7" s="575"/>
      <c r="V7" s="720"/>
      <c r="W7" s="721"/>
      <c r="AB7" s="51"/>
      <c r="AC7" s="51"/>
      <c r="AD7" s="51"/>
      <c r="AE7" s="51"/>
    </row>
    <row r="8" spans="1:32" s="535" customFormat="1" ht="25.5" customHeight="1" x14ac:dyDescent="0.2">
      <c r="A8" s="564" t="s">
        <v>18</v>
      </c>
      <c r="B8" s="551"/>
      <c r="C8" s="552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5">
        <v>0.375</v>
      </c>
      <c r="R8" s="736"/>
      <c r="T8" s="546"/>
      <c r="U8" s="575"/>
      <c r="V8" s="720"/>
      <c r="W8" s="721"/>
      <c r="AB8" s="51"/>
      <c r="AC8" s="51"/>
      <c r="AD8" s="51"/>
      <c r="AE8" s="51"/>
    </row>
    <row r="9" spans="1:32" s="535" customFormat="1" ht="39.950000000000003" customHeight="1" x14ac:dyDescent="0.2">
      <c r="A9" s="5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07"/>
      <c r="E9" s="608"/>
      <c r="F9" s="5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08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8"/>
      <c r="L9" s="608"/>
      <c r="M9" s="608"/>
      <c r="N9" s="533"/>
      <c r="P9" s="26" t="s">
        <v>21</v>
      </c>
      <c r="Q9" s="786"/>
      <c r="R9" s="602"/>
      <c r="T9" s="546"/>
      <c r="U9" s="575"/>
      <c r="V9" s="722"/>
      <c r="W9" s="723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07"/>
      <c r="E10" s="608"/>
      <c r="F10" s="5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683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39"/>
      <c r="R10" s="740"/>
      <c r="U10" s="24" t="s">
        <v>23</v>
      </c>
      <c r="V10" s="841" t="s">
        <v>24</v>
      </c>
      <c r="W10" s="71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79"/>
      <c r="U11" s="24" t="s">
        <v>27</v>
      </c>
      <c r="V11" s="601" t="s">
        <v>28</v>
      </c>
      <c r="W11" s="602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26" t="s">
        <v>29</v>
      </c>
      <c r="B12" s="616"/>
      <c r="C12" s="616"/>
      <c r="D12" s="616"/>
      <c r="E12" s="616"/>
      <c r="F12" s="616"/>
      <c r="G12" s="616"/>
      <c r="H12" s="616"/>
      <c r="I12" s="616"/>
      <c r="J12" s="616"/>
      <c r="K12" s="616"/>
      <c r="L12" s="616"/>
      <c r="M12" s="598"/>
      <c r="N12" s="62"/>
      <c r="P12" s="24" t="s">
        <v>30</v>
      </c>
      <c r="Q12" s="735"/>
      <c r="R12" s="736"/>
      <c r="S12" s="23"/>
      <c r="U12" s="24"/>
      <c r="V12" s="590"/>
      <c r="W12" s="546"/>
      <c r="AB12" s="51"/>
      <c r="AC12" s="51"/>
      <c r="AD12" s="51"/>
      <c r="AE12" s="51"/>
    </row>
    <row r="13" spans="1:32" s="535" customFormat="1" ht="23.25" customHeight="1" x14ac:dyDescent="0.2">
      <c r="A13" s="726" t="s">
        <v>31</v>
      </c>
      <c r="B13" s="616"/>
      <c r="C13" s="616"/>
      <c r="D13" s="616"/>
      <c r="E13" s="616"/>
      <c r="F13" s="616"/>
      <c r="G13" s="616"/>
      <c r="H13" s="616"/>
      <c r="I13" s="616"/>
      <c r="J13" s="616"/>
      <c r="K13" s="616"/>
      <c r="L13" s="616"/>
      <c r="M13" s="598"/>
      <c r="N13" s="62"/>
      <c r="O13" s="26"/>
      <c r="P13" s="26" t="s">
        <v>32</v>
      </c>
      <c r="Q13" s="601"/>
      <c r="R13" s="6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26" t="s">
        <v>33</v>
      </c>
      <c r="B14" s="616"/>
      <c r="C14" s="616"/>
      <c r="D14" s="616"/>
      <c r="E14" s="616"/>
      <c r="F14" s="616"/>
      <c r="G14" s="616"/>
      <c r="H14" s="616"/>
      <c r="I14" s="616"/>
      <c r="J14" s="616"/>
      <c r="K14" s="616"/>
      <c r="L14" s="616"/>
      <c r="M14" s="5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8" t="s">
        <v>34</v>
      </c>
      <c r="B15" s="616"/>
      <c r="C15" s="616"/>
      <c r="D15" s="616"/>
      <c r="E15" s="616"/>
      <c r="F15" s="616"/>
      <c r="G15" s="616"/>
      <c r="H15" s="616"/>
      <c r="I15" s="616"/>
      <c r="J15" s="616"/>
      <c r="K15" s="616"/>
      <c r="L15" s="616"/>
      <c r="M15" s="598"/>
      <c r="N15" s="63"/>
      <c r="P15" s="759" t="s">
        <v>35</v>
      </c>
      <c r="Q15" s="590"/>
      <c r="R15" s="590"/>
      <c r="S15" s="590"/>
      <c r="T15" s="5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8" t="s">
        <v>36</v>
      </c>
      <c r="B17" s="568" t="s">
        <v>37</v>
      </c>
      <c r="C17" s="773" t="s">
        <v>38</v>
      </c>
      <c r="D17" s="568" t="s">
        <v>39</v>
      </c>
      <c r="E17" s="569"/>
      <c r="F17" s="568" t="s">
        <v>40</v>
      </c>
      <c r="G17" s="568" t="s">
        <v>41</v>
      </c>
      <c r="H17" s="568" t="s">
        <v>42</v>
      </c>
      <c r="I17" s="568" t="s">
        <v>43</v>
      </c>
      <c r="J17" s="568" t="s">
        <v>44</v>
      </c>
      <c r="K17" s="568" t="s">
        <v>45</v>
      </c>
      <c r="L17" s="568" t="s">
        <v>46</v>
      </c>
      <c r="M17" s="568" t="s">
        <v>47</v>
      </c>
      <c r="N17" s="568" t="s">
        <v>48</v>
      </c>
      <c r="O17" s="568" t="s">
        <v>49</v>
      </c>
      <c r="P17" s="568" t="s">
        <v>50</v>
      </c>
      <c r="Q17" s="810"/>
      <c r="R17" s="810"/>
      <c r="S17" s="810"/>
      <c r="T17" s="569"/>
      <c r="U17" s="730" t="s">
        <v>51</v>
      </c>
      <c r="V17" s="598"/>
      <c r="W17" s="568" t="s">
        <v>52</v>
      </c>
      <c r="X17" s="568" t="s">
        <v>53</v>
      </c>
      <c r="Y17" s="731" t="s">
        <v>54</v>
      </c>
      <c r="Z17" s="724" t="s">
        <v>55</v>
      </c>
      <c r="AA17" s="591" t="s">
        <v>56</v>
      </c>
      <c r="AB17" s="591" t="s">
        <v>57</v>
      </c>
      <c r="AC17" s="591" t="s">
        <v>58</v>
      </c>
      <c r="AD17" s="591" t="s">
        <v>59</v>
      </c>
      <c r="AE17" s="592"/>
      <c r="AF17" s="593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70"/>
      <c r="E18" s="571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70"/>
      <c r="Q18" s="811"/>
      <c r="R18" s="811"/>
      <c r="S18" s="811"/>
      <c r="T18" s="571"/>
      <c r="U18" s="67" t="s">
        <v>61</v>
      </c>
      <c r="V18" s="67" t="s">
        <v>62</v>
      </c>
      <c r="W18" s="572"/>
      <c r="X18" s="572"/>
      <c r="Y18" s="732"/>
      <c r="Z18" s="725"/>
      <c r="AA18" s="662"/>
      <c r="AB18" s="662"/>
      <c r="AC18" s="662"/>
      <c r="AD18" s="594"/>
      <c r="AE18" s="595"/>
      <c r="AF18" s="596"/>
      <c r="AG18" s="66"/>
      <c r="BD18" s="65"/>
    </row>
    <row r="19" spans="1:68" ht="27.75" customHeight="1" x14ac:dyDescent="0.2">
      <c r="A19" s="640" t="s">
        <v>63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48"/>
      <c r="AB19" s="48"/>
      <c r="AC19" s="48"/>
    </row>
    <row r="20" spans="1:68" ht="16.5" customHeight="1" x14ac:dyDescent="0.25">
      <c r="A20" s="545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customHeight="1" x14ac:dyDescent="0.25">
      <c r="A21" s="553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6">
        <v>4680115886643</v>
      </c>
      <c r="E22" s="557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8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9"/>
      <c r="P23" s="550" t="s">
        <v>71</v>
      </c>
      <c r="Q23" s="551"/>
      <c r="R23" s="551"/>
      <c r="S23" s="551"/>
      <c r="T23" s="551"/>
      <c r="U23" s="551"/>
      <c r="V23" s="552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9"/>
      <c r="P24" s="550" t="s">
        <v>71</v>
      </c>
      <c r="Q24" s="551"/>
      <c r="R24" s="551"/>
      <c r="S24" s="551"/>
      <c r="T24" s="551"/>
      <c r="U24" s="551"/>
      <c r="V24" s="552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3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6">
        <v>4680115885912</v>
      </c>
      <c r="E26" s="557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6">
        <v>4607091388237</v>
      </c>
      <c r="E27" s="557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6">
        <v>4680115887350</v>
      </c>
      <c r="E28" s="557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6">
        <v>4680115885905</v>
      </c>
      <c r="E29" s="557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56">
        <v>4607091388244</v>
      </c>
      <c r="E30" s="557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8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9"/>
      <c r="P31" s="550" t="s">
        <v>71</v>
      </c>
      <c r="Q31" s="551"/>
      <c r="R31" s="551"/>
      <c r="S31" s="551"/>
      <c r="T31" s="551"/>
      <c r="U31" s="551"/>
      <c r="V31" s="552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9"/>
      <c r="P32" s="550" t="s">
        <v>71</v>
      </c>
      <c r="Q32" s="551"/>
      <c r="R32" s="551"/>
      <c r="S32" s="551"/>
      <c r="T32" s="551"/>
      <c r="U32" s="551"/>
      <c r="V32" s="552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3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8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9"/>
      <c r="P35" s="550" t="s">
        <v>71</v>
      </c>
      <c r="Q35" s="551"/>
      <c r="R35" s="551"/>
      <c r="S35" s="551"/>
      <c r="T35" s="551"/>
      <c r="U35" s="551"/>
      <c r="V35" s="552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9"/>
      <c r="P36" s="550" t="s">
        <v>71</v>
      </c>
      <c r="Q36" s="551"/>
      <c r="R36" s="551"/>
      <c r="S36" s="551"/>
      <c r="T36" s="551"/>
      <c r="U36" s="551"/>
      <c r="V36" s="552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0" t="s">
        <v>97</v>
      </c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48"/>
      <c r="AB37" s="48"/>
      <c r="AC37" s="48"/>
    </row>
    <row r="38" spans="1:68" ht="16.5" customHeight="1" x14ac:dyDescent="0.25">
      <c r="A38" s="545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customHeight="1" x14ac:dyDescent="0.25">
      <c r="A39" s="553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6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56">
        <v>4607091385687</v>
      </c>
      <c r="E41" s="557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280</v>
      </c>
      <c r="Y41" s="542">
        <f>IFERROR(IF(X41="",0,CEILING((X41/$H41),1)*$H41),"")</f>
        <v>280</v>
      </c>
      <c r="Z41" s="36">
        <f>IFERROR(IF(Y41=0,"",ROUNDUP(Y41/H41,0)*0.00902),"")</f>
        <v>0.63139999999999996</v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293.3</v>
      </c>
      <c r="BN41" s="64">
        <f>IFERROR(Y41*I41/H41,"0")</f>
        <v>293.3</v>
      </c>
      <c r="BO41" s="64">
        <f>IFERROR(1/J41*(X41/H41),"0")</f>
        <v>0.53030303030303028</v>
      </c>
      <c r="BP41" s="64">
        <f>IFERROR(1/J41*(Y41/H41),"0")</f>
        <v>0.53030303030303028</v>
      </c>
    </row>
    <row r="42" spans="1:68" ht="27" customHeight="1" x14ac:dyDescent="0.25">
      <c r="A42" s="54" t="s">
        <v>108</v>
      </c>
      <c r="B42" s="54" t="s">
        <v>109</v>
      </c>
      <c r="C42" s="31">
        <v>4301011565</v>
      </c>
      <c r="D42" s="556">
        <v>4680115882539</v>
      </c>
      <c r="E42" s="557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8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9"/>
      <c r="P43" s="550" t="s">
        <v>71</v>
      </c>
      <c r="Q43" s="551"/>
      <c r="R43" s="551"/>
      <c r="S43" s="551"/>
      <c r="T43" s="551"/>
      <c r="U43" s="551"/>
      <c r="V43" s="552"/>
      <c r="W43" s="37" t="s">
        <v>72</v>
      </c>
      <c r="X43" s="543">
        <f>IFERROR(X40/H40,"0")+IFERROR(X41/H41,"0")+IFERROR(X42/H42,"0")</f>
        <v>70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0.63139999999999996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9"/>
      <c r="P44" s="550" t="s">
        <v>71</v>
      </c>
      <c r="Q44" s="551"/>
      <c r="R44" s="551"/>
      <c r="S44" s="551"/>
      <c r="T44" s="551"/>
      <c r="U44" s="551"/>
      <c r="V44" s="552"/>
      <c r="W44" s="37" t="s">
        <v>69</v>
      </c>
      <c r="X44" s="543">
        <f>IFERROR(SUM(X40:X42),"0")</f>
        <v>280</v>
      </c>
      <c r="Y44" s="543">
        <f>IFERROR(SUM(Y40:Y42),"0")</f>
        <v>280</v>
      </c>
      <c r="Z44" s="37"/>
      <c r="AA44" s="544"/>
      <c r="AB44" s="544"/>
      <c r="AC44" s="544"/>
    </row>
    <row r="45" spans="1:68" ht="14.25" customHeight="1" x14ac:dyDescent="0.25">
      <c r="A45" s="553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customHeight="1" x14ac:dyDescent="0.25">
      <c r="A46" s="54" t="s">
        <v>110</v>
      </c>
      <c r="B46" s="54" t="s">
        <v>111</v>
      </c>
      <c r="C46" s="31">
        <v>4301051820</v>
      </c>
      <c r="D46" s="556">
        <v>4680115884915</v>
      </c>
      <c r="E46" s="557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112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8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9"/>
      <c r="P47" s="550" t="s">
        <v>71</v>
      </c>
      <c r="Q47" s="551"/>
      <c r="R47" s="551"/>
      <c r="S47" s="551"/>
      <c r="T47" s="551"/>
      <c r="U47" s="551"/>
      <c r="V47" s="552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9"/>
      <c r="P48" s="550" t="s">
        <v>71</v>
      </c>
      <c r="Q48" s="551"/>
      <c r="R48" s="551"/>
      <c r="S48" s="551"/>
      <c r="T48" s="551"/>
      <c r="U48" s="551"/>
      <c r="V48" s="552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45" t="s">
        <v>113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customHeight="1" x14ac:dyDescent="0.25">
      <c r="A50" s="553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customHeight="1" x14ac:dyDescent="0.25">
      <c r="A51" s="54" t="s">
        <v>114</v>
      </c>
      <c r="B51" s="54" t="s">
        <v>115</v>
      </c>
      <c r="C51" s="31">
        <v>4301012030</v>
      </c>
      <c r="D51" s="556">
        <v>4680115885882</v>
      </c>
      <c r="E51" s="557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5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116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117</v>
      </c>
      <c r="B52" s="54" t="s">
        <v>118</v>
      </c>
      <c r="C52" s="31">
        <v>4301011816</v>
      </c>
      <c r="D52" s="556">
        <v>4680115881426</v>
      </c>
      <c r="E52" s="557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119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120</v>
      </c>
      <c r="B53" s="54" t="s">
        <v>121</v>
      </c>
      <c r="C53" s="31">
        <v>4301011386</v>
      </c>
      <c r="D53" s="556">
        <v>4680115880283</v>
      </c>
      <c r="E53" s="557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7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122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123</v>
      </c>
      <c r="B54" s="54" t="s">
        <v>124</v>
      </c>
      <c r="C54" s="31">
        <v>4301011806</v>
      </c>
      <c r="D54" s="556">
        <v>4680115881525</v>
      </c>
      <c r="E54" s="557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6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125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126</v>
      </c>
      <c r="B55" s="54" t="s">
        <v>127</v>
      </c>
      <c r="C55" s="31">
        <v>4301011589</v>
      </c>
      <c r="D55" s="556">
        <v>4680115885899</v>
      </c>
      <c r="E55" s="557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128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4301011801</v>
      </c>
      <c r="D56" s="556">
        <v>4680115881419</v>
      </c>
      <c r="E56" s="557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405</v>
      </c>
      <c r="Y56" s="542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131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58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9"/>
      <c r="P57" s="550" t="s">
        <v>71</v>
      </c>
      <c r="Q57" s="551"/>
      <c r="R57" s="551"/>
      <c r="S57" s="551"/>
      <c r="T57" s="551"/>
      <c r="U57" s="551"/>
      <c r="V57" s="552"/>
      <c r="W57" s="37" t="s">
        <v>72</v>
      </c>
      <c r="X57" s="543">
        <f>IFERROR(X51/H51,"0")+IFERROR(X52/H52,"0")+IFERROR(X53/H53,"0")+IFERROR(X54/H54,"0")+IFERROR(X55/H55,"0")+IFERROR(X56/H56,"0")</f>
        <v>90</v>
      </c>
      <c r="Y57" s="543">
        <f>IFERROR(Y51/H51,"0")+IFERROR(Y52/H52,"0")+IFERROR(Y53/H53,"0")+IFERROR(Y54/H54,"0")+IFERROR(Y55/H55,"0")+IFERROR(Y56/H56,"0")</f>
        <v>90</v>
      </c>
      <c r="Z57" s="543">
        <f>IFERROR(IF(Z51="",0,Z51),"0")+IFERROR(IF(Z52="",0,Z52),"0")+IFERROR(IF(Z53="",0,Z53),"0")+IFERROR(IF(Z54="",0,Z54),"0")+IFERROR(IF(Z55="",0,Z55),"0")+IFERROR(IF(Z56="",0,Z56),"0")</f>
        <v>0.81180000000000008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9"/>
      <c r="P58" s="550" t="s">
        <v>71</v>
      </c>
      <c r="Q58" s="551"/>
      <c r="R58" s="551"/>
      <c r="S58" s="551"/>
      <c r="T58" s="551"/>
      <c r="U58" s="551"/>
      <c r="V58" s="552"/>
      <c r="W58" s="37" t="s">
        <v>69</v>
      </c>
      <c r="X58" s="543">
        <f>IFERROR(SUM(X51:X56),"0")</f>
        <v>405</v>
      </c>
      <c r="Y58" s="543">
        <f>IFERROR(SUM(Y51:Y56),"0")</f>
        <v>405</v>
      </c>
      <c r="Z58" s="37"/>
      <c r="AA58" s="544"/>
      <c r="AB58" s="544"/>
      <c r="AC58" s="544"/>
    </row>
    <row r="59" spans="1:68" ht="14.25" customHeight="1" x14ac:dyDescent="0.25">
      <c r="A59" s="553" t="s">
        <v>132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133</v>
      </c>
      <c r="B60" s="54" t="s">
        <v>134</v>
      </c>
      <c r="C60" s="31">
        <v>4301020298</v>
      </c>
      <c r="D60" s="556">
        <v>4680115881440</v>
      </c>
      <c r="E60" s="557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5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135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136</v>
      </c>
      <c r="B61" s="54" t="s">
        <v>137</v>
      </c>
      <c r="C61" s="31">
        <v>4301020358</v>
      </c>
      <c r="D61" s="556">
        <v>4680115885950</v>
      </c>
      <c r="E61" s="557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135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138</v>
      </c>
      <c r="B62" s="54" t="s">
        <v>139</v>
      </c>
      <c r="C62" s="31">
        <v>4301020296</v>
      </c>
      <c r="D62" s="556">
        <v>4680115881433</v>
      </c>
      <c r="E62" s="557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6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135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8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9"/>
      <c r="P63" s="550" t="s">
        <v>71</v>
      </c>
      <c r="Q63" s="551"/>
      <c r="R63" s="551"/>
      <c r="S63" s="551"/>
      <c r="T63" s="551"/>
      <c r="U63" s="551"/>
      <c r="V63" s="552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9"/>
      <c r="P64" s="550" t="s">
        <v>71</v>
      </c>
      <c r="Q64" s="551"/>
      <c r="R64" s="551"/>
      <c r="S64" s="551"/>
      <c r="T64" s="551"/>
      <c r="U64" s="551"/>
      <c r="V64" s="552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3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customHeight="1" x14ac:dyDescent="0.25">
      <c r="A66" s="54" t="s">
        <v>140</v>
      </c>
      <c r="B66" s="54" t="s">
        <v>141</v>
      </c>
      <c r="C66" s="31">
        <v>4301031243</v>
      </c>
      <c r="D66" s="556">
        <v>4680115885073</v>
      </c>
      <c r="E66" s="557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142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143</v>
      </c>
      <c r="B67" s="54" t="s">
        <v>144</v>
      </c>
      <c r="C67" s="31">
        <v>4301031241</v>
      </c>
      <c r="D67" s="556">
        <v>4680115885059</v>
      </c>
      <c r="E67" s="557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59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145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146</v>
      </c>
      <c r="B68" s="54" t="s">
        <v>147</v>
      </c>
      <c r="C68" s="31">
        <v>4301031316</v>
      </c>
      <c r="D68" s="556">
        <v>4680115885097</v>
      </c>
      <c r="E68" s="557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148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8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9"/>
      <c r="P69" s="550" t="s">
        <v>71</v>
      </c>
      <c r="Q69" s="551"/>
      <c r="R69" s="551"/>
      <c r="S69" s="551"/>
      <c r="T69" s="551"/>
      <c r="U69" s="551"/>
      <c r="V69" s="552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9"/>
      <c r="P70" s="550" t="s">
        <v>71</v>
      </c>
      <c r="Q70" s="551"/>
      <c r="R70" s="551"/>
      <c r="S70" s="551"/>
      <c r="T70" s="551"/>
      <c r="U70" s="551"/>
      <c r="V70" s="552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3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27" customHeight="1" x14ac:dyDescent="0.25">
      <c r="A72" s="54" t="s">
        <v>149</v>
      </c>
      <c r="B72" s="54" t="s">
        <v>150</v>
      </c>
      <c r="C72" s="31">
        <v>4301051846</v>
      </c>
      <c r="D72" s="556">
        <v>4680115885769</v>
      </c>
      <c r="E72" s="557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62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151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152</v>
      </c>
      <c r="B73" s="54" t="s">
        <v>153</v>
      </c>
      <c r="C73" s="31">
        <v>4301051837</v>
      </c>
      <c r="D73" s="556">
        <v>4680115884311</v>
      </c>
      <c r="E73" s="557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154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155</v>
      </c>
      <c r="B74" s="54" t="s">
        <v>156</v>
      </c>
      <c r="C74" s="31">
        <v>4301051844</v>
      </c>
      <c r="D74" s="556">
        <v>4680115885929</v>
      </c>
      <c r="E74" s="557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157</v>
      </c>
      <c r="B75" s="54" t="s">
        <v>158</v>
      </c>
      <c r="C75" s="31">
        <v>4301051929</v>
      </c>
      <c r="D75" s="556">
        <v>4680115884403</v>
      </c>
      <c r="E75" s="557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8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59"/>
      <c r="P76" s="550" t="s">
        <v>71</v>
      </c>
      <c r="Q76" s="551"/>
      <c r="R76" s="551"/>
      <c r="S76" s="551"/>
      <c r="T76" s="551"/>
      <c r="U76" s="551"/>
      <c r="V76" s="552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9"/>
      <c r="P77" s="550" t="s">
        <v>71</v>
      </c>
      <c r="Q77" s="551"/>
      <c r="R77" s="551"/>
      <c r="S77" s="551"/>
      <c r="T77" s="551"/>
      <c r="U77" s="551"/>
      <c r="V77" s="552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3" t="s">
        <v>160</v>
      </c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37"/>
      <c r="AB78" s="537"/>
      <c r="AC78" s="537"/>
    </row>
    <row r="79" spans="1:68" ht="27" customHeight="1" x14ac:dyDescent="0.25">
      <c r="A79" s="54" t="s">
        <v>161</v>
      </c>
      <c r="B79" s="54" t="s">
        <v>162</v>
      </c>
      <c r="C79" s="31">
        <v>4301060455</v>
      </c>
      <c r="D79" s="556">
        <v>4680115881532</v>
      </c>
      <c r="E79" s="557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163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164</v>
      </c>
      <c r="B80" s="54" t="s">
        <v>165</v>
      </c>
      <c r="C80" s="31">
        <v>4301060351</v>
      </c>
      <c r="D80" s="556">
        <v>4680115881464</v>
      </c>
      <c r="E80" s="557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107</v>
      </c>
      <c r="L80" s="32"/>
      <c r="M80" s="33" t="s">
        <v>77</v>
      </c>
      <c r="N80" s="33"/>
      <c r="O80" s="32">
        <v>30</v>
      </c>
      <c r="P80" s="6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8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59"/>
      <c r="P81" s="550" t="s">
        <v>71</v>
      </c>
      <c r="Q81" s="551"/>
      <c r="R81" s="551"/>
      <c r="S81" s="551"/>
      <c r="T81" s="551"/>
      <c r="U81" s="551"/>
      <c r="V81" s="552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9"/>
      <c r="P82" s="550" t="s">
        <v>71</v>
      </c>
      <c r="Q82" s="551"/>
      <c r="R82" s="551"/>
      <c r="S82" s="551"/>
      <c r="T82" s="551"/>
      <c r="U82" s="551"/>
      <c r="V82" s="552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45" t="s">
        <v>167</v>
      </c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36"/>
      <c r="AB83" s="536"/>
      <c r="AC83" s="536"/>
    </row>
    <row r="84" spans="1:68" ht="14.25" customHeight="1" x14ac:dyDescent="0.25">
      <c r="A84" s="553" t="s">
        <v>99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7"/>
      <c r="AB84" s="537"/>
      <c r="AC84" s="537"/>
    </row>
    <row r="85" spans="1:68" ht="27" customHeight="1" x14ac:dyDescent="0.25">
      <c r="A85" s="54" t="s">
        <v>168</v>
      </c>
      <c r="B85" s="54" t="s">
        <v>169</v>
      </c>
      <c r="C85" s="31">
        <v>4301011468</v>
      </c>
      <c r="D85" s="556">
        <v>4680115881327</v>
      </c>
      <c r="E85" s="557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/>
      <c r="M85" s="33" t="s">
        <v>84</v>
      </c>
      <c r="N85" s="33"/>
      <c r="O85" s="32">
        <v>50</v>
      </c>
      <c r="P85" s="57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170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171</v>
      </c>
      <c r="B86" s="54" t="s">
        <v>172</v>
      </c>
      <c r="C86" s="31">
        <v>4301011476</v>
      </c>
      <c r="D86" s="556">
        <v>4680115881518</v>
      </c>
      <c r="E86" s="557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107</v>
      </c>
      <c r="L86" s="32"/>
      <c r="M86" s="33" t="s">
        <v>77</v>
      </c>
      <c r="N86" s="33"/>
      <c r="O86" s="32">
        <v>50</v>
      </c>
      <c r="P86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173</v>
      </c>
      <c r="B87" s="54" t="s">
        <v>174</v>
      </c>
      <c r="C87" s="31">
        <v>4301011443</v>
      </c>
      <c r="D87" s="556">
        <v>4680115881303</v>
      </c>
      <c r="E87" s="557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107</v>
      </c>
      <c r="L87" s="32"/>
      <c r="M87" s="33" t="s">
        <v>84</v>
      </c>
      <c r="N87" s="33"/>
      <c r="O87" s="32">
        <v>50</v>
      </c>
      <c r="P87" s="74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720</v>
      </c>
      <c r="Y87" s="542">
        <f>IFERROR(IF(X87="",0,CEILING((X87/$H87),1)*$H87),"")</f>
        <v>720</v>
      </c>
      <c r="Z87" s="36">
        <f>IFERROR(IF(Y87=0,"",ROUNDUP(Y87/H87,0)*0.00902),"")</f>
        <v>1.4432</v>
      </c>
      <c r="AA87" s="56"/>
      <c r="AB87" s="57"/>
      <c r="AC87" s="131" t="s">
        <v>170</v>
      </c>
      <c r="AG87" s="64"/>
      <c r="AJ87" s="68"/>
      <c r="AK87" s="68">
        <v>0</v>
      </c>
      <c r="BB87" s="132" t="s">
        <v>1</v>
      </c>
      <c r="BM87" s="64">
        <f>IFERROR(X87*I87/H87,"0")</f>
        <v>750.40000000000009</v>
      </c>
      <c r="BN87" s="64">
        <f>IFERROR(Y87*I87/H87,"0")</f>
        <v>750.40000000000009</v>
      </c>
      <c r="BO87" s="64">
        <f>IFERROR(1/J87*(X87/H87),"0")</f>
        <v>1.2121212121212122</v>
      </c>
      <c r="BP87" s="64">
        <f>IFERROR(1/J87*(Y87/H87),"0")</f>
        <v>1.2121212121212122</v>
      </c>
    </row>
    <row r="88" spans="1:68" x14ac:dyDescent="0.2">
      <c r="A88" s="558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59"/>
      <c r="P88" s="550" t="s">
        <v>71</v>
      </c>
      <c r="Q88" s="551"/>
      <c r="R88" s="551"/>
      <c r="S88" s="551"/>
      <c r="T88" s="551"/>
      <c r="U88" s="551"/>
      <c r="V88" s="552"/>
      <c r="W88" s="37" t="s">
        <v>72</v>
      </c>
      <c r="X88" s="543">
        <f>IFERROR(X85/H85,"0")+IFERROR(X86/H86,"0")+IFERROR(X87/H87,"0")</f>
        <v>160</v>
      </c>
      <c r="Y88" s="543">
        <f>IFERROR(Y85/H85,"0")+IFERROR(Y86/H86,"0")+IFERROR(Y87/H87,"0")</f>
        <v>160</v>
      </c>
      <c r="Z88" s="543">
        <f>IFERROR(IF(Z85="",0,Z85),"0")+IFERROR(IF(Z86="",0,Z86),"0")+IFERROR(IF(Z87="",0,Z87),"0")</f>
        <v>1.4432</v>
      </c>
      <c r="AA88" s="544"/>
      <c r="AB88" s="544"/>
      <c r="AC88" s="544"/>
    </row>
    <row r="89" spans="1:68" x14ac:dyDescent="0.2">
      <c r="A89" s="546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9"/>
      <c r="P89" s="550" t="s">
        <v>71</v>
      </c>
      <c r="Q89" s="551"/>
      <c r="R89" s="551"/>
      <c r="S89" s="551"/>
      <c r="T89" s="551"/>
      <c r="U89" s="551"/>
      <c r="V89" s="552"/>
      <c r="W89" s="37" t="s">
        <v>69</v>
      </c>
      <c r="X89" s="543">
        <f>IFERROR(SUM(X85:X87),"0")</f>
        <v>720</v>
      </c>
      <c r="Y89" s="543">
        <f>IFERROR(SUM(Y85:Y87),"0")</f>
        <v>720</v>
      </c>
      <c r="Z89" s="37"/>
      <c r="AA89" s="544"/>
      <c r="AB89" s="544"/>
      <c r="AC89" s="544"/>
    </row>
    <row r="90" spans="1:68" ht="14.25" customHeight="1" x14ac:dyDescent="0.25">
      <c r="A90" s="553" t="s">
        <v>73</v>
      </c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37"/>
      <c r="AB90" s="537"/>
      <c r="AC90" s="537"/>
    </row>
    <row r="91" spans="1:68" ht="27" customHeight="1" x14ac:dyDescent="0.25">
      <c r="A91" s="54" t="s">
        <v>175</v>
      </c>
      <c r="B91" s="54" t="s">
        <v>176</v>
      </c>
      <c r="C91" s="31">
        <v>4301051712</v>
      </c>
      <c r="D91" s="556">
        <v>4607091386967</v>
      </c>
      <c r="E91" s="557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/>
      <c r="M91" s="33" t="s">
        <v>84</v>
      </c>
      <c r="N91" s="33"/>
      <c r="O91" s="32">
        <v>45</v>
      </c>
      <c r="P91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177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178</v>
      </c>
      <c r="B92" s="54" t="s">
        <v>179</v>
      </c>
      <c r="C92" s="31">
        <v>4301051788</v>
      </c>
      <c r="D92" s="556">
        <v>4680115884953</v>
      </c>
      <c r="E92" s="557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4301051718</v>
      </c>
      <c r="D93" s="556">
        <v>4607091385731</v>
      </c>
      <c r="E93" s="557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294.3</v>
      </c>
      <c r="Y93" s="542">
        <f>IFERROR(IF(X93="",0,CEILING((X93/$H93),1)*$H93),"")</f>
        <v>294.3</v>
      </c>
      <c r="Z93" s="36">
        <f>IFERROR(IF(Y93=0,"",ROUNDUP(Y93/H93,0)*0.00651),"")</f>
        <v>0.70959000000000005</v>
      </c>
      <c r="AA93" s="56"/>
      <c r="AB93" s="57"/>
      <c r="AC93" s="137" t="s">
        <v>177</v>
      </c>
      <c r="AG93" s="64"/>
      <c r="AJ93" s="68"/>
      <c r="AK93" s="68">
        <v>0</v>
      </c>
      <c r="BB93" s="138" t="s">
        <v>1</v>
      </c>
      <c r="BM93" s="64">
        <f>IFERROR(X93*I93/H93,"0")</f>
        <v>321.76799999999997</v>
      </c>
      <c r="BN93" s="64">
        <f>IFERROR(Y93*I93/H93,"0")</f>
        <v>321.76799999999997</v>
      </c>
      <c r="BO93" s="64">
        <f>IFERROR(1/J93*(X93/H93),"0")</f>
        <v>0.59890109890109899</v>
      </c>
      <c r="BP93" s="64">
        <f>IFERROR(1/J93*(Y93/H93),"0")</f>
        <v>0.59890109890109899</v>
      </c>
    </row>
    <row r="94" spans="1:68" ht="16.5" customHeight="1" x14ac:dyDescent="0.25">
      <c r="A94" s="54" t="s">
        <v>183</v>
      </c>
      <c r="B94" s="54" t="s">
        <v>184</v>
      </c>
      <c r="C94" s="31">
        <v>4301051438</v>
      </c>
      <c r="D94" s="556">
        <v>4680115880894</v>
      </c>
      <c r="E94" s="557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8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59"/>
      <c r="P95" s="550" t="s">
        <v>71</v>
      </c>
      <c r="Q95" s="551"/>
      <c r="R95" s="551"/>
      <c r="S95" s="551"/>
      <c r="T95" s="551"/>
      <c r="U95" s="551"/>
      <c r="V95" s="552"/>
      <c r="W95" s="37" t="s">
        <v>72</v>
      </c>
      <c r="X95" s="543">
        <f>IFERROR(X91/H91,"0")+IFERROR(X92/H92,"0")+IFERROR(X93/H93,"0")+IFERROR(X94/H94,"0")</f>
        <v>109</v>
      </c>
      <c r="Y95" s="543">
        <f>IFERROR(Y91/H91,"0")+IFERROR(Y92/H92,"0")+IFERROR(Y93/H93,"0")+IFERROR(Y94/H94,"0")</f>
        <v>109</v>
      </c>
      <c r="Z95" s="543">
        <f>IFERROR(IF(Z91="",0,Z91),"0")+IFERROR(IF(Z92="",0,Z92),"0")+IFERROR(IF(Z93="",0,Z93),"0")+IFERROR(IF(Z94="",0,Z94),"0")</f>
        <v>0.70959000000000005</v>
      </c>
      <c r="AA95" s="544"/>
      <c r="AB95" s="544"/>
      <c r="AC95" s="544"/>
    </row>
    <row r="96" spans="1:68" x14ac:dyDescent="0.2">
      <c r="A96" s="546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9"/>
      <c r="P96" s="550" t="s">
        <v>71</v>
      </c>
      <c r="Q96" s="551"/>
      <c r="R96" s="551"/>
      <c r="S96" s="551"/>
      <c r="T96" s="551"/>
      <c r="U96" s="551"/>
      <c r="V96" s="552"/>
      <c r="W96" s="37" t="s">
        <v>69</v>
      </c>
      <c r="X96" s="543">
        <f>IFERROR(SUM(X91:X94),"0")</f>
        <v>294.3</v>
      </c>
      <c r="Y96" s="543">
        <f>IFERROR(SUM(Y91:Y94),"0")</f>
        <v>294.3</v>
      </c>
      <c r="Z96" s="37"/>
      <c r="AA96" s="544"/>
      <c r="AB96" s="544"/>
      <c r="AC96" s="544"/>
    </row>
    <row r="97" spans="1:68" ht="16.5" customHeight="1" x14ac:dyDescent="0.25">
      <c r="A97" s="545" t="s">
        <v>186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6"/>
      <c r="AB97" s="536"/>
      <c r="AC97" s="536"/>
    </row>
    <row r="98" spans="1:68" ht="14.25" customHeight="1" x14ac:dyDescent="0.25">
      <c r="A98" s="553" t="s">
        <v>99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7"/>
      <c r="AB98" s="537"/>
      <c r="AC98" s="537"/>
    </row>
    <row r="99" spans="1:68" ht="37.5" customHeight="1" x14ac:dyDescent="0.25">
      <c r="A99" s="54" t="s">
        <v>187</v>
      </c>
      <c r="B99" s="54" t="s">
        <v>188</v>
      </c>
      <c r="C99" s="31">
        <v>4301011514</v>
      </c>
      <c r="D99" s="556">
        <v>4680115882133</v>
      </c>
      <c r="E99" s="557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/>
      <c r="M99" s="33" t="s">
        <v>103</v>
      </c>
      <c r="N99" s="33"/>
      <c r="O99" s="32">
        <v>50</v>
      </c>
      <c r="P99" s="8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189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190</v>
      </c>
      <c r="B100" s="54" t="s">
        <v>191</v>
      </c>
      <c r="C100" s="31">
        <v>4301011417</v>
      </c>
      <c r="D100" s="556">
        <v>4680115880269</v>
      </c>
      <c r="E100" s="557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107</v>
      </c>
      <c r="L100" s="32"/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189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192</v>
      </c>
      <c r="B101" s="54" t="s">
        <v>193</v>
      </c>
      <c r="C101" s="31">
        <v>4301011415</v>
      </c>
      <c r="D101" s="556">
        <v>4680115880429</v>
      </c>
      <c r="E101" s="557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107</v>
      </c>
      <c r="L101" s="32" t="s">
        <v>194</v>
      </c>
      <c r="M101" s="33" t="s">
        <v>77</v>
      </c>
      <c r="N101" s="33"/>
      <c r="O101" s="32">
        <v>50</v>
      </c>
      <c r="P101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2250</v>
      </c>
      <c r="Y101" s="542">
        <f>IFERROR(IF(X101="",0,CEILING((X101/$H101),1)*$H101),"")</f>
        <v>2250</v>
      </c>
      <c r="Z101" s="36">
        <f>IFERROR(IF(Y101=0,"",ROUNDUP(Y101/H101,0)*0.00902),"")</f>
        <v>4.51</v>
      </c>
      <c r="AA101" s="56"/>
      <c r="AB101" s="57"/>
      <c r="AC101" s="145" t="s">
        <v>189</v>
      </c>
      <c r="AG101" s="64"/>
      <c r="AJ101" s="68" t="s">
        <v>195</v>
      </c>
      <c r="AK101" s="68">
        <v>54</v>
      </c>
      <c r="BB101" s="146" t="s">
        <v>1</v>
      </c>
      <c r="BM101" s="64">
        <f>IFERROR(X101*I101/H101,"0")</f>
        <v>2345</v>
      </c>
      <c r="BN101" s="64">
        <f>IFERROR(Y101*I101/H101,"0")</f>
        <v>2345</v>
      </c>
      <c r="BO101" s="64">
        <f>IFERROR(1/J101*(X101/H101),"0")</f>
        <v>3.7878787878787881</v>
      </c>
      <c r="BP101" s="64">
        <f>IFERROR(1/J101*(Y101/H101),"0")</f>
        <v>3.7878787878787881</v>
      </c>
    </row>
    <row r="102" spans="1:68" ht="37.5" customHeight="1" x14ac:dyDescent="0.25">
      <c r="A102" s="54" t="s">
        <v>196</v>
      </c>
      <c r="B102" s="54" t="s">
        <v>197</v>
      </c>
      <c r="C102" s="31">
        <v>4301011462</v>
      </c>
      <c r="D102" s="556">
        <v>4680115881457</v>
      </c>
      <c r="E102" s="557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107</v>
      </c>
      <c r="L102" s="32"/>
      <c r="M102" s="33" t="s">
        <v>77</v>
      </c>
      <c r="N102" s="33"/>
      <c r="O102" s="32">
        <v>50</v>
      </c>
      <c r="P102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189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8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59"/>
      <c r="P103" s="550" t="s">
        <v>71</v>
      </c>
      <c r="Q103" s="551"/>
      <c r="R103" s="551"/>
      <c r="S103" s="551"/>
      <c r="T103" s="551"/>
      <c r="U103" s="551"/>
      <c r="V103" s="552"/>
      <c r="W103" s="37" t="s">
        <v>72</v>
      </c>
      <c r="X103" s="543">
        <f>IFERROR(X99/H99,"0")+IFERROR(X100/H100,"0")+IFERROR(X101/H101,"0")+IFERROR(X102/H102,"0")</f>
        <v>500</v>
      </c>
      <c r="Y103" s="543">
        <f>IFERROR(Y99/H99,"0")+IFERROR(Y100/H100,"0")+IFERROR(Y101/H101,"0")+IFERROR(Y102/H102,"0")</f>
        <v>500</v>
      </c>
      <c r="Z103" s="543">
        <f>IFERROR(IF(Z99="",0,Z99),"0")+IFERROR(IF(Z100="",0,Z100),"0")+IFERROR(IF(Z101="",0,Z101),"0")+IFERROR(IF(Z102="",0,Z102),"0")</f>
        <v>4.51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9"/>
      <c r="P104" s="550" t="s">
        <v>71</v>
      </c>
      <c r="Q104" s="551"/>
      <c r="R104" s="551"/>
      <c r="S104" s="551"/>
      <c r="T104" s="551"/>
      <c r="U104" s="551"/>
      <c r="V104" s="552"/>
      <c r="W104" s="37" t="s">
        <v>69</v>
      </c>
      <c r="X104" s="543">
        <f>IFERROR(SUM(X99:X102),"0")</f>
        <v>2250</v>
      </c>
      <c r="Y104" s="543">
        <f>IFERROR(SUM(Y99:Y102),"0")</f>
        <v>2250</v>
      </c>
      <c r="Z104" s="37"/>
      <c r="AA104" s="544"/>
      <c r="AB104" s="544"/>
      <c r="AC104" s="544"/>
    </row>
    <row r="105" spans="1:68" ht="14.25" customHeight="1" x14ac:dyDescent="0.25">
      <c r="A105" s="553" t="s">
        <v>132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customHeight="1" x14ac:dyDescent="0.25">
      <c r="A106" s="54" t="s">
        <v>198</v>
      </c>
      <c r="B106" s="54" t="s">
        <v>199</v>
      </c>
      <c r="C106" s="31">
        <v>4301020345</v>
      </c>
      <c r="D106" s="556">
        <v>4680115881488</v>
      </c>
      <c r="E106" s="557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103</v>
      </c>
      <c r="N106" s="33"/>
      <c r="O106" s="32">
        <v>55</v>
      </c>
      <c r="P106" s="6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200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201</v>
      </c>
      <c r="B107" s="54" t="s">
        <v>202</v>
      </c>
      <c r="C107" s="31">
        <v>4301020346</v>
      </c>
      <c r="D107" s="556">
        <v>4680115882775</v>
      </c>
      <c r="E107" s="557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103</v>
      </c>
      <c r="N107" s="33"/>
      <c r="O107" s="32">
        <v>55</v>
      </c>
      <c r="P107" s="64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200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203</v>
      </c>
      <c r="B108" s="54" t="s">
        <v>204</v>
      </c>
      <c r="C108" s="31">
        <v>4301020344</v>
      </c>
      <c r="D108" s="556">
        <v>4680115880658</v>
      </c>
      <c r="E108" s="557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103</v>
      </c>
      <c r="N108" s="33"/>
      <c r="O108" s="32">
        <v>55</v>
      </c>
      <c r="P108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200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8"/>
      <c r="B109" s="546"/>
      <c r="C109" s="546"/>
      <c r="D109" s="546"/>
      <c r="E109" s="546"/>
      <c r="F109" s="546"/>
      <c r="G109" s="546"/>
      <c r="H109" s="546"/>
      <c r="I109" s="546"/>
      <c r="J109" s="546"/>
      <c r="K109" s="546"/>
      <c r="L109" s="546"/>
      <c r="M109" s="546"/>
      <c r="N109" s="546"/>
      <c r="O109" s="559"/>
      <c r="P109" s="550" t="s">
        <v>71</v>
      </c>
      <c r="Q109" s="551"/>
      <c r="R109" s="551"/>
      <c r="S109" s="551"/>
      <c r="T109" s="551"/>
      <c r="U109" s="551"/>
      <c r="V109" s="552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46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9"/>
      <c r="P110" s="550" t="s">
        <v>71</v>
      </c>
      <c r="Q110" s="551"/>
      <c r="R110" s="551"/>
      <c r="S110" s="551"/>
      <c r="T110" s="551"/>
      <c r="U110" s="551"/>
      <c r="V110" s="552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3" t="s">
        <v>73</v>
      </c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37"/>
      <c r="AB111" s="537"/>
      <c r="AC111" s="537"/>
    </row>
    <row r="112" spans="1:68" ht="27" customHeight="1" x14ac:dyDescent="0.25">
      <c r="A112" s="54" t="s">
        <v>205</v>
      </c>
      <c r="B112" s="54" t="s">
        <v>206</v>
      </c>
      <c r="C112" s="31">
        <v>4301051724</v>
      </c>
      <c r="D112" s="556">
        <v>4607091385168</v>
      </c>
      <c r="E112" s="557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/>
      <c r="M112" s="33" t="s">
        <v>84</v>
      </c>
      <c r="N112" s="33"/>
      <c r="O112" s="32">
        <v>45</v>
      </c>
      <c r="P112" s="64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207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208</v>
      </c>
      <c r="B113" s="54" t="s">
        <v>209</v>
      </c>
      <c r="C113" s="31">
        <v>4301051730</v>
      </c>
      <c r="D113" s="556">
        <v>4607091383256</v>
      </c>
      <c r="E113" s="557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207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210</v>
      </c>
      <c r="B114" s="54" t="s">
        <v>211</v>
      </c>
      <c r="C114" s="31">
        <v>4301051721</v>
      </c>
      <c r="D114" s="556">
        <v>4607091385748</v>
      </c>
      <c r="E114" s="557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212</v>
      </c>
      <c r="M114" s="33" t="s">
        <v>84</v>
      </c>
      <c r="N114" s="33"/>
      <c r="O114" s="32">
        <v>45</v>
      </c>
      <c r="P114" s="6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488.7</v>
      </c>
      <c r="Y114" s="542">
        <f>IFERROR(IF(X114="",0,CEILING((X114/$H114),1)*$H114),"")</f>
        <v>488.70000000000005</v>
      </c>
      <c r="Z114" s="36">
        <f>IFERROR(IF(Y114=0,"",ROUNDUP(Y114/H114,0)*0.00651),"")</f>
        <v>1.17831</v>
      </c>
      <c r="AA114" s="56"/>
      <c r="AB114" s="57"/>
      <c r="AC114" s="159" t="s">
        <v>207</v>
      </c>
      <c r="AG114" s="64"/>
      <c r="AJ114" s="68" t="s">
        <v>195</v>
      </c>
      <c r="AK114" s="68">
        <v>37.799999999999997</v>
      </c>
      <c r="BB114" s="160" t="s">
        <v>1</v>
      </c>
      <c r="BM114" s="64">
        <f>IFERROR(X114*I114/H114,"0")</f>
        <v>534.3119999999999</v>
      </c>
      <c r="BN114" s="64">
        <f>IFERROR(Y114*I114/H114,"0")</f>
        <v>534.31200000000001</v>
      </c>
      <c r="BO114" s="64">
        <f>IFERROR(1/J114*(X114/H114),"0")</f>
        <v>0.99450549450549441</v>
      </c>
      <c r="BP114" s="64">
        <f>IFERROR(1/J114*(Y114/H114),"0")</f>
        <v>0.99450549450549464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56">
        <v>4680115884533</v>
      </c>
      <c r="E115" s="557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8"/>
      <c r="B116" s="546"/>
      <c r="C116" s="546"/>
      <c r="D116" s="546"/>
      <c r="E116" s="546"/>
      <c r="F116" s="546"/>
      <c r="G116" s="546"/>
      <c r="H116" s="546"/>
      <c r="I116" s="546"/>
      <c r="J116" s="546"/>
      <c r="K116" s="546"/>
      <c r="L116" s="546"/>
      <c r="M116" s="546"/>
      <c r="N116" s="546"/>
      <c r="O116" s="559"/>
      <c r="P116" s="550" t="s">
        <v>71</v>
      </c>
      <c r="Q116" s="551"/>
      <c r="R116" s="551"/>
      <c r="S116" s="551"/>
      <c r="T116" s="551"/>
      <c r="U116" s="551"/>
      <c r="V116" s="552"/>
      <c r="W116" s="37" t="s">
        <v>72</v>
      </c>
      <c r="X116" s="543">
        <f>IFERROR(X112/H112,"0")+IFERROR(X113/H113,"0")+IFERROR(X114/H114,"0")+IFERROR(X115/H115,"0")</f>
        <v>180.99999999999997</v>
      </c>
      <c r="Y116" s="543">
        <f>IFERROR(Y112/H112,"0")+IFERROR(Y113/H113,"0")+IFERROR(Y114/H114,"0")+IFERROR(Y115/H115,"0")</f>
        <v>181</v>
      </c>
      <c r="Z116" s="543">
        <f>IFERROR(IF(Z112="",0,Z112),"0")+IFERROR(IF(Z113="",0,Z113),"0")+IFERROR(IF(Z114="",0,Z114),"0")+IFERROR(IF(Z115="",0,Z115),"0")</f>
        <v>1.17831</v>
      </c>
      <c r="AA116" s="544"/>
      <c r="AB116" s="544"/>
      <c r="AC116" s="544"/>
    </row>
    <row r="117" spans="1:68" x14ac:dyDescent="0.2">
      <c r="A117" s="546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9"/>
      <c r="P117" s="550" t="s">
        <v>71</v>
      </c>
      <c r="Q117" s="551"/>
      <c r="R117" s="551"/>
      <c r="S117" s="551"/>
      <c r="T117" s="551"/>
      <c r="U117" s="551"/>
      <c r="V117" s="552"/>
      <c r="W117" s="37" t="s">
        <v>69</v>
      </c>
      <c r="X117" s="543">
        <f>IFERROR(SUM(X112:X115),"0")</f>
        <v>488.7</v>
      </c>
      <c r="Y117" s="543">
        <f>IFERROR(SUM(Y112:Y115),"0")</f>
        <v>488.70000000000005</v>
      </c>
      <c r="Z117" s="37"/>
      <c r="AA117" s="544"/>
      <c r="AB117" s="544"/>
      <c r="AC117" s="544"/>
    </row>
    <row r="118" spans="1:68" ht="14.25" customHeight="1" x14ac:dyDescent="0.25">
      <c r="A118" s="553" t="s">
        <v>160</v>
      </c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37"/>
      <c r="AB118" s="537"/>
      <c r="AC118" s="537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56">
        <v>4680115880238</v>
      </c>
      <c r="E119" s="557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46"/>
      <c r="C120" s="546"/>
      <c r="D120" s="546"/>
      <c r="E120" s="546"/>
      <c r="F120" s="546"/>
      <c r="G120" s="546"/>
      <c r="H120" s="546"/>
      <c r="I120" s="546"/>
      <c r="J120" s="546"/>
      <c r="K120" s="546"/>
      <c r="L120" s="546"/>
      <c r="M120" s="546"/>
      <c r="N120" s="546"/>
      <c r="O120" s="559"/>
      <c r="P120" s="550" t="s">
        <v>71</v>
      </c>
      <c r="Q120" s="551"/>
      <c r="R120" s="551"/>
      <c r="S120" s="551"/>
      <c r="T120" s="551"/>
      <c r="U120" s="551"/>
      <c r="V120" s="552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46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9"/>
      <c r="P121" s="550" t="s">
        <v>71</v>
      </c>
      <c r="Q121" s="551"/>
      <c r="R121" s="551"/>
      <c r="S121" s="551"/>
      <c r="T121" s="551"/>
      <c r="U121" s="551"/>
      <c r="V121" s="552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45" t="s">
        <v>219</v>
      </c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36"/>
      <c r="AB122" s="536"/>
      <c r="AC122" s="536"/>
    </row>
    <row r="123" spans="1:68" ht="14.25" customHeight="1" x14ac:dyDescent="0.25">
      <c r="A123" s="553" t="s">
        <v>99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7"/>
      <c r="AB123" s="537"/>
      <c r="AC123" s="537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56">
        <v>4680115882577</v>
      </c>
      <c r="E124" s="557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5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56">
        <v>4680115882577</v>
      </c>
      <c r="E125" s="557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6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8"/>
      <c r="B126" s="546"/>
      <c r="C126" s="546"/>
      <c r="D126" s="546"/>
      <c r="E126" s="546"/>
      <c r="F126" s="546"/>
      <c r="G126" s="546"/>
      <c r="H126" s="546"/>
      <c r="I126" s="546"/>
      <c r="J126" s="546"/>
      <c r="K126" s="546"/>
      <c r="L126" s="546"/>
      <c r="M126" s="546"/>
      <c r="N126" s="546"/>
      <c r="O126" s="559"/>
      <c r="P126" s="550" t="s">
        <v>71</v>
      </c>
      <c r="Q126" s="551"/>
      <c r="R126" s="551"/>
      <c r="S126" s="551"/>
      <c r="T126" s="551"/>
      <c r="U126" s="551"/>
      <c r="V126" s="552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46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9"/>
      <c r="P127" s="550" t="s">
        <v>71</v>
      </c>
      <c r="Q127" s="551"/>
      <c r="R127" s="551"/>
      <c r="S127" s="551"/>
      <c r="T127" s="551"/>
      <c r="U127" s="551"/>
      <c r="V127" s="552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3" t="s">
        <v>64</v>
      </c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37"/>
      <c r="AB128" s="537"/>
      <c r="AC128" s="537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56">
        <v>4680115883444</v>
      </c>
      <c r="E129" s="557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56">
        <v>4680115883444</v>
      </c>
      <c r="E130" s="557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6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8"/>
      <c r="B131" s="546"/>
      <c r="C131" s="546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59"/>
      <c r="P131" s="550" t="s">
        <v>71</v>
      </c>
      <c r="Q131" s="551"/>
      <c r="R131" s="551"/>
      <c r="S131" s="551"/>
      <c r="T131" s="551"/>
      <c r="U131" s="551"/>
      <c r="V131" s="552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46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9"/>
      <c r="P132" s="550" t="s">
        <v>71</v>
      </c>
      <c r="Q132" s="551"/>
      <c r="R132" s="551"/>
      <c r="S132" s="551"/>
      <c r="T132" s="551"/>
      <c r="U132" s="551"/>
      <c r="V132" s="552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3" t="s">
        <v>73</v>
      </c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46"/>
      <c r="R133" s="546"/>
      <c r="S133" s="546"/>
      <c r="T133" s="546"/>
      <c r="U133" s="546"/>
      <c r="V133" s="546"/>
      <c r="W133" s="546"/>
      <c r="X133" s="546"/>
      <c r="Y133" s="546"/>
      <c r="Z133" s="546"/>
      <c r="AA133" s="537"/>
      <c r="AB133" s="537"/>
      <c r="AC133" s="537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56">
        <v>4680115882584</v>
      </c>
      <c r="E134" s="557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56">
        <v>4680115882584</v>
      </c>
      <c r="E135" s="557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8"/>
      <c r="B136" s="546"/>
      <c r="C136" s="546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59"/>
      <c r="P136" s="550" t="s">
        <v>71</v>
      </c>
      <c r="Q136" s="551"/>
      <c r="R136" s="551"/>
      <c r="S136" s="551"/>
      <c r="T136" s="551"/>
      <c r="U136" s="551"/>
      <c r="V136" s="552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46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9"/>
      <c r="P137" s="550" t="s">
        <v>71</v>
      </c>
      <c r="Q137" s="551"/>
      <c r="R137" s="551"/>
      <c r="S137" s="551"/>
      <c r="T137" s="551"/>
      <c r="U137" s="551"/>
      <c r="V137" s="552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45" t="s">
        <v>97</v>
      </c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46"/>
      <c r="P138" s="546"/>
      <c r="Q138" s="546"/>
      <c r="R138" s="546"/>
      <c r="S138" s="546"/>
      <c r="T138" s="546"/>
      <c r="U138" s="546"/>
      <c r="V138" s="546"/>
      <c r="W138" s="546"/>
      <c r="X138" s="546"/>
      <c r="Y138" s="546"/>
      <c r="Z138" s="546"/>
      <c r="AA138" s="536"/>
      <c r="AB138" s="536"/>
      <c r="AC138" s="536"/>
    </row>
    <row r="139" spans="1:68" ht="14.25" customHeight="1" x14ac:dyDescent="0.25">
      <c r="A139" s="553" t="s">
        <v>99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7"/>
      <c r="AB139" s="537"/>
      <c r="AC139" s="537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56">
        <v>4680115887374</v>
      </c>
      <c r="E140" s="557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103</v>
      </c>
      <c r="N140" s="33"/>
      <c r="O140" s="32">
        <v>55</v>
      </c>
      <c r="P140" s="73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56">
        <v>4607091384604</v>
      </c>
      <c r="E141" s="557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107</v>
      </c>
      <c r="L141" s="32"/>
      <c r="M141" s="33" t="s">
        <v>103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8"/>
      <c r="B142" s="546"/>
      <c r="C142" s="546"/>
      <c r="D142" s="546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59"/>
      <c r="P142" s="550" t="s">
        <v>71</v>
      </c>
      <c r="Q142" s="551"/>
      <c r="R142" s="551"/>
      <c r="S142" s="551"/>
      <c r="T142" s="551"/>
      <c r="U142" s="551"/>
      <c r="V142" s="552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46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59"/>
      <c r="P143" s="550" t="s">
        <v>71</v>
      </c>
      <c r="Q143" s="551"/>
      <c r="R143" s="551"/>
      <c r="S143" s="551"/>
      <c r="T143" s="551"/>
      <c r="U143" s="551"/>
      <c r="V143" s="552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3" t="s">
        <v>64</v>
      </c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46"/>
      <c r="P144" s="546"/>
      <c r="Q144" s="546"/>
      <c r="R144" s="546"/>
      <c r="S144" s="546"/>
      <c r="T144" s="546"/>
      <c r="U144" s="546"/>
      <c r="V144" s="546"/>
      <c r="W144" s="546"/>
      <c r="X144" s="546"/>
      <c r="Y144" s="546"/>
      <c r="Z144" s="546"/>
      <c r="AA144" s="537"/>
      <c r="AB144" s="537"/>
      <c r="AC144" s="537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56">
        <v>4607091387667</v>
      </c>
      <c r="E145" s="557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103</v>
      </c>
      <c r="N145" s="33"/>
      <c r="O145" s="32">
        <v>40</v>
      </c>
      <c r="P145" s="8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56">
        <v>4607091387636</v>
      </c>
      <c r="E146" s="557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56">
        <v>4607091382426</v>
      </c>
      <c r="E147" s="557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8"/>
      <c r="B148" s="546"/>
      <c r="C148" s="546"/>
      <c r="D148" s="546"/>
      <c r="E148" s="546"/>
      <c r="F148" s="546"/>
      <c r="G148" s="546"/>
      <c r="H148" s="546"/>
      <c r="I148" s="546"/>
      <c r="J148" s="546"/>
      <c r="K148" s="546"/>
      <c r="L148" s="546"/>
      <c r="M148" s="546"/>
      <c r="N148" s="546"/>
      <c r="O148" s="559"/>
      <c r="P148" s="550" t="s">
        <v>71</v>
      </c>
      <c r="Q148" s="551"/>
      <c r="R148" s="551"/>
      <c r="S148" s="551"/>
      <c r="T148" s="551"/>
      <c r="U148" s="551"/>
      <c r="V148" s="552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46"/>
      <c r="B149" s="546"/>
      <c r="C149" s="546"/>
      <c r="D149" s="546"/>
      <c r="E149" s="546"/>
      <c r="F149" s="546"/>
      <c r="G149" s="546"/>
      <c r="H149" s="546"/>
      <c r="I149" s="546"/>
      <c r="J149" s="546"/>
      <c r="K149" s="546"/>
      <c r="L149" s="546"/>
      <c r="M149" s="546"/>
      <c r="N149" s="546"/>
      <c r="O149" s="559"/>
      <c r="P149" s="550" t="s">
        <v>71</v>
      </c>
      <c r="Q149" s="551"/>
      <c r="R149" s="551"/>
      <c r="S149" s="551"/>
      <c r="T149" s="551"/>
      <c r="U149" s="551"/>
      <c r="V149" s="552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3" t="s">
        <v>73</v>
      </c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37"/>
      <c r="AB150" s="537"/>
      <c r="AC150" s="537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56">
        <v>4680115887459</v>
      </c>
      <c r="E151" s="557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248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8"/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59"/>
      <c r="P152" s="550" t="s">
        <v>71</v>
      </c>
      <c r="Q152" s="551"/>
      <c r="R152" s="551"/>
      <c r="S152" s="551"/>
      <c r="T152" s="551"/>
      <c r="U152" s="551"/>
      <c r="V152" s="552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46"/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59"/>
      <c r="P153" s="550" t="s">
        <v>71</v>
      </c>
      <c r="Q153" s="551"/>
      <c r="R153" s="551"/>
      <c r="S153" s="551"/>
      <c r="T153" s="551"/>
      <c r="U153" s="551"/>
      <c r="V153" s="552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40" t="s">
        <v>249</v>
      </c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48"/>
      <c r="AB154" s="48"/>
      <c r="AC154" s="48"/>
    </row>
    <row r="155" spans="1:68" ht="16.5" customHeight="1" x14ac:dyDescent="0.25">
      <c r="A155" s="545" t="s">
        <v>250</v>
      </c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46"/>
      <c r="P155" s="546"/>
      <c r="Q155" s="546"/>
      <c r="R155" s="546"/>
      <c r="S155" s="546"/>
      <c r="T155" s="546"/>
      <c r="U155" s="546"/>
      <c r="V155" s="546"/>
      <c r="W155" s="546"/>
      <c r="X155" s="546"/>
      <c r="Y155" s="546"/>
      <c r="Z155" s="546"/>
      <c r="AA155" s="536"/>
      <c r="AB155" s="536"/>
      <c r="AC155" s="536"/>
    </row>
    <row r="156" spans="1:68" ht="14.25" customHeight="1" x14ac:dyDescent="0.25">
      <c r="A156" s="553" t="s">
        <v>132</v>
      </c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37"/>
      <c r="AB156" s="537"/>
      <c r="AC156" s="537"/>
    </row>
    <row r="157" spans="1:68" ht="27" customHeight="1" x14ac:dyDescent="0.25">
      <c r="A157" s="54" t="s">
        <v>251</v>
      </c>
      <c r="B157" s="54" t="s">
        <v>252</v>
      </c>
      <c r="C157" s="31">
        <v>4301020323</v>
      </c>
      <c r="D157" s="556">
        <v>4680115886223</v>
      </c>
      <c r="E157" s="557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253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8"/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59"/>
      <c r="P158" s="550" t="s">
        <v>71</v>
      </c>
      <c r="Q158" s="551"/>
      <c r="R158" s="551"/>
      <c r="S158" s="551"/>
      <c r="T158" s="551"/>
      <c r="U158" s="551"/>
      <c r="V158" s="552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46"/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59"/>
      <c r="P159" s="550" t="s">
        <v>71</v>
      </c>
      <c r="Q159" s="551"/>
      <c r="R159" s="551"/>
      <c r="S159" s="551"/>
      <c r="T159" s="551"/>
      <c r="U159" s="551"/>
      <c r="V159" s="552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3" t="s">
        <v>64</v>
      </c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46"/>
      <c r="P160" s="546"/>
      <c r="Q160" s="546"/>
      <c r="R160" s="546"/>
      <c r="S160" s="546"/>
      <c r="T160" s="546"/>
      <c r="U160" s="546"/>
      <c r="V160" s="546"/>
      <c r="W160" s="546"/>
      <c r="X160" s="546"/>
      <c r="Y160" s="546"/>
      <c r="Z160" s="546"/>
      <c r="AA160" s="537"/>
      <c r="AB160" s="537"/>
      <c r="AC160" s="537"/>
    </row>
    <row r="161" spans="1:68" ht="27" customHeight="1" x14ac:dyDescent="0.25">
      <c r="A161" s="54" t="s">
        <v>254</v>
      </c>
      <c r="B161" s="54" t="s">
        <v>255</v>
      </c>
      <c r="C161" s="31">
        <v>4301031191</v>
      </c>
      <c r="D161" s="556">
        <v>4680115880993</v>
      </c>
      <c r="E161" s="557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107</v>
      </c>
      <c r="L161" s="32"/>
      <c r="M161" s="33" t="s">
        <v>68</v>
      </c>
      <c r="N161" s="33"/>
      <c r="O161" s="32">
        <v>40</v>
      </c>
      <c r="P161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256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257</v>
      </c>
      <c r="B162" s="54" t="s">
        <v>258</v>
      </c>
      <c r="C162" s="31">
        <v>4301031204</v>
      </c>
      <c r="D162" s="556">
        <v>4680115881761</v>
      </c>
      <c r="E162" s="557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107</v>
      </c>
      <c r="L162" s="32"/>
      <c r="M162" s="33" t="s">
        <v>68</v>
      </c>
      <c r="N162" s="33"/>
      <c r="O162" s="32">
        <v>40</v>
      </c>
      <c r="P162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259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260</v>
      </c>
      <c r="B163" s="54" t="s">
        <v>261</v>
      </c>
      <c r="C163" s="31">
        <v>4301031201</v>
      </c>
      <c r="D163" s="556">
        <v>4680115881563</v>
      </c>
      <c r="E163" s="557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262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263</v>
      </c>
      <c r="B164" s="54" t="s">
        <v>264</v>
      </c>
      <c r="C164" s="31">
        <v>4301031199</v>
      </c>
      <c r="D164" s="556">
        <v>4680115880986</v>
      </c>
      <c r="E164" s="557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/>
      <c r="M164" s="33" t="s">
        <v>68</v>
      </c>
      <c r="N164" s="33"/>
      <c r="O164" s="32">
        <v>40</v>
      </c>
      <c r="P164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256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265</v>
      </c>
      <c r="B165" s="54" t="s">
        <v>266</v>
      </c>
      <c r="C165" s="31">
        <v>4301031443</v>
      </c>
      <c r="D165" s="556">
        <v>4680115887213</v>
      </c>
      <c r="E165" s="557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0" t="s">
        <v>267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268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269</v>
      </c>
      <c r="B166" s="54" t="s">
        <v>270</v>
      </c>
      <c r="C166" s="31">
        <v>4301031205</v>
      </c>
      <c r="D166" s="556">
        <v>4680115881785</v>
      </c>
      <c r="E166" s="557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259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271</v>
      </c>
      <c r="B167" s="54" t="s">
        <v>272</v>
      </c>
      <c r="C167" s="31">
        <v>4301031399</v>
      </c>
      <c r="D167" s="556">
        <v>4680115886537</v>
      </c>
      <c r="E167" s="557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273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274</v>
      </c>
      <c r="B168" s="54" t="s">
        <v>275</v>
      </c>
      <c r="C168" s="31">
        <v>4301031202</v>
      </c>
      <c r="D168" s="556">
        <v>4680115881679</v>
      </c>
      <c r="E168" s="557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262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276</v>
      </c>
      <c r="B169" s="54" t="s">
        <v>277</v>
      </c>
      <c r="C169" s="31">
        <v>4301031158</v>
      </c>
      <c r="D169" s="556">
        <v>4680115880191</v>
      </c>
      <c r="E169" s="557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262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278</v>
      </c>
      <c r="B170" s="54" t="s">
        <v>279</v>
      </c>
      <c r="C170" s="31">
        <v>4301031245</v>
      </c>
      <c r="D170" s="556">
        <v>4680115883963</v>
      </c>
      <c r="E170" s="557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8"/>
      <c r="B171" s="546"/>
      <c r="C171" s="546"/>
      <c r="D171" s="546"/>
      <c r="E171" s="546"/>
      <c r="F171" s="546"/>
      <c r="G171" s="546"/>
      <c r="H171" s="546"/>
      <c r="I171" s="546"/>
      <c r="J171" s="546"/>
      <c r="K171" s="546"/>
      <c r="L171" s="546"/>
      <c r="M171" s="546"/>
      <c r="N171" s="546"/>
      <c r="O171" s="559"/>
      <c r="P171" s="550" t="s">
        <v>71</v>
      </c>
      <c r="Q171" s="551"/>
      <c r="R171" s="551"/>
      <c r="S171" s="551"/>
      <c r="T171" s="551"/>
      <c r="U171" s="551"/>
      <c r="V171" s="552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46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9"/>
      <c r="P172" s="550" t="s">
        <v>71</v>
      </c>
      <c r="Q172" s="551"/>
      <c r="R172" s="551"/>
      <c r="S172" s="551"/>
      <c r="T172" s="551"/>
      <c r="U172" s="551"/>
      <c r="V172" s="552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3" t="s">
        <v>91</v>
      </c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46"/>
      <c r="P173" s="546"/>
      <c r="Q173" s="546"/>
      <c r="R173" s="546"/>
      <c r="S173" s="546"/>
      <c r="T173" s="546"/>
      <c r="U173" s="546"/>
      <c r="V173" s="546"/>
      <c r="W173" s="546"/>
      <c r="X173" s="546"/>
      <c r="Y173" s="546"/>
      <c r="Z173" s="546"/>
      <c r="AA173" s="537"/>
      <c r="AB173" s="537"/>
      <c r="AC173" s="537"/>
    </row>
    <row r="174" spans="1:68" ht="27" customHeight="1" x14ac:dyDescent="0.25">
      <c r="A174" s="54" t="s">
        <v>281</v>
      </c>
      <c r="B174" s="54" t="s">
        <v>282</v>
      </c>
      <c r="C174" s="31">
        <v>4301032053</v>
      </c>
      <c r="D174" s="556">
        <v>4680115886780</v>
      </c>
      <c r="E174" s="557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283</v>
      </c>
      <c r="L174" s="32"/>
      <c r="M174" s="33" t="s">
        <v>284</v>
      </c>
      <c r="N174" s="33"/>
      <c r="O174" s="32">
        <v>60</v>
      </c>
      <c r="P174" s="6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285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286</v>
      </c>
      <c r="B175" s="54" t="s">
        <v>287</v>
      </c>
      <c r="C175" s="31">
        <v>4301032051</v>
      </c>
      <c r="D175" s="556">
        <v>4680115886742</v>
      </c>
      <c r="E175" s="557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283</v>
      </c>
      <c r="L175" s="32"/>
      <c r="M175" s="33" t="s">
        <v>284</v>
      </c>
      <c r="N175" s="33"/>
      <c r="O175" s="32">
        <v>90</v>
      </c>
      <c r="P175" s="6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288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289</v>
      </c>
      <c r="B176" s="54" t="s">
        <v>290</v>
      </c>
      <c r="C176" s="31">
        <v>4301032052</v>
      </c>
      <c r="D176" s="556">
        <v>4680115886766</v>
      </c>
      <c r="E176" s="557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283</v>
      </c>
      <c r="L176" s="32"/>
      <c r="M176" s="33" t="s">
        <v>284</v>
      </c>
      <c r="N176" s="33"/>
      <c r="O176" s="32">
        <v>90</v>
      </c>
      <c r="P176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288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8"/>
      <c r="B177" s="546"/>
      <c r="C177" s="546"/>
      <c r="D177" s="546"/>
      <c r="E177" s="546"/>
      <c r="F177" s="546"/>
      <c r="G177" s="546"/>
      <c r="H177" s="546"/>
      <c r="I177" s="546"/>
      <c r="J177" s="546"/>
      <c r="K177" s="546"/>
      <c r="L177" s="546"/>
      <c r="M177" s="546"/>
      <c r="N177" s="546"/>
      <c r="O177" s="559"/>
      <c r="P177" s="550" t="s">
        <v>71</v>
      </c>
      <c r="Q177" s="551"/>
      <c r="R177" s="551"/>
      <c r="S177" s="551"/>
      <c r="T177" s="551"/>
      <c r="U177" s="551"/>
      <c r="V177" s="552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46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9"/>
      <c r="P178" s="550" t="s">
        <v>71</v>
      </c>
      <c r="Q178" s="551"/>
      <c r="R178" s="551"/>
      <c r="S178" s="551"/>
      <c r="T178" s="551"/>
      <c r="U178" s="551"/>
      <c r="V178" s="552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3" t="s">
        <v>291</v>
      </c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46"/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37"/>
      <c r="AB179" s="537"/>
      <c r="AC179" s="537"/>
    </row>
    <row r="180" spans="1:68" ht="27" customHeight="1" x14ac:dyDescent="0.25">
      <c r="A180" s="54" t="s">
        <v>292</v>
      </c>
      <c r="B180" s="54" t="s">
        <v>293</v>
      </c>
      <c r="C180" s="31">
        <v>4301170013</v>
      </c>
      <c r="D180" s="556">
        <v>4680115886797</v>
      </c>
      <c r="E180" s="557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283</v>
      </c>
      <c r="L180" s="32"/>
      <c r="M180" s="33" t="s">
        <v>284</v>
      </c>
      <c r="N180" s="33"/>
      <c r="O180" s="32">
        <v>90</v>
      </c>
      <c r="P180" s="7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288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8"/>
      <c r="B181" s="546"/>
      <c r="C181" s="546"/>
      <c r="D181" s="546"/>
      <c r="E181" s="546"/>
      <c r="F181" s="546"/>
      <c r="G181" s="546"/>
      <c r="H181" s="546"/>
      <c r="I181" s="546"/>
      <c r="J181" s="546"/>
      <c r="K181" s="546"/>
      <c r="L181" s="546"/>
      <c r="M181" s="546"/>
      <c r="N181" s="546"/>
      <c r="O181" s="559"/>
      <c r="P181" s="550" t="s">
        <v>71</v>
      </c>
      <c r="Q181" s="551"/>
      <c r="R181" s="551"/>
      <c r="S181" s="551"/>
      <c r="T181" s="551"/>
      <c r="U181" s="551"/>
      <c r="V181" s="552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46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9"/>
      <c r="P182" s="550" t="s">
        <v>71</v>
      </c>
      <c r="Q182" s="551"/>
      <c r="R182" s="551"/>
      <c r="S182" s="551"/>
      <c r="T182" s="551"/>
      <c r="U182" s="551"/>
      <c r="V182" s="552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45" t="s">
        <v>294</v>
      </c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46"/>
      <c r="P183" s="546"/>
      <c r="Q183" s="546"/>
      <c r="R183" s="546"/>
      <c r="S183" s="546"/>
      <c r="T183" s="546"/>
      <c r="U183" s="546"/>
      <c r="V183" s="546"/>
      <c r="W183" s="546"/>
      <c r="X183" s="546"/>
      <c r="Y183" s="546"/>
      <c r="Z183" s="546"/>
      <c r="AA183" s="536"/>
      <c r="AB183" s="536"/>
      <c r="AC183" s="536"/>
    </row>
    <row r="184" spans="1:68" ht="14.25" customHeight="1" x14ac:dyDescent="0.25">
      <c r="A184" s="553" t="s">
        <v>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7"/>
      <c r="AB184" s="537"/>
      <c r="AC184" s="537"/>
    </row>
    <row r="185" spans="1:68" ht="27" customHeight="1" x14ac:dyDescent="0.25">
      <c r="A185" s="54" t="s">
        <v>295</v>
      </c>
      <c r="B185" s="54" t="s">
        <v>296</v>
      </c>
      <c r="C185" s="31">
        <v>4301011450</v>
      </c>
      <c r="D185" s="556">
        <v>4680115881402</v>
      </c>
      <c r="E185" s="557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103</v>
      </c>
      <c r="N185" s="33"/>
      <c r="O185" s="32">
        <v>55</v>
      </c>
      <c r="P185" s="7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297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298</v>
      </c>
      <c r="B186" s="54" t="s">
        <v>299</v>
      </c>
      <c r="C186" s="31">
        <v>4301011768</v>
      </c>
      <c r="D186" s="556">
        <v>4680115881396</v>
      </c>
      <c r="E186" s="557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103</v>
      </c>
      <c r="N186" s="33"/>
      <c r="O186" s="32">
        <v>55</v>
      </c>
      <c r="P186" s="60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297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8"/>
      <c r="B187" s="546"/>
      <c r="C187" s="546"/>
      <c r="D187" s="546"/>
      <c r="E187" s="546"/>
      <c r="F187" s="546"/>
      <c r="G187" s="546"/>
      <c r="H187" s="546"/>
      <c r="I187" s="546"/>
      <c r="J187" s="546"/>
      <c r="K187" s="546"/>
      <c r="L187" s="546"/>
      <c r="M187" s="546"/>
      <c r="N187" s="546"/>
      <c r="O187" s="559"/>
      <c r="P187" s="550" t="s">
        <v>71</v>
      </c>
      <c r="Q187" s="551"/>
      <c r="R187" s="551"/>
      <c r="S187" s="551"/>
      <c r="T187" s="551"/>
      <c r="U187" s="551"/>
      <c r="V187" s="552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46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9"/>
      <c r="P188" s="550" t="s">
        <v>71</v>
      </c>
      <c r="Q188" s="551"/>
      <c r="R188" s="551"/>
      <c r="S188" s="551"/>
      <c r="T188" s="551"/>
      <c r="U188" s="551"/>
      <c r="V188" s="552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3" t="s">
        <v>132</v>
      </c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46"/>
      <c r="P189" s="546"/>
      <c r="Q189" s="546"/>
      <c r="R189" s="546"/>
      <c r="S189" s="546"/>
      <c r="T189" s="546"/>
      <c r="U189" s="546"/>
      <c r="V189" s="546"/>
      <c r="W189" s="546"/>
      <c r="X189" s="546"/>
      <c r="Y189" s="546"/>
      <c r="Z189" s="546"/>
      <c r="AA189" s="537"/>
      <c r="AB189" s="537"/>
      <c r="AC189" s="537"/>
    </row>
    <row r="190" spans="1:68" ht="16.5" customHeight="1" x14ac:dyDescent="0.25">
      <c r="A190" s="54" t="s">
        <v>300</v>
      </c>
      <c r="B190" s="54" t="s">
        <v>301</v>
      </c>
      <c r="C190" s="31">
        <v>4301020261</v>
      </c>
      <c r="D190" s="556">
        <v>4680115882935</v>
      </c>
      <c r="E190" s="557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103</v>
      </c>
      <c r="N190" s="33"/>
      <c r="O190" s="32">
        <v>50</v>
      </c>
      <c r="P190" s="6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302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303</v>
      </c>
      <c r="B191" s="54" t="s">
        <v>304</v>
      </c>
      <c r="C191" s="31">
        <v>4301020220</v>
      </c>
      <c r="D191" s="556">
        <v>4680115880764</v>
      </c>
      <c r="E191" s="557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103</v>
      </c>
      <c r="N191" s="33"/>
      <c r="O191" s="32">
        <v>50</v>
      </c>
      <c r="P191" s="6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302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8"/>
      <c r="B192" s="546"/>
      <c r="C192" s="546"/>
      <c r="D192" s="546"/>
      <c r="E192" s="546"/>
      <c r="F192" s="546"/>
      <c r="G192" s="546"/>
      <c r="H192" s="546"/>
      <c r="I192" s="546"/>
      <c r="J192" s="546"/>
      <c r="K192" s="546"/>
      <c r="L192" s="546"/>
      <c r="M192" s="546"/>
      <c r="N192" s="546"/>
      <c r="O192" s="559"/>
      <c r="P192" s="550" t="s">
        <v>71</v>
      </c>
      <c r="Q192" s="551"/>
      <c r="R192" s="551"/>
      <c r="S192" s="551"/>
      <c r="T192" s="551"/>
      <c r="U192" s="551"/>
      <c r="V192" s="552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46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9"/>
      <c r="P193" s="550" t="s">
        <v>71</v>
      </c>
      <c r="Q193" s="551"/>
      <c r="R193" s="551"/>
      <c r="S193" s="551"/>
      <c r="T193" s="551"/>
      <c r="U193" s="551"/>
      <c r="V193" s="552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3" t="s">
        <v>64</v>
      </c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46"/>
      <c r="P194" s="546"/>
      <c r="Q194" s="546"/>
      <c r="R194" s="546"/>
      <c r="S194" s="546"/>
      <c r="T194" s="546"/>
      <c r="U194" s="546"/>
      <c r="V194" s="546"/>
      <c r="W194" s="546"/>
      <c r="X194" s="546"/>
      <c r="Y194" s="546"/>
      <c r="Z194" s="546"/>
      <c r="AA194" s="537"/>
      <c r="AB194" s="537"/>
      <c r="AC194" s="537"/>
    </row>
    <row r="195" spans="1:68" ht="27" customHeight="1" x14ac:dyDescent="0.25">
      <c r="A195" s="54" t="s">
        <v>305</v>
      </c>
      <c r="B195" s="54" t="s">
        <v>306</v>
      </c>
      <c r="C195" s="31">
        <v>4301031224</v>
      </c>
      <c r="D195" s="556">
        <v>4680115882683</v>
      </c>
      <c r="E195" s="557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107</v>
      </c>
      <c r="L195" s="32"/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307</v>
      </c>
      <c r="AG195" s="64"/>
      <c r="AJ195" s="68"/>
      <c r="AK195" s="68">
        <v>0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308</v>
      </c>
      <c r="B196" s="54" t="s">
        <v>309</v>
      </c>
      <c r="C196" s="31">
        <v>4301031230</v>
      </c>
      <c r="D196" s="556">
        <v>4680115882690</v>
      </c>
      <c r="E196" s="557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6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310</v>
      </c>
      <c r="AG196" s="64"/>
      <c r="AJ196" s="68"/>
      <c r="AK196" s="68">
        <v>0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311</v>
      </c>
      <c r="B197" s="54" t="s">
        <v>312</v>
      </c>
      <c r="C197" s="31">
        <v>4301031220</v>
      </c>
      <c r="D197" s="556">
        <v>4680115882669</v>
      </c>
      <c r="E197" s="557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313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314</v>
      </c>
      <c r="B198" s="54" t="s">
        <v>315</v>
      </c>
      <c r="C198" s="31">
        <v>4301031221</v>
      </c>
      <c r="D198" s="556">
        <v>4680115882676</v>
      </c>
      <c r="E198" s="557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61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316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317</v>
      </c>
      <c r="B199" s="54" t="s">
        <v>318</v>
      </c>
      <c r="C199" s="31">
        <v>4301031223</v>
      </c>
      <c r="D199" s="556">
        <v>4680115884014</v>
      </c>
      <c r="E199" s="557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319</v>
      </c>
      <c r="M199" s="33" t="s">
        <v>68</v>
      </c>
      <c r="N199" s="33"/>
      <c r="O199" s="32">
        <v>40</v>
      </c>
      <c r="P199" s="6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61.2</v>
      </c>
      <c r="Y199" s="542">
        <f t="shared" si="10"/>
        <v>61.2</v>
      </c>
      <c r="Z199" s="36">
        <f>IFERROR(IF(Y199=0,"",ROUNDUP(Y199/H199,0)*0.00502),"")</f>
        <v>0.17068</v>
      </c>
      <c r="AA199" s="56"/>
      <c r="AB199" s="57"/>
      <c r="AC199" s="235" t="s">
        <v>307</v>
      </c>
      <c r="AG199" s="64"/>
      <c r="AJ199" s="68" t="s">
        <v>195</v>
      </c>
      <c r="AK199" s="68">
        <v>32.4</v>
      </c>
      <c r="BB199" s="236" t="s">
        <v>1</v>
      </c>
      <c r="BM199" s="64">
        <f t="shared" si="11"/>
        <v>65.62</v>
      </c>
      <c r="BN199" s="64">
        <f t="shared" si="12"/>
        <v>65.62</v>
      </c>
      <c r="BO199" s="64">
        <f t="shared" si="13"/>
        <v>0.14529914529914531</v>
      </c>
      <c r="BP199" s="64">
        <f t="shared" si="14"/>
        <v>0.14529914529914531</v>
      </c>
    </row>
    <row r="200" spans="1:68" ht="27" customHeight="1" x14ac:dyDescent="0.25">
      <c r="A200" s="54" t="s">
        <v>320</v>
      </c>
      <c r="B200" s="54" t="s">
        <v>321</v>
      </c>
      <c r="C200" s="31">
        <v>4301031222</v>
      </c>
      <c r="D200" s="556">
        <v>4680115884007</v>
      </c>
      <c r="E200" s="557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5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310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322</v>
      </c>
      <c r="B201" s="54" t="s">
        <v>323</v>
      </c>
      <c r="C201" s="31">
        <v>4301031229</v>
      </c>
      <c r="D201" s="556">
        <v>4680115884038</v>
      </c>
      <c r="E201" s="557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90</v>
      </c>
      <c r="Y201" s="542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313</v>
      </c>
      <c r="AG201" s="64"/>
      <c r="AJ201" s="68"/>
      <c r="AK201" s="68">
        <v>0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324</v>
      </c>
      <c r="B202" s="54" t="s">
        <v>325</v>
      </c>
      <c r="C202" s="31">
        <v>4301031225</v>
      </c>
      <c r="D202" s="556">
        <v>4680115884021</v>
      </c>
      <c r="E202" s="557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316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8"/>
      <c r="B203" s="546"/>
      <c r="C203" s="546"/>
      <c r="D203" s="546"/>
      <c r="E203" s="546"/>
      <c r="F203" s="546"/>
      <c r="G203" s="546"/>
      <c r="H203" s="546"/>
      <c r="I203" s="546"/>
      <c r="J203" s="546"/>
      <c r="K203" s="546"/>
      <c r="L203" s="546"/>
      <c r="M203" s="546"/>
      <c r="N203" s="546"/>
      <c r="O203" s="559"/>
      <c r="P203" s="550" t="s">
        <v>71</v>
      </c>
      <c r="Q203" s="551"/>
      <c r="R203" s="551"/>
      <c r="S203" s="551"/>
      <c r="T203" s="551"/>
      <c r="U203" s="551"/>
      <c r="V203" s="552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84</v>
      </c>
      <c r="Y203" s="543">
        <f>IFERROR(Y195/H195,"0")+IFERROR(Y196/H196,"0")+IFERROR(Y197/H197,"0")+IFERROR(Y198/H198,"0")+IFERROR(Y199/H199,"0")+IFERROR(Y200/H200,"0")+IFERROR(Y201/H201,"0")+IFERROR(Y202/H202,"0")</f>
        <v>84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0.42168</v>
      </c>
      <c r="AA203" s="544"/>
      <c r="AB203" s="544"/>
      <c r="AC203" s="544"/>
    </row>
    <row r="204" spans="1:68" x14ac:dyDescent="0.2">
      <c r="A204" s="546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9"/>
      <c r="P204" s="550" t="s">
        <v>71</v>
      </c>
      <c r="Q204" s="551"/>
      <c r="R204" s="551"/>
      <c r="S204" s="551"/>
      <c r="T204" s="551"/>
      <c r="U204" s="551"/>
      <c r="V204" s="552"/>
      <c r="W204" s="37" t="s">
        <v>69</v>
      </c>
      <c r="X204" s="543">
        <f>IFERROR(SUM(X195:X202),"0")</f>
        <v>151.19999999999999</v>
      </c>
      <c r="Y204" s="543">
        <f>IFERROR(SUM(Y195:Y202),"0")</f>
        <v>151.19999999999999</v>
      </c>
      <c r="Z204" s="37"/>
      <c r="AA204" s="544"/>
      <c r="AB204" s="544"/>
      <c r="AC204" s="544"/>
    </row>
    <row r="205" spans="1:68" ht="14.25" customHeight="1" x14ac:dyDescent="0.25">
      <c r="A205" s="553" t="s">
        <v>73</v>
      </c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46"/>
      <c r="P205" s="546"/>
      <c r="Q205" s="546"/>
      <c r="R205" s="546"/>
      <c r="S205" s="546"/>
      <c r="T205" s="546"/>
      <c r="U205" s="546"/>
      <c r="V205" s="546"/>
      <c r="W205" s="546"/>
      <c r="X205" s="546"/>
      <c r="Y205" s="546"/>
      <c r="Z205" s="546"/>
      <c r="AA205" s="537"/>
      <c r="AB205" s="537"/>
      <c r="AC205" s="537"/>
    </row>
    <row r="206" spans="1:68" ht="27" customHeight="1" x14ac:dyDescent="0.25">
      <c r="A206" s="54" t="s">
        <v>326</v>
      </c>
      <c r="B206" s="54" t="s">
        <v>327</v>
      </c>
      <c r="C206" s="31">
        <v>4301051408</v>
      </c>
      <c r="D206" s="556">
        <v>4680115881594</v>
      </c>
      <c r="E206" s="557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328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329</v>
      </c>
      <c r="B207" s="54" t="s">
        <v>330</v>
      </c>
      <c r="C207" s="31">
        <v>4301051411</v>
      </c>
      <c r="D207" s="556">
        <v>4680115881617</v>
      </c>
      <c r="E207" s="557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331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332</v>
      </c>
      <c r="B208" s="54" t="s">
        <v>333</v>
      </c>
      <c r="C208" s="31">
        <v>4301051656</v>
      </c>
      <c r="D208" s="556">
        <v>4680115880573</v>
      </c>
      <c r="E208" s="557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7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334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335</v>
      </c>
      <c r="B209" s="54" t="s">
        <v>336</v>
      </c>
      <c r="C209" s="31">
        <v>4301051407</v>
      </c>
      <c r="D209" s="556">
        <v>4680115882195</v>
      </c>
      <c r="E209" s="557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212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400.8</v>
      </c>
      <c r="Y209" s="542">
        <f t="shared" si="15"/>
        <v>400.8</v>
      </c>
      <c r="Z209" s="36">
        <f t="shared" ref="Z209:Z214" si="20">IFERROR(IF(Y209=0,"",ROUNDUP(Y209/H209,0)*0.00651),"")</f>
        <v>1.08717</v>
      </c>
      <c r="AA209" s="56"/>
      <c r="AB209" s="57"/>
      <c r="AC209" s="249" t="s">
        <v>328</v>
      </c>
      <c r="AG209" s="64"/>
      <c r="AJ209" s="68" t="s">
        <v>195</v>
      </c>
      <c r="AK209" s="68">
        <v>33.6</v>
      </c>
      <c r="BB209" s="250" t="s">
        <v>1</v>
      </c>
      <c r="BM209" s="64">
        <f t="shared" si="16"/>
        <v>445.89</v>
      </c>
      <c r="BN209" s="64">
        <f t="shared" si="17"/>
        <v>445.89</v>
      </c>
      <c r="BO209" s="64">
        <f t="shared" si="18"/>
        <v>0.91758241758241765</v>
      </c>
      <c r="BP209" s="64">
        <f t="shared" si="19"/>
        <v>0.91758241758241765</v>
      </c>
    </row>
    <row r="210" spans="1:68" ht="27" customHeight="1" x14ac:dyDescent="0.25">
      <c r="A210" s="54" t="s">
        <v>337</v>
      </c>
      <c r="B210" s="54" t="s">
        <v>338</v>
      </c>
      <c r="C210" s="31">
        <v>4301051752</v>
      </c>
      <c r="D210" s="556">
        <v>4680115882607</v>
      </c>
      <c r="E210" s="557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6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334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339</v>
      </c>
      <c r="B211" s="54" t="s">
        <v>340</v>
      </c>
      <c r="C211" s="31">
        <v>4301051666</v>
      </c>
      <c r="D211" s="556">
        <v>4680115880092</v>
      </c>
      <c r="E211" s="557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212</v>
      </c>
      <c r="M211" s="33" t="s">
        <v>77</v>
      </c>
      <c r="N211" s="33"/>
      <c r="O211" s="32">
        <v>45</v>
      </c>
      <c r="P211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201.6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334</v>
      </c>
      <c r="AG211" s="64"/>
      <c r="AJ211" s="68" t="s">
        <v>195</v>
      </c>
      <c r="AK211" s="68">
        <v>33.6</v>
      </c>
      <c r="BB211" s="254" t="s">
        <v>1</v>
      </c>
      <c r="BM211" s="64">
        <f t="shared" si="16"/>
        <v>222.768</v>
      </c>
      <c r="BN211" s="64">
        <f t="shared" si="17"/>
        <v>222.768</v>
      </c>
      <c r="BO211" s="64">
        <f t="shared" si="18"/>
        <v>0.46153846153846156</v>
      </c>
      <c r="BP211" s="64">
        <f t="shared" si="19"/>
        <v>0.46153846153846156</v>
      </c>
    </row>
    <row r="212" spans="1:68" ht="27" customHeight="1" x14ac:dyDescent="0.25">
      <c r="A212" s="54" t="s">
        <v>341</v>
      </c>
      <c r="B212" s="54" t="s">
        <v>342</v>
      </c>
      <c r="C212" s="31">
        <v>4301051668</v>
      </c>
      <c r="D212" s="556">
        <v>4680115880221</v>
      </c>
      <c r="E212" s="557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6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334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343</v>
      </c>
      <c r="B213" s="54" t="s">
        <v>344</v>
      </c>
      <c r="C213" s="31">
        <v>4301051945</v>
      </c>
      <c r="D213" s="556">
        <v>4680115880504</v>
      </c>
      <c r="E213" s="557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84</v>
      </c>
      <c r="N213" s="33"/>
      <c r="O213" s="32">
        <v>40</v>
      </c>
      <c r="P213" s="8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345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346</v>
      </c>
      <c r="B214" s="54" t="s">
        <v>347</v>
      </c>
      <c r="C214" s="31">
        <v>4301051410</v>
      </c>
      <c r="D214" s="556">
        <v>4680115882164</v>
      </c>
      <c r="E214" s="557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/>
      <c r="M214" s="33" t="s">
        <v>77</v>
      </c>
      <c r="N214" s="33"/>
      <c r="O214" s="32">
        <v>40</v>
      </c>
      <c r="P214" s="64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331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8"/>
      <c r="B215" s="546"/>
      <c r="C215" s="546"/>
      <c r="D215" s="546"/>
      <c r="E215" s="546"/>
      <c r="F215" s="546"/>
      <c r="G215" s="546"/>
      <c r="H215" s="546"/>
      <c r="I215" s="546"/>
      <c r="J215" s="546"/>
      <c r="K215" s="546"/>
      <c r="L215" s="546"/>
      <c r="M215" s="546"/>
      <c r="N215" s="546"/>
      <c r="O215" s="559"/>
      <c r="P215" s="550" t="s">
        <v>71</v>
      </c>
      <c r="Q215" s="551"/>
      <c r="R215" s="551"/>
      <c r="S215" s="551"/>
      <c r="T215" s="551"/>
      <c r="U215" s="551"/>
      <c r="V215" s="552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251</v>
      </c>
      <c r="Y215" s="543">
        <f>IFERROR(Y206/H206,"0")+IFERROR(Y207/H207,"0")+IFERROR(Y208/H208,"0")+IFERROR(Y209/H209,"0")+IFERROR(Y210/H210,"0")+IFERROR(Y211/H211,"0")+IFERROR(Y212/H212,"0")+IFERROR(Y213/H213,"0")+IFERROR(Y214/H214,"0")</f>
        <v>251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1.63401</v>
      </c>
      <c r="AA215" s="544"/>
      <c r="AB215" s="544"/>
      <c r="AC215" s="544"/>
    </row>
    <row r="216" spans="1:68" x14ac:dyDescent="0.2">
      <c r="A216" s="546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9"/>
      <c r="P216" s="550" t="s">
        <v>71</v>
      </c>
      <c r="Q216" s="551"/>
      <c r="R216" s="551"/>
      <c r="S216" s="551"/>
      <c r="T216" s="551"/>
      <c r="U216" s="551"/>
      <c r="V216" s="552"/>
      <c r="W216" s="37" t="s">
        <v>69</v>
      </c>
      <c r="X216" s="543">
        <f>IFERROR(SUM(X206:X214),"0")</f>
        <v>602.4</v>
      </c>
      <c r="Y216" s="543">
        <f>IFERROR(SUM(Y206:Y214),"0")</f>
        <v>602.4</v>
      </c>
      <c r="Z216" s="37"/>
      <c r="AA216" s="544"/>
      <c r="AB216" s="544"/>
      <c r="AC216" s="544"/>
    </row>
    <row r="217" spans="1:68" ht="14.25" customHeight="1" x14ac:dyDescent="0.25">
      <c r="A217" s="553" t="s">
        <v>160</v>
      </c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6"/>
      <c r="P217" s="546"/>
      <c r="Q217" s="546"/>
      <c r="R217" s="546"/>
      <c r="S217" s="546"/>
      <c r="T217" s="546"/>
      <c r="U217" s="546"/>
      <c r="V217" s="546"/>
      <c r="W217" s="546"/>
      <c r="X217" s="546"/>
      <c r="Y217" s="546"/>
      <c r="Z217" s="546"/>
      <c r="AA217" s="537"/>
      <c r="AB217" s="537"/>
      <c r="AC217" s="537"/>
    </row>
    <row r="218" spans="1:68" ht="27" customHeight="1" x14ac:dyDescent="0.25">
      <c r="A218" s="54" t="s">
        <v>348</v>
      </c>
      <c r="B218" s="54" t="s">
        <v>349</v>
      </c>
      <c r="C218" s="31">
        <v>4301060463</v>
      </c>
      <c r="D218" s="556">
        <v>4680115880818</v>
      </c>
      <c r="E218" s="557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5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350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351</v>
      </c>
      <c r="B219" s="54" t="s">
        <v>352</v>
      </c>
      <c r="C219" s="31">
        <v>4301060389</v>
      </c>
      <c r="D219" s="556">
        <v>4680115880801</v>
      </c>
      <c r="E219" s="557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353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8"/>
      <c r="B220" s="546"/>
      <c r="C220" s="546"/>
      <c r="D220" s="546"/>
      <c r="E220" s="546"/>
      <c r="F220" s="546"/>
      <c r="G220" s="546"/>
      <c r="H220" s="546"/>
      <c r="I220" s="546"/>
      <c r="J220" s="546"/>
      <c r="K220" s="546"/>
      <c r="L220" s="546"/>
      <c r="M220" s="546"/>
      <c r="N220" s="546"/>
      <c r="O220" s="559"/>
      <c r="P220" s="550" t="s">
        <v>71</v>
      </c>
      <c r="Q220" s="551"/>
      <c r="R220" s="551"/>
      <c r="S220" s="551"/>
      <c r="T220" s="551"/>
      <c r="U220" s="551"/>
      <c r="V220" s="552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46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9"/>
      <c r="P221" s="550" t="s">
        <v>71</v>
      </c>
      <c r="Q221" s="551"/>
      <c r="R221" s="551"/>
      <c r="S221" s="551"/>
      <c r="T221" s="551"/>
      <c r="U221" s="551"/>
      <c r="V221" s="552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45" t="s">
        <v>354</v>
      </c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46"/>
      <c r="P222" s="546"/>
      <c r="Q222" s="546"/>
      <c r="R222" s="546"/>
      <c r="S222" s="546"/>
      <c r="T222" s="546"/>
      <c r="U222" s="546"/>
      <c r="V222" s="546"/>
      <c r="W222" s="546"/>
      <c r="X222" s="546"/>
      <c r="Y222" s="546"/>
      <c r="Z222" s="546"/>
      <c r="AA222" s="536"/>
      <c r="AB222" s="536"/>
      <c r="AC222" s="536"/>
    </row>
    <row r="223" spans="1:68" ht="14.25" customHeight="1" x14ac:dyDescent="0.25">
      <c r="A223" s="553" t="s">
        <v>99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7"/>
      <c r="AB223" s="537"/>
      <c r="AC223" s="537"/>
    </row>
    <row r="224" spans="1:68" ht="27" customHeight="1" x14ac:dyDescent="0.25">
      <c r="A224" s="54" t="s">
        <v>355</v>
      </c>
      <c r="B224" s="54" t="s">
        <v>356</v>
      </c>
      <c r="C224" s="31">
        <v>4301011826</v>
      </c>
      <c r="D224" s="556">
        <v>4680115884137</v>
      </c>
      <c r="E224" s="557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103</v>
      </c>
      <c r="N224" s="33"/>
      <c r="O224" s="32">
        <v>55</v>
      </c>
      <c r="P224" s="75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357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358</v>
      </c>
      <c r="B225" s="54" t="s">
        <v>359</v>
      </c>
      <c r="C225" s="31">
        <v>4301011724</v>
      </c>
      <c r="D225" s="556">
        <v>4680115884236</v>
      </c>
      <c r="E225" s="557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6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360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361</v>
      </c>
      <c r="B226" s="54" t="s">
        <v>362</v>
      </c>
      <c r="C226" s="31">
        <v>4301011721</v>
      </c>
      <c r="D226" s="556">
        <v>4680115884175</v>
      </c>
      <c r="E226" s="557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6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363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364</v>
      </c>
      <c r="B227" s="54" t="s">
        <v>365</v>
      </c>
      <c r="C227" s="31">
        <v>4301011824</v>
      </c>
      <c r="D227" s="556">
        <v>4680115884144</v>
      </c>
      <c r="E227" s="557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107</v>
      </c>
      <c r="L227" s="32"/>
      <c r="M227" s="33" t="s">
        <v>103</v>
      </c>
      <c r="N227" s="33"/>
      <c r="O227" s="32">
        <v>55</v>
      </c>
      <c r="P227" s="67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364</v>
      </c>
      <c r="B228" s="54" t="s">
        <v>366</v>
      </c>
      <c r="C228" s="31">
        <v>4301012196</v>
      </c>
      <c r="D228" s="556">
        <v>4680115884144</v>
      </c>
      <c r="E228" s="557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58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357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367</v>
      </c>
      <c r="B229" s="54" t="s">
        <v>368</v>
      </c>
      <c r="C229" s="31">
        <v>4301012149</v>
      </c>
      <c r="D229" s="556">
        <v>4680115886551</v>
      </c>
      <c r="E229" s="557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369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370</v>
      </c>
      <c r="B230" s="54" t="s">
        <v>371</v>
      </c>
      <c r="C230" s="31">
        <v>4301011726</v>
      </c>
      <c r="D230" s="556">
        <v>4680115884182</v>
      </c>
      <c r="E230" s="557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81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360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372</v>
      </c>
      <c r="B231" s="54" t="s">
        <v>373</v>
      </c>
      <c r="C231" s="31">
        <v>4301012228</v>
      </c>
      <c r="D231" s="556">
        <v>4680115887282</v>
      </c>
      <c r="E231" s="557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103</v>
      </c>
      <c r="N231" s="33"/>
      <c r="O231" s="32">
        <v>55</v>
      </c>
      <c r="P231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360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374</v>
      </c>
      <c r="B232" s="54" t="s">
        <v>375</v>
      </c>
      <c r="C232" s="31">
        <v>4301011722</v>
      </c>
      <c r="D232" s="556">
        <v>4680115884205</v>
      </c>
      <c r="E232" s="557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107</v>
      </c>
      <c r="L232" s="32"/>
      <c r="M232" s="33" t="s">
        <v>103</v>
      </c>
      <c r="N232" s="33"/>
      <c r="O232" s="32">
        <v>55</v>
      </c>
      <c r="P232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363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374</v>
      </c>
      <c r="B233" s="54" t="s">
        <v>376</v>
      </c>
      <c r="C233" s="31">
        <v>4301012195</v>
      </c>
      <c r="D233" s="556">
        <v>4680115884205</v>
      </c>
      <c r="E233" s="557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8"/>
      <c r="B234" s="546"/>
      <c r="C234" s="546"/>
      <c r="D234" s="546"/>
      <c r="E234" s="546"/>
      <c r="F234" s="546"/>
      <c r="G234" s="546"/>
      <c r="H234" s="546"/>
      <c r="I234" s="546"/>
      <c r="J234" s="546"/>
      <c r="K234" s="546"/>
      <c r="L234" s="546"/>
      <c r="M234" s="546"/>
      <c r="N234" s="546"/>
      <c r="O234" s="559"/>
      <c r="P234" s="550" t="s">
        <v>71</v>
      </c>
      <c r="Q234" s="551"/>
      <c r="R234" s="551"/>
      <c r="S234" s="551"/>
      <c r="T234" s="551"/>
      <c r="U234" s="551"/>
      <c r="V234" s="552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46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9"/>
      <c r="P235" s="550" t="s">
        <v>71</v>
      </c>
      <c r="Q235" s="551"/>
      <c r="R235" s="551"/>
      <c r="S235" s="551"/>
      <c r="T235" s="551"/>
      <c r="U235" s="551"/>
      <c r="V235" s="552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3" t="s">
        <v>132</v>
      </c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46"/>
      <c r="P236" s="546"/>
      <c r="Q236" s="546"/>
      <c r="R236" s="546"/>
      <c r="S236" s="546"/>
      <c r="T236" s="546"/>
      <c r="U236" s="546"/>
      <c r="V236" s="546"/>
      <c r="W236" s="546"/>
      <c r="X236" s="546"/>
      <c r="Y236" s="546"/>
      <c r="Z236" s="546"/>
      <c r="AA236" s="537"/>
      <c r="AB236" s="537"/>
      <c r="AC236" s="537"/>
    </row>
    <row r="237" spans="1:68" ht="27" customHeight="1" x14ac:dyDescent="0.25">
      <c r="A237" s="54" t="s">
        <v>377</v>
      </c>
      <c r="B237" s="54" t="s">
        <v>378</v>
      </c>
      <c r="C237" s="31">
        <v>4301020377</v>
      </c>
      <c r="D237" s="556">
        <v>4680115885981</v>
      </c>
      <c r="E237" s="557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33.659999999999997</v>
      </c>
      <c r="Y237" s="542">
        <f>IFERROR(IF(X237="",0,CEILING((X237/$H237),1)*$H237),"")</f>
        <v>33.659999999999997</v>
      </c>
      <c r="Z237" s="36">
        <f>IFERROR(IF(Y237=0,"",ROUNDUP(Y237/H237,0)*0.00502),"")</f>
        <v>8.5339999999999999E-2</v>
      </c>
      <c r="AA237" s="56"/>
      <c r="AB237" s="57"/>
      <c r="AC237" s="285" t="s">
        <v>379</v>
      </c>
      <c r="AG237" s="64"/>
      <c r="AJ237" s="68"/>
      <c r="AK237" s="68">
        <v>0</v>
      </c>
      <c r="BB237" s="286" t="s">
        <v>1</v>
      </c>
      <c r="BM237" s="64">
        <f>IFERROR(X237*I237/H237,"0")</f>
        <v>35.36</v>
      </c>
      <c r="BN237" s="64">
        <f>IFERROR(Y237*I237/H237,"0")</f>
        <v>35.36</v>
      </c>
      <c r="BO237" s="64">
        <f>IFERROR(1/J237*(X237/H237),"0")</f>
        <v>7.2649572649572655E-2</v>
      </c>
      <c r="BP237" s="64">
        <f>IFERROR(1/J237*(Y237/H237),"0")</f>
        <v>7.2649572649572655E-2</v>
      </c>
    </row>
    <row r="238" spans="1:68" x14ac:dyDescent="0.2">
      <c r="A238" s="558"/>
      <c r="B238" s="546"/>
      <c r="C238" s="546"/>
      <c r="D238" s="546"/>
      <c r="E238" s="546"/>
      <c r="F238" s="546"/>
      <c r="G238" s="546"/>
      <c r="H238" s="546"/>
      <c r="I238" s="546"/>
      <c r="J238" s="546"/>
      <c r="K238" s="546"/>
      <c r="L238" s="546"/>
      <c r="M238" s="546"/>
      <c r="N238" s="546"/>
      <c r="O238" s="559"/>
      <c r="P238" s="550" t="s">
        <v>71</v>
      </c>
      <c r="Q238" s="551"/>
      <c r="R238" s="551"/>
      <c r="S238" s="551"/>
      <c r="T238" s="551"/>
      <c r="U238" s="551"/>
      <c r="V238" s="552"/>
      <c r="W238" s="37" t="s">
        <v>72</v>
      </c>
      <c r="X238" s="543">
        <f>IFERROR(X237/H237,"0")</f>
        <v>17</v>
      </c>
      <c r="Y238" s="543">
        <f>IFERROR(Y237/H237,"0")</f>
        <v>17</v>
      </c>
      <c r="Z238" s="543">
        <f>IFERROR(IF(Z237="",0,Z237),"0")</f>
        <v>8.5339999999999999E-2</v>
      </c>
      <c r="AA238" s="544"/>
      <c r="AB238" s="544"/>
      <c r="AC238" s="544"/>
    </row>
    <row r="239" spans="1:68" x14ac:dyDescent="0.2">
      <c r="A239" s="546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9"/>
      <c r="P239" s="550" t="s">
        <v>71</v>
      </c>
      <c r="Q239" s="551"/>
      <c r="R239" s="551"/>
      <c r="S239" s="551"/>
      <c r="T239" s="551"/>
      <c r="U239" s="551"/>
      <c r="V239" s="552"/>
      <c r="W239" s="37" t="s">
        <v>69</v>
      </c>
      <c r="X239" s="543">
        <f>IFERROR(SUM(X237:X237),"0")</f>
        <v>33.659999999999997</v>
      </c>
      <c r="Y239" s="543">
        <f>IFERROR(SUM(Y237:Y237),"0")</f>
        <v>33.659999999999997</v>
      </c>
      <c r="Z239" s="37"/>
      <c r="AA239" s="544"/>
      <c r="AB239" s="544"/>
      <c r="AC239" s="544"/>
    </row>
    <row r="240" spans="1:68" ht="14.25" customHeight="1" x14ac:dyDescent="0.25">
      <c r="A240" s="553" t="s">
        <v>380</v>
      </c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46"/>
      <c r="P240" s="546"/>
      <c r="Q240" s="546"/>
      <c r="R240" s="546"/>
      <c r="S240" s="546"/>
      <c r="T240" s="546"/>
      <c r="U240" s="546"/>
      <c r="V240" s="546"/>
      <c r="W240" s="546"/>
      <c r="X240" s="546"/>
      <c r="Y240" s="546"/>
      <c r="Z240" s="546"/>
      <c r="AA240" s="537"/>
      <c r="AB240" s="537"/>
      <c r="AC240" s="537"/>
    </row>
    <row r="241" spans="1:68" ht="27" customHeight="1" x14ac:dyDescent="0.25">
      <c r="A241" s="54" t="s">
        <v>381</v>
      </c>
      <c r="B241" s="54" t="s">
        <v>382</v>
      </c>
      <c r="C241" s="31">
        <v>4301040362</v>
      </c>
      <c r="D241" s="556">
        <v>4680115886803</v>
      </c>
      <c r="E241" s="557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283</v>
      </c>
      <c r="L241" s="32"/>
      <c r="M241" s="33" t="s">
        <v>284</v>
      </c>
      <c r="N241" s="33"/>
      <c r="O241" s="32">
        <v>45</v>
      </c>
      <c r="P241" s="6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383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8"/>
      <c r="B242" s="546"/>
      <c r="C242" s="546"/>
      <c r="D242" s="546"/>
      <c r="E242" s="546"/>
      <c r="F242" s="546"/>
      <c r="G242" s="546"/>
      <c r="H242" s="546"/>
      <c r="I242" s="546"/>
      <c r="J242" s="546"/>
      <c r="K242" s="546"/>
      <c r="L242" s="546"/>
      <c r="M242" s="546"/>
      <c r="N242" s="546"/>
      <c r="O242" s="559"/>
      <c r="P242" s="550" t="s">
        <v>71</v>
      </c>
      <c r="Q242" s="551"/>
      <c r="R242" s="551"/>
      <c r="S242" s="551"/>
      <c r="T242" s="551"/>
      <c r="U242" s="551"/>
      <c r="V242" s="552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46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9"/>
      <c r="P243" s="550" t="s">
        <v>71</v>
      </c>
      <c r="Q243" s="551"/>
      <c r="R243" s="551"/>
      <c r="S243" s="551"/>
      <c r="T243" s="551"/>
      <c r="U243" s="551"/>
      <c r="V243" s="552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3" t="s">
        <v>384</v>
      </c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6"/>
      <c r="P244" s="546"/>
      <c r="Q244" s="546"/>
      <c r="R244" s="546"/>
      <c r="S244" s="546"/>
      <c r="T244" s="546"/>
      <c r="U244" s="546"/>
      <c r="V244" s="546"/>
      <c r="W244" s="546"/>
      <c r="X244" s="546"/>
      <c r="Y244" s="546"/>
      <c r="Z244" s="546"/>
      <c r="AA244" s="537"/>
      <c r="AB244" s="537"/>
      <c r="AC244" s="537"/>
    </row>
    <row r="245" spans="1:68" ht="27" customHeight="1" x14ac:dyDescent="0.25">
      <c r="A245" s="54" t="s">
        <v>385</v>
      </c>
      <c r="B245" s="54" t="s">
        <v>386</v>
      </c>
      <c r="C245" s="31">
        <v>4301041004</v>
      </c>
      <c r="D245" s="556">
        <v>4680115886704</v>
      </c>
      <c r="E245" s="557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283</v>
      </c>
      <c r="L245" s="32"/>
      <c r="M245" s="33" t="s">
        <v>284</v>
      </c>
      <c r="N245" s="33"/>
      <c r="O245" s="32">
        <v>90</v>
      </c>
      <c r="P245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387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388</v>
      </c>
      <c r="B246" s="54" t="s">
        <v>389</v>
      </c>
      <c r="C246" s="31">
        <v>4301041008</v>
      </c>
      <c r="D246" s="556">
        <v>4680115886681</v>
      </c>
      <c r="E246" s="557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283</v>
      </c>
      <c r="L246" s="32"/>
      <c r="M246" s="33" t="s">
        <v>284</v>
      </c>
      <c r="N246" s="33"/>
      <c r="O246" s="32">
        <v>90</v>
      </c>
      <c r="P246" s="7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387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390</v>
      </c>
      <c r="B247" s="54" t="s">
        <v>391</v>
      </c>
      <c r="C247" s="31">
        <v>4301041007</v>
      </c>
      <c r="D247" s="556">
        <v>4680115886735</v>
      </c>
      <c r="E247" s="557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283</v>
      </c>
      <c r="L247" s="32"/>
      <c r="M247" s="33" t="s">
        <v>284</v>
      </c>
      <c r="N247" s="33"/>
      <c r="O247" s="32">
        <v>90</v>
      </c>
      <c r="P247" s="63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387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392</v>
      </c>
      <c r="B248" s="54" t="s">
        <v>393</v>
      </c>
      <c r="C248" s="31">
        <v>4301041006</v>
      </c>
      <c r="D248" s="556">
        <v>4680115886728</v>
      </c>
      <c r="E248" s="557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283</v>
      </c>
      <c r="L248" s="32"/>
      <c r="M248" s="33" t="s">
        <v>284</v>
      </c>
      <c r="N248" s="33"/>
      <c r="O248" s="32">
        <v>90</v>
      </c>
      <c r="P248" s="7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387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394</v>
      </c>
      <c r="B249" s="54" t="s">
        <v>395</v>
      </c>
      <c r="C249" s="31">
        <v>4301041005</v>
      </c>
      <c r="D249" s="556">
        <v>4680115886711</v>
      </c>
      <c r="E249" s="557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283</v>
      </c>
      <c r="L249" s="32"/>
      <c r="M249" s="33" t="s">
        <v>284</v>
      </c>
      <c r="N249" s="33"/>
      <c r="O249" s="32">
        <v>90</v>
      </c>
      <c r="P249" s="8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387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8"/>
      <c r="B250" s="546"/>
      <c r="C250" s="546"/>
      <c r="D250" s="546"/>
      <c r="E250" s="546"/>
      <c r="F250" s="546"/>
      <c r="G250" s="546"/>
      <c r="H250" s="546"/>
      <c r="I250" s="546"/>
      <c r="J250" s="546"/>
      <c r="K250" s="546"/>
      <c r="L250" s="546"/>
      <c r="M250" s="546"/>
      <c r="N250" s="546"/>
      <c r="O250" s="559"/>
      <c r="P250" s="550" t="s">
        <v>71</v>
      </c>
      <c r="Q250" s="551"/>
      <c r="R250" s="551"/>
      <c r="S250" s="551"/>
      <c r="T250" s="551"/>
      <c r="U250" s="551"/>
      <c r="V250" s="552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46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9"/>
      <c r="P251" s="550" t="s">
        <v>71</v>
      </c>
      <c r="Q251" s="551"/>
      <c r="R251" s="551"/>
      <c r="S251" s="551"/>
      <c r="T251" s="551"/>
      <c r="U251" s="551"/>
      <c r="V251" s="552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45" t="s">
        <v>396</v>
      </c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46"/>
      <c r="P252" s="546"/>
      <c r="Q252" s="546"/>
      <c r="R252" s="546"/>
      <c r="S252" s="546"/>
      <c r="T252" s="546"/>
      <c r="U252" s="546"/>
      <c r="V252" s="546"/>
      <c r="W252" s="546"/>
      <c r="X252" s="546"/>
      <c r="Y252" s="546"/>
      <c r="Z252" s="546"/>
      <c r="AA252" s="536"/>
      <c r="AB252" s="536"/>
      <c r="AC252" s="536"/>
    </row>
    <row r="253" spans="1:68" ht="14.25" customHeight="1" x14ac:dyDescent="0.25">
      <c r="A253" s="553" t="s">
        <v>99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7"/>
      <c r="AB253" s="537"/>
      <c r="AC253" s="537"/>
    </row>
    <row r="254" spans="1:68" ht="27" customHeight="1" x14ac:dyDescent="0.25">
      <c r="A254" s="54" t="s">
        <v>397</v>
      </c>
      <c r="B254" s="54" t="s">
        <v>398</v>
      </c>
      <c r="C254" s="31">
        <v>4301011855</v>
      </c>
      <c r="D254" s="556">
        <v>4680115885837</v>
      </c>
      <c r="E254" s="557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103</v>
      </c>
      <c r="N254" s="33"/>
      <c r="O254" s="32">
        <v>55</v>
      </c>
      <c r="P254" s="6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399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400</v>
      </c>
      <c r="B255" s="54" t="s">
        <v>401</v>
      </c>
      <c r="C255" s="31">
        <v>4301011853</v>
      </c>
      <c r="D255" s="556">
        <v>4680115885851</v>
      </c>
      <c r="E255" s="557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80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402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403</v>
      </c>
      <c r="B256" s="54" t="s">
        <v>404</v>
      </c>
      <c r="C256" s="31">
        <v>4301011850</v>
      </c>
      <c r="D256" s="556">
        <v>4680115885806</v>
      </c>
      <c r="E256" s="557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6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405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406</v>
      </c>
      <c r="B257" s="54" t="s">
        <v>407</v>
      </c>
      <c r="C257" s="31">
        <v>4301011852</v>
      </c>
      <c r="D257" s="556">
        <v>4680115885844</v>
      </c>
      <c r="E257" s="557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107</v>
      </c>
      <c r="L257" s="32"/>
      <c r="M257" s="33" t="s">
        <v>103</v>
      </c>
      <c r="N257" s="33"/>
      <c r="O257" s="32">
        <v>55</v>
      </c>
      <c r="P257" s="6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408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409</v>
      </c>
      <c r="B258" s="54" t="s">
        <v>410</v>
      </c>
      <c r="C258" s="31">
        <v>4301011851</v>
      </c>
      <c r="D258" s="556">
        <v>4680115885820</v>
      </c>
      <c r="E258" s="557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80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411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8"/>
      <c r="B259" s="546"/>
      <c r="C259" s="546"/>
      <c r="D259" s="546"/>
      <c r="E259" s="546"/>
      <c r="F259" s="546"/>
      <c r="G259" s="546"/>
      <c r="H259" s="546"/>
      <c r="I259" s="546"/>
      <c r="J259" s="546"/>
      <c r="K259" s="546"/>
      <c r="L259" s="546"/>
      <c r="M259" s="546"/>
      <c r="N259" s="546"/>
      <c r="O259" s="559"/>
      <c r="P259" s="550" t="s">
        <v>71</v>
      </c>
      <c r="Q259" s="551"/>
      <c r="R259" s="551"/>
      <c r="S259" s="551"/>
      <c r="T259" s="551"/>
      <c r="U259" s="551"/>
      <c r="V259" s="552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46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9"/>
      <c r="P260" s="550" t="s">
        <v>71</v>
      </c>
      <c r="Q260" s="551"/>
      <c r="R260" s="551"/>
      <c r="S260" s="551"/>
      <c r="T260" s="551"/>
      <c r="U260" s="551"/>
      <c r="V260" s="552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45" t="s">
        <v>412</v>
      </c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6"/>
      <c r="P261" s="546"/>
      <c r="Q261" s="546"/>
      <c r="R261" s="546"/>
      <c r="S261" s="546"/>
      <c r="T261" s="546"/>
      <c r="U261" s="546"/>
      <c r="V261" s="546"/>
      <c r="W261" s="546"/>
      <c r="X261" s="546"/>
      <c r="Y261" s="546"/>
      <c r="Z261" s="546"/>
      <c r="AA261" s="536"/>
      <c r="AB261" s="536"/>
      <c r="AC261" s="536"/>
    </row>
    <row r="262" spans="1:68" ht="14.25" customHeight="1" x14ac:dyDescent="0.25">
      <c r="A262" s="553" t="s">
        <v>99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7"/>
      <c r="AB262" s="537"/>
      <c r="AC262" s="537"/>
    </row>
    <row r="263" spans="1:68" ht="27" customHeight="1" x14ac:dyDescent="0.25">
      <c r="A263" s="54" t="s">
        <v>413</v>
      </c>
      <c r="B263" s="54" t="s">
        <v>414</v>
      </c>
      <c r="C263" s="31">
        <v>4301011223</v>
      </c>
      <c r="D263" s="556">
        <v>4607091383423</v>
      </c>
      <c r="E263" s="557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415</v>
      </c>
      <c r="B264" s="54" t="s">
        <v>416</v>
      </c>
      <c r="C264" s="31">
        <v>4301012199</v>
      </c>
      <c r="D264" s="556">
        <v>4680115886957</v>
      </c>
      <c r="E264" s="557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418</v>
      </c>
      <c r="B265" s="54" t="s">
        <v>419</v>
      </c>
      <c r="C265" s="31">
        <v>4301012098</v>
      </c>
      <c r="D265" s="556">
        <v>4680115885660</v>
      </c>
      <c r="E265" s="557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363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420</v>
      </c>
      <c r="B266" s="54" t="s">
        <v>421</v>
      </c>
      <c r="C266" s="31">
        <v>4301012176</v>
      </c>
      <c r="D266" s="556">
        <v>4680115886773</v>
      </c>
      <c r="E266" s="557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103</v>
      </c>
      <c r="N266" s="33"/>
      <c r="O266" s="32">
        <v>31</v>
      </c>
      <c r="P266" s="8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422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8"/>
      <c r="B267" s="546"/>
      <c r="C267" s="546"/>
      <c r="D267" s="546"/>
      <c r="E267" s="546"/>
      <c r="F267" s="546"/>
      <c r="G267" s="546"/>
      <c r="H267" s="546"/>
      <c r="I267" s="546"/>
      <c r="J267" s="546"/>
      <c r="K267" s="546"/>
      <c r="L267" s="546"/>
      <c r="M267" s="546"/>
      <c r="N267" s="546"/>
      <c r="O267" s="559"/>
      <c r="P267" s="550" t="s">
        <v>71</v>
      </c>
      <c r="Q267" s="551"/>
      <c r="R267" s="551"/>
      <c r="S267" s="551"/>
      <c r="T267" s="551"/>
      <c r="U267" s="551"/>
      <c r="V267" s="552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46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9"/>
      <c r="P268" s="550" t="s">
        <v>71</v>
      </c>
      <c r="Q268" s="551"/>
      <c r="R268" s="551"/>
      <c r="S268" s="551"/>
      <c r="T268" s="551"/>
      <c r="U268" s="551"/>
      <c r="V268" s="552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45" t="s">
        <v>423</v>
      </c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46"/>
      <c r="P269" s="546"/>
      <c r="Q269" s="546"/>
      <c r="R269" s="546"/>
      <c r="S269" s="546"/>
      <c r="T269" s="546"/>
      <c r="U269" s="546"/>
      <c r="V269" s="546"/>
      <c r="W269" s="546"/>
      <c r="X269" s="546"/>
      <c r="Y269" s="546"/>
      <c r="Z269" s="546"/>
      <c r="AA269" s="536"/>
      <c r="AB269" s="536"/>
      <c r="AC269" s="536"/>
    </row>
    <row r="270" spans="1:68" ht="14.25" customHeight="1" x14ac:dyDescent="0.25">
      <c r="A270" s="553" t="s">
        <v>73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7"/>
      <c r="AB270" s="537"/>
      <c r="AC270" s="537"/>
    </row>
    <row r="271" spans="1:68" ht="27" customHeight="1" x14ac:dyDescent="0.25">
      <c r="A271" s="54" t="s">
        <v>424</v>
      </c>
      <c r="B271" s="54" t="s">
        <v>425</v>
      </c>
      <c r="C271" s="31">
        <v>4301051893</v>
      </c>
      <c r="D271" s="556">
        <v>4680115886186</v>
      </c>
      <c r="E271" s="557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426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427</v>
      </c>
      <c r="B272" s="54" t="s">
        <v>428</v>
      </c>
      <c r="C272" s="31">
        <v>4301051795</v>
      </c>
      <c r="D272" s="556">
        <v>4680115881228</v>
      </c>
      <c r="E272" s="557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429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430</v>
      </c>
      <c r="B273" s="54" t="s">
        <v>431</v>
      </c>
      <c r="C273" s="31">
        <v>4301051388</v>
      </c>
      <c r="D273" s="556">
        <v>4680115881211</v>
      </c>
      <c r="E273" s="557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8"/>
      <c r="B274" s="546"/>
      <c r="C274" s="546"/>
      <c r="D274" s="546"/>
      <c r="E274" s="546"/>
      <c r="F274" s="546"/>
      <c r="G274" s="546"/>
      <c r="H274" s="546"/>
      <c r="I274" s="546"/>
      <c r="J274" s="546"/>
      <c r="K274" s="546"/>
      <c r="L274" s="546"/>
      <c r="M274" s="546"/>
      <c r="N274" s="546"/>
      <c r="O274" s="559"/>
      <c r="P274" s="550" t="s">
        <v>71</v>
      </c>
      <c r="Q274" s="551"/>
      <c r="R274" s="551"/>
      <c r="S274" s="551"/>
      <c r="T274" s="551"/>
      <c r="U274" s="551"/>
      <c r="V274" s="552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46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9"/>
      <c r="P275" s="550" t="s">
        <v>71</v>
      </c>
      <c r="Q275" s="551"/>
      <c r="R275" s="551"/>
      <c r="S275" s="551"/>
      <c r="T275" s="551"/>
      <c r="U275" s="551"/>
      <c r="V275" s="552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45" t="s">
        <v>432</v>
      </c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36"/>
      <c r="AB276" s="536"/>
      <c r="AC276" s="536"/>
    </row>
    <row r="277" spans="1:68" ht="14.25" customHeight="1" x14ac:dyDescent="0.25">
      <c r="A277" s="553" t="s">
        <v>64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7"/>
      <c r="AB277" s="537"/>
      <c r="AC277" s="537"/>
    </row>
    <row r="278" spans="1:68" ht="27" customHeight="1" x14ac:dyDescent="0.25">
      <c r="A278" s="54" t="s">
        <v>433</v>
      </c>
      <c r="B278" s="54" t="s">
        <v>434</v>
      </c>
      <c r="C278" s="31">
        <v>4301031307</v>
      </c>
      <c r="D278" s="556">
        <v>4680115880344</v>
      </c>
      <c r="E278" s="557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435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436</v>
      </c>
      <c r="B279" s="54" t="s">
        <v>437</v>
      </c>
      <c r="C279" s="31">
        <v>4301031429</v>
      </c>
      <c r="D279" s="556">
        <v>4680115886919</v>
      </c>
      <c r="E279" s="557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438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8"/>
      <c r="B280" s="546"/>
      <c r="C280" s="546"/>
      <c r="D280" s="546"/>
      <c r="E280" s="546"/>
      <c r="F280" s="546"/>
      <c r="G280" s="546"/>
      <c r="H280" s="546"/>
      <c r="I280" s="546"/>
      <c r="J280" s="546"/>
      <c r="K280" s="546"/>
      <c r="L280" s="546"/>
      <c r="M280" s="546"/>
      <c r="N280" s="546"/>
      <c r="O280" s="559"/>
      <c r="P280" s="550" t="s">
        <v>71</v>
      </c>
      <c r="Q280" s="551"/>
      <c r="R280" s="551"/>
      <c r="S280" s="551"/>
      <c r="T280" s="551"/>
      <c r="U280" s="551"/>
      <c r="V280" s="552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9"/>
      <c r="P281" s="550" t="s">
        <v>71</v>
      </c>
      <c r="Q281" s="551"/>
      <c r="R281" s="551"/>
      <c r="S281" s="551"/>
      <c r="T281" s="551"/>
      <c r="U281" s="551"/>
      <c r="V281" s="552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3" t="s">
        <v>73</v>
      </c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37"/>
      <c r="AB282" s="537"/>
      <c r="AC282" s="537"/>
    </row>
    <row r="283" spans="1:68" ht="37.5" customHeight="1" x14ac:dyDescent="0.25">
      <c r="A283" s="54" t="s">
        <v>439</v>
      </c>
      <c r="B283" s="54" t="s">
        <v>440</v>
      </c>
      <c r="C283" s="31">
        <v>4301051782</v>
      </c>
      <c r="D283" s="556">
        <v>4680115884618</v>
      </c>
      <c r="E283" s="557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107</v>
      </c>
      <c r="L283" s="32"/>
      <c r="M283" s="33" t="s">
        <v>77</v>
      </c>
      <c r="N283" s="33"/>
      <c r="O283" s="32">
        <v>45</v>
      </c>
      <c r="P283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441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442</v>
      </c>
      <c r="B284" s="54" t="s">
        <v>443</v>
      </c>
      <c r="C284" s="31">
        <v>4301052057</v>
      </c>
      <c r="D284" s="556">
        <v>4680115887114</v>
      </c>
      <c r="E284" s="557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8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444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8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9"/>
      <c r="P285" s="550" t="s">
        <v>71</v>
      </c>
      <c r="Q285" s="551"/>
      <c r="R285" s="551"/>
      <c r="S285" s="551"/>
      <c r="T285" s="551"/>
      <c r="U285" s="551"/>
      <c r="V285" s="552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9"/>
      <c r="P286" s="550" t="s">
        <v>71</v>
      </c>
      <c r="Q286" s="551"/>
      <c r="R286" s="551"/>
      <c r="S286" s="551"/>
      <c r="T286" s="551"/>
      <c r="U286" s="551"/>
      <c r="V286" s="552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45" t="s">
        <v>445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customHeight="1" x14ac:dyDescent="0.25">
      <c r="A288" s="553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customHeight="1" x14ac:dyDescent="0.25">
      <c r="A289" s="54" t="s">
        <v>446</v>
      </c>
      <c r="B289" s="54" t="s">
        <v>447</v>
      </c>
      <c r="C289" s="31">
        <v>4301012024</v>
      </c>
      <c r="D289" s="556">
        <v>4680115885615</v>
      </c>
      <c r="E289" s="557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7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448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449</v>
      </c>
      <c r="B290" s="54" t="s">
        <v>450</v>
      </c>
      <c r="C290" s="31">
        <v>4301011858</v>
      </c>
      <c r="D290" s="556">
        <v>4680115885646</v>
      </c>
      <c r="E290" s="557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451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452</v>
      </c>
      <c r="B291" s="54" t="s">
        <v>453</v>
      </c>
      <c r="C291" s="31">
        <v>4301012016</v>
      </c>
      <c r="D291" s="556">
        <v>4680115885554</v>
      </c>
      <c r="E291" s="557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58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454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455</v>
      </c>
      <c r="B292" s="54" t="s">
        <v>456</v>
      </c>
      <c r="C292" s="31">
        <v>4301011857</v>
      </c>
      <c r="D292" s="556">
        <v>4680115885622</v>
      </c>
      <c r="E292" s="557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5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457</v>
      </c>
      <c r="B293" s="54" t="s">
        <v>458</v>
      </c>
      <c r="C293" s="31">
        <v>4301011859</v>
      </c>
      <c r="D293" s="556">
        <v>4680115885608</v>
      </c>
      <c r="E293" s="557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5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459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8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9"/>
      <c r="P294" s="550" t="s">
        <v>71</v>
      </c>
      <c r="Q294" s="551"/>
      <c r="R294" s="551"/>
      <c r="S294" s="551"/>
      <c r="T294" s="551"/>
      <c r="U294" s="551"/>
      <c r="V294" s="552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9"/>
      <c r="P295" s="550" t="s">
        <v>71</v>
      </c>
      <c r="Q295" s="551"/>
      <c r="R295" s="551"/>
      <c r="S295" s="551"/>
      <c r="T295" s="551"/>
      <c r="U295" s="551"/>
      <c r="V295" s="552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3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customHeight="1" x14ac:dyDescent="0.25">
      <c r="A297" s="54" t="s">
        <v>460</v>
      </c>
      <c r="B297" s="54" t="s">
        <v>461</v>
      </c>
      <c r="C297" s="31">
        <v>4301030878</v>
      </c>
      <c r="D297" s="556">
        <v>4607091387193</v>
      </c>
      <c r="E297" s="557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58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462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463</v>
      </c>
      <c r="B298" s="54" t="s">
        <v>464</v>
      </c>
      <c r="C298" s="31">
        <v>4301031153</v>
      </c>
      <c r="D298" s="556">
        <v>4607091387230</v>
      </c>
      <c r="E298" s="557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6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465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466</v>
      </c>
      <c r="B299" s="54" t="s">
        <v>467</v>
      </c>
      <c r="C299" s="31">
        <v>4301031154</v>
      </c>
      <c r="D299" s="556">
        <v>4607091387292</v>
      </c>
      <c r="E299" s="557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468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469</v>
      </c>
      <c r="B300" s="54" t="s">
        <v>470</v>
      </c>
      <c r="C300" s="31">
        <v>4301031152</v>
      </c>
      <c r="D300" s="556">
        <v>4607091387285</v>
      </c>
      <c r="E300" s="557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465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471</v>
      </c>
      <c r="B301" s="54" t="s">
        <v>472</v>
      </c>
      <c r="C301" s="31">
        <v>4301031305</v>
      </c>
      <c r="D301" s="556">
        <v>4607091389845</v>
      </c>
      <c r="E301" s="557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474</v>
      </c>
      <c r="B302" s="54" t="s">
        <v>475</v>
      </c>
      <c r="C302" s="31">
        <v>4301031306</v>
      </c>
      <c r="D302" s="556">
        <v>4680115882881</v>
      </c>
      <c r="E302" s="557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473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476</v>
      </c>
      <c r="B303" s="54" t="s">
        <v>477</v>
      </c>
      <c r="C303" s="31">
        <v>4301031066</v>
      </c>
      <c r="D303" s="556">
        <v>4607091383836</v>
      </c>
      <c r="E303" s="557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8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8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9"/>
      <c r="P304" s="550" t="s">
        <v>71</v>
      </c>
      <c r="Q304" s="551"/>
      <c r="R304" s="551"/>
      <c r="S304" s="551"/>
      <c r="T304" s="551"/>
      <c r="U304" s="551"/>
      <c r="V304" s="552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9"/>
      <c r="P305" s="550" t="s">
        <v>71</v>
      </c>
      <c r="Q305" s="551"/>
      <c r="R305" s="551"/>
      <c r="S305" s="551"/>
      <c r="T305" s="551"/>
      <c r="U305" s="551"/>
      <c r="V305" s="552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3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customHeight="1" x14ac:dyDescent="0.25">
      <c r="A307" s="54" t="s">
        <v>479</v>
      </c>
      <c r="B307" s="54" t="s">
        <v>480</v>
      </c>
      <c r="C307" s="31">
        <v>4301051100</v>
      </c>
      <c r="D307" s="556">
        <v>4607091387766</v>
      </c>
      <c r="E307" s="557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481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482</v>
      </c>
      <c r="B308" s="54" t="s">
        <v>483</v>
      </c>
      <c r="C308" s="31">
        <v>4301051818</v>
      </c>
      <c r="D308" s="556">
        <v>4607091387957</v>
      </c>
      <c r="E308" s="557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484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4301051819</v>
      </c>
      <c r="D309" s="556">
        <v>4607091387964</v>
      </c>
      <c r="E309" s="557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487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488</v>
      </c>
      <c r="B310" s="54" t="s">
        <v>489</v>
      </c>
      <c r="C310" s="31">
        <v>4301051734</v>
      </c>
      <c r="D310" s="556">
        <v>4680115884588</v>
      </c>
      <c r="E310" s="557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490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8"/>
      <c r="B311" s="546"/>
      <c r="C311" s="546"/>
      <c r="D311" s="546"/>
      <c r="E311" s="546"/>
      <c r="F311" s="546"/>
      <c r="G311" s="546"/>
      <c r="H311" s="546"/>
      <c r="I311" s="546"/>
      <c r="J311" s="546"/>
      <c r="K311" s="546"/>
      <c r="L311" s="546"/>
      <c r="M311" s="546"/>
      <c r="N311" s="546"/>
      <c r="O311" s="559"/>
      <c r="P311" s="550" t="s">
        <v>71</v>
      </c>
      <c r="Q311" s="551"/>
      <c r="R311" s="551"/>
      <c r="S311" s="551"/>
      <c r="T311" s="551"/>
      <c r="U311" s="551"/>
      <c r="V311" s="552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46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9"/>
      <c r="P312" s="550" t="s">
        <v>71</v>
      </c>
      <c r="Q312" s="551"/>
      <c r="R312" s="551"/>
      <c r="S312" s="551"/>
      <c r="T312" s="551"/>
      <c r="U312" s="551"/>
      <c r="V312" s="552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3" t="s">
        <v>160</v>
      </c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46"/>
      <c r="P313" s="546"/>
      <c r="Q313" s="546"/>
      <c r="R313" s="546"/>
      <c r="S313" s="546"/>
      <c r="T313" s="546"/>
      <c r="U313" s="546"/>
      <c r="V313" s="546"/>
      <c r="W313" s="546"/>
      <c r="X313" s="546"/>
      <c r="Y313" s="546"/>
      <c r="Z313" s="546"/>
      <c r="AA313" s="537"/>
      <c r="AB313" s="537"/>
      <c r="AC313" s="537"/>
    </row>
    <row r="314" spans="1:68" ht="27" customHeight="1" x14ac:dyDescent="0.25">
      <c r="A314" s="54" t="s">
        <v>491</v>
      </c>
      <c r="B314" s="54" t="s">
        <v>492</v>
      </c>
      <c r="C314" s="31">
        <v>4301060387</v>
      </c>
      <c r="D314" s="556">
        <v>4607091380880</v>
      </c>
      <c r="E314" s="557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6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493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494</v>
      </c>
      <c r="B315" s="54" t="s">
        <v>495</v>
      </c>
      <c r="C315" s="31">
        <v>4301060406</v>
      </c>
      <c r="D315" s="556">
        <v>4607091384482</v>
      </c>
      <c r="E315" s="557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496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497</v>
      </c>
      <c r="B316" s="54" t="s">
        <v>498</v>
      </c>
      <c r="C316" s="31">
        <v>4301060484</v>
      </c>
      <c r="D316" s="556">
        <v>4607091380897</v>
      </c>
      <c r="E316" s="557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8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499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8"/>
      <c r="B317" s="546"/>
      <c r="C317" s="546"/>
      <c r="D317" s="546"/>
      <c r="E317" s="546"/>
      <c r="F317" s="546"/>
      <c r="G317" s="546"/>
      <c r="H317" s="546"/>
      <c r="I317" s="546"/>
      <c r="J317" s="546"/>
      <c r="K317" s="546"/>
      <c r="L317" s="546"/>
      <c r="M317" s="546"/>
      <c r="N317" s="546"/>
      <c r="O317" s="559"/>
      <c r="P317" s="550" t="s">
        <v>71</v>
      </c>
      <c r="Q317" s="551"/>
      <c r="R317" s="551"/>
      <c r="S317" s="551"/>
      <c r="T317" s="551"/>
      <c r="U317" s="551"/>
      <c r="V317" s="552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46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9"/>
      <c r="P318" s="550" t="s">
        <v>71</v>
      </c>
      <c r="Q318" s="551"/>
      <c r="R318" s="551"/>
      <c r="S318" s="551"/>
      <c r="T318" s="551"/>
      <c r="U318" s="551"/>
      <c r="V318" s="552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3" t="s">
        <v>91</v>
      </c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46"/>
      <c r="P319" s="546"/>
      <c r="Q319" s="546"/>
      <c r="R319" s="546"/>
      <c r="S319" s="546"/>
      <c r="T319" s="546"/>
      <c r="U319" s="546"/>
      <c r="V319" s="546"/>
      <c r="W319" s="546"/>
      <c r="X319" s="546"/>
      <c r="Y319" s="546"/>
      <c r="Z319" s="546"/>
      <c r="AA319" s="537"/>
      <c r="AB319" s="537"/>
      <c r="AC319" s="537"/>
    </row>
    <row r="320" spans="1:68" ht="27" customHeight="1" x14ac:dyDescent="0.25">
      <c r="A320" s="54" t="s">
        <v>500</v>
      </c>
      <c r="B320" s="54" t="s">
        <v>501</v>
      </c>
      <c r="C320" s="31">
        <v>4301030235</v>
      </c>
      <c r="D320" s="556">
        <v>4607091388381</v>
      </c>
      <c r="E320" s="557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107</v>
      </c>
      <c r="L320" s="32"/>
      <c r="M320" s="33" t="s">
        <v>94</v>
      </c>
      <c r="N320" s="33"/>
      <c r="O320" s="32">
        <v>180</v>
      </c>
      <c r="P320" s="6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502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503</v>
      </c>
      <c r="B321" s="54" t="s">
        <v>504</v>
      </c>
      <c r="C321" s="31">
        <v>4301030232</v>
      </c>
      <c r="D321" s="556">
        <v>4607091388374</v>
      </c>
      <c r="E321" s="557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65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502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505</v>
      </c>
      <c r="B322" s="54" t="s">
        <v>506</v>
      </c>
      <c r="C322" s="31">
        <v>4301032015</v>
      </c>
      <c r="D322" s="556">
        <v>4607091383102</v>
      </c>
      <c r="E322" s="557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508</v>
      </c>
      <c r="B323" s="54" t="s">
        <v>509</v>
      </c>
      <c r="C323" s="31">
        <v>4301030233</v>
      </c>
      <c r="D323" s="556">
        <v>4607091388404</v>
      </c>
      <c r="E323" s="557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6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8"/>
      <c r="B324" s="546"/>
      <c r="C324" s="546"/>
      <c r="D324" s="546"/>
      <c r="E324" s="546"/>
      <c r="F324" s="546"/>
      <c r="G324" s="546"/>
      <c r="H324" s="546"/>
      <c r="I324" s="546"/>
      <c r="J324" s="546"/>
      <c r="K324" s="546"/>
      <c r="L324" s="546"/>
      <c r="M324" s="546"/>
      <c r="N324" s="546"/>
      <c r="O324" s="559"/>
      <c r="P324" s="550" t="s">
        <v>71</v>
      </c>
      <c r="Q324" s="551"/>
      <c r="R324" s="551"/>
      <c r="S324" s="551"/>
      <c r="T324" s="551"/>
      <c r="U324" s="551"/>
      <c r="V324" s="552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46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9"/>
      <c r="P325" s="550" t="s">
        <v>71</v>
      </c>
      <c r="Q325" s="551"/>
      <c r="R325" s="551"/>
      <c r="S325" s="551"/>
      <c r="T325" s="551"/>
      <c r="U325" s="551"/>
      <c r="V325" s="552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3" t="s">
        <v>510</v>
      </c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46"/>
      <c r="P326" s="546"/>
      <c r="Q326" s="546"/>
      <c r="R326" s="546"/>
      <c r="S326" s="546"/>
      <c r="T326" s="546"/>
      <c r="U326" s="546"/>
      <c r="V326" s="546"/>
      <c r="W326" s="546"/>
      <c r="X326" s="546"/>
      <c r="Y326" s="546"/>
      <c r="Z326" s="546"/>
      <c r="AA326" s="537"/>
      <c r="AB326" s="537"/>
      <c r="AC326" s="537"/>
    </row>
    <row r="327" spans="1:68" ht="16.5" customHeight="1" x14ac:dyDescent="0.25">
      <c r="A327" s="54" t="s">
        <v>511</v>
      </c>
      <c r="B327" s="54" t="s">
        <v>512</v>
      </c>
      <c r="C327" s="31">
        <v>4301180007</v>
      </c>
      <c r="D327" s="556">
        <v>4680115881808</v>
      </c>
      <c r="E327" s="557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513</v>
      </c>
      <c r="N327" s="33"/>
      <c r="O327" s="32">
        <v>730</v>
      </c>
      <c r="P327" s="6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514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515</v>
      </c>
      <c r="B328" s="54" t="s">
        <v>516</v>
      </c>
      <c r="C328" s="31">
        <v>4301180006</v>
      </c>
      <c r="D328" s="556">
        <v>4680115881822</v>
      </c>
      <c r="E328" s="557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513</v>
      </c>
      <c r="N328" s="33"/>
      <c r="O328" s="32">
        <v>730</v>
      </c>
      <c r="P328" s="8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514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517</v>
      </c>
      <c r="B329" s="54" t="s">
        <v>518</v>
      </c>
      <c r="C329" s="31">
        <v>4301180001</v>
      </c>
      <c r="D329" s="556">
        <v>4680115880016</v>
      </c>
      <c r="E329" s="557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513</v>
      </c>
      <c r="N329" s="33"/>
      <c r="O329" s="32">
        <v>730</v>
      </c>
      <c r="P329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8"/>
      <c r="B330" s="546"/>
      <c r="C330" s="546"/>
      <c r="D330" s="546"/>
      <c r="E330" s="546"/>
      <c r="F330" s="546"/>
      <c r="G330" s="546"/>
      <c r="H330" s="546"/>
      <c r="I330" s="546"/>
      <c r="J330" s="546"/>
      <c r="K330" s="546"/>
      <c r="L330" s="546"/>
      <c r="M330" s="546"/>
      <c r="N330" s="546"/>
      <c r="O330" s="559"/>
      <c r="P330" s="550" t="s">
        <v>71</v>
      </c>
      <c r="Q330" s="551"/>
      <c r="R330" s="551"/>
      <c r="S330" s="551"/>
      <c r="T330" s="551"/>
      <c r="U330" s="551"/>
      <c r="V330" s="552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46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9"/>
      <c r="P331" s="550" t="s">
        <v>71</v>
      </c>
      <c r="Q331" s="551"/>
      <c r="R331" s="551"/>
      <c r="S331" s="551"/>
      <c r="T331" s="551"/>
      <c r="U331" s="551"/>
      <c r="V331" s="552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45" t="s">
        <v>519</v>
      </c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46"/>
      <c r="P332" s="546"/>
      <c r="Q332" s="546"/>
      <c r="R332" s="546"/>
      <c r="S332" s="546"/>
      <c r="T332" s="546"/>
      <c r="U332" s="546"/>
      <c r="V332" s="546"/>
      <c r="W332" s="546"/>
      <c r="X332" s="546"/>
      <c r="Y332" s="546"/>
      <c r="Z332" s="546"/>
      <c r="AA332" s="536"/>
      <c r="AB332" s="536"/>
      <c r="AC332" s="536"/>
    </row>
    <row r="333" spans="1:68" ht="14.25" customHeight="1" x14ac:dyDescent="0.25">
      <c r="A333" s="553" t="s">
        <v>73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7"/>
      <c r="AB333" s="537"/>
      <c r="AC333" s="537"/>
    </row>
    <row r="334" spans="1:68" ht="27" customHeight="1" x14ac:dyDescent="0.25">
      <c r="A334" s="54" t="s">
        <v>520</v>
      </c>
      <c r="B334" s="54" t="s">
        <v>521</v>
      </c>
      <c r="C334" s="31">
        <v>4301051489</v>
      </c>
      <c r="D334" s="556">
        <v>4607091387919</v>
      </c>
      <c r="E334" s="557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522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523</v>
      </c>
      <c r="B335" s="54" t="s">
        <v>524</v>
      </c>
      <c r="C335" s="31">
        <v>4301051461</v>
      </c>
      <c r="D335" s="556">
        <v>4680115883604</v>
      </c>
      <c r="E335" s="557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212</v>
      </c>
      <c r="M335" s="33" t="s">
        <v>77</v>
      </c>
      <c r="N335" s="33"/>
      <c r="O335" s="32">
        <v>45</v>
      </c>
      <c r="P335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875.69999999999993</v>
      </c>
      <c r="Y335" s="542">
        <f>IFERROR(IF(X335="",0,CEILING((X335/$H335),1)*$H335),"")</f>
        <v>875.7</v>
      </c>
      <c r="Z335" s="36">
        <f>IFERROR(IF(Y335=0,"",ROUNDUP(Y335/H335,0)*0.00651),"")</f>
        <v>2.7146699999999999</v>
      </c>
      <c r="AA335" s="56"/>
      <c r="AB335" s="57"/>
      <c r="AC335" s="385" t="s">
        <v>525</v>
      </c>
      <c r="AG335" s="64"/>
      <c r="AJ335" s="68" t="s">
        <v>195</v>
      </c>
      <c r="AK335" s="68">
        <v>29.4</v>
      </c>
      <c r="BB335" s="386" t="s">
        <v>1</v>
      </c>
      <c r="BM335" s="64">
        <f>IFERROR(X335*I335/H335,"0")</f>
        <v>980.78399999999976</v>
      </c>
      <c r="BN335" s="64">
        <f>IFERROR(Y335*I335/H335,"0")</f>
        <v>980.78399999999999</v>
      </c>
      <c r="BO335" s="64">
        <f>IFERROR(1/J335*(X335/H335),"0")</f>
        <v>2.2912087912087911</v>
      </c>
      <c r="BP335" s="64">
        <f>IFERROR(1/J335*(Y335/H335),"0")</f>
        <v>2.2912087912087915</v>
      </c>
    </row>
    <row r="336" spans="1:68" ht="27" customHeight="1" x14ac:dyDescent="0.25">
      <c r="A336" s="54" t="s">
        <v>526</v>
      </c>
      <c r="B336" s="54" t="s">
        <v>527</v>
      </c>
      <c r="C336" s="31">
        <v>4301051864</v>
      </c>
      <c r="D336" s="556">
        <v>4680115883567</v>
      </c>
      <c r="E336" s="557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212</v>
      </c>
      <c r="M336" s="33" t="s">
        <v>84</v>
      </c>
      <c r="N336" s="33"/>
      <c r="O336" s="32">
        <v>40</v>
      </c>
      <c r="P336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350.7</v>
      </c>
      <c r="Y336" s="542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528</v>
      </c>
      <c r="AG336" s="64"/>
      <c r="AJ336" s="68" t="s">
        <v>195</v>
      </c>
      <c r="AK336" s="68">
        <v>29.4</v>
      </c>
      <c r="BB336" s="388" t="s">
        <v>1</v>
      </c>
      <c r="BM336" s="64">
        <f>IFERROR(X336*I336/H336,"0")</f>
        <v>390.78</v>
      </c>
      <c r="BN336" s="64">
        <f>IFERROR(Y336*I336/H336,"0")</f>
        <v>390.78</v>
      </c>
      <c r="BO336" s="64">
        <f>IFERROR(1/J336*(X336/H336),"0")</f>
        <v>0.91758241758241765</v>
      </c>
      <c r="BP336" s="64">
        <f>IFERROR(1/J336*(Y336/H336),"0")</f>
        <v>0.91758241758241765</v>
      </c>
    </row>
    <row r="337" spans="1:68" x14ac:dyDescent="0.2">
      <c r="A337" s="558"/>
      <c r="B337" s="546"/>
      <c r="C337" s="546"/>
      <c r="D337" s="546"/>
      <c r="E337" s="546"/>
      <c r="F337" s="546"/>
      <c r="G337" s="546"/>
      <c r="H337" s="546"/>
      <c r="I337" s="546"/>
      <c r="J337" s="546"/>
      <c r="K337" s="546"/>
      <c r="L337" s="546"/>
      <c r="M337" s="546"/>
      <c r="N337" s="546"/>
      <c r="O337" s="559"/>
      <c r="P337" s="550" t="s">
        <v>71</v>
      </c>
      <c r="Q337" s="551"/>
      <c r="R337" s="551"/>
      <c r="S337" s="551"/>
      <c r="T337" s="551"/>
      <c r="U337" s="551"/>
      <c r="V337" s="552"/>
      <c r="W337" s="37" t="s">
        <v>72</v>
      </c>
      <c r="X337" s="543">
        <f>IFERROR(X334/H334,"0")+IFERROR(X335/H335,"0")+IFERROR(X336/H336,"0")</f>
        <v>584</v>
      </c>
      <c r="Y337" s="543">
        <f>IFERROR(Y334/H334,"0")+IFERROR(Y335/H335,"0")+IFERROR(Y336/H336,"0")</f>
        <v>584</v>
      </c>
      <c r="Z337" s="543">
        <f>IFERROR(IF(Z334="",0,Z334),"0")+IFERROR(IF(Z335="",0,Z335),"0")+IFERROR(IF(Z336="",0,Z336),"0")</f>
        <v>3.8018399999999999</v>
      </c>
      <c r="AA337" s="544"/>
      <c r="AB337" s="544"/>
      <c r="AC337" s="544"/>
    </row>
    <row r="338" spans="1:68" x14ac:dyDescent="0.2">
      <c r="A338" s="546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9"/>
      <c r="P338" s="550" t="s">
        <v>71</v>
      </c>
      <c r="Q338" s="551"/>
      <c r="R338" s="551"/>
      <c r="S338" s="551"/>
      <c r="T338" s="551"/>
      <c r="U338" s="551"/>
      <c r="V338" s="552"/>
      <c r="W338" s="37" t="s">
        <v>69</v>
      </c>
      <c r="X338" s="543">
        <f>IFERROR(SUM(X334:X336),"0")</f>
        <v>1226.3999999999999</v>
      </c>
      <c r="Y338" s="543">
        <f>IFERROR(SUM(Y334:Y336),"0")</f>
        <v>1226.4000000000001</v>
      </c>
      <c r="Z338" s="37"/>
      <c r="AA338" s="544"/>
      <c r="AB338" s="544"/>
      <c r="AC338" s="544"/>
    </row>
    <row r="339" spans="1:68" ht="27.75" customHeight="1" x14ac:dyDescent="0.2">
      <c r="A339" s="640" t="s">
        <v>529</v>
      </c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1"/>
      <c r="P339" s="641"/>
      <c r="Q339" s="641"/>
      <c r="R339" s="641"/>
      <c r="S339" s="641"/>
      <c r="T339" s="641"/>
      <c r="U339" s="641"/>
      <c r="V339" s="641"/>
      <c r="W339" s="641"/>
      <c r="X339" s="641"/>
      <c r="Y339" s="641"/>
      <c r="Z339" s="641"/>
      <c r="AA339" s="48"/>
      <c r="AB339" s="48"/>
      <c r="AC339" s="48"/>
    </row>
    <row r="340" spans="1:68" ht="16.5" customHeight="1" x14ac:dyDescent="0.25">
      <c r="A340" s="545" t="s">
        <v>530</v>
      </c>
      <c r="B340" s="546"/>
      <c r="C340" s="546"/>
      <c r="D340" s="546"/>
      <c r="E340" s="546"/>
      <c r="F340" s="546"/>
      <c r="G340" s="546"/>
      <c r="H340" s="546"/>
      <c r="I340" s="546"/>
      <c r="J340" s="546"/>
      <c r="K340" s="546"/>
      <c r="L340" s="546"/>
      <c r="M340" s="546"/>
      <c r="N340" s="546"/>
      <c r="O340" s="546"/>
      <c r="P340" s="546"/>
      <c r="Q340" s="546"/>
      <c r="R340" s="546"/>
      <c r="S340" s="546"/>
      <c r="T340" s="546"/>
      <c r="U340" s="546"/>
      <c r="V340" s="546"/>
      <c r="W340" s="546"/>
      <c r="X340" s="546"/>
      <c r="Y340" s="546"/>
      <c r="Z340" s="546"/>
      <c r="AA340" s="536"/>
      <c r="AB340" s="536"/>
      <c r="AC340" s="536"/>
    </row>
    <row r="341" spans="1:68" ht="14.25" customHeight="1" x14ac:dyDescent="0.25">
      <c r="A341" s="553" t="s">
        <v>99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7"/>
      <c r="AB341" s="537"/>
      <c r="AC341" s="537"/>
    </row>
    <row r="342" spans="1:68" ht="37.5" customHeight="1" x14ac:dyDescent="0.25">
      <c r="A342" s="54" t="s">
        <v>531</v>
      </c>
      <c r="B342" s="54" t="s">
        <v>532</v>
      </c>
      <c r="C342" s="31">
        <v>4301011869</v>
      </c>
      <c r="D342" s="556">
        <v>4680115884847</v>
      </c>
      <c r="E342" s="557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6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30</v>
      </c>
      <c r="Y342" s="542">
        <f t="shared" ref="Y342:Y348" si="31">IFERROR(IF(X342="",0,CEILING((X342/$H342),1)*$H342),"")</f>
        <v>30</v>
      </c>
      <c r="Z342" s="36">
        <f>IFERROR(IF(Y342=0,"",ROUNDUP(Y342/H342,0)*0.02175),"")</f>
        <v>4.3499999999999997E-2</v>
      </c>
      <c r="AA342" s="56"/>
      <c r="AB342" s="57"/>
      <c r="AC342" s="389" t="s">
        <v>533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30.94</v>
      </c>
      <c r="BN342" s="64">
        <f t="shared" ref="BN342:BN348" si="33">IFERROR(Y342*I342/H342,"0")</f>
        <v>30.94</v>
      </c>
      <c r="BO342" s="64">
        <f t="shared" ref="BO342:BO348" si="34">IFERROR(1/J342*(X342/H342),"0")</f>
        <v>4.1666666666666664E-2</v>
      </c>
      <c r="BP342" s="64">
        <f t="shared" ref="BP342:BP348" si="35">IFERROR(1/J342*(Y342/H342),"0")</f>
        <v>4.1666666666666664E-2</v>
      </c>
    </row>
    <row r="343" spans="1:68" ht="27" customHeight="1" x14ac:dyDescent="0.25">
      <c r="A343" s="54" t="s">
        <v>534</v>
      </c>
      <c r="B343" s="54" t="s">
        <v>535</v>
      </c>
      <c r="C343" s="31">
        <v>4301011870</v>
      </c>
      <c r="D343" s="556">
        <v>4680115884854</v>
      </c>
      <c r="E343" s="557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6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536</v>
      </c>
      <c r="AG343" s="64"/>
      <c r="AJ343" s="68"/>
      <c r="AK343" s="68">
        <v>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537</v>
      </c>
      <c r="B344" s="54" t="s">
        <v>538</v>
      </c>
      <c r="C344" s="31">
        <v>4301011867</v>
      </c>
      <c r="D344" s="556">
        <v>4680115884830</v>
      </c>
      <c r="E344" s="557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6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</v>
      </c>
      <c r="Y344" s="542">
        <f t="shared" si="31"/>
        <v>30</v>
      </c>
      <c r="Z344" s="36">
        <f>IFERROR(IF(Y344=0,"",ROUNDUP(Y344/H344,0)*0.02175),"")</f>
        <v>4.3499999999999997E-2</v>
      </c>
      <c r="AA344" s="56"/>
      <c r="AB344" s="57"/>
      <c r="AC344" s="393" t="s">
        <v>539</v>
      </c>
      <c r="AG344" s="64"/>
      <c r="AJ344" s="68"/>
      <c r="AK344" s="68">
        <v>0</v>
      </c>
      <c r="BB344" s="394" t="s">
        <v>1</v>
      </c>
      <c r="BM344" s="64">
        <f t="shared" si="32"/>
        <v>30.94</v>
      </c>
      <c r="BN344" s="64">
        <f t="shared" si="33"/>
        <v>30.94</v>
      </c>
      <c r="BO344" s="64">
        <f t="shared" si="34"/>
        <v>4.1666666666666664E-2</v>
      </c>
      <c r="BP344" s="64">
        <f t="shared" si="35"/>
        <v>4.1666666666666664E-2</v>
      </c>
    </row>
    <row r="345" spans="1:68" ht="27" customHeight="1" x14ac:dyDescent="0.25">
      <c r="A345" s="54" t="s">
        <v>540</v>
      </c>
      <c r="B345" s="54" t="s">
        <v>541</v>
      </c>
      <c r="C345" s="31">
        <v>4301012215</v>
      </c>
      <c r="D345" s="556">
        <v>4680115887046</v>
      </c>
      <c r="E345" s="557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542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543</v>
      </c>
      <c r="B346" s="54" t="s">
        <v>544</v>
      </c>
      <c r="C346" s="31">
        <v>4301011433</v>
      </c>
      <c r="D346" s="556">
        <v>4680115882638</v>
      </c>
      <c r="E346" s="557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107</v>
      </c>
      <c r="L346" s="32"/>
      <c r="M346" s="33" t="s">
        <v>103</v>
      </c>
      <c r="N346" s="33"/>
      <c r="O346" s="32">
        <v>90</v>
      </c>
      <c r="P346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545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546</v>
      </c>
      <c r="B347" s="54" t="s">
        <v>547</v>
      </c>
      <c r="C347" s="31">
        <v>4301011952</v>
      </c>
      <c r="D347" s="556">
        <v>4680115884922</v>
      </c>
      <c r="E347" s="557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107</v>
      </c>
      <c r="L347" s="32"/>
      <c r="M347" s="33" t="s">
        <v>68</v>
      </c>
      <c r="N347" s="33"/>
      <c r="O347" s="32">
        <v>60</v>
      </c>
      <c r="P347" s="6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548</v>
      </c>
      <c r="B348" s="54" t="s">
        <v>549</v>
      </c>
      <c r="C348" s="31">
        <v>4301011868</v>
      </c>
      <c r="D348" s="556">
        <v>4680115884861</v>
      </c>
      <c r="E348" s="557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64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539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8"/>
      <c r="B349" s="546"/>
      <c r="C349" s="546"/>
      <c r="D349" s="546"/>
      <c r="E349" s="546"/>
      <c r="F349" s="546"/>
      <c r="G349" s="546"/>
      <c r="H349" s="546"/>
      <c r="I349" s="546"/>
      <c r="J349" s="546"/>
      <c r="K349" s="546"/>
      <c r="L349" s="546"/>
      <c r="M349" s="546"/>
      <c r="N349" s="546"/>
      <c r="O349" s="559"/>
      <c r="P349" s="550" t="s">
        <v>71</v>
      </c>
      <c r="Q349" s="551"/>
      <c r="R349" s="551"/>
      <c r="S349" s="551"/>
      <c r="T349" s="551"/>
      <c r="U349" s="551"/>
      <c r="V349" s="552"/>
      <c r="W349" s="37" t="s">
        <v>72</v>
      </c>
      <c r="X349" s="543">
        <f>IFERROR(X342/H342,"0")+IFERROR(X343/H343,"0")+IFERROR(X344/H344,"0")+IFERROR(X345/H345,"0")+IFERROR(X346/H346,"0")+IFERROR(X347/H347,"0")+IFERROR(X348/H348,"0")</f>
        <v>4</v>
      </c>
      <c r="Y349" s="543">
        <f>IFERROR(Y342/H342,"0")+IFERROR(Y343/H343,"0")+IFERROR(Y344/H344,"0")+IFERROR(Y345/H345,"0")+IFERROR(Y346/H346,"0")+IFERROR(Y347/H347,"0")+IFERROR(Y348/H348,"0")</f>
        <v>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8.6999999999999994E-2</v>
      </c>
      <c r="AA349" s="544"/>
      <c r="AB349" s="544"/>
      <c r="AC349" s="544"/>
    </row>
    <row r="350" spans="1:68" x14ac:dyDescent="0.2">
      <c r="A350" s="546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9"/>
      <c r="P350" s="550" t="s">
        <v>71</v>
      </c>
      <c r="Q350" s="551"/>
      <c r="R350" s="551"/>
      <c r="S350" s="551"/>
      <c r="T350" s="551"/>
      <c r="U350" s="551"/>
      <c r="V350" s="552"/>
      <c r="W350" s="37" t="s">
        <v>69</v>
      </c>
      <c r="X350" s="543">
        <f>IFERROR(SUM(X342:X348),"0")</f>
        <v>60</v>
      </c>
      <c r="Y350" s="543">
        <f>IFERROR(SUM(Y342:Y348),"0")</f>
        <v>60</v>
      </c>
      <c r="Z350" s="37"/>
      <c r="AA350" s="544"/>
      <c r="AB350" s="544"/>
      <c r="AC350" s="544"/>
    </row>
    <row r="351" spans="1:68" ht="14.25" customHeight="1" x14ac:dyDescent="0.25">
      <c r="A351" s="553" t="s">
        <v>132</v>
      </c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46"/>
      <c r="P351" s="546"/>
      <c r="Q351" s="546"/>
      <c r="R351" s="546"/>
      <c r="S351" s="546"/>
      <c r="T351" s="546"/>
      <c r="U351" s="546"/>
      <c r="V351" s="546"/>
      <c r="W351" s="546"/>
      <c r="X351" s="546"/>
      <c r="Y351" s="546"/>
      <c r="Z351" s="546"/>
      <c r="AA351" s="537"/>
      <c r="AB351" s="537"/>
      <c r="AC351" s="537"/>
    </row>
    <row r="352" spans="1:68" ht="27" customHeight="1" x14ac:dyDescent="0.25">
      <c r="A352" s="54" t="s">
        <v>550</v>
      </c>
      <c r="B352" s="54" t="s">
        <v>551</v>
      </c>
      <c r="C352" s="31">
        <v>4301020178</v>
      </c>
      <c r="D352" s="556">
        <v>4607091383980</v>
      </c>
      <c r="E352" s="557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103</v>
      </c>
      <c r="N352" s="33"/>
      <c r="O352" s="32">
        <v>50</v>
      </c>
      <c r="P352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30</v>
      </c>
      <c r="Y352" s="542">
        <f>IFERROR(IF(X352="",0,CEILING((X352/$H352),1)*$H352),"")</f>
        <v>30</v>
      </c>
      <c r="Z352" s="36">
        <f>IFERROR(IF(Y352=0,"",ROUNDUP(Y352/H352,0)*0.02175),"")</f>
        <v>4.3499999999999997E-2</v>
      </c>
      <c r="AA352" s="56"/>
      <c r="AB352" s="57"/>
      <c r="AC352" s="403" t="s">
        <v>552</v>
      </c>
      <c r="AG352" s="64"/>
      <c r="AJ352" s="68"/>
      <c r="AK352" s="68">
        <v>0</v>
      </c>
      <c r="BB352" s="404" t="s">
        <v>1</v>
      </c>
      <c r="BM352" s="64">
        <f>IFERROR(X352*I352/H352,"0")</f>
        <v>30.94</v>
      </c>
      <c r="BN352" s="64">
        <f>IFERROR(Y352*I352/H352,"0")</f>
        <v>30.94</v>
      </c>
      <c r="BO352" s="64">
        <f>IFERROR(1/J352*(X352/H352),"0")</f>
        <v>4.1666666666666664E-2</v>
      </c>
      <c r="BP352" s="64">
        <f>IFERROR(1/J352*(Y352/H352),"0")</f>
        <v>4.1666666666666664E-2</v>
      </c>
    </row>
    <row r="353" spans="1:68" ht="27" customHeight="1" x14ac:dyDescent="0.25">
      <c r="A353" s="54" t="s">
        <v>553</v>
      </c>
      <c r="B353" s="54" t="s">
        <v>554</v>
      </c>
      <c r="C353" s="31">
        <v>4301020179</v>
      </c>
      <c r="D353" s="556">
        <v>4607091384178</v>
      </c>
      <c r="E353" s="557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107</v>
      </c>
      <c r="L353" s="32"/>
      <c r="M353" s="33" t="s">
        <v>103</v>
      </c>
      <c r="N353" s="33"/>
      <c r="O353" s="32">
        <v>50</v>
      </c>
      <c r="P353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8"/>
      <c r="B354" s="546"/>
      <c r="C354" s="546"/>
      <c r="D354" s="546"/>
      <c r="E354" s="546"/>
      <c r="F354" s="546"/>
      <c r="G354" s="546"/>
      <c r="H354" s="546"/>
      <c r="I354" s="546"/>
      <c r="J354" s="546"/>
      <c r="K354" s="546"/>
      <c r="L354" s="546"/>
      <c r="M354" s="546"/>
      <c r="N354" s="546"/>
      <c r="O354" s="559"/>
      <c r="P354" s="550" t="s">
        <v>71</v>
      </c>
      <c r="Q354" s="551"/>
      <c r="R354" s="551"/>
      <c r="S354" s="551"/>
      <c r="T354" s="551"/>
      <c r="U354" s="551"/>
      <c r="V354" s="552"/>
      <c r="W354" s="37" t="s">
        <v>72</v>
      </c>
      <c r="X354" s="543">
        <f>IFERROR(X352/H352,"0")+IFERROR(X353/H353,"0")</f>
        <v>2</v>
      </c>
      <c r="Y354" s="543">
        <f>IFERROR(Y352/H352,"0")+IFERROR(Y353/H353,"0")</f>
        <v>2</v>
      </c>
      <c r="Z354" s="543">
        <f>IFERROR(IF(Z352="",0,Z352),"0")+IFERROR(IF(Z353="",0,Z353),"0")</f>
        <v>4.3499999999999997E-2</v>
      </c>
      <c r="AA354" s="544"/>
      <c r="AB354" s="544"/>
      <c r="AC354" s="544"/>
    </row>
    <row r="355" spans="1:68" x14ac:dyDescent="0.2">
      <c r="A355" s="546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9"/>
      <c r="P355" s="550" t="s">
        <v>71</v>
      </c>
      <c r="Q355" s="551"/>
      <c r="R355" s="551"/>
      <c r="S355" s="551"/>
      <c r="T355" s="551"/>
      <c r="U355" s="551"/>
      <c r="V355" s="552"/>
      <c r="W355" s="37" t="s">
        <v>69</v>
      </c>
      <c r="X355" s="543">
        <f>IFERROR(SUM(X352:X353),"0")</f>
        <v>30</v>
      </c>
      <c r="Y355" s="543">
        <f>IFERROR(SUM(Y352:Y353),"0")</f>
        <v>30</v>
      </c>
      <c r="Z355" s="37"/>
      <c r="AA355" s="544"/>
      <c r="AB355" s="544"/>
      <c r="AC355" s="544"/>
    </row>
    <row r="356" spans="1:68" ht="14.25" customHeight="1" x14ac:dyDescent="0.25">
      <c r="A356" s="553" t="s">
        <v>73</v>
      </c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37"/>
      <c r="AB356" s="537"/>
      <c r="AC356" s="537"/>
    </row>
    <row r="357" spans="1:68" ht="27" customHeight="1" x14ac:dyDescent="0.25">
      <c r="A357" s="54" t="s">
        <v>556</v>
      </c>
      <c r="B357" s="54" t="s">
        <v>557</v>
      </c>
      <c r="C357" s="31">
        <v>4301051903</v>
      </c>
      <c r="D357" s="556">
        <v>4607091383928</v>
      </c>
      <c r="E357" s="557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6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558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4301051897</v>
      </c>
      <c r="D358" s="556">
        <v>4607091384260</v>
      </c>
      <c r="E358" s="557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561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46"/>
      <c r="C359" s="546"/>
      <c r="D359" s="546"/>
      <c r="E359" s="546"/>
      <c r="F359" s="546"/>
      <c r="G359" s="546"/>
      <c r="H359" s="546"/>
      <c r="I359" s="546"/>
      <c r="J359" s="546"/>
      <c r="K359" s="546"/>
      <c r="L359" s="546"/>
      <c r="M359" s="546"/>
      <c r="N359" s="546"/>
      <c r="O359" s="559"/>
      <c r="P359" s="550" t="s">
        <v>71</v>
      </c>
      <c r="Q359" s="551"/>
      <c r="R359" s="551"/>
      <c r="S359" s="551"/>
      <c r="T359" s="551"/>
      <c r="U359" s="551"/>
      <c r="V359" s="552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46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9"/>
      <c r="P360" s="550" t="s">
        <v>71</v>
      </c>
      <c r="Q360" s="551"/>
      <c r="R360" s="551"/>
      <c r="S360" s="551"/>
      <c r="T360" s="551"/>
      <c r="U360" s="551"/>
      <c r="V360" s="552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3" t="s">
        <v>160</v>
      </c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37"/>
      <c r="AB361" s="537"/>
      <c r="AC361" s="537"/>
    </row>
    <row r="362" spans="1:68" ht="16.5" customHeight="1" x14ac:dyDescent="0.25">
      <c r="A362" s="54" t="s">
        <v>562</v>
      </c>
      <c r="B362" s="54" t="s">
        <v>563</v>
      </c>
      <c r="C362" s="31">
        <v>4301060524</v>
      </c>
      <c r="D362" s="556">
        <v>4607091384673</v>
      </c>
      <c r="E362" s="557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1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564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8"/>
      <c r="B363" s="546"/>
      <c r="C363" s="546"/>
      <c r="D363" s="546"/>
      <c r="E363" s="546"/>
      <c r="F363" s="546"/>
      <c r="G363" s="546"/>
      <c r="H363" s="546"/>
      <c r="I363" s="546"/>
      <c r="J363" s="546"/>
      <c r="K363" s="546"/>
      <c r="L363" s="546"/>
      <c r="M363" s="546"/>
      <c r="N363" s="546"/>
      <c r="O363" s="559"/>
      <c r="P363" s="550" t="s">
        <v>71</v>
      </c>
      <c r="Q363" s="551"/>
      <c r="R363" s="551"/>
      <c r="S363" s="551"/>
      <c r="T363" s="551"/>
      <c r="U363" s="551"/>
      <c r="V363" s="552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46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9"/>
      <c r="P364" s="550" t="s">
        <v>71</v>
      </c>
      <c r="Q364" s="551"/>
      <c r="R364" s="551"/>
      <c r="S364" s="551"/>
      <c r="T364" s="551"/>
      <c r="U364" s="551"/>
      <c r="V364" s="552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45" t="s">
        <v>565</v>
      </c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46"/>
      <c r="P365" s="546"/>
      <c r="Q365" s="546"/>
      <c r="R365" s="546"/>
      <c r="S365" s="546"/>
      <c r="T365" s="546"/>
      <c r="U365" s="546"/>
      <c r="V365" s="546"/>
      <c r="W365" s="546"/>
      <c r="X365" s="546"/>
      <c r="Y365" s="546"/>
      <c r="Z365" s="546"/>
      <c r="AA365" s="536"/>
      <c r="AB365" s="536"/>
      <c r="AC365" s="536"/>
    </row>
    <row r="366" spans="1:68" ht="14.25" customHeight="1" x14ac:dyDescent="0.25">
      <c r="A366" s="553" t="s">
        <v>99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7"/>
      <c r="AB366" s="537"/>
      <c r="AC366" s="537"/>
    </row>
    <row r="367" spans="1:68" ht="37.5" customHeight="1" x14ac:dyDescent="0.25">
      <c r="A367" s="54" t="s">
        <v>566</v>
      </c>
      <c r="B367" s="54" t="s">
        <v>567</v>
      </c>
      <c r="C367" s="31">
        <v>4301011875</v>
      </c>
      <c r="D367" s="556">
        <v>4680115884885</v>
      </c>
      <c r="E367" s="557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6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568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569</v>
      </c>
      <c r="B368" s="54" t="s">
        <v>570</v>
      </c>
      <c r="C368" s="31">
        <v>4301011871</v>
      </c>
      <c r="D368" s="556">
        <v>4680115884908</v>
      </c>
      <c r="E368" s="557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107</v>
      </c>
      <c r="L368" s="32"/>
      <c r="M368" s="33" t="s">
        <v>68</v>
      </c>
      <c r="N368" s="33"/>
      <c r="O368" s="32">
        <v>60</v>
      </c>
      <c r="P368" s="5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568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8"/>
      <c r="B369" s="546"/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59"/>
      <c r="P369" s="550" t="s">
        <v>71</v>
      </c>
      <c r="Q369" s="551"/>
      <c r="R369" s="551"/>
      <c r="S369" s="551"/>
      <c r="T369" s="551"/>
      <c r="U369" s="551"/>
      <c r="V369" s="552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46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9"/>
      <c r="P370" s="550" t="s">
        <v>71</v>
      </c>
      <c r="Q370" s="551"/>
      <c r="R370" s="551"/>
      <c r="S370" s="551"/>
      <c r="T370" s="551"/>
      <c r="U370" s="551"/>
      <c r="V370" s="552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3" t="s">
        <v>64</v>
      </c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37"/>
      <c r="AB371" s="537"/>
      <c r="AC371" s="537"/>
    </row>
    <row r="372" spans="1:68" ht="27" customHeight="1" x14ac:dyDescent="0.25">
      <c r="A372" s="54" t="s">
        <v>571</v>
      </c>
      <c r="B372" s="54" t="s">
        <v>572</v>
      </c>
      <c r="C372" s="31">
        <v>4301031303</v>
      </c>
      <c r="D372" s="556">
        <v>4607091384802</v>
      </c>
      <c r="E372" s="557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107</v>
      </c>
      <c r="L372" s="32"/>
      <c r="M372" s="33" t="s">
        <v>68</v>
      </c>
      <c r="N372" s="33"/>
      <c r="O372" s="32">
        <v>35</v>
      </c>
      <c r="P372" s="74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573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571</v>
      </c>
      <c r="B373" s="54" t="s">
        <v>574</v>
      </c>
      <c r="C373" s="31">
        <v>4301031457</v>
      </c>
      <c r="D373" s="556">
        <v>4607091384802</v>
      </c>
      <c r="E373" s="557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50</v>
      </c>
      <c r="P373" s="5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575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8"/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59"/>
      <c r="P374" s="550" t="s">
        <v>71</v>
      </c>
      <c r="Q374" s="551"/>
      <c r="R374" s="551"/>
      <c r="S374" s="551"/>
      <c r="T374" s="551"/>
      <c r="U374" s="551"/>
      <c r="V374" s="552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46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9"/>
      <c r="P375" s="550" t="s">
        <v>71</v>
      </c>
      <c r="Q375" s="551"/>
      <c r="R375" s="551"/>
      <c r="S375" s="551"/>
      <c r="T375" s="551"/>
      <c r="U375" s="551"/>
      <c r="V375" s="552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3" t="s">
        <v>73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37"/>
      <c r="AB376" s="537"/>
      <c r="AC376" s="537"/>
    </row>
    <row r="377" spans="1:68" ht="27" customHeight="1" x14ac:dyDescent="0.25">
      <c r="A377" s="54" t="s">
        <v>576</v>
      </c>
      <c r="B377" s="54" t="s">
        <v>577</v>
      </c>
      <c r="C377" s="31">
        <v>4301051899</v>
      </c>
      <c r="D377" s="556">
        <v>4607091384246</v>
      </c>
      <c r="E377" s="557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/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578</v>
      </c>
      <c r="AG377" s="64"/>
      <c r="AJ377" s="68"/>
      <c r="AK377" s="68">
        <v>0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579</v>
      </c>
      <c r="B378" s="54" t="s">
        <v>580</v>
      </c>
      <c r="C378" s="31">
        <v>4301051660</v>
      </c>
      <c r="D378" s="556">
        <v>4607091384253</v>
      </c>
      <c r="E378" s="557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578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579</v>
      </c>
      <c r="B379" s="54" t="s">
        <v>581</v>
      </c>
      <c r="C379" s="31">
        <v>4301052069</v>
      </c>
      <c r="D379" s="556">
        <v>4607091384253</v>
      </c>
      <c r="E379" s="557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840" t="s">
        <v>582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8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9"/>
      <c r="P380" s="550" t="s">
        <v>71</v>
      </c>
      <c r="Q380" s="551"/>
      <c r="R380" s="551"/>
      <c r="S380" s="551"/>
      <c r="T380" s="551"/>
      <c r="U380" s="551"/>
      <c r="V380" s="552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9"/>
      <c r="P381" s="550" t="s">
        <v>71</v>
      </c>
      <c r="Q381" s="551"/>
      <c r="R381" s="551"/>
      <c r="S381" s="551"/>
      <c r="T381" s="551"/>
      <c r="U381" s="551"/>
      <c r="V381" s="552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40" t="s">
        <v>584</v>
      </c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1"/>
      <c r="P382" s="641"/>
      <c r="Q382" s="641"/>
      <c r="R382" s="641"/>
      <c r="S382" s="641"/>
      <c r="T382" s="641"/>
      <c r="U382" s="641"/>
      <c r="V382" s="641"/>
      <c r="W382" s="641"/>
      <c r="X382" s="641"/>
      <c r="Y382" s="641"/>
      <c r="Z382" s="641"/>
      <c r="AA382" s="48"/>
      <c r="AB382" s="48"/>
      <c r="AC382" s="48"/>
    </row>
    <row r="383" spans="1:68" ht="16.5" customHeight="1" x14ac:dyDescent="0.25">
      <c r="A383" s="545" t="s">
        <v>585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customHeight="1" x14ac:dyDescent="0.25">
      <c r="A384" s="553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586</v>
      </c>
      <c r="B385" s="54" t="s">
        <v>587</v>
      </c>
      <c r="C385" s="31">
        <v>4301031405</v>
      </c>
      <c r="D385" s="556">
        <v>4680115886100</v>
      </c>
      <c r="E385" s="557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6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588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589</v>
      </c>
      <c r="B386" s="54" t="s">
        <v>590</v>
      </c>
      <c r="C386" s="31">
        <v>4301031406</v>
      </c>
      <c r="D386" s="556">
        <v>4680115886117</v>
      </c>
      <c r="E386" s="557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591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592</v>
      </c>
      <c r="B387" s="54" t="s">
        <v>593</v>
      </c>
      <c r="C387" s="31">
        <v>4301031402</v>
      </c>
      <c r="D387" s="556">
        <v>4680115886124</v>
      </c>
      <c r="E387" s="557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594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4301031366</v>
      </c>
      <c r="D388" s="556">
        <v>4680115883147</v>
      </c>
      <c r="E388" s="557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588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597</v>
      </c>
      <c r="B389" s="54" t="s">
        <v>598</v>
      </c>
      <c r="C389" s="31">
        <v>4301031362</v>
      </c>
      <c r="D389" s="556">
        <v>4607091384338</v>
      </c>
      <c r="E389" s="557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588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599</v>
      </c>
      <c r="B390" s="54" t="s">
        <v>600</v>
      </c>
      <c r="C390" s="31">
        <v>4301031361</v>
      </c>
      <c r="D390" s="556">
        <v>4607091389524</v>
      </c>
      <c r="E390" s="557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601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602</v>
      </c>
      <c r="B391" s="54" t="s">
        <v>603</v>
      </c>
      <c r="C391" s="31">
        <v>4301031364</v>
      </c>
      <c r="D391" s="556">
        <v>4680115883161</v>
      </c>
      <c r="E391" s="557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604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605</v>
      </c>
      <c r="B392" s="54" t="s">
        <v>606</v>
      </c>
      <c r="C392" s="31">
        <v>4301031358</v>
      </c>
      <c r="D392" s="556">
        <v>4607091389531</v>
      </c>
      <c r="E392" s="557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607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608</v>
      </c>
      <c r="B393" s="54" t="s">
        <v>609</v>
      </c>
      <c r="C393" s="31">
        <v>4301031360</v>
      </c>
      <c r="D393" s="556">
        <v>4607091384345</v>
      </c>
      <c r="E393" s="557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8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9"/>
      <c r="P394" s="550" t="s">
        <v>71</v>
      </c>
      <c r="Q394" s="551"/>
      <c r="R394" s="551"/>
      <c r="S394" s="551"/>
      <c r="T394" s="551"/>
      <c r="U394" s="551"/>
      <c r="V394" s="552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9"/>
      <c r="P395" s="550" t="s">
        <v>71</v>
      </c>
      <c r="Q395" s="551"/>
      <c r="R395" s="551"/>
      <c r="S395" s="551"/>
      <c r="T395" s="551"/>
      <c r="U395" s="551"/>
      <c r="V395" s="552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3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customHeight="1" x14ac:dyDescent="0.25">
      <c r="A397" s="54" t="s">
        <v>610</v>
      </c>
      <c r="B397" s="54" t="s">
        <v>611</v>
      </c>
      <c r="C397" s="31">
        <v>4301051284</v>
      </c>
      <c r="D397" s="556">
        <v>4607091384352</v>
      </c>
      <c r="E397" s="557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7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612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613</v>
      </c>
      <c r="B398" s="54" t="s">
        <v>614</v>
      </c>
      <c r="C398" s="31">
        <v>4301051431</v>
      </c>
      <c r="D398" s="556">
        <v>4607091389654</v>
      </c>
      <c r="E398" s="557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6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615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8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9"/>
      <c r="P399" s="550" t="s">
        <v>71</v>
      </c>
      <c r="Q399" s="551"/>
      <c r="R399" s="551"/>
      <c r="S399" s="551"/>
      <c r="T399" s="551"/>
      <c r="U399" s="551"/>
      <c r="V399" s="552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9"/>
      <c r="P400" s="550" t="s">
        <v>71</v>
      </c>
      <c r="Q400" s="551"/>
      <c r="R400" s="551"/>
      <c r="S400" s="551"/>
      <c r="T400" s="551"/>
      <c r="U400" s="551"/>
      <c r="V400" s="552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45" t="s">
        <v>616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customHeight="1" x14ac:dyDescent="0.25">
      <c r="A402" s="553" t="s">
        <v>132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customHeight="1" x14ac:dyDescent="0.25">
      <c r="A403" s="54" t="s">
        <v>617</v>
      </c>
      <c r="B403" s="54" t="s">
        <v>618</v>
      </c>
      <c r="C403" s="31">
        <v>4301020319</v>
      </c>
      <c r="D403" s="556">
        <v>4680115885240</v>
      </c>
      <c r="E403" s="557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619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8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9"/>
      <c r="P404" s="550" t="s">
        <v>71</v>
      </c>
      <c r="Q404" s="551"/>
      <c r="R404" s="551"/>
      <c r="S404" s="551"/>
      <c r="T404" s="551"/>
      <c r="U404" s="551"/>
      <c r="V404" s="552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9"/>
      <c r="P405" s="550" t="s">
        <v>71</v>
      </c>
      <c r="Q405" s="551"/>
      <c r="R405" s="551"/>
      <c r="S405" s="551"/>
      <c r="T405" s="551"/>
      <c r="U405" s="551"/>
      <c r="V405" s="552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3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customHeight="1" x14ac:dyDescent="0.25">
      <c r="A407" s="54" t="s">
        <v>620</v>
      </c>
      <c r="B407" s="54" t="s">
        <v>621</v>
      </c>
      <c r="C407" s="31">
        <v>4301031403</v>
      </c>
      <c r="D407" s="556">
        <v>4680115886094</v>
      </c>
      <c r="E407" s="557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622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623</v>
      </c>
      <c r="B408" s="54" t="s">
        <v>624</v>
      </c>
      <c r="C408" s="31">
        <v>4301031363</v>
      </c>
      <c r="D408" s="556">
        <v>4607091389425</v>
      </c>
      <c r="E408" s="557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625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626</v>
      </c>
      <c r="B409" s="54" t="s">
        <v>627</v>
      </c>
      <c r="C409" s="31">
        <v>4301031373</v>
      </c>
      <c r="D409" s="556">
        <v>4680115880771</v>
      </c>
      <c r="E409" s="557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628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629</v>
      </c>
      <c r="B410" s="54" t="s">
        <v>630</v>
      </c>
      <c r="C410" s="31">
        <v>4301031359</v>
      </c>
      <c r="D410" s="556">
        <v>4607091389500</v>
      </c>
      <c r="E410" s="557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319</v>
      </c>
      <c r="M410" s="33" t="s">
        <v>68</v>
      </c>
      <c r="N410" s="33"/>
      <c r="O410" s="32">
        <v>50</v>
      </c>
      <c r="P410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628</v>
      </c>
      <c r="AG410" s="64"/>
      <c r="AJ410" s="68" t="s">
        <v>195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8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9"/>
      <c r="P411" s="550" t="s">
        <v>71</v>
      </c>
      <c r="Q411" s="551"/>
      <c r="R411" s="551"/>
      <c r="S411" s="551"/>
      <c r="T411" s="551"/>
      <c r="U411" s="551"/>
      <c r="V411" s="552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9"/>
      <c r="P412" s="550" t="s">
        <v>71</v>
      </c>
      <c r="Q412" s="551"/>
      <c r="R412" s="551"/>
      <c r="S412" s="551"/>
      <c r="T412" s="551"/>
      <c r="U412" s="551"/>
      <c r="V412" s="552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45" t="s">
        <v>631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customHeight="1" x14ac:dyDescent="0.25">
      <c r="A414" s="553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customHeight="1" x14ac:dyDescent="0.25">
      <c r="A415" s="54" t="s">
        <v>632</v>
      </c>
      <c r="B415" s="54" t="s">
        <v>633</v>
      </c>
      <c r="C415" s="31">
        <v>4301031347</v>
      </c>
      <c r="D415" s="556">
        <v>4680115885110</v>
      </c>
      <c r="E415" s="557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634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9"/>
      <c r="P416" s="550" t="s">
        <v>71</v>
      </c>
      <c r="Q416" s="551"/>
      <c r="R416" s="551"/>
      <c r="S416" s="551"/>
      <c r="T416" s="551"/>
      <c r="U416" s="551"/>
      <c r="V416" s="552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9"/>
      <c r="P417" s="550" t="s">
        <v>71</v>
      </c>
      <c r="Q417" s="551"/>
      <c r="R417" s="551"/>
      <c r="S417" s="551"/>
      <c r="T417" s="551"/>
      <c r="U417" s="551"/>
      <c r="V417" s="552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0" t="s">
        <v>635</v>
      </c>
      <c r="B418" s="641"/>
      <c r="C418" s="641"/>
      <c r="D418" s="641"/>
      <c r="E418" s="641"/>
      <c r="F418" s="641"/>
      <c r="G418" s="641"/>
      <c r="H418" s="641"/>
      <c r="I418" s="641"/>
      <c r="J418" s="641"/>
      <c r="K418" s="641"/>
      <c r="L418" s="641"/>
      <c r="M418" s="641"/>
      <c r="N418" s="641"/>
      <c r="O418" s="641"/>
      <c r="P418" s="641"/>
      <c r="Q418" s="641"/>
      <c r="R418" s="641"/>
      <c r="S418" s="641"/>
      <c r="T418" s="641"/>
      <c r="U418" s="641"/>
      <c r="V418" s="641"/>
      <c r="W418" s="641"/>
      <c r="X418" s="641"/>
      <c r="Y418" s="641"/>
      <c r="Z418" s="641"/>
      <c r="AA418" s="48"/>
      <c r="AB418" s="48"/>
      <c r="AC418" s="48"/>
    </row>
    <row r="419" spans="1:68" ht="16.5" customHeight="1" x14ac:dyDescent="0.25">
      <c r="A419" s="545" t="s">
        <v>635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customHeight="1" x14ac:dyDescent="0.25">
      <c r="A420" s="553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customHeight="1" x14ac:dyDescent="0.25">
      <c r="A421" s="54" t="s">
        <v>636</v>
      </c>
      <c r="B421" s="54" t="s">
        <v>637</v>
      </c>
      <c r="C421" s="31">
        <v>4301011795</v>
      </c>
      <c r="D421" s="556">
        <v>4607091389067</v>
      </c>
      <c r="E421" s="557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6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638</v>
      </c>
      <c r="B422" s="54" t="s">
        <v>639</v>
      </c>
      <c r="C422" s="31">
        <v>4301012145</v>
      </c>
      <c r="D422" s="556">
        <v>4607091383522</v>
      </c>
      <c r="E422" s="557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79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640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641</v>
      </c>
      <c r="B423" s="54" t="s">
        <v>642</v>
      </c>
      <c r="C423" s="31">
        <v>4301011961</v>
      </c>
      <c r="D423" s="556">
        <v>4680115885271</v>
      </c>
      <c r="E423" s="557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103</v>
      </c>
      <c r="N423" s="33"/>
      <c r="O423" s="32">
        <v>60</v>
      </c>
      <c r="P423" s="8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643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4301011376</v>
      </c>
      <c r="D424" s="556">
        <v>4680115885226</v>
      </c>
      <c r="E424" s="557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77</v>
      </c>
      <c r="N424" s="33"/>
      <c r="O424" s="32">
        <v>60</v>
      </c>
      <c r="P424" s="7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646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647</v>
      </c>
      <c r="B425" s="54" t="s">
        <v>648</v>
      </c>
      <c r="C425" s="31">
        <v>4301011774</v>
      </c>
      <c r="D425" s="556">
        <v>4680115884502</v>
      </c>
      <c r="E425" s="557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4301011771</v>
      </c>
      <c r="D426" s="556">
        <v>4607091389104</v>
      </c>
      <c r="E426" s="557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4301012125</v>
      </c>
      <c r="D427" s="556">
        <v>4680115886391</v>
      </c>
      <c r="E427" s="557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4301012035</v>
      </c>
      <c r="D428" s="556">
        <v>4680115880603</v>
      </c>
      <c r="E428" s="557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8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4301012036</v>
      </c>
      <c r="D429" s="556">
        <v>4680115882782</v>
      </c>
      <c r="E429" s="557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7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659</v>
      </c>
      <c r="B430" s="54" t="s">
        <v>660</v>
      </c>
      <c r="C430" s="31">
        <v>4301012050</v>
      </c>
      <c r="D430" s="556">
        <v>4680115885479</v>
      </c>
      <c r="E430" s="557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62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661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4301012034</v>
      </c>
      <c r="D431" s="556">
        <v>4607091389982</v>
      </c>
      <c r="E431" s="557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7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652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8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9"/>
      <c r="P432" s="550" t="s">
        <v>71</v>
      </c>
      <c r="Q432" s="551"/>
      <c r="R432" s="551"/>
      <c r="S432" s="551"/>
      <c r="T432" s="551"/>
      <c r="U432" s="551"/>
      <c r="V432" s="552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9"/>
      <c r="P433" s="550" t="s">
        <v>71</v>
      </c>
      <c r="Q433" s="551"/>
      <c r="R433" s="551"/>
      <c r="S433" s="551"/>
      <c r="T433" s="551"/>
      <c r="U433" s="551"/>
      <c r="V433" s="552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3" t="s">
        <v>132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664</v>
      </c>
      <c r="B435" s="54" t="s">
        <v>665</v>
      </c>
      <c r="C435" s="31">
        <v>4301020334</v>
      </c>
      <c r="D435" s="556">
        <v>4607091388930</v>
      </c>
      <c r="E435" s="557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5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666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4301020384</v>
      </c>
      <c r="D436" s="556">
        <v>4680115886407</v>
      </c>
      <c r="E436" s="557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666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669</v>
      </c>
      <c r="B437" s="54" t="s">
        <v>670</v>
      </c>
      <c r="C437" s="31">
        <v>4301020385</v>
      </c>
      <c r="D437" s="556">
        <v>4680115880054</v>
      </c>
      <c r="E437" s="557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666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8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9"/>
      <c r="P438" s="550" t="s">
        <v>71</v>
      </c>
      <c r="Q438" s="551"/>
      <c r="R438" s="551"/>
      <c r="S438" s="551"/>
      <c r="T438" s="551"/>
      <c r="U438" s="551"/>
      <c r="V438" s="552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9"/>
      <c r="P439" s="550" t="s">
        <v>71</v>
      </c>
      <c r="Q439" s="551"/>
      <c r="R439" s="551"/>
      <c r="S439" s="551"/>
      <c r="T439" s="551"/>
      <c r="U439" s="551"/>
      <c r="V439" s="552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3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671</v>
      </c>
      <c r="B441" s="54" t="s">
        <v>672</v>
      </c>
      <c r="C441" s="31">
        <v>4301031349</v>
      </c>
      <c r="D441" s="556">
        <v>4680115883116</v>
      </c>
      <c r="E441" s="557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673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674</v>
      </c>
      <c r="B442" s="54" t="s">
        <v>675</v>
      </c>
      <c r="C442" s="31">
        <v>4301031350</v>
      </c>
      <c r="D442" s="556">
        <v>4680115883093</v>
      </c>
      <c r="E442" s="557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676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677</v>
      </c>
      <c r="B443" s="54" t="s">
        <v>678</v>
      </c>
      <c r="C443" s="31">
        <v>4301031353</v>
      </c>
      <c r="D443" s="556">
        <v>4680115883109</v>
      </c>
      <c r="E443" s="557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8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4301031419</v>
      </c>
      <c r="D444" s="556">
        <v>4680115882072</v>
      </c>
      <c r="E444" s="557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5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673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4301031418</v>
      </c>
      <c r="D445" s="556">
        <v>4680115882102</v>
      </c>
      <c r="E445" s="557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684</v>
      </c>
      <c r="B446" s="54" t="s">
        <v>685</v>
      </c>
      <c r="C446" s="31">
        <v>4301031417</v>
      </c>
      <c r="D446" s="556">
        <v>4680115882096</v>
      </c>
      <c r="E446" s="557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8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9"/>
      <c r="P447" s="550" t="s">
        <v>71</v>
      </c>
      <c r="Q447" s="551"/>
      <c r="R447" s="551"/>
      <c r="S447" s="551"/>
      <c r="T447" s="551"/>
      <c r="U447" s="551"/>
      <c r="V447" s="552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9"/>
      <c r="P448" s="550" t="s">
        <v>71</v>
      </c>
      <c r="Q448" s="551"/>
      <c r="R448" s="551"/>
      <c r="S448" s="551"/>
      <c r="T448" s="551"/>
      <c r="U448" s="551"/>
      <c r="V448" s="552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3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customHeight="1" x14ac:dyDescent="0.25">
      <c r="A450" s="54" t="s">
        <v>686</v>
      </c>
      <c r="B450" s="54" t="s">
        <v>687</v>
      </c>
      <c r="C450" s="31">
        <v>4301051232</v>
      </c>
      <c r="D450" s="556">
        <v>4607091383409</v>
      </c>
      <c r="E450" s="557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688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689</v>
      </c>
      <c r="B451" s="54" t="s">
        <v>690</v>
      </c>
      <c r="C451" s="31">
        <v>4301051233</v>
      </c>
      <c r="D451" s="556">
        <v>4607091383416</v>
      </c>
      <c r="E451" s="557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691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692</v>
      </c>
      <c r="B452" s="54" t="s">
        <v>693</v>
      </c>
      <c r="C452" s="31">
        <v>4301051064</v>
      </c>
      <c r="D452" s="556">
        <v>4680115883536</v>
      </c>
      <c r="E452" s="557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694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8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9"/>
      <c r="P453" s="550" t="s">
        <v>71</v>
      </c>
      <c r="Q453" s="551"/>
      <c r="R453" s="551"/>
      <c r="S453" s="551"/>
      <c r="T453" s="551"/>
      <c r="U453" s="551"/>
      <c r="V453" s="552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9"/>
      <c r="P454" s="550" t="s">
        <v>71</v>
      </c>
      <c r="Q454" s="551"/>
      <c r="R454" s="551"/>
      <c r="S454" s="551"/>
      <c r="T454" s="551"/>
      <c r="U454" s="551"/>
      <c r="V454" s="552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0" t="s">
        <v>695</v>
      </c>
      <c r="B455" s="641"/>
      <c r="C455" s="641"/>
      <c r="D455" s="641"/>
      <c r="E455" s="641"/>
      <c r="F455" s="641"/>
      <c r="G455" s="641"/>
      <c r="H455" s="641"/>
      <c r="I455" s="641"/>
      <c r="J455" s="641"/>
      <c r="K455" s="641"/>
      <c r="L455" s="641"/>
      <c r="M455" s="641"/>
      <c r="N455" s="641"/>
      <c r="O455" s="641"/>
      <c r="P455" s="641"/>
      <c r="Q455" s="641"/>
      <c r="R455" s="641"/>
      <c r="S455" s="641"/>
      <c r="T455" s="641"/>
      <c r="U455" s="641"/>
      <c r="V455" s="641"/>
      <c r="W455" s="641"/>
      <c r="X455" s="641"/>
      <c r="Y455" s="641"/>
      <c r="Z455" s="641"/>
      <c r="AA455" s="48"/>
      <c r="AB455" s="48"/>
      <c r="AC455" s="48"/>
    </row>
    <row r="456" spans="1:68" ht="16.5" customHeight="1" x14ac:dyDescent="0.25">
      <c r="A456" s="545" t="s">
        <v>695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customHeight="1" x14ac:dyDescent="0.25">
      <c r="A457" s="553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customHeight="1" x14ac:dyDescent="0.25">
      <c r="A458" s="54" t="s">
        <v>696</v>
      </c>
      <c r="B458" s="54" t="s">
        <v>697</v>
      </c>
      <c r="C458" s="31">
        <v>4301011763</v>
      </c>
      <c r="D458" s="556">
        <v>4640242181011</v>
      </c>
      <c r="E458" s="557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698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699</v>
      </c>
      <c r="B459" s="54" t="s">
        <v>700</v>
      </c>
      <c r="C459" s="31">
        <v>4301011585</v>
      </c>
      <c r="D459" s="556">
        <v>4640242180441</v>
      </c>
      <c r="E459" s="557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69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701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702</v>
      </c>
      <c r="B460" s="54" t="s">
        <v>703</v>
      </c>
      <c r="C460" s="31">
        <v>4301011584</v>
      </c>
      <c r="D460" s="556">
        <v>4640242180564</v>
      </c>
      <c r="E460" s="557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6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704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705</v>
      </c>
      <c r="B461" s="54" t="s">
        <v>706</v>
      </c>
      <c r="C461" s="31">
        <v>4301011764</v>
      </c>
      <c r="D461" s="556">
        <v>4640242181189</v>
      </c>
      <c r="E461" s="557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6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8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9"/>
      <c r="P462" s="550" t="s">
        <v>71</v>
      </c>
      <c r="Q462" s="551"/>
      <c r="R462" s="551"/>
      <c r="S462" s="551"/>
      <c r="T462" s="551"/>
      <c r="U462" s="551"/>
      <c r="V462" s="552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9"/>
      <c r="P463" s="550" t="s">
        <v>71</v>
      </c>
      <c r="Q463" s="551"/>
      <c r="R463" s="551"/>
      <c r="S463" s="551"/>
      <c r="T463" s="551"/>
      <c r="U463" s="551"/>
      <c r="V463" s="552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3" t="s">
        <v>132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customHeight="1" x14ac:dyDescent="0.25">
      <c r="A465" s="54" t="s">
        <v>707</v>
      </c>
      <c r="B465" s="54" t="s">
        <v>708</v>
      </c>
      <c r="C465" s="31">
        <v>4301020400</v>
      </c>
      <c r="D465" s="556">
        <v>4640242180519</v>
      </c>
      <c r="E465" s="557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709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710</v>
      </c>
      <c r="B466" s="54" t="s">
        <v>711</v>
      </c>
      <c r="C466" s="31">
        <v>4301020260</v>
      </c>
      <c r="D466" s="556">
        <v>4640242180526</v>
      </c>
      <c r="E466" s="557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712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713</v>
      </c>
      <c r="B467" s="54" t="s">
        <v>714</v>
      </c>
      <c r="C467" s="31">
        <v>4301020295</v>
      </c>
      <c r="D467" s="556">
        <v>4640242181363</v>
      </c>
      <c r="E467" s="557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78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715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8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9"/>
      <c r="P468" s="550" t="s">
        <v>71</v>
      </c>
      <c r="Q468" s="551"/>
      <c r="R468" s="551"/>
      <c r="S468" s="551"/>
      <c r="T468" s="551"/>
      <c r="U468" s="551"/>
      <c r="V468" s="552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9"/>
      <c r="P469" s="550" t="s">
        <v>71</v>
      </c>
      <c r="Q469" s="551"/>
      <c r="R469" s="551"/>
      <c r="S469" s="551"/>
      <c r="T469" s="551"/>
      <c r="U469" s="551"/>
      <c r="V469" s="552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3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customHeight="1" x14ac:dyDescent="0.25">
      <c r="A471" s="54" t="s">
        <v>716</v>
      </c>
      <c r="B471" s="54" t="s">
        <v>717</v>
      </c>
      <c r="C471" s="31">
        <v>4301031280</v>
      </c>
      <c r="D471" s="556">
        <v>4640242180816</v>
      </c>
      <c r="E471" s="557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718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719</v>
      </c>
      <c r="B472" s="54" t="s">
        <v>720</v>
      </c>
      <c r="C472" s="31">
        <v>4301031244</v>
      </c>
      <c r="D472" s="556">
        <v>4640242180595</v>
      </c>
      <c r="E472" s="557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68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721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8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9"/>
      <c r="P473" s="550" t="s">
        <v>71</v>
      </c>
      <c r="Q473" s="551"/>
      <c r="R473" s="551"/>
      <c r="S473" s="551"/>
      <c r="T473" s="551"/>
      <c r="U473" s="551"/>
      <c r="V473" s="552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9"/>
      <c r="P474" s="550" t="s">
        <v>71</v>
      </c>
      <c r="Q474" s="551"/>
      <c r="R474" s="551"/>
      <c r="S474" s="551"/>
      <c r="T474" s="551"/>
      <c r="U474" s="551"/>
      <c r="V474" s="552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3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722</v>
      </c>
      <c r="B476" s="54" t="s">
        <v>723</v>
      </c>
      <c r="C476" s="31">
        <v>4301052046</v>
      </c>
      <c r="D476" s="556">
        <v>4640242180533</v>
      </c>
      <c r="E476" s="557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8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724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8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9"/>
      <c r="P477" s="550" t="s">
        <v>71</v>
      </c>
      <c r="Q477" s="551"/>
      <c r="R477" s="551"/>
      <c r="S477" s="551"/>
      <c r="T477" s="551"/>
      <c r="U477" s="551"/>
      <c r="V477" s="552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9"/>
      <c r="P478" s="550" t="s">
        <v>71</v>
      </c>
      <c r="Q478" s="551"/>
      <c r="R478" s="551"/>
      <c r="S478" s="551"/>
      <c r="T478" s="551"/>
      <c r="U478" s="551"/>
      <c r="V478" s="552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3" t="s">
        <v>160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customHeight="1" x14ac:dyDescent="0.25">
      <c r="A480" s="54" t="s">
        <v>725</v>
      </c>
      <c r="B480" s="54" t="s">
        <v>726</v>
      </c>
      <c r="C480" s="31">
        <v>4301060491</v>
      </c>
      <c r="D480" s="556">
        <v>4640242180120</v>
      </c>
      <c r="E480" s="557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727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728</v>
      </c>
      <c r="B481" s="54" t="s">
        <v>729</v>
      </c>
      <c r="C481" s="31">
        <v>4301060493</v>
      </c>
      <c r="D481" s="556">
        <v>4640242180137</v>
      </c>
      <c r="E481" s="557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730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8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9"/>
      <c r="P482" s="550" t="s">
        <v>71</v>
      </c>
      <c r="Q482" s="551"/>
      <c r="R482" s="551"/>
      <c r="S482" s="551"/>
      <c r="T482" s="551"/>
      <c r="U482" s="551"/>
      <c r="V482" s="552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9"/>
      <c r="P483" s="550" t="s">
        <v>71</v>
      </c>
      <c r="Q483" s="551"/>
      <c r="R483" s="551"/>
      <c r="S483" s="551"/>
      <c r="T483" s="551"/>
      <c r="U483" s="551"/>
      <c r="V483" s="552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45" t="s">
        <v>731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customHeight="1" x14ac:dyDescent="0.25">
      <c r="A485" s="553" t="s">
        <v>132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customHeight="1" x14ac:dyDescent="0.25">
      <c r="A486" s="54" t="s">
        <v>732</v>
      </c>
      <c r="B486" s="54" t="s">
        <v>733</v>
      </c>
      <c r="C486" s="31">
        <v>4301020314</v>
      </c>
      <c r="D486" s="556">
        <v>4640242180090</v>
      </c>
      <c r="E486" s="557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61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734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8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9"/>
      <c r="P487" s="550" t="s">
        <v>71</v>
      </c>
      <c r="Q487" s="551"/>
      <c r="R487" s="551"/>
      <c r="S487" s="551"/>
      <c r="T487" s="551"/>
      <c r="U487" s="551"/>
      <c r="V487" s="552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9"/>
      <c r="P488" s="550" t="s">
        <v>71</v>
      </c>
      <c r="Q488" s="551"/>
      <c r="R488" s="551"/>
      <c r="S488" s="551"/>
      <c r="T488" s="551"/>
      <c r="U488" s="551"/>
      <c r="V488" s="552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4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575"/>
      <c r="P489" s="615" t="s">
        <v>735</v>
      </c>
      <c r="Q489" s="616"/>
      <c r="R489" s="616"/>
      <c r="S489" s="616"/>
      <c r="T489" s="616"/>
      <c r="U489" s="616"/>
      <c r="V489" s="598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6541.6599999999989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6541.66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575"/>
      <c r="P490" s="615" t="s">
        <v>736</v>
      </c>
      <c r="Q490" s="616"/>
      <c r="R490" s="616"/>
      <c r="S490" s="616"/>
      <c r="T490" s="616"/>
      <c r="U490" s="616"/>
      <c r="V490" s="598"/>
      <c r="W490" s="37" t="s">
        <v>69</v>
      </c>
      <c r="X490" s="543">
        <f>IFERROR(SUM(BM22:BM486),"0")</f>
        <v>6995.9019999999982</v>
      </c>
      <c r="Y490" s="543">
        <f>IFERROR(SUM(BN22:BN486),"0")</f>
        <v>6995.9019999999982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575"/>
      <c r="P491" s="615" t="s">
        <v>737</v>
      </c>
      <c r="Q491" s="616"/>
      <c r="R491" s="616"/>
      <c r="S491" s="616"/>
      <c r="T491" s="616"/>
      <c r="U491" s="616"/>
      <c r="V491" s="598"/>
      <c r="W491" s="37" t="s">
        <v>738</v>
      </c>
      <c r="X491" s="38">
        <f>ROUNDUP(SUM(BO22:BO486),0)</f>
        <v>13</v>
      </c>
      <c r="Y491" s="38">
        <f>ROUNDUP(SUM(BP22:BP486),0)</f>
        <v>13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575"/>
      <c r="P492" s="615" t="s">
        <v>739</v>
      </c>
      <c r="Q492" s="616"/>
      <c r="R492" s="616"/>
      <c r="S492" s="616"/>
      <c r="T492" s="616"/>
      <c r="U492" s="616"/>
      <c r="V492" s="598"/>
      <c r="W492" s="37" t="s">
        <v>69</v>
      </c>
      <c r="X492" s="543">
        <f>GrossWeightTotal+PalletQtyTotal*25</f>
        <v>7320.9019999999982</v>
      </c>
      <c r="Y492" s="543">
        <f>GrossWeightTotalR+PalletQtyTotalR*25</f>
        <v>7320.9019999999982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575"/>
      <c r="P493" s="615" t="s">
        <v>740</v>
      </c>
      <c r="Q493" s="616"/>
      <c r="R493" s="616"/>
      <c r="S493" s="616"/>
      <c r="T493" s="616"/>
      <c r="U493" s="616"/>
      <c r="V493" s="598"/>
      <c r="W493" s="37" t="s">
        <v>738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2052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2052</v>
      </c>
      <c r="Z493" s="37"/>
      <c r="AA493" s="544"/>
      <c r="AB493" s="544"/>
      <c r="AC493" s="544"/>
    </row>
    <row r="494" spans="1:68" ht="14.25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575"/>
      <c r="P494" s="615" t="s">
        <v>741</v>
      </c>
      <c r="Q494" s="616"/>
      <c r="R494" s="616"/>
      <c r="S494" s="616"/>
      <c r="T494" s="616"/>
      <c r="U494" s="616"/>
      <c r="V494" s="598"/>
      <c r="W494" s="39" t="s">
        <v>742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15.357670000000001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743</v>
      </c>
      <c r="B496" s="538" t="s">
        <v>63</v>
      </c>
      <c r="C496" s="554" t="s">
        <v>97</v>
      </c>
      <c r="D496" s="632"/>
      <c r="E496" s="632"/>
      <c r="F496" s="632"/>
      <c r="G496" s="632"/>
      <c r="H496" s="625"/>
      <c r="I496" s="554" t="s">
        <v>249</v>
      </c>
      <c r="J496" s="632"/>
      <c r="K496" s="632"/>
      <c r="L496" s="632"/>
      <c r="M496" s="632"/>
      <c r="N496" s="632"/>
      <c r="O496" s="632"/>
      <c r="P496" s="632"/>
      <c r="Q496" s="632"/>
      <c r="R496" s="625"/>
      <c r="S496" s="554" t="s">
        <v>529</v>
      </c>
      <c r="T496" s="625"/>
      <c r="U496" s="554" t="s">
        <v>584</v>
      </c>
      <c r="V496" s="632"/>
      <c r="W496" s="625"/>
      <c r="X496" s="538" t="s">
        <v>635</v>
      </c>
      <c r="Y496" s="554" t="s">
        <v>695</v>
      </c>
      <c r="Z496" s="625"/>
      <c r="AB496" s="52"/>
      <c r="AC496" s="52"/>
      <c r="AF496" s="539"/>
    </row>
    <row r="497" spans="1:32" ht="14.25" customHeight="1" thickTop="1" x14ac:dyDescent="0.2">
      <c r="A497" s="633" t="s">
        <v>744</v>
      </c>
      <c r="B497" s="554" t="s">
        <v>63</v>
      </c>
      <c r="C497" s="554" t="s">
        <v>98</v>
      </c>
      <c r="D497" s="554" t="s">
        <v>113</v>
      </c>
      <c r="E497" s="554" t="s">
        <v>167</v>
      </c>
      <c r="F497" s="554" t="s">
        <v>186</v>
      </c>
      <c r="G497" s="554" t="s">
        <v>219</v>
      </c>
      <c r="H497" s="554" t="s">
        <v>97</v>
      </c>
      <c r="I497" s="554" t="s">
        <v>250</v>
      </c>
      <c r="J497" s="554" t="s">
        <v>294</v>
      </c>
      <c r="K497" s="554" t="s">
        <v>354</v>
      </c>
      <c r="L497" s="554" t="s">
        <v>396</v>
      </c>
      <c r="M497" s="554" t="s">
        <v>412</v>
      </c>
      <c r="N497" s="539"/>
      <c r="O497" s="554" t="s">
        <v>423</v>
      </c>
      <c r="P497" s="554" t="s">
        <v>432</v>
      </c>
      <c r="Q497" s="554" t="s">
        <v>445</v>
      </c>
      <c r="R497" s="554" t="s">
        <v>519</v>
      </c>
      <c r="S497" s="554" t="s">
        <v>530</v>
      </c>
      <c r="T497" s="554" t="s">
        <v>565</v>
      </c>
      <c r="U497" s="554" t="s">
        <v>585</v>
      </c>
      <c r="V497" s="554" t="s">
        <v>616</v>
      </c>
      <c r="W497" s="554" t="s">
        <v>631</v>
      </c>
      <c r="X497" s="554" t="s">
        <v>635</v>
      </c>
      <c r="Y497" s="554" t="s">
        <v>695</v>
      </c>
      <c r="Z497" s="554" t="s">
        <v>731</v>
      </c>
      <c r="AB497" s="52"/>
      <c r="AC497" s="52"/>
      <c r="AF497" s="539"/>
    </row>
    <row r="498" spans="1:32" ht="13.5" customHeight="1" thickBot="1" x14ac:dyDescent="0.25">
      <c r="A498" s="634"/>
      <c r="B498" s="555"/>
      <c r="C498" s="555"/>
      <c r="D498" s="555"/>
      <c r="E498" s="555"/>
      <c r="F498" s="555"/>
      <c r="G498" s="555"/>
      <c r="H498" s="555"/>
      <c r="I498" s="555"/>
      <c r="J498" s="555"/>
      <c r="K498" s="555"/>
      <c r="L498" s="555"/>
      <c r="M498" s="555"/>
      <c r="N498" s="539"/>
      <c r="O498" s="555"/>
      <c r="P498" s="555"/>
      <c r="Q498" s="555"/>
      <c r="R498" s="555"/>
      <c r="S498" s="555"/>
      <c r="T498" s="555"/>
      <c r="U498" s="555"/>
      <c r="V498" s="555"/>
      <c r="W498" s="555"/>
      <c r="X498" s="555"/>
      <c r="Y498" s="555"/>
      <c r="Z498" s="555"/>
      <c r="AB498" s="52"/>
      <c r="AC498" s="52"/>
      <c r="AF498" s="539"/>
    </row>
    <row r="499" spans="1:32" ht="18" customHeight="1" thickTop="1" thickBot="1" x14ac:dyDescent="0.25">
      <c r="A499" s="40" t="s">
        <v>745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280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405</v>
      </c>
      <c r="E499" s="46">
        <f>IFERROR(Y85*1,"0")+IFERROR(Y86*1,"0")+IFERROR(Y87*1,"0")+IFERROR(Y91*1,"0")+IFERROR(Y92*1,"0")+IFERROR(Y93*1,"0")+IFERROR(Y94*1,"0")</f>
        <v>1014.3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2738.7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753.6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33.659999999999997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1226.4000000000001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90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UwsC8Lxy8mArJPFfUN2uuqm0IAEDxEYuh4AxqLEtKYXoBXsodzr1AyF3rgHi6CcMFKOVo6KoW4Y+EarXsA/aw==" saltValue="Va5lUmsDyYSUYjKL0spl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D398:E398"/>
    <mergeCell ref="P79:T79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1 X114 X199 X209 X211 X335:X336 X410" xr:uid="{00000000-0002-0000-0000-000011000000}">
      <formula1>IF(AK101&gt;0,OR(X101=0,AND(IF(X101-AK101&gt;=0,TRUE,FALSE),X101&gt;0,IF(X101/H101=ROUND(X101/H101,0),TRUE,FALSE))),FALSE)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746</v>
      </c>
      <c r="H1" s="52"/>
    </row>
    <row r="3" spans="2:8" x14ac:dyDescent="0.2">
      <c r="B3" s="47" t="s">
        <v>747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748</v>
      </c>
      <c r="D6" s="47" t="s">
        <v>749</v>
      </c>
      <c r="E6" s="47"/>
    </row>
    <row r="8" spans="2:8" x14ac:dyDescent="0.2">
      <c r="B8" s="47" t="s">
        <v>19</v>
      </c>
      <c r="C8" s="47" t="s">
        <v>748</v>
      </c>
      <c r="D8" s="47"/>
      <c r="E8" s="47"/>
    </row>
    <row r="10" spans="2:8" x14ac:dyDescent="0.2">
      <c r="B10" s="47" t="s">
        <v>750</v>
      </c>
      <c r="C10" s="47"/>
      <c r="D10" s="47"/>
      <c r="E10" s="47"/>
    </row>
    <row r="11" spans="2:8" x14ac:dyDescent="0.2">
      <c r="B11" s="47" t="s">
        <v>751</v>
      </c>
      <c r="C11" s="47"/>
      <c r="D11" s="47"/>
      <c r="E11" s="47"/>
    </row>
    <row r="12" spans="2:8" x14ac:dyDescent="0.2">
      <c r="B12" s="47" t="s">
        <v>752</v>
      </c>
      <c r="C12" s="47"/>
      <c r="D12" s="47"/>
      <c r="E12" s="47"/>
    </row>
    <row r="13" spans="2:8" x14ac:dyDescent="0.2">
      <c r="B13" s="47" t="s">
        <v>753</v>
      </c>
      <c r="C13" s="47"/>
      <c r="D13" s="47"/>
      <c r="E13" s="47"/>
    </row>
    <row r="14" spans="2:8" x14ac:dyDescent="0.2">
      <c r="B14" s="47" t="s">
        <v>754</v>
      </c>
      <c r="C14" s="47"/>
      <c r="D14" s="47"/>
      <c r="E14" s="47"/>
    </row>
    <row r="15" spans="2:8" x14ac:dyDescent="0.2">
      <c r="B15" s="47" t="s">
        <v>755</v>
      </c>
      <c r="C15" s="47"/>
      <c r="D15" s="47"/>
      <c r="E15" s="47"/>
    </row>
    <row r="16" spans="2:8" x14ac:dyDescent="0.2">
      <c r="B16" s="47" t="s">
        <v>756</v>
      </c>
      <c r="C16" s="47"/>
      <c r="D16" s="47"/>
      <c r="E16" s="47"/>
    </row>
    <row r="17" spans="2:5" x14ac:dyDescent="0.2">
      <c r="B17" s="47" t="s">
        <v>757</v>
      </c>
      <c r="C17" s="47"/>
      <c r="D17" s="47"/>
      <c r="E17" s="47"/>
    </row>
    <row r="18" spans="2:5" x14ac:dyDescent="0.2">
      <c r="B18" s="47" t="s">
        <v>758</v>
      </c>
      <c r="C18" s="47"/>
      <c r="D18" s="47"/>
      <c r="E18" s="47"/>
    </row>
    <row r="19" spans="2:5" x14ac:dyDescent="0.2">
      <c r="B19" s="47" t="s">
        <v>759</v>
      </c>
      <c r="C19" s="47"/>
      <c r="D19" s="47"/>
      <c r="E19" s="47"/>
    </row>
    <row r="20" spans="2:5" x14ac:dyDescent="0.2">
      <c r="B20" s="47" t="s">
        <v>760</v>
      </c>
      <c r="C20" s="47"/>
      <c r="D20" s="47"/>
      <c r="E20" s="47"/>
    </row>
  </sheetData>
  <sheetProtection algorithmName="SHA-512" hashValue="Xkfqj2vh2Jjj2eb0GuWpiWKCFXXHzmF2XN7l5l+eEkMzDRivTO36dM8f7dKTzabW0oWTT1R5dMxPOMrCvwj04A==" saltValue="XE/djHkZ0V2vPuSrwdvM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