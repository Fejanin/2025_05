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2A0B4155-D112-40EF-AE05-BF7218DC3BA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81" i="1" l="1"/>
  <c r="Z187" i="1"/>
  <c r="Y31" i="1"/>
  <c r="Y43" i="1"/>
  <c r="Y493" i="1" s="1"/>
  <c r="Y58" i="1"/>
  <c r="Y64" i="1"/>
  <c r="Y70" i="1"/>
  <c r="Y77" i="1"/>
  <c r="BP72" i="1"/>
  <c r="BN72" i="1"/>
  <c r="Z72" i="1"/>
  <c r="Y76" i="1"/>
  <c r="BP80" i="1"/>
  <c r="BN80" i="1"/>
  <c r="Z80" i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BP162" i="1"/>
  <c r="BN162" i="1"/>
  <c r="Z162" i="1"/>
  <c r="Z171" i="1" s="1"/>
  <c r="BP165" i="1"/>
  <c r="BN165" i="1"/>
  <c r="Z165" i="1"/>
  <c r="BP169" i="1"/>
  <c r="BN169" i="1"/>
  <c r="Z169" i="1"/>
  <c r="BP186" i="1"/>
  <c r="BN186" i="1"/>
  <c r="Z186" i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Z324" i="1" s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Z31" i="1" s="1"/>
  <c r="BN27" i="1"/>
  <c r="Y490" i="1" s="1"/>
  <c r="Y492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BN60" i="1"/>
  <c r="BP60" i="1"/>
  <c r="Y491" i="1" s="1"/>
  <c r="Z62" i="1"/>
  <c r="BN62" i="1"/>
  <c r="Z66" i="1"/>
  <c r="Z69" i="1" s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Z148" i="1"/>
  <c r="BP146" i="1"/>
  <c r="BN146" i="1"/>
  <c r="Z146" i="1"/>
  <c r="Y172" i="1"/>
  <c r="BP164" i="1"/>
  <c r="BN164" i="1"/>
  <c r="Z164" i="1"/>
  <c r="BP167" i="1"/>
  <c r="BN167" i="1"/>
  <c r="Z167" i="1"/>
  <c r="Y171" i="1"/>
  <c r="Z177" i="1"/>
  <c r="BP175" i="1"/>
  <c r="BN175" i="1"/>
  <c r="Z175" i="1"/>
  <c r="Y192" i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Z274" i="1" s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Z482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Z380" i="1" s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337" i="1" l="1"/>
  <c r="Z438" i="1"/>
  <c r="Z447" i="1"/>
  <c r="Z432" i="1"/>
  <c r="Z349" i="1"/>
  <c r="Z330" i="1"/>
  <c r="Z203" i="1"/>
  <c r="Z63" i="1"/>
  <c r="Z494" i="1" s="1"/>
  <c r="X492" i="1"/>
  <c r="Z215" i="1"/>
  <c r="Z88" i="1"/>
  <c r="Z76" i="1"/>
  <c r="Z394" i="1"/>
  <c r="Z304" i="1"/>
  <c r="Z294" i="1"/>
  <c r="Y489" i="1"/>
  <c r="Z234" i="1"/>
</calcChain>
</file>

<file path=xl/sharedStrings.xml><?xml version="1.0" encoding="utf-8"?>
<sst xmlns="http://schemas.openxmlformats.org/spreadsheetml/2006/main" count="2274" uniqueCount="762">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</sst>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0.375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200</v>
      </c>
      <c r="Y40" s="542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320</v>
      </c>
      <c r="Y41" s="542">
        <f>IFERROR(IF(X41="",0,CEILING((X41/$H41),1)*$H41),"")</f>
        <v>320</v>
      </c>
      <c r="Z41" s="36">
        <f>IFERROR(IF(Y41=0,"",ROUNDUP(Y41/H41,0)*0.00902),"")</f>
        <v>0.72160000000000002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335.20000000000005</v>
      </c>
      <c r="BN41" s="64">
        <f>IFERROR(Y41*I41/H41,"0")</f>
        <v>335.20000000000005</v>
      </c>
      <c r="BO41" s="64">
        <f>IFERROR(1/J41*(X41/H41),"0")</f>
        <v>0.60606060606060608</v>
      </c>
      <c r="BP41" s="64">
        <f>IFERROR(1/J41*(Y41/H41),"0")</f>
        <v>0.60606060606060608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98.518518518518519</v>
      </c>
      <c r="Y43" s="543">
        <f>IFERROR(Y40/H40,"0")+IFERROR(Y41/H41,"0")+IFERROR(Y42/H42,"0")</f>
        <v>99</v>
      </c>
      <c r="Z43" s="543">
        <f>IFERROR(IF(Z40="",0,Z40),"0")+IFERROR(IF(Z41="",0,Z41),"0")+IFERROR(IF(Z42="",0,Z42),"0")</f>
        <v>1.08222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520</v>
      </c>
      <c r="Y44" s="543">
        <f>IFERROR(SUM(Y40:Y42),"0")</f>
        <v>525.20000000000005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150</v>
      </c>
      <c r="Y52" s="542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155.69444444444446</v>
      </c>
      <c r="BN52" s="64">
        <f t="shared" si="2"/>
        <v>156.94</v>
      </c>
      <c r="BO52" s="64">
        <f t="shared" si="3"/>
        <v>0.21701388888888887</v>
      </c>
      <c r="BP52" s="64">
        <f t="shared" si="4"/>
        <v>0.21875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360</v>
      </c>
      <c r="Y56" s="542">
        <f t="shared" si="0"/>
        <v>360</v>
      </c>
      <c r="Z56" s="36">
        <f>IFERROR(IF(Y56=0,"",ROUNDUP(Y56/H56,0)*0.00902),"")</f>
        <v>0.72160000000000002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375.20000000000005</v>
      </c>
      <c r="BN56" s="64">
        <f t="shared" si="2"/>
        <v>375.20000000000005</v>
      </c>
      <c r="BO56" s="64">
        <f t="shared" si="3"/>
        <v>0.60606060606060608</v>
      </c>
      <c r="BP56" s="64">
        <f t="shared" si="4"/>
        <v>0.60606060606060608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93.888888888888886</v>
      </c>
      <c r="Y57" s="543">
        <f>IFERROR(Y51/H51,"0")+IFERROR(Y52/H52,"0")+IFERROR(Y53/H53,"0")+IFERROR(Y54/H54,"0")+IFERROR(Y55/H55,"0")+IFERROR(Y56/H56,"0")</f>
        <v>94</v>
      </c>
      <c r="Z57" s="543">
        <f>IFERROR(IF(Z51="",0,Z51),"0")+IFERROR(IF(Z52="",0,Z52),"0")+IFERROR(IF(Z53="",0,Z53),"0")+IFERROR(IF(Z54="",0,Z54),"0")+IFERROR(IF(Z55="",0,Z55),"0")+IFERROR(IF(Z56="",0,Z56),"0")</f>
        <v>0.98731999999999998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510</v>
      </c>
      <c r="Y58" s="543">
        <f>IFERROR(SUM(Y51:Y56),"0")</f>
        <v>511.20000000000005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200</v>
      </c>
      <c r="Y60" s="542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157.5</v>
      </c>
      <c r="Y62" s="542">
        <f>IFERROR(IF(X62="",0,CEILING((X62/$H62),1)*$H62),"")</f>
        <v>159.30000000000001</v>
      </c>
      <c r="Z62" s="36">
        <f>IFERROR(IF(Y62=0,"",ROUNDUP(Y62/H62,0)*0.00651),"")</f>
        <v>0.38408999999999999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167.99999999999997</v>
      </c>
      <c r="BN62" s="64">
        <f>IFERROR(Y62*I62/H62,"0")</f>
        <v>169.92</v>
      </c>
      <c r="BO62" s="64">
        <f>IFERROR(1/J62*(X62/H62),"0")</f>
        <v>0.32051282051282048</v>
      </c>
      <c r="BP62" s="64">
        <f>IFERROR(1/J62*(Y62/H62),"0")</f>
        <v>0.32417582417582419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76.851851851851848</v>
      </c>
      <c r="Y63" s="543">
        <f>IFERROR(Y60/H60,"0")+IFERROR(Y61/H61,"0")+IFERROR(Y62/H62,"0")</f>
        <v>78</v>
      </c>
      <c r="Z63" s="543">
        <f>IFERROR(IF(Z60="",0,Z60),"0")+IFERROR(IF(Z61="",0,Z61),"0")+IFERROR(IF(Z62="",0,Z62),"0")</f>
        <v>0.74470999999999998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357.5</v>
      </c>
      <c r="Y64" s="543">
        <f>IFERROR(SUM(Y60:Y62),"0")</f>
        <v>364.5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20</v>
      </c>
      <c r="Y79" s="542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2.5641025641025643</v>
      </c>
      <c r="Y81" s="543">
        <f>IFERROR(Y79/H79,"0")+IFERROR(Y80/H80,"0")</f>
        <v>3</v>
      </c>
      <c r="Z81" s="543">
        <f>IFERROR(IF(Z79="",0,Z79),"0")+IFERROR(IF(Z80="",0,Z80),"0")</f>
        <v>5.6940000000000004E-2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20</v>
      </c>
      <c r="Y82" s="543">
        <f>IFERROR(SUM(Y79:Y80),"0")</f>
        <v>23.4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120</v>
      </c>
      <c r="Y85" s="542">
        <f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124.55555555555556</v>
      </c>
      <c r="BN85" s="64">
        <f>IFERROR(Y85*I85/H85,"0")</f>
        <v>134.52000000000001</v>
      </c>
      <c r="BO85" s="64">
        <f>IFERROR(1/J85*(X85/H85),"0")</f>
        <v>0.1736111111111111</v>
      </c>
      <c r="BP85" s="64">
        <f>IFERROR(1/J85*(Y85/H85),"0")</f>
        <v>0.18750000000000003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495</v>
      </c>
      <c r="Y87" s="542">
        <f>IFERROR(IF(X87="",0,CEILING((X87/$H87),1)*$H87),"")</f>
        <v>495</v>
      </c>
      <c r="Z87" s="36">
        <f>IFERROR(IF(Y87=0,"",ROUNDUP(Y87/H87,0)*0.00902),"")</f>
        <v>0.99219999999999997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515.90000000000009</v>
      </c>
      <c r="BN87" s="64">
        <f>IFERROR(Y87*I87/H87,"0")</f>
        <v>515.90000000000009</v>
      </c>
      <c r="BO87" s="64">
        <f>IFERROR(1/J87*(X87/H87),"0")</f>
        <v>0.83333333333333337</v>
      </c>
      <c r="BP87" s="64">
        <f>IFERROR(1/J87*(Y87/H87),"0")</f>
        <v>0.83333333333333337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121.11111111111111</v>
      </c>
      <c r="Y88" s="543">
        <f>IFERROR(Y85/H85,"0")+IFERROR(Y86/H86,"0")+IFERROR(Y87/H87,"0")</f>
        <v>122</v>
      </c>
      <c r="Z88" s="543">
        <f>IFERROR(IF(Z85="",0,Z85),"0")+IFERROR(IF(Z86="",0,Z86),"0")+IFERROR(IF(Z87="",0,Z87),"0")</f>
        <v>1.2199599999999999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615</v>
      </c>
      <c r="Y89" s="543">
        <f>IFERROR(SUM(Y85:Y87),"0")</f>
        <v>624.6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300</v>
      </c>
      <c r="Y91" s="542">
        <f>IFERROR(IF(X91="",0,CEILING((X91/$H91),1)*$H91),"")</f>
        <v>307.8</v>
      </c>
      <c r="Z91" s="36">
        <f>IFERROR(IF(Y91=0,"",ROUNDUP(Y91/H91,0)*0.01898),"")</f>
        <v>0.72123999999999999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318.2962962962963</v>
      </c>
      <c r="BN91" s="64">
        <f>IFERROR(Y91*I91/H91,"0")</f>
        <v>326.572</v>
      </c>
      <c r="BO91" s="64">
        <f>IFERROR(1/J91*(X91/H91),"0")</f>
        <v>0.57870370370370372</v>
      </c>
      <c r="BP91" s="64">
        <f>IFERROR(1/J91*(Y91/H91),"0")</f>
        <v>0.59375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405</v>
      </c>
      <c r="Y93" s="542">
        <f>IFERROR(IF(X93="",0,CEILING((X93/$H93),1)*$H93),"")</f>
        <v>405</v>
      </c>
      <c r="Z93" s="36">
        <f>IFERROR(IF(Y93=0,"",ROUNDUP(Y93/H93,0)*0.00651),"")</f>
        <v>0.97650000000000003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442.79999999999995</v>
      </c>
      <c r="BN93" s="64">
        <f>IFERROR(Y93*I93/H93,"0")</f>
        <v>442.79999999999995</v>
      </c>
      <c r="BO93" s="64">
        <f>IFERROR(1/J93*(X93/H93),"0")</f>
        <v>0.82417582417582425</v>
      </c>
      <c r="BP93" s="64">
        <f>IFERROR(1/J93*(Y93/H93),"0")</f>
        <v>0.82417582417582425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187.03703703703704</v>
      </c>
      <c r="Y95" s="543">
        <f>IFERROR(Y91/H91,"0")+IFERROR(Y92/H92,"0")+IFERROR(Y93/H93,"0")+IFERROR(Y94/H94,"0")</f>
        <v>188</v>
      </c>
      <c r="Z95" s="543">
        <f>IFERROR(IF(Z91="",0,Z91),"0")+IFERROR(IF(Z92="",0,Z92),"0")+IFERROR(IF(Z93="",0,Z93),"0")+IFERROR(IF(Z94="",0,Z94),"0")</f>
        <v>1.69774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705</v>
      </c>
      <c r="Y96" s="543">
        <f>IFERROR(SUM(Y91:Y94),"0")</f>
        <v>712.8</v>
      </c>
      <c r="Z96" s="37"/>
      <c r="AA96" s="544"/>
      <c r="AB96" s="544"/>
      <c r="AC96" s="544"/>
    </row>
    <row r="97" spans="1:68" ht="16.5" customHeight="1" x14ac:dyDescent="0.25">
      <c r="A97" s="558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50</v>
      </c>
      <c r="Y99" s="542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450</v>
      </c>
      <c r="Y101" s="542">
        <f>IFERROR(IF(X101="",0,CEILING((X101/$H101),1)*$H101),"")</f>
        <v>450</v>
      </c>
      <c r="Z101" s="36">
        <f>IFERROR(IF(Y101=0,"",ROUNDUP(Y101/H101,0)*0.00902),"")</f>
        <v>0.90200000000000002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469</v>
      </c>
      <c r="BN101" s="64">
        <f>IFERROR(Y101*I101/H101,"0")</f>
        <v>469</v>
      </c>
      <c r="BO101" s="64">
        <f>IFERROR(1/J101*(X101/H101),"0")</f>
        <v>0.75757575757575757</v>
      </c>
      <c r="BP101" s="64">
        <f>IFERROR(1/J101*(Y101/H101),"0")</f>
        <v>0.75757575757575757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104.62962962962963</v>
      </c>
      <c r="Y103" s="543">
        <f>IFERROR(Y99/H99,"0")+IFERROR(Y100/H100,"0")+IFERROR(Y101/H101,"0")+IFERROR(Y102/H102,"0")</f>
        <v>105</v>
      </c>
      <c r="Z103" s="543">
        <f>IFERROR(IF(Z99="",0,Z99),"0")+IFERROR(IF(Z100="",0,Z100),"0")+IFERROR(IF(Z101="",0,Z101),"0")+IFERROR(IF(Z102="",0,Z102),"0")</f>
        <v>0.99690000000000001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500</v>
      </c>
      <c r="Y104" s="543">
        <f>IFERROR(SUM(Y99:Y102),"0")</f>
        <v>504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330</v>
      </c>
      <c r="Y112" s="542">
        <f>IFERROR(IF(X112="",0,CEILING((X112/$H112),1)*$H112),"")</f>
        <v>332.09999999999997</v>
      </c>
      <c r="Z112" s="36">
        <f>IFERROR(IF(Y112=0,"",ROUNDUP(Y112/H112,0)*0.01898),"")</f>
        <v>0.77817999999999998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349.88148148148144</v>
      </c>
      <c r="BN112" s="64">
        <f>IFERROR(Y112*I112/H112,"0")</f>
        <v>352.10799999999995</v>
      </c>
      <c r="BO112" s="64">
        <f>IFERROR(1/J112*(X112/H112),"0")</f>
        <v>0.63657407407407407</v>
      </c>
      <c r="BP112" s="64">
        <f>IFERROR(1/J112*(Y112/H112),"0")</f>
        <v>0.640625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315</v>
      </c>
      <c r="Y114" s="542">
        <f>IFERROR(IF(X114="",0,CEILING((X114/$H114),1)*$H114),"")</f>
        <v>315.90000000000003</v>
      </c>
      <c r="Z114" s="36">
        <f>IFERROR(IF(Y114=0,"",ROUNDUP(Y114/H114,0)*0.00651),"")</f>
        <v>0.76167000000000007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344.4</v>
      </c>
      <c r="BN114" s="64">
        <f>IFERROR(Y114*I114/H114,"0")</f>
        <v>345.38400000000001</v>
      </c>
      <c r="BO114" s="64">
        <f>IFERROR(1/J114*(X114/H114),"0")</f>
        <v>0.64102564102564097</v>
      </c>
      <c r="BP114" s="64">
        <f>IFERROR(1/J114*(Y114/H114),"0")</f>
        <v>0.6428571428571429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36</v>
      </c>
      <c r="Y115" s="542">
        <f>IFERROR(IF(X115="",0,CEILING((X115/$H115),1)*$H115),"")</f>
        <v>36</v>
      </c>
      <c r="Z115" s="36">
        <f>IFERROR(IF(Y115=0,"",ROUNDUP(Y115/H115,0)*0.00651),"")</f>
        <v>0.13020000000000001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39.6</v>
      </c>
      <c r="BN115" s="64">
        <f>IFERROR(Y115*I115/H115,"0")</f>
        <v>39.6</v>
      </c>
      <c r="BO115" s="64">
        <f>IFERROR(1/J115*(X115/H115),"0")</f>
        <v>0.1098901098901099</v>
      </c>
      <c r="BP115" s="64">
        <f>IFERROR(1/J115*(Y115/H115),"0")</f>
        <v>0.1098901098901099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177.40740740740739</v>
      </c>
      <c r="Y116" s="543">
        <f>IFERROR(Y112/H112,"0")+IFERROR(Y113/H113,"0")+IFERROR(Y114/H114,"0")+IFERROR(Y115/H115,"0")</f>
        <v>178</v>
      </c>
      <c r="Z116" s="543">
        <f>IFERROR(IF(Z112="",0,Z112),"0")+IFERROR(IF(Z113="",0,Z113),"0")+IFERROR(IF(Z114="",0,Z114),"0")+IFERROR(IF(Z115="",0,Z115),"0")</f>
        <v>1.67005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681</v>
      </c>
      <c r="Y117" s="543">
        <f>IFERROR(SUM(Y112:Y115),"0")</f>
        <v>684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16.5</v>
      </c>
      <c r="Y119" s="542">
        <f>IFERROR(IF(X119="",0,CEILING((X119/$H119),1)*$H119),"")</f>
        <v>17.82</v>
      </c>
      <c r="Z119" s="36">
        <f>IFERROR(IF(Y119=0,"",ROUNDUP(Y119/H119,0)*0.00651),"")</f>
        <v>5.8590000000000003E-2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18.649999999999999</v>
      </c>
      <c r="BN119" s="64">
        <f>IFERROR(Y119*I119/H119,"0")</f>
        <v>20.141999999999999</v>
      </c>
      <c r="BO119" s="64">
        <f>IFERROR(1/J119*(X119/H119),"0")</f>
        <v>4.5787545787545791E-2</v>
      </c>
      <c r="BP119" s="64">
        <f>IFERROR(1/J119*(Y119/H119),"0")</f>
        <v>4.9450549450549455E-2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8.3333333333333339</v>
      </c>
      <c r="Y120" s="543">
        <f>IFERROR(Y119/H119,"0")</f>
        <v>9</v>
      </c>
      <c r="Z120" s="543">
        <f>IFERROR(IF(Z119="",0,Z119),"0")</f>
        <v>5.8590000000000003E-2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16.5</v>
      </c>
      <c r="Y121" s="543">
        <f>IFERROR(SUM(Y119:Y119),"0")</f>
        <v>17.82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48</v>
      </c>
      <c r="Y124" s="542">
        <f>IFERROR(IF(X124="",0,CEILING((X124/$H124),1)*$H124),"")</f>
        <v>48</v>
      </c>
      <c r="Z124" s="36">
        <f>IFERROR(IF(Y124=0,"",ROUNDUP(Y124/H124,0)*0.00651),"")</f>
        <v>9.7650000000000001E-2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50.7</v>
      </c>
      <c r="BN124" s="64">
        <f>IFERROR(Y124*I124/H124,"0")</f>
        <v>50.7</v>
      </c>
      <c r="BO124" s="64">
        <f>IFERROR(1/J124*(X124/H124),"0")</f>
        <v>8.241758241758243E-2</v>
      </c>
      <c r="BP124" s="64">
        <f>IFERROR(1/J124*(Y124/H124),"0")</f>
        <v>8.241758241758243E-2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15</v>
      </c>
      <c r="Y126" s="543">
        <f>IFERROR(Y124/H124,"0")+IFERROR(Y125/H125,"0")</f>
        <v>15</v>
      </c>
      <c r="Z126" s="543">
        <f>IFERROR(IF(Z124="",0,Z124),"0")+IFERROR(IF(Z125="",0,Z125),"0")</f>
        <v>9.7650000000000001E-2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48</v>
      </c>
      <c r="Y127" s="543">
        <f>IFERROR(SUM(Y124:Y125),"0")</f>
        <v>48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56</v>
      </c>
      <c r="Y130" s="542">
        <f>IFERROR(IF(X130="",0,CEILING((X130/$H130),1)*$H130),"")</f>
        <v>56</v>
      </c>
      <c r="Z130" s="36">
        <f>IFERROR(IF(Y130=0,"",ROUNDUP(Y130/H130,0)*0.00651),"")</f>
        <v>0.13020000000000001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61.36</v>
      </c>
      <c r="BN130" s="64">
        <f>IFERROR(Y130*I130/H130,"0")</f>
        <v>61.36</v>
      </c>
      <c r="BO130" s="64">
        <f>IFERROR(1/J130*(X130/H130),"0")</f>
        <v>0.1098901098901099</v>
      </c>
      <c r="BP130" s="64">
        <f>IFERROR(1/J130*(Y130/H130),"0")</f>
        <v>0.1098901098901099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20</v>
      </c>
      <c r="Y131" s="543">
        <f>IFERROR(Y129/H129,"0")+IFERROR(Y130/H130,"0")</f>
        <v>20</v>
      </c>
      <c r="Z131" s="543">
        <f>IFERROR(IF(Z129="",0,Z129),"0")+IFERROR(IF(Z130="",0,Z130),"0")</f>
        <v>0.13020000000000001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56</v>
      </c>
      <c r="Y132" s="543">
        <f>IFERROR(SUM(Y129:Y130),"0")</f>
        <v>56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52.8</v>
      </c>
      <c r="Y135" s="542">
        <f>IFERROR(IF(X135="",0,CEILING((X135/$H135),1)*$H135),"")</f>
        <v>52.800000000000004</v>
      </c>
      <c r="Z135" s="36">
        <f>IFERROR(IF(Y135=0,"",ROUNDUP(Y135/H135,0)*0.00651),"")</f>
        <v>0.13020000000000001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58.159999999999989</v>
      </c>
      <c r="BN135" s="64">
        <f>IFERROR(Y135*I135/H135,"0")</f>
        <v>58.160000000000004</v>
      </c>
      <c r="BO135" s="64">
        <f>IFERROR(1/J135*(X135/H135),"0")</f>
        <v>0.10989010989010987</v>
      </c>
      <c r="BP135" s="64">
        <f>IFERROR(1/J135*(Y135/H135),"0")</f>
        <v>0.1098901098901099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19.999999999999996</v>
      </c>
      <c r="Y136" s="543">
        <f>IFERROR(Y134/H134,"0")+IFERROR(Y135/H135,"0")</f>
        <v>20</v>
      </c>
      <c r="Z136" s="543">
        <f>IFERROR(IF(Z134="",0,Z134),"0")+IFERROR(IF(Z135="",0,Z135),"0")</f>
        <v>0.13020000000000001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52.8</v>
      </c>
      <c r="Y137" s="543">
        <f>IFERROR(SUM(Y134:Y135),"0")</f>
        <v>52.800000000000004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50</v>
      </c>
      <c r="Y161" s="542">
        <f t="shared" ref="Y161:Y170" si="5">IFERROR(IF(X161="",0,CEILING((X161/$H161),1)*$H161),"")</f>
        <v>50.400000000000006</v>
      </c>
      <c r="Z161" s="36">
        <f>IFERROR(IF(Y161=0,"",ROUNDUP(Y161/H161,0)*0.00902),"")</f>
        <v>0.10824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52.976190476190474</v>
      </c>
      <c r="BN161" s="64">
        <f t="shared" ref="BN161:BN170" si="7">IFERROR(Y161*I161/H161,"0")</f>
        <v>53.400000000000006</v>
      </c>
      <c r="BO161" s="64">
        <f t="shared" ref="BO161:BO170" si="8">IFERROR(1/J161*(X161/H161),"0")</f>
        <v>9.0187590187590191E-2</v>
      </c>
      <c r="BP161" s="64">
        <f t="shared" ref="BP161:BP170" si="9">IFERROR(1/J161*(Y161/H161),"0")</f>
        <v>9.0909090909090912E-2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40</v>
      </c>
      <c r="Y162" s="542">
        <f t="shared" si="5"/>
        <v>42</v>
      </c>
      <c r="Z162" s="36">
        <f>IFERROR(IF(Y162=0,"",ROUNDUP(Y162/H162,0)*0.00902),"")</f>
        <v>9.0200000000000002E-2</v>
      </c>
      <c r="AA162" s="56"/>
      <c r="AB162" s="57"/>
      <c r="AC162" s="193" t="s">
        <v>260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42.38095238095238</v>
      </c>
      <c r="BN162" s="64">
        <f t="shared" si="7"/>
        <v>44.5</v>
      </c>
      <c r="BO162" s="64">
        <f t="shared" si="8"/>
        <v>7.2150072150072145E-2</v>
      </c>
      <c r="BP162" s="64">
        <f t="shared" si="9"/>
        <v>7.575757575757576E-2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150</v>
      </c>
      <c r="Y163" s="542">
        <f t="shared" si="5"/>
        <v>151.20000000000002</v>
      </c>
      <c r="Z163" s="36">
        <f>IFERROR(IF(Y163=0,"",ROUNDUP(Y163/H163,0)*0.00902),"")</f>
        <v>0.32472000000000001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156.78571428571428</v>
      </c>
      <c r="BN163" s="64">
        <f t="shared" si="7"/>
        <v>158.04</v>
      </c>
      <c r="BO163" s="64">
        <f t="shared" si="8"/>
        <v>0.27056277056277056</v>
      </c>
      <c r="BP163" s="64">
        <f t="shared" si="9"/>
        <v>0.27272727272727271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105</v>
      </c>
      <c r="Y164" s="542">
        <f t="shared" si="5"/>
        <v>105</v>
      </c>
      <c r="Z164" s="36">
        <f>IFERROR(IF(Y164=0,"",ROUNDUP(Y164/H164,0)*0.00502),"")</f>
        <v>0.251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111.5</v>
      </c>
      <c r="BN164" s="64">
        <f t="shared" si="7"/>
        <v>111.5</v>
      </c>
      <c r="BO164" s="64">
        <f t="shared" si="8"/>
        <v>0.21367521367521369</v>
      </c>
      <c r="BP164" s="64">
        <f t="shared" si="9"/>
        <v>0.21367521367521369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122.5</v>
      </c>
      <c r="Y166" s="542">
        <f t="shared" si="5"/>
        <v>123.9</v>
      </c>
      <c r="Z166" s="36">
        <f>IFERROR(IF(Y166=0,"",ROUNDUP(Y166/H166,0)*0.00502),"")</f>
        <v>0.29618</v>
      </c>
      <c r="AA166" s="56"/>
      <c r="AB166" s="57"/>
      <c r="AC166" s="201" t="s">
        <v>260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130.08333333333334</v>
      </c>
      <c r="BN166" s="64">
        <f t="shared" si="7"/>
        <v>131.57</v>
      </c>
      <c r="BO166" s="64">
        <f t="shared" si="8"/>
        <v>0.2492877492877493</v>
      </c>
      <c r="BP166" s="64">
        <f t="shared" si="9"/>
        <v>0.25213675213675218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210</v>
      </c>
      <c r="Y168" s="542">
        <f t="shared" si="5"/>
        <v>210</v>
      </c>
      <c r="Z168" s="36">
        <f>IFERROR(IF(Y168=0,"",ROUNDUP(Y168/H168,0)*0.00502),"")</f>
        <v>0.502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220.00000000000003</v>
      </c>
      <c r="BN168" s="64">
        <f t="shared" si="7"/>
        <v>220.00000000000003</v>
      </c>
      <c r="BO168" s="64">
        <f t="shared" si="8"/>
        <v>0.42735042735042739</v>
      </c>
      <c r="BP168" s="64">
        <f t="shared" si="9"/>
        <v>0.42735042735042739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265.47619047619048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267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1.5723400000000001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677.5</v>
      </c>
      <c r="Y172" s="543">
        <f>IFERROR(SUM(Y161:Y170),"0")</f>
        <v>682.5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10.5</v>
      </c>
      <c r="Y174" s="542">
        <f>IFERROR(IF(X174="",0,CEILING((X174/$H174),1)*$H174),"")</f>
        <v>11.34</v>
      </c>
      <c r="Z174" s="36">
        <f>IFERROR(IF(Y174=0,"",ROUNDUP(Y174/H174,0)*0.0059),"")</f>
        <v>5.3100000000000001E-2</v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12.083333333333332</v>
      </c>
      <c r="BN174" s="64">
        <f>IFERROR(Y174*I174/H174,"0")</f>
        <v>13.049999999999999</v>
      </c>
      <c r="BO174" s="64">
        <f>IFERROR(1/J174*(X174/H174),"0")</f>
        <v>3.8580246913580245E-2</v>
      </c>
      <c r="BP174" s="64">
        <f>IFERROR(1/J174*(Y174/H174),"0")</f>
        <v>4.1666666666666664E-2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10.5</v>
      </c>
      <c r="Y175" s="542">
        <f>IFERROR(IF(X175="",0,CEILING((X175/$H175),1)*$H175),"")</f>
        <v>11.34</v>
      </c>
      <c r="Z175" s="36">
        <f>IFERROR(IF(Y175=0,"",ROUNDUP(Y175/H175,0)*0.0059),"")</f>
        <v>5.3100000000000001E-2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12.083333333333332</v>
      </c>
      <c r="BN175" s="64">
        <f>IFERROR(Y175*I175/H175,"0")</f>
        <v>13.049999999999999</v>
      </c>
      <c r="BO175" s="64">
        <f>IFERROR(1/J175*(X175/H175),"0")</f>
        <v>3.8580246913580245E-2</v>
      </c>
      <c r="BP175" s="64">
        <f>IFERROR(1/J175*(Y175/H175),"0")</f>
        <v>4.1666666666666664E-2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17.5</v>
      </c>
      <c r="Y176" s="542">
        <f>IFERROR(IF(X176="",0,CEILING((X176/$H176),1)*$H176),"")</f>
        <v>17.64</v>
      </c>
      <c r="Z176" s="36">
        <f>IFERROR(IF(Y176=0,"",ROUNDUP(Y176/H176,0)*0.0059),"")</f>
        <v>8.2599999999999993E-2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20.138888888888889</v>
      </c>
      <c r="BN176" s="64">
        <f>IFERROR(Y176*I176/H176,"0")</f>
        <v>20.3</v>
      </c>
      <c r="BO176" s="64">
        <f>IFERROR(1/J176*(X176/H176),"0")</f>
        <v>6.4300411522633744E-2</v>
      </c>
      <c r="BP176" s="64">
        <f>IFERROR(1/J176*(Y176/H176),"0")</f>
        <v>6.4814814814814811E-2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30.555555555555557</v>
      </c>
      <c r="Y177" s="543">
        <f>IFERROR(Y174/H174,"0")+IFERROR(Y175/H175,"0")+IFERROR(Y176/H176,"0")</f>
        <v>32</v>
      </c>
      <c r="Z177" s="543">
        <f>IFERROR(IF(Z174="",0,Z174),"0")+IFERROR(IF(Z175="",0,Z175),"0")+IFERROR(IF(Z176="",0,Z176),"0")</f>
        <v>0.1888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38.5</v>
      </c>
      <c r="Y178" s="543">
        <f>IFERROR(SUM(Y174:Y176),"0")</f>
        <v>40.32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7.0000000000000009</v>
      </c>
      <c r="Y180" s="542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5.5555555555555562</v>
      </c>
      <c r="Y181" s="543">
        <f>IFERROR(Y180/H180,"0")</f>
        <v>6</v>
      </c>
      <c r="Z181" s="543">
        <f>IFERROR(IF(Z180="",0,Z180),"0")</f>
        <v>3.5400000000000001E-2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7.0000000000000009</v>
      </c>
      <c r="Y182" s="543">
        <f>IFERROR(SUM(Y180:Y180),"0")</f>
        <v>7.5600000000000005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110</v>
      </c>
      <c r="Y195" s="542">
        <f t="shared" ref="Y195:Y202" si="10">IFERROR(IF(X195="",0,CEILING((X195/$H195),1)*$H195),"")</f>
        <v>113.4</v>
      </c>
      <c r="Z195" s="36">
        <f>IFERROR(IF(Y195=0,"",ROUNDUP(Y195/H195,0)*0.00902),"")</f>
        <v>0.18942000000000001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113.87037037037035</v>
      </c>
      <c r="BN195" s="64">
        <f t="shared" ref="BN195:BN202" si="12">IFERROR(Y195*I195/H195,"0")</f>
        <v>117.39</v>
      </c>
      <c r="BO195" s="64">
        <f t="shared" ref="BO195:BO202" si="13">IFERROR(1/J195*(X195/H195),"0")</f>
        <v>0.15432098765432098</v>
      </c>
      <c r="BP195" s="64">
        <f t="shared" ref="BP195:BP202" si="14">IFERROR(1/J195*(Y195/H195),"0")</f>
        <v>0.15909090909090909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50</v>
      </c>
      <c r="Y196" s="542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450</v>
      </c>
      <c r="Y197" s="542">
        <f t="shared" si="10"/>
        <v>453.6</v>
      </c>
      <c r="Z197" s="36">
        <f>IFERROR(IF(Y197=0,"",ROUNDUP(Y197/H197,0)*0.00902),"")</f>
        <v>0.75768000000000002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465.83333333333331</v>
      </c>
      <c r="BN197" s="64">
        <f t="shared" si="12"/>
        <v>469.56</v>
      </c>
      <c r="BO197" s="64">
        <f t="shared" si="13"/>
        <v>0.63131313131313127</v>
      </c>
      <c r="BP197" s="64">
        <f t="shared" si="14"/>
        <v>0.63636363636363635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50</v>
      </c>
      <c r="Y198" s="542">
        <f t="shared" si="10"/>
        <v>54</v>
      </c>
      <c r="Z198" s="36">
        <f>IFERROR(IF(Y198=0,"",ROUNDUP(Y198/H198,0)*0.00902),"")</f>
        <v>9.0200000000000002E-2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51.759259259259252</v>
      </c>
      <c r="BN198" s="64">
        <f t="shared" si="12"/>
        <v>55.9</v>
      </c>
      <c r="BO198" s="64">
        <f t="shared" si="13"/>
        <v>7.0145903479236812E-2</v>
      </c>
      <c r="BP198" s="64">
        <f t="shared" si="14"/>
        <v>7.575757575757576E-2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120</v>
      </c>
      <c r="Y199" s="542">
        <f t="shared" si="10"/>
        <v>120.60000000000001</v>
      </c>
      <c r="Z199" s="36">
        <f>IFERROR(IF(Y199=0,"",ROUNDUP(Y199/H199,0)*0.00502),"")</f>
        <v>0.33634000000000003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128.66666666666666</v>
      </c>
      <c r="BN199" s="64">
        <f t="shared" si="12"/>
        <v>129.31</v>
      </c>
      <c r="BO199" s="64">
        <f t="shared" si="13"/>
        <v>0.28490028490028496</v>
      </c>
      <c r="BP199" s="64">
        <f t="shared" si="14"/>
        <v>0.28632478632478636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60</v>
      </c>
      <c r="Y200" s="542">
        <f t="shared" si="10"/>
        <v>61.2</v>
      </c>
      <c r="Z200" s="36">
        <f>IFERROR(IF(Y200=0,"",ROUNDUP(Y200/H200,0)*0.00502),"")</f>
        <v>0.17068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63.333333333333329</v>
      </c>
      <c r="BN200" s="64">
        <f t="shared" si="12"/>
        <v>64.599999999999994</v>
      </c>
      <c r="BO200" s="64">
        <f t="shared" si="13"/>
        <v>0.14245014245014248</v>
      </c>
      <c r="BP200" s="64">
        <f t="shared" si="14"/>
        <v>0.14529914529914531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266</v>
      </c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90</v>
      </c>
      <c r="Y201" s="542">
        <f t="shared" si="10"/>
        <v>90</v>
      </c>
      <c r="Z201" s="36">
        <f>IFERROR(IF(Y201=0,"",ROUNDUP(Y201/H201,0)*0.00502),"")</f>
        <v>0.251</v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95</v>
      </c>
      <c r="BN201" s="64">
        <f t="shared" si="12"/>
        <v>95</v>
      </c>
      <c r="BO201" s="64">
        <f t="shared" si="13"/>
        <v>0.21367521367521369</v>
      </c>
      <c r="BP201" s="64">
        <f t="shared" si="14"/>
        <v>0.21367521367521369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45</v>
      </c>
      <c r="Y202" s="542">
        <f t="shared" si="10"/>
        <v>45</v>
      </c>
      <c r="Z202" s="36">
        <f>IFERROR(IF(Y202=0,"",ROUNDUP(Y202/H202,0)*0.00502),"")</f>
        <v>0.1255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47.5</v>
      </c>
      <c r="BN202" s="64">
        <f t="shared" si="12"/>
        <v>47.5</v>
      </c>
      <c r="BO202" s="64">
        <f t="shared" si="13"/>
        <v>0.10683760683760685</v>
      </c>
      <c r="BP202" s="64">
        <f t="shared" si="14"/>
        <v>0.10683760683760685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297.22222222222229</v>
      </c>
      <c r="Y203" s="543">
        <f>IFERROR(Y195/H195,"0")+IFERROR(Y196/H196,"0")+IFERROR(Y197/H197,"0")+IFERROR(Y198/H198,"0")+IFERROR(Y199/H199,"0")+IFERROR(Y200/H200,"0")+IFERROR(Y201/H201,"0")+IFERROR(Y202/H202,"0")</f>
        <v>301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2.0110200000000003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975</v>
      </c>
      <c r="Y204" s="543">
        <f>IFERROR(SUM(Y195:Y202),"0")</f>
        <v>991.80000000000007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150</v>
      </c>
      <c r="Y208" s="542">
        <f t="shared" si="15"/>
        <v>156.6</v>
      </c>
      <c r="Z208" s="36">
        <f>IFERROR(IF(Y208=0,"",ROUNDUP(Y208/H208,0)*0.01898),"")</f>
        <v>0.34164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158.51724137931038</v>
      </c>
      <c r="BN208" s="64">
        <f t="shared" si="17"/>
        <v>165.49200000000002</v>
      </c>
      <c r="BO208" s="64">
        <f t="shared" si="18"/>
        <v>0.26939655172413796</v>
      </c>
      <c r="BP208" s="64">
        <f t="shared" si="19"/>
        <v>0.28125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240</v>
      </c>
      <c r="Y209" s="542">
        <f t="shared" si="15"/>
        <v>240</v>
      </c>
      <c r="Z209" s="36">
        <f t="shared" ref="Z209:Z214" si="20">IFERROR(IF(Y209=0,"",ROUNDUP(Y209/H209,0)*0.00651),"")</f>
        <v>0.65100000000000002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267</v>
      </c>
      <c r="BN209" s="64">
        <f t="shared" si="17"/>
        <v>267</v>
      </c>
      <c r="BO209" s="64">
        <f t="shared" si="18"/>
        <v>0.5494505494505495</v>
      </c>
      <c r="BP209" s="64">
        <f t="shared" si="19"/>
        <v>0.5494505494505495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240</v>
      </c>
      <c r="Y211" s="542">
        <f t="shared" si="15"/>
        <v>240</v>
      </c>
      <c r="Z211" s="36">
        <f t="shared" si="20"/>
        <v>0.65100000000000002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265.20000000000005</v>
      </c>
      <c r="BN211" s="64">
        <f t="shared" si="17"/>
        <v>265.20000000000005</v>
      </c>
      <c r="BO211" s="64">
        <f t="shared" si="18"/>
        <v>0.5494505494505495</v>
      </c>
      <c r="BP211" s="64">
        <f t="shared" si="19"/>
        <v>0.5494505494505495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100</v>
      </c>
      <c r="Y213" s="542">
        <f t="shared" si="15"/>
        <v>100.8</v>
      </c>
      <c r="Z213" s="36">
        <f t="shared" si="20"/>
        <v>0.27342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110.5</v>
      </c>
      <c r="BN213" s="64">
        <f t="shared" si="17"/>
        <v>111.384</v>
      </c>
      <c r="BO213" s="64">
        <f t="shared" si="18"/>
        <v>0.22893772893772898</v>
      </c>
      <c r="BP213" s="64">
        <f t="shared" si="19"/>
        <v>0.23076923076923078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200</v>
      </c>
      <c r="Y214" s="542">
        <f t="shared" si="15"/>
        <v>201.6</v>
      </c>
      <c r="Z214" s="36">
        <f t="shared" si="20"/>
        <v>0.54683999999999999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221.50000000000003</v>
      </c>
      <c r="BN214" s="64">
        <f t="shared" si="17"/>
        <v>223.27200000000002</v>
      </c>
      <c r="BO214" s="64">
        <f t="shared" si="18"/>
        <v>0.45787545787545797</v>
      </c>
      <c r="BP214" s="64">
        <f t="shared" si="19"/>
        <v>0.46153846153846156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342.24137931034488</v>
      </c>
      <c r="Y215" s="543">
        <f>IFERROR(Y206/H206,"0")+IFERROR(Y207/H207,"0")+IFERROR(Y208/H208,"0")+IFERROR(Y209/H209,"0")+IFERROR(Y210/H210,"0")+IFERROR(Y211/H211,"0")+IFERROR(Y212/H212,"0")+IFERROR(Y213/H213,"0")+IFERROR(Y214/H214,"0")</f>
        <v>344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2.4638999999999998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930</v>
      </c>
      <c r="Y216" s="543">
        <f>IFERROR(SUM(Y206:Y214),"0")</f>
        <v>939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24</v>
      </c>
      <c r="Y218" s="542">
        <f>IFERROR(IF(X218="",0,CEILING((X218/$H218),1)*$H218),"")</f>
        <v>24</v>
      </c>
      <c r="Z218" s="36">
        <f>IFERROR(IF(Y218=0,"",ROUNDUP(Y218/H218,0)*0.00651),"")</f>
        <v>6.5100000000000005E-2</v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26.520000000000003</v>
      </c>
      <c r="BN218" s="64">
        <f>IFERROR(Y218*I218/H218,"0")</f>
        <v>26.520000000000003</v>
      </c>
      <c r="BO218" s="64">
        <f>IFERROR(1/J218*(X218/H218),"0")</f>
        <v>5.4945054945054951E-2</v>
      </c>
      <c r="BP218" s="64">
        <f>IFERROR(1/J218*(Y218/H218),"0")</f>
        <v>5.4945054945054951E-2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24</v>
      </c>
      <c r="Y219" s="542">
        <f>IFERROR(IF(X219="",0,CEILING((X219/$H219),1)*$H219),"")</f>
        <v>24</v>
      </c>
      <c r="Z219" s="36">
        <f>IFERROR(IF(Y219=0,"",ROUNDUP(Y219/H219,0)*0.00651),"")</f>
        <v>6.5100000000000005E-2</v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26.520000000000003</v>
      </c>
      <c r="BN219" s="64">
        <f>IFERROR(Y219*I219/H219,"0")</f>
        <v>26.520000000000003</v>
      </c>
      <c r="BO219" s="64">
        <f>IFERROR(1/J219*(X219/H219),"0")</f>
        <v>5.4945054945054951E-2</v>
      </c>
      <c r="BP219" s="64">
        <f>IFERROR(1/J219*(Y219/H219),"0")</f>
        <v>5.4945054945054951E-2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20</v>
      </c>
      <c r="Y220" s="543">
        <f>IFERROR(Y218/H218,"0")+IFERROR(Y219/H219,"0")</f>
        <v>20</v>
      </c>
      <c r="Z220" s="543">
        <f>IFERROR(IF(Z218="",0,Z218),"0")+IFERROR(IF(Z219="",0,Z219),"0")</f>
        <v>0.13020000000000001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48</v>
      </c>
      <c r="Y221" s="543">
        <f>IFERROR(SUM(Y218:Y219),"0")</f>
        <v>48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30</v>
      </c>
      <c r="Y224" s="542">
        <f t="shared" ref="Y224:Y233" si="21">IFERROR(IF(X224="",0,CEILING((X224/$H224),1)*$H224),"")</f>
        <v>34.799999999999997</v>
      </c>
      <c r="Z224" s="36">
        <f>IFERROR(IF(Y224=0,"",ROUNDUP(Y224/H224,0)*0.01898),"")</f>
        <v>5.6940000000000004E-2</v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31.06034482758621</v>
      </c>
      <c r="BN224" s="64">
        <f t="shared" ref="BN224:BN233" si="23">IFERROR(Y224*I224/H224,"0")</f>
        <v>36.03</v>
      </c>
      <c r="BO224" s="64">
        <f t="shared" ref="BO224:BO233" si="24">IFERROR(1/J224*(X224/H224),"0")</f>
        <v>4.0409482758620691E-2</v>
      </c>
      <c r="BP224" s="64">
        <f t="shared" ref="BP224:BP233" si="25">IFERROR(1/J224*(Y224/H224),"0")</f>
        <v>4.6875E-2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60</v>
      </c>
      <c r="Y226" s="542">
        <f t="shared" si="21"/>
        <v>69.599999999999994</v>
      </c>
      <c r="Z226" s="36">
        <f>IFERROR(IF(Y226=0,"",ROUNDUP(Y226/H226,0)*0.01898),"")</f>
        <v>0.11388000000000001</v>
      </c>
      <c r="AA226" s="56"/>
      <c r="AB226" s="57"/>
      <c r="AC226" s="269" t="s">
        <v>364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62.12068965517242</v>
      </c>
      <c r="BN226" s="64">
        <f t="shared" si="23"/>
        <v>72.06</v>
      </c>
      <c r="BO226" s="64">
        <f t="shared" si="24"/>
        <v>8.0818965517241381E-2</v>
      </c>
      <c r="BP226" s="64">
        <f t="shared" si="25"/>
        <v>9.375E-2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20</v>
      </c>
      <c r="Y227" s="542">
        <f t="shared" si="21"/>
        <v>20</v>
      </c>
      <c r="Z227" s="36">
        <f>IFERROR(IF(Y227=0,"",ROUNDUP(Y227/H227,0)*0.00902),"")</f>
        <v>4.5100000000000001E-2</v>
      </c>
      <c r="AA227" s="56"/>
      <c r="AB227" s="57"/>
      <c r="AC227" s="271" t="s">
        <v>358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20.950000000000003</v>
      </c>
      <c r="BN227" s="64">
        <f t="shared" si="23"/>
        <v>20.950000000000003</v>
      </c>
      <c r="BO227" s="64">
        <f t="shared" si="24"/>
        <v>3.787878787878788E-2</v>
      </c>
      <c r="BP227" s="64">
        <f t="shared" si="25"/>
        <v>3.787878787878788E-2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60</v>
      </c>
      <c r="Y232" s="542">
        <f t="shared" si="21"/>
        <v>60</v>
      </c>
      <c r="Z232" s="36">
        <f>IFERROR(IF(Y232=0,"",ROUNDUP(Y232/H232,0)*0.00902),"")</f>
        <v>0.1353</v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62.850000000000009</v>
      </c>
      <c r="BN232" s="64">
        <f t="shared" si="23"/>
        <v>62.850000000000009</v>
      </c>
      <c r="BO232" s="64">
        <f t="shared" si="24"/>
        <v>0.11363636363636365</v>
      </c>
      <c r="BP232" s="64">
        <f t="shared" si="25"/>
        <v>0.11363636363636365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27.758620689655174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29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0.35122000000000003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170</v>
      </c>
      <c r="Y235" s="543">
        <f>IFERROR(SUM(Y224:Y233),"0")</f>
        <v>184.39999999999998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18</v>
      </c>
      <c r="Y241" s="542">
        <f>IFERROR(IF(X241="",0,CEILING((X241/$H241),1)*$H241),"")</f>
        <v>18</v>
      </c>
      <c r="Z241" s="36">
        <f>IFERROR(IF(Y241=0,"",ROUNDUP(Y241/H241,0)*0.0059),"")</f>
        <v>5.8999999999999997E-2</v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19.750000000000004</v>
      </c>
      <c r="BN241" s="64">
        <f>IFERROR(Y241*I241/H241,"0")</f>
        <v>19.750000000000004</v>
      </c>
      <c r="BO241" s="64">
        <f>IFERROR(1/J241*(X241/H241),"0")</f>
        <v>4.6296296296296294E-2</v>
      </c>
      <c r="BP241" s="64">
        <f>IFERROR(1/J241*(Y241/H241),"0")</f>
        <v>4.6296296296296294E-2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10</v>
      </c>
      <c r="Y242" s="543">
        <f>IFERROR(Y241/H241,"0")</f>
        <v>10</v>
      </c>
      <c r="Z242" s="543">
        <f>IFERROR(IF(Z241="",0,Z241),"0")</f>
        <v>5.8999999999999997E-2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18</v>
      </c>
      <c r="Y243" s="543">
        <f>IFERROR(SUM(Y241:Y241),"0")</f>
        <v>18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7.0000000000000009</v>
      </c>
      <c r="Y246" s="542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3.3</v>
      </c>
      <c r="Y247" s="542">
        <f>IFERROR(IF(X247="",0,CEILING((X247/$H247),1)*$H247),"")</f>
        <v>3.6</v>
      </c>
      <c r="Z247" s="36">
        <f>IFERROR(IF(Y247=0,"",ROUNDUP(Y247/H247,0)*0.0059),"")</f>
        <v>2.3599999999999999E-2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3.9966666666666666</v>
      </c>
      <c r="BN247" s="64">
        <f>IFERROR(Y247*I247/H247,"0")</f>
        <v>4.3600000000000003</v>
      </c>
      <c r="BO247" s="64">
        <f>IFERROR(1/J247*(X247/H247),"0")</f>
        <v>1.6975308641975308E-2</v>
      </c>
      <c r="BP247" s="64">
        <f>IFERROR(1/J247*(Y247/H247),"0")</f>
        <v>1.8518518518518517E-2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7.5555555555555554</v>
      </c>
      <c r="Y250" s="543">
        <f>IFERROR(Y245/H245,"0")+IFERROR(Y246/H246,"0")+IFERROR(Y247/H247,"0")+IFERROR(Y248/H248,"0")+IFERROR(Y249/H249,"0")</f>
        <v>8</v>
      </c>
      <c r="Z250" s="543">
        <f>IFERROR(IF(Z245="",0,Z245),"0")+IFERROR(IF(Z246="",0,Z246),"0")+IFERROR(IF(Z247="",0,Z247),"0")+IFERROR(IF(Z248="",0,Z248),"0")+IFERROR(IF(Z249="",0,Z249),"0")</f>
        <v>4.7199999999999999E-2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10.3</v>
      </c>
      <c r="Y251" s="543">
        <f>IFERROR(SUM(Y245:Y249),"0")</f>
        <v>10.8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120</v>
      </c>
      <c r="Y272" s="542">
        <f>IFERROR(IF(X272="",0,CEILING((X272/$H272),1)*$H272),"")</f>
        <v>120</v>
      </c>
      <c r="Z272" s="36">
        <f>IFERROR(IF(Y272=0,"",ROUNDUP(Y272/H272,0)*0.00651),"")</f>
        <v>0.32550000000000001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132.60000000000002</v>
      </c>
      <c r="BN272" s="64">
        <f>IFERROR(Y272*I272/H272,"0")</f>
        <v>132.60000000000002</v>
      </c>
      <c r="BO272" s="64">
        <f>IFERROR(1/J272*(X272/H272),"0")</f>
        <v>0.27472527472527475</v>
      </c>
      <c r="BP272" s="64">
        <f>IFERROR(1/J272*(Y272/H272),"0")</f>
        <v>0.27472527472527475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160</v>
      </c>
      <c r="Y273" s="542">
        <f>IFERROR(IF(X273="",0,CEILING((X273/$H273),1)*$H273),"")</f>
        <v>160.79999999999998</v>
      </c>
      <c r="Z273" s="36">
        <f>IFERROR(IF(Y273=0,"",ROUNDUP(Y273/H273,0)*0.00651),"")</f>
        <v>0.43617</v>
      </c>
      <c r="AA273" s="56"/>
      <c r="AB273" s="57"/>
      <c r="AC273" s="321" t="s">
        <v>427</v>
      </c>
      <c r="AG273" s="64"/>
      <c r="AJ273" s="68"/>
      <c r="AK273" s="68">
        <v>0</v>
      </c>
      <c r="BB273" s="322" t="s">
        <v>1</v>
      </c>
      <c r="BM273" s="64">
        <f>IFERROR(X273*I273/H273,"0")</f>
        <v>172</v>
      </c>
      <c r="BN273" s="64">
        <f>IFERROR(Y273*I273/H273,"0")</f>
        <v>172.85999999999999</v>
      </c>
      <c r="BO273" s="64">
        <f>IFERROR(1/J273*(X273/H273),"0")</f>
        <v>0.36630036630036633</v>
      </c>
      <c r="BP273" s="64">
        <f>IFERROR(1/J273*(Y273/H273),"0")</f>
        <v>0.36813186813186816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116.66666666666667</v>
      </c>
      <c r="Y274" s="543">
        <f>IFERROR(Y271/H271,"0")+IFERROR(Y272/H272,"0")+IFERROR(Y273/H273,"0")</f>
        <v>117</v>
      </c>
      <c r="Z274" s="543">
        <f>IFERROR(IF(Z271="",0,Z271),"0")+IFERROR(IF(Z272="",0,Z272),"0")+IFERROR(IF(Z273="",0,Z273),"0")</f>
        <v>0.76167000000000007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280</v>
      </c>
      <c r="Y275" s="543">
        <f>IFERROR(SUM(Y271:Y273),"0")</f>
        <v>280.79999999999995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8</v>
      </c>
      <c r="Y279" s="542">
        <f>IFERROR(IF(X279="",0,CEILING((X279/$H279),1)*$H279),"")</f>
        <v>9.6</v>
      </c>
      <c r="Z279" s="36">
        <f>IFERROR(IF(Y279=0,"",ROUNDUP(Y279/H279,0)*0.00651),"")</f>
        <v>2.6040000000000001E-2</v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8.6000000000000014</v>
      </c>
      <c r="BN279" s="64">
        <f>IFERROR(Y279*I279/H279,"0")</f>
        <v>10.32</v>
      </c>
      <c r="BO279" s="64">
        <f>IFERROR(1/J279*(X279/H279),"0")</f>
        <v>1.8315018315018316E-2</v>
      </c>
      <c r="BP279" s="64">
        <f>IFERROR(1/J279*(Y279/H279),"0")</f>
        <v>2.197802197802198E-2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3.3333333333333335</v>
      </c>
      <c r="Y280" s="543">
        <f>IFERROR(Y278/H278,"0")+IFERROR(Y279/H279,"0")</f>
        <v>4</v>
      </c>
      <c r="Z280" s="543">
        <f>IFERROR(IF(Z278="",0,Z278),"0")+IFERROR(IF(Z279="",0,Z279),"0")</f>
        <v>2.6040000000000001E-2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8</v>
      </c>
      <c r="Y281" s="543">
        <f>IFERROR(SUM(Y278:Y279),"0")</f>
        <v>9.6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266</v>
      </c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140</v>
      </c>
      <c r="Y301" s="542">
        <f t="shared" si="26"/>
        <v>140.70000000000002</v>
      </c>
      <c r="Z301" s="36">
        <f>IFERROR(IF(Y301=0,"",ROUNDUP(Y301/H301,0)*0.00502),"")</f>
        <v>0.33634000000000003</v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146.66666666666666</v>
      </c>
      <c r="BN301" s="64">
        <f t="shared" si="28"/>
        <v>147.40000000000003</v>
      </c>
      <c r="BO301" s="64">
        <f t="shared" si="29"/>
        <v>0.28490028490028491</v>
      </c>
      <c r="BP301" s="64">
        <f t="shared" si="30"/>
        <v>0.28632478632478636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24</v>
      </c>
      <c r="Y303" s="542">
        <f t="shared" si="26"/>
        <v>25.2</v>
      </c>
      <c r="Z303" s="36">
        <f>IFERROR(IF(Y303=0,"",ROUNDUP(Y303/H303,0)*0.00651),"")</f>
        <v>9.1139999999999999E-2</v>
      </c>
      <c r="AA303" s="56"/>
      <c r="AB303" s="57"/>
      <c r="AC303" s="353" t="s">
        <v>479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27.04</v>
      </c>
      <c r="BN303" s="64">
        <f t="shared" si="28"/>
        <v>28.391999999999999</v>
      </c>
      <c r="BO303" s="64">
        <f t="shared" si="29"/>
        <v>7.3260073260073263E-2</v>
      </c>
      <c r="BP303" s="64">
        <f t="shared" si="30"/>
        <v>7.6923076923076927E-2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79.999999999999986</v>
      </c>
      <c r="Y304" s="543">
        <f>IFERROR(Y297/H297,"0")+IFERROR(Y298/H298,"0")+IFERROR(Y299/H299,"0")+IFERROR(Y300/H300,"0")+IFERROR(Y301/H301,"0")+IFERROR(Y302/H302,"0")+IFERROR(Y303/H303,"0")</f>
        <v>81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0.42748000000000003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164</v>
      </c>
      <c r="Y305" s="543">
        <f>IFERROR(SUM(Y297:Y303),"0")</f>
        <v>165.9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20</v>
      </c>
      <c r="Y314" s="542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450</v>
      </c>
      <c r="Y315" s="542">
        <f>IFERROR(IF(X315="",0,CEILING((X315/$H315),1)*$H315),"")</f>
        <v>452.4</v>
      </c>
      <c r="Z315" s="36">
        <f>IFERROR(IF(Y315=0,"",ROUNDUP(Y315/H315,0)*0.01898),"")</f>
        <v>1.10084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478.50000000000006</v>
      </c>
      <c r="BN315" s="64">
        <f>IFERROR(Y315*I315/H315,"0")</f>
        <v>481.05200000000002</v>
      </c>
      <c r="BO315" s="64">
        <f>IFERROR(1/J315*(X315/H315),"0")</f>
        <v>0.90144230769230771</v>
      </c>
      <c r="BP315" s="64">
        <f>IFERROR(1/J315*(Y315/H315),"0")</f>
        <v>0.90625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300</v>
      </c>
      <c r="Y316" s="542">
        <f>IFERROR(IF(X316="",0,CEILING((X316/$H316),1)*$H316),"")</f>
        <v>302.40000000000003</v>
      </c>
      <c r="Z316" s="36">
        <f>IFERROR(IF(Y316=0,"",ROUNDUP(Y316/H316,0)*0.01898),"")</f>
        <v>0.68328</v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317.64285714285711</v>
      </c>
      <c r="BN316" s="64">
        <f>IFERROR(Y316*I316/H316,"0")</f>
        <v>320.18400000000003</v>
      </c>
      <c r="BO316" s="64">
        <f>IFERROR(1/J316*(X316/H316),"0")</f>
        <v>0.5580357142857143</v>
      </c>
      <c r="BP316" s="64">
        <f>IFERROR(1/J316*(Y316/H316),"0")</f>
        <v>0.5625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95.787545787545781</v>
      </c>
      <c r="Y317" s="543">
        <f>IFERROR(Y314/H314,"0")+IFERROR(Y315/H315,"0")+IFERROR(Y316/H316,"0")</f>
        <v>97</v>
      </c>
      <c r="Z317" s="543">
        <f>IFERROR(IF(Z314="",0,Z314),"0")+IFERROR(IF(Z315="",0,Z315),"0")+IFERROR(IF(Z316="",0,Z316),"0")</f>
        <v>1.8410600000000001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770</v>
      </c>
      <c r="Y318" s="543">
        <f>IFERROR(SUM(Y314:Y316),"0")</f>
        <v>780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213</v>
      </c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213</v>
      </c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770</v>
      </c>
      <c r="Y335" s="542">
        <f>IFERROR(IF(X335="",0,CEILING((X335/$H335),1)*$H335),"")</f>
        <v>770.7</v>
      </c>
      <c r="Z335" s="36">
        <f>IFERROR(IF(Y335=0,"",ROUNDUP(Y335/H335,0)*0.00651),"")</f>
        <v>2.38917</v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862.4</v>
      </c>
      <c r="BN335" s="64">
        <f>IFERROR(Y335*I335/H335,"0")</f>
        <v>863.18399999999997</v>
      </c>
      <c r="BO335" s="64">
        <f>IFERROR(1/J335*(X335/H335),"0")</f>
        <v>2.0146520146520146</v>
      </c>
      <c r="BP335" s="64">
        <f>IFERROR(1/J335*(Y335/H335),"0")</f>
        <v>2.0164835164835164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420</v>
      </c>
      <c r="Y336" s="542">
        <f>IFERROR(IF(X336="",0,CEILING((X336/$H336),1)*$H336),"")</f>
        <v>420</v>
      </c>
      <c r="Z336" s="36">
        <f>IFERROR(IF(Y336=0,"",ROUNDUP(Y336/H336,0)*0.00651),"")</f>
        <v>1.302</v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467.99999999999994</v>
      </c>
      <c r="BN336" s="64">
        <f>IFERROR(Y336*I336/H336,"0")</f>
        <v>467.99999999999994</v>
      </c>
      <c r="BO336" s="64">
        <f>IFERROR(1/J336*(X336/H336),"0")</f>
        <v>1.098901098901099</v>
      </c>
      <c r="BP336" s="64">
        <f>IFERROR(1/J336*(Y336/H336),"0")</f>
        <v>1.098901098901099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566.66666666666663</v>
      </c>
      <c r="Y337" s="543">
        <f>IFERROR(Y334/H334,"0")+IFERROR(Y335/H335,"0")+IFERROR(Y336/H336,"0")</f>
        <v>567</v>
      </c>
      <c r="Z337" s="543">
        <f>IFERROR(IF(Z334="",0,Z334),"0")+IFERROR(IF(Z335="",0,Z335),"0")+IFERROR(IF(Z336="",0,Z336),"0")</f>
        <v>3.6911700000000001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1190</v>
      </c>
      <c r="Y338" s="543">
        <f>IFERROR(SUM(Y334:Y336),"0")</f>
        <v>1190.7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1150</v>
      </c>
      <c r="Y342" s="542">
        <f t="shared" ref="Y342:Y348" si="31">IFERROR(IF(X342="",0,CEILING((X342/$H342),1)*$H342),"")</f>
        <v>1155</v>
      </c>
      <c r="Z342" s="36">
        <f>IFERROR(IF(Y342=0,"",ROUNDUP(Y342/H342,0)*0.02175),"")</f>
        <v>1.67475</v>
      </c>
      <c r="AA342" s="56"/>
      <c r="AB342" s="57"/>
      <c r="AC342" s="389" t="s">
        <v>534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1186.0333333333333</v>
      </c>
      <c r="BN342" s="64">
        <f t="shared" ref="BN342:BN348" si="33">IFERROR(Y342*I342/H342,"0")</f>
        <v>1191.19</v>
      </c>
      <c r="BO342" s="64">
        <f t="shared" ref="BO342:BO348" si="34">IFERROR(1/J342*(X342/H342),"0")</f>
        <v>1.5972222222222223</v>
      </c>
      <c r="BP342" s="64">
        <f t="shared" ref="BP342:BP348" si="35">IFERROR(1/J342*(Y342/H342),"0")</f>
        <v>1.6041666666666665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1100</v>
      </c>
      <c r="Y343" s="542">
        <f t="shared" si="31"/>
        <v>1110</v>
      </c>
      <c r="Z343" s="36">
        <f>IFERROR(IF(Y343=0,"",ROUNDUP(Y343/H343,0)*0.02175),"")</f>
        <v>1.6094999999999999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si="32"/>
        <v>1134.4666666666667</v>
      </c>
      <c r="BN343" s="64">
        <f t="shared" si="33"/>
        <v>1144.78</v>
      </c>
      <c r="BO343" s="64">
        <f t="shared" si="34"/>
        <v>1.5277777777777777</v>
      </c>
      <c r="BP343" s="64">
        <f t="shared" si="35"/>
        <v>1.5416666666666665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1400</v>
      </c>
      <c r="Y344" s="542">
        <f t="shared" si="31"/>
        <v>1410</v>
      </c>
      <c r="Z344" s="36">
        <f>IFERROR(IF(Y344=0,"",ROUNDUP(Y344/H344,0)*0.02175),"")</f>
        <v>2.0444999999999998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2"/>
        <v>1443.8666666666666</v>
      </c>
      <c r="BN344" s="64">
        <f t="shared" si="33"/>
        <v>1454.18</v>
      </c>
      <c r="BO344" s="64">
        <f t="shared" si="34"/>
        <v>1.9444444444444442</v>
      </c>
      <c r="BP344" s="64">
        <f t="shared" si="35"/>
        <v>1.9583333333333333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500</v>
      </c>
      <c r="Y345" s="542">
        <f t="shared" si="31"/>
        <v>510</v>
      </c>
      <c r="Z345" s="36">
        <f>IFERROR(IF(Y345=0,"",ROUNDUP(Y345/H345,0)*0.02175),"")</f>
        <v>0.73949999999999994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515.66666666666663</v>
      </c>
      <c r="BN345" s="64">
        <f t="shared" si="33"/>
        <v>525.98</v>
      </c>
      <c r="BO345" s="64">
        <f t="shared" si="34"/>
        <v>0.69444444444444442</v>
      </c>
      <c r="BP345" s="64">
        <f t="shared" si="35"/>
        <v>0.70833333333333326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276.66666666666663</v>
      </c>
      <c r="Y349" s="543">
        <f>IFERROR(Y342/H342,"0")+IFERROR(Y343/H343,"0")+IFERROR(Y344/H344,"0")+IFERROR(Y345/H345,"0")+IFERROR(Y346/H346,"0")+IFERROR(Y347/H347,"0")+IFERROR(Y348/H348,"0")</f>
        <v>279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6.068249999999999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4150</v>
      </c>
      <c r="Y350" s="543">
        <f>IFERROR(SUM(Y342:Y348),"0")</f>
        <v>4185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1500</v>
      </c>
      <c r="Y352" s="542">
        <f>IFERROR(IF(X352="",0,CEILING((X352/$H352),1)*$H352),"")</f>
        <v>1500</v>
      </c>
      <c r="Z352" s="36">
        <f>IFERROR(IF(Y352=0,"",ROUNDUP(Y352/H352,0)*0.02175),"")</f>
        <v>2.1749999999999998</v>
      </c>
      <c r="AA352" s="56"/>
      <c r="AB352" s="57"/>
      <c r="AC352" s="403" t="s">
        <v>553</v>
      </c>
      <c r="AG352" s="64"/>
      <c r="AJ352" s="68"/>
      <c r="AK352" s="68">
        <v>0</v>
      </c>
      <c r="BB352" s="404" t="s">
        <v>1</v>
      </c>
      <c r="BM352" s="64">
        <f>IFERROR(X352*I352/H352,"0")</f>
        <v>1547</v>
      </c>
      <c r="BN352" s="64">
        <f>IFERROR(Y352*I352/H352,"0")</f>
        <v>1547</v>
      </c>
      <c r="BO352" s="64">
        <f>IFERROR(1/J352*(X352/H352),"0")</f>
        <v>2.083333333333333</v>
      </c>
      <c r="BP352" s="64">
        <f>IFERROR(1/J352*(Y352/H352),"0")</f>
        <v>2.083333333333333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100</v>
      </c>
      <c r="Y354" s="543">
        <f>IFERROR(Y352/H352,"0")+IFERROR(Y353/H353,"0")</f>
        <v>100</v>
      </c>
      <c r="Z354" s="543">
        <f>IFERROR(IF(Z352="",0,Z352),"0")+IFERROR(IF(Z353="",0,Z353),"0")</f>
        <v>2.1749999999999998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1500</v>
      </c>
      <c r="Y355" s="543">
        <f>IFERROR(SUM(Y352:Y353),"0")</f>
        <v>1500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20</v>
      </c>
      <c r="Y358" s="542">
        <f>IFERROR(IF(X358="",0,CEILING((X358/$H358),1)*$H358),"")</f>
        <v>27</v>
      </c>
      <c r="Z358" s="36">
        <f>IFERROR(IF(Y358=0,"",ROUNDUP(Y358/H358,0)*0.01898),"")</f>
        <v>5.6940000000000004E-2</v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21.097777777777779</v>
      </c>
      <c r="BN358" s="64">
        <f>IFERROR(Y358*I358/H358,"0")</f>
        <v>28.481999999999996</v>
      </c>
      <c r="BO358" s="64">
        <f>IFERROR(1/J358*(X358/H358),"0")</f>
        <v>3.4722222222222224E-2</v>
      </c>
      <c r="BP358" s="64">
        <f>IFERROR(1/J358*(Y358/H358),"0")</f>
        <v>4.6875E-2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2.2222222222222223</v>
      </c>
      <c r="Y359" s="543">
        <f>IFERROR(Y357/H357,"0")+IFERROR(Y358/H358,"0")</f>
        <v>3</v>
      </c>
      <c r="Z359" s="543">
        <f>IFERROR(IF(Z357="",0,Z357),"0")+IFERROR(IF(Z358="",0,Z358),"0")</f>
        <v>5.6940000000000004E-2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20</v>
      </c>
      <c r="Y360" s="543">
        <f>IFERROR(SUM(Y357:Y358),"0")</f>
        <v>27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50</v>
      </c>
      <c r="Y362" s="542">
        <f>IFERROR(IF(X362="",0,CEILING((X362/$H362),1)*$H362),"")</f>
        <v>54</v>
      </c>
      <c r="Z362" s="36">
        <f>IFERROR(IF(Y362=0,"",ROUNDUP(Y362/H362,0)*0.01898),"")</f>
        <v>0.11388000000000001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52.74444444444444</v>
      </c>
      <c r="BN362" s="64">
        <f>IFERROR(Y362*I362/H362,"0")</f>
        <v>56.963999999999992</v>
      </c>
      <c r="BO362" s="64">
        <f>IFERROR(1/J362*(X362/H362),"0")</f>
        <v>8.6805555555555552E-2</v>
      </c>
      <c r="BP362" s="64">
        <f>IFERROR(1/J362*(Y362/H362),"0")</f>
        <v>9.375E-2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5.5555555555555554</v>
      </c>
      <c r="Y363" s="543">
        <f>IFERROR(Y362/H362,"0")</f>
        <v>6</v>
      </c>
      <c r="Z363" s="543">
        <f>IFERROR(IF(Z362="",0,Z362),"0")</f>
        <v>0.11388000000000001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50</v>
      </c>
      <c r="Y364" s="543">
        <f>IFERROR(SUM(Y362:Y362),"0")</f>
        <v>54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50</v>
      </c>
      <c r="Y367" s="542">
        <f>IFERROR(IF(X367="",0,CEILING((X367/$H367),1)*$H367),"")</f>
        <v>60</v>
      </c>
      <c r="Z367" s="36">
        <f>IFERROR(IF(Y367=0,"",ROUNDUP(Y367/H367,0)*0.01898),"")</f>
        <v>9.4899999999999998E-2</v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51.708333333333336</v>
      </c>
      <c r="BN367" s="64">
        <f>IFERROR(Y367*I367/H367,"0")</f>
        <v>62.050000000000004</v>
      </c>
      <c r="BO367" s="64">
        <f>IFERROR(1/J367*(X367/H367),"0")</f>
        <v>6.5104166666666671E-2</v>
      </c>
      <c r="BP367" s="64">
        <f>IFERROR(1/J367*(Y367/H367),"0")</f>
        <v>7.8125E-2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4.166666666666667</v>
      </c>
      <c r="Y369" s="543">
        <f>IFERROR(Y367/H367,"0")+IFERROR(Y368/H368,"0")</f>
        <v>5</v>
      </c>
      <c r="Z369" s="543">
        <f>IFERROR(IF(Z367="",0,Z367),"0")+IFERROR(IF(Z368="",0,Z368),"0")</f>
        <v>9.4899999999999998E-2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50</v>
      </c>
      <c r="Y370" s="543">
        <f>IFERROR(SUM(Y367:Y368),"0")</f>
        <v>60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20</v>
      </c>
      <c r="Y377" s="542">
        <f>IFERROR(IF(X377="",0,CEILING((X377/$H377),1)*$H377),"")</f>
        <v>27</v>
      </c>
      <c r="Z377" s="36">
        <f>IFERROR(IF(Y377=0,"",ROUNDUP(Y377/H377,0)*0.01898),"")</f>
        <v>5.6940000000000004E-2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21.097777777777779</v>
      </c>
      <c r="BN377" s="64">
        <f>IFERROR(Y377*I377/H377,"0")</f>
        <v>28.481999999999996</v>
      </c>
      <c r="BO377" s="64">
        <f>IFERROR(1/J377*(X377/H377),"0")</f>
        <v>3.4722222222222224E-2</v>
      </c>
      <c r="BP377" s="64">
        <f>IFERROR(1/J377*(Y377/H377),"0")</f>
        <v>4.6875E-2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2.2222222222222223</v>
      </c>
      <c r="Y380" s="543">
        <f>IFERROR(Y377/H377,"0")+IFERROR(Y378/H378,"0")+IFERROR(Y379/H379,"0")</f>
        <v>3</v>
      </c>
      <c r="Z380" s="543">
        <f>IFERROR(IF(Z377="",0,Z377),"0")+IFERROR(IF(Z378="",0,Z378),"0")+IFERROR(IF(Z379="",0,Z379),"0")</f>
        <v>5.6940000000000004E-2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20</v>
      </c>
      <c r="Y381" s="543">
        <f>IFERROR(SUM(Y377:Y379),"0")</f>
        <v>27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10</v>
      </c>
      <c r="Y387" s="542">
        <f t="shared" si="36"/>
        <v>10.8</v>
      </c>
      <c r="Z387" s="36">
        <f>IFERROR(IF(Y387=0,"",ROUNDUP(Y387/H387,0)*0.00902),"")</f>
        <v>1.804E-2</v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10.351851851851851</v>
      </c>
      <c r="BN387" s="64">
        <f t="shared" si="38"/>
        <v>11.18</v>
      </c>
      <c r="BO387" s="64">
        <f t="shared" si="39"/>
        <v>1.4029180695847361E-2</v>
      </c>
      <c r="BP387" s="64">
        <f t="shared" si="40"/>
        <v>1.5151515151515152E-2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266</v>
      </c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21</v>
      </c>
      <c r="Y389" s="542">
        <f t="shared" si="36"/>
        <v>21</v>
      </c>
      <c r="Z389" s="36">
        <f t="shared" si="41"/>
        <v>5.0200000000000002E-2</v>
      </c>
      <c r="AA389" s="56"/>
      <c r="AB389" s="57"/>
      <c r="AC389" s="435" t="s">
        <v>589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22.299999999999997</v>
      </c>
      <c r="BN389" s="64">
        <f t="shared" si="38"/>
        <v>22.299999999999997</v>
      </c>
      <c r="BO389" s="64">
        <f t="shared" si="39"/>
        <v>4.2735042735042736E-2</v>
      </c>
      <c r="BP389" s="64">
        <f t="shared" si="40"/>
        <v>4.2735042735042736E-2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266</v>
      </c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70</v>
      </c>
      <c r="Y392" s="542">
        <f t="shared" si="36"/>
        <v>71.400000000000006</v>
      </c>
      <c r="Z392" s="36">
        <f t="shared" si="41"/>
        <v>0.17068</v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74.333333333333329</v>
      </c>
      <c r="BN392" s="64">
        <f t="shared" si="38"/>
        <v>75.820000000000007</v>
      </c>
      <c r="BO392" s="64">
        <f t="shared" si="39"/>
        <v>0.14245014245014245</v>
      </c>
      <c r="BP392" s="64">
        <f t="shared" si="40"/>
        <v>0.14529914529914531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45.185185185185176</v>
      </c>
      <c r="Y394" s="543">
        <f>IFERROR(Y385/H385,"0")+IFERROR(Y386/H386,"0")+IFERROR(Y387/H387,"0")+IFERROR(Y388/H388,"0")+IFERROR(Y389/H389,"0")+IFERROR(Y390/H390,"0")+IFERROR(Y391/H391,"0")+IFERROR(Y392/H392,"0")+IFERROR(Y393/H393,"0")</f>
        <v>46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0.23891999999999999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101</v>
      </c>
      <c r="Y395" s="543">
        <f>IFERROR(SUM(Y385:Y393),"0")</f>
        <v>103.2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7</v>
      </c>
      <c r="Y410" s="542">
        <f>IFERROR(IF(X410="",0,CEILING((X410/$H410),1)*$H410),"")</f>
        <v>8.4</v>
      </c>
      <c r="Z410" s="36">
        <f>IFERROR(IF(Y410=0,"",ROUNDUP(Y410/H410,0)*0.00502),"")</f>
        <v>2.0080000000000001E-2</v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7.4333333333333327</v>
      </c>
      <c r="BN410" s="64">
        <f>IFERROR(Y410*I410/H410,"0")</f>
        <v>8.92</v>
      </c>
      <c r="BO410" s="64">
        <f>IFERROR(1/J410*(X410/H410),"0")</f>
        <v>1.4245014245014245E-2</v>
      </c>
      <c r="BP410" s="64">
        <f>IFERROR(1/J410*(Y410/H410),"0")</f>
        <v>1.7094017094017096E-2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3.333333333333333</v>
      </c>
      <c r="Y411" s="543">
        <f>IFERROR(Y407/H407,"0")+IFERROR(Y408/H408,"0")+IFERROR(Y409/H409,"0")+IFERROR(Y410/H410,"0")</f>
        <v>4</v>
      </c>
      <c r="Z411" s="543">
        <f>IFERROR(IF(Z407="",0,Z407),"0")+IFERROR(IF(Z408="",0,Z408),"0")+IFERROR(IF(Z409="",0,Z409),"0")+IFERROR(IF(Z410="",0,Z410),"0")</f>
        <v>2.0080000000000001E-2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7</v>
      </c>
      <c r="Y412" s="543">
        <f>IFERROR(SUM(Y407:Y410),"0")</f>
        <v>8.4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213</v>
      </c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30</v>
      </c>
      <c r="Y415" s="542">
        <f>IFERROR(IF(X415="",0,CEILING((X415/$H415),1)*$H415),"")</f>
        <v>30</v>
      </c>
      <c r="Z415" s="36">
        <f>IFERROR(IF(Y415=0,"",ROUNDUP(Y415/H415,0)*0.00651),"")</f>
        <v>0.16275000000000001</v>
      </c>
      <c r="AA415" s="56"/>
      <c r="AB415" s="57"/>
      <c r="AC415" s="459" t="s">
        <v>635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52.5</v>
      </c>
      <c r="BN415" s="64">
        <f>IFERROR(Y415*I415/H415,"0")</f>
        <v>52.5</v>
      </c>
      <c r="BO415" s="64">
        <f>IFERROR(1/J415*(X415/H415),"0")</f>
        <v>0.13736263736263737</v>
      </c>
      <c r="BP415" s="64">
        <f>IFERROR(1/J415*(Y415/H415),"0")</f>
        <v>0.13736263736263737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25</v>
      </c>
      <c r="Y416" s="543">
        <f>IFERROR(Y415/H415,"0")</f>
        <v>25</v>
      </c>
      <c r="Z416" s="543">
        <f>IFERROR(IF(Z415="",0,Z415),"0")</f>
        <v>0.16275000000000001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30</v>
      </c>
      <c r="Y417" s="543">
        <f>IFERROR(SUM(Y415:Y415),"0")</f>
        <v>30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50</v>
      </c>
      <c r="Y421" s="542">
        <f t="shared" ref="Y421:Y431" si="42">IFERROR(IF(X421="",0,CEILING((X421/$H421),1)*$H421),"")</f>
        <v>52.800000000000004</v>
      </c>
      <c r="Z421" s="36">
        <f t="shared" ref="Z421:Z426" si="43">IFERROR(IF(Y421=0,"",ROUNDUP(Y421/H421,0)*0.01196),"")</f>
        <v>0.1196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53.314393939393938</v>
      </c>
      <c r="BN421" s="64">
        <f t="shared" ref="BN421:BN431" si="45">IFERROR(Y421*I421/H421,"0")</f>
        <v>56.3</v>
      </c>
      <c r="BO421" s="64">
        <f t="shared" ref="BO421:BO431" si="46">IFERROR(1/J421*(X421/H421),"0")</f>
        <v>9.1054778554778545E-2</v>
      </c>
      <c r="BP421" s="64">
        <f t="shared" ref="BP421:BP431" si="47">IFERROR(1/J421*(Y421/H421),"0")</f>
        <v>9.6153846153846159E-2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100</v>
      </c>
      <c r="Y424" s="542">
        <f t="shared" si="42"/>
        <v>100.32000000000001</v>
      </c>
      <c r="Z424" s="36">
        <f t="shared" si="43"/>
        <v>0.22724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106.62878787878788</v>
      </c>
      <c r="BN424" s="64">
        <f t="shared" si="45"/>
        <v>106.97</v>
      </c>
      <c r="BO424" s="64">
        <f t="shared" si="46"/>
        <v>0.18210955710955709</v>
      </c>
      <c r="BP424" s="64">
        <f t="shared" si="47"/>
        <v>0.18269230769230771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120</v>
      </c>
      <c r="Y426" s="542">
        <f t="shared" si="42"/>
        <v>121.44000000000001</v>
      </c>
      <c r="Z426" s="36">
        <f t="shared" si="43"/>
        <v>0.27507999999999999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127.95454545454545</v>
      </c>
      <c r="BN426" s="64">
        <f t="shared" si="45"/>
        <v>129.49</v>
      </c>
      <c r="BO426" s="64">
        <f t="shared" si="46"/>
        <v>0.21853146853146854</v>
      </c>
      <c r="BP426" s="64">
        <f t="shared" si="47"/>
        <v>0.22115384615384617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90</v>
      </c>
      <c r="Y428" s="542">
        <f t="shared" si="42"/>
        <v>91.2</v>
      </c>
      <c r="Z428" s="36">
        <f>IFERROR(IF(Y428=0,"",ROUNDUP(Y428/H428,0)*0.00902),"")</f>
        <v>0.17138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129.5625</v>
      </c>
      <c r="BN428" s="64">
        <f t="shared" si="45"/>
        <v>131.29000000000002</v>
      </c>
      <c r="BO428" s="64">
        <f t="shared" si="46"/>
        <v>0.14204545454545456</v>
      </c>
      <c r="BP428" s="64">
        <f t="shared" si="47"/>
        <v>0.14393939393939395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120</v>
      </c>
      <c r="Y431" s="542">
        <f t="shared" si="42"/>
        <v>120</v>
      </c>
      <c r="Z431" s="36">
        <f>IFERROR(IF(Y431=0,"",ROUNDUP(Y431/H431,0)*0.00902),"")</f>
        <v>0.22550000000000001</v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172.75000000000003</v>
      </c>
      <c r="BN431" s="64">
        <f t="shared" si="45"/>
        <v>172.75000000000003</v>
      </c>
      <c r="BO431" s="64">
        <f t="shared" si="46"/>
        <v>0.18939393939393939</v>
      </c>
      <c r="BP431" s="64">
        <f t="shared" si="47"/>
        <v>0.18939393939393939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94.886363636363626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96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1.0187999999999999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480</v>
      </c>
      <c r="Y433" s="543">
        <f>IFERROR(SUM(Y421:Y431),"0")</f>
        <v>485.76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120</v>
      </c>
      <c r="Y435" s="542">
        <f>IFERROR(IF(X435="",0,CEILING((X435/$H435),1)*$H435),"")</f>
        <v>121.44000000000001</v>
      </c>
      <c r="Z435" s="36">
        <f>IFERROR(IF(Y435=0,"",ROUNDUP(Y435/H435,0)*0.01196),"")</f>
        <v>0.27507999999999999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127.95454545454545</v>
      </c>
      <c r="BN435" s="64">
        <f>IFERROR(Y435*I435/H435,"0")</f>
        <v>129.49</v>
      </c>
      <c r="BO435" s="64">
        <f>IFERROR(1/J435*(X435/H435),"0")</f>
        <v>0.21853146853146854</v>
      </c>
      <c r="BP435" s="64">
        <f>IFERROR(1/J435*(Y435/H435),"0")</f>
        <v>0.22115384615384617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22.727272727272727</v>
      </c>
      <c r="Y438" s="543">
        <f>IFERROR(Y435/H435,"0")+IFERROR(Y436/H436,"0")+IFERROR(Y437/H437,"0")</f>
        <v>23</v>
      </c>
      <c r="Z438" s="543">
        <f>IFERROR(IF(Z435="",0,Z435),"0")+IFERROR(IF(Z436="",0,Z436),"0")+IFERROR(IF(Z437="",0,Z437),"0")</f>
        <v>0.27507999999999999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120</v>
      </c>
      <c r="Y439" s="543">
        <f>IFERROR(SUM(Y435:Y437),"0")</f>
        <v>121.44000000000001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53.314393939393938</v>
      </c>
      <c r="BN441" s="64">
        <f t="shared" ref="BN441:BN446" si="50">IFERROR(Y441*I441/H441,"0")</f>
        <v>56.3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120</v>
      </c>
      <c r="Y442" s="542">
        <f t="shared" si="48"/>
        <v>121.44000000000001</v>
      </c>
      <c r="Z442" s="36">
        <f>IFERROR(IF(Y442=0,"",ROUNDUP(Y442/H442,0)*0.01196),"")</f>
        <v>0.27507999999999999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127.95454545454545</v>
      </c>
      <c r="BN442" s="64">
        <f t="shared" si="50"/>
        <v>129.49</v>
      </c>
      <c r="BO442" s="64">
        <f t="shared" si="51"/>
        <v>0.21853146853146854</v>
      </c>
      <c r="BP442" s="64">
        <f t="shared" si="52"/>
        <v>0.22115384615384617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120</v>
      </c>
      <c r="Y443" s="542">
        <f t="shared" si="48"/>
        <v>121.44000000000001</v>
      </c>
      <c r="Z443" s="36">
        <f>IFERROR(IF(Y443=0,"",ROUNDUP(Y443/H443,0)*0.01196),"")</f>
        <v>0.27507999999999999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127.95454545454545</v>
      </c>
      <c r="BN443" s="64">
        <f t="shared" si="50"/>
        <v>129.49</v>
      </c>
      <c r="BO443" s="64">
        <f t="shared" si="51"/>
        <v>0.21853146853146854</v>
      </c>
      <c r="BP443" s="64">
        <f t="shared" si="52"/>
        <v>0.22115384615384617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42</v>
      </c>
      <c r="Y444" s="542">
        <f t="shared" si="48"/>
        <v>43.199999999999996</v>
      </c>
      <c r="Z444" s="36">
        <f>IFERROR(IF(Y444=0,"",ROUNDUP(Y444/H444,0)*0.00902),"")</f>
        <v>8.1180000000000002E-2</v>
      </c>
      <c r="AA444" s="56"/>
      <c r="AB444" s="57"/>
      <c r="AC444" s="495" t="s">
        <v>674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60.462500000000006</v>
      </c>
      <c r="BN444" s="64">
        <f t="shared" si="50"/>
        <v>62.190000000000005</v>
      </c>
      <c r="BO444" s="64">
        <f t="shared" si="51"/>
        <v>6.6287878787878785E-2</v>
      </c>
      <c r="BP444" s="64">
        <f t="shared" si="52"/>
        <v>6.8181818181818177E-2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18</v>
      </c>
      <c r="Y445" s="542">
        <f t="shared" si="48"/>
        <v>19.2</v>
      </c>
      <c r="Z445" s="36">
        <f>IFERROR(IF(Y445=0,"",ROUNDUP(Y445/H445,0)*0.00902),"")</f>
        <v>3.6080000000000001E-2</v>
      </c>
      <c r="AA445" s="56"/>
      <c r="AB445" s="57"/>
      <c r="AC445" s="497" t="s">
        <v>677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25.012500000000003</v>
      </c>
      <c r="BN445" s="64">
        <f t="shared" si="50"/>
        <v>26.68</v>
      </c>
      <c r="BO445" s="64">
        <f t="shared" si="51"/>
        <v>2.8409090909090912E-2</v>
      </c>
      <c r="BP445" s="64">
        <f t="shared" si="52"/>
        <v>3.0303030303030304E-2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110</v>
      </c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60</v>
      </c>
      <c r="Y446" s="542">
        <f t="shared" si="48"/>
        <v>62.4</v>
      </c>
      <c r="Z446" s="36">
        <f>IFERROR(IF(Y446=0,"",ROUNDUP(Y446/H446,0)*0.00902),"")</f>
        <v>0.11726</v>
      </c>
      <c r="AA446" s="56"/>
      <c r="AB446" s="57"/>
      <c r="AC446" s="499" t="s">
        <v>680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83.375</v>
      </c>
      <c r="BN446" s="64">
        <f t="shared" si="50"/>
        <v>86.71</v>
      </c>
      <c r="BO446" s="64">
        <f t="shared" si="51"/>
        <v>9.4696969696969696E-2</v>
      </c>
      <c r="BP446" s="64">
        <f t="shared" si="52"/>
        <v>9.8484848484848481E-2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79.924242424242422</v>
      </c>
      <c r="Y447" s="543">
        <f>IFERROR(Y441/H441,"0")+IFERROR(Y442/H442,"0")+IFERROR(Y443/H443,"0")+IFERROR(Y444/H444,"0")+IFERROR(Y445/H445,"0")+IFERROR(Y446/H446,"0")</f>
        <v>82</v>
      </c>
      <c r="Z447" s="543">
        <f>IFERROR(IF(Z441="",0,Z441),"0")+IFERROR(IF(Z442="",0,Z442),"0")+IFERROR(IF(Z443="",0,Z443),"0")+IFERROR(IF(Z444="",0,Z444),"0")+IFERROR(IF(Z445="",0,Z445),"0")+IFERROR(IF(Z446="",0,Z446),"0")</f>
        <v>0.90427999999999997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410</v>
      </c>
      <c r="Y448" s="543">
        <f>IFERROR(SUM(Y441:Y446),"0")</f>
        <v>420.47999999999996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1200</v>
      </c>
      <c r="Y476" s="542">
        <f>IFERROR(IF(X476="",0,CEILING((X476/$H476),1)*$H476),"")</f>
        <v>1206</v>
      </c>
      <c r="Z476" s="36">
        <f>IFERROR(IF(Y476=0,"",ROUNDUP(Y476/H476,0)*0.01898),"")</f>
        <v>2.54332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1265.8666666666666</v>
      </c>
      <c r="BN476" s="64">
        <f>IFERROR(Y476*I476/H476,"0")</f>
        <v>1272.1959999999999</v>
      </c>
      <c r="BO476" s="64">
        <f>IFERROR(1/J476*(X476/H476),"0")</f>
        <v>2.0833333333333335</v>
      </c>
      <c r="BP476" s="64">
        <f>IFERROR(1/J476*(Y476/H476),"0")</f>
        <v>2.09375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133.33333333333334</v>
      </c>
      <c r="Y477" s="543">
        <f>IFERROR(Y476/H476,"0")</f>
        <v>134</v>
      </c>
      <c r="Z477" s="543">
        <f>IFERROR(IF(Z476="",0,Z476),"0")</f>
        <v>2.54332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1200</v>
      </c>
      <c r="Y478" s="543">
        <f>IFERROR(SUM(Y476:Y476),"0")</f>
        <v>1206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17506.099999999999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17701.980000000003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18620.838238769527</v>
      </c>
      <c r="Y490" s="543">
        <f>IFERROR(SUM(BN22:BN486),"0")</f>
        <v>18828.572000000004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31</v>
      </c>
      <c r="Y491" s="38">
        <f>ROUNDUP(SUM(BP22:BP486),0)</f>
        <v>32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19395.838238769527</v>
      </c>
      <c r="Y492" s="543">
        <f>GrossWeightTotalR+PalletQtyTotalR*25</f>
        <v>19628.572000000004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3589.3842361342358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3620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36.208120000000001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525.20000000000005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899.1</v>
      </c>
      <c r="E499" s="46">
        <f>IFERROR(Y85*1,"0")+IFERROR(Y86*1,"0")+IFERROR(Y87*1,"0")+IFERROR(Y91*1,"0")+IFERROR(Y92*1,"0")+IFERROR(Y93*1,"0")+IFERROR(Y94*1,"0")</f>
        <v>1337.4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1205.82</v>
      </c>
      <c r="G499" s="46">
        <f>IFERROR(Y124*1,"0")+IFERROR(Y125*1,"0")+IFERROR(Y129*1,"0")+IFERROR(Y130*1,"0")+IFERROR(Y134*1,"0")+IFERROR(Y135*1,"0")</f>
        <v>156.80000000000001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730.38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1978.8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213.19999999999996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280.79999999999995</v>
      </c>
      <c r="P499" s="46">
        <f>IFERROR(Y278*1,"0")+IFERROR(Y279*1,"0")+IFERROR(Y283*1,"0")+IFERROR(Y284*1,"0")</f>
        <v>9.6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945.90000000000009</v>
      </c>
      <c r="R499" s="46">
        <f>IFERROR(Y334*1,"0")+IFERROR(Y335*1,"0")+IFERROR(Y336*1,"0")</f>
        <v>1190.7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5766</v>
      </c>
      <c r="T499" s="46">
        <f>IFERROR(Y367*1,"0")+IFERROR(Y368*1,"0")+IFERROR(Y372*1,"0")+IFERROR(Y373*1,"0")+IFERROR(Y377*1,"0")+IFERROR(Y378*1,"0")+IFERROR(Y379*1,"0")</f>
        <v>87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103.2</v>
      </c>
      <c r="V499" s="46">
        <f>IFERROR(Y403*1,"0")+IFERROR(Y407*1,"0")+IFERROR(Y408*1,"0")+IFERROR(Y409*1,"0")+IFERROR(Y410*1,"0")</f>
        <v>8.4</v>
      </c>
      <c r="W499" s="46">
        <f>IFERROR(Y415*1,"0")</f>
        <v>30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1027.6800000000003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1206</v>
      </c>
      <c r="Z499" s="46">
        <f>IFERROR(Y486*1,"0")</f>
        <v>0</v>
      </c>
      <c r="AB499" s="52"/>
      <c r="AC499" s="52"/>
      <c r="AF499" s="539"/>
    </row>
  </sheetData>
  <sheetProtection algorithmName="SHA-512" hashValue="9XG4piuF7z+2DaLq/0ucBRRpeL3gxshmTfRN7ygmn1KZZUZeSSn6ATcgGEgLVAulDWDdetrBAl403XAXo5TfaQ==" saltValue="5iju5M58FgT63ilTJ13Ze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9:X390 X392 X415 X421 X424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w4hH2nPvvheM5r+pYcTmQ2F/JZYTln5nNcAjgAkpR0xOOj80jz36o9WaE0D6vkNQI2wYMmHId8Fgubs7sCURww==" saltValue="m3EuzFJKVv9dJOSFQcg5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2025-12-03T08:52:54Z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