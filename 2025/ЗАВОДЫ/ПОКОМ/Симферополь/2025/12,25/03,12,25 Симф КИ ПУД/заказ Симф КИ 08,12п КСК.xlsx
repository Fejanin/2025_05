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DDF7B1D7-40B6-42CF-8160-D03569571D6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L499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0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Y187" i="1" s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BP27" i="1" l="1"/>
  <c r="BN27" i="1"/>
  <c r="Y490" i="1" s="1"/>
  <c r="Z27" i="1"/>
  <c r="B499" i="1"/>
  <c r="Y31" i="1"/>
  <c r="Y493" i="1" s="1"/>
  <c r="Z43" i="1"/>
  <c r="BP41" i="1"/>
  <c r="BN41" i="1"/>
  <c r="Z41" i="1"/>
  <c r="BP54" i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Y148" i="1"/>
  <c r="X489" i="1"/>
  <c r="Y32" i="1"/>
  <c r="Y489" i="1" s="1"/>
  <c r="BP29" i="1"/>
  <c r="Y491" i="1" s="1"/>
  <c r="BN29" i="1"/>
  <c r="Z29" i="1"/>
  <c r="Z31" i="1" s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Z88" i="1" s="1"/>
  <c r="BP93" i="1"/>
  <c r="BN93" i="1"/>
  <c r="Z93" i="1"/>
  <c r="F499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9" i="1"/>
  <c r="Y143" i="1"/>
  <c r="BP140" i="1"/>
  <c r="BN140" i="1"/>
  <c r="Z140" i="1"/>
  <c r="Z142" i="1" s="1"/>
  <c r="Y149" i="1"/>
  <c r="Z285" i="1"/>
  <c r="Y171" i="1"/>
  <c r="Y177" i="1"/>
  <c r="Y188" i="1"/>
  <c r="Y192" i="1"/>
  <c r="Y204" i="1"/>
  <c r="Y216" i="1"/>
  <c r="Y220" i="1"/>
  <c r="Y235" i="1"/>
  <c r="Y239" i="1"/>
  <c r="Y243" i="1"/>
  <c r="Y251" i="1"/>
  <c r="Y260" i="1"/>
  <c r="M499" i="1"/>
  <c r="Y267" i="1"/>
  <c r="Y268" i="1"/>
  <c r="Y274" i="1"/>
  <c r="BP271" i="1"/>
  <c r="BN271" i="1"/>
  <c r="Z271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Z324" i="1" s="1"/>
  <c r="BP329" i="1"/>
  <c r="BN329" i="1"/>
  <c r="Z329" i="1"/>
  <c r="Y331" i="1"/>
  <c r="R499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1" i="1"/>
  <c r="BP377" i="1"/>
  <c r="BN377" i="1"/>
  <c r="Z377" i="1"/>
  <c r="Z380" i="1" s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Z453" i="1"/>
  <c r="BP451" i="1"/>
  <c r="BN451" i="1"/>
  <c r="Z451" i="1"/>
  <c r="Y453" i="1"/>
  <c r="J499" i="1"/>
  <c r="S499" i="1"/>
  <c r="H9" i="1"/>
  <c r="X490" i="1"/>
  <c r="X492" i="1" s="1"/>
  <c r="X491" i="1"/>
  <c r="X493" i="1"/>
  <c r="C499" i="1"/>
  <c r="Y44" i="1"/>
  <c r="D499" i="1"/>
  <c r="Y57" i="1"/>
  <c r="Y103" i="1"/>
  <c r="G499" i="1"/>
  <c r="Y126" i="1"/>
  <c r="I499" i="1"/>
  <c r="Y159" i="1"/>
  <c r="Z162" i="1"/>
  <c r="Z171" i="1" s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Z186" i="1"/>
  <c r="Z187" i="1" s="1"/>
  <c r="BN186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Z259" i="1" s="1"/>
  <c r="BN254" i="1"/>
  <c r="BP254" i="1"/>
  <c r="Z256" i="1"/>
  <c r="BN256" i="1"/>
  <c r="Z258" i="1"/>
  <c r="BN258" i="1"/>
  <c r="Y259" i="1"/>
  <c r="Z263" i="1"/>
  <c r="Z267" i="1" s="1"/>
  <c r="BN263" i="1"/>
  <c r="BP263" i="1"/>
  <c r="Z265" i="1"/>
  <c r="BN265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25" i="1"/>
  <c r="Y330" i="1"/>
  <c r="BP327" i="1"/>
  <c r="BN327" i="1"/>
  <c r="Z327" i="1"/>
  <c r="Z330" i="1" s="1"/>
  <c r="BP336" i="1"/>
  <c r="BN336" i="1"/>
  <c r="Z336" i="1"/>
  <c r="Y338" i="1"/>
  <c r="Y349" i="1"/>
  <c r="BP342" i="1"/>
  <c r="BN342" i="1"/>
  <c r="Z342" i="1"/>
  <c r="Z349" i="1" s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9" i="1"/>
  <c r="Y370" i="1"/>
  <c r="BP367" i="1"/>
  <c r="BN367" i="1"/>
  <c r="Z367" i="1"/>
  <c r="Z369" i="1" s="1"/>
  <c r="Y374" i="1"/>
  <c r="Y380" i="1"/>
  <c r="BP386" i="1"/>
  <c r="BN386" i="1"/>
  <c r="Z386" i="1"/>
  <c r="Z394" i="1" s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Z447" i="1" s="1"/>
  <c r="BP445" i="1"/>
  <c r="BN445" i="1"/>
  <c r="Z445" i="1"/>
  <c r="Y454" i="1"/>
  <c r="BP459" i="1"/>
  <c r="BN459" i="1"/>
  <c r="Z459" i="1"/>
  <c r="Z462" i="1" s="1"/>
  <c r="BP467" i="1"/>
  <c r="BN467" i="1"/>
  <c r="Z467" i="1"/>
  <c r="Y474" i="1"/>
  <c r="BP471" i="1"/>
  <c r="BN471" i="1"/>
  <c r="Z471" i="1"/>
  <c r="Z473" i="1" s="1"/>
  <c r="Y482" i="1"/>
  <c r="Y499" i="1"/>
  <c r="Y492" i="1" l="1"/>
  <c r="Z468" i="1"/>
  <c r="Z250" i="1"/>
  <c r="Z215" i="1"/>
  <c r="Z337" i="1"/>
  <c r="Z304" i="1"/>
  <c r="Z294" i="1"/>
  <c r="Z69" i="1"/>
  <c r="Z494" i="1" s="1"/>
  <c r="Z432" i="1"/>
  <c r="Z438" i="1"/>
  <c r="Z274" i="1"/>
  <c r="Z116" i="1"/>
  <c r="Z95" i="1"/>
</calcChain>
</file>

<file path=xl/sharedStrings.xml><?xml version="1.0" encoding="utf-8"?>
<sst xmlns="http://schemas.openxmlformats.org/spreadsheetml/2006/main" count="2274" uniqueCount="762">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</sst>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0.375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80</v>
      </c>
      <c r="Y41" s="542">
        <f>IFERROR(IF(X41="",0,CEILING((X41/$H41),1)*$H41),"")</f>
        <v>80</v>
      </c>
      <c r="Z41" s="36">
        <f>IFERROR(IF(Y41=0,"",ROUNDUP(Y41/H41,0)*0.00902),"")</f>
        <v>0.1804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83.800000000000011</v>
      </c>
      <c r="BN41" s="64">
        <f>IFERROR(Y41*I41/H41,"0")</f>
        <v>83.800000000000011</v>
      </c>
      <c r="BO41" s="64">
        <f>IFERROR(1/J41*(X41/H41),"0")</f>
        <v>0.15151515151515152</v>
      </c>
      <c r="BP41" s="64">
        <f>IFERROR(1/J41*(Y41/H41),"0")</f>
        <v>0.15151515151515152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24.62962962962963</v>
      </c>
      <c r="Y43" s="543">
        <f>IFERROR(Y40/H40,"0")+IFERROR(Y41/H41,"0")+IFERROR(Y42/H42,"0")</f>
        <v>25</v>
      </c>
      <c r="Z43" s="543">
        <f>IFERROR(IF(Z40="",0,Z40),"0")+IFERROR(IF(Z41="",0,Z41),"0")+IFERROR(IF(Z42="",0,Z42),"0")</f>
        <v>0.27529999999999999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130</v>
      </c>
      <c r="Y44" s="543">
        <f>IFERROR(SUM(Y40:Y42),"0")</f>
        <v>134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59.25925925925926</v>
      </c>
      <c r="Y57" s="543">
        <f>IFERROR(Y51/H51,"0")+IFERROR(Y52/H52,"0")+IFERROR(Y53/H53,"0")+IFERROR(Y54/H54,"0")+IFERROR(Y55/H55,"0")+IFERROR(Y56/H56,"0")</f>
        <v>60</v>
      </c>
      <c r="Z57" s="543">
        <f>IFERROR(IF(Z51="",0,Z51),"0")+IFERROR(IF(Z52="",0,Z52),"0")+IFERROR(IF(Z53="",0,Z53),"0")+IFERROR(IF(Z54="",0,Z54),"0")+IFERROR(IF(Z55="",0,Z55),"0")+IFERROR(IF(Z56="",0,Z56),"0")</f>
        <v>0.64080000000000004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325</v>
      </c>
      <c r="Y58" s="543">
        <f>IFERROR(SUM(Y51:Y56),"0")</f>
        <v>333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100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90</v>
      </c>
      <c r="Y62" s="542">
        <f>IFERROR(IF(X62="",0,CEILING((X62/$H62),1)*$H62),"")</f>
        <v>91.800000000000011</v>
      </c>
      <c r="Z62" s="36">
        <f>IFERROR(IF(Y62=0,"",ROUNDUP(Y62/H62,0)*0.00651),"")</f>
        <v>0.22134000000000001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95.999999999999986</v>
      </c>
      <c r="BN62" s="64">
        <f>IFERROR(Y62*I62/H62,"0")</f>
        <v>97.92</v>
      </c>
      <c r="BO62" s="64">
        <f>IFERROR(1/J62*(X62/H62),"0")</f>
        <v>0.18315018315018314</v>
      </c>
      <c r="BP62" s="64">
        <f>IFERROR(1/J62*(Y62/H62),"0")</f>
        <v>0.18681318681318682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42.592592592592588</v>
      </c>
      <c r="Y63" s="543">
        <f>IFERROR(Y60/H60,"0")+IFERROR(Y61/H61,"0")+IFERROR(Y62/H62,"0")</f>
        <v>44</v>
      </c>
      <c r="Z63" s="543">
        <f>IFERROR(IF(Z60="",0,Z60),"0")+IFERROR(IF(Z61="",0,Z61),"0")+IFERROR(IF(Z62="",0,Z62),"0")</f>
        <v>0.41114000000000001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190</v>
      </c>
      <c r="Y64" s="543">
        <f>IFERROR(SUM(Y60:Y62),"0")</f>
        <v>199.8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100</v>
      </c>
      <c r="Y85" s="542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225</v>
      </c>
      <c r="Y87" s="542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59.25925925925926</v>
      </c>
      <c r="Y88" s="543">
        <f>IFERROR(Y85/H85,"0")+IFERROR(Y86/H86,"0")+IFERROR(Y87/H87,"0")</f>
        <v>60</v>
      </c>
      <c r="Z88" s="543">
        <f>IFERROR(IF(Z85="",0,Z85),"0")+IFERROR(IF(Z86="",0,Z86),"0")+IFERROR(IF(Z87="",0,Z87),"0")</f>
        <v>0.64080000000000004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325</v>
      </c>
      <c r="Y89" s="543">
        <f>IFERROR(SUM(Y85:Y87),"0")</f>
        <v>333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130</v>
      </c>
      <c r="Y91" s="542">
        <f>IFERROR(IF(X91="",0,CEILING((X91/$H91),1)*$H91),"")</f>
        <v>137.69999999999999</v>
      </c>
      <c r="Z91" s="36">
        <f>IFERROR(IF(Y91=0,"",ROUNDUP(Y91/H91,0)*0.01898),"")</f>
        <v>0.32266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137.92839506172839</v>
      </c>
      <c r="BN91" s="64">
        <f>IFERROR(Y91*I91/H91,"0")</f>
        <v>146.09799999999998</v>
      </c>
      <c r="BO91" s="64">
        <f>IFERROR(1/J91*(X91/H91),"0")</f>
        <v>0.25077160493827161</v>
      </c>
      <c r="BP91" s="64">
        <f>IFERROR(1/J91*(Y91/H91),"0")</f>
        <v>0.265625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360</v>
      </c>
      <c r="Y93" s="542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149.38271604938271</v>
      </c>
      <c r="Y95" s="543">
        <f>IFERROR(Y91/H91,"0")+IFERROR(Y92/H92,"0")+IFERROR(Y93/H93,"0")+IFERROR(Y94/H94,"0")</f>
        <v>151</v>
      </c>
      <c r="Z95" s="543">
        <f>IFERROR(IF(Z91="",0,Z91),"0")+IFERROR(IF(Z92="",0,Z92),"0")+IFERROR(IF(Z93="",0,Z93),"0")+IFERROR(IF(Z94="",0,Z94),"0")</f>
        <v>1.1950000000000001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490</v>
      </c>
      <c r="Y96" s="543">
        <f>IFERROR(SUM(Y91:Y94),"0")</f>
        <v>499.5</v>
      </c>
      <c r="Z96" s="37"/>
      <c r="AA96" s="544"/>
      <c r="AB96" s="544"/>
      <c r="AC96" s="544"/>
    </row>
    <row r="97" spans="1:68" ht="16.5" customHeight="1" x14ac:dyDescent="0.25">
      <c r="A97" s="558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225</v>
      </c>
      <c r="Y101" s="542">
        <f>IFERROR(IF(X101="",0,CEILING((X101/$H101),1)*$H101),"")</f>
        <v>225</v>
      </c>
      <c r="Z101" s="36">
        <f>IFERROR(IF(Y101=0,"",ROUNDUP(Y101/H101,0)*0.00902),"")</f>
        <v>0.45100000000000001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234.5</v>
      </c>
      <c r="BN101" s="64">
        <f>IFERROR(Y101*I101/H101,"0")</f>
        <v>234.5</v>
      </c>
      <c r="BO101" s="64">
        <f>IFERROR(1/J101*(X101/H101),"0")</f>
        <v>0.37878787878787878</v>
      </c>
      <c r="BP101" s="64">
        <f>IFERROR(1/J101*(Y101/H101),"0")</f>
        <v>0.37878787878787878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50</v>
      </c>
      <c r="Y103" s="543">
        <f>IFERROR(Y99/H99,"0")+IFERROR(Y100/H100,"0")+IFERROR(Y101/H101,"0")+IFERROR(Y102/H102,"0")</f>
        <v>50</v>
      </c>
      <c r="Z103" s="543">
        <f>IFERROR(IF(Z99="",0,Z99),"0")+IFERROR(IF(Z100="",0,Z100),"0")+IFERROR(IF(Z101="",0,Z101),"0")+IFERROR(IF(Z102="",0,Z102),"0")</f>
        <v>0.45100000000000001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225</v>
      </c>
      <c r="Y104" s="543">
        <f>IFERROR(SUM(Y99:Y102),"0")</f>
        <v>225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225</v>
      </c>
      <c r="Y114" s="542">
        <f>IFERROR(IF(X114="",0,CEILING((X114/$H114),1)*$H114),"")</f>
        <v>226.8</v>
      </c>
      <c r="Z114" s="36">
        <f>IFERROR(IF(Y114=0,"",ROUNDUP(Y114/H114,0)*0.00651),"")</f>
        <v>0.54683999999999999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246</v>
      </c>
      <c r="BN114" s="64">
        <f>IFERROR(Y114*I114/H114,"0")</f>
        <v>247.96799999999999</v>
      </c>
      <c r="BO114" s="64">
        <f>IFERROR(1/J114*(X114/H114),"0")</f>
        <v>0.45787545787545786</v>
      </c>
      <c r="BP114" s="64">
        <f>IFERROR(1/J114*(Y114/H114),"0")</f>
        <v>0.46153846153846156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30</v>
      </c>
      <c r="Y115" s="542">
        <f>IFERROR(IF(X115="",0,CEILING((X115/$H115),1)*$H115),"")</f>
        <v>30.6</v>
      </c>
      <c r="Z115" s="36">
        <f>IFERROR(IF(Y115=0,"",ROUNDUP(Y115/H115,0)*0.00651),"")</f>
        <v>0.11067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33</v>
      </c>
      <c r="BN115" s="64">
        <f>IFERROR(Y115*I115/H115,"0")</f>
        <v>33.659999999999997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112.34567901234568</v>
      </c>
      <c r="Y116" s="543">
        <f>IFERROR(Y112/H112,"0")+IFERROR(Y113/H113,"0")+IFERROR(Y114/H114,"0")+IFERROR(Y115/H115,"0")</f>
        <v>114</v>
      </c>
      <c r="Z116" s="543">
        <f>IFERROR(IF(Z112="",0,Z112),"0")+IFERROR(IF(Z113="",0,Z113),"0")+IFERROR(IF(Z114="",0,Z114),"0")+IFERROR(IF(Z115="",0,Z115),"0")</f>
        <v>0.90425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355</v>
      </c>
      <c r="Y117" s="543">
        <f>IFERROR(SUM(Y112:Y115),"0")</f>
        <v>362.70000000000005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35</v>
      </c>
      <c r="Y130" s="542">
        <f>IFERROR(IF(X130="",0,CEILING((X130/$H130),1)*$H130),"")</f>
        <v>36.4</v>
      </c>
      <c r="Z130" s="36">
        <f>IFERROR(IF(Y130=0,"",ROUNDUP(Y130/H130,0)*0.00651),"")</f>
        <v>8.4629999999999997E-2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38.35</v>
      </c>
      <c r="BN130" s="64">
        <f>IFERROR(Y130*I130/H130,"0")</f>
        <v>39.884</v>
      </c>
      <c r="BO130" s="64">
        <f>IFERROR(1/J130*(X130/H130),"0")</f>
        <v>6.8681318681318687E-2</v>
      </c>
      <c r="BP130" s="64">
        <f>IFERROR(1/J130*(Y130/H130),"0")</f>
        <v>7.1428571428571438E-2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12.5</v>
      </c>
      <c r="Y131" s="543">
        <f>IFERROR(Y129/H129,"0")+IFERROR(Y130/H130,"0")</f>
        <v>13</v>
      </c>
      <c r="Z131" s="543">
        <f>IFERROR(IF(Z129="",0,Z129),"0")+IFERROR(IF(Z130="",0,Z130),"0")</f>
        <v>8.4629999999999997E-2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35</v>
      </c>
      <c r="Y132" s="543">
        <f>IFERROR(SUM(Y129:Y130),"0")</f>
        <v>36.4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70</v>
      </c>
      <c r="Y164" s="542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70</v>
      </c>
      <c r="Y166" s="542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260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140</v>
      </c>
      <c r="Y168" s="542">
        <f t="shared" si="5"/>
        <v>140.70000000000002</v>
      </c>
      <c r="Z168" s="36">
        <f>IFERROR(IF(Y168=0,"",ROUNDUP(Y168/H168,0)*0.00502),"")</f>
        <v>0.33634000000000003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146.66666666666666</v>
      </c>
      <c r="BN168" s="64">
        <f t="shared" si="7"/>
        <v>147.40000000000003</v>
      </c>
      <c r="BO168" s="64">
        <f t="shared" si="8"/>
        <v>0.28490028490028491</v>
      </c>
      <c r="BP168" s="64">
        <f t="shared" si="9"/>
        <v>0.28632478632478636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133.33333333333331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135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0.67769999999999997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280</v>
      </c>
      <c r="Y172" s="543">
        <f>IFERROR(SUM(Y161:Y170),"0")</f>
        <v>283.5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7.0000000000000009</v>
      </c>
      <c r="Y174" s="542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7.0000000000000009</v>
      </c>
      <c r="Y175" s="542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22.222222222222221</v>
      </c>
      <c r="Y177" s="543">
        <f>IFERROR(Y174/H174,"0")+IFERROR(Y175/H175,"0")+IFERROR(Y176/H176,"0")</f>
        <v>24</v>
      </c>
      <c r="Z177" s="543">
        <f>IFERROR(IF(Z174="",0,Z174),"0")+IFERROR(IF(Z175="",0,Z175),"0")+IFERROR(IF(Z176="",0,Z176),"0")</f>
        <v>0.1416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28</v>
      </c>
      <c r="Y178" s="543">
        <f>IFERROR(SUM(Y174:Y176),"0")</f>
        <v>30.240000000000002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7.0000000000000009</v>
      </c>
      <c r="Y180" s="542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5.5555555555555562</v>
      </c>
      <c r="Y181" s="543">
        <f>IFERROR(Y180/H180,"0")</f>
        <v>6</v>
      </c>
      <c r="Z181" s="543">
        <f>IFERROR(IF(Z180="",0,Z180),"0")</f>
        <v>3.5400000000000001E-2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7.0000000000000009</v>
      </c>
      <c r="Y182" s="543">
        <f>IFERROR(SUM(Y180:Y180),"0")</f>
        <v>7.5600000000000005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200</v>
      </c>
      <c r="Y197" s="542">
        <f t="shared" si="10"/>
        <v>205.20000000000002</v>
      </c>
      <c r="Z197" s="36">
        <f>IFERROR(IF(Y197=0,"",ROUNDUP(Y197/H197,0)*0.00902),"")</f>
        <v>0.34276000000000001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207.03703703703701</v>
      </c>
      <c r="BN197" s="64">
        <f t="shared" si="12"/>
        <v>212.42</v>
      </c>
      <c r="BO197" s="64">
        <f t="shared" si="13"/>
        <v>0.28058361391694725</v>
      </c>
      <c r="BP197" s="64">
        <f t="shared" si="14"/>
        <v>0.2878787878787879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90</v>
      </c>
      <c r="Y199" s="542">
        <f t="shared" si="10"/>
        <v>90</v>
      </c>
      <c r="Z199" s="36">
        <f>IFERROR(IF(Y199=0,"",ROUNDUP(Y199/H199,0)*0.00502),"")</f>
        <v>0.251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96.499999999999986</v>
      </c>
      <c r="BN199" s="64">
        <f t="shared" si="12"/>
        <v>96.499999999999986</v>
      </c>
      <c r="BO199" s="64">
        <f t="shared" si="13"/>
        <v>0.21367521367521369</v>
      </c>
      <c r="BP199" s="64">
        <f t="shared" si="14"/>
        <v>0.21367521367521369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30</v>
      </c>
      <c r="Y200" s="542">
        <f t="shared" si="10"/>
        <v>30.6</v>
      </c>
      <c r="Z200" s="36">
        <f>IFERROR(IF(Y200=0,"",ROUNDUP(Y200/H200,0)*0.00502),"")</f>
        <v>8.5339999999999999E-2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31.666666666666664</v>
      </c>
      <c r="BN200" s="64">
        <f t="shared" si="12"/>
        <v>32.299999999999997</v>
      </c>
      <c r="BO200" s="64">
        <f t="shared" si="13"/>
        <v>7.122507122507124E-2</v>
      </c>
      <c r="BP200" s="64">
        <f t="shared" si="14"/>
        <v>7.2649572649572655E-2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266</v>
      </c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30</v>
      </c>
      <c r="Y201" s="542">
        <f t="shared" si="10"/>
        <v>30.6</v>
      </c>
      <c r="Z201" s="36">
        <f>IFERROR(IF(Y201=0,"",ROUNDUP(Y201/H201,0)*0.00502),"")</f>
        <v>8.5339999999999999E-2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31.666666666666664</v>
      </c>
      <c r="BN201" s="64">
        <f t="shared" si="12"/>
        <v>32.299999999999997</v>
      </c>
      <c r="BO201" s="64">
        <f t="shared" si="13"/>
        <v>7.122507122507124E-2</v>
      </c>
      <c r="BP201" s="64">
        <f t="shared" si="14"/>
        <v>7.2649572649572655E-2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30</v>
      </c>
      <c r="Y202" s="542">
        <f t="shared" si="10"/>
        <v>30.6</v>
      </c>
      <c r="Z202" s="36">
        <f>IFERROR(IF(Y202=0,"",ROUNDUP(Y202/H202,0)*0.00502),"")</f>
        <v>8.5339999999999999E-2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31.666666666666664</v>
      </c>
      <c r="BN202" s="64">
        <f t="shared" si="12"/>
        <v>32.299999999999997</v>
      </c>
      <c r="BO202" s="64">
        <f t="shared" si="13"/>
        <v>7.122507122507124E-2</v>
      </c>
      <c r="BP202" s="64">
        <f t="shared" si="14"/>
        <v>7.2649572649572655E-2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137.03703703703704</v>
      </c>
      <c r="Y203" s="543">
        <f>IFERROR(Y195/H195,"0")+IFERROR(Y196/H196,"0")+IFERROR(Y197/H197,"0")+IFERROR(Y198/H198,"0")+IFERROR(Y199/H199,"0")+IFERROR(Y200/H200,"0")+IFERROR(Y201/H201,"0")+IFERROR(Y202/H202,"0")</f>
        <v>139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0.84977999999999998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380</v>
      </c>
      <c r="Y204" s="543">
        <f>IFERROR(SUM(Y195:Y202),"0")</f>
        <v>387.00000000000011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100</v>
      </c>
      <c r="Y208" s="542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160</v>
      </c>
      <c r="Y209" s="542">
        <f t="shared" si="15"/>
        <v>160.79999999999998</v>
      </c>
      <c r="Z209" s="36">
        <f t="shared" ref="Z209:Z214" si="20">IFERROR(IF(Y209=0,"",ROUNDUP(Y209/H209,0)*0.00651),"")</f>
        <v>0.43617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178</v>
      </c>
      <c r="BN209" s="64">
        <f t="shared" si="17"/>
        <v>178.89</v>
      </c>
      <c r="BO209" s="64">
        <f t="shared" si="18"/>
        <v>0.36630036630036633</v>
      </c>
      <c r="BP209" s="64">
        <f t="shared" si="19"/>
        <v>0.36813186813186816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160</v>
      </c>
      <c r="Y211" s="542">
        <f t="shared" si="15"/>
        <v>160.79999999999998</v>
      </c>
      <c r="Z211" s="36">
        <f t="shared" si="20"/>
        <v>0.43617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176.80000000000004</v>
      </c>
      <c r="BN211" s="64">
        <f t="shared" si="17"/>
        <v>177.684</v>
      </c>
      <c r="BO211" s="64">
        <f t="shared" si="18"/>
        <v>0.36630036630036633</v>
      </c>
      <c r="BP211" s="64">
        <f t="shared" si="19"/>
        <v>0.36813186813186816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80</v>
      </c>
      <c r="Y213" s="542">
        <f t="shared" si="15"/>
        <v>81.599999999999994</v>
      </c>
      <c r="Z213" s="36">
        <f t="shared" si="20"/>
        <v>0.22134000000000001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88.40000000000002</v>
      </c>
      <c r="BN213" s="64">
        <f t="shared" si="17"/>
        <v>90.168000000000006</v>
      </c>
      <c r="BO213" s="64">
        <f t="shared" si="18"/>
        <v>0.18315018315018317</v>
      </c>
      <c r="BP213" s="64">
        <f t="shared" si="19"/>
        <v>0.18681318681318682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160</v>
      </c>
      <c r="Y214" s="542">
        <f t="shared" si="15"/>
        <v>160.79999999999998</v>
      </c>
      <c r="Z214" s="36">
        <f t="shared" si="20"/>
        <v>0.43617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177.2</v>
      </c>
      <c r="BN214" s="64">
        <f t="shared" si="17"/>
        <v>178.08599999999998</v>
      </c>
      <c r="BO214" s="64">
        <f t="shared" si="18"/>
        <v>0.36630036630036633</v>
      </c>
      <c r="BP214" s="64">
        <f t="shared" si="19"/>
        <v>0.36813186813186816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244.82758620689657</v>
      </c>
      <c r="Y215" s="543">
        <f>IFERROR(Y206/H206,"0")+IFERROR(Y207/H207,"0")+IFERROR(Y208/H208,"0")+IFERROR(Y209/H209,"0")+IFERROR(Y210/H210,"0")+IFERROR(Y211/H211,"0")+IFERROR(Y212/H212,"0")+IFERROR(Y213/H213,"0")+IFERROR(Y214/H214,"0")</f>
        <v>247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1.7576100000000001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660</v>
      </c>
      <c r="Y216" s="543">
        <f>IFERROR(SUM(Y206:Y214),"0")</f>
        <v>668.4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40</v>
      </c>
      <c r="Y232" s="542">
        <f t="shared" si="21"/>
        <v>40</v>
      </c>
      <c r="Z232" s="36">
        <f>IFERROR(IF(Y232=0,"",ROUNDUP(Y232/H232,0)*0.00902),"")</f>
        <v>9.0200000000000002E-2</v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41.900000000000006</v>
      </c>
      <c r="BN232" s="64">
        <f t="shared" si="23"/>
        <v>41.900000000000006</v>
      </c>
      <c r="BO232" s="64">
        <f t="shared" si="24"/>
        <v>7.575757575757576E-2</v>
      </c>
      <c r="BP232" s="64">
        <f t="shared" si="25"/>
        <v>7.575757575757576E-2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10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10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9.0200000000000002E-2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40</v>
      </c>
      <c r="Y235" s="543">
        <f>IFERROR(SUM(Y224:Y233),"0")</f>
        <v>40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12</v>
      </c>
      <c r="Y241" s="542">
        <f>IFERROR(IF(X241="",0,CEILING((X241/$H241),1)*$H241),"")</f>
        <v>12.6</v>
      </c>
      <c r="Z241" s="36">
        <f>IFERROR(IF(Y241=0,"",ROUNDUP(Y241/H241,0)*0.0059),"")</f>
        <v>4.1299999999999996E-2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13.166666666666668</v>
      </c>
      <c r="BN241" s="64">
        <f>IFERROR(Y241*I241/H241,"0")</f>
        <v>13.825000000000001</v>
      </c>
      <c r="BO241" s="64">
        <f>IFERROR(1/J241*(X241/H241),"0")</f>
        <v>3.0864197530864192E-2</v>
      </c>
      <c r="BP241" s="64">
        <f>IFERROR(1/J241*(Y241/H241),"0")</f>
        <v>3.2407407407407406E-2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6.6666666666666661</v>
      </c>
      <c r="Y242" s="543">
        <f>IFERROR(Y241/H241,"0")</f>
        <v>7</v>
      </c>
      <c r="Z242" s="543">
        <f>IFERROR(IF(Z241="",0,Z241),"0")</f>
        <v>4.1299999999999996E-2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12</v>
      </c>
      <c r="Y243" s="543">
        <f>IFERROR(SUM(Y241:Y241),"0")</f>
        <v>12.6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7.0000000000000009</v>
      </c>
      <c r="Y246" s="542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5.5</v>
      </c>
      <c r="Y247" s="542">
        <f>IFERROR(IF(X247="",0,CEILING((X247/$H247),1)*$H247),"")</f>
        <v>6.3</v>
      </c>
      <c r="Z247" s="36">
        <f>IFERROR(IF(Y247=0,"",ROUNDUP(Y247/H247,0)*0.0059),"")</f>
        <v>4.1299999999999996E-2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6.6611111111111114</v>
      </c>
      <c r="BN247" s="64">
        <f>IFERROR(Y247*I247/H247,"0")</f>
        <v>7.63</v>
      </c>
      <c r="BO247" s="64">
        <f>IFERROR(1/J247*(X247/H247),"0")</f>
        <v>2.8292181069958844E-2</v>
      </c>
      <c r="BP247" s="64">
        <f>IFERROR(1/J247*(Y247/H247),"0")</f>
        <v>3.2407407407407406E-2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10</v>
      </c>
      <c r="Y250" s="543">
        <f>IFERROR(Y245/H245,"0")+IFERROR(Y246/H246,"0")+IFERROR(Y247/H247,"0")+IFERROR(Y248/H248,"0")+IFERROR(Y249/H249,"0")</f>
        <v>11</v>
      </c>
      <c r="Z250" s="543">
        <f>IFERROR(IF(Z245="",0,Z245),"0")+IFERROR(IF(Z246="",0,Z246),"0")+IFERROR(IF(Z247="",0,Z247),"0")+IFERROR(IF(Z248="",0,Z248),"0")+IFERROR(IF(Z249="",0,Z249),"0")</f>
        <v>6.4899999999999999E-2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12.5</v>
      </c>
      <c r="Y251" s="543">
        <f>IFERROR(SUM(Y245:Y249),"0")</f>
        <v>13.5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80</v>
      </c>
      <c r="Y272" s="542">
        <f>IFERROR(IF(X272="",0,CEILING((X272/$H272),1)*$H272),"")</f>
        <v>81.599999999999994</v>
      </c>
      <c r="Z272" s="36">
        <f>IFERROR(IF(Y272=0,"",ROUNDUP(Y272/H272,0)*0.00651),"")</f>
        <v>0.22134000000000001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88.40000000000002</v>
      </c>
      <c r="BN272" s="64">
        <f>IFERROR(Y272*I272/H272,"0")</f>
        <v>90.168000000000006</v>
      </c>
      <c r="BO272" s="64">
        <f>IFERROR(1/J272*(X272/H272),"0")</f>
        <v>0.18315018315018317</v>
      </c>
      <c r="BP272" s="64">
        <f>IFERROR(1/J272*(Y272/H272),"0")</f>
        <v>0.18681318681318682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80</v>
      </c>
      <c r="Y273" s="542">
        <f>IFERROR(IF(X273="",0,CEILING((X273/$H273),1)*$H273),"")</f>
        <v>81.599999999999994</v>
      </c>
      <c r="Z273" s="36">
        <f>IFERROR(IF(Y273=0,"",ROUNDUP(Y273/H273,0)*0.00651),"")</f>
        <v>0.22134000000000001</v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86</v>
      </c>
      <c r="BN273" s="64">
        <f>IFERROR(Y273*I273/H273,"0")</f>
        <v>87.72</v>
      </c>
      <c r="BO273" s="64">
        <f>IFERROR(1/J273*(X273/H273),"0")</f>
        <v>0.18315018315018317</v>
      </c>
      <c r="BP273" s="64">
        <f>IFERROR(1/J273*(Y273/H273),"0")</f>
        <v>0.18681318681318682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66.666666666666671</v>
      </c>
      <c r="Y274" s="543">
        <f>IFERROR(Y271/H271,"0")+IFERROR(Y272/H272,"0")+IFERROR(Y273/H273,"0")</f>
        <v>68</v>
      </c>
      <c r="Z274" s="543">
        <f>IFERROR(IF(Z271="",0,Z271),"0")+IFERROR(IF(Z272="",0,Z272),"0")+IFERROR(IF(Z273="",0,Z273),"0")</f>
        <v>0.44268000000000002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160</v>
      </c>
      <c r="Y275" s="543">
        <f>IFERROR(SUM(Y271:Y273),"0")</f>
        <v>163.19999999999999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266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70</v>
      </c>
      <c r="Y301" s="542">
        <f t="shared" si="26"/>
        <v>71.400000000000006</v>
      </c>
      <c r="Z301" s="36">
        <f>IFERROR(IF(Y301=0,"",ROUNDUP(Y301/H301,0)*0.00502),"")</f>
        <v>0.17068</v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73.333333333333329</v>
      </c>
      <c r="BN301" s="64">
        <f t="shared" si="28"/>
        <v>74.8</v>
      </c>
      <c r="BO301" s="64">
        <f t="shared" si="29"/>
        <v>0.14245014245014245</v>
      </c>
      <c r="BP301" s="64">
        <f t="shared" si="30"/>
        <v>0.14529914529914531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33.333333333333329</v>
      </c>
      <c r="Y304" s="543">
        <f>IFERROR(Y297/H297,"0")+IFERROR(Y298/H298,"0")+IFERROR(Y299/H299,"0")+IFERROR(Y300/H300,"0")+IFERROR(Y301/H301,"0")+IFERROR(Y302/H302,"0")+IFERROR(Y303/H303,"0")</f>
        <v>34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0.17068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70</v>
      </c>
      <c r="Y305" s="543">
        <f>IFERROR(SUM(Y297:Y303),"0")</f>
        <v>71.400000000000006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100</v>
      </c>
      <c r="Y315" s="542">
        <f>IFERROR(IF(X315="",0,CEILING((X315/$H315),1)*$H315),"")</f>
        <v>101.39999999999999</v>
      </c>
      <c r="Z315" s="36">
        <f>IFERROR(IF(Y315=0,"",ROUNDUP(Y315/H315,0)*0.01898),"")</f>
        <v>0.24674000000000001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106.33333333333334</v>
      </c>
      <c r="BN315" s="64">
        <f>IFERROR(Y315*I315/H315,"0")</f>
        <v>107.82199999999999</v>
      </c>
      <c r="BO315" s="64">
        <f>IFERROR(1/J315*(X315/H315),"0")</f>
        <v>0.20032051282051283</v>
      </c>
      <c r="BP315" s="64">
        <f>IFERROR(1/J315*(Y315/H315),"0")</f>
        <v>0.203125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150</v>
      </c>
      <c r="Y316" s="542">
        <f>IFERROR(IF(X316="",0,CEILING((X316/$H316),1)*$H316),"")</f>
        <v>151.20000000000002</v>
      </c>
      <c r="Z316" s="36">
        <f>IFERROR(IF(Y316=0,"",ROUNDUP(Y316/H316,0)*0.01898),"")</f>
        <v>0.34164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158.82142857142856</v>
      </c>
      <c r="BN316" s="64">
        <f>IFERROR(Y316*I316/H316,"0")</f>
        <v>160.09200000000001</v>
      </c>
      <c r="BO316" s="64">
        <f>IFERROR(1/J316*(X316/H316),"0")</f>
        <v>0.27901785714285715</v>
      </c>
      <c r="BP316" s="64">
        <f>IFERROR(1/J316*(Y316/H316),"0")</f>
        <v>0.28125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30.677655677655679</v>
      </c>
      <c r="Y317" s="543">
        <f>IFERROR(Y314/H314,"0")+IFERROR(Y315/H315,"0")+IFERROR(Y316/H316,"0")</f>
        <v>31</v>
      </c>
      <c r="Z317" s="543">
        <f>IFERROR(IF(Z314="",0,Z314),"0")+IFERROR(IF(Z315="",0,Z315),"0")+IFERROR(IF(Z316="",0,Z316),"0")</f>
        <v>0.58838000000000001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250</v>
      </c>
      <c r="Y318" s="543">
        <f>IFERROR(SUM(Y314:Y316),"0")</f>
        <v>252.60000000000002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213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213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1100</v>
      </c>
      <c r="Y342" s="542">
        <f t="shared" ref="Y342:Y348" si="31">IFERROR(IF(X342="",0,CEILING((X342/$H342),1)*$H342),"")</f>
        <v>1110</v>
      </c>
      <c r="Z342" s="36">
        <f>IFERROR(IF(Y342=0,"",ROUNDUP(Y342/H342,0)*0.02175),"")</f>
        <v>1.6094999999999999</v>
      </c>
      <c r="AA342" s="56"/>
      <c r="AB342" s="57"/>
      <c r="AC342" s="389" t="s">
        <v>534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1134.4666666666667</v>
      </c>
      <c r="BN342" s="64">
        <f t="shared" ref="BN342:BN348" si="33">IFERROR(Y342*I342/H342,"0")</f>
        <v>1144.78</v>
      </c>
      <c r="BO342" s="64">
        <f t="shared" ref="BO342:BO348" si="34">IFERROR(1/J342*(X342/H342),"0")</f>
        <v>1.5277777777777777</v>
      </c>
      <c r="BP342" s="64">
        <f t="shared" ref="BP342:BP348" si="35">IFERROR(1/J342*(Y342/H342),"0")</f>
        <v>1.5416666666666665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900</v>
      </c>
      <c r="Y343" s="542">
        <f t="shared" si="31"/>
        <v>900</v>
      </c>
      <c r="Z343" s="36">
        <f>IFERROR(IF(Y343=0,"",ROUNDUP(Y343/H343,0)*0.02175),"")</f>
        <v>1.3049999999999999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si="32"/>
        <v>928.2</v>
      </c>
      <c r="BN343" s="64">
        <f t="shared" si="33"/>
        <v>928.2</v>
      </c>
      <c r="BO343" s="64">
        <f t="shared" si="34"/>
        <v>1.25</v>
      </c>
      <c r="BP343" s="64">
        <f t="shared" si="35"/>
        <v>1.25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1400</v>
      </c>
      <c r="Y344" s="542">
        <f t="shared" si="31"/>
        <v>1410</v>
      </c>
      <c r="Z344" s="36">
        <f>IFERROR(IF(Y344=0,"",ROUNDUP(Y344/H344,0)*0.02175),"")</f>
        <v>2.0444999999999998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2"/>
        <v>1443.8666666666666</v>
      </c>
      <c r="BN344" s="64">
        <f t="shared" si="33"/>
        <v>1454.18</v>
      </c>
      <c r="BO344" s="64">
        <f t="shared" si="34"/>
        <v>1.9444444444444442</v>
      </c>
      <c r="BP344" s="64">
        <f t="shared" si="35"/>
        <v>1.9583333333333333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700</v>
      </c>
      <c r="Y345" s="542">
        <f t="shared" si="31"/>
        <v>705</v>
      </c>
      <c r="Z345" s="36">
        <f>IFERROR(IF(Y345=0,"",ROUNDUP(Y345/H345,0)*0.02175),"")</f>
        <v>1.0222499999999999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721.93333333333328</v>
      </c>
      <c r="BN345" s="64">
        <f t="shared" si="33"/>
        <v>727.09</v>
      </c>
      <c r="BO345" s="64">
        <f t="shared" si="34"/>
        <v>0.9722222222222221</v>
      </c>
      <c r="BP345" s="64">
        <f t="shared" si="35"/>
        <v>0.97916666666666663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273.33333333333331</v>
      </c>
      <c r="Y349" s="543">
        <f>IFERROR(Y342/H342,"0")+IFERROR(Y343/H343,"0")+IFERROR(Y344/H344,"0")+IFERROR(Y345/H345,"0")+IFERROR(Y346/H346,"0")+IFERROR(Y347/H347,"0")+IFERROR(Y348/H348,"0")</f>
        <v>275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5.9812499999999993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4100</v>
      </c>
      <c r="Y350" s="543">
        <f>IFERROR(SUM(Y342:Y348),"0")</f>
        <v>4125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1000</v>
      </c>
      <c r="Y352" s="542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553</v>
      </c>
      <c r="AG352" s="64"/>
      <c r="AJ352" s="68"/>
      <c r="AK352" s="68">
        <v>0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66.666666666666671</v>
      </c>
      <c r="Y354" s="543">
        <f>IFERROR(Y352/H352,"0")+IFERROR(Y353/H353,"0")</f>
        <v>67</v>
      </c>
      <c r="Z354" s="543">
        <f>IFERROR(IF(Z352="",0,Z352),"0")+IFERROR(IF(Z353="",0,Z353),"0")</f>
        <v>1.4572499999999999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1000</v>
      </c>
      <c r="Y355" s="543">
        <f>IFERROR(SUM(Y352:Y353),"0")</f>
        <v>1005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30</v>
      </c>
      <c r="Y362" s="542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31.646666666666665</v>
      </c>
      <c r="BN362" s="64">
        <f>IFERROR(Y362*I362/H362,"0")</f>
        <v>37.975999999999999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3.3333333333333335</v>
      </c>
      <c r="Y363" s="543">
        <f>IFERROR(Y362/H362,"0")</f>
        <v>4</v>
      </c>
      <c r="Z363" s="543">
        <f>IFERROR(IF(Z362="",0,Z362),"0")</f>
        <v>7.5920000000000001E-2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30</v>
      </c>
      <c r="Y364" s="543">
        <f>IFERROR(SUM(Y362:Y362),"0")</f>
        <v>36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266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17.5</v>
      </c>
      <c r="Y389" s="542">
        <f t="shared" si="36"/>
        <v>18.900000000000002</v>
      </c>
      <c r="Z389" s="36">
        <f t="shared" si="41"/>
        <v>4.5179999999999998E-2</v>
      </c>
      <c r="AA389" s="56"/>
      <c r="AB389" s="57"/>
      <c r="AC389" s="435" t="s">
        <v>589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18.583333333333332</v>
      </c>
      <c r="BN389" s="64">
        <f t="shared" si="38"/>
        <v>20.07</v>
      </c>
      <c r="BO389" s="64">
        <f t="shared" si="39"/>
        <v>3.5612535612535613E-2</v>
      </c>
      <c r="BP389" s="64">
        <f t="shared" si="40"/>
        <v>3.8461538461538464E-2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266</v>
      </c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35</v>
      </c>
      <c r="Y392" s="542">
        <f t="shared" si="36"/>
        <v>35.700000000000003</v>
      </c>
      <c r="Z392" s="36">
        <f t="shared" si="41"/>
        <v>8.5339999999999999E-2</v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37.166666666666664</v>
      </c>
      <c r="BN392" s="64">
        <f t="shared" si="38"/>
        <v>37.910000000000004</v>
      </c>
      <c r="BO392" s="64">
        <f t="shared" si="39"/>
        <v>7.1225071225071226E-2</v>
      </c>
      <c r="BP392" s="64">
        <f t="shared" si="40"/>
        <v>7.2649572649572655E-2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24.999999999999996</v>
      </c>
      <c r="Y394" s="543">
        <f>IFERROR(Y385/H385,"0")+IFERROR(Y386/H386,"0")+IFERROR(Y387/H387,"0")+IFERROR(Y388/H388,"0")+IFERROR(Y389/H389,"0")+IFERROR(Y390/H390,"0")+IFERROR(Y391/H391,"0")+IFERROR(Y392/H392,"0")+IFERROR(Y393/H393,"0")</f>
        <v>26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0.13052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52.5</v>
      </c>
      <c r="Y395" s="543">
        <f>IFERROR(SUM(Y385:Y393),"0")</f>
        <v>54.600000000000009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213</v>
      </c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60</v>
      </c>
      <c r="Y428" s="542">
        <f t="shared" si="42"/>
        <v>62.4</v>
      </c>
      <c r="Z428" s="36">
        <f>IFERROR(IF(Y428=0,"",ROUNDUP(Y428/H428,0)*0.00902),"")</f>
        <v>0.11726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86.375000000000014</v>
      </c>
      <c r="BN428" s="64">
        <f t="shared" si="45"/>
        <v>89.830000000000013</v>
      </c>
      <c r="BO428" s="64">
        <f t="shared" si="46"/>
        <v>9.4696969696969696E-2</v>
      </c>
      <c r="BP428" s="64">
        <f t="shared" si="47"/>
        <v>9.8484848484848481E-2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90</v>
      </c>
      <c r="Y431" s="542">
        <f t="shared" si="42"/>
        <v>91.2</v>
      </c>
      <c r="Z431" s="36">
        <f>IFERROR(IF(Y431=0,"",ROUNDUP(Y431/H431,0)*0.00902),"")</f>
        <v>0.17138</v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129.5625</v>
      </c>
      <c r="BN431" s="64">
        <f t="shared" si="45"/>
        <v>131.29000000000002</v>
      </c>
      <c r="BO431" s="64">
        <f t="shared" si="46"/>
        <v>0.14204545454545456</v>
      </c>
      <c r="BP431" s="64">
        <f t="shared" si="47"/>
        <v>0.14393939393939395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31.25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0.28864000000000001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150</v>
      </c>
      <c r="Y433" s="543">
        <f>IFERROR(SUM(Y421:Y431),"0")</f>
        <v>153.6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100</v>
      </c>
      <c r="Y435" s="542">
        <f>IFERROR(IF(X435="",0,CEILING((X435/$H435),1)*$H435),"")</f>
        <v>100.32000000000001</v>
      </c>
      <c r="Z435" s="36">
        <f>IFERROR(IF(Y435=0,"",ROUNDUP(Y435/H435,0)*0.01196),"")</f>
        <v>0.22724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106.62878787878788</v>
      </c>
      <c r="BN435" s="64">
        <f>IFERROR(Y435*I435/H435,"0")</f>
        <v>106.97</v>
      </c>
      <c r="BO435" s="64">
        <f>IFERROR(1/J435*(X435/H435),"0")</f>
        <v>0.18210955710955709</v>
      </c>
      <c r="BP435" s="64">
        <f>IFERROR(1/J435*(Y435/H435),"0")</f>
        <v>0.18269230769230771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18.939393939393938</v>
      </c>
      <c r="Y438" s="543">
        <f>IFERROR(Y435/H435,"0")+IFERROR(Y436/H436,"0")+IFERROR(Y437/H437,"0")</f>
        <v>19</v>
      </c>
      <c r="Z438" s="543">
        <f>IFERROR(IF(Z435="",0,Z435),"0")+IFERROR(IF(Z436="",0,Z436),"0")+IFERROR(IF(Z437="",0,Z437),"0")</f>
        <v>0.22724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100</v>
      </c>
      <c r="Y439" s="543">
        <f>IFERROR(SUM(Y435:Y437),"0")</f>
        <v>100.32000000000001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100</v>
      </c>
      <c r="Y443" s="542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106.62878787878788</v>
      </c>
      <c r="BN443" s="64">
        <f t="shared" si="50"/>
        <v>106.97</v>
      </c>
      <c r="BO443" s="64">
        <f t="shared" si="51"/>
        <v>0.18210955710955709</v>
      </c>
      <c r="BP443" s="64">
        <f t="shared" si="52"/>
        <v>0.18269230769230771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110</v>
      </c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36</v>
      </c>
      <c r="Y446" s="542">
        <f t="shared" si="48"/>
        <v>38.4</v>
      </c>
      <c r="Z446" s="36">
        <f>IFERROR(IF(Y446=0,"",ROUNDUP(Y446/H446,0)*0.00902),"")</f>
        <v>7.2160000000000002E-2</v>
      </c>
      <c r="AA446" s="56"/>
      <c r="AB446" s="57"/>
      <c r="AC446" s="499" t="s">
        <v>680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50.025000000000006</v>
      </c>
      <c r="BN446" s="64">
        <f t="shared" si="50"/>
        <v>53.36</v>
      </c>
      <c r="BO446" s="64">
        <f t="shared" si="51"/>
        <v>5.6818181818181823E-2</v>
      </c>
      <c r="BP446" s="64">
        <f t="shared" si="52"/>
        <v>6.0606060606060608E-2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54.848484848484844</v>
      </c>
      <c r="Y447" s="543">
        <f>IFERROR(Y441/H441,"0")+IFERROR(Y442/H442,"0")+IFERROR(Y443/H443,"0")+IFERROR(Y444/H444,"0")+IFERROR(Y445/H445,"0")+IFERROR(Y446/H446,"0")</f>
        <v>56</v>
      </c>
      <c r="Z447" s="543">
        <f>IFERROR(IF(Z441="",0,Z441),"0")+IFERROR(IF(Z442="",0,Z442),"0")+IFERROR(IF(Z443="",0,Z443),"0")+IFERROR(IF(Z444="",0,Z444),"0")+IFERROR(IF(Z445="",0,Z445),"0")+IFERROR(IF(Z446="",0,Z446),"0")</f>
        <v>0.64623999999999993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286</v>
      </c>
      <c r="Y448" s="543">
        <f>IFERROR(SUM(Y441:Y446),"0")</f>
        <v>291.83999999999997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800</v>
      </c>
      <c r="Y476" s="542">
        <f>IFERROR(IF(X476="",0,CEILING((X476/$H476),1)*$H476),"")</f>
        <v>801</v>
      </c>
      <c r="Z476" s="36">
        <f>IFERROR(IF(Y476=0,"",ROUNDUP(Y476/H476,0)*0.01898),"")</f>
        <v>1.6892199999999999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843.91111111111104</v>
      </c>
      <c r="BN476" s="64">
        <f>IFERROR(Y476*I476/H476,"0")</f>
        <v>844.96599999999989</v>
      </c>
      <c r="BO476" s="64">
        <f>IFERROR(1/J476*(X476/H476),"0")</f>
        <v>1.3888888888888888</v>
      </c>
      <c r="BP476" s="64">
        <f>IFERROR(1/J476*(Y476/H476),"0")</f>
        <v>1.390625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88.888888888888886</v>
      </c>
      <c r="Y477" s="543">
        <f>IFERROR(Y476/H476,"0")</f>
        <v>89</v>
      </c>
      <c r="Z477" s="543">
        <f>IFERROR(IF(Z476="",0,Z476),"0")</f>
        <v>1.6892199999999999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800</v>
      </c>
      <c r="Y478" s="543">
        <f>IFERROR(SUM(Y476:Y476),"0")</f>
        <v>801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10493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10620.76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11074.283896449444</v>
      </c>
      <c r="Y490" s="543">
        <f>IFERROR(SUM(BN22:BN486),"0")</f>
        <v>11211.116999999998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18</v>
      </c>
      <c r="Y491" s="38">
        <f>ROUNDUP(SUM(BP22:BP486),0)</f>
        <v>18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11524.283896449444</v>
      </c>
      <c r="Y492" s="543">
        <f>GrossWeightTotalR+PalletQtyTotalR*25</f>
        <v>11661.116999999998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1772.5492935119371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1797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19.959429999999998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134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532.79999999999995</v>
      </c>
      <c r="E499" s="46">
        <f>IFERROR(Y85*1,"0")+IFERROR(Y86*1,"0")+IFERROR(Y87*1,"0")+IFERROR(Y91*1,"0")+IFERROR(Y92*1,"0")+IFERROR(Y93*1,"0")+IFERROR(Y94*1,"0")</f>
        <v>832.5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587.70000000000005</v>
      </c>
      <c r="G499" s="46">
        <f>IFERROR(Y124*1,"0")+IFERROR(Y125*1,"0")+IFERROR(Y129*1,"0")+IFERROR(Y130*1,"0")+IFERROR(Y134*1,"0")+IFERROR(Y135*1,"0")</f>
        <v>36.4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321.3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1055.4000000000001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66.100000000000009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163.19999999999999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324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5166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54.600000000000009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545.76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801</v>
      </c>
      <c r="Z499" s="46">
        <f>IFERROR(Y486*1,"0")</f>
        <v>0</v>
      </c>
      <c r="AB499" s="52"/>
      <c r="AC499" s="52"/>
      <c r="AF499" s="539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9:X390 X392 X415 X421 X424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