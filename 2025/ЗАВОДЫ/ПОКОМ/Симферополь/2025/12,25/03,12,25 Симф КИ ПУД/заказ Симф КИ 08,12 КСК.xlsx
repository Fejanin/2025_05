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12AA3372-2C5A-45A8-B917-B90C96BFF44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Y374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P358" i="1"/>
  <c r="BO358" i="1"/>
  <c r="BN358" i="1"/>
  <c r="BM358" i="1"/>
  <c r="Z358" i="1"/>
  <c r="Y358" i="1"/>
  <c r="P358" i="1"/>
  <c r="BO357" i="1"/>
  <c r="BM357" i="1"/>
  <c r="Z357" i="1"/>
  <c r="Z359" i="1" s="1"/>
  <c r="Y357" i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Y177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P161" i="1"/>
  <c r="BO161" i="1"/>
  <c r="BN161" i="1"/>
  <c r="BM161" i="1"/>
  <c r="Z161" i="1"/>
  <c r="Y161" i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P151" i="1"/>
  <c r="X149" i="1"/>
  <c r="Y148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Y149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Y131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285" i="1" l="1"/>
  <c r="Z136" i="1"/>
  <c r="Z220" i="1"/>
  <c r="Y31" i="1"/>
  <c r="Y493" i="1" s="1"/>
  <c r="Y43" i="1"/>
  <c r="Y58" i="1"/>
  <c r="Y64" i="1"/>
  <c r="Y70" i="1"/>
  <c r="Y77" i="1"/>
  <c r="BP72" i="1"/>
  <c r="BN72" i="1"/>
  <c r="Z72" i="1"/>
  <c r="Y76" i="1"/>
  <c r="BP80" i="1"/>
  <c r="BN80" i="1"/>
  <c r="Z80" i="1"/>
  <c r="Z81" i="1" s="1"/>
  <c r="Y82" i="1"/>
  <c r="E499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BP135" i="1"/>
  <c r="BN135" i="1"/>
  <c r="Z135" i="1"/>
  <c r="Y137" i="1"/>
  <c r="H499" i="1"/>
  <c r="Y143" i="1"/>
  <c r="BP140" i="1"/>
  <c r="BN140" i="1"/>
  <c r="Z140" i="1"/>
  <c r="Z142" i="1" s="1"/>
  <c r="BP162" i="1"/>
  <c r="BN162" i="1"/>
  <c r="Z162" i="1"/>
  <c r="BP165" i="1"/>
  <c r="BN165" i="1"/>
  <c r="Z165" i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2" i="1"/>
  <c r="BN202" i="1"/>
  <c r="Z202" i="1"/>
  <c r="Y204" i="1"/>
  <c r="Y216" i="1"/>
  <c r="BP206" i="1"/>
  <c r="BN206" i="1"/>
  <c r="Z206" i="1"/>
  <c r="BP210" i="1"/>
  <c r="BN210" i="1"/>
  <c r="Z210" i="1"/>
  <c r="Y215" i="1"/>
  <c r="BP219" i="1"/>
  <c r="BN219" i="1"/>
  <c r="Z219" i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1" i="1"/>
  <c r="BN321" i="1"/>
  <c r="Z321" i="1"/>
  <c r="Y325" i="1"/>
  <c r="BP329" i="1"/>
  <c r="BN329" i="1"/>
  <c r="Z329" i="1"/>
  <c r="Y331" i="1"/>
  <c r="R499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499" i="1"/>
  <c r="H9" i="1"/>
  <c r="B499" i="1"/>
  <c r="X490" i="1"/>
  <c r="X492" i="1" s="1"/>
  <c r="X491" i="1"/>
  <c r="X493" i="1"/>
  <c r="Y24" i="1"/>
  <c r="Z27" i="1"/>
  <c r="Z31" i="1" s="1"/>
  <c r="BN27" i="1"/>
  <c r="Y490" i="1" s="1"/>
  <c r="Z29" i="1"/>
  <c r="BN29" i="1"/>
  <c r="C499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1" i="1" s="1"/>
  <c r="Z62" i="1"/>
  <c r="BN62" i="1"/>
  <c r="Z66" i="1"/>
  <c r="BN66" i="1"/>
  <c r="BP66" i="1"/>
  <c r="Z68" i="1"/>
  <c r="BN68" i="1"/>
  <c r="BP74" i="1"/>
  <c r="BN74" i="1"/>
  <c r="Z74" i="1"/>
  <c r="Y81" i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Y136" i="1"/>
  <c r="Y142" i="1"/>
  <c r="BP146" i="1"/>
  <c r="BN146" i="1"/>
  <c r="Z146" i="1"/>
  <c r="Z148" i="1" s="1"/>
  <c r="Y172" i="1"/>
  <c r="BP164" i="1"/>
  <c r="BN164" i="1"/>
  <c r="Z164" i="1"/>
  <c r="Z171" i="1" s="1"/>
  <c r="BP167" i="1"/>
  <c r="BN167" i="1"/>
  <c r="Z167" i="1"/>
  <c r="Y171" i="1"/>
  <c r="BP175" i="1"/>
  <c r="BN175" i="1"/>
  <c r="Z175" i="1"/>
  <c r="Z177" i="1" s="1"/>
  <c r="Y192" i="1"/>
  <c r="BP196" i="1"/>
  <c r="BN196" i="1"/>
  <c r="Z196" i="1"/>
  <c r="Z203" i="1" s="1"/>
  <c r="BP200" i="1"/>
  <c r="BN200" i="1"/>
  <c r="Z200" i="1"/>
  <c r="BP208" i="1"/>
  <c r="BN208" i="1"/>
  <c r="Z208" i="1"/>
  <c r="BP212" i="1"/>
  <c r="BN212" i="1"/>
  <c r="Z212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84" i="1"/>
  <c r="BN284" i="1"/>
  <c r="Z284" i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BP378" i="1"/>
  <c r="BN378" i="1"/>
  <c r="Z378" i="1"/>
  <c r="Z380" i="1" s="1"/>
  <c r="Y381" i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Z462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F499" i="1"/>
  <c r="Y103" i="1"/>
  <c r="G499" i="1"/>
  <c r="Y126" i="1"/>
  <c r="I499" i="1"/>
  <c r="Y159" i="1"/>
  <c r="J499" i="1"/>
  <c r="Y187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Z250" i="1" s="1"/>
  <c r="Y250" i="1"/>
  <c r="Z259" i="1"/>
  <c r="BP255" i="1"/>
  <c r="BN255" i="1"/>
  <c r="Z255" i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Y311" i="1"/>
  <c r="BP315" i="1"/>
  <c r="BN315" i="1"/>
  <c r="Z315" i="1"/>
  <c r="Z317" i="1" s="1"/>
  <c r="Y324" i="1"/>
  <c r="BP323" i="1"/>
  <c r="BN323" i="1"/>
  <c r="Z323" i="1"/>
  <c r="Z324" i="1" s="1"/>
  <c r="Y330" i="1"/>
  <c r="BP327" i="1"/>
  <c r="BN327" i="1"/>
  <c r="Z327" i="1"/>
  <c r="Z330" i="1" s="1"/>
  <c r="BP336" i="1"/>
  <c r="BN336" i="1"/>
  <c r="Z336" i="1"/>
  <c r="S499" i="1"/>
  <c r="Y349" i="1"/>
  <c r="BP342" i="1"/>
  <c r="BN342" i="1"/>
  <c r="Z342" i="1"/>
  <c r="Z349" i="1" s="1"/>
  <c r="BP346" i="1"/>
  <c r="BN346" i="1"/>
  <c r="Z346" i="1"/>
  <c r="L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Z374" i="1" s="1"/>
  <c r="Y380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Z453" i="1"/>
  <c r="BP451" i="1"/>
  <c r="BN451" i="1"/>
  <c r="Z451" i="1"/>
  <c r="Y462" i="1"/>
  <c r="BP461" i="1"/>
  <c r="BN461" i="1"/>
  <c r="Z461" i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92" i="1" l="1"/>
  <c r="Z432" i="1"/>
  <c r="Z88" i="1"/>
  <c r="Z76" i="1"/>
  <c r="Z447" i="1"/>
  <c r="Z215" i="1"/>
  <c r="Z468" i="1"/>
  <c r="Z394" i="1"/>
  <c r="Z311" i="1"/>
  <c r="Z304" i="1"/>
  <c r="Z294" i="1"/>
  <c r="Z274" i="1"/>
  <c r="Z116" i="1"/>
  <c r="Z103" i="1"/>
  <c r="Z69" i="1"/>
  <c r="Z494" i="1" s="1"/>
  <c r="Y489" i="1"/>
  <c r="Z337" i="1"/>
  <c r="Z234" i="1"/>
  <c r="Z109" i="1"/>
</calcChain>
</file>

<file path=xl/sharedStrings.xml><?xml version="1.0" encoding="utf-8"?>
<sst xmlns="http://schemas.openxmlformats.org/spreadsheetml/2006/main" count="2274" uniqueCount="762">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</sst>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0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3" t="s">
        <v>8</v>
      </c>
      <c r="B5" s="628"/>
      <c r="C5" s="629"/>
      <c r="D5" s="617"/>
      <c r="E5" s="618"/>
      <c r="F5" s="823" t="s">
        <v>9</v>
      </c>
      <c r="G5" s="629"/>
      <c r="H5" s="617"/>
      <c r="I5" s="764"/>
      <c r="J5" s="764"/>
      <c r="K5" s="764"/>
      <c r="L5" s="764"/>
      <c r="M5" s="618"/>
      <c r="N5" s="58"/>
      <c r="P5" s="24" t="s">
        <v>10</v>
      </c>
      <c r="Q5" s="839">
        <v>45992</v>
      </c>
      <c r="R5" s="652"/>
      <c r="T5" s="701" t="s">
        <v>11</v>
      </c>
      <c r="U5" s="702"/>
      <c r="V5" s="703" t="s">
        <v>12</v>
      </c>
      <c r="W5" s="652"/>
      <c r="AB5" s="51"/>
      <c r="AC5" s="51"/>
      <c r="AD5" s="51"/>
      <c r="AE5" s="51"/>
    </row>
    <row r="6" spans="1:32" s="535" customFormat="1" ht="24" customHeight="1" x14ac:dyDescent="0.2">
      <c r="A6" s="653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2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06" t="s">
        <v>16</v>
      </c>
      <c r="U6" s="702"/>
      <c r="V6" s="750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2"/>
      <c r="V7" s="751"/>
      <c r="W7" s="752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1">
        <v>0.375</v>
      </c>
      <c r="R8" s="599"/>
      <c r="T8" s="555"/>
      <c r="U8" s="702"/>
      <c r="V8" s="751"/>
      <c r="W8" s="752"/>
      <c r="AB8" s="51"/>
      <c r="AC8" s="51"/>
      <c r="AD8" s="51"/>
      <c r="AE8" s="51"/>
    </row>
    <row r="9" spans="1:32" s="535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3"/>
      <c r="E9" s="561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9"/>
      <c r="R9" s="650"/>
      <c r="T9" s="555"/>
      <c r="U9" s="702"/>
      <c r="V9" s="753"/>
      <c r="W9" s="754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3"/>
      <c r="E10" s="561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3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1"/>
      <c r="R11" s="652"/>
      <c r="U11" s="24" t="s">
        <v>27</v>
      </c>
      <c r="V11" s="790" t="s">
        <v>28</v>
      </c>
      <c r="W11" s="650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4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1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4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4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0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4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0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2" t="s">
        <v>55</v>
      </c>
      <c r="AA17" s="741" t="s">
        <v>56</v>
      </c>
      <c r="AB17" s="741" t="s">
        <v>57</v>
      </c>
      <c r="AC17" s="741" t="s">
        <v>58</v>
      </c>
      <c r="AD17" s="741" t="s">
        <v>59</v>
      </c>
      <c r="AE17" s="818"/>
      <c r="AF17" s="819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3"/>
      <c r="AA18" s="742"/>
      <c r="AB18" s="742"/>
      <c r="AC18" s="742"/>
      <c r="AD18" s="820"/>
      <c r="AE18" s="821"/>
      <c r="AF18" s="822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8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9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9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9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97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8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9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100</v>
      </c>
      <c r="Y40" s="542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240</v>
      </c>
      <c r="Y41" s="542">
        <f>IFERROR(IF(X41="",0,CEILING((X41/$H41),1)*$H41),"")</f>
        <v>240</v>
      </c>
      <c r="Z41" s="36">
        <f>IFERROR(IF(Y41=0,"",ROUNDUP(Y41/H41,0)*0.00902),"")</f>
        <v>0.54120000000000001</v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251.40000000000003</v>
      </c>
      <c r="BN41" s="64">
        <f>IFERROR(Y41*I41/H41,"0")</f>
        <v>251.40000000000003</v>
      </c>
      <c r="BO41" s="64">
        <f>IFERROR(1/J41*(X41/H41),"0")</f>
        <v>0.45454545454545459</v>
      </c>
      <c r="BP41" s="64">
        <f>IFERROR(1/J41*(Y41/H41),"0")</f>
        <v>0.45454545454545459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69.259259259259267</v>
      </c>
      <c r="Y43" s="543">
        <f>IFERROR(Y40/H40,"0")+IFERROR(Y41/H41,"0")+IFERROR(Y42/H42,"0")</f>
        <v>70</v>
      </c>
      <c r="Z43" s="543">
        <f>IFERROR(IF(Z40="",0,Z40),"0")+IFERROR(IF(Z41="",0,Z41),"0")+IFERROR(IF(Z42="",0,Z42),"0")</f>
        <v>0.73099999999999998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340</v>
      </c>
      <c r="Y44" s="543">
        <f>IFERROR(SUM(Y40:Y42),"0")</f>
        <v>348</v>
      </c>
      <c r="Z44" s="37"/>
      <c r="AA44" s="544"/>
      <c r="AB44" s="544"/>
      <c r="AC44" s="544"/>
    </row>
    <row r="45" spans="1:68" ht="14.25" customHeight="1" x14ac:dyDescent="0.25">
      <c r="A45" s="559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8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9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200</v>
      </c>
      <c r="Y52" s="542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si="1"/>
        <v>207.59259259259258</v>
      </c>
      <c r="BN52" s="64">
        <f t="shared" si="2"/>
        <v>212.99</v>
      </c>
      <c r="BO52" s="64">
        <f t="shared" si="3"/>
        <v>0.28935185185185186</v>
      </c>
      <c r="BP52" s="64">
        <f t="shared" si="4"/>
        <v>0.296875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225</v>
      </c>
      <c r="Y56" s="542">
        <f t="shared" si="0"/>
        <v>225</v>
      </c>
      <c r="Z56" s="36">
        <f>IFERROR(IF(Y56=0,"",ROUNDUP(Y56/H56,0)*0.00902),"")</f>
        <v>0.45100000000000001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234.5</v>
      </c>
      <c r="BN56" s="64">
        <f t="shared" si="2"/>
        <v>234.5</v>
      </c>
      <c r="BO56" s="64">
        <f t="shared" si="3"/>
        <v>0.37878787878787878</v>
      </c>
      <c r="BP56" s="64">
        <f t="shared" si="4"/>
        <v>0.37878787878787878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68.518518518518519</v>
      </c>
      <c r="Y57" s="543">
        <f>IFERROR(Y51/H51,"0")+IFERROR(Y52/H52,"0")+IFERROR(Y53/H53,"0")+IFERROR(Y54/H54,"0")+IFERROR(Y55/H55,"0")+IFERROR(Y56/H56,"0")</f>
        <v>69</v>
      </c>
      <c r="Z57" s="543">
        <f>IFERROR(IF(Z51="",0,Z51),"0")+IFERROR(IF(Z52="",0,Z52),"0")+IFERROR(IF(Z53="",0,Z53),"0")+IFERROR(IF(Z54="",0,Z54),"0")+IFERROR(IF(Z55="",0,Z55),"0")+IFERROR(IF(Z56="",0,Z56),"0")</f>
        <v>0.81162000000000001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425</v>
      </c>
      <c r="Y58" s="543">
        <f>IFERROR(SUM(Y51:Y56),"0")</f>
        <v>430.20000000000005</v>
      </c>
      <c r="Z58" s="37"/>
      <c r="AA58" s="544"/>
      <c r="AB58" s="544"/>
      <c r="AC58" s="544"/>
    </row>
    <row r="59" spans="1:68" ht="14.25" customHeight="1" x14ac:dyDescent="0.25">
      <c r="A59" s="559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200</v>
      </c>
      <c r="Y60" s="542">
        <f>IFERROR(IF(X60="",0,CEILING((X60/$H60),1)*$H60),"")</f>
        <v>205.20000000000002</v>
      </c>
      <c r="Z60" s="36">
        <f>IFERROR(IF(Y60=0,"",ROUNDUP(Y60/H60,0)*0.01898),"")</f>
        <v>0.36062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207.59259259259258</v>
      </c>
      <c r="BN60" s="64">
        <f>IFERROR(Y60*I60/H60,"0")</f>
        <v>212.99</v>
      </c>
      <c r="BO60" s="64">
        <f>IFERROR(1/J60*(X60/H60),"0")</f>
        <v>0.28935185185185186</v>
      </c>
      <c r="BP60" s="64">
        <f>IFERROR(1/J60*(Y60/H60),"0")</f>
        <v>0.296875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135</v>
      </c>
      <c r="Y62" s="542">
        <f>IFERROR(IF(X62="",0,CEILING((X62/$H62),1)*$H62),"")</f>
        <v>135</v>
      </c>
      <c r="Z62" s="36">
        <f>IFERROR(IF(Y62=0,"",ROUNDUP(Y62/H62,0)*0.00651),"")</f>
        <v>0.32550000000000001</v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144</v>
      </c>
      <c r="BN62" s="64">
        <f>IFERROR(Y62*I62/H62,"0")</f>
        <v>144</v>
      </c>
      <c r="BO62" s="64">
        <f>IFERROR(1/J62*(X62/H62),"0")</f>
        <v>0.27472527472527475</v>
      </c>
      <c r="BP62" s="64">
        <f>IFERROR(1/J62*(Y62/H62),"0")</f>
        <v>0.27472527472527475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68.518518518518519</v>
      </c>
      <c r="Y63" s="543">
        <f>IFERROR(Y60/H60,"0")+IFERROR(Y61/H61,"0")+IFERROR(Y62/H62,"0")</f>
        <v>69</v>
      </c>
      <c r="Z63" s="543">
        <f>IFERROR(IF(Z60="",0,Z60),"0")+IFERROR(IF(Z61="",0,Z61),"0")+IFERROR(IF(Z62="",0,Z62),"0")</f>
        <v>0.68612000000000006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335</v>
      </c>
      <c r="Y64" s="543">
        <f>IFERROR(SUM(Y60:Y62),"0")</f>
        <v>340.20000000000005</v>
      </c>
      <c r="Z64" s="37"/>
      <c r="AA64" s="544"/>
      <c r="AB64" s="544"/>
      <c r="AC64" s="544"/>
    </row>
    <row r="65" spans="1:68" ht="14.25" customHeight="1" x14ac:dyDescent="0.25">
      <c r="A65" s="559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9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9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20</v>
      </c>
      <c r="Y79" s="542">
        <f>IFERROR(IF(X79="",0,CEILING((X79/$H79),1)*$H79),"")</f>
        <v>23.4</v>
      </c>
      <c r="Z79" s="36">
        <f>IFERROR(IF(Y79=0,"",ROUNDUP(Y79/H79,0)*0.01898),"")</f>
        <v>5.6940000000000004E-2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21.051282051282055</v>
      </c>
      <c r="BN79" s="64">
        <f>IFERROR(Y79*I79/H79,"0")</f>
        <v>24.630000000000003</v>
      </c>
      <c r="BO79" s="64">
        <f>IFERROR(1/J79*(X79/H79),"0")</f>
        <v>4.0064102564102567E-2</v>
      </c>
      <c r="BP79" s="64">
        <f>IFERROR(1/J79*(Y79/H79),"0")</f>
        <v>4.6875E-2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2.5641025641025643</v>
      </c>
      <c r="Y81" s="543">
        <f>IFERROR(Y79/H79,"0")+IFERROR(Y80/H80,"0")</f>
        <v>3</v>
      </c>
      <c r="Z81" s="543">
        <f>IFERROR(IF(Z79="",0,Z79),"0")+IFERROR(IF(Z80="",0,Z80),"0")</f>
        <v>5.6940000000000004E-2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20</v>
      </c>
      <c r="Y82" s="543">
        <f>IFERROR(SUM(Y79:Y80),"0")</f>
        <v>23.4</v>
      </c>
      <c r="Z82" s="37"/>
      <c r="AA82" s="544"/>
      <c r="AB82" s="544"/>
      <c r="AC82" s="544"/>
    </row>
    <row r="83" spans="1:68" ht="16.5" customHeight="1" x14ac:dyDescent="0.25">
      <c r="A83" s="558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9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200</v>
      </c>
      <c r="Y85" s="542">
        <f>IFERROR(IF(X85="",0,CEILING((X85/$H85),1)*$H85),"")</f>
        <v>205.20000000000002</v>
      </c>
      <c r="Z85" s="36">
        <f>IFERROR(IF(Y85=0,"",ROUNDUP(Y85/H85,0)*0.01898),"")</f>
        <v>0.36062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207.59259259259258</v>
      </c>
      <c r="BN85" s="64">
        <f>IFERROR(Y85*I85/H85,"0")</f>
        <v>212.99</v>
      </c>
      <c r="BO85" s="64">
        <f>IFERROR(1/J85*(X85/H85),"0")</f>
        <v>0.28935185185185186</v>
      </c>
      <c r="BP85" s="64">
        <f>IFERROR(1/J85*(Y85/H85),"0")</f>
        <v>0.296875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450</v>
      </c>
      <c r="Y87" s="542">
        <f>IFERROR(IF(X87="",0,CEILING((X87/$H87),1)*$H87),"")</f>
        <v>450</v>
      </c>
      <c r="Z87" s="36">
        <f>IFERROR(IF(Y87=0,"",ROUNDUP(Y87/H87,0)*0.00902),"")</f>
        <v>0.90200000000000002</v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469</v>
      </c>
      <c r="BN87" s="64">
        <f>IFERROR(Y87*I87/H87,"0")</f>
        <v>469</v>
      </c>
      <c r="BO87" s="64">
        <f>IFERROR(1/J87*(X87/H87),"0")</f>
        <v>0.75757575757575757</v>
      </c>
      <c r="BP87" s="64">
        <f>IFERROR(1/J87*(Y87/H87),"0")</f>
        <v>0.75757575757575757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118.51851851851852</v>
      </c>
      <c r="Y88" s="543">
        <f>IFERROR(Y85/H85,"0")+IFERROR(Y86/H86,"0")+IFERROR(Y87/H87,"0")</f>
        <v>119</v>
      </c>
      <c r="Z88" s="543">
        <f>IFERROR(IF(Z85="",0,Z85),"0")+IFERROR(IF(Z86="",0,Z86),"0")+IFERROR(IF(Z87="",0,Z87),"0")</f>
        <v>1.2626200000000001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650</v>
      </c>
      <c r="Y89" s="543">
        <f>IFERROR(SUM(Y85:Y87),"0")</f>
        <v>655.20000000000005</v>
      </c>
      <c r="Z89" s="37"/>
      <c r="AA89" s="544"/>
      <c r="AB89" s="544"/>
      <c r="AC89" s="544"/>
    </row>
    <row r="90" spans="1:68" ht="14.25" customHeight="1" x14ac:dyDescent="0.25">
      <c r="A90" s="559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200</v>
      </c>
      <c r="Y91" s="542">
        <f>IFERROR(IF(X91="",0,CEILING((X91/$H91),1)*$H91),"")</f>
        <v>202.5</v>
      </c>
      <c r="Z91" s="36">
        <f>IFERROR(IF(Y91=0,"",ROUNDUP(Y91/H91,0)*0.01898),"")</f>
        <v>0.47450000000000003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212.19753086419755</v>
      </c>
      <c r="BN91" s="64">
        <f>IFERROR(Y91*I91/H91,"0")</f>
        <v>214.85</v>
      </c>
      <c r="BO91" s="64">
        <f>IFERROR(1/J91*(X91/H91),"0")</f>
        <v>0.38580246913580246</v>
      </c>
      <c r="BP91" s="64">
        <f>IFERROR(1/J91*(Y91/H91),"0")</f>
        <v>0.390625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585</v>
      </c>
      <c r="Y93" s="542">
        <f>IFERROR(IF(X93="",0,CEILING((X93/$H93),1)*$H93),"")</f>
        <v>585.90000000000009</v>
      </c>
      <c r="Z93" s="36">
        <f>IFERROR(IF(Y93=0,"",ROUNDUP(Y93/H93,0)*0.00651),"")</f>
        <v>1.4126700000000001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639.6</v>
      </c>
      <c r="BN93" s="64">
        <f>IFERROR(Y93*I93/H93,"0")</f>
        <v>640.58400000000006</v>
      </c>
      <c r="BO93" s="64">
        <f>IFERROR(1/J93*(X93/H93),"0")</f>
        <v>1.1904761904761905</v>
      </c>
      <c r="BP93" s="64">
        <f>IFERROR(1/J93*(Y93/H93),"0")</f>
        <v>1.1923076923076925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241.35802469135803</v>
      </c>
      <c r="Y95" s="543">
        <f>IFERROR(Y91/H91,"0")+IFERROR(Y92/H92,"0")+IFERROR(Y93/H93,"0")+IFERROR(Y94/H94,"0")</f>
        <v>242.00000000000003</v>
      </c>
      <c r="Z95" s="543">
        <f>IFERROR(IF(Z91="",0,Z91),"0")+IFERROR(IF(Z92="",0,Z92),"0")+IFERROR(IF(Z93="",0,Z93),"0")+IFERROR(IF(Z94="",0,Z94),"0")</f>
        <v>1.8871700000000002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785</v>
      </c>
      <c r="Y96" s="543">
        <f>IFERROR(SUM(Y91:Y94),"0")</f>
        <v>788.40000000000009</v>
      </c>
      <c r="Z96" s="37"/>
      <c r="AA96" s="544"/>
      <c r="AB96" s="544"/>
      <c r="AC96" s="544"/>
    </row>
    <row r="97" spans="1:68" ht="16.5" customHeight="1" x14ac:dyDescent="0.25">
      <c r="A97" s="558" t="s">
        <v>189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9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60</v>
      </c>
      <c r="Y99" s="542">
        <f>IFERROR(IF(X99="",0,CEILING((X99/$H99),1)*$H99),"")</f>
        <v>64.800000000000011</v>
      </c>
      <c r="Z99" s="36">
        <f>IFERROR(IF(Y99=0,"",ROUNDUP(Y99/H99,0)*0.01898),"")</f>
        <v>0.11388000000000001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62.277777777777779</v>
      </c>
      <c r="BN99" s="64">
        <f>IFERROR(Y99*I99/H99,"0")</f>
        <v>67.260000000000005</v>
      </c>
      <c r="BO99" s="64">
        <f>IFERROR(1/J99*(X99/H99),"0")</f>
        <v>8.6805555555555552E-2</v>
      </c>
      <c r="BP99" s="64">
        <f>IFERROR(1/J99*(Y99/H99),"0")</f>
        <v>9.3750000000000014E-2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360</v>
      </c>
      <c r="Y101" s="542">
        <f>IFERROR(IF(X101="",0,CEILING((X101/$H101),1)*$H101),"")</f>
        <v>360</v>
      </c>
      <c r="Z101" s="36">
        <f>IFERROR(IF(Y101=0,"",ROUNDUP(Y101/H101,0)*0.00902),"")</f>
        <v>0.72160000000000002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375.20000000000005</v>
      </c>
      <c r="BN101" s="64">
        <f>IFERROR(Y101*I101/H101,"0")</f>
        <v>375.20000000000005</v>
      </c>
      <c r="BO101" s="64">
        <f>IFERROR(1/J101*(X101/H101),"0")</f>
        <v>0.60606060606060608</v>
      </c>
      <c r="BP101" s="64">
        <f>IFERROR(1/J101*(Y101/H101),"0")</f>
        <v>0.60606060606060608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85.555555555555557</v>
      </c>
      <c r="Y103" s="543">
        <f>IFERROR(Y99/H99,"0")+IFERROR(Y100/H100,"0")+IFERROR(Y101/H101,"0")+IFERROR(Y102/H102,"0")</f>
        <v>86</v>
      </c>
      <c r="Z103" s="543">
        <f>IFERROR(IF(Z99="",0,Z99),"0")+IFERROR(IF(Z100="",0,Z100),"0")+IFERROR(IF(Z101="",0,Z101),"0")+IFERROR(IF(Z102="",0,Z102),"0")</f>
        <v>0.83548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420</v>
      </c>
      <c r="Y104" s="543">
        <f>IFERROR(SUM(Y99:Y102),"0")</f>
        <v>424.8</v>
      </c>
      <c r="Z104" s="37"/>
      <c r="AA104" s="544"/>
      <c r="AB104" s="544"/>
      <c r="AC104" s="544"/>
    </row>
    <row r="105" spans="1:68" ht="14.25" customHeight="1" x14ac:dyDescent="0.25">
      <c r="A105" s="559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9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150</v>
      </c>
      <c r="Y112" s="542">
        <f>IFERROR(IF(X112="",0,CEILING((X112/$H112),1)*$H112),"")</f>
        <v>153.9</v>
      </c>
      <c r="Z112" s="36">
        <f>IFERROR(IF(Y112=0,"",ROUNDUP(Y112/H112,0)*0.01898),"")</f>
        <v>0.36062</v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159.03703703703701</v>
      </c>
      <c r="BN112" s="64">
        <f>IFERROR(Y112*I112/H112,"0")</f>
        <v>163.172</v>
      </c>
      <c r="BO112" s="64">
        <f>IFERROR(1/J112*(X112/H112),"0")</f>
        <v>0.28935185185185186</v>
      </c>
      <c r="BP112" s="64">
        <f>IFERROR(1/J112*(Y112/H112),"0")</f>
        <v>0.296875</v>
      </c>
    </row>
    <row r="113" spans="1:68" ht="27" customHeight="1" x14ac:dyDescent="0.25">
      <c r="A113" s="54" t="s">
        <v>209</v>
      </c>
      <c r="B113" s="54" t="s">
        <v>210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225</v>
      </c>
      <c r="Y114" s="542">
        <f>IFERROR(IF(X114="",0,CEILING((X114/$H114),1)*$H114),"")</f>
        <v>226.8</v>
      </c>
      <c r="Z114" s="36">
        <f>IFERROR(IF(Y114=0,"",ROUNDUP(Y114/H114,0)*0.00651),"")</f>
        <v>0.54683999999999999</v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246</v>
      </c>
      <c r="BN114" s="64">
        <f>IFERROR(Y114*I114/H114,"0")</f>
        <v>247.96799999999999</v>
      </c>
      <c r="BO114" s="64">
        <f>IFERROR(1/J114*(X114/H114),"0")</f>
        <v>0.45787545787545786</v>
      </c>
      <c r="BP114" s="64">
        <f>IFERROR(1/J114*(Y114/H114),"0")</f>
        <v>0.46153846153846156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213</v>
      </c>
      <c r="M115" s="33" t="s">
        <v>77</v>
      </c>
      <c r="N115" s="33"/>
      <c r="O115" s="32">
        <v>45</v>
      </c>
      <c r="P115" s="71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36</v>
      </c>
      <c r="Y115" s="542">
        <f>IFERROR(IF(X115="",0,CEILING((X115/$H115),1)*$H115),"")</f>
        <v>36</v>
      </c>
      <c r="Z115" s="36">
        <f>IFERROR(IF(Y115=0,"",ROUNDUP(Y115/H115,0)*0.00651),"")</f>
        <v>0.13020000000000001</v>
      </c>
      <c r="AA115" s="56"/>
      <c r="AB115" s="57"/>
      <c r="AC115" s="161" t="s">
        <v>216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39.6</v>
      </c>
      <c r="BN115" s="64">
        <f>IFERROR(Y115*I115/H115,"0")</f>
        <v>39.6</v>
      </c>
      <c r="BO115" s="64">
        <f>IFERROR(1/J115*(X115/H115),"0")</f>
        <v>0.1098901098901099</v>
      </c>
      <c r="BP115" s="64">
        <f>IFERROR(1/J115*(Y115/H115),"0")</f>
        <v>0.1098901098901099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121.85185185185185</v>
      </c>
      <c r="Y116" s="543">
        <f>IFERROR(Y112/H112,"0")+IFERROR(Y113/H113,"0")+IFERROR(Y114/H114,"0")+IFERROR(Y115/H115,"0")</f>
        <v>123</v>
      </c>
      <c r="Z116" s="543">
        <f>IFERROR(IF(Z112="",0,Z112),"0")+IFERROR(IF(Z113="",0,Z113),"0")+IFERROR(IF(Z114="",0,Z114),"0")+IFERROR(IF(Z115="",0,Z115),"0")</f>
        <v>1.03766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411</v>
      </c>
      <c r="Y117" s="543">
        <f>IFERROR(SUM(Y112:Y115),"0")</f>
        <v>416.70000000000005</v>
      </c>
      <c r="Z117" s="37"/>
      <c r="AA117" s="544"/>
      <c r="AB117" s="544"/>
      <c r="AC117" s="544"/>
    </row>
    <row r="118" spans="1:68" ht="14.25" customHeight="1" x14ac:dyDescent="0.25">
      <c r="A118" s="559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213</v>
      </c>
      <c r="M119" s="33" t="s">
        <v>77</v>
      </c>
      <c r="N119" s="33"/>
      <c r="O119" s="32">
        <v>40</v>
      </c>
      <c r="P119" s="6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33</v>
      </c>
      <c r="Y119" s="542">
        <f>IFERROR(IF(X119="",0,CEILING((X119/$H119),1)*$H119),"")</f>
        <v>33.659999999999997</v>
      </c>
      <c r="Z119" s="36">
        <f>IFERROR(IF(Y119=0,"",ROUNDUP(Y119/H119,0)*0.00651),"")</f>
        <v>0.11067</v>
      </c>
      <c r="AA119" s="56"/>
      <c r="AB119" s="57"/>
      <c r="AC119" s="163" t="s">
        <v>219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37.299999999999997</v>
      </c>
      <c r="BN119" s="64">
        <f>IFERROR(Y119*I119/H119,"0")</f>
        <v>38.045999999999992</v>
      </c>
      <c r="BO119" s="64">
        <f>IFERROR(1/J119*(X119/H119),"0")</f>
        <v>9.1575091575091583E-2</v>
      </c>
      <c r="BP119" s="64">
        <f>IFERROR(1/J119*(Y119/H119),"0")</f>
        <v>9.3406593406593408E-2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16.666666666666668</v>
      </c>
      <c r="Y120" s="543">
        <f>IFERROR(Y119/H119,"0")</f>
        <v>17</v>
      </c>
      <c r="Z120" s="543">
        <f>IFERROR(IF(Z119="",0,Z119),"0")</f>
        <v>0.11067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33</v>
      </c>
      <c r="Y121" s="543">
        <f>IFERROR(SUM(Y119:Y119),"0")</f>
        <v>33.659999999999997</v>
      </c>
      <c r="Z121" s="37"/>
      <c r="AA121" s="544"/>
      <c r="AB121" s="544"/>
      <c r="AC121" s="544"/>
    </row>
    <row r="122" spans="1:68" ht="16.5" customHeight="1" x14ac:dyDescent="0.25">
      <c r="A122" s="558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9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213</v>
      </c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72</v>
      </c>
      <c r="Y124" s="542">
        <f>IFERROR(IF(X124="",0,CEILING((X124/$H124),1)*$H124),"")</f>
        <v>73.600000000000009</v>
      </c>
      <c r="Z124" s="36">
        <f>IFERROR(IF(Y124=0,"",ROUNDUP(Y124/H124,0)*0.00651),"")</f>
        <v>0.14973</v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76.05</v>
      </c>
      <c r="BN124" s="64">
        <f>IFERROR(Y124*I124/H124,"0")</f>
        <v>77.740000000000009</v>
      </c>
      <c r="BO124" s="64">
        <f>IFERROR(1/J124*(X124/H124),"0")</f>
        <v>0.12362637362637363</v>
      </c>
      <c r="BP124" s="64">
        <f>IFERROR(1/J124*(Y124/H124),"0")</f>
        <v>0.1263736263736264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22.5</v>
      </c>
      <c r="Y126" s="543">
        <f>IFERROR(Y124/H124,"0")+IFERROR(Y125/H125,"0")</f>
        <v>23</v>
      </c>
      <c r="Z126" s="543">
        <f>IFERROR(IF(Z124="",0,Z124),"0")+IFERROR(IF(Z125="",0,Z125),"0")</f>
        <v>0.14973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72</v>
      </c>
      <c r="Y127" s="543">
        <f>IFERROR(SUM(Y124:Y125),"0")</f>
        <v>73.600000000000009</v>
      </c>
      <c r="Z127" s="37"/>
      <c r="AA127" s="544"/>
      <c r="AB127" s="544"/>
      <c r="AC127" s="544"/>
    </row>
    <row r="128" spans="1:68" ht="14.25" customHeight="1" x14ac:dyDescent="0.25">
      <c r="A128" s="559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213</v>
      </c>
      <c r="M130" s="33" t="s">
        <v>94</v>
      </c>
      <c r="N130" s="33"/>
      <c r="O130" s="32">
        <v>90</v>
      </c>
      <c r="P130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52.5</v>
      </c>
      <c r="Y130" s="542">
        <f>IFERROR(IF(X130="",0,CEILING((X130/$H130),1)*$H130),"")</f>
        <v>53.199999999999996</v>
      </c>
      <c r="Z130" s="36">
        <f>IFERROR(IF(Y130=0,"",ROUNDUP(Y130/H130,0)*0.00651),"")</f>
        <v>0.12369000000000001</v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57.524999999999999</v>
      </c>
      <c r="BN130" s="64">
        <f>IFERROR(Y130*I130/H130,"0")</f>
        <v>58.291999999999994</v>
      </c>
      <c r="BO130" s="64">
        <f>IFERROR(1/J130*(X130/H130),"0")</f>
        <v>0.10302197802197803</v>
      </c>
      <c r="BP130" s="64">
        <f>IFERROR(1/J130*(Y130/H130),"0")</f>
        <v>0.1043956043956044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18.75</v>
      </c>
      <c r="Y131" s="543">
        <f>IFERROR(Y129/H129,"0")+IFERROR(Y130/H130,"0")</f>
        <v>19</v>
      </c>
      <c r="Z131" s="543">
        <f>IFERROR(IF(Z129="",0,Z129),"0")+IFERROR(IF(Z130="",0,Z130),"0")</f>
        <v>0.12369000000000001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52.5</v>
      </c>
      <c r="Y132" s="543">
        <f>IFERROR(SUM(Y129:Y130),"0")</f>
        <v>53.199999999999996</v>
      </c>
      <c r="Z132" s="37"/>
      <c r="AA132" s="544"/>
      <c r="AB132" s="544"/>
      <c r="AC132" s="544"/>
    </row>
    <row r="133" spans="1:68" ht="14.25" customHeight="1" x14ac:dyDescent="0.25">
      <c r="A133" s="559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213</v>
      </c>
      <c r="M135" s="33" t="s">
        <v>94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72.600000000000009</v>
      </c>
      <c r="Y135" s="542">
        <f>IFERROR(IF(X135="",0,CEILING((X135/$H135),1)*$H135),"")</f>
        <v>73.92</v>
      </c>
      <c r="Z135" s="36">
        <f>IFERROR(IF(Y135=0,"",ROUNDUP(Y135/H135,0)*0.00651),"")</f>
        <v>0.18228</v>
      </c>
      <c r="AA135" s="56"/>
      <c r="AB135" s="57"/>
      <c r="AC135" s="175" t="s">
        <v>223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79.970000000000013</v>
      </c>
      <c r="BN135" s="64">
        <f>IFERROR(Y135*I135/H135,"0")</f>
        <v>81.423999999999992</v>
      </c>
      <c r="BO135" s="64">
        <f>IFERROR(1/J135*(X135/H135),"0")</f>
        <v>0.15109890109890112</v>
      </c>
      <c r="BP135" s="64">
        <f>IFERROR(1/J135*(Y135/H135),"0")</f>
        <v>0.15384615384615385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27.500000000000004</v>
      </c>
      <c r="Y136" s="543">
        <f>IFERROR(Y134/H134,"0")+IFERROR(Y135/H135,"0")</f>
        <v>28</v>
      </c>
      <c r="Z136" s="543">
        <f>IFERROR(IF(Z134="",0,Z134),"0")+IFERROR(IF(Z135="",0,Z135),"0")</f>
        <v>0.18228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72.600000000000009</v>
      </c>
      <c r="Y137" s="543">
        <f>IFERROR(SUM(Y134:Y135),"0")</f>
        <v>73.92</v>
      </c>
      <c r="Z137" s="37"/>
      <c r="AA137" s="544"/>
      <c r="AB137" s="544"/>
      <c r="AC137" s="544"/>
    </row>
    <row r="138" spans="1:68" ht="16.5" customHeight="1" x14ac:dyDescent="0.25">
      <c r="A138" s="558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9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9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9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250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8" t="s">
        <v>251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9" t="s">
        <v>135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9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100</v>
      </c>
      <c r="Y161" s="542">
        <f t="shared" ref="Y161:Y170" si="5">IFERROR(IF(X161="",0,CEILING((X161/$H161),1)*$H161),"")</f>
        <v>100.80000000000001</v>
      </c>
      <c r="Z161" s="36">
        <f>IFERROR(IF(Y161=0,"",ROUNDUP(Y161/H161,0)*0.00902),"")</f>
        <v>0.21648000000000001</v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105.95238095238095</v>
      </c>
      <c r="BN161" s="64">
        <f t="shared" ref="BN161:BN170" si="7">IFERROR(Y161*I161/H161,"0")</f>
        <v>106.80000000000001</v>
      </c>
      <c r="BO161" s="64">
        <f t="shared" ref="BO161:BO170" si="8">IFERROR(1/J161*(X161/H161),"0")</f>
        <v>0.18037518037518038</v>
      </c>
      <c r="BP161" s="64">
        <f t="shared" ref="BP161:BP170" si="9">IFERROR(1/J161*(Y161/H161),"0")</f>
        <v>0.18181818181818182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 t="s">
        <v>110</v>
      </c>
      <c r="M162" s="33" t="s">
        <v>68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70</v>
      </c>
      <c r="Y162" s="542">
        <f t="shared" si="5"/>
        <v>71.400000000000006</v>
      </c>
      <c r="Z162" s="36">
        <f>IFERROR(IF(Y162=0,"",ROUNDUP(Y162/H162,0)*0.00902),"")</f>
        <v>0.15334</v>
      </c>
      <c r="AA162" s="56"/>
      <c r="AB162" s="57"/>
      <c r="AC162" s="193" t="s">
        <v>260</v>
      </c>
      <c r="AG162" s="64"/>
      <c r="AJ162" s="68" t="s">
        <v>106</v>
      </c>
      <c r="AK162" s="68">
        <v>50.4</v>
      </c>
      <c r="BB162" s="194" t="s">
        <v>1</v>
      </c>
      <c r="BM162" s="64">
        <f t="shared" si="6"/>
        <v>74.166666666666657</v>
      </c>
      <c r="BN162" s="64">
        <f t="shared" si="7"/>
        <v>75.650000000000006</v>
      </c>
      <c r="BO162" s="64">
        <f t="shared" si="8"/>
        <v>0.12626262626262624</v>
      </c>
      <c r="BP162" s="64">
        <f t="shared" si="9"/>
        <v>0.12878787878787878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100</v>
      </c>
      <c r="Y163" s="542">
        <f t="shared" si="5"/>
        <v>100.80000000000001</v>
      </c>
      <c r="Z163" s="36">
        <f>IFERROR(IF(Y163=0,"",ROUNDUP(Y163/H163,0)*0.00902),"")</f>
        <v>0.21648000000000001</v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104.5238095238095</v>
      </c>
      <c r="BN163" s="64">
        <f t="shared" si="7"/>
        <v>105.36</v>
      </c>
      <c r="BO163" s="64">
        <f t="shared" si="8"/>
        <v>0.18037518037518038</v>
      </c>
      <c r="BP163" s="64">
        <f t="shared" si="9"/>
        <v>0.18181818181818182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70</v>
      </c>
      <c r="Y164" s="542">
        <f t="shared" si="5"/>
        <v>71.400000000000006</v>
      </c>
      <c r="Z164" s="36">
        <f>IFERROR(IF(Y164=0,"",ROUNDUP(Y164/H164,0)*0.00502),"")</f>
        <v>0.17068</v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74.333333333333329</v>
      </c>
      <c r="BN164" s="64">
        <f t="shared" si="7"/>
        <v>75.820000000000007</v>
      </c>
      <c r="BO164" s="64">
        <f t="shared" si="8"/>
        <v>0.14245014245014245</v>
      </c>
      <c r="BP164" s="64">
        <f t="shared" si="9"/>
        <v>0.14529914529914531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269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266</v>
      </c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122.5</v>
      </c>
      <c r="Y166" s="542">
        <f t="shared" si="5"/>
        <v>123.9</v>
      </c>
      <c r="Z166" s="36">
        <f>IFERROR(IF(Y166=0,"",ROUNDUP(Y166/H166,0)*0.00502),"")</f>
        <v>0.29618</v>
      </c>
      <c r="AA166" s="56"/>
      <c r="AB166" s="57"/>
      <c r="AC166" s="201" t="s">
        <v>260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130.08333333333334</v>
      </c>
      <c r="BN166" s="64">
        <f t="shared" si="7"/>
        <v>131.57</v>
      </c>
      <c r="BO166" s="64">
        <f t="shared" si="8"/>
        <v>0.2492877492877493</v>
      </c>
      <c r="BP166" s="64">
        <f t="shared" si="9"/>
        <v>0.25213675213675218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210</v>
      </c>
      <c r="Y168" s="542">
        <f t="shared" si="5"/>
        <v>210</v>
      </c>
      <c r="Z168" s="36">
        <f>IFERROR(IF(Y168=0,"",ROUNDUP(Y168/H168,0)*0.00502),"")</f>
        <v>0.502</v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220.00000000000003</v>
      </c>
      <c r="BN168" s="64">
        <f t="shared" si="7"/>
        <v>220.00000000000003</v>
      </c>
      <c r="BO168" s="64">
        <f t="shared" si="8"/>
        <v>0.42735042735042739</v>
      </c>
      <c r="BP168" s="64">
        <f t="shared" si="9"/>
        <v>0.42735042735042739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255.95238095238093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258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1.5551600000000001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672.5</v>
      </c>
      <c r="Y172" s="543">
        <f>IFERROR(SUM(Y161:Y170),"0")</f>
        <v>678.3</v>
      </c>
      <c r="Z172" s="37"/>
      <c r="AA172" s="544"/>
      <c r="AB172" s="544"/>
      <c r="AC172" s="544"/>
    </row>
    <row r="173" spans="1:68" ht="14.25" customHeight="1" x14ac:dyDescent="0.25">
      <c r="A173" s="559" t="s">
        <v>91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14</v>
      </c>
      <c r="Y174" s="542">
        <f>IFERROR(IF(X174="",0,CEILING((X174/$H174),1)*$H174),"")</f>
        <v>15.120000000000001</v>
      </c>
      <c r="Z174" s="36">
        <f>IFERROR(IF(Y174=0,"",ROUNDUP(Y174/H174,0)*0.0059),"")</f>
        <v>7.0800000000000002E-2</v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16.111111111111111</v>
      </c>
      <c r="BN174" s="64">
        <f>IFERROR(Y174*I174/H174,"0")</f>
        <v>17.399999999999999</v>
      </c>
      <c r="BO174" s="64">
        <f>IFERROR(1/J174*(X174/H174),"0")</f>
        <v>5.1440329218106991E-2</v>
      </c>
      <c r="BP174" s="64">
        <f>IFERROR(1/J174*(Y174/H174),"0")</f>
        <v>5.5555555555555552E-2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14</v>
      </c>
      <c r="Y175" s="542">
        <f>IFERROR(IF(X175="",0,CEILING((X175/$H175),1)*$H175),"")</f>
        <v>15.120000000000001</v>
      </c>
      <c r="Z175" s="36">
        <f>IFERROR(IF(Y175=0,"",ROUNDUP(Y175/H175,0)*0.0059),"")</f>
        <v>7.0800000000000002E-2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16.111111111111111</v>
      </c>
      <c r="BN175" s="64">
        <f>IFERROR(Y175*I175/H175,"0")</f>
        <v>17.399999999999999</v>
      </c>
      <c r="BO175" s="64">
        <f>IFERROR(1/J175*(X175/H175),"0")</f>
        <v>5.1440329218106991E-2</v>
      </c>
      <c r="BP175" s="64">
        <f>IFERROR(1/J175*(Y175/H175),"0")</f>
        <v>5.5555555555555552E-2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14</v>
      </c>
      <c r="Y176" s="542">
        <f>IFERROR(IF(X176="",0,CEILING((X176/$H176),1)*$H176),"")</f>
        <v>15.120000000000001</v>
      </c>
      <c r="Z176" s="36">
        <f>IFERROR(IF(Y176=0,"",ROUNDUP(Y176/H176,0)*0.0059),"")</f>
        <v>7.0800000000000002E-2</v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16.111111111111111</v>
      </c>
      <c r="BN176" s="64">
        <f>IFERROR(Y176*I176/H176,"0")</f>
        <v>17.399999999999999</v>
      </c>
      <c r="BO176" s="64">
        <f>IFERROR(1/J176*(X176/H176),"0")</f>
        <v>5.1440329218106991E-2</v>
      </c>
      <c r="BP176" s="64">
        <f>IFERROR(1/J176*(Y176/H176),"0")</f>
        <v>5.5555555555555552E-2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33.333333333333329</v>
      </c>
      <c r="Y177" s="543">
        <f>IFERROR(Y174/H174,"0")+IFERROR(Y175/H175,"0")+IFERROR(Y176/H176,"0")</f>
        <v>36</v>
      </c>
      <c r="Z177" s="543">
        <f>IFERROR(IF(Z174="",0,Z174),"0")+IFERROR(IF(Z175="",0,Z175),"0")+IFERROR(IF(Z176="",0,Z176),"0")</f>
        <v>0.21240000000000001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42</v>
      </c>
      <c r="Y178" s="543">
        <f>IFERROR(SUM(Y174:Y176),"0")</f>
        <v>45.36</v>
      </c>
      <c r="Z178" s="37"/>
      <c r="AA178" s="544"/>
      <c r="AB178" s="544"/>
      <c r="AC178" s="544"/>
    </row>
    <row r="179" spans="1:68" ht="14.25" customHeight="1" x14ac:dyDescent="0.25">
      <c r="A179" s="559" t="s">
        <v>293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14</v>
      </c>
      <c r="Y180" s="542">
        <f>IFERROR(IF(X180="",0,CEILING((X180/$H180),1)*$H180),"")</f>
        <v>15.120000000000001</v>
      </c>
      <c r="Z180" s="36">
        <f>IFERROR(IF(Y180=0,"",ROUNDUP(Y180/H180,0)*0.0059),"")</f>
        <v>7.0800000000000002E-2</v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16.111111111111111</v>
      </c>
      <c r="BN180" s="64">
        <f>IFERROR(Y180*I180/H180,"0")</f>
        <v>17.399999999999999</v>
      </c>
      <c r="BO180" s="64">
        <f>IFERROR(1/J180*(X180/H180),"0")</f>
        <v>5.1440329218106991E-2</v>
      </c>
      <c r="BP180" s="64">
        <f>IFERROR(1/J180*(Y180/H180),"0")</f>
        <v>5.5555555555555552E-2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11.111111111111111</v>
      </c>
      <c r="Y181" s="543">
        <f>IFERROR(Y180/H180,"0")</f>
        <v>12</v>
      </c>
      <c r="Z181" s="543">
        <f>IFERROR(IF(Z180="",0,Z180),"0")</f>
        <v>7.0800000000000002E-2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14</v>
      </c>
      <c r="Y182" s="543">
        <f>IFERROR(SUM(Y180:Y180),"0")</f>
        <v>15.120000000000001</v>
      </c>
      <c r="Z182" s="37"/>
      <c r="AA182" s="544"/>
      <c r="AB182" s="544"/>
      <c r="AC182" s="544"/>
    </row>
    <row r="183" spans="1:68" ht="16.5" customHeight="1" x14ac:dyDescent="0.25">
      <c r="A183" s="558" t="s">
        <v>296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9" t="s">
        <v>99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27" customHeight="1" x14ac:dyDescent="0.25">
      <c r="A185" s="54" t="s">
        <v>297</v>
      </c>
      <c r="B185" s="54" t="s">
        <v>298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9" t="s">
        <v>135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9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80</v>
      </c>
      <c r="Y195" s="542">
        <f t="shared" ref="Y195:Y202" si="10">IFERROR(IF(X195="",0,CEILING((X195/$H195),1)*$H195),"")</f>
        <v>81</v>
      </c>
      <c r="Z195" s="36">
        <f>IFERROR(IF(Y195=0,"",ROUNDUP(Y195/H195,0)*0.00902),"")</f>
        <v>0.1353</v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82.81481481481481</v>
      </c>
      <c r="BN195" s="64">
        <f t="shared" ref="BN195:BN202" si="12">IFERROR(Y195*I195/H195,"0")</f>
        <v>83.85</v>
      </c>
      <c r="BO195" s="64">
        <f t="shared" ref="BO195:BO202" si="13">IFERROR(1/J195*(X195/H195),"0")</f>
        <v>0.11223344556677889</v>
      </c>
      <c r="BP195" s="64">
        <f t="shared" ref="BP195:BP202" si="14">IFERROR(1/J195*(Y195/H195),"0")</f>
        <v>0.11363636363636363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50</v>
      </c>
      <c r="Y196" s="542">
        <f t="shared" si="10"/>
        <v>54</v>
      </c>
      <c r="Z196" s="36">
        <f>IFERROR(IF(Y196=0,"",ROUNDUP(Y196/H196,0)*0.00902),"")</f>
        <v>9.0200000000000002E-2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51.759259259259252</v>
      </c>
      <c r="BN196" s="64">
        <f t="shared" si="12"/>
        <v>55.9</v>
      </c>
      <c r="BO196" s="64">
        <f t="shared" si="13"/>
        <v>7.0145903479236812E-2</v>
      </c>
      <c r="BP196" s="64">
        <f t="shared" si="14"/>
        <v>7.575757575757576E-2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400</v>
      </c>
      <c r="Y197" s="542">
        <f t="shared" si="10"/>
        <v>405</v>
      </c>
      <c r="Z197" s="36">
        <f>IFERROR(IF(Y197=0,"",ROUNDUP(Y197/H197,0)*0.00902),"")</f>
        <v>0.67649999999999999</v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414.07407407407402</v>
      </c>
      <c r="BN197" s="64">
        <f t="shared" si="12"/>
        <v>419.24999999999994</v>
      </c>
      <c r="BO197" s="64">
        <f t="shared" si="13"/>
        <v>0.5611672278338945</v>
      </c>
      <c r="BP197" s="64">
        <f t="shared" si="14"/>
        <v>0.56818181818181823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80</v>
      </c>
      <c r="Y198" s="542">
        <f t="shared" si="10"/>
        <v>81</v>
      </c>
      <c r="Z198" s="36">
        <f>IFERROR(IF(Y198=0,"",ROUNDUP(Y198/H198,0)*0.00902),"")</f>
        <v>0.1353</v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82.81481481481481</v>
      </c>
      <c r="BN198" s="64">
        <f t="shared" si="12"/>
        <v>83.85</v>
      </c>
      <c r="BO198" s="64">
        <f t="shared" si="13"/>
        <v>0.11223344556677889</v>
      </c>
      <c r="BP198" s="64">
        <f t="shared" si="14"/>
        <v>0.11363636363636363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120</v>
      </c>
      <c r="Y199" s="542">
        <f t="shared" si="10"/>
        <v>120.60000000000001</v>
      </c>
      <c r="Z199" s="36">
        <f>IFERROR(IF(Y199=0,"",ROUNDUP(Y199/H199,0)*0.00502),"")</f>
        <v>0.33634000000000003</v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128.66666666666666</v>
      </c>
      <c r="BN199" s="64">
        <f t="shared" si="12"/>
        <v>129.31</v>
      </c>
      <c r="BO199" s="64">
        <f t="shared" si="13"/>
        <v>0.28490028490028496</v>
      </c>
      <c r="BP199" s="64">
        <f t="shared" si="14"/>
        <v>0.28632478632478636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60</v>
      </c>
      <c r="Y200" s="542">
        <f t="shared" si="10"/>
        <v>61.2</v>
      </c>
      <c r="Z200" s="36">
        <f>IFERROR(IF(Y200=0,"",ROUNDUP(Y200/H200,0)*0.00502),"")</f>
        <v>0.17068</v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63.333333333333329</v>
      </c>
      <c r="BN200" s="64">
        <f t="shared" si="12"/>
        <v>64.599999999999994</v>
      </c>
      <c r="BO200" s="64">
        <f t="shared" si="13"/>
        <v>0.14245014245014248</v>
      </c>
      <c r="BP200" s="64">
        <f t="shared" si="14"/>
        <v>0.14529914529914531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266</v>
      </c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60</v>
      </c>
      <c r="Y201" s="542">
        <f t="shared" si="10"/>
        <v>61.2</v>
      </c>
      <c r="Z201" s="36">
        <f>IFERROR(IF(Y201=0,"",ROUNDUP(Y201/H201,0)*0.00502),"")</f>
        <v>0.17068</v>
      </c>
      <c r="AA201" s="56"/>
      <c r="AB201" s="57"/>
      <c r="AC201" s="239" t="s">
        <v>315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63.333333333333329</v>
      </c>
      <c r="BN201" s="64">
        <f t="shared" si="12"/>
        <v>64.599999999999994</v>
      </c>
      <c r="BO201" s="64">
        <f t="shared" si="13"/>
        <v>0.14245014245014248</v>
      </c>
      <c r="BP201" s="64">
        <f t="shared" si="14"/>
        <v>0.14529914529914531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60</v>
      </c>
      <c r="Y202" s="542">
        <f t="shared" si="10"/>
        <v>61.2</v>
      </c>
      <c r="Z202" s="36">
        <f>IFERROR(IF(Y202=0,"",ROUNDUP(Y202/H202,0)*0.00502),"")</f>
        <v>0.17068</v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63.333333333333329</v>
      </c>
      <c r="BN202" s="64">
        <f t="shared" si="12"/>
        <v>64.599999999999994</v>
      </c>
      <c r="BO202" s="64">
        <f t="shared" si="13"/>
        <v>0.14245014245014248</v>
      </c>
      <c r="BP202" s="64">
        <f t="shared" si="14"/>
        <v>0.14529914529914531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279.62962962962962</v>
      </c>
      <c r="Y203" s="543">
        <f>IFERROR(Y195/H195,"0")+IFERROR(Y196/H196,"0")+IFERROR(Y197/H197,"0")+IFERROR(Y198/H198,"0")+IFERROR(Y199/H199,"0")+IFERROR(Y200/H200,"0")+IFERROR(Y201/H201,"0")+IFERROR(Y202/H202,"0")</f>
        <v>284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1.88568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910</v>
      </c>
      <c r="Y204" s="543">
        <f>IFERROR(SUM(Y195:Y202),"0")</f>
        <v>925.20000000000016</v>
      </c>
      <c r="Z204" s="37"/>
      <c r="AA204" s="544"/>
      <c r="AB204" s="544"/>
      <c r="AC204" s="544"/>
    </row>
    <row r="205" spans="1:68" ht="14.25" customHeight="1" x14ac:dyDescent="0.25">
      <c r="A205" s="559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200</v>
      </c>
      <c r="Y208" s="542">
        <f t="shared" si="15"/>
        <v>200.1</v>
      </c>
      <c r="Z208" s="36">
        <f>IFERROR(IF(Y208=0,"",ROUNDUP(Y208/H208,0)*0.01898),"")</f>
        <v>0.43653999999999998</v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211.35632183908049</v>
      </c>
      <c r="BN208" s="64">
        <f t="shared" si="17"/>
        <v>211.46200000000005</v>
      </c>
      <c r="BO208" s="64">
        <f t="shared" si="18"/>
        <v>0.35919540229885061</v>
      </c>
      <c r="BP208" s="64">
        <f t="shared" si="19"/>
        <v>0.359375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213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280</v>
      </c>
      <c r="Y209" s="542">
        <f t="shared" si="15"/>
        <v>280.8</v>
      </c>
      <c r="Z209" s="36">
        <f t="shared" ref="Z209:Z214" si="20">IFERROR(IF(Y209=0,"",ROUNDUP(Y209/H209,0)*0.00651),"")</f>
        <v>0.76167000000000007</v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311.5</v>
      </c>
      <c r="BN209" s="64">
        <f t="shared" si="17"/>
        <v>312.39</v>
      </c>
      <c r="BO209" s="64">
        <f t="shared" si="18"/>
        <v>0.64102564102564108</v>
      </c>
      <c r="BP209" s="64">
        <f t="shared" si="19"/>
        <v>0.64285714285714302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213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240</v>
      </c>
      <c r="Y211" s="542">
        <f t="shared" si="15"/>
        <v>240</v>
      </c>
      <c r="Z211" s="36">
        <f t="shared" si="20"/>
        <v>0.65100000000000002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265.20000000000005</v>
      </c>
      <c r="BN211" s="64">
        <f t="shared" si="17"/>
        <v>265.20000000000005</v>
      </c>
      <c r="BO211" s="64">
        <f t="shared" si="18"/>
        <v>0.5494505494505495</v>
      </c>
      <c r="BP211" s="64">
        <f t="shared" si="19"/>
        <v>0.5494505494505495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213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120</v>
      </c>
      <c r="Y213" s="542">
        <f t="shared" si="15"/>
        <v>120</v>
      </c>
      <c r="Z213" s="36">
        <f t="shared" si="20"/>
        <v>0.32550000000000001</v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132.60000000000002</v>
      </c>
      <c r="BN213" s="64">
        <f t="shared" si="17"/>
        <v>132.60000000000002</v>
      </c>
      <c r="BO213" s="64">
        <f t="shared" si="18"/>
        <v>0.27472527472527475</v>
      </c>
      <c r="BP213" s="64">
        <f t="shared" si="19"/>
        <v>0.27472527472527475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213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280</v>
      </c>
      <c r="Y214" s="542">
        <f t="shared" si="15"/>
        <v>280.8</v>
      </c>
      <c r="Z214" s="36">
        <f t="shared" si="20"/>
        <v>0.76167000000000007</v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310.10000000000002</v>
      </c>
      <c r="BN214" s="64">
        <f t="shared" si="17"/>
        <v>310.98599999999999</v>
      </c>
      <c r="BO214" s="64">
        <f t="shared" si="18"/>
        <v>0.64102564102564108</v>
      </c>
      <c r="BP214" s="64">
        <f t="shared" si="19"/>
        <v>0.64285714285714302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406.32183908045982</v>
      </c>
      <c r="Y215" s="543">
        <f>IFERROR(Y206/H206,"0")+IFERROR(Y207/H207,"0")+IFERROR(Y208/H208,"0")+IFERROR(Y209/H209,"0")+IFERROR(Y210/H210,"0")+IFERROR(Y211/H211,"0")+IFERROR(Y212/H212,"0")+IFERROR(Y213/H213,"0")+IFERROR(Y214/H214,"0")</f>
        <v>407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2.9363800000000002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1120</v>
      </c>
      <c r="Y216" s="543">
        <f>IFERROR(SUM(Y206:Y214),"0")</f>
        <v>1121.7</v>
      </c>
      <c r="Z216" s="37"/>
      <c r="AA216" s="544"/>
      <c r="AB216" s="544"/>
      <c r="AC216" s="544"/>
    </row>
    <row r="217" spans="1:68" ht="14.25" customHeight="1" x14ac:dyDescent="0.25">
      <c r="A217" s="559" t="s">
        <v>163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213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32</v>
      </c>
      <c r="Y218" s="542">
        <f>IFERROR(IF(X218="",0,CEILING((X218/$H218),1)*$H218),"")</f>
        <v>33.6</v>
      </c>
      <c r="Z218" s="36">
        <f>IFERROR(IF(Y218=0,"",ROUNDUP(Y218/H218,0)*0.00651),"")</f>
        <v>9.1139999999999999E-2</v>
      </c>
      <c r="AA218" s="56"/>
      <c r="AB218" s="57"/>
      <c r="AC218" s="261" t="s">
        <v>351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35.360000000000007</v>
      </c>
      <c r="BN218" s="64">
        <f>IFERROR(Y218*I218/H218,"0")</f>
        <v>37.128000000000007</v>
      </c>
      <c r="BO218" s="64">
        <f>IFERROR(1/J218*(X218/H218),"0")</f>
        <v>7.3260073260073263E-2</v>
      </c>
      <c r="BP218" s="64">
        <f>IFERROR(1/J218*(Y218/H218),"0")</f>
        <v>7.6923076923076941E-2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213</v>
      </c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24</v>
      </c>
      <c r="Y219" s="542">
        <f>IFERROR(IF(X219="",0,CEILING((X219/$H219),1)*$H219),"")</f>
        <v>24</v>
      </c>
      <c r="Z219" s="36">
        <f>IFERROR(IF(Y219=0,"",ROUNDUP(Y219/H219,0)*0.00651),"")</f>
        <v>6.5100000000000005E-2</v>
      </c>
      <c r="AA219" s="56"/>
      <c r="AB219" s="57"/>
      <c r="AC219" s="263" t="s">
        <v>354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26.520000000000003</v>
      </c>
      <c r="BN219" s="64">
        <f>IFERROR(Y219*I219/H219,"0")</f>
        <v>26.520000000000003</v>
      </c>
      <c r="BO219" s="64">
        <f>IFERROR(1/J219*(X219/H219),"0")</f>
        <v>5.4945054945054951E-2</v>
      </c>
      <c r="BP219" s="64">
        <f>IFERROR(1/J219*(Y219/H219),"0")</f>
        <v>5.4945054945054951E-2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23.333333333333336</v>
      </c>
      <c r="Y220" s="543">
        <f>IFERROR(Y218/H218,"0")+IFERROR(Y219/H219,"0")</f>
        <v>24</v>
      </c>
      <c r="Z220" s="543">
        <f>IFERROR(IF(Z218="",0,Z218),"0")+IFERROR(IF(Z219="",0,Z219),"0")</f>
        <v>0.15623999999999999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56</v>
      </c>
      <c r="Y221" s="543">
        <f>IFERROR(SUM(Y218:Y219),"0")</f>
        <v>57.6</v>
      </c>
      <c r="Z221" s="37"/>
      <c r="AA221" s="544"/>
      <c r="AB221" s="544"/>
      <c r="AC221" s="544"/>
    </row>
    <row r="222" spans="1:68" ht="16.5" customHeight="1" x14ac:dyDescent="0.25">
      <c r="A222" s="558" t="s">
        <v>355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9" t="s">
        <v>99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50</v>
      </c>
      <c r="Y224" s="542">
        <f t="shared" ref="Y224:Y233" si="21">IFERROR(IF(X224="",0,CEILING((X224/$H224),1)*$H224),"")</f>
        <v>58</v>
      </c>
      <c r="Z224" s="36">
        <f>IFERROR(IF(Y224=0,"",ROUNDUP(Y224/H224,0)*0.01898),"")</f>
        <v>9.4899999999999998E-2</v>
      </c>
      <c r="AA224" s="56"/>
      <c r="AB224" s="57"/>
      <c r="AC224" s="265" t="s">
        <v>358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51.767241379310349</v>
      </c>
      <c r="BN224" s="64">
        <f t="shared" ref="BN224:BN233" si="23">IFERROR(Y224*I224/H224,"0")</f>
        <v>60.050000000000004</v>
      </c>
      <c r="BO224" s="64">
        <f t="shared" ref="BO224:BO233" si="24">IFERROR(1/J224*(X224/H224),"0")</f>
        <v>6.7349137931034489E-2</v>
      </c>
      <c r="BP224" s="64">
        <f t="shared" ref="BP224:BP233" si="25">IFERROR(1/J224*(Y224/H224),"0")</f>
        <v>7.8125E-2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60</v>
      </c>
      <c r="Y226" s="542">
        <f t="shared" si="21"/>
        <v>69.599999999999994</v>
      </c>
      <c r="Z226" s="36">
        <f>IFERROR(IF(Y226=0,"",ROUNDUP(Y226/H226,0)*0.01898),"")</f>
        <v>0.11388000000000001</v>
      </c>
      <c r="AA226" s="56"/>
      <c r="AB226" s="57"/>
      <c r="AC226" s="269" t="s">
        <v>364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62.12068965517242</v>
      </c>
      <c r="BN226" s="64">
        <f t="shared" si="23"/>
        <v>72.06</v>
      </c>
      <c r="BO226" s="64">
        <f t="shared" si="24"/>
        <v>8.0818965517241381E-2</v>
      </c>
      <c r="BP226" s="64">
        <f t="shared" si="25"/>
        <v>9.375E-2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 t="s">
        <v>110</v>
      </c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40</v>
      </c>
      <c r="Y232" s="542">
        <f t="shared" si="21"/>
        <v>40</v>
      </c>
      <c r="Z232" s="36">
        <f>IFERROR(IF(Y232=0,"",ROUNDUP(Y232/H232,0)*0.00902),"")</f>
        <v>9.0200000000000002E-2</v>
      </c>
      <c r="AA232" s="56"/>
      <c r="AB232" s="57"/>
      <c r="AC232" s="281" t="s">
        <v>364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41.900000000000006</v>
      </c>
      <c r="BN232" s="64">
        <f t="shared" si="23"/>
        <v>41.900000000000006</v>
      </c>
      <c r="BO232" s="64">
        <f t="shared" si="24"/>
        <v>7.575757575757576E-2</v>
      </c>
      <c r="BP232" s="64">
        <f t="shared" si="25"/>
        <v>7.575757575757576E-2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19.482758620689655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21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0.29898000000000002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150</v>
      </c>
      <c r="Y235" s="543">
        <f>IFERROR(SUM(Y224:Y233),"0")</f>
        <v>167.6</v>
      </c>
      <c r="Z235" s="37"/>
      <c r="AA235" s="544"/>
      <c r="AB235" s="544"/>
      <c r="AC235" s="544"/>
    </row>
    <row r="236" spans="1:68" ht="14.25" customHeight="1" x14ac:dyDescent="0.25">
      <c r="A236" s="559" t="s">
        <v>135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9" t="s">
        <v>381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24</v>
      </c>
      <c r="Y241" s="542">
        <f>IFERROR(IF(X241="",0,CEILING((X241/$H241),1)*$H241),"")</f>
        <v>25.2</v>
      </c>
      <c r="Z241" s="36">
        <f>IFERROR(IF(Y241=0,"",ROUNDUP(Y241/H241,0)*0.0059),"")</f>
        <v>8.2599999999999993E-2</v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26.333333333333336</v>
      </c>
      <c r="BN241" s="64">
        <f>IFERROR(Y241*I241/H241,"0")</f>
        <v>27.650000000000002</v>
      </c>
      <c r="BO241" s="64">
        <f>IFERROR(1/J241*(X241/H241),"0")</f>
        <v>6.1728395061728385E-2</v>
      </c>
      <c r="BP241" s="64">
        <f>IFERROR(1/J241*(Y241/H241),"0")</f>
        <v>6.4814814814814811E-2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13.333333333333332</v>
      </c>
      <c r="Y242" s="543">
        <f>IFERROR(Y241/H241,"0")</f>
        <v>14</v>
      </c>
      <c r="Z242" s="543">
        <f>IFERROR(IF(Z241="",0,Z241),"0")</f>
        <v>8.2599999999999993E-2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24</v>
      </c>
      <c r="Y243" s="543">
        <f>IFERROR(SUM(Y241:Y241),"0")</f>
        <v>25.2</v>
      </c>
      <c r="Z243" s="37"/>
      <c r="AA243" s="544"/>
      <c r="AB243" s="544"/>
      <c r="AC243" s="544"/>
    </row>
    <row r="244" spans="1:68" ht="14.25" customHeight="1" x14ac:dyDescent="0.25">
      <c r="A244" s="559" t="s">
        <v>385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14</v>
      </c>
      <c r="Y246" s="542">
        <f>IFERROR(IF(X246="",0,CEILING((X246/$H246),1)*$H246),"")</f>
        <v>14.4</v>
      </c>
      <c r="Z246" s="36">
        <f>IFERROR(IF(Y246=0,"",ROUNDUP(Y246/H246,0)*0.0059),"")</f>
        <v>4.7199999999999999E-2</v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15.361111111111112</v>
      </c>
      <c r="BN246" s="64">
        <f>IFERROR(Y246*I246/H246,"0")</f>
        <v>15.8</v>
      </c>
      <c r="BO246" s="64">
        <f>IFERROR(1/J246*(X246/H246),"0")</f>
        <v>3.6008230452674893E-2</v>
      </c>
      <c r="BP246" s="64">
        <f>IFERROR(1/J246*(Y246/H246),"0")</f>
        <v>3.7037037037037035E-2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5.5</v>
      </c>
      <c r="Y247" s="542">
        <f>IFERROR(IF(X247="",0,CEILING((X247/$H247),1)*$H247),"")</f>
        <v>6.3</v>
      </c>
      <c r="Z247" s="36">
        <f>IFERROR(IF(Y247=0,"",ROUNDUP(Y247/H247,0)*0.0059),"")</f>
        <v>4.1299999999999996E-2</v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6.6611111111111114</v>
      </c>
      <c r="BN247" s="64">
        <f>IFERROR(Y247*I247/H247,"0")</f>
        <v>7.63</v>
      </c>
      <c r="BO247" s="64">
        <f>IFERROR(1/J247*(X247/H247),"0")</f>
        <v>2.8292181069958844E-2</v>
      </c>
      <c r="BP247" s="64">
        <f>IFERROR(1/J247*(Y247/H247),"0")</f>
        <v>3.2407407407407406E-2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13.888888888888889</v>
      </c>
      <c r="Y250" s="543">
        <f>IFERROR(Y245/H245,"0")+IFERROR(Y246/H246,"0")+IFERROR(Y247/H247,"0")+IFERROR(Y248/H248,"0")+IFERROR(Y249/H249,"0")</f>
        <v>15</v>
      </c>
      <c r="Z250" s="543">
        <f>IFERROR(IF(Z245="",0,Z245),"0")+IFERROR(IF(Z246="",0,Z246),"0")+IFERROR(IF(Z247="",0,Z247),"0")+IFERROR(IF(Z248="",0,Z248),"0")+IFERROR(IF(Z249="",0,Z249),"0")</f>
        <v>8.8499999999999995E-2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19.5</v>
      </c>
      <c r="Y251" s="543">
        <f>IFERROR(SUM(Y245:Y249),"0")</f>
        <v>20.7</v>
      </c>
      <c r="Z251" s="37"/>
      <c r="AA251" s="544"/>
      <c r="AB251" s="544"/>
      <c r="AC251" s="544"/>
    </row>
    <row r="252" spans="1:68" ht="16.5" customHeight="1" x14ac:dyDescent="0.25">
      <c r="A252" s="558" t="s">
        <v>397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9" t="s">
        <v>99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8" t="s">
        <v>413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9" t="s">
        <v>99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8" t="s">
        <v>424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9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213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120</v>
      </c>
      <c r="Y272" s="542">
        <f>IFERROR(IF(X272="",0,CEILING((X272/$H272),1)*$H272),"")</f>
        <v>120</v>
      </c>
      <c r="Z272" s="36">
        <f>IFERROR(IF(Y272=0,"",ROUNDUP(Y272/H272,0)*0.00651),"")</f>
        <v>0.32550000000000001</v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132.60000000000002</v>
      </c>
      <c r="BN272" s="64">
        <f>IFERROR(Y272*I272/H272,"0")</f>
        <v>132.60000000000002</v>
      </c>
      <c r="BO272" s="64">
        <f>IFERROR(1/J272*(X272/H272),"0")</f>
        <v>0.27472527472527475</v>
      </c>
      <c r="BP272" s="64">
        <f>IFERROR(1/J272*(Y272/H272),"0")</f>
        <v>0.27472527472527475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160</v>
      </c>
      <c r="Y273" s="542">
        <f>IFERROR(IF(X273="",0,CEILING((X273/$H273),1)*$H273),"")</f>
        <v>160.79999999999998</v>
      </c>
      <c r="Z273" s="36">
        <f>IFERROR(IF(Y273=0,"",ROUNDUP(Y273/H273,0)*0.00651),"")</f>
        <v>0.43617</v>
      </c>
      <c r="AA273" s="56"/>
      <c r="AB273" s="57"/>
      <c r="AC273" s="321" t="s">
        <v>427</v>
      </c>
      <c r="AG273" s="64"/>
      <c r="AJ273" s="68"/>
      <c r="AK273" s="68">
        <v>0</v>
      </c>
      <c r="BB273" s="322" t="s">
        <v>1</v>
      </c>
      <c r="BM273" s="64">
        <f>IFERROR(X273*I273/H273,"0")</f>
        <v>172</v>
      </c>
      <c r="BN273" s="64">
        <f>IFERROR(Y273*I273/H273,"0")</f>
        <v>172.85999999999999</v>
      </c>
      <c r="BO273" s="64">
        <f>IFERROR(1/J273*(X273/H273),"0")</f>
        <v>0.36630036630036633</v>
      </c>
      <c r="BP273" s="64">
        <f>IFERROR(1/J273*(Y273/H273),"0")</f>
        <v>0.36813186813186816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116.66666666666667</v>
      </c>
      <c r="Y274" s="543">
        <f>IFERROR(Y271/H271,"0")+IFERROR(Y272/H272,"0")+IFERROR(Y273/H273,"0")</f>
        <v>117</v>
      </c>
      <c r="Z274" s="543">
        <f>IFERROR(IF(Z271="",0,Z271),"0")+IFERROR(IF(Z272="",0,Z272),"0")+IFERROR(IF(Z273="",0,Z273),"0")</f>
        <v>0.76167000000000007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280</v>
      </c>
      <c r="Y275" s="543">
        <f>IFERROR(SUM(Y271:Y273),"0")</f>
        <v>280.79999999999995</v>
      </c>
      <c r="Z275" s="37"/>
      <c r="AA275" s="544"/>
      <c r="AB275" s="544"/>
      <c r="AC275" s="544"/>
    </row>
    <row r="276" spans="1:68" ht="16.5" customHeight="1" x14ac:dyDescent="0.25">
      <c r="A276" s="558" t="s">
        <v>433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9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9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446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9" t="s">
        <v>99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447</v>
      </c>
      <c r="B289" s="54" t="s">
        <v>448</v>
      </c>
      <c r="C289" s="31">
        <v>4301012024</v>
      </c>
      <c r="D289" s="548">
        <v>4680115885615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450</v>
      </c>
      <c r="B290" s="54" t="s">
        <v>451</v>
      </c>
      <c r="C290" s="31">
        <v>4301011858</v>
      </c>
      <c r="D290" s="548">
        <v>4680115885646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4301012016</v>
      </c>
      <c r="D291" s="548">
        <v>4680115885554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4301011857</v>
      </c>
      <c r="D292" s="548">
        <v>4680115885622</v>
      </c>
      <c r="E292" s="549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458</v>
      </c>
      <c r="B293" s="54" t="s">
        <v>459</v>
      </c>
      <c r="C293" s="31">
        <v>4301011859</v>
      </c>
      <c r="D293" s="548">
        <v>4680115885608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4"/>
      <c r="B294" s="555"/>
      <c r="C294" s="555"/>
      <c r="D294" s="555"/>
      <c r="E294" s="555"/>
      <c r="F294" s="555"/>
      <c r="G294" s="555"/>
      <c r="H294" s="555"/>
      <c r="I294" s="555"/>
      <c r="J294" s="555"/>
      <c r="K294" s="555"/>
      <c r="L294" s="555"/>
      <c r="M294" s="555"/>
      <c r="N294" s="555"/>
      <c r="O294" s="556"/>
      <c r="P294" s="562" t="s">
        <v>71</v>
      </c>
      <c r="Q294" s="563"/>
      <c r="R294" s="563"/>
      <c r="S294" s="563"/>
      <c r="T294" s="563"/>
      <c r="U294" s="563"/>
      <c r="V294" s="564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5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9" t="s">
        <v>64</v>
      </c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5"/>
      <c r="P296" s="555"/>
      <c r="Q296" s="555"/>
      <c r="R296" s="555"/>
      <c r="S296" s="555"/>
      <c r="T296" s="555"/>
      <c r="U296" s="555"/>
      <c r="V296" s="555"/>
      <c r="W296" s="555"/>
      <c r="X296" s="555"/>
      <c r="Y296" s="555"/>
      <c r="Z296" s="555"/>
      <c r="AA296" s="537"/>
      <c r="AB296" s="537"/>
      <c r="AC296" s="537"/>
    </row>
    <row r="297" spans="1:68" ht="27" customHeight="1" x14ac:dyDescent="0.25">
      <c r="A297" s="54" t="s">
        <v>461</v>
      </c>
      <c r="B297" s="54" t="s">
        <v>462</v>
      </c>
      <c r="C297" s="31">
        <v>4301030878</v>
      </c>
      <c r="D297" s="548">
        <v>4607091387193</v>
      </c>
      <c r="E297" s="549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464</v>
      </c>
      <c r="B298" s="54" t="s">
        <v>465</v>
      </c>
      <c r="C298" s="31">
        <v>4301031153</v>
      </c>
      <c r="D298" s="548">
        <v>4607091387230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4301031154</v>
      </c>
      <c r="D299" s="548">
        <v>4607091387292</v>
      </c>
      <c r="E299" s="549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4301031152</v>
      </c>
      <c r="D300" s="548">
        <v>4607091387285</v>
      </c>
      <c r="E300" s="549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 t="s">
        <v>266</v>
      </c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472</v>
      </c>
      <c r="B301" s="54" t="s">
        <v>473</v>
      </c>
      <c r="C301" s="31">
        <v>4301031305</v>
      </c>
      <c r="D301" s="548">
        <v>4607091389845</v>
      </c>
      <c r="E301" s="549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140</v>
      </c>
      <c r="Y301" s="542">
        <f t="shared" si="26"/>
        <v>140.70000000000002</v>
      </c>
      <c r="Z301" s="36">
        <f>IFERROR(IF(Y301=0,"",ROUNDUP(Y301/H301,0)*0.00502),"")</f>
        <v>0.33634000000000003</v>
      </c>
      <c r="AA301" s="56"/>
      <c r="AB301" s="57"/>
      <c r="AC301" s="349" t="s">
        <v>474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146.66666666666666</v>
      </c>
      <c r="BN301" s="64">
        <f t="shared" si="28"/>
        <v>147.40000000000003</v>
      </c>
      <c r="BO301" s="64">
        <f t="shared" si="29"/>
        <v>0.28490028490028491</v>
      </c>
      <c r="BP301" s="64">
        <f t="shared" si="30"/>
        <v>0.28632478632478636</v>
      </c>
    </row>
    <row r="302" spans="1:68" ht="27" customHeight="1" x14ac:dyDescent="0.25">
      <c r="A302" s="54" t="s">
        <v>475</v>
      </c>
      <c r="B302" s="54" t="s">
        <v>476</v>
      </c>
      <c r="C302" s="31">
        <v>4301031306</v>
      </c>
      <c r="D302" s="548">
        <v>4680115882881</v>
      </c>
      <c r="E302" s="549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477</v>
      </c>
      <c r="B303" s="54" t="s">
        <v>478</v>
      </c>
      <c r="C303" s="31">
        <v>4301031066</v>
      </c>
      <c r="D303" s="548">
        <v>4607091383836</v>
      </c>
      <c r="E303" s="549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213</v>
      </c>
      <c r="M303" s="33" t="s">
        <v>68</v>
      </c>
      <c r="N303" s="33"/>
      <c r="O303" s="32">
        <v>40</v>
      </c>
      <c r="P303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24</v>
      </c>
      <c r="Y303" s="542">
        <f t="shared" si="26"/>
        <v>25.2</v>
      </c>
      <c r="Z303" s="36">
        <f>IFERROR(IF(Y303=0,"",ROUNDUP(Y303/H303,0)*0.00651),"")</f>
        <v>9.1139999999999999E-2</v>
      </c>
      <c r="AA303" s="56"/>
      <c r="AB303" s="57"/>
      <c r="AC303" s="353" t="s">
        <v>479</v>
      </c>
      <c r="AG303" s="64"/>
      <c r="AJ303" s="68" t="s">
        <v>106</v>
      </c>
      <c r="AK303" s="68">
        <v>25.2</v>
      </c>
      <c r="BB303" s="354" t="s">
        <v>1</v>
      </c>
      <c r="BM303" s="64">
        <f t="shared" si="27"/>
        <v>27.04</v>
      </c>
      <c r="BN303" s="64">
        <f t="shared" si="28"/>
        <v>28.391999999999999</v>
      </c>
      <c r="BO303" s="64">
        <f t="shared" si="29"/>
        <v>7.3260073260073263E-2</v>
      </c>
      <c r="BP303" s="64">
        <f t="shared" si="30"/>
        <v>7.6923076923076927E-2</v>
      </c>
    </row>
    <row r="304" spans="1:68" x14ac:dyDescent="0.2">
      <c r="A304" s="554"/>
      <c r="B304" s="555"/>
      <c r="C304" s="555"/>
      <c r="D304" s="555"/>
      <c r="E304" s="555"/>
      <c r="F304" s="555"/>
      <c r="G304" s="555"/>
      <c r="H304" s="555"/>
      <c r="I304" s="555"/>
      <c r="J304" s="555"/>
      <c r="K304" s="555"/>
      <c r="L304" s="555"/>
      <c r="M304" s="555"/>
      <c r="N304" s="555"/>
      <c r="O304" s="556"/>
      <c r="P304" s="562" t="s">
        <v>71</v>
      </c>
      <c r="Q304" s="563"/>
      <c r="R304" s="563"/>
      <c r="S304" s="563"/>
      <c r="T304" s="563"/>
      <c r="U304" s="563"/>
      <c r="V304" s="564"/>
      <c r="W304" s="37" t="s">
        <v>72</v>
      </c>
      <c r="X304" s="543">
        <f>IFERROR(X297/H297,"0")+IFERROR(X298/H298,"0")+IFERROR(X299/H299,"0")+IFERROR(X300/H300,"0")+IFERROR(X301/H301,"0")+IFERROR(X302/H302,"0")+IFERROR(X303/H303,"0")</f>
        <v>79.999999999999986</v>
      </c>
      <c r="Y304" s="543">
        <f>IFERROR(Y297/H297,"0")+IFERROR(Y298/H298,"0")+IFERROR(Y299/H299,"0")+IFERROR(Y300/H300,"0")+IFERROR(Y301/H301,"0")+IFERROR(Y302/H302,"0")+IFERROR(Y303/H303,"0")</f>
        <v>81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0.42748000000000003</v>
      </c>
      <c r="AA304" s="544"/>
      <c r="AB304" s="544"/>
      <c r="AC304" s="544"/>
    </row>
    <row r="305" spans="1:68" x14ac:dyDescent="0.2">
      <c r="A305" s="555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69</v>
      </c>
      <c r="X305" s="543">
        <f>IFERROR(SUM(X297:X303),"0")</f>
        <v>164</v>
      </c>
      <c r="Y305" s="543">
        <f>IFERROR(SUM(Y297:Y303),"0")</f>
        <v>165.9</v>
      </c>
      <c r="Z305" s="37"/>
      <c r="AA305" s="544"/>
      <c r="AB305" s="544"/>
      <c r="AC305" s="544"/>
    </row>
    <row r="306" spans="1:68" ht="14.25" customHeight="1" x14ac:dyDescent="0.25">
      <c r="A306" s="559" t="s">
        <v>73</v>
      </c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5"/>
      <c r="P306" s="555"/>
      <c r="Q306" s="555"/>
      <c r="R306" s="555"/>
      <c r="S306" s="555"/>
      <c r="T306" s="555"/>
      <c r="U306" s="555"/>
      <c r="V306" s="555"/>
      <c r="W306" s="555"/>
      <c r="X306" s="555"/>
      <c r="Y306" s="555"/>
      <c r="Z306" s="555"/>
      <c r="AA306" s="537"/>
      <c r="AB306" s="537"/>
      <c r="AC306" s="537"/>
    </row>
    <row r="307" spans="1:68" ht="27" customHeight="1" x14ac:dyDescent="0.25">
      <c r="A307" s="54" t="s">
        <v>480</v>
      </c>
      <c r="B307" s="54" t="s">
        <v>481</v>
      </c>
      <c r="C307" s="31">
        <v>4301051100</v>
      </c>
      <c r="D307" s="548">
        <v>4607091387766</v>
      </c>
      <c r="E307" s="549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6"/>
      <c r="R307" s="546"/>
      <c r="S307" s="546"/>
      <c r="T307" s="547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483</v>
      </c>
      <c r="B308" s="54" t="s">
        <v>484</v>
      </c>
      <c r="C308" s="31">
        <v>4301051818</v>
      </c>
      <c r="D308" s="548">
        <v>4607091387957</v>
      </c>
      <c r="E308" s="549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486</v>
      </c>
      <c r="B309" s="54" t="s">
        <v>487</v>
      </c>
      <c r="C309" s="31">
        <v>4301051819</v>
      </c>
      <c r="D309" s="548">
        <v>4607091387964</v>
      </c>
      <c r="E309" s="549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489</v>
      </c>
      <c r="B310" s="54" t="s">
        <v>490</v>
      </c>
      <c r="C310" s="31">
        <v>4301051734</v>
      </c>
      <c r="D310" s="548">
        <v>4680115884588</v>
      </c>
      <c r="E310" s="549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54"/>
      <c r="B311" s="555"/>
      <c r="C311" s="555"/>
      <c r="D311" s="555"/>
      <c r="E311" s="555"/>
      <c r="F311" s="555"/>
      <c r="G311" s="555"/>
      <c r="H311" s="555"/>
      <c r="I311" s="555"/>
      <c r="J311" s="555"/>
      <c r="K311" s="555"/>
      <c r="L311" s="555"/>
      <c r="M311" s="555"/>
      <c r="N311" s="555"/>
      <c r="O311" s="556"/>
      <c r="P311" s="562" t="s">
        <v>71</v>
      </c>
      <c r="Q311" s="563"/>
      <c r="R311" s="563"/>
      <c r="S311" s="563"/>
      <c r="T311" s="563"/>
      <c r="U311" s="563"/>
      <c r="V311" s="564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x14ac:dyDescent="0.2">
      <c r="A312" s="555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customHeight="1" x14ac:dyDescent="0.25">
      <c r="A313" s="559" t="s">
        <v>163</v>
      </c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5"/>
      <c r="P313" s="555"/>
      <c r="Q313" s="555"/>
      <c r="R313" s="555"/>
      <c r="S313" s="555"/>
      <c r="T313" s="555"/>
      <c r="U313" s="555"/>
      <c r="V313" s="555"/>
      <c r="W313" s="555"/>
      <c r="X313" s="555"/>
      <c r="Y313" s="555"/>
      <c r="Z313" s="555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48">
        <v>4607091380880</v>
      </c>
      <c r="E314" s="549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41">
        <v>20</v>
      </c>
      <c r="Y314" s="542">
        <f>IFERROR(IF(X314="",0,CEILING((X314/$H314),1)*$H314),"")</f>
        <v>25.200000000000003</v>
      </c>
      <c r="Z314" s="36">
        <f>IFERROR(IF(Y314=0,"",ROUNDUP(Y314/H314,0)*0.01898),"")</f>
        <v>5.6940000000000004E-2</v>
      </c>
      <c r="AA314" s="56"/>
      <c r="AB314" s="57"/>
      <c r="AC314" s="363" t="s">
        <v>494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21.176190476190474</v>
      </c>
      <c r="BN314" s="64">
        <f>IFERROR(Y314*I314/H314,"0")</f>
        <v>26.682000000000002</v>
      </c>
      <c r="BO314" s="64">
        <f>IFERROR(1/J314*(X314/H314),"0")</f>
        <v>3.7202380952380952E-2</v>
      </c>
      <c r="BP314" s="64">
        <f>IFERROR(1/J314*(Y314/H314),"0")</f>
        <v>4.6875E-2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8">
        <v>4607091384482</v>
      </c>
      <c r="E315" s="549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320</v>
      </c>
      <c r="Y315" s="542">
        <f>IFERROR(IF(X315="",0,CEILING((X315/$H315),1)*$H315),"")</f>
        <v>327.59999999999997</v>
      </c>
      <c r="Z315" s="36">
        <f>IFERROR(IF(Y315=0,"",ROUNDUP(Y315/H315,0)*0.01898),"")</f>
        <v>0.79715999999999998</v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340.26666666666665</v>
      </c>
      <c r="BN315" s="64">
        <f>IFERROR(Y315*I315/H315,"0")</f>
        <v>348.34800000000001</v>
      </c>
      <c r="BO315" s="64">
        <f>IFERROR(1/J315*(X315/H315),"0")</f>
        <v>0.64102564102564108</v>
      </c>
      <c r="BP315" s="64">
        <f>IFERROR(1/J315*(Y315/H315),"0")</f>
        <v>0.65625</v>
      </c>
    </row>
    <row r="316" spans="1:68" ht="16.5" customHeight="1" x14ac:dyDescent="0.25">
      <c r="A316" s="54" t="s">
        <v>498</v>
      </c>
      <c r="B316" s="54" t="s">
        <v>499</v>
      </c>
      <c r="C316" s="31">
        <v>4301060484</v>
      </c>
      <c r="D316" s="548">
        <v>4607091380897</v>
      </c>
      <c r="E316" s="549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300</v>
      </c>
      <c r="Y316" s="542">
        <f>IFERROR(IF(X316="",0,CEILING((X316/$H316),1)*$H316),"")</f>
        <v>302.40000000000003</v>
      </c>
      <c r="Z316" s="36">
        <f>IFERROR(IF(Y316=0,"",ROUNDUP(Y316/H316,0)*0.01898),"")</f>
        <v>0.68328</v>
      </c>
      <c r="AA316" s="56"/>
      <c r="AB316" s="57"/>
      <c r="AC316" s="367" t="s">
        <v>500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317.64285714285711</v>
      </c>
      <c r="BN316" s="64">
        <f>IFERROR(Y316*I316/H316,"0")</f>
        <v>320.18400000000003</v>
      </c>
      <c r="BO316" s="64">
        <f>IFERROR(1/J316*(X316/H316),"0")</f>
        <v>0.5580357142857143</v>
      </c>
      <c r="BP316" s="64">
        <f>IFERROR(1/J316*(Y316/H316),"0")</f>
        <v>0.5625</v>
      </c>
    </row>
    <row r="317" spans="1:68" x14ac:dyDescent="0.2">
      <c r="A317" s="554"/>
      <c r="B317" s="555"/>
      <c r="C317" s="555"/>
      <c r="D317" s="555"/>
      <c r="E317" s="555"/>
      <c r="F317" s="555"/>
      <c r="G317" s="555"/>
      <c r="H317" s="555"/>
      <c r="I317" s="555"/>
      <c r="J317" s="555"/>
      <c r="K317" s="555"/>
      <c r="L317" s="555"/>
      <c r="M317" s="555"/>
      <c r="N317" s="555"/>
      <c r="O317" s="556"/>
      <c r="P317" s="562" t="s">
        <v>71</v>
      </c>
      <c r="Q317" s="563"/>
      <c r="R317" s="563"/>
      <c r="S317" s="563"/>
      <c r="T317" s="563"/>
      <c r="U317" s="563"/>
      <c r="V317" s="564"/>
      <c r="W317" s="37" t="s">
        <v>72</v>
      </c>
      <c r="X317" s="543">
        <f>IFERROR(X314/H314,"0")+IFERROR(X315/H315,"0")+IFERROR(X316/H316,"0")</f>
        <v>79.120879120879124</v>
      </c>
      <c r="Y317" s="543">
        <f>IFERROR(Y314/H314,"0")+IFERROR(Y315/H315,"0")+IFERROR(Y316/H316,"0")</f>
        <v>81</v>
      </c>
      <c r="Z317" s="543">
        <f>IFERROR(IF(Z314="",0,Z314),"0")+IFERROR(IF(Z315="",0,Z315),"0")+IFERROR(IF(Z316="",0,Z316),"0")</f>
        <v>1.53738</v>
      </c>
      <c r="AA317" s="544"/>
      <c r="AB317" s="544"/>
      <c r="AC317" s="544"/>
    </row>
    <row r="318" spans="1:68" x14ac:dyDescent="0.2">
      <c r="A318" s="555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69</v>
      </c>
      <c r="X318" s="543">
        <f>IFERROR(SUM(X314:X316),"0")</f>
        <v>640</v>
      </c>
      <c r="Y318" s="543">
        <f>IFERROR(SUM(Y314:Y316),"0")</f>
        <v>655.20000000000005</v>
      </c>
      <c r="Z318" s="37"/>
      <c r="AA318" s="544"/>
      <c r="AB318" s="544"/>
      <c r="AC318" s="544"/>
    </row>
    <row r="319" spans="1:68" ht="14.25" customHeight="1" x14ac:dyDescent="0.25">
      <c r="A319" s="559" t="s">
        <v>91</v>
      </c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5"/>
      <c r="P319" s="555"/>
      <c r="Q319" s="555"/>
      <c r="R319" s="555"/>
      <c r="S319" s="555"/>
      <c r="T319" s="555"/>
      <c r="U319" s="555"/>
      <c r="V319" s="555"/>
      <c r="W319" s="555"/>
      <c r="X319" s="555"/>
      <c r="Y319" s="555"/>
      <c r="Z319" s="555"/>
      <c r="AA319" s="537"/>
      <c r="AB319" s="537"/>
      <c r="AC319" s="537"/>
    </row>
    <row r="320" spans="1:68" ht="27" customHeight="1" x14ac:dyDescent="0.25">
      <c r="A320" s="54" t="s">
        <v>501</v>
      </c>
      <c r="B320" s="54" t="s">
        <v>502</v>
      </c>
      <c r="C320" s="31">
        <v>4301030235</v>
      </c>
      <c r="D320" s="548">
        <v>4607091388381</v>
      </c>
      <c r="E320" s="549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504</v>
      </c>
      <c r="B321" s="54" t="s">
        <v>505</v>
      </c>
      <c r="C321" s="31">
        <v>4301030232</v>
      </c>
      <c r="D321" s="548">
        <v>4607091388374</v>
      </c>
      <c r="E321" s="549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506</v>
      </c>
      <c r="B322" s="54" t="s">
        <v>507</v>
      </c>
      <c r="C322" s="31">
        <v>4301032015</v>
      </c>
      <c r="D322" s="548">
        <v>4607091383102</v>
      </c>
      <c r="E322" s="549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213</v>
      </c>
      <c r="M322" s="33" t="s">
        <v>94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85</v>
      </c>
      <c r="Y322" s="542">
        <f>IFERROR(IF(X322="",0,CEILING((X322/$H322),1)*$H322),"")</f>
        <v>86.699999999999989</v>
      </c>
      <c r="Z322" s="36">
        <f>IFERROR(IF(Y322=0,"",ROUNDUP(Y322/H322,0)*0.00651),"")</f>
        <v>0.22134000000000001</v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98.500000000000014</v>
      </c>
      <c r="BN322" s="64">
        <f>IFERROR(Y322*I322/H322,"0")</f>
        <v>100.47</v>
      </c>
      <c r="BO322" s="64">
        <f>IFERROR(1/J322*(X322/H322),"0")</f>
        <v>0.18315018315018317</v>
      </c>
      <c r="BP322" s="64">
        <f>IFERROR(1/J322*(Y322/H322),"0")</f>
        <v>0.18681318681318682</v>
      </c>
    </row>
    <row r="323" spans="1:68" ht="27" customHeight="1" x14ac:dyDescent="0.25">
      <c r="A323" s="54" t="s">
        <v>509</v>
      </c>
      <c r="B323" s="54" t="s">
        <v>510</v>
      </c>
      <c r="C323" s="31">
        <v>4301030233</v>
      </c>
      <c r="D323" s="548">
        <v>4607091388404</v>
      </c>
      <c r="E323" s="549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213</v>
      </c>
      <c r="M323" s="33" t="s">
        <v>94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340</v>
      </c>
      <c r="Y323" s="542">
        <f>IFERROR(IF(X323="",0,CEILING((X323/$H323),1)*$H323),"")</f>
        <v>341.7</v>
      </c>
      <c r="Z323" s="36">
        <f>IFERROR(IF(Y323=0,"",ROUNDUP(Y323/H323,0)*0.00651),"")</f>
        <v>0.87234</v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384</v>
      </c>
      <c r="BN323" s="64">
        <f>IFERROR(Y323*I323/H323,"0")</f>
        <v>385.91999999999996</v>
      </c>
      <c r="BO323" s="64">
        <f>IFERROR(1/J323*(X323/H323),"0")</f>
        <v>0.73260073260073266</v>
      </c>
      <c r="BP323" s="64">
        <f>IFERROR(1/J323*(Y323/H323),"0")</f>
        <v>0.73626373626373631</v>
      </c>
    </row>
    <row r="324" spans="1:68" x14ac:dyDescent="0.2">
      <c r="A324" s="554"/>
      <c r="B324" s="555"/>
      <c r="C324" s="555"/>
      <c r="D324" s="555"/>
      <c r="E324" s="555"/>
      <c r="F324" s="555"/>
      <c r="G324" s="555"/>
      <c r="H324" s="555"/>
      <c r="I324" s="555"/>
      <c r="J324" s="555"/>
      <c r="K324" s="555"/>
      <c r="L324" s="555"/>
      <c r="M324" s="555"/>
      <c r="N324" s="555"/>
      <c r="O324" s="556"/>
      <c r="P324" s="562" t="s">
        <v>71</v>
      </c>
      <c r="Q324" s="563"/>
      <c r="R324" s="563"/>
      <c r="S324" s="563"/>
      <c r="T324" s="563"/>
      <c r="U324" s="563"/>
      <c r="V324" s="564"/>
      <c r="W324" s="37" t="s">
        <v>72</v>
      </c>
      <c r="X324" s="543">
        <f>IFERROR(X320/H320,"0")+IFERROR(X321/H321,"0")+IFERROR(X322/H322,"0")+IFERROR(X323/H323,"0")</f>
        <v>166.66666666666669</v>
      </c>
      <c r="Y324" s="543">
        <f>IFERROR(Y320/H320,"0")+IFERROR(Y321/H321,"0")+IFERROR(Y322/H322,"0")+IFERROR(Y323/H323,"0")</f>
        <v>168</v>
      </c>
      <c r="Z324" s="543">
        <f>IFERROR(IF(Z320="",0,Z320),"0")+IFERROR(IF(Z321="",0,Z321),"0")+IFERROR(IF(Z322="",0,Z322),"0")+IFERROR(IF(Z323="",0,Z323),"0")</f>
        <v>1.09368</v>
      </c>
      <c r="AA324" s="544"/>
      <c r="AB324" s="544"/>
      <c r="AC324" s="544"/>
    </row>
    <row r="325" spans="1:68" x14ac:dyDescent="0.2">
      <c r="A325" s="555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69</v>
      </c>
      <c r="X325" s="543">
        <f>IFERROR(SUM(X320:X323),"0")</f>
        <v>425</v>
      </c>
      <c r="Y325" s="543">
        <f>IFERROR(SUM(Y320:Y323),"0")</f>
        <v>428.4</v>
      </c>
      <c r="Z325" s="37"/>
      <c r="AA325" s="544"/>
      <c r="AB325" s="544"/>
      <c r="AC325" s="544"/>
    </row>
    <row r="326" spans="1:68" ht="14.25" customHeight="1" x14ac:dyDescent="0.25">
      <c r="A326" s="559" t="s">
        <v>511</v>
      </c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5"/>
      <c r="P326" s="555"/>
      <c r="Q326" s="555"/>
      <c r="R326" s="555"/>
      <c r="S326" s="555"/>
      <c r="T326" s="555"/>
      <c r="U326" s="555"/>
      <c r="V326" s="555"/>
      <c r="W326" s="555"/>
      <c r="X326" s="555"/>
      <c r="Y326" s="555"/>
      <c r="Z326" s="555"/>
      <c r="AA326" s="537"/>
      <c r="AB326" s="537"/>
      <c r="AC326" s="537"/>
    </row>
    <row r="327" spans="1:68" ht="16.5" customHeight="1" x14ac:dyDescent="0.25">
      <c r="A327" s="54" t="s">
        <v>512</v>
      </c>
      <c r="B327" s="54" t="s">
        <v>513</v>
      </c>
      <c r="C327" s="31">
        <v>4301180007</v>
      </c>
      <c r="D327" s="548">
        <v>4680115881808</v>
      </c>
      <c r="E327" s="549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 t="s">
        <v>213</v>
      </c>
      <c r="M327" s="33" t="s">
        <v>514</v>
      </c>
      <c r="N327" s="33"/>
      <c r="O327" s="32">
        <v>730</v>
      </c>
      <c r="P327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41">
        <v>100</v>
      </c>
      <c r="Y327" s="542">
        <f>IFERROR(IF(X327="",0,CEILING((X327/$H327),1)*$H327),"")</f>
        <v>100</v>
      </c>
      <c r="Z327" s="36">
        <f>IFERROR(IF(Y327=0,"",ROUNDUP(Y327/H327,0)*0.00474),"")</f>
        <v>0.23700000000000002</v>
      </c>
      <c r="AA327" s="56"/>
      <c r="AB327" s="57"/>
      <c r="AC327" s="377" t="s">
        <v>515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112.00000000000001</v>
      </c>
      <c r="BN327" s="64">
        <f>IFERROR(Y327*I327/H327,"0")</f>
        <v>112.00000000000001</v>
      </c>
      <c r="BO327" s="64">
        <f>IFERROR(1/J327*(X327/H327),"0")</f>
        <v>0.21008403361344538</v>
      </c>
      <c r="BP327" s="64">
        <f>IFERROR(1/J327*(Y327/H327),"0")</f>
        <v>0.21008403361344538</v>
      </c>
    </row>
    <row r="328" spans="1:68" ht="27" customHeight="1" x14ac:dyDescent="0.25">
      <c r="A328" s="54" t="s">
        <v>516</v>
      </c>
      <c r="B328" s="54" t="s">
        <v>517</v>
      </c>
      <c r="C328" s="31">
        <v>4301180006</v>
      </c>
      <c r="D328" s="548">
        <v>4680115881822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5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518</v>
      </c>
      <c r="B329" s="54" t="s">
        <v>519</v>
      </c>
      <c r="C329" s="31">
        <v>4301180001</v>
      </c>
      <c r="D329" s="548">
        <v>4680115880016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 t="s">
        <v>213</v>
      </c>
      <c r="M329" s="33" t="s">
        <v>514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200</v>
      </c>
      <c r="Y329" s="542">
        <f>IFERROR(IF(X329="",0,CEILING((X329/$H329),1)*$H329),"")</f>
        <v>200</v>
      </c>
      <c r="Z329" s="36">
        <f>IFERROR(IF(Y329=0,"",ROUNDUP(Y329/H329,0)*0.00474),"")</f>
        <v>0.47400000000000003</v>
      </c>
      <c r="AA329" s="56"/>
      <c r="AB329" s="57"/>
      <c r="AC329" s="381" t="s">
        <v>515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224.00000000000003</v>
      </c>
      <c r="BN329" s="64">
        <f>IFERROR(Y329*I329/H329,"0")</f>
        <v>224.00000000000003</v>
      </c>
      <c r="BO329" s="64">
        <f>IFERROR(1/J329*(X329/H329),"0")</f>
        <v>0.42016806722689076</v>
      </c>
      <c r="BP329" s="64">
        <f>IFERROR(1/J329*(Y329/H329),"0")</f>
        <v>0.42016806722689076</v>
      </c>
    </row>
    <row r="330" spans="1:68" x14ac:dyDescent="0.2">
      <c r="A330" s="554"/>
      <c r="B330" s="555"/>
      <c r="C330" s="555"/>
      <c r="D330" s="555"/>
      <c r="E330" s="555"/>
      <c r="F330" s="555"/>
      <c r="G330" s="555"/>
      <c r="H330" s="555"/>
      <c r="I330" s="555"/>
      <c r="J330" s="555"/>
      <c r="K330" s="555"/>
      <c r="L330" s="555"/>
      <c r="M330" s="555"/>
      <c r="N330" s="555"/>
      <c r="O330" s="556"/>
      <c r="P330" s="562" t="s">
        <v>71</v>
      </c>
      <c r="Q330" s="563"/>
      <c r="R330" s="563"/>
      <c r="S330" s="563"/>
      <c r="T330" s="563"/>
      <c r="U330" s="563"/>
      <c r="V330" s="564"/>
      <c r="W330" s="37" t="s">
        <v>72</v>
      </c>
      <c r="X330" s="543">
        <f>IFERROR(X327/H327,"0")+IFERROR(X328/H328,"0")+IFERROR(X329/H329,"0")</f>
        <v>150</v>
      </c>
      <c r="Y330" s="543">
        <f>IFERROR(Y327/H327,"0")+IFERROR(Y328/H328,"0")+IFERROR(Y329/H329,"0")</f>
        <v>150</v>
      </c>
      <c r="Z330" s="543">
        <f>IFERROR(IF(Z327="",0,Z327),"0")+IFERROR(IF(Z328="",0,Z328),"0")+IFERROR(IF(Z329="",0,Z329),"0")</f>
        <v>0.71100000000000008</v>
      </c>
      <c r="AA330" s="544"/>
      <c r="AB330" s="544"/>
      <c r="AC330" s="544"/>
    </row>
    <row r="331" spans="1:68" x14ac:dyDescent="0.2">
      <c r="A331" s="555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69</v>
      </c>
      <c r="X331" s="543">
        <f>IFERROR(SUM(X327:X329),"0")</f>
        <v>300</v>
      </c>
      <c r="Y331" s="543">
        <f>IFERROR(SUM(Y327:Y329),"0")</f>
        <v>300</v>
      </c>
      <c r="Z331" s="37"/>
      <c r="AA331" s="544"/>
      <c r="AB331" s="544"/>
      <c r="AC331" s="544"/>
    </row>
    <row r="332" spans="1:68" ht="16.5" customHeight="1" x14ac:dyDescent="0.25">
      <c r="A332" s="558" t="s">
        <v>520</v>
      </c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5"/>
      <c r="P332" s="555"/>
      <c r="Q332" s="555"/>
      <c r="R332" s="555"/>
      <c r="S332" s="555"/>
      <c r="T332" s="555"/>
      <c r="U332" s="555"/>
      <c r="V332" s="555"/>
      <c r="W332" s="555"/>
      <c r="X332" s="555"/>
      <c r="Y332" s="555"/>
      <c r="Z332" s="555"/>
      <c r="AA332" s="536"/>
      <c r="AB332" s="536"/>
      <c r="AC332" s="536"/>
    </row>
    <row r="333" spans="1:68" ht="14.25" customHeight="1" x14ac:dyDescent="0.25">
      <c r="A333" s="559" t="s">
        <v>73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7"/>
      <c r="AB333" s="537"/>
      <c r="AC333" s="537"/>
    </row>
    <row r="334" spans="1:68" ht="27" customHeight="1" x14ac:dyDescent="0.25">
      <c r="A334" s="54" t="s">
        <v>521</v>
      </c>
      <c r="B334" s="54" t="s">
        <v>522</v>
      </c>
      <c r="C334" s="31">
        <v>4301051489</v>
      </c>
      <c r="D334" s="548">
        <v>4607091387919</v>
      </c>
      <c r="E334" s="549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524</v>
      </c>
      <c r="B335" s="54" t="s">
        <v>525</v>
      </c>
      <c r="C335" s="31">
        <v>4301051461</v>
      </c>
      <c r="D335" s="548">
        <v>4680115883604</v>
      </c>
      <c r="E335" s="549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213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840</v>
      </c>
      <c r="Y335" s="542">
        <f>IFERROR(IF(X335="",0,CEILING((X335/$H335),1)*$H335),"")</f>
        <v>840</v>
      </c>
      <c r="Z335" s="36">
        <f>IFERROR(IF(Y335=0,"",ROUNDUP(Y335/H335,0)*0.00651),"")</f>
        <v>2.6040000000000001</v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940.79999999999984</v>
      </c>
      <c r="BN335" s="64">
        <f>IFERROR(Y335*I335/H335,"0")</f>
        <v>940.79999999999984</v>
      </c>
      <c r="BO335" s="64">
        <f>IFERROR(1/J335*(X335/H335),"0")</f>
        <v>2.197802197802198</v>
      </c>
      <c r="BP335" s="64">
        <f>IFERROR(1/J335*(Y335/H335),"0")</f>
        <v>2.197802197802198</v>
      </c>
    </row>
    <row r="336" spans="1:68" ht="27" customHeight="1" x14ac:dyDescent="0.25">
      <c r="A336" s="54" t="s">
        <v>527</v>
      </c>
      <c r="B336" s="54" t="s">
        <v>528</v>
      </c>
      <c r="C336" s="31">
        <v>4301051864</v>
      </c>
      <c r="D336" s="548">
        <v>4680115883567</v>
      </c>
      <c r="E336" s="549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213</v>
      </c>
      <c r="M336" s="33" t="s">
        <v>84</v>
      </c>
      <c r="N336" s="33"/>
      <c r="O336" s="32">
        <v>40</v>
      </c>
      <c r="P336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420</v>
      </c>
      <c r="Y336" s="542">
        <f>IFERROR(IF(X336="",0,CEILING((X336/$H336),1)*$H336),"")</f>
        <v>420</v>
      </c>
      <c r="Z336" s="36">
        <f>IFERROR(IF(Y336=0,"",ROUNDUP(Y336/H336,0)*0.00651),"")</f>
        <v>1.302</v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467.99999999999994</v>
      </c>
      <c r="BN336" s="64">
        <f>IFERROR(Y336*I336/H336,"0")</f>
        <v>467.99999999999994</v>
      </c>
      <c r="BO336" s="64">
        <f>IFERROR(1/J336*(X336/H336),"0")</f>
        <v>1.098901098901099</v>
      </c>
      <c r="BP336" s="64">
        <f>IFERROR(1/J336*(Y336/H336),"0")</f>
        <v>1.098901098901099</v>
      </c>
    </row>
    <row r="337" spans="1:68" x14ac:dyDescent="0.2">
      <c r="A337" s="554"/>
      <c r="B337" s="555"/>
      <c r="C337" s="555"/>
      <c r="D337" s="555"/>
      <c r="E337" s="555"/>
      <c r="F337" s="555"/>
      <c r="G337" s="555"/>
      <c r="H337" s="555"/>
      <c r="I337" s="555"/>
      <c r="J337" s="555"/>
      <c r="K337" s="555"/>
      <c r="L337" s="555"/>
      <c r="M337" s="555"/>
      <c r="N337" s="555"/>
      <c r="O337" s="556"/>
      <c r="P337" s="562" t="s">
        <v>71</v>
      </c>
      <c r="Q337" s="563"/>
      <c r="R337" s="563"/>
      <c r="S337" s="563"/>
      <c r="T337" s="563"/>
      <c r="U337" s="563"/>
      <c r="V337" s="564"/>
      <c r="W337" s="37" t="s">
        <v>72</v>
      </c>
      <c r="X337" s="543">
        <f>IFERROR(X334/H334,"0")+IFERROR(X335/H335,"0")+IFERROR(X336/H336,"0")</f>
        <v>600</v>
      </c>
      <c r="Y337" s="543">
        <f>IFERROR(Y334/H334,"0")+IFERROR(Y335/H335,"0")+IFERROR(Y336/H336,"0")</f>
        <v>600</v>
      </c>
      <c r="Z337" s="543">
        <f>IFERROR(IF(Z334="",0,Z334),"0")+IFERROR(IF(Z335="",0,Z335),"0")+IFERROR(IF(Z336="",0,Z336),"0")</f>
        <v>3.9060000000000001</v>
      </c>
      <c r="AA337" s="544"/>
      <c r="AB337" s="544"/>
      <c r="AC337" s="544"/>
    </row>
    <row r="338" spans="1:68" x14ac:dyDescent="0.2">
      <c r="A338" s="555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69</v>
      </c>
      <c r="X338" s="543">
        <f>IFERROR(SUM(X334:X336),"0")</f>
        <v>1260</v>
      </c>
      <c r="Y338" s="543">
        <f>IFERROR(SUM(Y334:Y336),"0")</f>
        <v>1260</v>
      </c>
      <c r="Z338" s="37"/>
      <c r="AA338" s="544"/>
      <c r="AB338" s="544"/>
      <c r="AC338" s="544"/>
    </row>
    <row r="339" spans="1:68" ht="27.75" customHeight="1" x14ac:dyDescent="0.2">
      <c r="A339" s="632" t="s">
        <v>530</v>
      </c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3"/>
      <c r="P339" s="633"/>
      <c r="Q339" s="633"/>
      <c r="R339" s="633"/>
      <c r="S339" s="633"/>
      <c r="T339" s="633"/>
      <c r="U339" s="633"/>
      <c r="V339" s="633"/>
      <c r="W339" s="633"/>
      <c r="X339" s="633"/>
      <c r="Y339" s="633"/>
      <c r="Z339" s="633"/>
      <c r="AA339" s="48"/>
      <c r="AB339" s="48"/>
      <c r="AC339" s="48"/>
    </row>
    <row r="340" spans="1:68" ht="16.5" customHeight="1" x14ac:dyDescent="0.25">
      <c r="A340" s="558" t="s">
        <v>531</v>
      </c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5"/>
      <c r="P340" s="555"/>
      <c r="Q340" s="555"/>
      <c r="R340" s="555"/>
      <c r="S340" s="555"/>
      <c r="T340" s="555"/>
      <c r="U340" s="555"/>
      <c r="V340" s="555"/>
      <c r="W340" s="555"/>
      <c r="X340" s="555"/>
      <c r="Y340" s="555"/>
      <c r="Z340" s="555"/>
      <c r="AA340" s="536"/>
      <c r="AB340" s="536"/>
      <c r="AC340" s="536"/>
    </row>
    <row r="341" spans="1:68" ht="14.25" customHeight="1" x14ac:dyDescent="0.25">
      <c r="A341" s="559" t="s">
        <v>99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8">
        <v>4680115884847</v>
      </c>
      <c r="E342" s="549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41">
        <v>1000</v>
      </c>
      <c r="Y342" s="542">
        <f t="shared" ref="Y342:Y348" si="31">IFERROR(IF(X342="",0,CEILING((X342/$H342),1)*$H342),"")</f>
        <v>1005</v>
      </c>
      <c r="Z342" s="36">
        <f>IFERROR(IF(Y342=0,"",ROUNDUP(Y342/H342,0)*0.02175),"")</f>
        <v>1.4572499999999999</v>
      </c>
      <c r="AA342" s="56"/>
      <c r="AB342" s="57"/>
      <c r="AC342" s="389" t="s">
        <v>534</v>
      </c>
      <c r="AG342" s="64"/>
      <c r="AJ342" s="68"/>
      <c r="AK342" s="68">
        <v>0</v>
      </c>
      <c r="BB342" s="390" t="s">
        <v>1</v>
      </c>
      <c r="BM342" s="64">
        <f t="shared" ref="BM342:BM348" si="32">IFERROR(X342*I342/H342,"0")</f>
        <v>1031.3333333333333</v>
      </c>
      <c r="BN342" s="64">
        <f t="shared" ref="BN342:BN348" si="33">IFERROR(Y342*I342/H342,"0")</f>
        <v>1036.49</v>
      </c>
      <c r="BO342" s="64">
        <f t="shared" ref="BO342:BO348" si="34">IFERROR(1/J342*(X342/H342),"0")</f>
        <v>1.3888888888888888</v>
      </c>
      <c r="BP342" s="64">
        <f t="shared" ref="BP342:BP348" si="35">IFERROR(1/J342*(Y342/H342),"0")</f>
        <v>1.3958333333333333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8">
        <v>4680115884854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900</v>
      </c>
      <c r="Y343" s="542">
        <f t="shared" si="31"/>
        <v>900</v>
      </c>
      <c r="Z343" s="36">
        <f>IFERROR(IF(Y343=0,"",ROUNDUP(Y343/H343,0)*0.02175),"")</f>
        <v>1.3049999999999999</v>
      </c>
      <c r="AA343" s="56"/>
      <c r="AB343" s="57"/>
      <c r="AC343" s="391" t="s">
        <v>537</v>
      </c>
      <c r="AG343" s="64"/>
      <c r="AJ343" s="68"/>
      <c r="AK343" s="68">
        <v>0</v>
      </c>
      <c r="BB343" s="392" t="s">
        <v>1</v>
      </c>
      <c r="BM343" s="64">
        <f t="shared" si="32"/>
        <v>928.2</v>
      </c>
      <c r="BN343" s="64">
        <f t="shared" si="33"/>
        <v>928.2</v>
      </c>
      <c r="BO343" s="64">
        <f t="shared" si="34"/>
        <v>1.25</v>
      </c>
      <c r="BP343" s="64">
        <f t="shared" si="35"/>
        <v>1.25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8">
        <v>4680115884830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1000</v>
      </c>
      <c r="Y344" s="542">
        <f t="shared" si="31"/>
        <v>1005</v>
      </c>
      <c r="Z344" s="36">
        <f>IFERROR(IF(Y344=0,"",ROUNDUP(Y344/H344,0)*0.02175),"")</f>
        <v>1.4572499999999999</v>
      </c>
      <c r="AA344" s="56"/>
      <c r="AB344" s="57"/>
      <c r="AC344" s="393" t="s">
        <v>540</v>
      </c>
      <c r="AG344" s="64"/>
      <c r="AJ344" s="68"/>
      <c r="AK344" s="68">
        <v>0</v>
      </c>
      <c r="BB344" s="394" t="s">
        <v>1</v>
      </c>
      <c r="BM344" s="64">
        <f t="shared" si="32"/>
        <v>1031.3333333333333</v>
      </c>
      <c r="BN344" s="64">
        <f t="shared" si="33"/>
        <v>1036.49</v>
      </c>
      <c r="BO344" s="64">
        <f t="shared" si="34"/>
        <v>1.3888888888888888</v>
      </c>
      <c r="BP344" s="64">
        <f t="shared" si="35"/>
        <v>1.3958333333333333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8">
        <v>4680115887046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1000</v>
      </c>
      <c r="Y345" s="542">
        <f t="shared" si="31"/>
        <v>1005</v>
      </c>
      <c r="Z345" s="36">
        <f>IFERROR(IF(Y345=0,"",ROUNDUP(Y345/H345,0)*0.02175),"")</f>
        <v>1.4572499999999999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1031.3333333333333</v>
      </c>
      <c r="BN345" s="64">
        <f t="shared" si="33"/>
        <v>1036.49</v>
      </c>
      <c r="BO345" s="64">
        <f t="shared" si="34"/>
        <v>1.3888888888888888</v>
      </c>
      <c r="BP345" s="64">
        <f t="shared" si="35"/>
        <v>1.3958333333333333</v>
      </c>
    </row>
    <row r="346" spans="1:68" ht="27" customHeight="1" x14ac:dyDescent="0.25">
      <c r="A346" s="54" t="s">
        <v>544</v>
      </c>
      <c r="B346" s="54" t="s">
        <v>545</v>
      </c>
      <c r="C346" s="31">
        <v>4301011433</v>
      </c>
      <c r="D346" s="548">
        <v>4680115882638</v>
      </c>
      <c r="E346" s="549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547</v>
      </c>
      <c r="B347" s="54" t="s">
        <v>548</v>
      </c>
      <c r="C347" s="31">
        <v>4301011952</v>
      </c>
      <c r="D347" s="548">
        <v>4680115884922</v>
      </c>
      <c r="E347" s="549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549</v>
      </c>
      <c r="B348" s="54" t="s">
        <v>550</v>
      </c>
      <c r="C348" s="31">
        <v>4301011868</v>
      </c>
      <c r="D348" s="548">
        <v>4680115884861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4"/>
      <c r="B349" s="555"/>
      <c r="C349" s="555"/>
      <c r="D349" s="555"/>
      <c r="E349" s="555"/>
      <c r="F349" s="555"/>
      <c r="G349" s="555"/>
      <c r="H349" s="555"/>
      <c r="I349" s="555"/>
      <c r="J349" s="555"/>
      <c r="K349" s="555"/>
      <c r="L349" s="555"/>
      <c r="M349" s="555"/>
      <c r="N349" s="555"/>
      <c r="O349" s="556"/>
      <c r="P349" s="562" t="s">
        <v>71</v>
      </c>
      <c r="Q349" s="563"/>
      <c r="R349" s="563"/>
      <c r="S349" s="563"/>
      <c r="T349" s="563"/>
      <c r="U349" s="563"/>
      <c r="V349" s="564"/>
      <c r="W349" s="37" t="s">
        <v>72</v>
      </c>
      <c r="X349" s="543">
        <f>IFERROR(X342/H342,"0")+IFERROR(X343/H343,"0")+IFERROR(X344/H344,"0")+IFERROR(X345/H345,"0")+IFERROR(X346/H346,"0")+IFERROR(X347/H347,"0")+IFERROR(X348/H348,"0")</f>
        <v>260</v>
      </c>
      <c r="Y349" s="543">
        <f>IFERROR(Y342/H342,"0")+IFERROR(Y343/H343,"0")+IFERROR(Y344/H344,"0")+IFERROR(Y345/H345,"0")+IFERROR(Y346/H346,"0")+IFERROR(Y347/H347,"0")+IFERROR(Y348/H348,"0")</f>
        <v>261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5.6767500000000002</v>
      </c>
      <c r="AA349" s="544"/>
      <c r="AB349" s="544"/>
      <c r="AC349" s="544"/>
    </row>
    <row r="350" spans="1:68" x14ac:dyDescent="0.2">
      <c r="A350" s="555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69</v>
      </c>
      <c r="X350" s="543">
        <f>IFERROR(SUM(X342:X348),"0")</f>
        <v>3900</v>
      </c>
      <c r="Y350" s="543">
        <f>IFERROR(SUM(Y342:Y348),"0")</f>
        <v>3915</v>
      </c>
      <c r="Z350" s="37"/>
      <c r="AA350" s="544"/>
      <c r="AB350" s="544"/>
      <c r="AC350" s="544"/>
    </row>
    <row r="351" spans="1:68" ht="14.25" customHeight="1" x14ac:dyDescent="0.25">
      <c r="A351" s="559" t="s">
        <v>135</v>
      </c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5"/>
      <c r="P351" s="555"/>
      <c r="Q351" s="555"/>
      <c r="R351" s="555"/>
      <c r="S351" s="555"/>
      <c r="T351" s="555"/>
      <c r="U351" s="555"/>
      <c r="V351" s="555"/>
      <c r="W351" s="555"/>
      <c r="X351" s="555"/>
      <c r="Y351" s="555"/>
      <c r="Z351" s="555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8">
        <v>4607091383980</v>
      </c>
      <c r="E352" s="549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41">
        <v>1400</v>
      </c>
      <c r="Y352" s="542">
        <f>IFERROR(IF(X352="",0,CEILING((X352/$H352),1)*$H352),"")</f>
        <v>1410</v>
      </c>
      <c r="Z352" s="36">
        <f>IFERROR(IF(Y352=0,"",ROUNDUP(Y352/H352,0)*0.02175),"")</f>
        <v>2.0444999999999998</v>
      </c>
      <c r="AA352" s="56"/>
      <c r="AB352" s="57"/>
      <c r="AC352" s="403" t="s">
        <v>553</v>
      </c>
      <c r="AG352" s="64"/>
      <c r="AJ352" s="68"/>
      <c r="AK352" s="68">
        <v>0</v>
      </c>
      <c r="BB352" s="404" t="s">
        <v>1</v>
      </c>
      <c r="BM352" s="64">
        <f>IFERROR(X352*I352/H352,"0")</f>
        <v>1443.8666666666666</v>
      </c>
      <c r="BN352" s="64">
        <f>IFERROR(Y352*I352/H352,"0")</f>
        <v>1454.18</v>
      </c>
      <c r="BO352" s="64">
        <f>IFERROR(1/J352*(X352/H352),"0")</f>
        <v>1.9444444444444442</v>
      </c>
      <c r="BP352" s="64">
        <f>IFERROR(1/J352*(Y352/H352),"0")</f>
        <v>1.9583333333333333</v>
      </c>
    </row>
    <row r="353" spans="1:68" ht="27" customHeight="1" x14ac:dyDescent="0.25">
      <c r="A353" s="54" t="s">
        <v>554</v>
      </c>
      <c r="B353" s="54" t="s">
        <v>555</v>
      </c>
      <c r="C353" s="31">
        <v>4301020179</v>
      </c>
      <c r="D353" s="548">
        <v>4607091384178</v>
      </c>
      <c r="E353" s="549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8</v>
      </c>
      <c r="Y353" s="542">
        <f>IFERROR(IF(X353="",0,CEILING((X353/$H353),1)*$H353),"")</f>
        <v>8</v>
      </c>
      <c r="Z353" s="36">
        <f>IFERROR(IF(Y353=0,"",ROUNDUP(Y353/H353,0)*0.00902),"")</f>
        <v>1.804E-2</v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8.3800000000000008</v>
      </c>
      <c r="BN353" s="64">
        <f>IFERROR(Y353*I353/H353,"0")</f>
        <v>8.3800000000000008</v>
      </c>
      <c r="BO353" s="64">
        <f>IFERROR(1/J353*(X353/H353),"0")</f>
        <v>1.5151515151515152E-2</v>
      </c>
      <c r="BP353" s="64">
        <f>IFERROR(1/J353*(Y353/H353),"0")</f>
        <v>1.5151515151515152E-2</v>
      </c>
    </row>
    <row r="354" spans="1:68" x14ac:dyDescent="0.2">
      <c r="A354" s="554"/>
      <c r="B354" s="555"/>
      <c r="C354" s="555"/>
      <c r="D354" s="555"/>
      <c r="E354" s="555"/>
      <c r="F354" s="555"/>
      <c r="G354" s="555"/>
      <c r="H354" s="555"/>
      <c r="I354" s="555"/>
      <c r="J354" s="555"/>
      <c r="K354" s="555"/>
      <c r="L354" s="555"/>
      <c r="M354" s="555"/>
      <c r="N354" s="555"/>
      <c r="O354" s="556"/>
      <c r="P354" s="562" t="s">
        <v>71</v>
      </c>
      <c r="Q354" s="563"/>
      <c r="R354" s="563"/>
      <c r="S354" s="563"/>
      <c r="T354" s="563"/>
      <c r="U354" s="563"/>
      <c r="V354" s="564"/>
      <c r="W354" s="37" t="s">
        <v>72</v>
      </c>
      <c r="X354" s="543">
        <f>IFERROR(X352/H352,"0")+IFERROR(X353/H353,"0")</f>
        <v>95.333333333333329</v>
      </c>
      <c r="Y354" s="543">
        <f>IFERROR(Y352/H352,"0")+IFERROR(Y353/H353,"0")</f>
        <v>96</v>
      </c>
      <c r="Z354" s="543">
        <f>IFERROR(IF(Z352="",0,Z352),"0")+IFERROR(IF(Z353="",0,Z353),"0")</f>
        <v>2.0625399999999998</v>
      </c>
      <c r="AA354" s="544"/>
      <c r="AB354" s="544"/>
      <c r="AC354" s="544"/>
    </row>
    <row r="355" spans="1:68" x14ac:dyDescent="0.2">
      <c r="A355" s="555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69</v>
      </c>
      <c r="X355" s="543">
        <f>IFERROR(SUM(X352:X353),"0")</f>
        <v>1408</v>
      </c>
      <c r="Y355" s="543">
        <f>IFERROR(SUM(Y352:Y353),"0")</f>
        <v>1418</v>
      </c>
      <c r="Z355" s="37"/>
      <c r="AA355" s="544"/>
      <c r="AB355" s="544"/>
      <c r="AC355" s="544"/>
    </row>
    <row r="356" spans="1:68" ht="14.25" customHeight="1" x14ac:dyDescent="0.25">
      <c r="A356" s="559" t="s">
        <v>73</v>
      </c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5"/>
      <c r="P356" s="555"/>
      <c r="Q356" s="555"/>
      <c r="R356" s="555"/>
      <c r="S356" s="555"/>
      <c r="T356" s="555"/>
      <c r="U356" s="555"/>
      <c r="V356" s="555"/>
      <c r="W356" s="555"/>
      <c r="X356" s="555"/>
      <c r="Y356" s="555"/>
      <c r="Z356" s="555"/>
      <c r="AA356" s="537"/>
      <c r="AB356" s="537"/>
      <c r="AC356" s="537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8">
        <v>4607091383928</v>
      </c>
      <c r="E357" s="549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8">
        <v>4607091384260</v>
      </c>
      <c r="E358" s="549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54"/>
      <c r="B359" s="555"/>
      <c r="C359" s="555"/>
      <c r="D359" s="555"/>
      <c r="E359" s="555"/>
      <c r="F359" s="555"/>
      <c r="G359" s="555"/>
      <c r="H359" s="555"/>
      <c r="I359" s="555"/>
      <c r="J359" s="555"/>
      <c r="K359" s="555"/>
      <c r="L359" s="555"/>
      <c r="M359" s="555"/>
      <c r="N359" s="555"/>
      <c r="O359" s="556"/>
      <c r="P359" s="562" t="s">
        <v>71</v>
      </c>
      <c r="Q359" s="563"/>
      <c r="R359" s="563"/>
      <c r="S359" s="563"/>
      <c r="T359" s="563"/>
      <c r="U359" s="563"/>
      <c r="V359" s="564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x14ac:dyDescent="0.2">
      <c r="A360" s="555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customHeight="1" x14ac:dyDescent="0.25">
      <c r="A361" s="559" t="s">
        <v>163</v>
      </c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5"/>
      <c r="P361" s="555"/>
      <c r="Q361" s="555"/>
      <c r="R361" s="555"/>
      <c r="S361" s="555"/>
      <c r="T361" s="555"/>
      <c r="U361" s="555"/>
      <c r="V361" s="555"/>
      <c r="W361" s="555"/>
      <c r="X361" s="555"/>
      <c r="Y361" s="555"/>
      <c r="Z361" s="555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8">
        <v>4607091384673</v>
      </c>
      <c r="E362" s="549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41">
        <v>60</v>
      </c>
      <c r="Y362" s="542">
        <f>IFERROR(IF(X362="",0,CEILING((X362/$H362),1)*$H362),"")</f>
        <v>63</v>
      </c>
      <c r="Z362" s="36">
        <f>IFERROR(IF(Y362=0,"",ROUNDUP(Y362/H362,0)*0.01898),"")</f>
        <v>0.13286000000000001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63.293333333333329</v>
      </c>
      <c r="BN362" s="64">
        <f>IFERROR(Y362*I362/H362,"0")</f>
        <v>66.457999999999998</v>
      </c>
      <c r="BO362" s="64">
        <f>IFERROR(1/J362*(X362/H362),"0")</f>
        <v>0.10416666666666667</v>
      </c>
      <c r="BP362" s="64">
        <f>IFERROR(1/J362*(Y362/H362),"0")</f>
        <v>0.109375</v>
      </c>
    </row>
    <row r="363" spans="1:68" x14ac:dyDescent="0.2">
      <c r="A363" s="554"/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6"/>
      <c r="P363" s="562" t="s">
        <v>71</v>
      </c>
      <c r="Q363" s="563"/>
      <c r="R363" s="563"/>
      <c r="S363" s="563"/>
      <c r="T363" s="563"/>
      <c r="U363" s="563"/>
      <c r="V363" s="564"/>
      <c r="W363" s="37" t="s">
        <v>72</v>
      </c>
      <c r="X363" s="543">
        <f>IFERROR(X362/H362,"0")</f>
        <v>6.666666666666667</v>
      </c>
      <c r="Y363" s="543">
        <f>IFERROR(Y362/H362,"0")</f>
        <v>7</v>
      </c>
      <c r="Z363" s="543">
        <f>IFERROR(IF(Z362="",0,Z362),"0")</f>
        <v>0.13286000000000001</v>
      </c>
      <c r="AA363" s="544"/>
      <c r="AB363" s="544"/>
      <c r="AC363" s="544"/>
    </row>
    <row r="364" spans="1:68" x14ac:dyDescent="0.2">
      <c r="A364" s="555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69</v>
      </c>
      <c r="X364" s="543">
        <f>IFERROR(SUM(X362:X362),"0")</f>
        <v>60</v>
      </c>
      <c r="Y364" s="543">
        <f>IFERROR(SUM(Y362:Y362),"0")</f>
        <v>63</v>
      </c>
      <c r="Z364" s="37"/>
      <c r="AA364" s="544"/>
      <c r="AB364" s="544"/>
      <c r="AC364" s="544"/>
    </row>
    <row r="365" spans="1:68" ht="16.5" customHeight="1" x14ac:dyDescent="0.25">
      <c r="A365" s="558" t="s">
        <v>566</v>
      </c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5"/>
      <c r="P365" s="555"/>
      <c r="Q365" s="555"/>
      <c r="R365" s="555"/>
      <c r="S365" s="555"/>
      <c r="T365" s="555"/>
      <c r="U365" s="555"/>
      <c r="V365" s="555"/>
      <c r="W365" s="555"/>
      <c r="X365" s="555"/>
      <c r="Y365" s="555"/>
      <c r="Z365" s="555"/>
      <c r="AA365" s="536"/>
      <c r="AB365" s="536"/>
      <c r="AC365" s="536"/>
    </row>
    <row r="366" spans="1:68" ht="14.25" customHeight="1" x14ac:dyDescent="0.25">
      <c r="A366" s="559" t="s">
        <v>99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7"/>
      <c r="AB366" s="537"/>
      <c r="AC366" s="537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8">
        <v>4680115884885</v>
      </c>
      <c r="E367" s="549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41">
        <v>100</v>
      </c>
      <c r="Y367" s="542">
        <f>IFERROR(IF(X367="",0,CEILING((X367/$H367),1)*$H367),"")</f>
        <v>108</v>
      </c>
      <c r="Z367" s="36">
        <f>IFERROR(IF(Y367=0,"",ROUNDUP(Y367/H367,0)*0.01898),"")</f>
        <v>0.17082</v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103.41666666666667</v>
      </c>
      <c r="BN367" s="64">
        <f>IFERROR(Y367*I367/H367,"0")</f>
        <v>111.69</v>
      </c>
      <c r="BO367" s="64">
        <f>IFERROR(1/J367*(X367/H367),"0")</f>
        <v>0.13020833333333334</v>
      </c>
      <c r="BP367" s="64">
        <f>IFERROR(1/J367*(Y367/H367),"0")</f>
        <v>0.140625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8">
        <v>4680115884908</v>
      </c>
      <c r="E368" s="549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4"/>
      <c r="B369" s="555"/>
      <c r="C369" s="555"/>
      <c r="D369" s="555"/>
      <c r="E369" s="555"/>
      <c r="F369" s="555"/>
      <c r="G369" s="555"/>
      <c r="H369" s="555"/>
      <c r="I369" s="555"/>
      <c r="J369" s="555"/>
      <c r="K369" s="555"/>
      <c r="L369" s="555"/>
      <c r="M369" s="555"/>
      <c r="N369" s="555"/>
      <c r="O369" s="556"/>
      <c r="P369" s="562" t="s">
        <v>71</v>
      </c>
      <c r="Q369" s="563"/>
      <c r="R369" s="563"/>
      <c r="S369" s="563"/>
      <c r="T369" s="563"/>
      <c r="U369" s="563"/>
      <c r="V369" s="564"/>
      <c r="W369" s="37" t="s">
        <v>72</v>
      </c>
      <c r="X369" s="543">
        <f>IFERROR(X367/H367,"0")+IFERROR(X368/H368,"0")</f>
        <v>8.3333333333333339</v>
      </c>
      <c r="Y369" s="543">
        <f>IFERROR(Y367/H367,"0")+IFERROR(Y368/H368,"0")</f>
        <v>9</v>
      </c>
      <c r="Z369" s="543">
        <f>IFERROR(IF(Z367="",0,Z367),"0")+IFERROR(IF(Z368="",0,Z368),"0")</f>
        <v>0.17082</v>
      </c>
      <c r="AA369" s="544"/>
      <c r="AB369" s="544"/>
      <c r="AC369" s="544"/>
    </row>
    <row r="370" spans="1:68" x14ac:dyDescent="0.2">
      <c r="A370" s="555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69</v>
      </c>
      <c r="X370" s="543">
        <f>IFERROR(SUM(X367:X368),"0")</f>
        <v>100</v>
      </c>
      <c r="Y370" s="543">
        <f>IFERROR(SUM(Y367:Y368),"0")</f>
        <v>108</v>
      </c>
      <c r="Z370" s="37"/>
      <c r="AA370" s="544"/>
      <c r="AB370" s="544"/>
      <c r="AC370" s="544"/>
    </row>
    <row r="371" spans="1:68" ht="14.25" customHeight="1" x14ac:dyDescent="0.25">
      <c r="A371" s="559" t="s">
        <v>64</v>
      </c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5"/>
      <c r="P371" s="555"/>
      <c r="Q371" s="555"/>
      <c r="R371" s="555"/>
      <c r="S371" s="555"/>
      <c r="T371" s="555"/>
      <c r="U371" s="555"/>
      <c r="V371" s="555"/>
      <c r="W371" s="555"/>
      <c r="X371" s="555"/>
      <c r="Y371" s="555"/>
      <c r="Z371" s="555"/>
      <c r="AA371" s="537"/>
      <c r="AB371" s="537"/>
      <c r="AC371" s="537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8">
        <v>4607091384802</v>
      </c>
      <c r="E372" s="549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8">
        <v>4607091384802</v>
      </c>
      <c r="E373" s="549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54"/>
      <c r="B374" s="555"/>
      <c r="C374" s="555"/>
      <c r="D374" s="555"/>
      <c r="E374" s="555"/>
      <c r="F374" s="555"/>
      <c r="G374" s="555"/>
      <c r="H374" s="555"/>
      <c r="I374" s="555"/>
      <c r="J374" s="555"/>
      <c r="K374" s="555"/>
      <c r="L374" s="555"/>
      <c r="M374" s="555"/>
      <c r="N374" s="555"/>
      <c r="O374" s="556"/>
      <c r="P374" s="562" t="s">
        <v>71</v>
      </c>
      <c r="Q374" s="563"/>
      <c r="R374" s="563"/>
      <c r="S374" s="563"/>
      <c r="T374" s="563"/>
      <c r="U374" s="563"/>
      <c r="V374" s="564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x14ac:dyDescent="0.2">
      <c r="A375" s="555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customHeight="1" x14ac:dyDescent="0.25">
      <c r="A376" s="559" t="s">
        <v>73</v>
      </c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5"/>
      <c r="P376" s="555"/>
      <c r="Q376" s="555"/>
      <c r="R376" s="555"/>
      <c r="S376" s="555"/>
      <c r="T376" s="555"/>
      <c r="U376" s="555"/>
      <c r="V376" s="555"/>
      <c r="W376" s="555"/>
      <c r="X376" s="555"/>
      <c r="Y376" s="555"/>
      <c r="Z376" s="555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8">
        <v>4607091384246</v>
      </c>
      <c r="E377" s="549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41">
        <v>20</v>
      </c>
      <c r="Y377" s="542">
        <f>IFERROR(IF(X377="",0,CEILING((X377/$H377),1)*$H377),"")</f>
        <v>27</v>
      </c>
      <c r="Z377" s="36">
        <f>IFERROR(IF(Y377=0,"",ROUNDUP(Y377/H377,0)*0.01898),"")</f>
        <v>5.6940000000000004E-2</v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21.097777777777779</v>
      </c>
      <c r="BN377" s="64">
        <f>IFERROR(Y377*I377/H377,"0")</f>
        <v>28.481999999999996</v>
      </c>
      <c r="BO377" s="64">
        <f>IFERROR(1/J377*(X377/H377),"0")</f>
        <v>3.4722222222222224E-2</v>
      </c>
      <c r="BP377" s="64">
        <f>IFERROR(1/J377*(Y377/H377),"0")</f>
        <v>4.6875E-2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8">
        <v>4607091384253</v>
      </c>
      <c r="E378" s="549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5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580</v>
      </c>
      <c r="B379" s="54" t="s">
        <v>582</v>
      </c>
      <c r="C379" s="31">
        <v>4301052069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4" t="s">
        <v>583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IFERROR(X377/H377,"0")+IFERROR(X378/H378,"0")+IFERROR(X379/H379,"0")</f>
        <v>2.2222222222222223</v>
      </c>
      <c r="Y380" s="543">
        <f>IFERROR(Y377/H377,"0")+IFERROR(Y378/H378,"0")+IFERROR(Y379/H379,"0")</f>
        <v>3</v>
      </c>
      <c r="Z380" s="543">
        <f>IFERROR(IF(Z377="",0,Z377),"0")+IFERROR(IF(Z378="",0,Z378),"0")+IFERROR(IF(Z379="",0,Z379),"0")</f>
        <v>5.6940000000000004E-2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IFERROR(SUM(X377:X379),"0")</f>
        <v>20</v>
      </c>
      <c r="Y381" s="543">
        <f>IFERROR(SUM(Y377:Y379),"0")</f>
        <v>27</v>
      </c>
      <c r="Z381" s="37"/>
      <c r="AA381" s="544"/>
      <c r="AB381" s="544"/>
      <c r="AC381" s="544"/>
    </row>
    <row r="382" spans="1:68" ht="27.75" customHeight="1" x14ac:dyDescent="0.2">
      <c r="A382" s="632" t="s">
        <v>585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8" t="s">
        <v>586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9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 t="s">
        <v>266</v>
      </c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35</v>
      </c>
      <c r="Y389" s="542">
        <f t="shared" si="36"/>
        <v>35.700000000000003</v>
      </c>
      <c r="Z389" s="36">
        <f t="shared" si="41"/>
        <v>8.5339999999999999E-2</v>
      </c>
      <c r="AA389" s="56"/>
      <c r="AB389" s="57"/>
      <c r="AC389" s="435" t="s">
        <v>589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37.166666666666664</v>
      </c>
      <c r="BN389" s="64">
        <f t="shared" si="38"/>
        <v>37.910000000000004</v>
      </c>
      <c r="BO389" s="64">
        <f t="shared" si="39"/>
        <v>7.1225071225071226E-2</v>
      </c>
      <c r="BP389" s="64">
        <f t="shared" si="40"/>
        <v>7.2649572649572655E-2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 t="s">
        <v>266</v>
      </c>
      <c r="M390" s="33" t="s">
        <v>68</v>
      </c>
      <c r="N390" s="33"/>
      <c r="O390" s="32">
        <v>50</v>
      </c>
      <c r="P390" s="73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 t="s">
        <v>106</v>
      </c>
      <c r="AK390" s="68">
        <v>37.799999999999997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266</v>
      </c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70</v>
      </c>
      <c r="Y392" s="542">
        <f t="shared" si="36"/>
        <v>71.400000000000006</v>
      </c>
      <c r="Z392" s="36">
        <f t="shared" si="41"/>
        <v>0.17068</v>
      </c>
      <c r="AA392" s="56"/>
      <c r="AB392" s="57"/>
      <c r="AC392" s="441" t="s">
        <v>608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74.333333333333329</v>
      </c>
      <c r="BN392" s="64">
        <f t="shared" si="38"/>
        <v>75.820000000000007</v>
      </c>
      <c r="BO392" s="64">
        <f t="shared" si="39"/>
        <v>0.14245014245014245</v>
      </c>
      <c r="BP392" s="64">
        <f t="shared" si="40"/>
        <v>0.14529914529914531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49.999999999999993</v>
      </c>
      <c r="Y394" s="543">
        <f>IFERROR(Y385/H385,"0")+IFERROR(Y386/H386,"0")+IFERROR(Y387/H387,"0")+IFERROR(Y388/H388,"0")+IFERROR(Y389/H389,"0")+IFERROR(Y390/H390,"0")+IFERROR(Y391/H391,"0")+IFERROR(Y392/H392,"0")+IFERROR(Y393/H393,"0")</f>
        <v>51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0.25602000000000003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105</v>
      </c>
      <c r="Y395" s="543">
        <f>IFERROR(SUM(Y385:Y393),"0")</f>
        <v>107.10000000000001</v>
      </c>
      <c r="Z395" s="37"/>
      <c r="AA395" s="544"/>
      <c r="AB395" s="544"/>
      <c r="AC395" s="544"/>
    </row>
    <row r="396" spans="1:68" ht="14.25" customHeight="1" x14ac:dyDescent="0.25">
      <c r="A396" s="559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617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9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9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10.5</v>
      </c>
      <c r="Y410" s="542">
        <f>IFERROR(IF(X410="",0,CEILING((X410/$H410),1)*$H410),"")</f>
        <v>10.5</v>
      </c>
      <c r="Z410" s="36">
        <f>IFERROR(IF(Y410=0,"",ROUNDUP(Y410/H410,0)*0.00502),"")</f>
        <v>2.5100000000000001E-2</v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11.149999999999999</v>
      </c>
      <c r="BN410" s="64">
        <f>IFERROR(Y410*I410/H410,"0")</f>
        <v>11.149999999999999</v>
      </c>
      <c r="BO410" s="64">
        <f>IFERROR(1/J410*(X410/H410),"0")</f>
        <v>2.1367521367521368E-2</v>
      </c>
      <c r="BP410" s="64">
        <f>IFERROR(1/J410*(Y410/H410),"0")</f>
        <v>2.1367521367521368E-2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5</v>
      </c>
      <c r="Y411" s="543">
        <f>IFERROR(Y407/H407,"0")+IFERROR(Y408/H408,"0")+IFERROR(Y409/H409,"0")+IFERROR(Y410/H410,"0")</f>
        <v>5</v>
      </c>
      <c r="Z411" s="543">
        <f>IFERROR(IF(Z407="",0,Z407),"0")+IFERROR(IF(Z408="",0,Z408),"0")+IFERROR(IF(Z409="",0,Z409),"0")+IFERROR(IF(Z410="",0,Z410),"0")</f>
        <v>2.5100000000000001E-2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10.5</v>
      </c>
      <c r="Y412" s="543">
        <f>IFERROR(SUM(Y407:Y410),"0")</f>
        <v>10.5</v>
      </c>
      <c r="Z412" s="37"/>
      <c r="AA412" s="544"/>
      <c r="AB412" s="544"/>
      <c r="AC412" s="544"/>
    </row>
    <row r="413" spans="1:68" ht="16.5" customHeight="1" x14ac:dyDescent="0.25">
      <c r="A413" s="558" t="s">
        <v>632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9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 t="s">
        <v>213</v>
      </c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30</v>
      </c>
      <c r="Y415" s="542">
        <f>IFERROR(IF(X415="",0,CEILING((X415/$H415),1)*$H415),"")</f>
        <v>30</v>
      </c>
      <c r="Z415" s="36">
        <f>IFERROR(IF(Y415=0,"",ROUNDUP(Y415/H415,0)*0.00651),"")</f>
        <v>0.16275000000000001</v>
      </c>
      <c r="AA415" s="56"/>
      <c r="AB415" s="57"/>
      <c r="AC415" s="459" t="s">
        <v>635</v>
      </c>
      <c r="AG415" s="64"/>
      <c r="AJ415" s="68" t="s">
        <v>106</v>
      </c>
      <c r="AK415" s="68">
        <v>16.8</v>
      </c>
      <c r="BB415" s="460" t="s">
        <v>1</v>
      </c>
      <c r="BM415" s="64">
        <f>IFERROR(X415*I415/H415,"0")</f>
        <v>52.5</v>
      </c>
      <c r="BN415" s="64">
        <f>IFERROR(Y415*I415/H415,"0")</f>
        <v>52.5</v>
      </c>
      <c r="BO415" s="64">
        <f>IFERROR(1/J415*(X415/H415),"0")</f>
        <v>0.13736263736263737</v>
      </c>
      <c r="BP415" s="64">
        <f>IFERROR(1/J415*(Y415/H415),"0")</f>
        <v>0.13736263736263737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25</v>
      </c>
      <c r="Y416" s="543">
        <f>IFERROR(Y415/H415,"0")</f>
        <v>25</v>
      </c>
      <c r="Z416" s="543">
        <f>IFERROR(IF(Z415="",0,Z415),"0")</f>
        <v>0.16275000000000001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30</v>
      </c>
      <c r="Y417" s="543">
        <f>IFERROR(SUM(Y415:Y415),"0")</f>
        <v>30</v>
      </c>
      <c r="Z417" s="37"/>
      <c r="AA417" s="544"/>
      <c r="AB417" s="544"/>
      <c r="AC417" s="544"/>
    </row>
    <row r="418" spans="1:68" ht="27.75" customHeight="1" x14ac:dyDescent="0.2">
      <c r="A418" s="632" t="s">
        <v>636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8" t="s">
        <v>636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9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200</v>
      </c>
      <c r="Y424" s="542">
        <f t="shared" si="42"/>
        <v>200.64000000000001</v>
      </c>
      <c r="Z424" s="36">
        <f t="shared" si="43"/>
        <v>0.45448</v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213.25757575757575</v>
      </c>
      <c r="BN424" s="64">
        <f t="shared" si="45"/>
        <v>213.94</v>
      </c>
      <c r="BO424" s="64">
        <f t="shared" si="46"/>
        <v>0.36421911421911418</v>
      </c>
      <c r="BP424" s="64">
        <f t="shared" si="47"/>
        <v>0.36538461538461542</v>
      </c>
    </row>
    <row r="425" spans="1:68" ht="16.5" customHeight="1" x14ac:dyDescent="0.25">
      <c r="A425" s="54" t="s">
        <v>648</v>
      </c>
      <c r="B425" s="54" t="s">
        <v>649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100</v>
      </c>
      <c r="Y426" s="542">
        <f t="shared" si="42"/>
        <v>100.32000000000001</v>
      </c>
      <c r="Z426" s="36">
        <f t="shared" si="43"/>
        <v>0.22724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106.62878787878788</v>
      </c>
      <c r="BN426" s="64">
        <f t="shared" si="45"/>
        <v>106.97</v>
      </c>
      <c r="BO426" s="64">
        <f t="shared" si="46"/>
        <v>0.18210955710955709</v>
      </c>
      <c r="BP426" s="64">
        <f t="shared" si="47"/>
        <v>0.18269230769230771</v>
      </c>
    </row>
    <row r="427" spans="1:68" ht="27" customHeight="1" x14ac:dyDescent="0.25">
      <c r="A427" s="54" t="s">
        <v>654</v>
      </c>
      <c r="B427" s="54" t="s">
        <v>655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60</v>
      </c>
      <c r="Y428" s="542">
        <f t="shared" si="42"/>
        <v>62.4</v>
      </c>
      <c r="Z428" s="36">
        <f>IFERROR(IF(Y428=0,"",ROUNDUP(Y428/H428,0)*0.00902),"")</f>
        <v>0.11726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86.375000000000014</v>
      </c>
      <c r="BN428" s="64">
        <f t="shared" si="45"/>
        <v>89.830000000000013</v>
      </c>
      <c r="BO428" s="64">
        <f t="shared" si="46"/>
        <v>9.4696969696969696E-2</v>
      </c>
      <c r="BP428" s="64">
        <f t="shared" si="47"/>
        <v>9.8484848484848481E-2</v>
      </c>
    </row>
    <row r="429" spans="1:68" ht="27" customHeight="1" x14ac:dyDescent="0.25">
      <c r="A429" s="54" t="s">
        <v>658</v>
      </c>
      <c r="B429" s="54" t="s">
        <v>659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120</v>
      </c>
      <c r="Y431" s="542">
        <f t="shared" si="42"/>
        <v>120</v>
      </c>
      <c r="Z431" s="36">
        <f>IFERROR(IF(Y431=0,"",ROUNDUP(Y431/H431,0)*0.00902),"")</f>
        <v>0.22550000000000001</v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172.75000000000003</v>
      </c>
      <c r="BN431" s="64">
        <f t="shared" si="45"/>
        <v>172.75000000000003</v>
      </c>
      <c r="BO431" s="64">
        <f t="shared" si="46"/>
        <v>0.18939393939393939</v>
      </c>
      <c r="BP431" s="64">
        <f t="shared" si="47"/>
        <v>0.18939393939393939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94.318181818181813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95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1.0244800000000001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480</v>
      </c>
      <c r="Y433" s="543">
        <f>IFERROR(SUM(Y421:Y431),"0")</f>
        <v>483.36</v>
      </c>
      <c r="Z433" s="37"/>
      <c r="AA433" s="544"/>
      <c r="AB433" s="544"/>
      <c r="AC433" s="544"/>
    </row>
    <row r="434" spans="1:68" ht="14.25" customHeight="1" x14ac:dyDescent="0.25">
      <c r="A434" s="559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100</v>
      </c>
      <c r="Y435" s="542">
        <f>IFERROR(IF(X435="",0,CEILING((X435/$H435),1)*$H435),"")</f>
        <v>100.32000000000001</v>
      </c>
      <c r="Z435" s="36">
        <f>IFERROR(IF(Y435=0,"",ROUNDUP(Y435/H435,0)*0.01196),"")</f>
        <v>0.22724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106.62878787878788</v>
      </c>
      <c r="BN435" s="64">
        <f>IFERROR(Y435*I435/H435,"0")</f>
        <v>106.97</v>
      </c>
      <c r="BO435" s="64">
        <f>IFERROR(1/J435*(X435/H435),"0")</f>
        <v>0.18210955710955709</v>
      </c>
      <c r="BP435" s="64">
        <f>IFERROR(1/J435*(Y435/H435),"0")</f>
        <v>0.18269230769230771</v>
      </c>
    </row>
    <row r="436" spans="1:68" ht="16.5" customHeight="1" x14ac:dyDescent="0.25">
      <c r="A436" s="54" t="s">
        <v>668</v>
      </c>
      <c r="B436" s="54" t="s">
        <v>669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670</v>
      </c>
      <c r="B437" s="54" t="s">
        <v>671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18.939393939393938</v>
      </c>
      <c r="Y438" s="543">
        <f>IFERROR(Y435/H435,"0")+IFERROR(Y436/H436,"0")+IFERROR(Y437/H437,"0")</f>
        <v>19</v>
      </c>
      <c r="Z438" s="543">
        <f>IFERROR(IF(Z435="",0,Z435),"0")+IFERROR(IF(Z436="",0,Z436),"0")+IFERROR(IF(Z437="",0,Z437),"0")</f>
        <v>0.22724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100</v>
      </c>
      <c r="Y439" s="543">
        <f>IFERROR(SUM(Y435:Y437),"0")</f>
        <v>100.32000000000001</v>
      </c>
      <c r="Z439" s="37"/>
      <c r="AA439" s="544"/>
      <c r="AB439" s="544"/>
      <c r="AC439" s="544"/>
    </row>
    <row r="440" spans="1:68" ht="14.25" customHeight="1" x14ac:dyDescent="0.25">
      <c r="A440" s="559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50</v>
      </c>
      <c r="Y441" s="542">
        <f t="shared" ref="Y441:Y446" si="48">IFERROR(IF(X441="",0,CEILING((X441/$H441),1)*$H441),"")</f>
        <v>52.800000000000004</v>
      </c>
      <c r="Z441" s="36">
        <f>IFERROR(IF(Y441=0,"",ROUNDUP(Y441/H441,0)*0.01196),"")</f>
        <v>0.1196</v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53.314393939393938</v>
      </c>
      <c r="BN441" s="64">
        <f t="shared" ref="BN441:BN446" si="50">IFERROR(Y441*I441/H441,"0")</f>
        <v>56.3</v>
      </c>
      <c r="BO441" s="64">
        <f t="shared" ref="BO441:BO446" si="51">IFERROR(1/J441*(X441/H441),"0")</f>
        <v>9.1054778554778545E-2</v>
      </c>
      <c r="BP441" s="64">
        <f t="shared" ref="BP441:BP446" si="52">IFERROR(1/J441*(Y441/H441),"0")</f>
        <v>9.6153846153846159E-2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100</v>
      </c>
      <c r="Y442" s="542">
        <f t="shared" si="48"/>
        <v>100.32000000000001</v>
      </c>
      <c r="Z442" s="36">
        <f>IFERROR(IF(Y442=0,"",ROUNDUP(Y442/H442,0)*0.01196),"")</f>
        <v>0.22724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106.62878787878788</v>
      </c>
      <c r="BN442" s="64">
        <f t="shared" si="50"/>
        <v>106.97</v>
      </c>
      <c r="BO442" s="64">
        <f t="shared" si="51"/>
        <v>0.18210955710955709</v>
      </c>
      <c r="BP442" s="64">
        <f t="shared" si="52"/>
        <v>0.18269230769230771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120</v>
      </c>
      <c r="Y443" s="542">
        <f t="shared" si="48"/>
        <v>121.44000000000001</v>
      </c>
      <c r="Z443" s="36">
        <f>IFERROR(IF(Y443=0,"",ROUNDUP(Y443/H443,0)*0.01196),"")</f>
        <v>0.27507999999999999</v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127.95454545454545</v>
      </c>
      <c r="BN443" s="64">
        <f t="shared" si="50"/>
        <v>129.49</v>
      </c>
      <c r="BO443" s="64">
        <f t="shared" si="51"/>
        <v>0.21853146853146854</v>
      </c>
      <c r="BP443" s="64">
        <f t="shared" si="52"/>
        <v>0.22115384615384617</v>
      </c>
    </row>
    <row r="444" spans="1:68" ht="27" customHeight="1" x14ac:dyDescent="0.25">
      <c r="A444" s="54" t="s">
        <v>681</v>
      </c>
      <c r="B444" s="54" t="s">
        <v>682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 t="s">
        <v>110</v>
      </c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48</v>
      </c>
      <c r="Y444" s="542">
        <f t="shared" si="48"/>
        <v>48</v>
      </c>
      <c r="Z444" s="36">
        <f>IFERROR(IF(Y444=0,"",ROUNDUP(Y444/H444,0)*0.00902),"")</f>
        <v>9.0200000000000002E-2</v>
      </c>
      <c r="AA444" s="56"/>
      <c r="AB444" s="57"/>
      <c r="AC444" s="495" t="s">
        <v>674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69.100000000000009</v>
      </c>
      <c r="BN444" s="64">
        <f t="shared" si="50"/>
        <v>69.100000000000009</v>
      </c>
      <c r="BO444" s="64">
        <f t="shared" si="51"/>
        <v>7.575757575757576E-2</v>
      </c>
      <c r="BP444" s="64">
        <f t="shared" si="52"/>
        <v>7.575757575757576E-2</v>
      </c>
    </row>
    <row r="445" spans="1:68" ht="27" customHeight="1" x14ac:dyDescent="0.25">
      <c r="A445" s="54" t="s">
        <v>683</v>
      </c>
      <c r="B445" s="54" t="s">
        <v>684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 t="s">
        <v>110</v>
      </c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685</v>
      </c>
      <c r="B446" s="54" t="s">
        <v>686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 t="s">
        <v>110</v>
      </c>
      <c r="M446" s="33" t="s">
        <v>68</v>
      </c>
      <c r="N446" s="33"/>
      <c r="O446" s="32">
        <v>70</v>
      </c>
      <c r="P446" s="7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60</v>
      </c>
      <c r="Y446" s="542">
        <f t="shared" si="48"/>
        <v>62.4</v>
      </c>
      <c r="Z446" s="36">
        <f>IFERROR(IF(Y446=0,"",ROUNDUP(Y446/H446,0)*0.00902),"")</f>
        <v>0.11726</v>
      </c>
      <c r="AA446" s="56"/>
      <c r="AB446" s="57"/>
      <c r="AC446" s="499" t="s">
        <v>680</v>
      </c>
      <c r="AG446" s="64"/>
      <c r="AJ446" s="68" t="s">
        <v>106</v>
      </c>
      <c r="AK446" s="68">
        <v>57.6</v>
      </c>
      <c r="BB446" s="500" t="s">
        <v>1</v>
      </c>
      <c r="BM446" s="64">
        <f t="shared" si="49"/>
        <v>83.375</v>
      </c>
      <c r="BN446" s="64">
        <f t="shared" si="50"/>
        <v>86.71</v>
      </c>
      <c r="BO446" s="64">
        <f t="shared" si="51"/>
        <v>9.4696969696969696E-2</v>
      </c>
      <c r="BP446" s="64">
        <f t="shared" si="52"/>
        <v>9.8484848484848481E-2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73.636363636363626</v>
      </c>
      <c r="Y447" s="543">
        <f>IFERROR(Y441/H441,"0")+IFERROR(Y442/H442,"0")+IFERROR(Y443/H443,"0")+IFERROR(Y444/H444,"0")+IFERROR(Y445/H445,"0")+IFERROR(Y446/H446,"0")</f>
        <v>75</v>
      </c>
      <c r="Z447" s="543">
        <f>IFERROR(IF(Z441="",0,Z441),"0")+IFERROR(IF(Z442="",0,Z442),"0")+IFERROR(IF(Z443="",0,Z443),"0")+IFERROR(IF(Z444="",0,Z444),"0")+IFERROR(IF(Z445="",0,Z445),"0")+IFERROR(IF(Z446="",0,Z446),"0")</f>
        <v>0.82938000000000012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378</v>
      </c>
      <c r="Y448" s="543">
        <f>IFERROR(SUM(Y441:Y446),"0")</f>
        <v>384.96</v>
      </c>
      <c r="Z448" s="37"/>
      <c r="AA448" s="544"/>
      <c r="AB448" s="544"/>
      <c r="AC448" s="544"/>
    </row>
    <row r="449" spans="1:68" ht="14.25" customHeight="1" x14ac:dyDescent="0.25">
      <c r="A449" s="559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687</v>
      </c>
      <c r="B450" s="54" t="s">
        <v>688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690</v>
      </c>
      <c r="B451" s="54" t="s">
        <v>691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693</v>
      </c>
      <c r="B452" s="54" t="s">
        <v>694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696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8" t="s">
        <v>696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9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697</v>
      </c>
      <c r="B458" s="54" t="s">
        <v>698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9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708</v>
      </c>
      <c r="B465" s="54" t="s">
        <v>709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6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9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717</v>
      </c>
      <c r="B471" s="54" t="s">
        <v>718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720</v>
      </c>
      <c r="B472" s="54" t="s">
        <v>721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4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9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1200</v>
      </c>
      <c r="Y476" s="542">
        <f>IFERROR(IF(X476="",0,CEILING((X476/$H476),1)*$H476),"")</f>
        <v>1206</v>
      </c>
      <c r="Z476" s="36">
        <f>IFERROR(IF(Y476=0,"",ROUNDUP(Y476/H476,0)*0.01898),"")</f>
        <v>2.54332</v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1265.8666666666666</v>
      </c>
      <c r="BN476" s="64">
        <f>IFERROR(Y476*I476/H476,"0")</f>
        <v>1272.1959999999999</v>
      </c>
      <c r="BO476" s="64">
        <f>IFERROR(1/J476*(X476/H476),"0")</f>
        <v>2.0833333333333335</v>
      </c>
      <c r="BP476" s="64">
        <f>IFERROR(1/J476*(Y476/H476),"0")</f>
        <v>2.09375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133.33333333333334</v>
      </c>
      <c r="Y477" s="543">
        <f>IFERROR(Y476/H476,"0")</f>
        <v>134</v>
      </c>
      <c r="Z477" s="543">
        <f>IFERROR(IF(Z476="",0,Z476),"0")</f>
        <v>2.54332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1200</v>
      </c>
      <c r="Y478" s="543">
        <f>IFERROR(SUM(Y476:Y476),"0")</f>
        <v>1206</v>
      </c>
      <c r="Z478" s="37"/>
      <c r="AA478" s="544"/>
      <c r="AB478" s="544"/>
      <c r="AC478" s="544"/>
    </row>
    <row r="479" spans="1:68" ht="14.25" customHeight="1" x14ac:dyDescent="0.25">
      <c r="A479" s="559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726</v>
      </c>
      <c r="B480" s="54" t="s">
        <v>727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729</v>
      </c>
      <c r="B481" s="54" t="s">
        <v>730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732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9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733</v>
      </c>
      <c r="B486" s="54" t="s">
        <v>734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2"/>
      <c r="P489" s="627" t="s">
        <v>736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17484.599999999999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17661.599999999999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2"/>
      <c r="P490" s="627" t="s">
        <v>737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18665.672478968449</v>
      </c>
      <c r="Y490" s="543">
        <f>IFERROR(SUM(BN22:BN486),"0")</f>
        <v>18853.994000000002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2"/>
      <c r="P491" s="627" t="s">
        <v>738</v>
      </c>
      <c r="Q491" s="628"/>
      <c r="R491" s="628"/>
      <c r="S491" s="628"/>
      <c r="T491" s="628"/>
      <c r="U491" s="628"/>
      <c r="V491" s="629"/>
      <c r="W491" s="37" t="s">
        <v>739</v>
      </c>
      <c r="X491" s="38">
        <f>ROUNDUP(SUM(BO22:BO486),0)</f>
        <v>32</v>
      </c>
      <c r="Y491" s="38">
        <f>ROUNDUP(SUM(BP22:BP486),0)</f>
        <v>32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2"/>
      <c r="P492" s="627" t="s">
        <v>740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19465.672478968449</v>
      </c>
      <c r="Y492" s="543">
        <f>GrossWeightTotalR+PalletQtyTotalR*25</f>
        <v>19653.994000000002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2"/>
      <c r="P493" s="627" t="s">
        <v>741</v>
      </c>
      <c r="Q493" s="628"/>
      <c r="R493" s="628"/>
      <c r="S493" s="628"/>
      <c r="T493" s="628"/>
      <c r="U493" s="628"/>
      <c r="V493" s="629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3883.1846651645501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3916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2"/>
      <c r="P494" s="627" t="s">
        <v>742</v>
      </c>
      <c r="Q494" s="628"/>
      <c r="R494" s="628"/>
      <c r="S494" s="628"/>
      <c r="T494" s="628"/>
      <c r="U494" s="628"/>
      <c r="V494" s="629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36.767130000000002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54"/>
      <c r="E496" s="654"/>
      <c r="F496" s="654"/>
      <c r="G496" s="654"/>
      <c r="H496" s="622"/>
      <c r="I496" s="592" t="s">
        <v>250</v>
      </c>
      <c r="J496" s="654"/>
      <c r="K496" s="654"/>
      <c r="L496" s="654"/>
      <c r="M496" s="654"/>
      <c r="N496" s="654"/>
      <c r="O496" s="654"/>
      <c r="P496" s="654"/>
      <c r="Q496" s="654"/>
      <c r="R496" s="622"/>
      <c r="S496" s="592" t="s">
        <v>530</v>
      </c>
      <c r="T496" s="622"/>
      <c r="U496" s="592" t="s">
        <v>585</v>
      </c>
      <c r="V496" s="654"/>
      <c r="W496" s="622"/>
      <c r="X496" s="538" t="s">
        <v>636</v>
      </c>
      <c r="Y496" s="592" t="s">
        <v>696</v>
      </c>
      <c r="Z496" s="622"/>
      <c r="AB496" s="52"/>
      <c r="AC496" s="52"/>
      <c r="AF496" s="539"/>
    </row>
    <row r="497" spans="1:32" ht="14.25" customHeight="1" thickTop="1" x14ac:dyDescent="0.2">
      <c r="A497" s="835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189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348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793.80000000000007</v>
      </c>
      <c r="E499" s="46">
        <f>IFERROR(Y85*1,"0")+IFERROR(Y86*1,"0")+IFERROR(Y87*1,"0")+IFERROR(Y91*1,"0")+IFERROR(Y92*1,"0")+IFERROR(Y93*1,"0")+IFERROR(Y94*1,"0")</f>
        <v>1443.6000000000001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875.16</v>
      </c>
      <c r="G499" s="46">
        <f>IFERROR(Y124*1,"0")+IFERROR(Y125*1,"0")+IFERROR(Y129*1,"0")+IFERROR(Y130*1,"0")+IFERROR(Y134*1,"0")+IFERROR(Y135*1,"0")</f>
        <v>200.72000000000003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738.78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2104.5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213.5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280.79999999999995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1549.5000000000002</v>
      </c>
      <c r="R499" s="46">
        <f>IFERROR(Y334*1,"0")+IFERROR(Y335*1,"0")+IFERROR(Y336*1,"0")</f>
        <v>1260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5396</v>
      </c>
      <c r="T499" s="46">
        <f>IFERROR(Y367*1,"0")+IFERROR(Y368*1,"0")+IFERROR(Y372*1,"0")+IFERROR(Y373*1,"0")+IFERROR(Y377*1,"0")+IFERROR(Y378*1,"0")+IFERROR(Y379*1,"0")</f>
        <v>135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107.10000000000001</v>
      </c>
      <c r="V499" s="46">
        <f>IFERROR(Y403*1,"0")+IFERROR(Y407*1,"0")+IFERROR(Y408*1,"0")+IFERROR(Y409*1,"0")+IFERROR(Y410*1,"0")</f>
        <v>10.5</v>
      </c>
      <c r="W499" s="46">
        <f>IFERROR(Y415*1,"0")</f>
        <v>30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968.6400000000001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1206</v>
      </c>
      <c r="Z499" s="46">
        <f>IFERROR(Y486*1,"0")</f>
        <v>0</v>
      </c>
      <c r="AB499" s="52"/>
      <c r="AC499" s="52"/>
      <c r="AF499" s="539"/>
    </row>
  </sheetData>
  <sheetProtection algorithmName="SHA-512" hashValue="9XG4piuF7z+2DaLq/0ucBRRpeL3gxshmTfRN7ygmn1KZZUZeSSn6ATcgGEgLVAulDWDdetrBAl403XAXo5TfaQ==" saltValue="5iju5M58FgT63ilTJ13Ze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T497:T498"/>
    <mergeCell ref="D196:E196"/>
    <mergeCell ref="V497:V498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D373:E373"/>
    <mergeCell ref="D202:E202"/>
    <mergeCell ref="A242:O243"/>
    <mergeCell ref="A179:Z179"/>
    <mergeCell ref="P63:V63"/>
    <mergeCell ref="P174:T174"/>
    <mergeCell ref="A339:Z339"/>
    <mergeCell ref="P410:T410"/>
    <mergeCell ref="P385:T385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P446:T446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D52:E52"/>
    <mergeCell ref="P110:V110"/>
    <mergeCell ref="D27:E27"/>
    <mergeCell ref="P208:T208"/>
    <mergeCell ref="P15:T16"/>
    <mergeCell ref="P450:T450"/>
    <mergeCell ref="D352:E352"/>
    <mergeCell ref="P219:T219"/>
    <mergeCell ref="D91:E91"/>
    <mergeCell ref="D162:E162"/>
    <mergeCell ref="P272:T272"/>
    <mergeCell ref="D327:E327"/>
    <mergeCell ref="P439:V439"/>
    <mergeCell ref="D398:E398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60 X79 X85 X91 X99 X101 X106 X112 X114:X115 X119 X124 X130 X135 X161:X164 X166 X168 X195:X202 X208:X209 X211 X213:X214 X218:X219 X224 X226:X227 X232 X272 X300:X301 X303 X314:X316 X322:X323 X327 X329 X335:X336 X358 X367 X377 X389:X390 X392 X415 X421 X424 X426 X435 X441:X446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w4hH2nPvvheM5r+pYcTmQ2F/JZYTln5nNcAjgAkpR0xOOj80jz36o9WaE0D6vkNQI2wYMmHId8Fgubs7sCURww==" saltValue="m3EuzFJKVv9dJOSFQcg5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2025-12-03T08:18:29Z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