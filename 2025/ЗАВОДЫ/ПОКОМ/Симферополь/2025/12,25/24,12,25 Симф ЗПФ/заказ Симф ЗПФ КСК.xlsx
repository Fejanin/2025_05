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6624B407-571F-4DFA-B566-7A2BF1B4593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Z274" i="1" s="1"/>
  <c r="Y264" i="1"/>
  <c r="P264" i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BO258" i="1"/>
  <c r="BM258" i="1"/>
  <c r="Z258" i="1"/>
  <c r="Y258" i="1"/>
  <c r="P258" i="1"/>
  <c r="Y256" i="1"/>
  <c r="X256" i="1"/>
  <c r="Z255" i="1"/>
  <c r="X255" i="1"/>
  <c r="BO254" i="1"/>
  <c r="BM254" i="1"/>
  <c r="Z254" i="1"/>
  <c r="Y254" i="1"/>
  <c r="P254" i="1"/>
  <c r="BP253" i="1"/>
  <c r="BO253" i="1"/>
  <c r="BN253" i="1"/>
  <c r="BM253" i="1"/>
  <c r="Z253" i="1"/>
  <c r="Y253" i="1"/>
  <c r="Y255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Z250" i="1" s="1"/>
  <c r="Y248" i="1"/>
  <c r="P248" i="1"/>
  <c r="X244" i="1"/>
  <c r="Z243" i="1"/>
  <c r="X243" i="1"/>
  <c r="BO242" i="1"/>
  <c r="BM242" i="1"/>
  <c r="Z242" i="1"/>
  <c r="Y242" i="1"/>
  <c r="P242" i="1"/>
  <c r="Y240" i="1"/>
  <c r="X240" i="1"/>
  <c r="Z239" i="1"/>
  <c r="X239" i="1"/>
  <c r="BO238" i="1"/>
  <c r="BM238" i="1"/>
  <c r="Z238" i="1"/>
  <c r="Y238" i="1"/>
  <c r="P238" i="1"/>
  <c r="X234" i="1"/>
  <c r="Z233" i="1"/>
  <c r="X233" i="1"/>
  <c r="BO232" i="1"/>
  <c r="BM232" i="1"/>
  <c r="Z232" i="1"/>
  <c r="Y232" i="1"/>
  <c r="P232" i="1"/>
  <c r="Y228" i="1"/>
  <c r="X228" i="1"/>
  <c r="Z227" i="1"/>
  <c r="X227" i="1"/>
  <c r="BO226" i="1"/>
  <c r="BM226" i="1"/>
  <c r="Z226" i="1"/>
  <c r="Y226" i="1"/>
  <c r="P226" i="1"/>
  <c r="X222" i="1"/>
  <c r="X221" i="1"/>
  <c r="BO220" i="1"/>
  <c r="BM220" i="1"/>
  <c r="Z220" i="1"/>
  <c r="Y220" i="1"/>
  <c r="P220" i="1"/>
  <c r="BP219" i="1"/>
  <c r="BO219" i="1"/>
  <c r="BN219" i="1"/>
  <c r="BM219" i="1"/>
  <c r="Z219" i="1"/>
  <c r="Z221" i="1" s="1"/>
  <c r="Y219" i="1"/>
  <c r="P219" i="1"/>
  <c r="X217" i="1"/>
  <c r="Y216" i="1"/>
  <c r="X216" i="1"/>
  <c r="BP215" i="1"/>
  <c r="BO215" i="1"/>
  <c r="BN215" i="1"/>
  <c r="BM215" i="1"/>
  <c r="Z215" i="1"/>
  <c r="Z216" i="1" s="1"/>
  <c r="Y215" i="1"/>
  <c r="Y217" i="1" s="1"/>
  <c r="P215" i="1"/>
  <c r="X212" i="1"/>
  <c r="Y211" i="1"/>
  <c r="X211" i="1"/>
  <c r="BP210" i="1"/>
  <c r="BO210" i="1"/>
  <c r="BN210" i="1"/>
  <c r="BM210" i="1"/>
  <c r="Z210" i="1"/>
  <c r="Z211" i="1" s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P173" i="1"/>
  <c r="BO173" i="1"/>
  <c r="BN173" i="1"/>
  <c r="BM173" i="1"/>
  <c r="Z173" i="1"/>
  <c r="Z175" i="1" s="1"/>
  <c r="Y173" i="1"/>
  <c r="P173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Z146" i="1"/>
  <c r="Y146" i="1"/>
  <c r="P146" i="1"/>
  <c r="Y143" i="1"/>
  <c r="X143" i="1"/>
  <c r="Z142" i="1"/>
  <c r="X142" i="1"/>
  <c r="BO141" i="1"/>
  <c r="BM141" i="1"/>
  <c r="Z141" i="1"/>
  <c r="Y141" i="1"/>
  <c r="P141" i="1"/>
  <c r="BP140" i="1"/>
  <c r="BO140" i="1"/>
  <c r="BN140" i="1"/>
  <c r="BM140" i="1"/>
  <c r="Z140" i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X126" i="1"/>
  <c r="BO125" i="1"/>
  <c r="BM125" i="1"/>
  <c r="Z125" i="1"/>
  <c r="Y125" i="1"/>
  <c r="BP125" i="1" s="1"/>
  <c r="P125" i="1"/>
  <c r="BP124" i="1"/>
  <c r="BO124" i="1"/>
  <c r="BN124" i="1"/>
  <c r="BM124" i="1"/>
  <c r="Z124" i="1"/>
  <c r="Z126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76" i="1" s="1"/>
  <c r="X28" i="1"/>
  <c r="X280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X277" i="1" s="1"/>
  <c r="Z23" i="1"/>
  <c r="Y23" i="1"/>
  <c r="BP23" i="1" s="1"/>
  <c r="P23" i="1"/>
  <c r="BP22" i="1"/>
  <c r="BO22" i="1"/>
  <c r="X278" i="1" s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X279" i="1" l="1"/>
  <c r="Y29" i="1"/>
  <c r="Y34" i="1"/>
  <c r="Y280" i="1" s="1"/>
  <c r="Y42" i="1"/>
  <c r="Y49" i="1"/>
  <c r="Y56" i="1"/>
  <c r="Y71" i="1"/>
  <c r="Y77" i="1"/>
  <c r="Y82" i="1"/>
  <c r="Y94" i="1"/>
  <c r="Y103" i="1"/>
  <c r="Y110" i="1"/>
  <c r="Y121" i="1"/>
  <c r="Y127" i="1"/>
  <c r="Y131" i="1"/>
  <c r="Y136" i="1"/>
  <c r="Y149" i="1"/>
  <c r="BP146" i="1"/>
  <c r="BN146" i="1"/>
  <c r="Y148" i="1"/>
  <c r="BP174" i="1"/>
  <c r="BN174" i="1"/>
  <c r="BP197" i="1"/>
  <c r="BN197" i="1"/>
  <c r="BP199" i="1"/>
  <c r="BN199" i="1"/>
  <c r="Y201" i="1"/>
  <c r="BP220" i="1"/>
  <c r="BN220" i="1"/>
  <c r="Y233" i="1"/>
  <c r="BP232" i="1"/>
  <c r="BN232" i="1"/>
  <c r="Y243" i="1"/>
  <c r="BP242" i="1"/>
  <c r="BN242" i="1"/>
  <c r="Y261" i="1"/>
  <c r="BP258" i="1"/>
  <c r="BN258" i="1"/>
  <c r="BP260" i="1"/>
  <c r="BN260" i="1"/>
  <c r="H9" i="1"/>
  <c r="BN23" i="1"/>
  <c r="Y277" i="1" s="1"/>
  <c r="BN25" i="1"/>
  <c r="BN27" i="1"/>
  <c r="BN32" i="1"/>
  <c r="BP32" i="1"/>
  <c r="Y278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BP141" i="1"/>
  <c r="BN141" i="1"/>
  <c r="Z148" i="1"/>
  <c r="Z281" i="1" s="1"/>
  <c r="Y175" i="1"/>
  <c r="Y176" i="1"/>
  <c r="Y183" i="1"/>
  <c r="BP180" i="1"/>
  <c r="BN180" i="1"/>
  <c r="BP182" i="1"/>
  <c r="BN182" i="1"/>
  <c r="Y202" i="1"/>
  <c r="Y221" i="1"/>
  <c r="Y222" i="1"/>
  <c r="Y227" i="1"/>
  <c r="BP226" i="1"/>
  <c r="BN226" i="1"/>
  <c r="Y234" i="1"/>
  <c r="Y239" i="1"/>
  <c r="BP238" i="1"/>
  <c r="BN238" i="1"/>
  <c r="Y244" i="1"/>
  <c r="Y251" i="1"/>
  <c r="BP248" i="1"/>
  <c r="BN248" i="1"/>
  <c r="Y250" i="1"/>
  <c r="BP254" i="1"/>
  <c r="BN254" i="1"/>
  <c r="Y262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Y279" i="1" l="1"/>
  <c r="C289" i="1"/>
  <c r="Y276" i="1"/>
  <c r="B289" i="1" s="1"/>
  <c r="A289" i="1"/>
</calcChain>
</file>

<file path=xl/sharedStrings.xml><?xml version="1.0" encoding="utf-8"?>
<sst xmlns="http://schemas.openxmlformats.org/spreadsheetml/2006/main" count="1246" uniqueCount="399">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</sst>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2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topLeftCell="A268" zoomScaleNormal="100" zoomScaleSheetLayoutView="100" workbookViewId="0">
      <selection activeCell="AA282" sqref="AA282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29" t="s">
        <v>0</v>
      </c>
      <c r="E1" s="303"/>
      <c r="F1" s="303"/>
      <c r="G1" s="12" t="s">
        <v>1</v>
      </c>
      <c r="H1" s="329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57" t="s">
        <v>7</v>
      </c>
      <c r="B5" s="326"/>
      <c r="C5" s="327"/>
      <c r="D5" s="332"/>
      <c r="E5" s="333"/>
      <c r="F5" s="445" t="s">
        <v>8</v>
      </c>
      <c r="G5" s="327"/>
      <c r="H5" s="332"/>
      <c r="I5" s="418"/>
      <c r="J5" s="418"/>
      <c r="K5" s="418"/>
      <c r="L5" s="418"/>
      <c r="M5" s="333"/>
      <c r="N5" s="61"/>
      <c r="P5" s="24" t="s">
        <v>9</v>
      </c>
      <c r="Q5" s="451">
        <v>46017</v>
      </c>
      <c r="R5" s="355"/>
      <c r="T5" s="381" t="s">
        <v>10</v>
      </c>
      <c r="U5" s="296"/>
      <c r="V5" s="382" t="s">
        <v>11</v>
      </c>
      <c r="W5" s="355"/>
      <c r="AB5" s="51"/>
      <c r="AC5" s="51"/>
      <c r="AD5" s="51"/>
      <c r="AE5" s="51"/>
    </row>
    <row r="6" spans="1:32" s="269" customFormat="1" ht="24" customHeight="1" x14ac:dyDescent="0.2">
      <c r="A6" s="357" t="s">
        <v>12</v>
      </c>
      <c r="B6" s="326"/>
      <c r="C6" s="327"/>
      <c r="D6" s="420" t="s">
        <v>13</v>
      </c>
      <c r="E6" s="421"/>
      <c r="F6" s="421"/>
      <c r="G6" s="421"/>
      <c r="H6" s="421"/>
      <c r="I6" s="421"/>
      <c r="J6" s="421"/>
      <c r="K6" s="421"/>
      <c r="L6" s="421"/>
      <c r="M6" s="35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Пятница</v>
      </c>
      <c r="R6" s="277"/>
      <c r="T6" s="386" t="s">
        <v>15</v>
      </c>
      <c r="U6" s="296"/>
      <c r="V6" s="408" t="s">
        <v>16</v>
      </c>
      <c r="W6" s="310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14" t="str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3"/>
      <c r="U7" s="296"/>
      <c r="V7" s="409"/>
      <c r="W7" s="410"/>
      <c r="AB7" s="51"/>
      <c r="AC7" s="51"/>
      <c r="AD7" s="51"/>
      <c r="AE7" s="51"/>
    </row>
    <row r="8" spans="1:32" s="269" customFormat="1" ht="25.5" customHeight="1" x14ac:dyDescent="0.2">
      <c r="A8" s="462" t="s">
        <v>17</v>
      </c>
      <c r="B8" s="284"/>
      <c r="C8" s="285"/>
      <c r="D8" s="322" t="s">
        <v>18</v>
      </c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4">
        <v>0.375</v>
      </c>
      <c r="R8" s="316"/>
      <c r="T8" s="293"/>
      <c r="U8" s="296"/>
      <c r="V8" s="409"/>
      <c r="W8" s="410"/>
      <c r="AB8" s="51"/>
      <c r="AC8" s="51"/>
      <c r="AD8" s="51"/>
      <c r="AE8" s="51"/>
    </row>
    <row r="9" spans="1:32" s="269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87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86" t="str">
        <f>IF(AND($A$9="Тип доверенности/получателя при получении в адресе перегруза:",$D$9="Разовая доверенность"),"Введите ФИО","")</f>
        <v/>
      </c>
      <c r="I9" s="287"/>
      <c r="J9" s="2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7"/>
      <c r="L9" s="287"/>
      <c r="M9" s="287"/>
      <c r="N9" s="270"/>
      <c r="P9" s="26" t="s">
        <v>20</v>
      </c>
      <c r="Q9" s="352"/>
      <c r="R9" s="353"/>
      <c r="T9" s="293"/>
      <c r="U9" s="29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87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0" t="str">
        <f>IFERROR(VLOOKUP($D$10,Proxy,2,FALSE),"")</f>
        <v/>
      </c>
      <c r="I10" s="293"/>
      <c r="J10" s="293"/>
      <c r="K10" s="293"/>
      <c r="L10" s="293"/>
      <c r="M10" s="293"/>
      <c r="N10" s="268"/>
      <c r="P10" s="26" t="s">
        <v>21</v>
      </c>
      <c r="Q10" s="387"/>
      <c r="R10" s="388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4"/>
      <c r="R11" s="355"/>
      <c r="U11" s="24" t="s">
        <v>26</v>
      </c>
      <c r="V11" s="428" t="s">
        <v>27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379" t="s">
        <v>28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7"/>
      <c r="N12" s="65"/>
      <c r="P12" s="24" t="s">
        <v>29</v>
      </c>
      <c r="Q12" s="364"/>
      <c r="R12" s="316"/>
      <c r="S12" s="23"/>
      <c r="U12" s="24"/>
      <c r="V12" s="303"/>
      <c r="W12" s="293"/>
      <c r="AB12" s="51"/>
      <c r="AC12" s="51"/>
      <c r="AD12" s="51"/>
      <c r="AE12" s="51"/>
    </row>
    <row r="13" spans="1:32" s="269" customFormat="1" ht="23.25" customHeight="1" x14ac:dyDescent="0.2">
      <c r="A13" s="379" t="s">
        <v>30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7"/>
      <c r="N13" s="65"/>
      <c r="O13" s="26"/>
      <c r="P13" s="26" t="s">
        <v>31</v>
      </c>
      <c r="Q13" s="428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379" t="s">
        <v>32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393" t="s">
        <v>33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7"/>
      <c r="N15" s="66"/>
      <c r="P15" s="37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66" t="s">
        <v>37</v>
      </c>
      <c r="D17" s="306" t="s">
        <v>38</v>
      </c>
      <c r="E17" s="345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44"/>
      <c r="R17" s="344"/>
      <c r="S17" s="344"/>
      <c r="T17" s="345"/>
      <c r="U17" s="459" t="s">
        <v>50</v>
      </c>
      <c r="V17" s="327"/>
      <c r="W17" s="306" t="s">
        <v>51</v>
      </c>
      <c r="X17" s="306" t="s">
        <v>52</v>
      </c>
      <c r="Y17" s="460" t="s">
        <v>53</v>
      </c>
      <c r="Z17" s="416" t="s">
        <v>54</v>
      </c>
      <c r="AA17" s="401" t="s">
        <v>55</v>
      </c>
      <c r="AB17" s="401" t="s">
        <v>56</v>
      </c>
      <c r="AC17" s="401" t="s">
        <v>57</v>
      </c>
      <c r="AD17" s="401" t="s">
        <v>58</v>
      </c>
      <c r="AE17" s="440"/>
      <c r="AF17" s="441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46"/>
      <c r="E18" s="348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46"/>
      <c r="Q18" s="347"/>
      <c r="R18" s="347"/>
      <c r="S18" s="347"/>
      <c r="T18" s="348"/>
      <c r="U18" s="70" t="s">
        <v>60</v>
      </c>
      <c r="V18" s="70" t="s">
        <v>61</v>
      </c>
      <c r="W18" s="307"/>
      <c r="X18" s="307"/>
      <c r="Y18" s="461"/>
      <c r="Z18" s="417"/>
      <c r="AA18" s="402"/>
      <c r="AB18" s="402"/>
      <c r="AC18" s="402"/>
      <c r="AD18" s="442"/>
      <c r="AE18" s="443"/>
      <c r="AF18" s="444"/>
      <c r="AG18" s="69"/>
      <c r="BD18" s="68"/>
    </row>
    <row r="19" spans="1:68" ht="27.75" customHeight="1" x14ac:dyDescent="0.2">
      <c r="A19" s="288" t="s">
        <v>62</v>
      </c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48"/>
      <c r="AB19" s="48"/>
      <c r="AC19" s="48"/>
    </row>
    <row r="20" spans="1:68" ht="16.5" customHeight="1" x14ac:dyDescent="0.25">
      <c r="A20" s="292" t="s">
        <v>62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7"/>
      <c r="AB20" s="267"/>
      <c r="AC20" s="267"/>
    </row>
    <row r="21" spans="1:68" ht="14.25" customHeight="1" x14ac:dyDescent="0.25">
      <c r="A21" s="313" t="s">
        <v>63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7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8"/>
      <c r="P28" s="283" t="s">
        <v>82</v>
      </c>
      <c r="Q28" s="284"/>
      <c r="R28" s="284"/>
      <c r="S28" s="284"/>
      <c r="T28" s="284"/>
      <c r="U28" s="284"/>
      <c r="V28" s="285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8"/>
      <c r="P29" s="283" t="s">
        <v>82</v>
      </c>
      <c r="Q29" s="284"/>
      <c r="R29" s="284"/>
      <c r="S29" s="284"/>
      <c r="T29" s="284"/>
      <c r="U29" s="284"/>
      <c r="V29" s="285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customHeight="1" x14ac:dyDescent="0.25">
      <c r="A30" s="292" t="s">
        <v>84</v>
      </c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67"/>
      <c r="AB30" s="267"/>
      <c r="AC30" s="267"/>
    </row>
    <row r="31" spans="1:68" ht="14.25" customHeight="1" x14ac:dyDescent="0.25">
      <c r="A31" s="313" t="s">
        <v>63</v>
      </c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7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8"/>
      <c r="P34" s="283" t="s">
        <v>82</v>
      </c>
      <c r="Q34" s="284"/>
      <c r="R34" s="284"/>
      <c r="S34" s="284"/>
      <c r="T34" s="284"/>
      <c r="U34" s="284"/>
      <c r="V34" s="285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8"/>
      <c r="P35" s="283" t="s">
        <v>82</v>
      </c>
      <c r="Q35" s="284"/>
      <c r="R35" s="284"/>
      <c r="S35" s="284"/>
      <c r="T35" s="284"/>
      <c r="U35" s="284"/>
      <c r="V35" s="285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8" t="s">
        <v>90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48"/>
      <c r="AB36" s="48"/>
      <c r="AC36" s="48"/>
    </row>
    <row r="37" spans="1:68" ht="16.5" customHeight="1" x14ac:dyDescent="0.25">
      <c r="A37" s="292" t="s">
        <v>91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67"/>
      <c r="AB37" s="267"/>
      <c r="AC37" s="267"/>
    </row>
    <row r="38" spans="1:68" ht="14.25" customHeight="1" x14ac:dyDescent="0.25">
      <c r="A38" s="313" t="s">
        <v>92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7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8"/>
      <c r="P41" s="283" t="s">
        <v>82</v>
      </c>
      <c r="Q41" s="284"/>
      <c r="R41" s="284"/>
      <c r="S41" s="284"/>
      <c r="T41" s="284"/>
      <c r="U41" s="284"/>
      <c r="V41" s="285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93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8"/>
      <c r="P42" s="283" t="s">
        <v>82</v>
      </c>
      <c r="Q42" s="284"/>
      <c r="R42" s="284"/>
      <c r="S42" s="284"/>
      <c r="T42" s="284"/>
      <c r="U42" s="284"/>
      <c r="V42" s="285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customHeight="1" x14ac:dyDescent="0.25">
      <c r="A43" s="292" t="s">
        <v>102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7"/>
      <c r="AB43" s="267"/>
      <c r="AC43" s="267"/>
    </row>
    <row r="44" spans="1:68" ht="14.25" customHeight="1" x14ac:dyDescent="0.25">
      <c r="A44" s="313" t="s">
        <v>63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24</v>
      </c>
      <c r="Y46" s="273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7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8"/>
      <c r="P48" s="283" t="s">
        <v>82</v>
      </c>
      <c r="Q48" s="284"/>
      <c r="R48" s="284"/>
      <c r="S48" s="284"/>
      <c r="T48" s="284"/>
      <c r="U48" s="284"/>
      <c r="V48" s="285"/>
      <c r="W48" s="37" t="s">
        <v>69</v>
      </c>
      <c r="X48" s="274">
        <f>IFERROR(SUM(X45:X47),"0")</f>
        <v>24</v>
      </c>
      <c r="Y48" s="274">
        <f>IFERROR(SUM(Y45:Y47),"0")</f>
        <v>24</v>
      </c>
      <c r="Z48" s="274">
        <f>IFERROR(IF(Z45="",0,Z45),"0")+IFERROR(IF(Z46="",0,Z46),"0")+IFERROR(IF(Z47="",0,Z47),"0")</f>
        <v>0.372</v>
      </c>
      <c r="AA48" s="275"/>
      <c r="AB48" s="275"/>
      <c r="AC48" s="275"/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8"/>
      <c r="P49" s="283" t="s">
        <v>82</v>
      </c>
      <c r="Q49" s="284"/>
      <c r="R49" s="284"/>
      <c r="S49" s="284"/>
      <c r="T49" s="284"/>
      <c r="U49" s="284"/>
      <c r="V49" s="285"/>
      <c r="W49" s="37" t="s">
        <v>83</v>
      </c>
      <c r="X49" s="274">
        <f>IFERROR(SUMPRODUCT(X45:X47*H45:H47),"0")</f>
        <v>134.39999999999998</v>
      </c>
      <c r="Y49" s="274">
        <f>IFERROR(SUMPRODUCT(Y45:Y47*H45:H47),"0")</f>
        <v>134.39999999999998</v>
      </c>
      <c r="Z49" s="37"/>
      <c r="AA49" s="275"/>
      <c r="AB49" s="275"/>
      <c r="AC49" s="275"/>
    </row>
    <row r="50" spans="1:68" ht="16.5" customHeight="1" x14ac:dyDescent="0.25">
      <c r="A50" s="292" t="s">
        <v>114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67"/>
      <c r="AB50" s="267"/>
      <c r="AC50" s="267"/>
    </row>
    <row r="51" spans="1:68" ht="14.25" customHeight="1" x14ac:dyDescent="0.25">
      <c r="A51" s="313" t="s">
        <v>63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60</v>
      </c>
      <c r="Y52" s="273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48</v>
      </c>
      <c r="Y53" s="273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120</v>
      </c>
      <c r="Y55" s="273">
        <f>IFERROR(IF(X55="","",X55),"")</f>
        <v>120</v>
      </c>
      <c r="Z55" s="36">
        <f>IFERROR(IF(X55="","",X55*0.0155),"")</f>
        <v>1.8599999999999999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876</v>
      </c>
      <c r="BN55" s="67">
        <f>IFERROR(Y55*I55,"0")</f>
        <v>876</v>
      </c>
      <c r="BO55" s="67">
        <f>IFERROR(X55/J55,"0")</f>
        <v>1.4285714285714286</v>
      </c>
      <c r="BP55" s="67">
        <f>IFERROR(Y55/J55,"0")</f>
        <v>1.4285714285714286</v>
      </c>
    </row>
    <row r="56" spans="1:68" x14ac:dyDescent="0.2">
      <c r="A56" s="297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8"/>
      <c r="P56" s="283" t="s">
        <v>82</v>
      </c>
      <c r="Q56" s="284"/>
      <c r="R56" s="284"/>
      <c r="S56" s="284"/>
      <c r="T56" s="284"/>
      <c r="U56" s="284"/>
      <c r="V56" s="285"/>
      <c r="W56" s="37" t="s">
        <v>69</v>
      </c>
      <c r="X56" s="274">
        <f>IFERROR(SUM(X52:X55),"0")</f>
        <v>228</v>
      </c>
      <c r="Y56" s="274">
        <f>IFERROR(SUM(Y52:Y55),"0")</f>
        <v>228</v>
      </c>
      <c r="Z56" s="274">
        <f>IFERROR(IF(Z52="",0,Z52),"0")+IFERROR(IF(Z53="",0,Z53),"0")+IFERROR(IF(Z54="",0,Z54),"0")+IFERROR(IF(Z55="",0,Z55),"0")</f>
        <v>3.5339999999999998</v>
      </c>
      <c r="AA56" s="275"/>
      <c r="AB56" s="275"/>
      <c r="AC56" s="275"/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8"/>
      <c r="P57" s="283" t="s">
        <v>82</v>
      </c>
      <c r="Q57" s="284"/>
      <c r="R57" s="284"/>
      <c r="S57" s="284"/>
      <c r="T57" s="284"/>
      <c r="U57" s="284"/>
      <c r="V57" s="285"/>
      <c r="W57" s="37" t="s">
        <v>83</v>
      </c>
      <c r="X57" s="274">
        <f>IFERROR(SUMPRODUCT(X52:X55*H52:H55),"0")</f>
        <v>1596</v>
      </c>
      <c r="Y57" s="274">
        <f>IFERROR(SUMPRODUCT(Y52:Y55*H52:H55),"0")</f>
        <v>1596</v>
      </c>
      <c r="Z57" s="37"/>
      <c r="AA57" s="275"/>
      <c r="AB57" s="275"/>
      <c r="AC57" s="275"/>
    </row>
    <row r="58" spans="1:68" ht="16.5" customHeight="1" x14ac:dyDescent="0.25">
      <c r="A58" s="292" t="s">
        <v>125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67"/>
      <c r="AB58" s="267"/>
      <c r="AC58" s="267"/>
    </row>
    <row r="59" spans="1:68" ht="14.25" customHeight="1" x14ac:dyDescent="0.25">
      <c r="A59" s="313" t="s">
        <v>63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7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8"/>
      <c r="P61" s="283" t="s">
        <v>82</v>
      </c>
      <c r="Q61" s="284"/>
      <c r="R61" s="284"/>
      <c r="S61" s="284"/>
      <c r="T61" s="284"/>
      <c r="U61" s="284"/>
      <c r="V61" s="285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8"/>
      <c r="P62" s="283" t="s">
        <v>82</v>
      </c>
      <c r="Q62" s="284"/>
      <c r="R62" s="284"/>
      <c r="S62" s="284"/>
      <c r="T62" s="284"/>
      <c r="U62" s="284"/>
      <c r="V62" s="285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313" t="s">
        <v>92</v>
      </c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7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8"/>
      <c r="P65" s="283" t="s">
        <v>82</v>
      </c>
      <c r="Q65" s="284"/>
      <c r="R65" s="284"/>
      <c r="S65" s="284"/>
      <c r="T65" s="284"/>
      <c r="U65" s="284"/>
      <c r="V65" s="285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8"/>
      <c r="P66" s="283" t="s">
        <v>82</v>
      </c>
      <c r="Q66" s="284"/>
      <c r="R66" s="284"/>
      <c r="S66" s="284"/>
      <c r="T66" s="284"/>
      <c r="U66" s="284"/>
      <c r="V66" s="285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313" t="s">
        <v>132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7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7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8"/>
      <c r="P70" s="283" t="s">
        <v>82</v>
      </c>
      <c r="Q70" s="284"/>
      <c r="R70" s="284"/>
      <c r="S70" s="284"/>
      <c r="T70" s="284"/>
      <c r="U70" s="284"/>
      <c r="V70" s="285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3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8"/>
      <c r="P71" s="283" t="s">
        <v>82</v>
      </c>
      <c r="Q71" s="284"/>
      <c r="R71" s="284"/>
      <c r="S71" s="284"/>
      <c r="T71" s="284"/>
      <c r="U71" s="284"/>
      <c r="V71" s="285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313" t="s">
        <v>138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28</v>
      </c>
      <c r="Y74" s="273">
        <f>IFERROR(IF(X74="","",X74),"")</f>
        <v>28</v>
      </c>
      <c r="Z74" s="36">
        <f>IFERROR(IF(X74="","",X74*0.00941),"")</f>
        <v>0.26347999999999999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43.68</v>
      </c>
      <c r="BN74" s="67">
        <f>IFERROR(Y74*I74,"0")</f>
        <v>43.68</v>
      </c>
      <c r="BO74" s="67">
        <f>IFERROR(X74/J74,"0")</f>
        <v>0.2</v>
      </c>
      <c r="BP74" s="67">
        <f>IFERROR(Y74/J74,"0")</f>
        <v>0.2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14</v>
      </c>
      <c r="Y75" s="273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97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8"/>
      <c r="P76" s="283" t="s">
        <v>82</v>
      </c>
      <c r="Q76" s="284"/>
      <c r="R76" s="284"/>
      <c r="S76" s="284"/>
      <c r="T76" s="284"/>
      <c r="U76" s="284"/>
      <c r="V76" s="285"/>
      <c r="W76" s="37" t="s">
        <v>69</v>
      </c>
      <c r="X76" s="274">
        <f>IFERROR(SUM(X73:X75),"0")</f>
        <v>42</v>
      </c>
      <c r="Y76" s="274">
        <f>IFERROR(SUM(Y73:Y75),"0")</f>
        <v>42</v>
      </c>
      <c r="Z76" s="274">
        <f>IFERROR(IF(Z73="",0,Z73),"0")+IFERROR(IF(Z74="",0,Z74),"0")+IFERROR(IF(Z75="",0,Z75),"0")</f>
        <v>0.39522000000000002</v>
      </c>
      <c r="AA76" s="275"/>
      <c r="AB76" s="275"/>
      <c r="AC76" s="275"/>
    </row>
    <row r="77" spans="1:68" x14ac:dyDescent="0.2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8"/>
      <c r="P77" s="283" t="s">
        <v>82</v>
      </c>
      <c r="Q77" s="284"/>
      <c r="R77" s="284"/>
      <c r="S77" s="284"/>
      <c r="T77" s="284"/>
      <c r="U77" s="284"/>
      <c r="V77" s="285"/>
      <c r="W77" s="37" t="s">
        <v>83</v>
      </c>
      <c r="X77" s="274">
        <f>IFERROR(SUMPRODUCT(X73:X75*H73:H75),"0")</f>
        <v>50.400000000000006</v>
      </c>
      <c r="Y77" s="274">
        <f>IFERROR(SUMPRODUCT(Y73:Y75*H73:H75),"0")</f>
        <v>50.400000000000006</v>
      </c>
      <c r="Z77" s="37"/>
      <c r="AA77" s="275"/>
      <c r="AB77" s="275"/>
      <c r="AC77" s="275"/>
    </row>
    <row r="78" spans="1:68" ht="16.5" customHeight="1" x14ac:dyDescent="0.25">
      <c r="A78" s="292" t="s">
        <v>146</v>
      </c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67"/>
      <c r="AB78" s="267"/>
      <c r="AC78" s="267"/>
    </row>
    <row r="79" spans="1:68" ht="14.25" customHeight="1" x14ac:dyDescent="0.25">
      <c r="A79" s="313" t="s">
        <v>63</v>
      </c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97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8"/>
      <c r="P82" s="283" t="s">
        <v>82</v>
      </c>
      <c r="Q82" s="284"/>
      <c r="R82" s="284"/>
      <c r="S82" s="284"/>
      <c r="T82" s="284"/>
      <c r="U82" s="284"/>
      <c r="V82" s="285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x14ac:dyDescent="0.2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8"/>
      <c r="P83" s="283" t="s">
        <v>82</v>
      </c>
      <c r="Q83" s="284"/>
      <c r="R83" s="284"/>
      <c r="S83" s="284"/>
      <c r="T83" s="284"/>
      <c r="U83" s="284"/>
      <c r="V83" s="285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customHeight="1" x14ac:dyDescent="0.25">
      <c r="A84" s="292" t="s">
        <v>153</v>
      </c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67"/>
      <c r="AB84" s="267"/>
      <c r="AC84" s="267"/>
    </row>
    <row r="85" spans="1:68" ht="14.25" customHeight="1" x14ac:dyDescent="0.25">
      <c r="A85" s="313" t="s">
        <v>138</v>
      </c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97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8"/>
      <c r="P87" s="283" t="s">
        <v>82</v>
      </c>
      <c r="Q87" s="284"/>
      <c r="R87" s="284"/>
      <c r="S87" s="284"/>
      <c r="T87" s="284"/>
      <c r="U87" s="284"/>
      <c r="V87" s="285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x14ac:dyDescent="0.2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8"/>
      <c r="P88" s="283" t="s">
        <v>82</v>
      </c>
      <c r="Q88" s="284"/>
      <c r="R88" s="284"/>
      <c r="S88" s="284"/>
      <c r="T88" s="284"/>
      <c r="U88" s="284"/>
      <c r="V88" s="285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customHeight="1" x14ac:dyDescent="0.25">
      <c r="A89" s="292" t="s">
        <v>157</v>
      </c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67"/>
      <c r="AB89" s="267"/>
      <c r="AC89" s="267"/>
    </row>
    <row r="90" spans="1:68" ht="14.25" customHeight="1" x14ac:dyDescent="0.25">
      <c r="A90" s="313" t="s">
        <v>158</v>
      </c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28</v>
      </c>
      <c r="Y91" s="273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14</v>
      </c>
      <c r="Y92" s="273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97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8"/>
      <c r="P93" s="283" t="s">
        <v>82</v>
      </c>
      <c r="Q93" s="284"/>
      <c r="R93" s="284"/>
      <c r="S93" s="284"/>
      <c r="T93" s="284"/>
      <c r="U93" s="284"/>
      <c r="V93" s="285"/>
      <c r="W93" s="37" t="s">
        <v>69</v>
      </c>
      <c r="X93" s="274">
        <f>IFERROR(SUM(X91:X92),"0")</f>
        <v>42</v>
      </c>
      <c r="Y93" s="274">
        <f>IFERROR(SUM(Y91:Y92),"0")</f>
        <v>42</v>
      </c>
      <c r="Z93" s="274">
        <f>IFERROR(IF(Z91="",0,Z91),"0")+IFERROR(IF(Z92="",0,Z92),"0")</f>
        <v>0.75095999999999996</v>
      </c>
      <c r="AA93" s="275"/>
      <c r="AB93" s="275"/>
      <c r="AC93" s="275"/>
    </row>
    <row r="94" spans="1:68" x14ac:dyDescent="0.2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8"/>
      <c r="P94" s="283" t="s">
        <v>82</v>
      </c>
      <c r="Q94" s="284"/>
      <c r="R94" s="284"/>
      <c r="S94" s="284"/>
      <c r="T94" s="284"/>
      <c r="U94" s="284"/>
      <c r="V94" s="285"/>
      <c r="W94" s="37" t="s">
        <v>83</v>
      </c>
      <c r="X94" s="274">
        <f>IFERROR(SUMPRODUCT(X91:X92*H91:H92),"0")</f>
        <v>151.19999999999999</v>
      </c>
      <c r="Y94" s="274">
        <f>IFERROR(SUMPRODUCT(Y91:Y92*H91:H92),"0")</f>
        <v>151.19999999999999</v>
      </c>
      <c r="Z94" s="37"/>
      <c r="AA94" s="275"/>
      <c r="AB94" s="275"/>
      <c r="AC94" s="275"/>
    </row>
    <row r="95" spans="1:68" ht="16.5" customHeight="1" x14ac:dyDescent="0.25">
      <c r="A95" s="292" t="s">
        <v>165</v>
      </c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67"/>
      <c r="AB95" s="267"/>
      <c r="AC95" s="267"/>
    </row>
    <row r="96" spans="1:68" ht="14.25" customHeight="1" x14ac:dyDescent="0.25">
      <c r="A96" s="313" t="s">
        <v>138</v>
      </c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14</v>
      </c>
      <c r="Y97" s="273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196</v>
      </c>
      <c r="Y98" s="273">
        <f t="shared" si="6"/>
        <v>196</v>
      </c>
      <c r="Z98" s="36">
        <f t="shared" si="7"/>
        <v>3.50448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702.38560000000007</v>
      </c>
      <c r="BN98" s="67">
        <f t="shared" si="9"/>
        <v>702.38560000000007</v>
      </c>
      <c r="BO98" s="67">
        <f t="shared" si="10"/>
        <v>2.8</v>
      </c>
      <c r="BP98" s="67">
        <f t="shared" si="11"/>
        <v>2.8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168</v>
      </c>
      <c r="Y100" s="273">
        <f t="shared" si="6"/>
        <v>168</v>
      </c>
      <c r="Z100" s="36">
        <f t="shared" si="7"/>
        <v>3.0038399999999998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602.04480000000001</v>
      </c>
      <c r="BN100" s="67">
        <f t="shared" si="9"/>
        <v>602.04480000000001</v>
      </c>
      <c r="BO100" s="67">
        <f t="shared" si="10"/>
        <v>2.4</v>
      </c>
      <c r="BP100" s="67">
        <f t="shared" si="11"/>
        <v>2.4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6">
        <v>4607111035028</v>
      </c>
      <c r="E101" s="277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6">
        <v>4607111036407</v>
      </c>
      <c r="E102" s="277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7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8"/>
      <c r="P103" s="283" t="s">
        <v>82</v>
      </c>
      <c r="Q103" s="284"/>
      <c r="R103" s="284"/>
      <c r="S103" s="284"/>
      <c r="T103" s="284"/>
      <c r="U103" s="284"/>
      <c r="V103" s="285"/>
      <c r="W103" s="37" t="s">
        <v>69</v>
      </c>
      <c r="X103" s="274">
        <f>IFERROR(SUM(X97:X102),"0")</f>
        <v>378</v>
      </c>
      <c r="Y103" s="274">
        <f>IFERROR(SUM(Y97:Y102),"0")</f>
        <v>378</v>
      </c>
      <c r="Z103" s="274">
        <f>IFERROR(IF(Z97="",0,Z97),"0")+IFERROR(IF(Z98="",0,Z98),"0")+IFERROR(IF(Z99="",0,Z99),"0")+IFERROR(IF(Z100="",0,Z100),"0")+IFERROR(IF(Z101="",0,Z101),"0")+IFERROR(IF(Z102="",0,Z102),"0")</f>
        <v>6.7586399999999998</v>
      </c>
      <c r="AA103" s="275"/>
      <c r="AB103" s="275"/>
      <c r="AC103" s="275"/>
    </row>
    <row r="104" spans="1:68" x14ac:dyDescent="0.2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8"/>
      <c r="P104" s="283" t="s">
        <v>82</v>
      </c>
      <c r="Q104" s="284"/>
      <c r="R104" s="284"/>
      <c r="S104" s="284"/>
      <c r="T104" s="284"/>
      <c r="U104" s="284"/>
      <c r="V104" s="285"/>
      <c r="W104" s="37" t="s">
        <v>83</v>
      </c>
      <c r="X104" s="274">
        <f>IFERROR(SUMPRODUCT(X97:X102*H97:H102),"0")</f>
        <v>1088.6400000000001</v>
      </c>
      <c r="Y104" s="274">
        <f>IFERROR(SUMPRODUCT(Y97:Y102*H97:H102),"0")</f>
        <v>1088.6400000000001</v>
      </c>
      <c r="Z104" s="37"/>
      <c r="AA104" s="275"/>
      <c r="AB104" s="275"/>
      <c r="AC104" s="275"/>
    </row>
    <row r="105" spans="1:68" ht="16.5" customHeight="1" x14ac:dyDescent="0.25">
      <c r="A105" s="292" t="s">
        <v>180</v>
      </c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67"/>
      <c r="AB105" s="267"/>
      <c r="AC105" s="267"/>
    </row>
    <row r="106" spans="1:68" ht="14.25" customHeight="1" x14ac:dyDescent="0.25">
      <c r="A106" s="313" t="s">
        <v>132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6">
        <v>4607025784012</v>
      </c>
      <c r="E107" s="277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9"/>
      <c r="R107" s="279"/>
      <c r="S107" s="279"/>
      <c r="T107" s="280"/>
      <c r="U107" s="34"/>
      <c r="V107" s="34"/>
      <c r="W107" s="35" t="s">
        <v>69</v>
      </c>
      <c r="X107" s="272">
        <v>0</v>
      </c>
      <c r="Y107" s="273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6">
        <v>4607025784319</v>
      </c>
      <c r="E108" s="277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7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8"/>
      <c r="P109" s="283" t="s">
        <v>82</v>
      </c>
      <c r="Q109" s="284"/>
      <c r="R109" s="284"/>
      <c r="S109" s="284"/>
      <c r="T109" s="284"/>
      <c r="U109" s="284"/>
      <c r="V109" s="285"/>
      <c r="W109" s="37" t="s">
        <v>69</v>
      </c>
      <c r="X109" s="274">
        <f>IFERROR(SUM(X107:X108),"0")</f>
        <v>0</v>
      </c>
      <c r="Y109" s="274">
        <f>IFERROR(SUM(Y107:Y108),"0")</f>
        <v>0</v>
      </c>
      <c r="Z109" s="274">
        <f>IFERROR(IF(Z107="",0,Z107),"0")+IFERROR(IF(Z108="",0,Z108),"0")</f>
        <v>0</v>
      </c>
      <c r="AA109" s="275"/>
      <c r="AB109" s="275"/>
      <c r="AC109" s="275"/>
    </row>
    <row r="110" spans="1:68" x14ac:dyDescent="0.2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8"/>
      <c r="P110" s="283" t="s">
        <v>82</v>
      </c>
      <c r="Q110" s="284"/>
      <c r="R110" s="284"/>
      <c r="S110" s="284"/>
      <c r="T110" s="284"/>
      <c r="U110" s="284"/>
      <c r="V110" s="285"/>
      <c r="W110" s="37" t="s">
        <v>83</v>
      </c>
      <c r="X110" s="274">
        <f>IFERROR(SUMPRODUCT(X107:X108*H107:H108),"0")</f>
        <v>0</v>
      </c>
      <c r="Y110" s="274">
        <f>IFERROR(SUMPRODUCT(Y107:Y108*H107:H108),"0")</f>
        <v>0</v>
      </c>
      <c r="Z110" s="37"/>
      <c r="AA110" s="275"/>
      <c r="AB110" s="275"/>
      <c r="AC110" s="275"/>
    </row>
    <row r="111" spans="1:68" ht="16.5" customHeight="1" x14ac:dyDescent="0.25">
      <c r="A111" s="292" t="s">
        <v>186</v>
      </c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67"/>
      <c r="AB111" s="267"/>
      <c r="AC111" s="267"/>
    </row>
    <row r="112" spans="1:68" ht="14.25" customHeight="1" x14ac:dyDescent="0.25">
      <c r="A112" s="313" t="s">
        <v>63</v>
      </c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6">
        <v>4620207491157</v>
      </c>
      <c r="E113" s="277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4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9"/>
      <c r="R113" s="279"/>
      <c r="S113" s="279"/>
      <c r="T113" s="280"/>
      <c r="U113" s="34"/>
      <c r="V113" s="34"/>
      <c r="W113" s="35" t="s">
        <v>69</v>
      </c>
      <c r="X113" s="272">
        <v>60</v>
      </c>
      <c r="Y113" s="273">
        <f t="shared" ref="Y113:Y120" si="12">IFERROR(IF(X113="","",X113),"")</f>
        <v>60</v>
      </c>
      <c r="Z113" s="36">
        <f t="shared" ref="Z113:Z120" si="13">IFERROR(IF(X113="","",X113*0.0155),"")</f>
        <v>0.92999999999999994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436.8</v>
      </c>
      <c r="BN113" s="67">
        <f t="shared" ref="BN113:BN120" si="15">IFERROR(Y113*I113,"0")</f>
        <v>436.8</v>
      </c>
      <c r="BO113" s="67">
        <f t="shared" ref="BO113:BO120" si="16">IFERROR(X113/J113,"0")</f>
        <v>0.7142857142857143</v>
      </c>
      <c r="BP113" s="67">
        <f t="shared" ref="BP113:BP120" si="17">IFERROR(Y113/J113,"0")</f>
        <v>0.7142857142857143</v>
      </c>
    </row>
    <row r="114" spans="1:68" ht="27" customHeight="1" x14ac:dyDescent="0.25">
      <c r="A114" s="54" t="s">
        <v>190</v>
      </c>
      <c r="B114" s="54" t="s">
        <v>191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6">
        <v>4607111039262</v>
      </c>
      <c r="E115" s="277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24</v>
      </c>
      <c r="Y115" s="273">
        <f t="shared" si="12"/>
        <v>24</v>
      </c>
      <c r="Z115" s="36">
        <f t="shared" si="13"/>
        <v>0.372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6">
        <v>4607111039248</v>
      </c>
      <c r="E116" s="277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180</v>
      </c>
      <c r="Y116" s="273">
        <f t="shared" si="12"/>
        <v>180</v>
      </c>
      <c r="Z116" s="36">
        <f t="shared" si="13"/>
        <v>2.79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1314</v>
      </c>
      <c r="BN116" s="67">
        <f t="shared" si="15"/>
        <v>1314</v>
      </c>
      <c r="BO116" s="67">
        <f t="shared" si="16"/>
        <v>2.1428571428571428</v>
      </c>
      <c r="BP116" s="67">
        <f t="shared" si="17"/>
        <v>2.1428571428571428</v>
      </c>
    </row>
    <row r="117" spans="1:68" ht="27" customHeight="1" x14ac:dyDescent="0.25">
      <c r="A117" s="54" t="s">
        <v>197</v>
      </c>
      <c r="B117" s="54" t="s">
        <v>198</v>
      </c>
      <c r="C117" s="31">
        <v>4301070979</v>
      </c>
      <c r="D117" s="276">
        <v>4607111037145</v>
      </c>
      <c r="E117" s="277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6">
        <v>4607111039293</v>
      </c>
      <c r="E118" s="277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36</v>
      </c>
      <c r="Y118" s="273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6">
        <v>4607111039279</v>
      </c>
      <c r="E119" s="277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288</v>
      </c>
      <c r="Y119" s="273">
        <f t="shared" si="12"/>
        <v>288</v>
      </c>
      <c r="Z119" s="36">
        <f t="shared" si="13"/>
        <v>4.4640000000000004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2102.4</v>
      </c>
      <c r="BN119" s="67">
        <f t="shared" si="15"/>
        <v>2102.4</v>
      </c>
      <c r="BO119" s="67">
        <f t="shared" si="16"/>
        <v>3.4285714285714284</v>
      </c>
      <c r="BP119" s="67">
        <f t="shared" si="17"/>
        <v>3.4285714285714284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6">
        <v>4620207491102</v>
      </c>
      <c r="E120" s="277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24</v>
      </c>
      <c r="Y120" s="273">
        <f t="shared" si="12"/>
        <v>24</v>
      </c>
      <c r="Z120" s="36">
        <f t="shared" si="13"/>
        <v>0.372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173.52</v>
      </c>
      <c r="BN120" s="67">
        <f t="shared" si="15"/>
        <v>173.52</v>
      </c>
      <c r="BO120" s="67">
        <f t="shared" si="16"/>
        <v>0.2857142857142857</v>
      </c>
      <c r="BP120" s="67">
        <f t="shared" si="17"/>
        <v>0.2857142857142857</v>
      </c>
    </row>
    <row r="121" spans="1:68" x14ac:dyDescent="0.2">
      <c r="A121" s="297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8"/>
      <c r="P121" s="283" t="s">
        <v>82</v>
      </c>
      <c r="Q121" s="284"/>
      <c r="R121" s="284"/>
      <c r="S121" s="284"/>
      <c r="T121" s="284"/>
      <c r="U121" s="284"/>
      <c r="V121" s="285"/>
      <c r="W121" s="37" t="s">
        <v>69</v>
      </c>
      <c r="X121" s="274">
        <f>IFERROR(SUM(X113:X120),"0")</f>
        <v>612</v>
      </c>
      <c r="Y121" s="274">
        <f>IFERROR(SUM(Y113:Y120),"0")</f>
        <v>612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9.4860000000000007</v>
      </c>
      <c r="AA121" s="275"/>
      <c r="AB121" s="275"/>
      <c r="AC121" s="275"/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8"/>
      <c r="P122" s="283" t="s">
        <v>82</v>
      </c>
      <c r="Q122" s="284"/>
      <c r="R122" s="284"/>
      <c r="S122" s="284"/>
      <c r="T122" s="284"/>
      <c r="U122" s="284"/>
      <c r="V122" s="285"/>
      <c r="W122" s="37" t="s">
        <v>83</v>
      </c>
      <c r="X122" s="274">
        <f>IFERROR(SUMPRODUCT(X113:X120*H113:H120),"0")</f>
        <v>4248</v>
      </c>
      <c r="Y122" s="274">
        <f>IFERROR(SUMPRODUCT(Y113:Y120*H113:H120),"0")</f>
        <v>4248</v>
      </c>
      <c r="Z122" s="37"/>
      <c r="AA122" s="275"/>
      <c r="AB122" s="275"/>
      <c r="AC122" s="275"/>
    </row>
    <row r="123" spans="1:68" ht="14.25" customHeight="1" x14ac:dyDescent="0.25">
      <c r="A123" s="313" t="s">
        <v>138</v>
      </c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66"/>
      <c r="AB123" s="266"/>
      <c r="AC123" s="266"/>
    </row>
    <row r="124" spans="1:68" ht="27" customHeight="1" x14ac:dyDescent="0.25">
      <c r="A124" s="54" t="s">
        <v>207</v>
      </c>
      <c r="B124" s="54" t="s">
        <v>208</v>
      </c>
      <c r="C124" s="31">
        <v>4301135670</v>
      </c>
      <c r="D124" s="276">
        <v>4620207490983</v>
      </c>
      <c r="E124" s="277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9"/>
      <c r="R124" s="279"/>
      <c r="S124" s="279"/>
      <c r="T124" s="280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2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7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8"/>
      <c r="P126" s="283" t="s">
        <v>82</v>
      </c>
      <c r="Q126" s="284"/>
      <c r="R126" s="284"/>
      <c r="S126" s="284"/>
      <c r="T126" s="284"/>
      <c r="U126" s="284"/>
      <c r="V126" s="285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8"/>
      <c r="P127" s="283" t="s">
        <v>82</v>
      </c>
      <c r="Q127" s="284"/>
      <c r="R127" s="284"/>
      <c r="S127" s="284"/>
      <c r="T127" s="284"/>
      <c r="U127" s="284"/>
      <c r="V127" s="285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customHeight="1" x14ac:dyDescent="0.25">
      <c r="A128" s="313" t="s">
        <v>213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66"/>
      <c r="AB128" s="266"/>
      <c r="AC128" s="266"/>
    </row>
    <row r="129" spans="1:68" ht="27" customHeight="1" x14ac:dyDescent="0.25">
      <c r="A129" s="54" t="s">
        <v>214</v>
      </c>
      <c r="B129" s="54" t="s">
        <v>215</v>
      </c>
      <c r="C129" s="31">
        <v>4301071094</v>
      </c>
      <c r="D129" s="276">
        <v>4620207491140</v>
      </c>
      <c r="E129" s="277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9"/>
      <c r="R129" s="279"/>
      <c r="S129" s="279"/>
      <c r="T129" s="280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7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8"/>
      <c r="P130" s="283" t="s">
        <v>82</v>
      </c>
      <c r="Q130" s="284"/>
      <c r="R130" s="284"/>
      <c r="S130" s="284"/>
      <c r="T130" s="284"/>
      <c r="U130" s="284"/>
      <c r="V130" s="285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8"/>
      <c r="P131" s="283" t="s">
        <v>82</v>
      </c>
      <c r="Q131" s="284"/>
      <c r="R131" s="284"/>
      <c r="S131" s="284"/>
      <c r="T131" s="284"/>
      <c r="U131" s="284"/>
      <c r="V131" s="285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customHeight="1" x14ac:dyDescent="0.25">
      <c r="A132" s="292" t="s">
        <v>217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67"/>
      <c r="AB132" s="267"/>
      <c r="AC132" s="267"/>
    </row>
    <row r="133" spans="1:68" ht="14.25" customHeight="1" x14ac:dyDescent="0.25">
      <c r="A133" s="313" t="s">
        <v>138</v>
      </c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6">
        <v>4607111034014</v>
      </c>
      <c r="E134" s="277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9"/>
      <c r="R134" s="279"/>
      <c r="S134" s="279"/>
      <c r="T134" s="280"/>
      <c r="U134" s="34"/>
      <c r="V134" s="34"/>
      <c r="W134" s="35" t="s">
        <v>69</v>
      </c>
      <c r="X134" s="272">
        <v>196</v>
      </c>
      <c r="Y134" s="273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6">
        <v>4607111033994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238</v>
      </c>
      <c r="Y135" s="273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97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8"/>
      <c r="P136" s="283" t="s">
        <v>82</v>
      </c>
      <c r="Q136" s="284"/>
      <c r="R136" s="284"/>
      <c r="S136" s="284"/>
      <c r="T136" s="284"/>
      <c r="U136" s="284"/>
      <c r="V136" s="285"/>
      <c r="W136" s="37" t="s">
        <v>69</v>
      </c>
      <c r="X136" s="274">
        <f>IFERROR(SUM(X134:X135),"0")</f>
        <v>434</v>
      </c>
      <c r="Y136" s="274">
        <f>IFERROR(SUM(Y134:Y135),"0")</f>
        <v>434</v>
      </c>
      <c r="Z136" s="274">
        <f>IFERROR(IF(Z134="",0,Z134),"0")+IFERROR(IF(Z135="",0,Z135),"0")</f>
        <v>7.7599200000000002</v>
      </c>
      <c r="AA136" s="275"/>
      <c r="AB136" s="275"/>
      <c r="AC136" s="275"/>
    </row>
    <row r="137" spans="1:68" x14ac:dyDescent="0.2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8"/>
      <c r="P137" s="283" t="s">
        <v>82</v>
      </c>
      <c r="Q137" s="284"/>
      <c r="R137" s="284"/>
      <c r="S137" s="284"/>
      <c r="T137" s="284"/>
      <c r="U137" s="284"/>
      <c r="V137" s="285"/>
      <c r="W137" s="37" t="s">
        <v>83</v>
      </c>
      <c r="X137" s="274">
        <f>IFERROR(SUMPRODUCT(X134:X135*H134:H135),"0")</f>
        <v>1302</v>
      </c>
      <c r="Y137" s="274">
        <f>IFERROR(SUMPRODUCT(Y134:Y135*H134:H135),"0")</f>
        <v>1302</v>
      </c>
      <c r="Z137" s="37"/>
      <c r="AA137" s="275"/>
      <c r="AB137" s="275"/>
      <c r="AC137" s="275"/>
    </row>
    <row r="138" spans="1:68" ht="16.5" customHeight="1" x14ac:dyDescent="0.25">
      <c r="A138" s="292" t="s">
        <v>223</v>
      </c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67"/>
      <c r="AB138" s="267"/>
      <c r="AC138" s="267"/>
    </row>
    <row r="139" spans="1:68" ht="14.25" customHeight="1" x14ac:dyDescent="0.25">
      <c r="A139" s="313" t="s">
        <v>138</v>
      </c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6">
        <v>4607111039095</v>
      </c>
      <c r="E140" s="277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8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9"/>
      <c r="R140" s="279"/>
      <c r="S140" s="279"/>
      <c r="T140" s="280"/>
      <c r="U140" s="34"/>
      <c r="V140" s="34"/>
      <c r="W140" s="35" t="s">
        <v>69</v>
      </c>
      <c r="X140" s="272">
        <v>14</v>
      </c>
      <c r="Y140" s="273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6">
        <v>4607111034199</v>
      </c>
      <c r="E141" s="277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112</v>
      </c>
      <c r="Y141" s="273">
        <f>IFERROR(IF(X141="","",X141),"")</f>
        <v>112</v>
      </c>
      <c r="Z141" s="36">
        <f>IFERROR(IF(X141="","",X141*0.01788),"")</f>
        <v>2.0025599999999999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414.80319999999995</v>
      </c>
      <c r="BN141" s="67">
        <f>IFERROR(Y141*I141,"0")</f>
        <v>414.80319999999995</v>
      </c>
      <c r="BO141" s="67">
        <f>IFERROR(X141/J141,"0")</f>
        <v>1.6</v>
      </c>
      <c r="BP141" s="67">
        <f>IFERROR(Y141/J141,"0")</f>
        <v>1.6</v>
      </c>
    </row>
    <row r="142" spans="1:68" x14ac:dyDescent="0.2">
      <c r="A142" s="297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8"/>
      <c r="P142" s="283" t="s">
        <v>82</v>
      </c>
      <c r="Q142" s="284"/>
      <c r="R142" s="284"/>
      <c r="S142" s="284"/>
      <c r="T142" s="284"/>
      <c r="U142" s="284"/>
      <c r="V142" s="285"/>
      <c r="W142" s="37" t="s">
        <v>69</v>
      </c>
      <c r="X142" s="274">
        <f>IFERROR(SUM(X140:X141),"0")</f>
        <v>126</v>
      </c>
      <c r="Y142" s="274">
        <f>IFERROR(SUM(Y140:Y141),"0")</f>
        <v>126</v>
      </c>
      <c r="Z142" s="274">
        <f>IFERROR(IF(Z140="",0,Z140),"0")+IFERROR(IF(Z141="",0,Z141),"0")</f>
        <v>2.2528799999999998</v>
      </c>
      <c r="AA142" s="275"/>
      <c r="AB142" s="275"/>
      <c r="AC142" s="275"/>
    </row>
    <row r="143" spans="1:68" x14ac:dyDescent="0.2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8"/>
      <c r="P143" s="283" t="s">
        <v>82</v>
      </c>
      <c r="Q143" s="284"/>
      <c r="R143" s="284"/>
      <c r="S143" s="284"/>
      <c r="T143" s="284"/>
      <c r="U143" s="284"/>
      <c r="V143" s="285"/>
      <c r="W143" s="37" t="s">
        <v>83</v>
      </c>
      <c r="X143" s="274">
        <f>IFERROR(SUMPRODUCT(X140:X141*H140:H141),"0")</f>
        <v>378</v>
      </c>
      <c r="Y143" s="274">
        <f>IFERROR(SUMPRODUCT(Y140:Y141*H140:H141),"0")</f>
        <v>378</v>
      </c>
      <c r="Z143" s="37"/>
      <c r="AA143" s="275"/>
      <c r="AB143" s="275"/>
      <c r="AC143" s="275"/>
    </row>
    <row r="144" spans="1:68" ht="16.5" customHeight="1" x14ac:dyDescent="0.25">
      <c r="A144" s="292" t="s">
        <v>230</v>
      </c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67"/>
      <c r="AB144" s="267"/>
      <c r="AC144" s="267"/>
    </row>
    <row r="145" spans="1:68" ht="14.25" customHeight="1" x14ac:dyDescent="0.25">
      <c r="A145" s="313" t="s">
        <v>138</v>
      </c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6">
        <v>4620207490914</v>
      </c>
      <c r="E146" s="277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9"/>
      <c r="R146" s="279"/>
      <c r="S146" s="279"/>
      <c r="T146" s="280"/>
      <c r="U146" s="34"/>
      <c r="V146" s="34"/>
      <c r="W146" s="35" t="s">
        <v>69</v>
      </c>
      <c r="X146" s="272">
        <v>14</v>
      </c>
      <c r="Y146" s="273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6">
        <v>4620207490853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98</v>
      </c>
      <c r="Y147" s="273">
        <f>IFERROR(IF(X147="","",X147),"")</f>
        <v>98</v>
      </c>
      <c r="Z147" s="36">
        <f>IFERROR(IF(X147="","",X147*0.01788),"")</f>
        <v>1.75224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262.64000000000004</v>
      </c>
      <c r="BN147" s="67">
        <f>IFERROR(Y147*I147,"0")</f>
        <v>262.64000000000004</v>
      </c>
      <c r="BO147" s="67">
        <f>IFERROR(X147/J147,"0")</f>
        <v>1.4</v>
      </c>
      <c r="BP147" s="67">
        <f>IFERROR(Y147/J147,"0")</f>
        <v>1.4</v>
      </c>
    </row>
    <row r="148" spans="1:68" x14ac:dyDescent="0.2">
      <c r="A148" s="297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8"/>
      <c r="P148" s="283" t="s">
        <v>82</v>
      </c>
      <c r="Q148" s="284"/>
      <c r="R148" s="284"/>
      <c r="S148" s="284"/>
      <c r="T148" s="284"/>
      <c r="U148" s="284"/>
      <c r="V148" s="285"/>
      <c r="W148" s="37" t="s">
        <v>69</v>
      </c>
      <c r="X148" s="274">
        <f>IFERROR(SUM(X146:X147),"0")</f>
        <v>112</v>
      </c>
      <c r="Y148" s="274">
        <f>IFERROR(SUM(Y146:Y147),"0")</f>
        <v>112</v>
      </c>
      <c r="Z148" s="274">
        <f>IFERROR(IF(Z146="",0,Z146),"0")+IFERROR(IF(Z147="",0,Z147),"0")</f>
        <v>2.0025599999999999</v>
      </c>
      <c r="AA148" s="275"/>
      <c r="AB148" s="275"/>
      <c r="AC148" s="275"/>
    </row>
    <row r="149" spans="1:68" x14ac:dyDescent="0.2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8"/>
      <c r="P149" s="283" t="s">
        <v>82</v>
      </c>
      <c r="Q149" s="284"/>
      <c r="R149" s="284"/>
      <c r="S149" s="284"/>
      <c r="T149" s="284"/>
      <c r="U149" s="284"/>
      <c r="V149" s="285"/>
      <c r="W149" s="37" t="s">
        <v>83</v>
      </c>
      <c r="X149" s="274">
        <f>IFERROR(SUMPRODUCT(X146:X147*H146:H147),"0")</f>
        <v>268.8</v>
      </c>
      <c r="Y149" s="274">
        <f>IFERROR(SUMPRODUCT(Y146:Y147*H146:H147),"0")</f>
        <v>268.8</v>
      </c>
      <c r="Z149" s="37"/>
      <c r="AA149" s="275"/>
      <c r="AB149" s="275"/>
      <c r="AC149" s="275"/>
    </row>
    <row r="150" spans="1:68" ht="16.5" customHeight="1" x14ac:dyDescent="0.25">
      <c r="A150" s="292" t="s">
        <v>235</v>
      </c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67"/>
      <c r="AB150" s="267"/>
      <c r="AC150" s="267"/>
    </row>
    <row r="151" spans="1:68" ht="14.25" customHeight="1" x14ac:dyDescent="0.25">
      <c r="A151" s="313" t="s">
        <v>138</v>
      </c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6">
        <v>4607111035806</v>
      </c>
      <c r="E152" s="277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9"/>
      <c r="R152" s="279"/>
      <c r="S152" s="279"/>
      <c r="T152" s="280"/>
      <c r="U152" s="34"/>
      <c r="V152" s="34"/>
      <c r="W152" s="35" t="s">
        <v>69</v>
      </c>
      <c r="X152" s="272">
        <v>0</v>
      </c>
      <c r="Y152" s="273">
        <f>IFERROR(IF(X152="","",X152),"")</f>
        <v>0</v>
      </c>
      <c r="Z152" s="36">
        <f>IFERROR(IF(X152="","",X152*0.01788),"")</f>
        <v>0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297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8"/>
      <c r="P153" s="283" t="s">
        <v>82</v>
      </c>
      <c r="Q153" s="284"/>
      <c r="R153" s="284"/>
      <c r="S153" s="284"/>
      <c r="T153" s="284"/>
      <c r="U153" s="284"/>
      <c r="V153" s="285"/>
      <c r="W153" s="37" t="s">
        <v>69</v>
      </c>
      <c r="X153" s="274">
        <f>IFERROR(SUM(X152:X152),"0")</f>
        <v>0</v>
      </c>
      <c r="Y153" s="274">
        <f>IFERROR(SUM(Y152:Y152),"0")</f>
        <v>0</v>
      </c>
      <c r="Z153" s="274">
        <f>IFERROR(IF(Z152="",0,Z152),"0")</f>
        <v>0</v>
      </c>
      <c r="AA153" s="275"/>
      <c r="AB153" s="275"/>
      <c r="AC153" s="275"/>
    </row>
    <row r="154" spans="1:68" x14ac:dyDescent="0.2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8"/>
      <c r="P154" s="283" t="s">
        <v>82</v>
      </c>
      <c r="Q154" s="284"/>
      <c r="R154" s="284"/>
      <c r="S154" s="284"/>
      <c r="T154" s="284"/>
      <c r="U154" s="284"/>
      <c r="V154" s="285"/>
      <c r="W154" s="37" t="s">
        <v>83</v>
      </c>
      <c r="X154" s="274">
        <f>IFERROR(SUMPRODUCT(X152:X152*H152:H152),"0")</f>
        <v>0</v>
      </c>
      <c r="Y154" s="274">
        <f>IFERROR(SUMPRODUCT(Y152:Y152*H152:H152),"0")</f>
        <v>0</v>
      </c>
      <c r="Z154" s="37"/>
      <c r="AA154" s="275"/>
      <c r="AB154" s="275"/>
      <c r="AC154" s="275"/>
    </row>
    <row r="155" spans="1:68" ht="16.5" customHeight="1" x14ac:dyDescent="0.25">
      <c r="A155" s="292" t="s">
        <v>239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67"/>
      <c r="AB155" s="267"/>
      <c r="AC155" s="267"/>
    </row>
    <row r="156" spans="1:68" ht="14.25" customHeight="1" x14ac:dyDescent="0.25">
      <c r="A156" s="313" t="s">
        <v>138</v>
      </c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6">
        <v>4607111039613</v>
      </c>
      <c r="E157" s="277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30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9"/>
      <c r="R157" s="279"/>
      <c r="S157" s="279"/>
      <c r="T157" s="280"/>
      <c r="U157" s="34"/>
      <c r="V157" s="34"/>
      <c r="W157" s="35" t="s">
        <v>69</v>
      </c>
      <c r="X157" s="272">
        <v>14</v>
      </c>
      <c r="Y157" s="273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97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8"/>
      <c r="P158" s="283" t="s">
        <v>82</v>
      </c>
      <c r="Q158" s="284"/>
      <c r="R158" s="284"/>
      <c r="S158" s="284"/>
      <c r="T158" s="284"/>
      <c r="U158" s="284"/>
      <c r="V158" s="285"/>
      <c r="W158" s="37" t="s">
        <v>69</v>
      </c>
      <c r="X158" s="274">
        <f>IFERROR(SUM(X157:X157),"0")</f>
        <v>14</v>
      </c>
      <c r="Y158" s="274">
        <f>IFERROR(SUM(Y157:Y157),"0")</f>
        <v>14</v>
      </c>
      <c r="Z158" s="274">
        <f>IFERROR(IF(Z157="",0,Z157),"0")</f>
        <v>0.13103999999999999</v>
      </c>
      <c r="AA158" s="275"/>
      <c r="AB158" s="275"/>
      <c r="AC158" s="275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8"/>
      <c r="P159" s="283" t="s">
        <v>82</v>
      </c>
      <c r="Q159" s="284"/>
      <c r="R159" s="284"/>
      <c r="S159" s="284"/>
      <c r="T159" s="284"/>
      <c r="U159" s="284"/>
      <c r="V159" s="285"/>
      <c r="W159" s="37" t="s">
        <v>83</v>
      </c>
      <c r="X159" s="274">
        <f>IFERROR(SUMPRODUCT(X157:X157*H157:H157),"0")</f>
        <v>37.800000000000004</v>
      </c>
      <c r="Y159" s="274">
        <f>IFERROR(SUMPRODUCT(Y157:Y157*H157:H157),"0")</f>
        <v>37.800000000000004</v>
      </c>
      <c r="Z159" s="37"/>
      <c r="AA159" s="275"/>
      <c r="AB159" s="275"/>
      <c r="AC159" s="275"/>
    </row>
    <row r="160" spans="1:68" ht="16.5" customHeight="1" x14ac:dyDescent="0.25">
      <c r="A160" s="292" t="s">
        <v>242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67"/>
      <c r="AB160" s="267"/>
      <c r="AC160" s="267"/>
    </row>
    <row r="161" spans="1:68" ht="14.25" customHeight="1" x14ac:dyDescent="0.25">
      <c r="A161" s="313" t="s">
        <v>213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66"/>
      <c r="AB161" s="266"/>
      <c r="AC161" s="266"/>
    </row>
    <row r="162" spans="1:68" ht="27" customHeight="1" x14ac:dyDescent="0.25">
      <c r="A162" s="54" t="s">
        <v>243</v>
      </c>
      <c r="B162" s="54" t="s">
        <v>244</v>
      </c>
      <c r="C162" s="31">
        <v>4301135540</v>
      </c>
      <c r="D162" s="276">
        <v>4607111035646</v>
      </c>
      <c r="E162" s="277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9"/>
      <c r="R162" s="279"/>
      <c r="S162" s="279"/>
      <c r="T162" s="280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7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8"/>
      <c r="P163" s="283" t="s">
        <v>82</v>
      </c>
      <c r="Q163" s="284"/>
      <c r="R163" s="284"/>
      <c r="S163" s="284"/>
      <c r="T163" s="284"/>
      <c r="U163" s="284"/>
      <c r="V163" s="285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8"/>
      <c r="P164" s="283" t="s">
        <v>82</v>
      </c>
      <c r="Q164" s="284"/>
      <c r="R164" s="284"/>
      <c r="S164" s="284"/>
      <c r="T164" s="284"/>
      <c r="U164" s="284"/>
      <c r="V164" s="285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customHeight="1" x14ac:dyDescent="0.25">
      <c r="A165" s="292" t="s">
        <v>247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67"/>
      <c r="AB165" s="267"/>
      <c r="AC165" s="267"/>
    </row>
    <row r="166" spans="1:68" ht="14.25" customHeight="1" x14ac:dyDescent="0.25">
      <c r="A166" s="313" t="s">
        <v>138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66"/>
      <c r="AB166" s="266"/>
      <c r="AC166" s="266"/>
    </row>
    <row r="167" spans="1:68" ht="27" customHeight="1" x14ac:dyDescent="0.25">
      <c r="A167" s="54" t="s">
        <v>248</v>
      </c>
      <c r="B167" s="54" t="s">
        <v>249</v>
      </c>
      <c r="C167" s="31">
        <v>4301135591</v>
      </c>
      <c r="D167" s="276">
        <v>4607111036568</v>
      </c>
      <c r="E167" s="277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6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9"/>
      <c r="R167" s="279"/>
      <c r="S167" s="279"/>
      <c r="T167" s="280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7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8"/>
      <c r="P168" s="283" t="s">
        <v>82</v>
      </c>
      <c r="Q168" s="284"/>
      <c r="R168" s="284"/>
      <c r="S168" s="284"/>
      <c r="T168" s="284"/>
      <c r="U168" s="284"/>
      <c r="V168" s="285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8"/>
      <c r="P169" s="283" t="s">
        <v>82</v>
      </c>
      <c r="Q169" s="284"/>
      <c r="R169" s="284"/>
      <c r="S169" s="284"/>
      <c r="T169" s="284"/>
      <c r="U169" s="284"/>
      <c r="V169" s="285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customHeight="1" x14ac:dyDescent="0.2">
      <c r="A170" s="288" t="s">
        <v>251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48"/>
      <c r="AB170" s="48"/>
      <c r="AC170" s="48"/>
    </row>
    <row r="171" spans="1:68" ht="16.5" customHeight="1" x14ac:dyDescent="0.25">
      <c r="A171" s="292" t="s">
        <v>252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67"/>
      <c r="AB171" s="267"/>
      <c r="AC171" s="267"/>
    </row>
    <row r="172" spans="1:68" ht="14.25" customHeight="1" x14ac:dyDescent="0.25">
      <c r="A172" s="313" t="s">
        <v>63</v>
      </c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66"/>
      <c r="AB172" s="266"/>
      <c r="AC172" s="266"/>
    </row>
    <row r="173" spans="1:68" ht="16.5" customHeight="1" x14ac:dyDescent="0.25">
      <c r="A173" s="54" t="s">
        <v>253</v>
      </c>
      <c r="B173" s="54" t="s">
        <v>254</v>
      </c>
      <c r="C173" s="31">
        <v>4301071062</v>
      </c>
      <c r="D173" s="276">
        <v>4607111036384</v>
      </c>
      <c r="E173" s="277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9"/>
      <c r="R173" s="279"/>
      <c r="S173" s="279"/>
      <c r="T173" s="280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6">
        <v>4607111036216</v>
      </c>
      <c r="E174" s="277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48</v>
      </c>
      <c r="Y174" s="273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97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8"/>
      <c r="P175" s="283" t="s">
        <v>82</v>
      </c>
      <c r="Q175" s="284"/>
      <c r="R175" s="284"/>
      <c r="S175" s="284"/>
      <c r="T175" s="284"/>
      <c r="U175" s="284"/>
      <c r="V175" s="285"/>
      <c r="W175" s="37" t="s">
        <v>69</v>
      </c>
      <c r="X175" s="274">
        <f>IFERROR(SUM(X173:X174),"0")</f>
        <v>48</v>
      </c>
      <c r="Y175" s="274">
        <f>IFERROR(SUM(Y173:Y174),"0")</f>
        <v>48</v>
      </c>
      <c r="Z175" s="274">
        <f>IFERROR(IF(Z173="",0,Z173),"0")+IFERROR(IF(Z174="",0,Z174),"0")</f>
        <v>0.41567999999999994</v>
      </c>
      <c r="AA175" s="275"/>
      <c r="AB175" s="275"/>
      <c r="AC175" s="275"/>
    </row>
    <row r="176" spans="1:68" x14ac:dyDescent="0.2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8"/>
      <c r="P176" s="283" t="s">
        <v>82</v>
      </c>
      <c r="Q176" s="284"/>
      <c r="R176" s="284"/>
      <c r="S176" s="284"/>
      <c r="T176" s="284"/>
      <c r="U176" s="284"/>
      <c r="V176" s="285"/>
      <c r="W176" s="37" t="s">
        <v>83</v>
      </c>
      <c r="X176" s="274">
        <f>IFERROR(SUMPRODUCT(X173:X174*H173:H174),"0")</f>
        <v>240</v>
      </c>
      <c r="Y176" s="274">
        <f>IFERROR(SUMPRODUCT(Y173:Y174*H173:H174),"0")</f>
        <v>240</v>
      </c>
      <c r="Z176" s="37"/>
      <c r="AA176" s="275"/>
      <c r="AB176" s="275"/>
      <c r="AC176" s="275"/>
    </row>
    <row r="177" spans="1:68" ht="27.75" customHeight="1" x14ac:dyDescent="0.2">
      <c r="A177" s="288" t="s">
        <v>259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48"/>
      <c r="AB177" s="48"/>
      <c r="AC177" s="48"/>
    </row>
    <row r="178" spans="1:68" ht="16.5" customHeight="1" x14ac:dyDescent="0.25">
      <c r="A178" s="292" t="s">
        <v>260</v>
      </c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67"/>
      <c r="AB178" s="267"/>
      <c r="AC178" s="267"/>
    </row>
    <row r="179" spans="1:68" ht="14.25" customHeight="1" x14ac:dyDescent="0.25">
      <c r="A179" s="313" t="s">
        <v>92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6">
        <v>4607111035691</v>
      </c>
      <c r="E180" s="277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9"/>
      <c r="R180" s="279"/>
      <c r="S180" s="279"/>
      <c r="T180" s="280"/>
      <c r="U180" s="34"/>
      <c r="V180" s="34"/>
      <c r="W180" s="35" t="s">
        <v>69</v>
      </c>
      <c r="X180" s="272">
        <v>112</v>
      </c>
      <c r="Y180" s="273">
        <f>IFERROR(IF(X180="","",X180),"")</f>
        <v>112</v>
      </c>
      <c r="Z180" s="36">
        <f>IFERROR(IF(X180="","",X180*0.01788),"")</f>
        <v>2.0025599999999999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379.45600000000002</v>
      </c>
      <c r="BN180" s="67">
        <f>IFERROR(Y180*I180,"0")</f>
        <v>379.45600000000002</v>
      </c>
      <c r="BO180" s="67">
        <f>IFERROR(X180/J180,"0")</f>
        <v>1.6</v>
      </c>
      <c r="BP180" s="67">
        <f>IFERROR(Y180/J180,"0")</f>
        <v>1.6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6">
        <v>4607111035721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126</v>
      </c>
      <c r="Y181" s="273">
        <f>IFERROR(IF(X181="","",X181),"")</f>
        <v>126</v>
      </c>
      <c r="Z181" s="36">
        <f>IFERROR(IF(X181="","",X181*0.01788),"")</f>
        <v>2.2528800000000002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426.88799999999998</v>
      </c>
      <c r="BN181" s="67">
        <f>IFERROR(Y181*I181,"0")</f>
        <v>426.88799999999998</v>
      </c>
      <c r="BO181" s="67">
        <f>IFERROR(X181/J181,"0")</f>
        <v>1.8</v>
      </c>
      <c r="BP181" s="67">
        <f>IFERROR(Y181/J181,"0")</f>
        <v>1.8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6">
        <v>4607111038487</v>
      </c>
      <c r="E182" s="277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140</v>
      </c>
      <c r="Y182" s="273">
        <f>IFERROR(IF(X182="","",X182),"")</f>
        <v>140</v>
      </c>
      <c r="Z182" s="36">
        <f>IFERROR(IF(X182="","",X182*0.01788),"")</f>
        <v>2.5032000000000001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523.04000000000008</v>
      </c>
      <c r="BN182" s="67">
        <f>IFERROR(Y182*I182,"0")</f>
        <v>523.04000000000008</v>
      </c>
      <c r="BO182" s="67">
        <f>IFERROR(X182/J182,"0")</f>
        <v>2</v>
      </c>
      <c r="BP182" s="67">
        <f>IFERROR(Y182/J182,"0")</f>
        <v>2</v>
      </c>
    </row>
    <row r="183" spans="1:68" x14ac:dyDescent="0.2">
      <c r="A183" s="297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8"/>
      <c r="P183" s="283" t="s">
        <v>82</v>
      </c>
      <c r="Q183" s="284"/>
      <c r="R183" s="284"/>
      <c r="S183" s="284"/>
      <c r="T183" s="284"/>
      <c r="U183" s="284"/>
      <c r="V183" s="285"/>
      <c r="W183" s="37" t="s">
        <v>69</v>
      </c>
      <c r="X183" s="274">
        <f>IFERROR(SUM(X180:X182),"0")</f>
        <v>378</v>
      </c>
      <c r="Y183" s="274">
        <f>IFERROR(SUM(Y180:Y182),"0")</f>
        <v>378</v>
      </c>
      <c r="Z183" s="274">
        <f>IFERROR(IF(Z180="",0,Z180),"0")+IFERROR(IF(Z181="",0,Z181),"0")+IFERROR(IF(Z182="",0,Z182),"0")</f>
        <v>6.7586399999999998</v>
      </c>
      <c r="AA183" s="275"/>
      <c r="AB183" s="275"/>
      <c r="AC183" s="275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8"/>
      <c r="P184" s="283" t="s">
        <v>82</v>
      </c>
      <c r="Q184" s="284"/>
      <c r="R184" s="284"/>
      <c r="S184" s="284"/>
      <c r="T184" s="284"/>
      <c r="U184" s="284"/>
      <c r="V184" s="285"/>
      <c r="W184" s="37" t="s">
        <v>83</v>
      </c>
      <c r="X184" s="274">
        <f>IFERROR(SUMPRODUCT(X180:X182*H180:H182),"0")</f>
        <v>1134</v>
      </c>
      <c r="Y184" s="274">
        <f>IFERROR(SUMPRODUCT(Y180:Y182*H180:H182),"0")</f>
        <v>1134</v>
      </c>
      <c r="Z184" s="37"/>
      <c r="AA184" s="275"/>
      <c r="AB184" s="275"/>
      <c r="AC184" s="275"/>
    </row>
    <row r="185" spans="1:68" ht="14.25" customHeight="1" x14ac:dyDescent="0.25">
      <c r="A185" s="313" t="s">
        <v>270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6"/>
      <c r="AB185" s="266"/>
      <c r="AC185" s="266"/>
    </row>
    <row r="186" spans="1:68" ht="27" customHeight="1" x14ac:dyDescent="0.25">
      <c r="A186" s="54" t="s">
        <v>271</v>
      </c>
      <c r="B186" s="54" t="s">
        <v>272</v>
      </c>
      <c r="C186" s="31">
        <v>4301051855</v>
      </c>
      <c r="D186" s="276">
        <v>4680115885875</v>
      </c>
      <c r="E186" s="277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6" t="s">
        <v>275</v>
      </c>
      <c r="Q186" s="279"/>
      <c r="R186" s="279"/>
      <c r="S186" s="279"/>
      <c r="T186" s="280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97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8"/>
      <c r="P187" s="283" t="s">
        <v>82</v>
      </c>
      <c r="Q187" s="284"/>
      <c r="R187" s="284"/>
      <c r="S187" s="284"/>
      <c r="T187" s="284"/>
      <c r="U187" s="284"/>
      <c r="V187" s="285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x14ac:dyDescent="0.2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8"/>
      <c r="P188" s="283" t="s">
        <v>82</v>
      </c>
      <c r="Q188" s="284"/>
      <c r="R188" s="284"/>
      <c r="S188" s="284"/>
      <c r="T188" s="284"/>
      <c r="U188" s="284"/>
      <c r="V188" s="285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customHeight="1" x14ac:dyDescent="0.2">
      <c r="A189" s="288" t="s">
        <v>278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48"/>
      <c r="AB189" s="48"/>
      <c r="AC189" s="48"/>
    </row>
    <row r="190" spans="1:68" ht="16.5" customHeight="1" x14ac:dyDescent="0.25">
      <c r="A190" s="292" t="s">
        <v>279</v>
      </c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67"/>
      <c r="AB190" s="267"/>
      <c r="AC190" s="267"/>
    </row>
    <row r="191" spans="1:68" ht="14.25" customHeight="1" x14ac:dyDescent="0.25">
      <c r="A191" s="313" t="s">
        <v>92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6">
        <v>4620207491133</v>
      </c>
      <c r="E192" s="277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4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9"/>
      <c r="R192" s="279"/>
      <c r="S192" s="279"/>
      <c r="T192" s="280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97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8"/>
      <c r="P193" s="283" t="s">
        <v>82</v>
      </c>
      <c r="Q193" s="284"/>
      <c r="R193" s="284"/>
      <c r="S193" s="284"/>
      <c r="T193" s="284"/>
      <c r="U193" s="284"/>
      <c r="V193" s="285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8"/>
      <c r="P194" s="283" t="s">
        <v>82</v>
      </c>
      <c r="Q194" s="284"/>
      <c r="R194" s="284"/>
      <c r="S194" s="284"/>
      <c r="T194" s="284"/>
      <c r="U194" s="284"/>
      <c r="V194" s="285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customHeight="1" x14ac:dyDescent="0.25">
      <c r="A195" s="313" t="s">
        <v>138</v>
      </c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66"/>
      <c r="AB195" s="266"/>
      <c r="AC195" s="266"/>
    </row>
    <row r="196" spans="1:68" ht="27" customHeight="1" x14ac:dyDescent="0.25">
      <c r="A196" s="54" t="s">
        <v>283</v>
      </c>
      <c r="B196" s="54" t="s">
        <v>284</v>
      </c>
      <c r="C196" s="31">
        <v>4301135834</v>
      </c>
      <c r="D196" s="276">
        <v>4620207491188</v>
      </c>
      <c r="E196" s="277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9"/>
      <c r="R196" s="279"/>
      <c r="S196" s="279"/>
      <c r="T196" s="280"/>
      <c r="U196" s="34"/>
      <c r="V196" s="34"/>
      <c r="W196" s="35" t="s">
        <v>69</v>
      </c>
      <c r="X196" s="272">
        <v>0</v>
      </c>
      <c r="Y196" s="273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286</v>
      </c>
      <c r="B197" s="54" t="s">
        <v>287</v>
      </c>
      <c r="C197" s="31">
        <v>4301135707</v>
      </c>
      <c r="D197" s="276">
        <v>4620207490198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7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289</v>
      </c>
      <c r="B198" s="54" t="s">
        <v>290</v>
      </c>
      <c r="C198" s="31">
        <v>4301135829</v>
      </c>
      <c r="D198" s="276">
        <v>4620207490235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4301135697</v>
      </c>
      <c r="D199" s="276">
        <v>4620207490259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4301135681</v>
      </c>
      <c r="D200" s="276">
        <v>4620207490143</v>
      </c>
      <c r="E200" s="277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7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8"/>
      <c r="P201" s="283" t="s">
        <v>82</v>
      </c>
      <c r="Q201" s="284"/>
      <c r="R201" s="284"/>
      <c r="S201" s="284"/>
      <c r="T201" s="284"/>
      <c r="U201" s="284"/>
      <c r="V201" s="285"/>
      <c r="W201" s="37" t="s">
        <v>69</v>
      </c>
      <c r="X201" s="274">
        <f>IFERROR(SUM(X196:X200),"0")</f>
        <v>0</v>
      </c>
      <c r="Y201" s="274">
        <f>IFERROR(SUM(Y196:Y200),"0")</f>
        <v>0</v>
      </c>
      <c r="Z201" s="274">
        <f>IFERROR(IF(Z196="",0,Z196),"0")+IFERROR(IF(Z197="",0,Z197),"0")+IFERROR(IF(Z198="",0,Z198),"0")+IFERROR(IF(Z199="",0,Z199),"0")+IFERROR(IF(Z200="",0,Z200),"0")</f>
        <v>0</v>
      </c>
      <c r="AA201" s="275"/>
      <c r="AB201" s="275"/>
      <c r="AC201" s="275"/>
    </row>
    <row r="202" spans="1:68" x14ac:dyDescent="0.2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8"/>
      <c r="P202" s="283" t="s">
        <v>82</v>
      </c>
      <c r="Q202" s="284"/>
      <c r="R202" s="284"/>
      <c r="S202" s="284"/>
      <c r="T202" s="284"/>
      <c r="U202" s="284"/>
      <c r="V202" s="285"/>
      <c r="W202" s="37" t="s">
        <v>83</v>
      </c>
      <c r="X202" s="274">
        <f>IFERROR(SUMPRODUCT(X196:X200*H196:H200),"0")</f>
        <v>0</v>
      </c>
      <c r="Y202" s="274">
        <f>IFERROR(SUMPRODUCT(Y196:Y200*H196:H200),"0")</f>
        <v>0</v>
      </c>
      <c r="Z202" s="37"/>
      <c r="AA202" s="275"/>
      <c r="AB202" s="275"/>
      <c r="AC202" s="275"/>
    </row>
    <row r="203" spans="1:68" ht="16.5" customHeight="1" x14ac:dyDescent="0.25">
      <c r="A203" s="292" t="s">
        <v>62</v>
      </c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67"/>
      <c r="AB203" s="267"/>
      <c r="AC203" s="267"/>
    </row>
    <row r="204" spans="1:68" ht="14.25" customHeight="1" x14ac:dyDescent="0.25">
      <c r="A204" s="313" t="s">
        <v>63</v>
      </c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66"/>
      <c r="AB204" s="266"/>
      <c r="AC204" s="266"/>
    </row>
    <row r="205" spans="1:68" ht="27" customHeight="1" x14ac:dyDescent="0.25">
      <c r="A205" s="54" t="s">
        <v>297</v>
      </c>
      <c r="B205" s="54" t="s">
        <v>298</v>
      </c>
      <c r="C205" s="31">
        <v>4301070923</v>
      </c>
      <c r="D205" s="276">
        <v>4607111035110</v>
      </c>
      <c r="E205" s="277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6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79"/>
      <c r="R205" s="279"/>
      <c r="S205" s="279"/>
      <c r="T205" s="280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7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8"/>
      <c r="P206" s="283" t="s">
        <v>82</v>
      </c>
      <c r="Q206" s="284"/>
      <c r="R206" s="284"/>
      <c r="S206" s="284"/>
      <c r="T206" s="284"/>
      <c r="U206" s="284"/>
      <c r="V206" s="285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8"/>
      <c r="P207" s="283" t="s">
        <v>82</v>
      </c>
      <c r="Q207" s="284"/>
      <c r="R207" s="284"/>
      <c r="S207" s="284"/>
      <c r="T207" s="284"/>
      <c r="U207" s="284"/>
      <c r="V207" s="285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customHeight="1" x14ac:dyDescent="0.25">
      <c r="A208" s="292" t="s">
        <v>300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67"/>
      <c r="AB208" s="267"/>
      <c r="AC208" s="267"/>
    </row>
    <row r="209" spans="1:68" ht="14.25" customHeight="1" x14ac:dyDescent="0.25">
      <c r="A209" s="313" t="s">
        <v>63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6">
        <v>4620207491096</v>
      </c>
      <c r="E210" s="277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79"/>
      <c r="R210" s="279"/>
      <c r="S210" s="279"/>
      <c r="T210" s="280"/>
      <c r="U210" s="34"/>
      <c r="V210" s="34"/>
      <c r="W210" s="35" t="s">
        <v>69</v>
      </c>
      <c r="X210" s="272">
        <v>0</v>
      </c>
      <c r="Y210" s="273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97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8"/>
      <c r="P211" s="283" t="s">
        <v>82</v>
      </c>
      <c r="Q211" s="284"/>
      <c r="R211" s="284"/>
      <c r="S211" s="284"/>
      <c r="T211" s="284"/>
      <c r="U211" s="284"/>
      <c r="V211" s="285"/>
      <c r="W211" s="37" t="s">
        <v>69</v>
      </c>
      <c r="X211" s="274">
        <f>IFERROR(SUM(X210:X210),"0")</f>
        <v>0</v>
      </c>
      <c r="Y211" s="274">
        <f>IFERROR(SUM(Y210:Y210),"0")</f>
        <v>0</v>
      </c>
      <c r="Z211" s="274">
        <f>IFERROR(IF(Z210="",0,Z210),"0")</f>
        <v>0</v>
      </c>
      <c r="AA211" s="275"/>
      <c r="AB211" s="275"/>
      <c r="AC211" s="275"/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8"/>
      <c r="P212" s="283" t="s">
        <v>82</v>
      </c>
      <c r="Q212" s="284"/>
      <c r="R212" s="284"/>
      <c r="S212" s="284"/>
      <c r="T212" s="284"/>
      <c r="U212" s="284"/>
      <c r="V212" s="285"/>
      <c r="W212" s="37" t="s">
        <v>83</v>
      </c>
      <c r="X212" s="274">
        <f>IFERROR(SUMPRODUCT(X210:X210*H210:H210),"0")</f>
        <v>0</v>
      </c>
      <c r="Y212" s="274">
        <f>IFERROR(SUMPRODUCT(Y210:Y210*H210:H210),"0")</f>
        <v>0</v>
      </c>
      <c r="Z212" s="37"/>
      <c r="AA212" s="275"/>
      <c r="AB212" s="275"/>
      <c r="AC212" s="275"/>
    </row>
    <row r="213" spans="1:68" ht="16.5" customHeight="1" x14ac:dyDescent="0.25">
      <c r="A213" s="292" t="s">
        <v>304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67"/>
      <c r="AB213" s="267"/>
      <c r="AC213" s="267"/>
    </row>
    <row r="214" spans="1:68" ht="14.25" customHeight="1" x14ac:dyDescent="0.25">
      <c r="A214" s="313" t="s">
        <v>63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66"/>
      <c r="AB214" s="266"/>
      <c r="AC214" s="266"/>
    </row>
    <row r="215" spans="1:68" ht="27" customHeight="1" x14ac:dyDescent="0.25">
      <c r="A215" s="54" t="s">
        <v>305</v>
      </c>
      <c r="B215" s="54" t="s">
        <v>306</v>
      </c>
      <c r="C215" s="31">
        <v>4301071093</v>
      </c>
      <c r="D215" s="276">
        <v>4620207490709</v>
      </c>
      <c r="E215" s="277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7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8"/>
      <c r="P216" s="283" t="s">
        <v>82</v>
      </c>
      <c r="Q216" s="284"/>
      <c r="R216" s="284"/>
      <c r="S216" s="284"/>
      <c r="T216" s="284"/>
      <c r="U216" s="284"/>
      <c r="V216" s="285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8"/>
      <c r="P217" s="283" t="s">
        <v>82</v>
      </c>
      <c r="Q217" s="284"/>
      <c r="R217" s="284"/>
      <c r="S217" s="284"/>
      <c r="T217" s="284"/>
      <c r="U217" s="284"/>
      <c r="V217" s="285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customHeight="1" x14ac:dyDescent="0.25">
      <c r="A218" s="313" t="s">
        <v>138</v>
      </c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66"/>
      <c r="AB218" s="266"/>
      <c r="AC218" s="266"/>
    </row>
    <row r="219" spans="1:68" ht="27" customHeight="1" x14ac:dyDescent="0.25">
      <c r="A219" s="54" t="s">
        <v>308</v>
      </c>
      <c r="B219" s="54" t="s">
        <v>309</v>
      </c>
      <c r="C219" s="31">
        <v>4301135691</v>
      </c>
      <c r="D219" s="276">
        <v>4620207490549</v>
      </c>
      <c r="E219" s="277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7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79"/>
      <c r="R219" s="279"/>
      <c r="S219" s="279"/>
      <c r="T219" s="280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customHeight="1" x14ac:dyDescent="0.25">
      <c r="A220" s="54" t="s">
        <v>311</v>
      </c>
      <c r="B220" s="54" t="s">
        <v>312</v>
      </c>
      <c r="C220" s="31">
        <v>4301135694</v>
      </c>
      <c r="D220" s="276">
        <v>4620207490501</v>
      </c>
      <c r="E220" s="277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79"/>
      <c r="R220" s="279"/>
      <c r="S220" s="279"/>
      <c r="T220" s="280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7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8"/>
      <c r="P221" s="283" t="s">
        <v>82</v>
      </c>
      <c r="Q221" s="284"/>
      <c r="R221" s="284"/>
      <c r="S221" s="284"/>
      <c r="T221" s="284"/>
      <c r="U221" s="284"/>
      <c r="V221" s="285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8"/>
      <c r="P222" s="283" t="s">
        <v>82</v>
      </c>
      <c r="Q222" s="284"/>
      <c r="R222" s="284"/>
      <c r="S222" s="284"/>
      <c r="T222" s="284"/>
      <c r="U222" s="284"/>
      <c r="V222" s="285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customHeight="1" x14ac:dyDescent="0.2">
      <c r="A223" s="288" t="s">
        <v>313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48"/>
      <c r="AB223" s="48"/>
      <c r="AC223" s="48"/>
    </row>
    <row r="224" spans="1:68" ht="16.5" customHeight="1" x14ac:dyDescent="0.25">
      <c r="A224" s="292" t="s">
        <v>314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67"/>
      <c r="AB224" s="267"/>
      <c r="AC224" s="267"/>
    </row>
    <row r="225" spans="1:68" ht="14.25" customHeight="1" x14ac:dyDescent="0.25">
      <c r="A225" s="313" t="s">
        <v>63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66"/>
      <c r="AB225" s="266"/>
      <c r="AC225" s="266"/>
    </row>
    <row r="226" spans="1:68" ht="27" customHeight="1" x14ac:dyDescent="0.25">
      <c r="A226" s="54" t="s">
        <v>315</v>
      </c>
      <c r="B226" s="54" t="s">
        <v>316</v>
      </c>
      <c r="C226" s="31">
        <v>4301071036</v>
      </c>
      <c r="D226" s="276">
        <v>4607111036162</v>
      </c>
      <c r="E226" s="277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79"/>
      <c r="R226" s="279"/>
      <c r="S226" s="279"/>
      <c r="T226" s="280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97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8"/>
      <c r="P227" s="283" t="s">
        <v>82</v>
      </c>
      <c r="Q227" s="284"/>
      <c r="R227" s="284"/>
      <c r="S227" s="284"/>
      <c r="T227" s="284"/>
      <c r="U227" s="284"/>
      <c r="V227" s="285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8"/>
      <c r="P228" s="283" t="s">
        <v>82</v>
      </c>
      <c r="Q228" s="284"/>
      <c r="R228" s="284"/>
      <c r="S228" s="284"/>
      <c r="T228" s="284"/>
      <c r="U228" s="284"/>
      <c r="V228" s="285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customHeight="1" x14ac:dyDescent="0.2">
      <c r="A229" s="288" t="s">
        <v>318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48"/>
      <c r="AB229" s="48"/>
      <c r="AC229" s="48"/>
    </row>
    <row r="230" spans="1:68" ht="16.5" customHeight="1" x14ac:dyDescent="0.25">
      <c r="A230" s="292" t="s">
        <v>319</v>
      </c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67"/>
      <c r="AB230" s="267"/>
      <c r="AC230" s="267"/>
    </row>
    <row r="231" spans="1:68" ht="14.25" customHeight="1" x14ac:dyDescent="0.25">
      <c r="A231" s="313" t="s">
        <v>63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6">
        <v>4607111035899</v>
      </c>
      <c r="E232" s="277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79"/>
      <c r="R232" s="279"/>
      <c r="S232" s="279"/>
      <c r="T232" s="280"/>
      <c r="U232" s="34"/>
      <c r="V232" s="34"/>
      <c r="W232" s="35" t="s">
        <v>69</v>
      </c>
      <c r="X232" s="272">
        <v>72</v>
      </c>
      <c r="Y232" s="273">
        <f>IFERROR(IF(X232="","",X232),"")</f>
        <v>72</v>
      </c>
      <c r="Z232" s="36">
        <f>IFERROR(IF(X232="","",X232*0.0155),"")</f>
        <v>1.1160000000000001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378.86399999999998</v>
      </c>
      <c r="BN232" s="67">
        <f>IFERROR(Y232*I232,"0")</f>
        <v>378.86399999999998</v>
      </c>
      <c r="BO232" s="67">
        <f>IFERROR(X232/J232,"0")</f>
        <v>0.8571428571428571</v>
      </c>
      <c r="BP232" s="67">
        <f>IFERROR(Y232/J232,"0")</f>
        <v>0.8571428571428571</v>
      </c>
    </row>
    <row r="233" spans="1:68" x14ac:dyDescent="0.2">
      <c r="A233" s="297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8"/>
      <c r="P233" s="283" t="s">
        <v>82</v>
      </c>
      <c r="Q233" s="284"/>
      <c r="R233" s="284"/>
      <c r="S233" s="284"/>
      <c r="T233" s="284"/>
      <c r="U233" s="284"/>
      <c r="V233" s="285"/>
      <c r="W233" s="37" t="s">
        <v>69</v>
      </c>
      <c r="X233" s="274">
        <f>IFERROR(SUM(X232:X232),"0")</f>
        <v>72</v>
      </c>
      <c r="Y233" s="274">
        <f>IFERROR(SUM(Y232:Y232),"0")</f>
        <v>72</v>
      </c>
      <c r="Z233" s="274">
        <f>IFERROR(IF(Z232="",0,Z232),"0")</f>
        <v>1.1160000000000001</v>
      </c>
      <c r="AA233" s="275"/>
      <c r="AB233" s="275"/>
      <c r="AC233" s="275"/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8"/>
      <c r="P234" s="283" t="s">
        <v>82</v>
      </c>
      <c r="Q234" s="284"/>
      <c r="R234" s="284"/>
      <c r="S234" s="284"/>
      <c r="T234" s="284"/>
      <c r="U234" s="284"/>
      <c r="V234" s="285"/>
      <c r="W234" s="37" t="s">
        <v>83</v>
      </c>
      <c r="X234" s="274">
        <f>IFERROR(SUMPRODUCT(X232:X232*H232:H232),"0")</f>
        <v>360</v>
      </c>
      <c r="Y234" s="274">
        <f>IFERROR(SUMPRODUCT(Y232:Y232*H232:H232),"0")</f>
        <v>360</v>
      </c>
      <c r="Z234" s="37"/>
      <c r="AA234" s="275"/>
      <c r="AB234" s="275"/>
      <c r="AC234" s="275"/>
    </row>
    <row r="235" spans="1:68" ht="27.75" customHeight="1" x14ac:dyDescent="0.2">
      <c r="A235" s="288" t="s">
        <v>322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48"/>
      <c r="AB235" s="48"/>
      <c r="AC235" s="48"/>
    </row>
    <row r="236" spans="1:68" ht="16.5" customHeight="1" x14ac:dyDescent="0.25">
      <c r="A236" s="292" t="s">
        <v>323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67"/>
      <c r="AB236" s="267"/>
      <c r="AC236" s="267"/>
    </row>
    <row r="237" spans="1:68" ht="14.25" customHeight="1" x14ac:dyDescent="0.25">
      <c r="A237" s="313" t="s">
        <v>324</v>
      </c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66"/>
      <c r="AB237" s="266"/>
      <c r="AC237" s="266"/>
    </row>
    <row r="238" spans="1:68" ht="27" customHeight="1" x14ac:dyDescent="0.25">
      <c r="A238" s="54" t="s">
        <v>325</v>
      </c>
      <c r="B238" s="54" t="s">
        <v>326</v>
      </c>
      <c r="C238" s="31">
        <v>4301133004</v>
      </c>
      <c r="D238" s="276">
        <v>4607111039774</v>
      </c>
      <c r="E238" s="277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7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8"/>
      <c r="P239" s="283" t="s">
        <v>82</v>
      </c>
      <c r="Q239" s="284"/>
      <c r="R239" s="284"/>
      <c r="S239" s="284"/>
      <c r="T239" s="284"/>
      <c r="U239" s="284"/>
      <c r="V239" s="285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8"/>
      <c r="P240" s="283" t="s">
        <v>82</v>
      </c>
      <c r="Q240" s="284"/>
      <c r="R240" s="284"/>
      <c r="S240" s="284"/>
      <c r="T240" s="284"/>
      <c r="U240" s="284"/>
      <c r="V240" s="285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customHeight="1" x14ac:dyDescent="0.25">
      <c r="A241" s="313" t="s">
        <v>138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66"/>
      <c r="AB241" s="266"/>
      <c r="AC241" s="266"/>
    </row>
    <row r="242" spans="1:68" ht="37.5" customHeight="1" x14ac:dyDescent="0.25">
      <c r="A242" s="54" t="s">
        <v>328</v>
      </c>
      <c r="B242" s="54" t="s">
        <v>329</v>
      </c>
      <c r="C242" s="31">
        <v>4301135400</v>
      </c>
      <c r="D242" s="276">
        <v>4607111039361</v>
      </c>
      <c r="E242" s="277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79"/>
      <c r="R242" s="279"/>
      <c r="S242" s="279"/>
      <c r="T242" s="280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7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8"/>
      <c r="P243" s="283" t="s">
        <v>82</v>
      </c>
      <c r="Q243" s="284"/>
      <c r="R243" s="284"/>
      <c r="S243" s="284"/>
      <c r="T243" s="284"/>
      <c r="U243" s="284"/>
      <c r="V243" s="285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8"/>
      <c r="P244" s="283" t="s">
        <v>82</v>
      </c>
      <c r="Q244" s="284"/>
      <c r="R244" s="284"/>
      <c r="S244" s="284"/>
      <c r="T244" s="284"/>
      <c r="U244" s="284"/>
      <c r="V244" s="285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customHeight="1" x14ac:dyDescent="0.2">
      <c r="A245" s="288" t="s">
        <v>330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48"/>
      <c r="AB245" s="48"/>
      <c r="AC245" s="48"/>
    </row>
    <row r="246" spans="1:68" ht="16.5" customHeight="1" x14ac:dyDescent="0.25">
      <c r="A246" s="292" t="s">
        <v>330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67"/>
      <c r="AB246" s="267"/>
      <c r="AC246" s="267"/>
    </row>
    <row r="247" spans="1:68" ht="14.25" customHeight="1" x14ac:dyDescent="0.25">
      <c r="A247" s="313" t="s">
        <v>63</v>
      </c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66"/>
      <c r="AB247" s="266"/>
      <c r="AC247" s="266"/>
    </row>
    <row r="248" spans="1:68" ht="27" customHeight="1" x14ac:dyDescent="0.25">
      <c r="A248" s="54" t="s">
        <v>331</v>
      </c>
      <c r="B248" s="54" t="s">
        <v>332</v>
      </c>
      <c r="C248" s="31">
        <v>4301071014</v>
      </c>
      <c r="D248" s="276">
        <v>4640242181264</v>
      </c>
      <c r="E248" s="277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79"/>
      <c r="R248" s="279"/>
      <c r="S248" s="279"/>
      <c r="T248" s="280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334</v>
      </c>
      <c r="B249" s="54" t="s">
        <v>335</v>
      </c>
      <c r="C249" s="31">
        <v>4301071021</v>
      </c>
      <c r="D249" s="276">
        <v>4640242181325</v>
      </c>
      <c r="E249" s="277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97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8"/>
      <c r="P250" s="283" t="s">
        <v>82</v>
      </c>
      <c r="Q250" s="284"/>
      <c r="R250" s="284"/>
      <c r="S250" s="284"/>
      <c r="T250" s="284"/>
      <c r="U250" s="284"/>
      <c r="V250" s="285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x14ac:dyDescent="0.2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8"/>
      <c r="P251" s="283" t="s">
        <v>82</v>
      </c>
      <c r="Q251" s="284"/>
      <c r="R251" s="284"/>
      <c r="S251" s="284"/>
      <c r="T251" s="284"/>
      <c r="U251" s="284"/>
      <c r="V251" s="285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customHeight="1" x14ac:dyDescent="0.25">
      <c r="A252" s="313" t="s">
        <v>92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6">
        <v>4640242180397</v>
      </c>
      <c r="E253" s="277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79"/>
      <c r="R253" s="279"/>
      <c r="S253" s="279"/>
      <c r="T253" s="280"/>
      <c r="U253" s="34"/>
      <c r="V253" s="34"/>
      <c r="W253" s="35" t="s">
        <v>69</v>
      </c>
      <c r="X253" s="272">
        <v>12</v>
      </c>
      <c r="Y253" s="273">
        <f>IFERROR(IF(X253="","",X253),"")</f>
        <v>12</v>
      </c>
      <c r="Z253" s="36">
        <f>IFERROR(IF(X253="","",X253*0.0155),"")</f>
        <v>0.186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75.12</v>
      </c>
      <c r="BN253" s="67">
        <f>IFERROR(Y253*I253,"0")</f>
        <v>75.12</v>
      </c>
      <c r="BO253" s="67">
        <f>IFERROR(X253/J253,"0")</f>
        <v>0.14285714285714285</v>
      </c>
      <c r="BP253" s="67">
        <f>IFERROR(Y253/J253,"0")</f>
        <v>0.14285714285714285</v>
      </c>
    </row>
    <row r="254" spans="1:68" ht="27" customHeight="1" x14ac:dyDescent="0.25">
      <c r="A254" s="54" t="s">
        <v>339</v>
      </c>
      <c r="B254" s="54" t="s">
        <v>340</v>
      </c>
      <c r="C254" s="31">
        <v>4301132104</v>
      </c>
      <c r="D254" s="276">
        <v>4640242181219</v>
      </c>
      <c r="E254" s="277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40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7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8"/>
      <c r="P255" s="283" t="s">
        <v>82</v>
      </c>
      <c r="Q255" s="284"/>
      <c r="R255" s="284"/>
      <c r="S255" s="284"/>
      <c r="T255" s="284"/>
      <c r="U255" s="284"/>
      <c r="V255" s="285"/>
      <c r="W255" s="37" t="s">
        <v>69</v>
      </c>
      <c r="X255" s="274">
        <f>IFERROR(SUM(X253:X254),"0")</f>
        <v>12</v>
      </c>
      <c r="Y255" s="274">
        <f>IFERROR(SUM(Y253:Y254),"0")</f>
        <v>12</v>
      </c>
      <c r="Z255" s="274">
        <f>IFERROR(IF(Z253="",0,Z253),"0")+IFERROR(IF(Z254="",0,Z254),"0")</f>
        <v>0.186</v>
      </c>
      <c r="AA255" s="275"/>
      <c r="AB255" s="275"/>
      <c r="AC255" s="275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8"/>
      <c r="P256" s="283" t="s">
        <v>82</v>
      </c>
      <c r="Q256" s="284"/>
      <c r="R256" s="284"/>
      <c r="S256" s="284"/>
      <c r="T256" s="284"/>
      <c r="U256" s="284"/>
      <c r="V256" s="285"/>
      <c r="W256" s="37" t="s">
        <v>83</v>
      </c>
      <c r="X256" s="274">
        <f>IFERROR(SUMPRODUCT(X253:X254*H253:H254),"0")</f>
        <v>72</v>
      </c>
      <c r="Y256" s="274">
        <f>IFERROR(SUMPRODUCT(Y253:Y254*H253:H254),"0")</f>
        <v>72</v>
      </c>
      <c r="Z256" s="37"/>
      <c r="AA256" s="275"/>
      <c r="AB256" s="275"/>
      <c r="AC256" s="275"/>
    </row>
    <row r="257" spans="1:68" ht="14.25" customHeight="1" x14ac:dyDescent="0.25">
      <c r="A257" s="313" t="s">
        <v>132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66"/>
      <c r="AB257" s="266"/>
      <c r="AC257" s="266"/>
    </row>
    <row r="258" spans="1:68" ht="27" customHeight="1" x14ac:dyDescent="0.25">
      <c r="A258" s="54" t="s">
        <v>341</v>
      </c>
      <c r="B258" s="54" t="s">
        <v>342</v>
      </c>
      <c r="C258" s="31">
        <v>4301136051</v>
      </c>
      <c r="D258" s="276">
        <v>4640242180304</v>
      </c>
      <c r="E258" s="277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79"/>
      <c r="R258" s="279"/>
      <c r="S258" s="279"/>
      <c r="T258" s="280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6">
        <v>4640242180236</v>
      </c>
      <c r="E259" s="277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79"/>
      <c r="R259" s="279"/>
      <c r="S259" s="279"/>
      <c r="T259" s="280"/>
      <c r="U259" s="34"/>
      <c r="V259" s="34"/>
      <c r="W259" s="35" t="s">
        <v>69</v>
      </c>
      <c r="X259" s="272">
        <v>0</v>
      </c>
      <c r="Y259" s="273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6">
        <v>4640242180410</v>
      </c>
      <c r="E260" s="277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28</v>
      </c>
      <c r="Y260" s="273">
        <f>IFERROR(IF(X260="","",X260),"")</f>
        <v>28</v>
      </c>
      <c r="Z260" s="36">
        <f>IFERROR(IF(X260="","",X260*0.00936),"")</f>
        <v>0.26207999999999998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68.096000000000004</v>
      </c>
      <c r="BN260" s="67">
        <f>IFERROR(Y260*I260,"0")</f>
        <v>68.096000000000004</v>
      </c>
      <c r="BO260" s="67">
        <f>IFERROR(X260/J260,"0")</f>
        <v>0.22222222222222221</v>
      </c>
      <c r="BP260" s="67">
        <f>IFERROR(Y260/J260,"0")</f>
        <v>0.22222222222222221</v>
      </c>
    </row>
    <row r="261" spans="1:68" x14ac:dyDescent="0.2">
      <c r="A261" s="297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8"/>
      <c r="P261" s="283" t="s">
        <v>82</v>
      </c>
      <c r="Q261" s="284"/>
      <c r="R261" s="284"/>
      <c r="S261" s="284"/>
      <c r="T261" s="284"/>
      <c r="U261" s="284"/>
      <c r="V261" s="285"/>
      <c r="W261" s="37" t="s">
        <v>69</v>
      </c>
      <c r="X261" s="274">
        <f>IFERROR(SUM(X258:X260),"0")</f>
        <v>28</v>
      </c>
      <c r="Y261" s="274">
        <f>IFERROR(SUM(Y258:Y260),"0")</f>
        <v>28</v>
      </c>
      <c r="Z261" s="274">
        <f>IFERROR(IF(Z258="",0,Z258),"0")+IFERROR(IF(Z259="",0,Z259),"0")+IFERROR(IF(Z260="",0,Z260),"0")</f>
        <v>0.26207999999999998</v>
      </c>
      <c r="AA261" s="275"/>
      <c r="AB261" s="275"/>
      <c r="AC261" s="275"/>
    </row>
    <row r="262" spans="1:68" x14ac:dyDescent="0.2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8"/>
      <c r="P262" s="283" t="s">
        <v>82</v>
      </c>
      <c r="Q262" s="284"/>
      <c r="R262" s="284"/>
      <c r="S262" s="284"/>
      <c r="T262" s="284"/>
      <c r="U262" s="284"/>
      <c r="V262" s="285"/>
      <c r="W262" s="37" t="s">
        <v>83</v>
      </c>
      <c r="X262" s="274">
        <f>IFERROR(SUMPRODUCT(X258:X260*H258:H260),"0")</f>
        <v>62.720000000000006</v>
      </c>
      <c r="Y262" s="274">
        <f>IFERROR(SUMPRODUCT(Y258:Y260*H258:H260),"0")</f>
        <v>62.720000000000006</v>
      </c>
      <c r="Z262" s="37"/>
      <c r="AA262" s="275"/>
      <c r="AB262" s="275"/>
      <c r="AC262" s="275"/>
    </row>
    <row r="263" spans="1:68" ht="14.25" customHeight="1" x14ac:dyDescent="0.25">
      <c r="A263" s="313" t="s">
        <v>138</v>
      </c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66"/>
      <c r="AB263" s="266"/>
      <c r="AC263" s="266"/>
    </row>
    <row r="264" spans="1:68" ht="37.5" customHeight="1" x14ac:dyDescent="0.25">
      <c r="A264" s="54" t="s">
        <v>348</v>
      </c>
      <c r="B264" s="54" t="s">
        <v>349</v>
      </c>
      <c r="C264" s="31">
        <v>4301135504</v>
      </c>
      <c r="D264" s="276">
        <v>4640242181554</v>
      </c>
      <c r="E264" s="277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7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6">
        <v>4640242181561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42</v>
      </c>
      <c r="Y265" s="273">
        <f t="shared" si="18"/>
        <v>42</v>
      </c>
      <c r="Z265" s="36">
        <f>IFERROR(IF(X265="","",X265*0.00936),"")</f>
        <v>0.39312000000000002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163.464</v>
      </c>
      <c r="BN265" s="67">
        <f t="shared" si="20"/>
        <v>163.464</v>
      </c>
      <c r="BO265" s="67">
        <f t="shared" si="21"/>
        <v>0.33333333333333331</v>
      </c>
      <c r="BP265" s="67">
        <f t="shared" si="22"/>
        <v>0.33333333333333331</v>
      </c>
    </row>
    <row r="266" spans="1:68" ht="27" customHeight="1" x14ac:dyDescent="0.25">
      <c r="A266" s="54" t="s">
        <v>354</v>
      </c>
      <c r="B266" s="54" t="s">
        <v>355</v>
      </c>
      <c r="C266" s="31">
        <v>4301135374</v>
      </c>
      <c r="D266" s="276">
        <v>4640242181424</v>
      </c>
      <c r="E266" s="277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>IFERROR(IF(X266="","",X266*0.0155),"")</f>
        <v>0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6">
        <v>4640242181523</v>
      </c>
      <c r="E267" s="277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8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28</v>
      </c>
      <c r="Y267" s="273">
        <f t="shared" si="18"/>
        <v>28</v>
      </c>
      <c r="Z267" s="36">
        <f t="shared" ref="Z267:Z272" si="23">IFERROR(IF(X267="","",X267*0.00936),"")</f>
        <v>0.26207999999999998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89.376000000000005</v>
      </c>
      <c r="BN267" s="67">
        <f t="shared" si="20"/>
        <v>89.376000000000005</v>
      </c>
      <c r="BO267" s="67">
        <f t="shared" si="21"/>
        <v>0.22222222222222221</v>
      </c>
      <c r="BP267" s="67">
        <f t="shared" si="22"/>
        <v>0.22222222222222221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6">
        <v>4640242181486</v>
      </c>
      <c r="E268" s="277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28</v>
      </c>
      <c r="Y268" s="273">
        <f t="shared" si="18"/>
        <v>28</v>
      </c>
      <c r="Z268" s="36">
        <f t="shared" si="23"/>
        <v>0.26207999999999998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108.976</v>
      </c>
      <c r="BN268" s="67">
        <f t="shared" si="20"/>
        <v>108.976</v>
      </c>
      <c r="BO268" s="67">
        <f t="shared" si="21"/>
        <v>0.22222222222222221</v>
      </c>
      <c r="BP268" s="67">
        <f t="shared" si="22"/>
        <v>0.22222222222222221</v>
      </c>
    </row>
    <row r="269" spans="1:68" ht="37.5" customHeight="1" x14ac:dyDescent="0.25">
      <c r="A269" s="54" t="s">
        <v>360</v>
      </c>
      <c r="B269" s="54" t="s">
        <v>361</v>
      </c>
      <c r="C269" s="31">
        <v>4301135402</v>
      </c>
      <c r="D269" s="276">
        <v>4640242181493</v>
      </c>
      <c r="E269" s="277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customHeight="1" x14ac:dyDescent="0.25">
      <c r="A270" s="54" t="s">
        <v>362</v>
      </c>
      <c r="B270" s="54" t="s">
        <v>363</v>
      </c>
      <c r="C270" s="31">
        <v>4301135403</v>
      </c>
      <c r="D270" s="276">
        <v>4640242181509</v>
      </c>
      <c r="E270" s="277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79"/>
      <c r="R270" s="279"/>
      <c r="S270" s="279"/>
      <c r="T270" s="280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4301135304</v>
      </c>
      <c r="D271" s="276">
        <v>4640242181240</v>
      </c>
      <c r="E271" s="277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79"/>
      <c r="R271" s="279"/>
      <c r="S271" s="279"/>
      <c r="T271" s="280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366</v>
      </c>
      <c r="B272" s="54" t="s">
        <v>367</v>
      </c>
      <c r="C272" s="31">
        <v>4301135610</v>
      </c>
      <c r="D272" s="276">
        <v>4640242181318</v>
      </c>
      <c r="E272" s="277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7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79"/>
      <c r="R272" s="279"/>
      <c r="S272" s="279"/>
      <c r="T272" s="280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368</v>
      </c>
      <c r="B273" s="54" t="s">
        <v>369</v>
      </c>
      <c r="C273" s="31">
        <v>4301135306</v>
      </c>
      <c r="D273" s="276">
        <v>4640242181387</v>
      </c>
      <c r="E273" s="277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79"/>
      <c r="R273" s="279"/>
      <c r="S273" s="279"/>
      <c r="T273" s="280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7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8"/>
      <c r="P274" s="283" t="s">
        <v>82</v>
      </c>
      <c r="Q274" s="284"/>
      <c r="R274" s="284"/>
      <c r="S274" s="284"/>
      <c r="T274" s="284"/>
      <c r="U274" s="284"/>
      <c r="V274" s="285"/>
      <c r="W274" s="37" t="s">
        <v>69</v>
      </c>
      <c r="X274" s="274">
        <f>IFERROR(SUM(X264:X273),"0")</f>
        <v>98</v>
      </c>
      <c r="Y274" s="274">
        <f>IFERROR(SUM(Y264:Y273),"0")</f>
        <v>98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0.91727999999999998</v>
      </c>
      <c r="AA274" s="275"/>
      <c r="AB274" s="275"/>
      <c r="AC274" s="275"/>
    </row>
    <row r="275" spans="1:68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8"/>
      <c r="P275" s="283" t="s">
        <v>82</v>
      </c>
      <c r="Q275" s="284"/>
      <c r="R275" s="284"/>
      <c r="S275" s="284"/>
      <c r="T275" s="284"/>
      <c r="U275" s="284"/>
      <c r="V275" s="285"/>
      <c r="W275" s="37" t="s">
        <v>83</v>
      </c>
      <c r="X275" s="274">
        <f>IFERROR(SUMPRODUCT(X264:X273*H264:H273),"0")</f>
        <v>343</v>
      </c>
      <c r="Y275" s="274">
        <f>IFERROR(SUMPRODUCT(Y264:Y273*H264:H273),"0")</f>
        <v>343</v>
      </c>
      <c r="Z275" s="37"/>
      <c r="AA275" s="275"/>
      <c r="AB275" s="275"/>
      <c r="AC275" s="275"/>
    </row>
    <row r="276" spans="1:68" ht="15" customHeight="1" x14ac:dyDescent="0.2">
      <c r="A276" s="295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6"/>
      <c r="P276" s="325" t="s">
        <v>370</v>
      </c>
      <c r="Q276" s="326"/>
      <c r="R276" s="326"/>
      <c r="S276" s="326"/>
      <c r="T276" s="326"/>
      <c r="U276" s="326"/>
      <c r="V276" s="327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11880.959999999997</v>
      </c>
      <c r="Y276" s="274">
        <f>IFERROR(Y29+Y35+Y42+Y49+Y57+Y62+Y66+Y71+Y77+Y83+Y88+Y94+Y104+Y110+Y122+Y127+Y131+Y137+Y143+Y149+Y154+Y159+Y164+Y169+Y176+Y184+Y188+Y194+Y202+Y207+Y212+Y217+Y222+Y228+Y234+Y240+Y244+Y251+Y256+Y262+Y275,"0")</f>
        <v>11880.959999999997</v>
      </c>
      <c r="Z276" s="37"/>
      <c r="AA276" s="275"/>
      <c r="AB276" s="275"/>
      <c r="AC276" s="275"/>
    </row>
    <row r="277" spans="1:68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6"/>
      <c r="P277" s="325" t="s">
        <v>371</v>
      </c>
      <c r="Q277" s="326"/>
      <c r="R277" s="326"/>
      <c r="S277" s="326"/>
      <c r="T277" s="326"/>
      <c r="U277" s="326"/>
      <c r="V277" s="327"/>
      <c r="W277" s="37" t="s">
        <v>83</v>
      </c>
      <c r="X277" s="274">
        <f>IFERROR(SUM(BM22:BM273),"0")</f>
        <v>13217.980000000003</v>
      </c>
      <c r="Y277" s="274">
        <f>IFERROR(SUM(BN22:BN273),"0")</f>
        <v>13217.980000000003</v>
      </c>
      <c r="Z277" s="37"/>
      <c r="AA277" s="275"/>
      <c r="AB277" s="275"/>
      <c r="AC277" s="275"/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6"/>
      <c r="P278" s="325" t="s">
        <v>372</v>
      </c>
      <c r="Q278" s="326"/>
      <c r="R278" s="326"/>
      <c r="S278" s="326"/>
      <c r="T278" s="326"/>
      <c r="U278" s="326"/>
      <c r="V278" s="327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6"/>
      <c r="P279" s="325" t="s">
        <v>374</v>
      </c>
      <c r="Q279" s="326"/>
      <c r="R279" s="326"/>
      <c r="S279" s="326"/>
      <c r="T279" s="326"/>
      <c r="U279" s="326"/>
      <c r="V279" s="327"/>
      <c r="W279" s="37" t="s">
        <v>83</v>
      </c>
      <c r="X279" s="274">
        <f>GrossWeightTotal+PalletQtyTotal*25</f>
        <v>14117.980000000003</v>
      </c>
      <c r="Y279" s="274">
        <f>GrossWeightTotalR+PalletQtyTotalR*25</f>
        <v>14117.980000000003</v>
      </c>
      <c r="Z279" s="37"/>
      <c r="AA279" s="275"/>
      <c r="AB279" s="275"/>
      <c r="AC279" s="275"/>
    </row>
    <row r="280" spans="1:68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6"/>
      <c r="P280" s="325" t="s">
        <v>375</v>
      </c>
      <c r="Q280" s="326"/>
      <c r="R280" s="326"/>
      <c r="S280" s="326"/>
      <c r="T280" s="326"/>
      <c r="U280" s="326"/>
      <c r="V280" s="327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2856</v>
      </c>
      <c r="Y280" s="274">
        <f>IFERROR(Y28+Y34+Y41+Y48+Y56+Y61+Y65+Y70+Y76+Y82+Y87+Y93+Y103+Y109+Y121+Y126+Y130+Y136+Y142+Y148+Y153+Y158+Y163+Y168+Y175+Y183+Y187+Y193+Y201+Y206+Y211+Y216+Y221+Y227+Y233+Y239+Y243+Y250+Y255+Y261+Y274,"0")</f>
        <v>2856</v>
      </c>
      <c r="Z280" s="37"/>
      <c r="AA280" s="275"/>
      <c r="AB280" s="275"/>
      <c r="AC280" s="275"/>
    </row>
    <row r="281" spans="1:68" ht="14.25" customHeight="1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6"/>
      <c r="P281" s="325" t="s">
        <v>376</v>
      </c>
      <c r="Q281" s="326"/>
      <c r="R281" s="326"/>
      <c r="S281" s="326"/>
      <c r="T281" s="326"/>
      <c r="U281" s="326"/>
      <c r="V281" s="327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45.366419999999998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81" t="s">
        <v>62</v>
      </c>
      <c r="C283" s="291"/>
      <c r="D283" s="281" t="s">
        <v>90</v>
      </c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0"/>
      <c r="P283" s="290"/>
      <c r="Q283" s="290"/>
      <c r="R283" s="290"/>
      <c r="S283" s="290"/>
      <c r="T283" s="290"/>
      <c r="U283" s="291"/>
      <c r="V283" s="264" t="s">
        <v>251</v>
      </c>
      <c r="W283" s="264" t="s">
        <v>259</v>
      </c>
      <c r="X283" s="281" t="s">
        <v>278</v>
      </c>
      <c r="Y283" s="290"/>
      <c r="Z283" s="290"/>
      <c r="AA283" s="291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406" t="s">
        <v>379</v>
      </c>
      <c r="B284" s="281" t="s">
        <v>62</v>
      </c>
      <c r="C284" s="281" t="s">
        <v>84</v>
      </c>
      <c r="D284" s="281" t="s">
        <v>91</v>
      </c>
      <c r="E284" s="281" t="s">
        <v>102</v>
      </c>
      <c r="F284" s="281" t="s">
        <v>114</v>
      </c>
      <c r="G284" s="281" t="s">
        <v>125</v>
      </c>
      <c r="H284" s="281" t="s">
        <v>146</v>
      </c>
      <c r="I284" s="281" t="s">
        <v>153</v>
      </c>
      <c r="J284" s="281" t="s">
        <v>157</v>
      </c>
      <c r="K284" s="281" t="s">
        <v>165</v>
      </c>
      <c r="L284" s="281" t="s">
        <v>180</v>
      </c>
      <c r="M284" s="281" t="s">
        <v>186</v>
      </c>
      <c r="N284" s="265"/>
      <c r="O284" s="281" t="s">
        <v>217</v>
      </c>
      <c r="P284" s="281" t="s">
        <v>223</v>
      </c>
      <c r="Q284" s="281" t="s">
        <v>230</v>
      </c>
      <c r="R284" s="281" t="s">
        <v>235</v>
      </c>
      <c r="S284" s="281" t="s">
        <v>239</v>
      </c>
      <c r="T284" s="281" t="s">
        <v>242</v>
      </c>
      <c r="U284" s="281" t="s">
        <v>247</v>
      </c>
      <c r="V284" s="281" t="s">
        <v>252</v>
      </c>
      <c r="W284" s="281" t="s">
        <v>260</v>
      </c>
      <c r="X284" s="281" t="s">
        <v>279</v>
      </c>
      <c r="Y284" s="281" t="s">
        <v>62</v>
      </c>
      <c r="Z284" s="281" t="s">
        <v>300</v>
      </c>
      <c r="AA284" s="281" t="s">
        <v>304</v>
      </c>
      <c r="AB284" s="281" t="s">
        <v>314</v>
      </c>
      <c r="AC284" s="281" t="s">
        <v>319</v>
      </c>
      <c r="AD284" s="281" t="s">
        <v>323</v>
      </c>
      <c r="AE284" s="281" t="s">
        <v>330</v>
      </c>
      <c r="AF284" s="265"/>
    </row>
    <row r="285" spans="1:68" ht="13.5" customHeight="1" thickBot="1" x14ac:dyDescent="0.25">
      <c r="A285" s="407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65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2"/>
      <c r="AB285" s="282"/>
      <c r="AC285" s="282"/>
      <c r="AD285" s="282"/>
      <c r="AE285" s="282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86.4</v>
      </c>
      <c r="C286" s="46">
        <f>IFERROR(X32*H32,"0")+IFERROR(X33*H33,"0")</f>
        <v>0</v>
      </c>
      <c r="D286" s="46">
        <f>IFERROR(X39*H39,"0")+IFERROR(X40*H40,"0")</f>
        <v>252</v>
      </c>
      <c r="E286" s="46">
        <f>IFERROR(X45*H45,"0")+IFERROR(X46*H46,"0")+IFERROR(X47*H47,"0")</f>
        <v>134.39999999999998</v>
      </c>
      <c r="F286" s="46">
        <f>IFERROR(X52*H52,"0")+IFERROR(X53*H53,"0")+IFERROR(X54*H54,"0")+IFERROR(X55*H55,"0")</f>
        <v>1596</v>
      </c>
      <c r="G286" s="46">
        <f>IFERROR(X60*H60,"0")+IFERROR(X64*H64,"0")+IFERROR(X68*H68,"0")+IFERROR(X69*H69,"0")+IFERROR(X73*H73,"0")+IFERROR(X74*H74,"0")+IFERROR(X75*H75,"0")</f>
        <v>50.400000000000006</v>
      </c>
      <c r="H286" s="46">
        <f>IFERROR(X80*H80,"0")+IFERROR(X81*H81,"0")</f>
        <v>0</v>
      </c>
      <c r="I286" s="46">
        <f>IFERROR(X86*H86,"0")</f>
        <v>0</v>
      </c>
      <c r="J286" s="46">
        <f>IFERROR(X91*H91,"0")+IFERROR(X92*H92,"0")</f>
        <v>151.19999999999999</v>
      </c>
      <c r="K286" s="46">
        <f>IFERROR(X97*H97,"0")+IFERROR(X98*H98,"0")+IFERROR(X99*H99,"0")+IFERROR(X100*H100,"0")+IFERROR(X101*H101,"0")+IFERROR(X102*H102,"0")</f>
        <v>1088.6400000000001</v>
      </c>
      <c r="L286" s="46">
        <f>IFERROR(X107*H107,"0")+IFERROR(X108*H108,"0")</f>
        <v>0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4284.96</v>
      </c>
      <c r="N286" s="265"/>
      <c r="O286" s="46">
        <f>IFERROR(X134*H134,"0")+IFERROR(X135*H135,"0")</f>
        <v>1302</v>
      </c>
      <c r="P286" s="46">
        <f>IFERROR(X140*H140,"0")+IFERROR(X141*H141,"0")</f>
        <v>378</v>
      </c>
      <c r="Q286" s="46">
        <f>IFERROR(X146*H146,"0")+IFERROR(X147*H147,"0")</f>
        <v>268.8</v>
      </c>
      <c r="R286" s="46">
        <f>IFERROR(X152*H152,"0")</f>
        <v>0</v>
      </c>
      <c r="S286" s="46">
        <f>IFERROR(X157*H157,"0")</f>
        <v>37.800000000000004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240</v>
      </c>
      <c r="W286" s="46">
        <f>IFERROR(X180*H180,"0")+IFERROR(X181*H181,"0")+IFERROR(X182*H182,"0")+IFERROR(X186*H186,"0")</f>
        <v>1134</v>
      </c>
      <c r="X286" s="46">
        <f>IFERROR(X192*H192,"0")+IFERROR(X196*H196,"0")+IFERROR(X197*H197,"0")+IFERROR(X198*H198,"0")+IFERROR(X199*H199,"0")+IFERROR(X200*H200,"0")</f>
        <v>38.64</v>
      </c>
      <c r="Y286" s="46">
        <f>IFERROR(X205*H205,"0")</f>
        <v>0</v>
      </c>
      <c r="Z286" s="46">
        <f>IFERROR(X210*H210,"0")</f>
        <v>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360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477.72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6664.8</v>
      </c>
      <c r="B289" s="60">
        <f>SUMPRODUCT(--(BB:BB="ПГП"),--(W:W="кор"),H:H,Y:Y)+SUMPRODUCT(--(BB:BB="ПГП"),--(W:W="кг"),Y:Y)</f>
        <v>5216.16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0"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D266:E266"/>
    <mergeCell ref="U17:V17"/>
    <mergeCell ref="Y17:Y18"/>
    <mergeCell ref="P124:T124"/>
    <mergeCell ref="P163:V163"/>
    <mergeCell ref="D32:E32"/>
    <mergeCell ref="D97:E97"/>
    <mergeCell ref="D268:E268"/>
    <mergeCell ref="P76:V76"/>
    <mergeCell ref="A128:Z128"/>
    <mergeCell ref="A21:Z21"/>
    <mergeCell ref="Q5:R5"/>
    <mergeCell ref="F17:F18"/>
    <mergeCell ref="D120:E120"/>
    <mergeCell ref="P199:T199"/>
    <mergeCell ref="D242:E242"/>
    <mergeCell ref="D107:E107"/>
    <mergeCell ref="Q6:R6"/>
    <mergeCell ref="P200:T200"/>
    <mergeCell ref="P134:T134"/>
    <mergeCell ref="D102:E102"/>
    <mergeCell ref="A204:Z204"/>
    <mergeCell ref="D25:E25"/>
    <mergeCell ref="D196:E196"/>
    <mergeCell ref="A126:O127"/>
    <mergeCell ref="A231:Z231"/>
    <mergeCell ref="D54:E54"/>
    <mergeCell ref="A8:C8"/>
    <mergeCell ref="A10:C10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K284:K285"/>
    <mergeCell ref="A185:Z185"/>
    <mergeCell ref="P196:T196"/>
    <mergeCell ref="M284:M285"/>
    <mergeCell ref="D33:E33"/>
    <mergeCell ref="P281:V281"/>
    <mergeCell ref="A106:Z106"/>
    <mergeCell ref="D226:E226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D270:E270"/>
    <mergeCell ref="P66:V66"/>
    <mergeCell ref="P137:V137"/>
    <mergeCell ref="P239:V239"/>
    <mergeCell ref="A257:Z257"/>
    <mergeCell ref="B284:B285"/>
    <mergeCell ref="P70:V70"/>
    <mergeCell ref="A156:Z156"/>
    <mergeCell ref="P103:V103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H5:M5"/>
    <mergeCell ref="V284:V285"/>
    <mergeCell ref="P158:V158"/>
    <mergeCell ref="P98:T98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D200:E200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J9:M9"/>
    <mergeCell ref="P141:T141"/>
    <mergeCell ref="A65:O66"/>
    <mergeCell ref="A56:O57"/>
    <mergeCell ref="D114:E114"/>
    <mergeCell ref="D64:E64"/>
    <mergeCell ref="P248:T248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H17:H18"/>
    <mergeCell ref="D198:E198"/>
    <mergeCell ref="D269:E269"/>
    <mergeCell ref="P104:V104"/>
    <mergeCell ref="A252:Z252"/>
    <mergeCell ref="P275:V275"/>
    <mergeCell ref="P27:T27"/>
    <mergeCell ref="A13:M13"/>
    <mergeCell ref="D284:D285"/>
    <mergeCell ref="P244:V244"/>
    <mergeCell ref="P115:T115"/>
    <mergeCell ref="D254:E254"/>
    <mergeCell ref="A15:M15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79:Z79"/>
    <mergeCell ref="A82:O83"/>
    <mergeCell ref="T6:U9"/>
    <mergeCell ref="Q10:R10"/>
    <mergeCell ref="P256:V256"/>
    <mergeCell ref="A37:Z37"/>
    <mergeCell ref="A208:Z208"/>
    <mergeCell ref="P149:V149"/>
    <mergeCell ref="A145:Z145"/>
    <mergeCell ref="A139:Z139"/>
    <mergeCell ref="D74:E74"/>
    <mergeCell ref="D68:E68"/>
    <mergeCell ref="A203:Z203"/>
    <mergeCell ref="P126:V126"/>
    <mergeCell ref="P24:T24"/>
    <mergeCell ref="P284:P285"/>
    <mergeCell ref="P260:T260"/>
    <mergeCell ref="A206:O207"/>
    <mergeCell ref="A12:M12"/>
    <mergeCell ref="P74:T74"/>
    <mergeCell ref="P243:V243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227:V227"/>
    <mergeCell ref="P71:V71"/>
    <mergeCell ref="A138:Z138"/>
    <mergeCell ref="P210:T210"/>
    <mergeCell ref="A41:O42"/>
    <mergeCell ref="D264:E264"/>
    <mergeCell ref="D220:E220"/>
    <mergeCell ref="A195:Z195"/>
    <mergeCell ref="P65:V65"/>
    <mergeCell ref="D157:E157"/>
    <mergeCell ref="P136:V136"/>
    <mergeCell ref="P228:V228"/>
    <mergeCell ref="P202:V202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Z284:Z285"/>
    <mergeCell ref="P264:T264"/>
    <mergeCell ref="A201:O202"/>
    <mergeCell ref="P23:T23"/>
    <mergeCell ref="D162:E162"/>
    <mergeCell ref="P219:T219"/>
    <mergeCell ref="P272:T272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P242:T242"/>
    <mergeCell ref="F284:F28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A213:Z213"/>
    <mergeCell ref="A151:Z151"/>
    <mergeCell ref="P154:V154"/>
    <mergeCell ref="A150:Z150"/>
    <mergeCell ref="S284:S285"/>
    <mergeCell ref="U284:U285"/>
    <mergeCell ref="A144:Z144"/>
    <mergeCell ref="P173:T173"/>
    <mergeCell ref="P271:T271"/>
    <mergeCell ref="P265:T26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P222:V222"/>
    <mergeCell ref="P193:V193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129:E129"/>
    <mergeCell ref="P92:T92"/>
    <mergeCell ref="P100:T100"/>
    <mergeCell ref="D81:E81"/>
    <mergeCell ref="A87:O88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P73:T73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2025-12-24T10:23:16Z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