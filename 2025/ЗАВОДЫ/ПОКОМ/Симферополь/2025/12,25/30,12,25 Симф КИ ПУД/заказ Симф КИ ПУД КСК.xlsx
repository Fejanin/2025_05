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Simf\"/>
    </mc:Choice>
  </mc:AlternateContent>
  <xr:revisionPtr revIDLastSave="0" documentId="13_ncr:1_{862D3F4F-2C6C-4733-8748-A778CA3274A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Y479" i="1" s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P468" i="1"/>
  <c r="BO468" i="1"/>
  <c r="BN468" i="1"/>
  <c r="BM468" i="1"/>
  <c r="Z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P416" i="1"/>
  <c r="BO416" i="1"/>
  <c r="BN416" i="1"/>
  <c r="BM416" i="1"/>
  <c r="Z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P397" i="1"/>
  <c r="BO397" i="1"/>
  <c r="BN397" i="1"/>
  <c r="BM397" i="1"/>
  <c r="Z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X383" i="1"/>
  <c r="Y382" i="1"/>
  <c r="X382" i="1"/>
  <c r="BP381" i="1"/>
  <c r="BO381" i="1"/>
  <c r="BN381" i="1"/>
  <c r="BM381" i="1"/>
  <c r="Z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BP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BP267" i="1" s="1"/>
  <c r="P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BP263" i="1" s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BP257" i="1" s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BP242" i="1" s="1"/>
  <c r="P242" i="1"/>
  <c r="BO241" i="1"/>
  <c r="BM241" i="1"/>
  <c r="Y241" i="1"/>
  <c r="BP241" i="1" s="1"/>
  <c r="P241" i="1"/>
  <c r="BP240" i="1"/>
  <c r="BO240" i="1"/>
  <c r="BN240" i="1"/>
  <c r="BM240" i="1"/>
  <c r="Z240" i="1"/>
  <c r="Y240" i="1"/>
  <c r="P240" i="1"/>
  <c r="BO239" i="1"/>
  <c r="BM239" i="1"/>
  <c r="Y239" i="1"/>
  <c r="BP239" i="1" s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BP234" i="1" s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Y231" i="1" s="1"/>
  <c r="P228" i="1"/>
  <c r="X226" i="1"/>
  <c r="X225" i="1"/>
  <c r="BO224" i="1"/>
  <c r="BM224" i="1"/>
  <c r="Y224" i="1"/>
  <c r="BP224" i="1" s="1"/>
  <c r="P224" i="1"/>
  <c r="BO223" i="1"/>
  <c r="BM223" i="1"/>
  <c r="Y223" i="1"/>
  <c r="BP223" i="1" s="1"/>
  <c r="P223" i="1"/>
  <c r="BO222" i="1"/>
  <c r="BM222" i="1"/>
  <c r="Y222" i="1"/>
  <c r="BP222" i="1" s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BP219" i="1" s="1"/>
  <c r="P219" i="1"/>
  <c r="BO218" i="1"/>
  <c r="BM218" i="1"/>
  <c r="Y218" i="1"/>
  <c r="BP218" i="1" s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BP212" i="1" s="1"/>
  <c r="P212" i="1"/>
  <c r="BO211" i="1"/>
  <c r="BM211" i="1"/>
  <c r="Y211" i="1"/>
  <c r="BP211" i="1" s="1"/>
  <c r="P211" i="1"/>
  <c r="BO210" i="1"/>
  <c r="BM210" i="1"/>
  <c r="Y210" i="1"/>
  <c r="BP210" i="1" s="1"/>
  <c r="P210" i="1"/>
  <c r="BO209" i="1"/>
  <c r="BM209" i="1"/>
  <c r="Y209" i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BP206" i="1" s="1"/>
  <c r="P206" i="1"/>
  <c r="BP205" i="1"/>
  <c r="BO205" i="1"/>
  <c r="BN205" i="1"/>
  <c r="BM205" i="1"/>
  <c r="Z205" i="1"/>
  <c r="Y205" i="1"/>
  <c r="P205" i="1"/>
  <c r="X203" i="1"/>
  <c r="X202" i="1"/>
  <c r="BO201" i="1"/>
  <c r="BM201" i="1"/>
  <c r="Y201" i="1"/>
  <c r="BP201" i="1" s="1"/>
  <c r="P201" i="1"/>
  <c r="BO200" i="1"/>
  <c r="BM200" i="1"/>
  <c r="Y200" i="1"/>
  <c r="Y203" i="1" s="1"/>
  <c r="P200" i="1"/>
  <c r="X198" i="1"/>
  <c r="X197" i="1"/>
  <c r="BO196" i="1"/>
  <c r="BM196" i="1"/>
  <c r="Y196" i="1"/>
  <c r="BP196" i="1" s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BP186" i="1" s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BP176" i="1" s="1"/>
  <c r="P176" i="1"/>
  <c r="BO175" i="1"/>
  <c r="BM175" i="1"/>
  <c r="Y175" i="1"/>
  <c r="BP175" i="1" s="1"/>
  <c r="P175" i="1"/>
  <c r="BP174" i="1"/>
  <c r="BO174" i="1"/>
  <c r="BN174" i="1"/>
  <c r="BM174" i="1"/>
  <c r="Z174" i="1"/>
  <c r="Y174" i="1"/>
  <c r="P174" i="1"/>
  <c r="BO173" i="1"/>
  <c r="BM173" i="1"/>
  <c r="Y173" i="1"/>
  <c r="BP173" i="1" s="1"/>
  <c r="P173" i="1"/>
  <c r="BO172" i="1"/>
  <c r="BM172" i="1"/>
  <c r="Y172" i="1"/>
  <c r="BP172" i="1" s="1"/>
  <c r="P172" i="1"/>
  <c r="BO171" i="1"/>
  <c r="BM171" i="1"/>
  <c r="Y171" i="1"/>
  <c r="BP171" i="1" s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BP168" i="1" s="1"/>
  <c r="BO167" i="1"/>
  <c r="BM167" i="1"/>
  <c r="Y167" i="1"/>
  <c r="X165" i="1"/>
  <c r="X164" i="1"/>
  <c r="BO163" i="1"/>
  <c r="BM163" i="1"/>
  <c r="Y163" i="1"/>
  <c r="P163" i="1"/>
  <c r="X159" i="1"/>
  <c r="X158" i="1"/>
  <c r="BO157" i="1"/>
  <c r="BM157" i="1"/>
  <c r="Y157" i="1"/>
  <c r="Y158" i="1" s="1"/>
  <c r="P157" i="1"/>
  <c r="X155" i="1"/>
  <c r="X154" i="1"/>
  <c r="BO153" i="1"/>
  <c r="BM153" i="1"/>
  <c r="Y153" i="1"/>
  <c r="BP153" i="1" s="1"/>
  <c r="P153" i="1"/>
  <c r="BO152" i="1"/>
  <c r="BM152" i="1"/>
  <c r="Y152" i="1"/>
  <c r="BP152" i="1" s="1"/>
  <c r="P152" i="1"/>
  <c r="BO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Y149" i="1"/>
  <c r="BP149" i="1" s="1"/>
  <c r="P149" i="1"/>
  <c r="BO148" i="1"/>
  <c r="BM148" i="1"/>
  <c r="Y148" i="1"/>
  <c r="P148" i="1"/>
  <c r="X146" i="1"/>
  <c r="X145" i="1"/>
  <c r="BP144" i="1"/>
  <c r="BO144" i="1"/>
  <c r="BN144" i="1"/>
  <c r="BM144" i="1"/>
  <c r="Z144" i="1"/>
  <c r="Y144" i="1"/>
  <c r="P144" i="1"/>
  <c r="BO143" i="1"/>
  <c r="BM143" i="1"/>
  <c r="Y143" i="1"/>
  <c r="P143" i="1"/>
  <c r="X140" i="1"/>
  <c r="X139" i="1"/>
  <c r="BO138" i="1"/>
  <c r="BM138" i="1"/>
  <c r="Y138" i="1"/>
  <c r="BP138" i="1" s="1"/>
  <c r="P138" i="1"/>
  <c r="BO137" i="1"/>
  <c r="BM137" i="1"/>
  <c r="Y137" i="1"/>
  <c r="Y139" i="1" s="1"/>
  <c r="P137" i="1"/>
  <c r="X135" i="1"/>
  <c r="X134" i="1"/>
  <c r="BO133" i="1"/>
  <c r="BM133" i="1"/>
  <c r="Y133" i="1"/>
  <c r="BP133" i="1" s="1"/>
  <c r="P133" i="1"/>
  <c r="BO132" i="1"/>
  <c r="BM132" i="1"/>
  <c r="Y132" i="1"/>
  <c r="Y135" i="1" s="1"/>
  <c r="P132" i="1"/>
  <c r="X130" i="1"/>
  <c r="X129" i="1"/>
  <c r="BO128" i="1"/>
  <c r="BM128" i="1"/>
  <c r="Y128" i="1"/>
  <c r="BP128" i="1" s="1"/>
  <c r="P128" i="1"/>
  <c r="BO127" i="1"/>
  <c r="BM127" i="1"/>
  <c r="Y127" i="1"/>
  <c r="BP127" i="1" s="1"/>
  <c r="P127" i="1"/>
  <c r="X124" i="1"/>
  <c r="X123" i="1"/>
  <c r="BO122" i="1"/>
  <c r="BM122" i="1"/>
  <c r="Y122" i="1"/>
  <c r="Y124" i="1" s="1"/>
  <c r="P122" i="1"/>
  <c r="X120" i="1"/>
  <c r="X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BP116" i="1" s="1"/>
  <c r="P116" i="1"/>
  <c r="BO115" i="1"/>
  <c r="BM115" i="1"/>
  <c r="Y115" i="1"/>
  <c r="Y120" i="1" s="1"/>
  <c r="P115" i="1"/>
  <c r="X113" i="1"/>
  <c r="X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O108" i="1"/>
  <c r="BM108" i="1"/>
  <c r="Y108" i="1"/>
  <c r="Y112" i="1" s="1"/>
  <c r="P108" i="1"/>
  <c r="X106" i="1"/>
  <c r="X105" i="1"/>
  <c r="BP104" i="1"/>
  <c r="BO104" i="1"/>
  <c r="BN104" i="1"/>
  <c r="BM104" i="1"/>
  <c r="Z104" i="1"/>
  <c r="Y104" i="1"/>
  <c r="P104" i="1"/>
  <c r="BO103" i="1"/>
  <c r="BM103" i="1"/>
  <c r="Y103" i="1"/>
  <c r="BP103" i="1" s="1"/>
  <c r="P103" i="1"/>
  <c r="BO102" i="1"/>
  <c r="BM102" i="1"/>
  <c r="Y102" i="1"/>
  <c r="BP102" i="1" s="1"/>
  <c r="P102" i="1"/>
  <c r="BO101" i="1"/>
  <c r="BM101" i="1"/>
  <c r="Y101" i="1"/>
  <c r="BP101" i="1" s="1"/>
  <c r="P101" i="1"/>
  <c r="BO100" i="1"/>
  <c r="BM100" i="1"/>
  <c r="Y100" i="1"/>
  <c r="BP100" i="1" s="1"/>
  <c r="P100" i="1"/>
  <c r="X97" i="1"/>
  <c r="X96" i="1"/>
  <c r="BO95" i="1"/>
  <c r="BM95" i="1"/>
  <c r="Y95" i="1"/>
  <c r="BP95" i="1" s="1"/>
  <c r="P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P92" i="1"/>
  <c r="X90" i="1"/>
  <c r="X89" i="1"/>
  <c r="BO88" i="1"/>
  <c r="BM88" i="1"/>
  <c r="Y88" i="1"/>
  <c r="P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P79" i="1"/>
  <c r="X77" i="1"/>
  <c r="X76" i="1"/>
  <c r="BO75" i="1"/>
  <c r="BM75" i="1"/>
  <c r="Y75" i="1"/>
  <c r="P75" i="1"/>
  <c r="BP74" i="1"/>
  <c r="BO74" i="1"/>
  <c r="BN74" i="1"/>
  <c r="BM74" i="1"/>
  <c r="Z74" i="1"/>
  <c r="Y74" i="1"/>
  <c r="P74" i="1"/>
  <c r="BO73" i="1"/>
  <c r="BM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P67" i="1"/>
  <c r="X65" i="1"/>
  <c r="X64" i="1"/>
  <c r="BO63" i="1"/>
  <c r="BM63" i="1"/>
  <c r="Y63" i="1"/>
  <c r="P63" i="1"/>
  <c r="BO62" i="1"/>
  <c r="BM62" i="1"/>
  <c r="Y62" i="1"/>
  <c r="BP62" i="1" s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BP52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P30" i="1"/>
  <c r="BO29" i="1"/>
  <c r="BM29" i="1"/>
  <c r="Y29" i="1"/>
  <c r="BP29" i="1" s="1"/>
  <c r="P29" i="1"/>
  <c r="BO28" i="1"/>
  <c r="BM28" i="1"/>
  <c r="Y28" i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BM22" i="1"/>
  <c r="Y22" i="1"/>
  <c r="Y24" i="1" s="1"/>
  <c r="P22" i="1"/>
  <c r="H10" i="1"/>
  <c r="A9" i="1"/>
  <c r="D7" i="1"/>
  <c r="Q6" i="1"/>
  <c r="P2" i="1"/>
  <c r="BP178" i="1" l="1"/>
  <c r="BN178" i="1"/>
  <c r="Z178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66" i="1"/>
  <c r="BN366" i="1"/>
  <c r="Z366" i="1"/>
  <c r="BP401" i="1"/>
  <c r="BN401" i="1"/>
  <c r="Z401" i="1"/>
  <c r="BP434" i="1"/>
  <c r="BN434" i="1"/>
  <c r="Z434" i="1"/>
  <c r="BP454" i="1"/>
  <c r="BN454" i="1"/>
  <c r="Z454" i="1"/>
  <c r="Z29" i="1"/>
  <c r="BN29" i="1"/>
  <c r="Z47" i="1"/>
  <c r="Z48" i="1" s="1"/>
  <c r="BN47" i="1"/>
  <c r="BP47" i="1"/>
  <c r="Y48" i="1"/>
  <c r="Z52" i="1"/>
  <c r="BN52" i="1"/>
  <c r="Z68" i="1"/>
  <c r="BN68" i="1"/>
  <c r="Y76" i="1"/>
  <c r="Z85" i="1"/>
  <c r="BN85" i="1"/>
  <c r="Z100" i="1"/>
  <c r="BN100" i="1"/>
  <c r="Z110" i="1"/>
  <c r="BN110" i="1"/>
  <c r="Z133" i="1"/>
  <c r="BN133" i="1"/>
  <c r="BP170" i="1"/>
  <c r="BN170" i="1"/>
  <c r="Z170" i="1"/>
  <c r="Y192" i="1"/>
  <c r="Y191" i="1"/>
  <c r="BP190" i="1"/>
  <c r="BN190" i="1"/>
  <c r="Z190" i="1"/>
  <c r="Z191" i="1" s="1"/>
  <c r="BP195" i="1"/>
  <c r="BN195" i="1"/>
  <c r="Z19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3" i="1"/>
  <c r="BN393" i="1"/>
  <c r="Z393" i="1"/>
  <c r="Y424" i="1"/>
  <c r="BP423" i="1"/>
  <c r="BN423" i="1"/>
  <c r="Z423" i="1"/>
  <c r="Z424" i="1" s="1"/>
  <c r="BP444" i="1"/>
  <c r="BN444" i="1"/>
  <c r="Z444" i="1"/>
  <c r="BP478" i="1"/>
  <c r="BN478" i="1"/>
  <c r="Z478" i="1"/>
  <c r="Y484" i="1"/>
  <c r="Y483" i="1"/>
  <c r="BP482" i="1"/>
  <c r="BN482" i="1"/>
  <c r="Z482" i="1"/>
  <c r="Z483" i="1" s="1"/>
  <c r="BP486" i="1"/>
  <c r="BN486" i="1"/>
  <c r="Z486" i="1"/>
  <c r="Y154" i="1"/>
  <c r="Y182" i="1"/>
  <c r="Y77" i="1"/>
  <c r="BP288" i="1"/>
  <c r="BN288" i="1"/>
  <c r="BP301" i="1"/>
  <c r="BN301" i="1"/>
  <c r="Z301" i="1"/>
  <c r="Y319" i="1"/>
  <c r="BP315" i="1"/>
  <c r="BN315" i="1"/>
  <c r="Z315" i="1"/>
  <c r="BP331" i="1"/>
  <c r="BN331" i="1"/>
  <c r="Z331" i="1"/>
  <c r="Y358" i="1"/>
  <c r="BP350" i="1"/>
  <c r="BN350" i="1"/>
  <c r="Z350" i="1"/>
  <c r="BP360" i="1"/>
  <c r="BN360" i="1"/>
  <c r="Z360" i="1"/>
  <c r="BP387" i="1"/>
  <c r="BN387" i="1"/>
  <c r="Z387" i="1"/>
  <c r="BP399" i="1"/>
  <c r="BN399" i="1"/>
  <c r="Z399" i="1"/>
  <c r="BP418" i="1"/>
  <c r="BN418" i="1"/>
  <c r="Z418" i="1"/>
  <c r="BP432" i="1"/>
  <c r="BN432" i="1"/>
  <c r="Z432" i="1"/>
  <c r="BP440" i="1"/>
  <c r="BN440" i="1"/>
  <c r="Z440" i="1"/>
  <c r="BP452" i="1"/>
  <c r="BN452" i="1"/>
  <c r="Z452" i="1"/>
  <c r="Y474" i="1"/>
  <c r="BP472" i="1"/>
  <c r="BN472" i="1"/>
  <c r="Z472" i="1"/>
  <c r="X496" i="1"/>
  <c r="Z23" i="1"/>
  <c r="BN23" i="1"/>
  <c r="Z27" i="1"/>
  <c r="BN27" i="1"/>
  <c r="Y32" i="1"/>
  <c r="Z31" i="1"/>
  <c r="BN31" i="1"/>
  <c r="Z43" i="1"/>
  <c r="BN43" i="1"/>
  <c r="Z54" i="1"/>
  <c r="BN54" i="1"/>
  <c r="Z62" i="1"/>
  <c r="BN62" i="1"/>
  <c r="Z72" i="1"/>
  <c r="BN72" i="1"/>
  <c r="BP72" i="1"/>
  <c r="Z80" i="1"/>
  <c r="BN80" i="1"/>
  <c r="Z87" i="1"/>
  <c r="BN87" i="1"/>
  <c r="Y97" i="1"/>
  <c r="Z95" i="1"/>
  <c r="BN95" i="1"/>
  <c r="F505" i="1"/>
  <c r="Z102" i="1"/>
  <c r="BN102" i="1"/>
  <c r="Z108" i="1"/>
  <c r="BN108" i="1"/>
  <c r="BP108" i="1"/>
  <c r="Z116" i="1"/>
  <c r="BN116" i="1"/>
  <c r="Z122" i="1"/>
  <c r="Z123" i="1" s="1"/>
  <c r="BN122" i="1"/>
  <c r="BP122" i="1"/>
  <c r="Y123" i="1"/>
  <c r="Z127" i="1"/>
  <c r="BN127" i="1"/>
  <c r="Z137" i="1"/>
  <c r="BN137" i="1"/>
  <c r="BP137" i="1"/>
  <c r="H505" i="1"/>
  <c r="Z148" i="1"/>
  <c r="BN148" i="1"/>
  <c r="BP148" i="1"/>
  <c r="Z152" i="1"/>
  <c r="BN152" i="1"/>
  <c r="I505" i="1"/>
  <c r="Z167" i="1"/>
  <c r="BN167" i="1"/>
  <c r="BP167" i="1"/>
  <c r="Z168" i="1"/>
  <c r="BN168" i="1"/>
  <c r="Z172" i="1"/>
  <c r="BN172" i="1"/>
  <c r="Z176" i="1"/>
  <c r="BN176" i="1"/>
  <c r="Z180" i="1"/>
  <c r="BN180" i="1"/>
  <c r="Y188" i="1"/>
  <c r="Z186" i="1"/>
  <c r="BN186" i="1"/>
  <c r="Y197" i="1"/>
  <c r="Z201" i="1"/>
  <c r="BN201" i="1"/>
  <c r="Y213" i="1"/>
  <c r="Z207" i="1"/>
  <c r="BN207" i="1"/>
  <c r="Z211" i="1"/>
  <c r="BN211" i="1"/>
  <c r="Y225" i="1"/>
  <c r="Z219" i="1"/>
  <c r="BN219" i="1"/>
  <c r="Z223" i="1"/>
  <c r="BN223" i="1"/>
  <c r="Z234" i="1"/>
  <c r="BN234" i="1"/>
  <c r="Z238" i="1"/>
  <c r="BN238" i="1"/>
  <c r="Z242" i="1"/>
  <c r="BN242" i="1"/>
  <c r="Y260" i="1"/>
  <c r="Z256" i="1"/>
  <c r="BN256" i="1"/>
  <c r="Z263" i="1"/>
  <c r="BN263" i="1"/>
  <c r="Z267" i="1"/>
  <c r="BN267" i="1"/>
  <c r="Z274" i="1"/>
  <c r="BN274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72" i="1"/>
  <c r="Y371" i="1"/>
  <c r="BP370" i="1"/>
  <c r="BN370" i="1"/>
  <c r="Z370" i="1"/>
  <c r="Z371" i="1" s="1"/>
  <c r="BP375" i="1"/>
  <c r="BN375" i="1"/>
  <c r="Z375" i="1"/>
  <c r="BP395" i="1"/>
  <c r="BN395" i="1"/>
  <c r="Z395" i="1"/>
  <c r="Y407" i="1"/>
  <c r="BP405" i="1"/>
  <c r="BN405" i="1"/>
  <c r="Z405" i="1"/>
  <c r="BP436" i="1"/>
  <c r="BN436" i="1"/>
  <c r="Z436" i="1"/>
  <c r="BP446" i="1"/>
  <c r="BN446" i="1"/>
  <c r="Z446" i="1"/>
  <c r="BP466" i="1"/>
  <c r="BN466" i="1"/>
  <c r="Z466" i="1"/>
  <c r="Y339" i="1"/>
  <c r="Y338" i="1"/>
  <c r="U505" i="1"/>
  <c r="Y425" i="1"/>
  <c r="Y456" i="1"/>
  <c r="W505" i="1"/>
  <c r="F10" i="1"/>
  <c r="J9" i="1"/>
  <c r="F9" i="1"/>
  <c r="A10" i="1"/>
  <c r="BP55" i="1"/>
  <c r="BN55" i="1"/>
  <c r="Z55" i="1"/>
  <c r="BP63" i="1"/>
  <c r="BN63" i="1"/>
  <c r="Z63" i="1"/>
  <c r="Y70" i="1"/>
  <c r="BP67" i="1"/>
  <c r="BN67" i="1"/>
  <c r="Z67" i="1"/>
  <c r="Z69" i="1" s="1"/>
  <c r="BP88" i="1"/>
  <c r="BN88" i="1"/>
  <c r="Z88" i="1"/>
  <c r="BP28" i="1"/>
  <c r="BN28" i="1"/>
  <c r="Z28" i="1"/>
  <c r="BP42" i="1"/>
  <c r="BN42" i="1"/>
  <c r="Z42" i="1"/>
  <c r="Z44" i="1" s="1"/>
  <c r="Y65" i="1"/>
  <c r="BP75" i="1"/>
  <c r="BN75" i="1"/>
  <c r="Z75" i="1"/>
  <c r="Y82" i="1"/>
  <c r="BP79" i="1"/>
  <c r="BN79" i="1"/>
  <c r="Z79" i="1"/>
  <c r="Z81" i="1" s="1"/>
  <c r="H9" i="1"/>
  <c r="Y25" i="1"/>
  <c r="BP22" i="1"/>
  <c r="BN22" i="1"/>
  <c r="Z22" i="1"/>
  <c r="B505" i="1"/>
  <c r="X497" i="1"/>
  <c r="X498" i="1" s="1"/>
  <c r="X495" i="1"/>
  <c r="Y33" i="1"/>
  <c r="BP30" i="1"/>
  <c r="BN30" i="1"/>
  <c r="Z30" i="1"/>
  <c r="Y44" i="1"/>
  <c r="BP53" i="1"/>
  <c r="BN53" i="1"/>
  <c r="Z53" i="1"/>
  <c r="Z58" i="1" s="1"/>
  <c r="BP57" i="1"/>
  <c r="BN57" i="1"/>
  <c r="Z57" i="1"/>
  <c r="Y59" i="1"/>
  <c r="Y64" i="1"/>
  <c r="BP61" i="1"/>
  <c r="BN61" i="1"/>
  <c r="Z61" i="1"/>
  <c r="Z64" i="1" s="1"/>
  <c r="Y69" i="1"/>
  <c r="BP73" i="1"/>
  <c r="BN73" i="1"/>
  <c r="Z73" i="1"/>
  <c r="Z76" i="1" s="1"/>
  <c r="Y81" i="1"/>
  <c r="BP86" i="1"/>
  <c r="BN86" i="1"/>
  <c r="Z86" i="1"/>
  <c r="Z89" i="1" s="1"/>
  <c r="Y90" i="1"/>
  <c r="Y96" i="1"/>
  <c r="Y105" i="1"/>
  <c r="Y113" i="1"/>
  <c r="Y119" i="1"/>
  <c r="Y130" i="1"/>
  <c r="Y134" i="1"/>
  <c r="Y140" i="1"/>
  <c r="Y145" i="1"/>
  <c r="Y155" i="1"/>
  <c r="Y159" i="1"/>
  <c r="Y165" i="1"/>
  <c r="Y181" i="1"/>
  <c r="Y187" i="1"/>
  <c r="Y198" i="1"/>
  <c r="Y202" i="1"/>
  <c r="Y214" i="1"/>
  <c r="Y226" i="1"/>
  <c r="Y230" i="1"/>
  <c r="Y243" i="1"/>
  <c r="Y259" i="1"/>
  <c r="BP275" i="1"/>
  <c r="BN275" i="1"/>
  <c r="Z275" i="1"/>
  <c r="Y277" i="1"/>
  <c r="Y283" i="1"/>
  <c r="BP280" i="1"/>
  <c r="BN280" i="1"/>
  <c r="Z280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BP310" i="1"/>
  <c r="BN310" i="1"/>
  <c r="Z310" i="1"/>
  <c r="BP318" i="1"/>
  <c r="BN318" i="1"/>
  <c r="Z318" i="1"/>
  <c r="Y320" i="1"/>
  <c r="Y325" i="1"/>
  <c r="BP322" i="1"/>
  <c r="BN322" i="1"/>
  <c r="Z322" i="1"/>
  <c r="BP330" i="1"/>
  <c r="BN330" i="1"/>
  <c r="Z330" i="1"/>
  <c r="BP343" i="1"/>
  <c r="BN343" i="1"/>
  <c r="Z343" i="1"/>
  <c r="BP353" i="1"/>
  <c r="BN353" i="1"/>
  <c r="Z353" i="1"/>
  <c r="Y357" i="1"/>
  <c r="BP361" i="1"/>
  <c r="BN361" i="1"/>
  <c r="Z361" i="1"/>
  <c r="Z362" i="1" s="1"/>
  <c r="Y363" i="1"/>
  <c r="Y368" i="1"/>
  <c r="BP365" i="1"/>
  <c r="BN365" i="1"/>
  <c r="Z365" i="1"/>
  <c r="Z367" i="1" s="1"/>
  <c r="BP386" i="1"/>
  <c r="BN386" i="1"/>
  <c r="Z386" i="1"/>
  <c r="Z388" i="1" s="1"/>
  <c r="BP396" i="1"/>
  <c r="BN396" i="1"/>
  <c r="Z396" i="1"/>
  <c r="BP400" i="1"/>
  <c r="BN400" i="1"/>
  <c r="Z400" i="1"/>
  <c r="BP417" i="1"/>
  <c r="BN417" i="1"/>
  <c r="Z417" i="1"/>
  <c r="BP453" i="1"/>
  <c r="BN453" i="1"/>
  <c r="Z453" i="1"/>
  <c r="BP467" i="1"/>
  <c r="BN467" i="1"/>
  <c r="Z467" i="1"/>
  <c r="J505" i="1"/>
  <c r="S505" i="1"/>
  <c r="X499" i="1"/>
  <c r="C505" i="1"/>
  <c r="Y45" i="1"/>
  <c r="D505" i="1"/>
  <c r="Y58" i="1"/>
  <c r="E505" i="1"/>
  <c r="Y89" i="1"/>
  <c r="Z92" i="1"/>
  <c r="BN92" i="1"/>
  <c r="BP92" i="1"/>
  <c r="Z94" i="1"/>
  <c r="BN94" i="1"/>
  <c r="Z101" i="1"/>
  <c r="BN101" i="1"/>
  <c r="Z103" i="1"/>
  <c r="BN103" i="1"/>
  <c r="Y106" i="1"/>
  <c r="Z109" i="1"/>
  <c r="BN109" i="1"/>
  <c r="Z111" i="1"/>
  <c r="BN111" i="1"/>
  <c r="Z115" i="1"/>
  <c r="BN115" i="1"/>
  <c r="BP115" i="1"/>
  <c r="Z117" i="1"/>
  <c r="BN117" i="1"/>
  <c r="G505" i="1"/>
  <c r="Z128" i="1"/>
  <c r="Z129" i="1" s="1"/>
  <c r="BN128" i="1"/>
  <c r="Y129" i="1"/>
  <c r="Z132" i="1"/>
  <c r="Z134" i="1" s="1"/>
  <c r="BN132" i="1"/>
  <c r="BP132" i="1"/>
  <c r="Z138" i="1"/>
  <c r="Z139" i="1" s="1"/>
  <c r="BN138" i="1"/>
  <c r="Z143" i="1"/>
  <c r="Z145" i="1" s="1"/>
  <c r="BN143" i="1"/>
  <c r="BP143" i="1"/>
  <c r="Y146" i="1"/>
  <c r="Z149" i="1"/>
  <c r="BN149" i="1"/>
  <c r="Z151" i="1"/>
  <c r="BN151" i="1"/>
  <c r="Z153" i="1"/>
  <c r="BN153" i="1"/>
  <c r="Z157" i="1"/>
  <c r="Z158" i="1" s="1"/>
  <c r="BN157" i="1"/>
  <c r="BP157" i="1"/>
  <c r="Z163" i="1"/>
  <c r="Z164" i="1" s="1"/>
  <c r="BN163" i="1"/>
  <c r="BP163" i="1"/>
  <c r="Y164" i="1"/>
  <c r="Z169" i="1"/>
  <c r="BN169" i="1"/>
  <c r="Z171" i="1"/>
  <c r="BN171" i="1"/>
  <c r="Z173" i="1"/>
  <c r="BN173" i="1"/>
  <c r="Z175" i="1"/>
  <c r="BN175" i="1"/>
  <c r="Z177" i="1"/>
  <c r="BN177" i="1"/>
  <c r="Z179" i="1"/>
  <c r="BN179" i="1"/>
  <c r="Z185" i="1"/>
  <c r="Z187" i="1" s="1"/>
  <c r="BN185" i="1"/>
  <c r="Z196" i="1"/>
  <c r="Z197" i="1" s="1"/>
  <c r="BN196" i="1"/>
  <c r="Z200" i="1"/>
  <c r="Z202" i="1" s="1"/>
  <c r="BN200" i="1"/>
  <c r="BP200" i="1"/>
  <c r="Z206" i="1"/>
  <c r="BN206" i="1"/>
  <c r="Z208" i="1"/>
  <c r="BN208" i="1"/>
  <c r="Z210" i="1"/>
  <c r="BN210" i="1"/>
  <c r="Z212" i="1"/>
  <c r="BN212" i="1"/>
  <c r="Z216" i="1"/>
  <c r="BN216" i="1"/>
  <c r="BP216" i="1"/>
  <c r="Z218" i="1"/>
  <c r="BN218" i="1"/>
  <c r="Z220" i="1"/>
  <c r="BN220" i="1"/>
  <c r="Z222" i="1"/>
  <c r="BN222" i="1"/>
  <c r="Z224" i="1"/>
  <c r="BN224" i="1"/>
  <c r="Z228" i="1"/>
  <c r="Z230" i="1" s="1"/>
  <c r="BN228" i="1"/>
  <c r="BP228" i="1"/>
  <c r="K505" i="1"/>
  <c r="Z235" i="1"/>
  <c r="BN235" i="1"/>
  <c r="Z237" i="1"/>
  <c r="BN237" i="1"/>
  <c r="Z239" i="1"/>
  <c r="BN239" i="1"/>
  <c r="Z241" i="1"/>
  <c r="BN241" i="1"/>
  <c r="Y244" i="1"/>
  <c r="Z255" i="1"/>
  <c r="BN255" i="1"/>
  <c r="Z257" i="1"/>
  <c r="BN257" i="1"/>
  <c r="L505" i="1"/>
  <c r="Y269" i="1"/>
  <c r="Z264" i="1"/>
  <c r="BN264" i="1"/>
  <c r="Z266" i="1"/>
  <c r="BN266" i="1"/>
  <c r="Y268" i="1"/>
  <c r="BP273" i="1"/>
  <c r="BN273" i="1"/>
  <c r="Z273" i="1"/>
  <c r="Z276" i="1" s="1"/>
  <c r="BP282" i="1"/>
  <c r="BN282" i="1"/>
  <c r="Z282" i="1"/>
  <c r="Y284" i="1"/>
  <c r="P505" i="1"/>
  <c r="Y290" i="1"/>
  <c r="BP287" i="1"/>
  <c r="BN287" i="1"/>
  <c r="Z287" i="1"/>
  <c r="Z289" i="1" s="1"/>
  <c r="Y294" i="1"/>
  <c r="BP300" i="1"/>
  <c r="BN300" i="1"/>
  <c r="Z300" i="1"/>
  <c r="BP308" i="1"/>
  <c r="BN308" i="1"/>
  <c r="Z308" i="1"/>
  <c r="Y312" i="1"/>
  <c r="BP316" i="1"/>
  <c r="BN316" i="1"/>
  <c r="Z316" i="1"/>
  <c r="Z319" i="1" s="1"/>
  <c r="BP324" i="1"/>
  <c r="BN324" i="1"/>
  <c r="Z324" i="1"/>
  <c r="Y326" i="1"/>
  <c r="Y333" i="1"/>
  <c r="BP328" i="1"/>
  <c r="BN328" i="1"/>
  <c r="Z328" i="1"/>
  <c r="Z332" i="1" s="1"/>
  <c r="Y332" i="1"/>
  <c r="BP336" i="1"/>
  <c r="BN336" i="1"/>
  <c r="Z336" i="1"/>
  <c r="Z338" i="1" s="1"/>
  <c r="Y345" i="1"/>
  <c r="BP351" i="1"/>
  <c r="BN351" i="1"/>
  <c r="Z351" i="1"/>
  <c r="BP355" i="1"/>
  <c r="BN355" i="1"/>
  <c r="Z355" i="1"/>
  <c r="Y362" i="1"/>
  <c r="Y367" i="1"/>
  <c r="BP376" i="1"/>
  <c r="BN376" i="1"/>
  <c r="Z376" i="1"/>
  <c r="Z377" i="1" s="1"/>
  <c r="Y378" i="1"/>
  <c r="Y383" i="1"/>
  <c r="BP380" i="1"/>
  <c r="BN380" i="1"/>
  <c r="Z380" i="1"/>
  <c r="Z382" i="1" s="1"/>
  <c r="Y389" i="1"/>
  <c r="Y388" i="1"/>
  <c r="BP394" i="1"/>
  <c r="BN394" i="1"/>
  <c r="Z394" i="1"/>
  <c r="Z402" i="1" s="1"/>
  <c r="BP398" i="1"/>
  <c r="BN398" i="1"/>
  <c r="Z398" i="1"/>
  <c r="Y402" i="1"/>
  <c r="BP406" i="1"/>
  <c r="BN406" i="1"/>
  <c r="Z406" i="1"/>
  <c r="Y408" i="1"/>
  <c r="V505" i="1"/>
  <c r="Y412" i="1"/>
  <c r="BP411" i="1"/>
  <c r="BN411" i="1"/>
  <c r="Z411" i="1"/>
  <c r="Z412" i="1" s="1"/>
  <c r="Y413" i="1"/>
  <c r="Y420" i="1"/>
  <c r="BP415" i="1"/>
  <c r="BN415" i="1"/>
  <c r="Z415" i="1"/>
  <c r="Z419" i="1" s="1"/>
  <c r="Y419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Z447" i="1"/>
  <c r="BP445" i="1"/>
  <c r="BN445" i="1"/>
  <c r="Z445" i="1"/>
  <c r="Y447" i="1"/>
  <c r="BP487" i="1"/>
  <c r="BN487" i="1"/>
  <c r="Z487" i="1"/>
  <c r="Y489" i="1"/>
  <c r="Z505" i="1"/>
  <c r="Y493" i="1"/>
  <c r="BP492" i="1"/>
  <c r="BN492" i="1"/>
  <c r="Z492" i="1"/>
  <c r="Z493" i="1" s="1"/>
  <c r="Y494" i="1"/>
  <c r="O505" i="1"/>
  <c r="M505" i="1"/>
  <c r="Y276" i="1"/>
  <c r="R505" i="1"/>
  <c r="Y346" i="1"/>
  <c r="T505" i="1"/>
  <c r="Y377" i="1"/>
  <c r="Y403" i="1"/>
  <c r="BP431" i="1"/>
  <c r="BN431" i="1"/>
  <c r="Z431" i="1"/>
  <c r="BP435" i="1"/>
  <c r="BN435" i="1"/>
  <c r="Z435" i="1"/>
  <c r="BP439" i="1"/>
  <c r="BN439" i="1"/>
  <c r="Z439" i="1"/>
  <c r="Y448" i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Z469" i="1" s="1"/>
  <c r="Y469" i="1"/>
  <c r="BP473" i="1"/>
  <c r="BN473" i="1"/>
  <c r="Z473" i="1"/>
  <c r="Z474" i="1" s="1"/>
  <c r="Y475" i="1"/>
  <c r="Y480" i="1"/>
  <c r="BP477" i="1"/>
  <c r="BN477" i="1"/>
  <c r="Z477" i="1"/>
  <c r="Y488" i="1"/>
  <c r="Y505" i="1"/>
  <c r="Z479" i="1" l="1"/>
  <c r="Z488" i="1"/>
  <c r="Z243" i="1"/>
  <c r="Z181" i="1"/>
  <c r="Z105" i="1"/>
  <c r="Z456" i="1"/>
  <c r="Z407" i="1"/>
  <c r="Z357" i="1"/>
  <c r="Z268" i="1"/>
  <c r="Z259" i="1"/>
  <c r="Z225" i="1"/>
  <c r="Z213" i="1"/>
  <c r="Z154" i="1"/>
  <c r="Z119" i="1"/>
  <c r="Z112" i="1"/>
  <c r="Z96" i="1"/>
  <c r="Z345" i="1"/>
  <c r="Y499" i="1"/>
  <c r="Z24" i="1"/>
  <c r="Z32" i="1"/>
  <c r="Z325" i="1"/>
  <c r="Z283" i="1"/>
  <c r="Y496" i="1"/>
  <c r="Y495" i="1"/>
  <c r="Z441" i="1"/>
  <c r="Z312" i="1"/>
  <c r="Z303" i="1"/>
  <c r="Y497" i="1"/>
  <c r="Z500" i="1" l="1"/>
  <c r="Y498" i="1"/>
</calcChain>
</file>

<file path=xl/sharedStrings.xml><?xml version="1.0" encoding="utf-8"?>
<sst xmlns="http://schemas.openxmlformats.org/spreadsheetml/2006/main" count="2190" uniqueCount="780">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</sst>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05"/>
  <sheetViews>
    <sheetView showGridLines="0" tabSelected="1" topLeftCell="A479" zoomScaleNormal="100" zoomScaleSheetLayoutView="100" workbookViewId="0">
      <selection activeCell="AA501" sqref="AA501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36" t="s">
        <v>0</v>
      </c>
      <c r="E1" s="588"/>
      <c r="F1" s="588"/>
      <c r="G1" s="12" t="s">
        <v>1</v>
      </c>
      <c r="H1" s="636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683" t="s">
        <v>8</v>
      </c>
      <c r="B5" s="684"/>
      <c r="C5" s="685"/>
      <c r="D5" s="641"/>
      <c r="E5" s="642"/>
      <c r="F5" s="847" t="s">
        <v>9</v>
      </c>
      <c r="G5" s="685"/>
      <c r="H5" s="641"/>
      <c r="I5" s="800"/>
      <c r="J5" s="800"/>
      <c r="K5" s="800"/>
      <c r="L5" s="800"/>
      <c r="M5" s="642"/>
      <c r="N5" s="58"/>
      <c r="P5" s="24" t="s">
        <v>10</v>
      </c>
      <c r="Q5" s="861">
        <v>46024</v>
      </c>
      <c r="R5" s="682"/>
      <c r="T5" s="732" t="s">
        <v>11</v>
      </c>
      <c r="U5" s="733"/>
      <c r="V5" s="734" t="s">
        <v>12</v>
      </c>
      <c r="W5" s="682"/>
      <c r="AB5" s="51"/>
      <c r="AC5" s="51"/>
      <c r="AD5" s="51"/>
      <c r="AE5" s="51"/>
    </row>
    <row r="6" spans="1:32" s="547" customFormat="1" ht="24" customHeight="1" x14ac:dyDescent="0.2">
      <c r="A6" s="683" t="s">
        <v>13</v>
      </c>
      <c r="B6" s="684"/>
      <c r="C6" s="685"/>
      <c r="D6" s="802" t="s">
        <v>14</v>
      </c>
      <c r="E6" s="803"/>
      <c r="F6" s="803"/>
      <c r="G6" s="803"/>
      <c r="H6" s="803"/>
      <c r="I6" s="803"/>
      <c r="J6" s="803"/>
      <c r="K6" s="803"/>
      <c r="L6" s="803"/>
      <c r="M6" s="682"/>
      <c r="N6" s="59"/>
      <c r="P6" s="24" t="s">
        <v>15</v>
      </c>
      <c r="Q6" s="869" t="str">
        <f>IF(Q5=0," ",CHOOSE(WEEKDAY(Q5,2),"Понедельник","Вторник","Среда","Четверг","Пятница","Суббота","Воскресенье"))</f>
        <v>Пятница</v>
      </c>
      <c r="R6" s="561"/>
      <c r="T6" s="739" t="s">
        <v>16</v>
      </c>
      <c r="U6" s="733"/>
      <c r="V6" s="787" t="s">
        <v>17</v>
      </c>
      <c r="W6" s="602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13" t="str">
        <f>IFERROR(VLOOKUP(DeliveryAddress,Table,3,0),1)</f>
        <v>1</v>
      </c>
      <c r="E7" s="614"/>
      <c r="F7" s="614"/>
      <c r="G7" s="614"/>
      <c r="H7" s="614"/>
      <c r="I7" s="614"/>
      <c r="J7" s="614"/>
      <c r="K7" s="614"/>
      <c r="L7" s="614"/>
      <c r="M7" s="615"/>
      <c r="N7" s="60"/>
      <c r="P7" s="24"/>
      <c r="Q7" s="42"/>
      <c r="R7" s="42"/>
      <c r="T7" s="568"/>
      <c r="U7" s="733"/>
      <c r="V7" s="788"/>
      <c r="W7" s="789"/>
      <c r="AB7" s="51"/>
      <c r="AC7" s="51"/>
      <c r="AD7" s="51"/>
      <c r="AE7" s="51"/>
    </row>
    <row r="8" spans="1:32" s="547" customFormat="1" ht="25.5" customHeight="1" x14ac:dyDescent="0.2">
      <c r="A8" s="880" t="s">
        <v>18</v>
      </c>
      <c r="B8" s="573"/>
      <c r="C8" s="574"/>
      <c r="D8" s="624" t="s">
        <v>19</v>
      </c>
      <c r="E8" s="625"/>
      <c r="F8" s="625"/>
      <c r="G8" s="625"/>
      <c r="H8" s="625"/>
      <c r="I8" s="625"/>
      <c r="J8" s="625"/>
      <c r="K8" s="625"/>
      <c r="L8" s="625"/>
      <c r="M8" s="626"/>
      <c r="N8" s="61"/>
      <c r="P8" s="24" t="s">
        <v>20</v>
      </c>
      <c r="Q8" s="693">
        <v>0.375</v>
      </c>
      <c r="R8" s="615"/>
      <c r="T8" s="568"/>
      <c r="U8" s="733"/>
      <c r="V8" s="788"/>
      <c r="W8" s="789"/>
      <c r="AB8" s="51"/>
      <c r="AC8" s="51"/>
      <c r="AD8" s="51"/>
      <c r="AE8" s="51"/>
    </row>
    <row r="9" spans="1:32" s="547" customFormat="1" ht="39.950000000000003" customHeight="1" x14ac:dyDescent="0.2">
      <c r="A9" s="70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704"/>
      <c r="E9" s="571"/>
      <c r="F9" s="70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70" t="str">
        <f>IF(AND($A$9="Тип доверенности/получателя при получении в адресе перегруза:",$D$9="Разовая доверенность"),"Введите ФИО","")</f>
        <v/>
      </c>
      <c r="I9" s="571"/>
      <c r="J9" s="5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1"/>
      <c r="L9" s="571"/>
      <c r="M9" s="571"/>
      <c r="N9" s="545"/>
      <c r="P9" s="26" t="s">
        <v>21</v>
      </c>
      <c r="Q9" s="677"/>
      <c r="R9" s="678"/>
      <c r="T9" s="568"/>
      <c r="U9" s="733"/>
      <c r="V9" s="790"/>
      <c r="W9" s="791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704"/>
      <c r="E10" s="571"/>
      <c r="F10" s="70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79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40"/>
      <c r="R10" s="741"/>
      <c r="U10" s="24" t="s">
        <v>23</v>
      </c>
      <c r="V10" s="601" t="s">
        <v>24</v>
      </c>
      <c r="W10" s="602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81"/>
      <c r="R11" s="682"/>
      <c r="U11" s="24" t="s">
        <v>27</v>
      </c>
      <c r="V11" s="817" t="s">
        <v>28</v>
      </c>
      <c r="W11" s="678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26" t="s">
        <v>29</v>
      </c>
      <c r="B12" s="684"/>
      <c r="C12" s="684"/>
      <c r="D12" s="684"/>
      <c r="E12" s="684"/>
      <c r="F12" s="684"/>
      <c r="G12" s="684"/>
      <c r="H12" s="684"/>
      <c r="I12" s="684"/>
      <c r="J12" s="684"/>
      <c r="K12" s="684"/>
      <c r="L12" s="684"/>
      <c r="M12" s="685"/>
      <c r="N12" s="62"/>
      <c r="P12" s="24" t="s">
        <v>30</v>
      </c>
      <c r="Q12" s="693"/>
      <c r="R12" s="615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26" t="s">
        <v>31</v>
      </c>
      <c r="B13" s="684"/>
      <c r="C13" s="684"/>
      <c r="D13" s="684"/>
      <c r="E13" s="684"/>
      <c r="F13" s="684"/>
      <c r="G13" s="684"/>
      <c r="H13" s="684"/>
      <c r="I13" s="684"/>
      <c r="J13" s="684"/>
      <c r="K13" s="684"/>
      <c r="L13" s="684"/>
      <c r="M13" s="685"/>
      <c r="N13" s="62"/>
      <c r="O13" s="26"/>
      <c r="P13" s="26" t="s">
        <v>32</v>
      </c>
      <c r="Q13" s="817"/>
      <c r="R13" s="678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26" t="s">
        <v>33</v>
      </c>
      <c r="B14" s="684"/>
      <c r="C14" s="684"/>
      <c r="D14" s="684"/>
      <c r="E14" s="684"/>
      <c r="F14" s="684"/>
      <c r="G14" s="684"/>
      <c r="H14" s="684"/>
      <c r="I14" s="684"/>
      <c r="J14" s="684"/>
      <c r="K14" s="684"/>
      <c r="L14" s="684"/>
      <c r="M14" s="68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7" t="s">
        <v>34</v>
      </c>
      <c r="B15" s="684"/>
      <c r="C15" s="684"/>
      <c r="D15" s="684"/>
      <c r="E15" s="684"/>
      <c r="F15" s="684"/>
      <c r="G15" s="684"/>
      <c r="H15" s="684"/>
      <c r="I15" s="684"/>
      <c r="J15" s="684"/>
      <c r="K15" s="684"/>
      <c r="L15" s="684"/>
      <c r="M15" s="685"/>
      <c r="N15" s="63"/>
      <c r="P15" s="71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16"/>
      <c r="Q16" s="716"/>
      <c r="R16" s="716"/>
      <c r="S16" s="716"/>
      <c r="T16" s="71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702" t="s">
        <v>38</v>
      </c>
      <c r="D17" s="596" t="s">
        <v>39</v>
      </c>
      <c r="E17" s="661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0"/>
      <c r="R17" s="660"/>
      <c r="S17" s="660"/>
      <c r="T17" s="661"/>
      <c r="U17" s="876" t="s">
        <v>51</v>
      </c>
      <c r="V17" s="685"/>
      <c r="W17" s="596" t="s">
        <v>52</v>
      </c>
      <c r="X17" s="596" t="s">
        <v>53</v>
      </c>
      <c r="Y17" s="878" t="s">
        <v>54</v>
      </c>
      <c r="Z17" s="798" t="s">
        <v>55</v>
      </c>
      <c r="AA17" s="777" t="s">
        <v>56</v>
      </c>
      <c r="AB17" s="777" t="s">
        <v>57</v>
      </c>
      <c r="AC17" s="777" t="s">
        <v>58</v>
      </c>
      <c r="AD17" s="777" t="s">
        <v>59</v>
      </c>
      <c r="AE17" s="842"/>
      <c r="AF17" s="843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2"/>
      <c r="E18" s="664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2"/>
      <c r="Q18" s="663"/>
      <c r="R18" s="663"/>
      <c r="S18" s="663"/>
      <c r="T18" s="664"/>
      <c r="U18" s="67" t="s">
        <v>61</v>
      </c>
      <c r="V18" s="67" t="s">
        <v>62</v>
      </c>
      <c r="W18" s="597"/>
      <c r="X18" s="597"/>
      <c r="Y18" s="879"/>
      <c r="Z18" s="799"/>
      <c r="AA18" s="778"/>
      <c r="AB18" s="778"/>
      <c r="AC18" s="778"/>
      <c r="AD18" s="844"/>
      <c r="AE18" s="845"/>
      <c r="AF18" s="846"/>
      <c r="AG18" s="66"/>
      <c r="BD18" s="65"/>
    </row>
    <row r="19" spans="1:68" ht="27.75" customHeight="1" x14ac:dyDescent="0.2">
      <c r="A19" s="630" t="s">
        <v>63</v>
      </c>
      <c r="B19" s="631"/>
      <c r="C19" s="631"/>
      <c r="D19" s="631"/>
      <c r="E19" s="631"/>
      <c r="F19" s="631"/>
      <c r="G19" s="631"/>
      <c r="H19" s="631"/>
      <c r="I19" s="631"/>
      <c r="J19" s="631"/>
      <c r="K19" s="631"/>
      <c r="L19" s="631"/>
      <c r="M19" s="631"/>
      <c r="N19" s="631"/>
      <c r="O19" s="631"/>
      <c r="P19" s="631"/>
      <c r="Q19" s="631"/>
      <c r="R19" s="631"/>
      <c r="S19" s="631"/>
      <c r="T19" s="631"/>
      <c r="U19" s="631"/>
      <c r="V19" s="631"/>
      <c r="W19" s="631"/>
      <c r="X19" s="631"/>
      <c r="Y19" s="631"/>
      <c r="Z19" s="631"/>
      <c r="AA19" s="48"/>
      <c r="AB19" s="48"/>
      <c r="AC19" s="48"/>
    </row>
    <row r="20" spans="1:68" ht="16.5" customHeight="1" x14ac:dyDescent="0.25">
      <c r="A20" s="567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customHeight="1" x14ac:dyDescent="0.25">
      <c r="A21" s="569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customHeight="1" x14ac:dyDescent="0.25">
      <c r="A22" s="54" t="s">
        <v>65</v>
      </c>
      <c r="B22" s="54" t="s">
        <v>66</v>
      </c>
      <c r="C22" s="31">
        <v>4301031446</v>
      </c>
      <c r="D22" s="560">
        <v>4680115887510</v>
      </c>
      <c r="E22" s="561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5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4301031278</v>
      </c>
      <c r="D23" s="560">
        <v>4680115886643</v>
      </c>
      <c r="E23" s="561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582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83"/>
      <c r="P24" s="572" t="s">
        <v>75</v>
      </c>
      <c r="Q24" s="573"/>
      <c r="R24" s="573"/>
      <c r="S24" s="573"/>
      <c r="T24" s="573"/>
      <c r="U24" s="573"/>
      <c r="V24" s="574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83"/>
      <c r="P25" s="572" t="s">
        <v>75</v>
      </c>
      <c r="Q25" s="573"/>
      <c r="R25" s="573"/>
      <c r="S25" s="573"/>
      <c r="T25" s="573"/>
      <c r="U25" s="573"/>
      <c r="V25" s="574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customHeight="1" x14ac:dyDescent="0.25">
      <c r="A26" s="569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customHeight="1" x14ac:dyDescent="0.25">
      <c r="A27" s="54" t="s">
        <v>78</v>
      </c>
      <c r="B27" s="54" t="s">
        <v>79</v>
      </c>
      <c r="C27" s="31">
        <v>4301051866</v>
      </c>
      <c r="D27" s="560">
        <v>4680115885912</v>
      </c>
      <c r="E27" s="561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4301051776</v>
      </c>
      <c r="D28" s="560">
        <v>4607091388237</v>
      </c>
      <c r="E28" s="561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84</v>
      </c>
      <c r="B29" s="54" t="s">
        <v>85</v>
      </c>
      <c r="C29" s="31">
        <v>4301052063</v>
      </c>
      <c r="D29" s="560">
        <v>4680115887350</v>
      </c>
      <c r="E29" s="561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2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4301051863</v>
      </c>
      <c r="D30" s="560">
        <v>4680115885905</v>
      </c>
      <c r="E30" s="561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91</v>
      </c>
      <c r="B31" s="54" t="s">
        <v>92</v>
      </c>
      <c r="C31" s="31">
        <v>4301051851</v>
      </c>
      <c r="D31" s="560">
        <v>4607091388244</v>
      </c>
      <c r="E31" s="561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582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83"/>
      <c r="P32" s="572" t="s">
        <v>75</v>
      </c>
      <c r="Q32" s="573"/>
      <c r="R32" s="573"/>
      <c r="S32" s="573"/>
      <c r="T32" s="573"/>
      <c r="U32" s="573"/>
      <c r="V32" s="574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83"/>
      <c r="P33" s="572" t="s">
        <v>75</v>
      </c>
      <c r="Q33" s="573"/>
      <c r="R33" s="573"/>
      <c r="S33" s="573"/>
      <c r="T33" s="573"/>
      <c r="U33" s="573"/>
      <c r="V33" s="574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customHeight="1" x14ac:dyDescent="0.25">
      <c r="A34" s="569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customHeight="1" x14ac:dyDescent="0.25">
      <c r="A35" s="54" t="s">
        <v>94</v>
      </c>
      <c r="B35" s="54" t="s">
        <v>95</v>
      </c>
      <c r="C35" s="31">
        <v>4301032013</v>
      </c>
      <c r="D35" s="560">
        <v>4607091388503</v>
      </c>
      <c r="E35" s="561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582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83"/>
      <c r="P36" s="572" t="s">
        <v>75</v>
      </c>
      <c r="Q36" s="573"/>
      <c r="R36" s="573"/>
      <c r="S36" s="573"/>
      <c r="T36" s="573"/>
      <c r="U36" s="573"/>
      <c r="V36" s="574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83"/>
      <c r="P37" s="572" t="s">
        <v>75</v>
      </c>
      <c r="Q37" s="573"/>
      <c r="R37" s="573"/>
      <c r="S37" s="573"/>
      <c r="T37" s="573"/>
      <c r="U37" s="573"/>
      <c r="V37" s="574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customHeight="1" x14ac:dyDescent="0.2">
      <c r="A38" s="630" t="s">
        <v>99</v>
      </c>
      <c r="B38" s="631"/>
      <c r="C38" s="631"/>
      <c r="D38" s="631"/>
      <c r="E38" s="631"/>
      <c r="F38" s="631"/>
      <c r="G38" s="631"/>
      <c r="H38" s="631"/>
      <c r="I38" s="631"/>
      <c r="J38" s="631"/>
      <c r="K38" s="631"/>
      <c r="L38" s="631"/>
      <c r="M38" s="631"/>
      <c r="N38" s="631"/>
      <c r="O38" s="631"/>
      <c r="P38" s="631"/>
      <c r="Q38" s="631"/>
      <c r="R38" s="631"/>
      <c r="S38" s="631"/>
      <c r="T38" s="631"/>
      <c r="U38" s="631"/>
      <c r="V38" s="631"/>
      <c r="W38" s="631"/>
      <c r="X38" s="631"/>
      <c r="Y38" s="631"/>
      <c r="Z38" s="631"/>
      <c r="AA38" s="48"/>
      <c r="AB38" s="48"/>
      <c r="AC38" s="48"/>
    </row>
    <row r="39" spans="1:68" ht="16.5" customHeight="1" x14ac:dyDescent="0.25">
      <c r="A39" s="567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customHeight="1" x14ac:dyDescent="0.25">
      <c r="A40" s="569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customHeight="1" x14ac:dyDescent="0.25">
      <c r="A41" s="54" t="s">
        <v>102</v>
      </c>
      <c r="B41" s="54" t="s">
        <v>103</v>
      </c>
      <c r="C41" s="31">
        <v>4301011380</v>
      </c>
      <c r="D41" s="560">
        <v>4607091385670</v>
      </c>
      <c r="E41" s="561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2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0">
        <v>4607091385687</v>
      </c>
      <c r="E42" s="561"/>
      <c r="F42" s="552">
        <v>0.4</v>
      </c>
      <c r="G42" s="32">
        <v>10</v>
      </c>
      <c r="H42" s="552">
        <v>4</v>
      </c>
      <c r="I42" s="552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4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8"/>
      <c r="R42" s="558"/>
      <c r="S42" s="558"/>
      <c r="T42" s="559"/>
      <c r="U42" s="34"/>
      <c r="V42" s="34"/>
      <c r="W42" s="35" t="s">
        <v>69</v>
      </c>
      <c r="X42" s="553">
        <v>720</v>
      </c>
      <c r="Y42" s="554">
        <f>IFERROR(IF(X42="",0,CEILING((X42/$H42),1)*$H42),"")</f>
        <v>720</v>
      </c>
      <c r="Z42" s="36">
        <f>IFERROR(IF(Y42=0,"",ROUNDUP(Y42/H42,0)*0.00902),"")</f>
        <v>1.6236000000000002</v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754.2</v>
      </c>
      <c r="BN42" s="64">
        <f>IFERROR(Y42*I42/H42,"0")</f>
        <v>754.2</v>
      </c>
      <c r="BO42" s="64">
        <f>IFERROR(1/J42*(X42/H42),"0")</f>
        <v>1.3636363636363638</v>
      </c>
      <c r="BP42" s="64">
        <f>IFERROR(1/J42*(Y42/H42),"0")</f>
        <v>1.3636363636363638</v>
      </c>
    </row>
    <row r="43" spans="1:68" ht="27" customHeight="1" x14ac:dyDescent="0.25">
      <c r="A43" s="54" t="s">
        <v>110</v>
      </c>
      <c r="B43" s="54" t="s">
        <v>111</v>
      </c>
      <c r="C43" s="31">
        <v>4301011565</v>
      </c>
      <c r="D43" s="560">
        <v>4680115882539</v>
      </c>
      <c r="E43" s="561"/>
      <c r="F43" s="552">
        <v>0.37</v>
      </c>
      <c r="G43" s="32">
        <v>10</v>
      </c>
      <c r="H43" s="552">
        <v>3.7</v>
      </c>
      <c r="I43" s="552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2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82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83"/>
      <c r="P44" s="572" t="s">
        <v>75</v>
      </c>
      <c r="Q44" s="573"/>
      <c r="R44" s="573"/>
      <c r="S44" s="573"/>
      <c r="T44" s="573"/>
      <c r="U44" s="573"/>
      <c r="V44" s="574"/>
      <c r="W44" s="37" t="s">
        <v>76</v>
      </c>
      <c r="X44" s="555">
        <f>IFERROR(X41/H41,"0")+IFERROR(X42/H42,"0")+IFERROR(X43/H43,"0")</f>
        <v>180</v>
      </c>
      <c r="Y44" s="555">
        <f>IFERROR(Y41/H41,"0")+IFERROR(Y42/H42,"0")+IFERROR(Y43/H43,"0")</f>
        <v>180</v>
      </c>
      <c r="Z44" s="555">
        <f>IFERROR(IF(Z41="",0,Z41),"0")+IFERROR(IF(Z42="",0,Z42),"0")+IFERROR(IF(Z43="",0,Z43),"0")</f>
        <v>1.6236000000000002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83"/>
      <c r="P45" s="572" t="s">
        <v>75</v>
      </c>
      <c r="Q45" s="573"/>
      <c r="R45" s="573"/>
      <c r="S45" s="573"/>
      <c r="T45" s="573"/>
      <c r="U45" s="573"/>
      <c r="V45" s="574"/>
      <c r="W45" s="37" t="s">
        <v>69</v>
      </c>
      <c r="X45" s="555">
        <f>IFERROR(SUM(X41:X43),"0")</f>
        <v>720</v>
      </c>
      <c r="Y45" s="555">
        <f>IFERROR(SUM(Y41:Y43),"0")</f>
        <v>720</v>
      </c>
      <c r="Z45" s="37"/>
      <c r="AA45" s="556"/>
      <c r="AB45" s="556"/>
      <c r="AC45" s="556"/>
    </row>
    <row r="46" spans="1:68" ht="14.25" customHeight="1" x14ac:dyDescent="0.25">
      <c r="A46" s="569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customHeight="1" x14ac:dyDescent="0.25">
      <c r="A47" s="54" t="s">
        <v>112</v>
      </c>
      <c r="B47" s="54" t="s">
        <v>113</v>
      </c>
      <c r="C47" s="31">
        <v>4301051820</v>
      </c>
      <c r="D47" s="560">
        <v>4680115884915</v>
      </c>
      <c r="E47" s="561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x14ac:dyDescent="0.2">
      <c r="A48" s="582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83"/>
      <c r="P48" s="572" t="s">
        <v>75</v>
      </c>
      <c r="Q48" s="573"/>
      <c r="R48" s="573"/>
      <c r="S48" s="573"/>
      <c r="T48" s="573"/>
      <c r="U48" s="573"/>
      <c r="V48" s="574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83"/>
      <c r="P49" s="572" t="s">
        <v>75</v>
      </c>
      <c r="Q49" s="573"/>
      <c r="R49" s="573"/>
      <c r="S49" s="573"/>
      <c r="T49" s="573"/>
      <c r="U49" s="573"/>
      <c r="V49" s="574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customHeight="1" x14ac:dyDescent="0.25">
      <c r="A50" s="567" t="s">
        <v>115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customHeight="1" x14ac:dyDescent="0.25">
      <c r="A51" s="569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customHeight="1" x14ac:dyDescent="0.25">
      <c r="A52" s="54" t="s">
        <v>116</v>
      </c>
      <c r="B52" s="54" t="s">
        <v>117</v>
      </c>
      <c r="C52" s="31">
        <v>4301012030</v>
      </c>
      <c r="D52" s="560">
        <v>4680115885882</v>
      </c>
      <c r="E52" s="561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7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119</v>
      </c>
      <c r="B53" s="54" t="s">
        <v>120</v>
      </c>
      <c r="C53" s="31">
        <v>4301011816</v>
      </c>
      <c r="D53" s="560">
        <v>4680115881426</v>
      </c>
      <c r="E53" s="561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customHeight="1" x14ac:dyDescent="0.25">
      <c r="A54" s="54" t="s">
        <v>122</v>
      </c>
      <c r="B54" s="54" t="s">
        <v>123</v>
      </c>
      <c r="C54" s="31">
        <v>4301011386</v>
      </c>
      <c r="D54" s="560">
        <v>4680115880283</v>
      </c>
      <c r="E54" s="561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customHeight="1" x14ac:dyDescent="0.25">
      <c r="A55" s="54" t="s">
        <v>125</v>
      </c>
      <c r="B55" s="54" t="s">
        <v>126</v>
      </c>
      <c r="C55" s="31">
        <v>4301011806</v>
      </c>
      <c r="D55" s="560">
        <v>4680115881525</v>
      </c>
      <c r="E55" s="561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69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128</v>
      </c>
      <c r="B56" s="54" t="s">
        <v>129</v>
      </c>
      <c r="C56" s="31">
        <v>4301011589</v>
      </c>
      <c r="D56" s="560">
        <v>4680115885899</v>
      </c>
      <c r="E56" s="561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60">
        <v>4680115881419</v>
      </c>
      <c r="E57" s="561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5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0</v>
      </c>
      <c r="Y57" s="554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82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83"/>
      <c r="P58" s="572" t="s">
        <v>75</v>
      </c>
      <c r="Q58" s="573"/>
      <c r="R58" s="573"/>
      <c r="S58" s="573"/>
      <c r="T58" s="573"/>
      <c r="U58" s="573"/>
      <c r="V58" s="574"/>
      <c r="W58" s="37" t="s">
        <v>76</v>
      </c>
      <c r="X58" s="555">
        <f>IFERROR(X52/H52,"0")+IFERROR(X53/H53,"0")+IFERROR(X54/H54,"0")+IFERROR(X55/H55,"0")+IFERROR(X56/H56,"0")+IFERROR(X57/H57,"0")</f>
        <v>0</v>
      </c>
      <c r="Y58" s="555">
        <f>IFERROR(Y52/H52,"0")+IFERROR(Y53/H53,"0")+IFERROR(Y54/H54,"0")+IFERROR(Y55/H55,"0")+IFERROR(Y56/H56,"0")+IFERROR(Y57/H57,"0")</f>
        <v>0</v>
      </c>
      <c r="Z58" s="555">
        <f>IFERROR(IF(Z52="",0,Z52),"0")+IFERROR(IF(Z53="",0,Z53),"0")+IFERROR(IF(Z54="",0,Z54),"0")+IFERROR(IF(Z55="",0,Z55),"0")+IFERROR(IF(Z56="",0,Z56),"0")+IFERROR(IF(Z57="",0,Z57),"0")</f>
        <v>0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83"/>
      <c r="P59" s="572" t="s">
        <v>75</v>
      </c>
      <c r="Q59" s="573"/>
      <c r="R59" s="573"/>
      <c r="S59" s="573"/>
      <c r="T59" s="573"/>
      <c r="U59" s="573"/>
      <c r="V59" s="574"/>
      <c r="W59" s="37" t="s">
        <v>69</v>
      </c>
      <c r="X59" s="555">
        <f>IFERROR(SUM(X52:X57),"0")</f>
        <v>0</v>
      </c>
      <c r="Y59" s="555">
        <f>IFERROR(SUM(Y52:Y57),"0")</f>
        <v>0</v>
      </c>
      <c r="Z59" s="37"/>
      <c r="AA59" s="556"/>
      <c r="AB59" s="556"/>
      <c r="AC59" s="556"/>
    </row>
    <row r="60" spans="1:68" ht="14.25" customHeight="1" x14ac:dyDescent="0.25">
      <c r="A60" s="569" t="s">
        <v>134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customHeight="1" x14ac:dyDescent="0.25">
      <c r="A61" s="54" t="s">
        <v>135</v>
      </c>
      <c r="B61" s="54" t="s">
        <v>136</v>
      </c>
      <c r="C61" s="31">
        <v>4301020298</v>
      </c>
      <c r="D61" s="560">
        <v>4680115881440</v>
      </c>
      <c r="E61" s="561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81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customHeight="1" x14ac:dyDescent="0.25">
      <c r="A62" s="54" t="s">
        <v>138</v>
      </c>
      <c r="B62" s="54" t="s">
        <v>139</v>
      </c>
      <c r="C62" s="31">
        <v>4301020358</v>
      </c>
      <c r="D62" s="560">
        <v>4680115885950</v>
      </c>
      <c r="E62" s="561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3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customHeight="1" x14ac:dyDescent="0.25">
      <c r="A63" s="54" t="s">
        <v>140</v>
      </c>
      <c r="B63" s="54" t="s">
        <v>141</v>
      </c>
      <c r="C63" s="31">
        <v>4301020296</v>
      </c>
      <c r="D63" s="560">
        <v>4680115881433</v>
      </c>
      <c r="E63" s="561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6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82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83"/>
      <c r="P64" s="572" t="s">
        <v>75</v>
      </c>
      <c r="Q64" s="573"/>
      <c r="R64" s="573"/>
      <c r="S64" s="573"/>
      <c r="T64" s="573"/>
      <c r="U64" s="573"/>
      <c r="V64" s="574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83"/>
      <c r="P65" s="572" t="s">
        <v>75</v>
      </c>
      <c r="Q65" s="573"/>
      <c r="R65" s="573"/>
      <c r="S65" s="573"/>
      <c r="T65" s="573"/>
      <c r="U65" s="573"/>
      <c r="V65" s="574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customHeight="1" x14ac:dyDescent="0.25">
      <c r="A66" s="569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customHeight="1" x14ac:dyDescent="0.25">
      <c r="A67" s="54" t="s">
        <v>142</v>
      </c>
      <c r="B67" s="54" t="s">
        <v>143</v>
      </c>
      <c r="C67" s="31">
        <v>4301031243</v>
      </c>
      <c r="D67" s="560">
        <v>4680115885073</v>
      </c>
      <c r="E67" s="561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145</v>
      </c>
      <c r="B68" s="54" t="s">
        <v>146</v>
      </c>
      <c r="C68" s="31">
        <v>4301031316</v>
      </c>
      <c r="D68" s="560">
        <v>4680115885097</v>
      </c>
      <c r="E68" s="561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1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82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83"/>
      <c r="P69" s="572" t="s">
        <v>75</v>
      </c>
      <c r="Q69" s="573"/>
      <c r="R69" s="573"/>
      <c r="S69" s="573"/>
      <c r="T69" s="573"/>
      <c r="U69" s="573"/>
      <c r="V69" s="574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83"/>
      <c r="P70" s="572" t="s">
        <v>75</v>
      </c>
      <c r="Q70" s="573"/>
      <c r="R70" s="573"/>
      <c r="S70" s="573"/>
      <c r="T70" s="573"/>
      <c r="U70" s="573"/>
      <c r="V70" s="574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customHeight="1" x14ac:dyDescent="0.25">
      <c r="A71" s="569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customHeight="1" x14ac:dyDescent="0.25">
      <c r="A72" s="54" t="s">
        <v>148</v>
      </c>
      <c r="B72" s="54" t="s">
        <v>149</v>
      </c>
      <c r="C72" s="31">
        <v>4301051846</v>
      </c>
      <c r="D72" s="560">
        <v>4680115885769</v>
      </c>
      <c r="E72" s="561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9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151</v>
      </c>
      <c r="B73" s="54" t="s">
        <v>152</v>
      </c>
      <c r="C73" s="31">
        <v>4301051837</v>
      </c>
      <c r="D73" s="560">
        <v>4680115884311</v>
      </c>
      <c r="E73" s="561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6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154</v>
      </c>
      <c r="B74" s="54" t="s">
        <v>155</v>
      </c>
      <c r="C74" s="31">
        <v>4301051844</v>
      </c>
      <c r="D74" s="560">
        <v>4680115885929</v>
      </c>
      <c r="E74" s="561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2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156</v>
      </c>
      <c r="B75" s="54" t="s">
        <v>157</v>
      </c>
      <c r="C75" s="31">
        <v>4301051929</v>
      </c>
      <c r="D75" s="560">
        <v>4680115884403</v>
      </c>
      <c r="E75" s="561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52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82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83"/>
      <c r="P76" s="572" t="s">
        <v>75</v>
      </c>
      <c r="Q76" s="573"/>
      <c r="R76" s="573"/>
      <c r="S76" s="573"/>
      <c r="T76" s="573"/>
      <c r="U76" s="573"/>
      <c r="V76" s="574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83"/>
      <c r="P77" s="572" t="s">
        <v>75</v>
      </c>
      <c r="Q77" s="573"/>
      <c r="R77" s="573"/>
      <c r="S77" s="573"/>
      <c r="T77" s="573"/>
      <c r="U77" s="573"/>
      <c r="V77" s="574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customHeight="1" x14ac:dyDescent="0.25">
      <c r="A78" s="569" t="s">
        <v>159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customHeight="1" x14ac:dyDescent="0.25">
      <c r="A79" s="54" t="s">
        <v>160</v>
      </c>
      <c r="B79" s="54" t="s">
        <v>161</v>
      </c>
      <c r="C79" s="31">
        <v>4301060455</v>
      </c>
      <c r="D79" s="560">
        <v>4680115881532</v>
      </c>
      <c r="E79" s="561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55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163</v>
      </c>
      <c r="B80" s="54" t="s">
        <v>164</v>
      </c>
      <c r="C80" s="31">
        <v>4301060351</v>
      </c>
      <c r="D80" s="560">
        <v>4680115881464</v>
      </c>
      <c r="E80" s="561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82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83"/>
      <c r="P81" s="572" t="s">
        <v>75</v>
      </c>
      <c r="Q81" s="573"/>
      <c r="R81" s="573"/>
      <c r="S81" s="573"/>
      <c r="T81" s="573"/>
      <c r="U81" s="573"/>
      <c r="V81" s="574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83"/>
      <c r="P82" s="572" t="s">
        <v>75</v>
      </c>
      <c r="Q82" s="573"/>
      <c r="R82" s="573"/>
      <c r="S82" s="573"/>
      <c r="T82" s="573"/>
      <c r="U82" s="573"/>
      <c r="V82" s="574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customHeight="1" x14ac:dyDescent="0.25">
      <c r="A83" s="567" t="s">
        <v>166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customHeight="1" x14ac:dyDescent="0.25">
      <c r="A84" s="569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customHeight="1" x14ac:dyDescent="0.25">
      <c r="A85" s="54" t="s">
        <v>167</v>
      </c>
      <c r="B85" s="54" t="s">
        <v>168</v>
      </c>
      <c r="C85" s="31">
        <v>4301011468</v>
      </c>
      <c r="D85" s="560">
        <v>4680115881327</v>
      </c>
      <c r="E85" s="561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7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170</v>
      </c>
      <c r="B86" s="54" t="s">
        <v>171</v>
      </c>
      <c r="C86" s="31">
        <v>4301011261</v>
      </c>
      <c r="D86" s="560">
        <v>4680115887732</v>
      </c>
      <c r="E86" s="561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577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174</v>
      </c>
      <c r="B87" s="54" t="s">
        <v>175</v>
      </c>
      <c r="C87" s="31">
        <v>4301011476</v>
      </c>
      <c r="D87" s="560">
        <v>4680115881518</v>
      </c>
      <c r="E87" s="561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45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176</v>
      </c>
      <c r="B88" s="54" t="s">
        <v>177</v>
      </c>
      <c r="C88" s="31">
        <v>4301011443</v>
      </c>
      <c r="D88" s="560">
        <v>4680115881303</v>
      </c>
      <c r="E88" s="561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75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82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83"/>
      <c r="P89" s="572" t="s">
        <v>75</v>
      </c>
      <c r="Q89" s="573"/>
      <c r="R89" s="573"/>
      <c r="S89" s="573"/>
      <c r="T89" s="573"/>
      <c r="U89" s="573"/>
      <c r="V89" s="574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83"/>
      <c r="P90" s="572" t="s">
        <v>75</v>
      </c>
      <c r="Q90" s="573"/>
      <c r="R90" s="573"/>
      <c r="S90" s="573"/>
      <c r="T90" s="573"/>
      <c r="U90" s="573"/>
      <c r="V90" s="574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customHeight="1" x14ac:dyDescent="0.25">
      <c r="A91" s="569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customHeight="1" x14ac:dyDescent="0.25">
      <c r="A92" s="54" t="s">
        <v>178</v>
      </c>
      <c r="B92" s="54" t="s">
        <v>179</v>
      </c>
      <c r="C92" s="31">
        <v>4301051712</v>
      </c>
      <c r="D92" s="560">
        <v>4607091386967</v>
      </c>
      <c r="E92" s="561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181</v>
      </c>
      <c r="B93" s="54" t="s">
        <v>182</v>
      </c>
      <c r="C93" s="31">
        <v>4301051788</v>
      </c>
      <c r="D93" s="560">
        <v>4680115884953</v>
      </c>
      <c r="E93" s="561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0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0">
        <v>4607091385731</v>
      </c>
      <c r="E94" s="561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2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27</v>
      </c>
      <c r="Y94" s="554">
        <f>IFERROR(IF(X94="",0,CEILING((X94/$H94),1)*$H94),"")</f>
        <v>27</v>
      </c>
      <c r="Z94" s="36">
        <f>IFERROR(IF(Y94=0,"",ROUNDUP(Y94/H94,0)*0.00651),"")</f>
        <v>6.5100000000000005E-2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29.519999999999996</v>
      </c>
      <c r="BN94" s="64">
        <f>IFERROR(Y94*I94/H94,"0")</f>
        <v>29.519999999999996</v>
      </c>
      <c r="BO94" s="64">
        <f>IFERROR(1/J94*(X94/H94),"0")</f>
        <v>5.4945054945054951E-2</v>
      </c>
      <c r="BP94" s="64">
        <f>IFERROR(1/J94*(Y94/H94),"0")</f>
        <v>5.4945054945054951E-2</v>
      </c>
    </row>
    <row r="95" spans="1:68" ht="16.5" customHeight="1" x14ac:dyDescent="0.25">
      <c r="A95" s="54" t="s">
        <v>185</v>
      </c>
      <c r="B95" s="54" t="s">
        <v>186</v>
      </c>
      <c r="C95" s="31">
        <v>4301051438</v>
      </c>
      <c r="D95" s="560">
        <v>4680115880894</v>
      </c>
      <c r="E95" s="561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3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82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83"/>
      <c r="P96" s="572" t="s">
        <v>75</v>
      </c>
      <c r="Q96" s="573"/>
      <c r="R96" s="573"/>
      <c r="S96" s="573"/>
      <c r="T96" s="573"/>
      <c r="U96" s="573"/>
      <c r="V96" s="574"/>
      <c r="W96" s="37" t="s">
        <v>76</v>
      </c>
      <c r="X96" s="555">
        <f>IFERROR(X92/H92,"0")+IFERROR(X93/H93,"0")+IFERROR(X94/H94,"0")+IFERROR(X95/H95,"0")</f>
        <v>10</v>
      </c>
      <c r="Y96" s="555">
        <f>IFERROR(Y92/H92,"0")+IFERROR(Y93/H93,"0")+IFERROR(Y94/H94,"0")+IFERROR(Y95/H95,"0")</f>
        <v>10</v>
      </c>
      <c r="Z96" s="555">
        <f>IFERROR(IF(Z92="",0,Z92),"0")+IFERROR(IF(Z93="",0,Z93),"0")+IFERROR(IF(Z94="",0,Z94),"0")+IFERROR(IF(Z95="",0,Z95),"0")</f>
        <v>6.5100000000000005E-2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83"/>
      <c r="P97" s="572" t="s">
        <v>75</v>
      </c>
      <c r="Q97" s="573"/>
      <c r="R97" s="573"/>
      <c r="S97" s="573"/>
      <c r="T97" s="573"/>
      <c r="U97" s="573"/>
      <c r="V97" s="574"/>
      <c r="W97" s="37" t="s">
        <v>69</v>
      </c>
      <c r="X97" s="555">
        <f>IFERROR(SUM(X92:X95),"0")</f>
        <v>27</v>
      </c>
      <c r="Y97" s="555">
        <f>IFERROR(SUM(Y92:Y95),"0")</f>
        <v>27</v>
      </c>
      <c r="Z97" s="37"/>
      <c r="AA97" s="556"/>
      <c r="AB97" s="556"/>
      <c r="AC97" s="556"/>
    </row>
    <row r="98" spans="1:68" ht="16.5" customHeight="1" x14ac:dyDescent="0.25">
      <c r="A98" s="567" t="s">
        <v>188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customHeight="1" x14ac:dyDescent="0.25">
      <c r="A99" s="569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customHeight="1" x14ac:dyDescent="0.25">
      <c r="A100" s="54" t="s">
        <v>189</v>
      </c>
      <c r="B100" s="54" t="s">
        <v>190</v>
      </c>
      <c r="C100" s="31">
        <v>4301011514</v>
      </c>
      <c r="D100" s="560">
        <v>4680115882133</v>
      </c>
      <c r="E100" s="561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2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customHeight="1" x14ac:dyDescent="0.25">
      <c r="A101" s="54" t="s">
        <v>192</v>
      </c>
      <c r="B101" s="54" t="s">
        <v>193</v>
      </c>
      <c r="C101" s="31">
        <v>4301012051</v>
      </c>
      <c r="D101" s="560">
        <v>4680115887718</v>
      </c>
      <c r="E101" s="561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25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195</v>
      </c>
      <c r="B102" s="54" t="s">
        <v>196</v>
      </c>
      <c r="C102" s="31">
        <v>4301011417</v>
      </c>
      <c r="D102" s="560">
        <v>4680115880269</v>
      </c>
      <c r="E102" s="561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0">
        <v>4680115880429</v>
      </c>
      <c r="E103" s="561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5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472.5</v>
      </c>
      <c r="Y103" s="554">
        <f>IFERROR(IF(X103="",0,CEILING((X103/$H103),1)*$H103),"")</f>
        <v>472.5</v>
      </c>
      <c r="Z103" s="36">
        <f>IFERROR(IF(Y103=0,"",ROUNDUP(Y103/H103,0)*0.00902),"")</f>
        <v>0.94710000000000005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492.45000000000005</v>
      </c>
      <c r="BN103" s="64">
        <f>IFERROR(Y103*I103/H103,"0")</f>
        <v>492.45000000000005</v>
      </c>
      <c r="BO103" s="64">
        <f>IFERROR(1/J103*(X103/H103),"0")</f>
        <v>0.79545454545454553</v>
      </c>
      <c r="BP103" s="64">
        <f>IFERROR(1/J103*(Y103/H103),"0")</f>
        <v>0.79545454545454553</v>
      </c>
    </row>
    <row r="104" spans="1:68" ht="37.5" customHeight="1" x14ac:dyDescent="0.25">
      <c r="A104" s="54" t="s">
        <v>201</v>
      </c>
      <c r="B104" s="54" t="s">
        <v>202</v>
      </c>
      <c r="C104" s="31">
        <v>4301011462</v>
      </c>
      <c r="D104" s="560">
        <v>4680115881457</v>
      </c>
      <c r="E104" s="561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82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83"/>
      <c r="P105" s="572" t="s">
        <v>75</v>
      </c>
      <c r="Q105" s="573"/>
      <c r="R105" s="573"/>
      <c r="S105" s="573"/>
      <c r="T105" s="573"/>
      <c r="U105" s="573"/>
      <c r="V105" s="574"/>
      <c r="W105" s="37" t="s">
        <v>76</v>
      </c>
      <c r="X105" s="555">
        <f>IFERROR(X100/H100,"0")+IFERROR(X101/H101,"0")+IFERROR(X102/H102,"0")+IFERROR(X103/H103,"0")+IFERROR(X104/H104,"0")</f>
        <v>105</v>
      </c>
      <c r="Y105" s="555">
        <f>IFERROR(Y100/H100,"0")+IFERROR(Y101/H101,"0")+IFERROR(Y102/H102,"0")+IFERROR(Y103/H103,"0")+IFERROR(Y104/H104,"0")</f>
        <v>105</v>
      </c>
      <c r="Z105" s="555">
        <f>IFERROR(IF(Z100="",0,Z100),"0")+IFERROR(IF(Z101="",0,Z101),"0")+IFERROR(IF(Z102="",0,Z102),"0")+IFERROR(IF(Z103="",0,Z103),"0")+IFERROR(IF(Z104="",0,Z104),"0")</f>
        <v>0.94710000000000005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83"/>
      <c r="P106" s="572" t="s">
        <v>75</v>
      </c>
      <c r="Q106" s="573"/>
      <c r="R106" s="573"/>
      <c r="S106" s="573"/>
      <c r="T106" s="573"/>
      <c r="U106" s="573"/>
      <c r="V106" s="574"/>
      <c r="W106" s="37" t="s">
        <v>69</v>
      </c>
      <c r="X106" s="555">
        <f>IFERROR(SUM(X100:X104),"0")</f>
        <v>472.5</v>
      </c>
      <c r="Y106" s="555">
        <f>IFERROR(SUM(Y100:Y104),"0")</f>
        <v>472.5</v>
      </c>
      <c r="Z106" s="37"/>
      <c r="AA106" s="556"/>
      <c r="AB106" s="556"/>
      <c r="AC106" s="556"/>
    </row>
    <row r="107" spans="1:68" ht="14.25" customHeight="1" x14ac:dyDescent="0.25">
      <c r="A107" s="569" t="s">
        <v>134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customHeight="1" x14ac:dyDescent="0.25">
      <c r="A108" s="54" t="s">
        <v>203</v>
      </c>
      <c r="B108" s="54" t="s">
        <v>204</v>
      </c>
      <c r="C108" s="31">
        <v>4301020345</v>
      </c>
      <c r="D108" s="560">
        <v>4680115881488</v>
      </c>
      <c r="E108" s="561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8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customHeight="1" x14ac:dyDescent="0.25">
      <c r="A109" s="54" t="s">
        <v>206</v>
      </c>
      <c r="B109" s="54" t="s">
        <v>207</v>
      </c>
      <c r="C109" s="31">
        <v>4301020186</v>
      </c>
      <c r="D109" s="560">
        <v>4680115887664</v>
      </c>
      <c r="E109" s="561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92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customHeight="1" x14ac:dyDescent="0.25">
      <c r="A110" s="54" t="s">
        <v>210</v>
      </c>
      <c r="B110" s="54" t="s">
        <v>211</v>
      </c>
      <c r="C110" s="31">
        <v>4301020346</v>
      </c>
      <c r="D110" s="560">
        <v>4680115882775</v>
      </c>
      <c r="E110" s="561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5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customHeight="1" x14ac:dyDescent="0.25">
      <c r="A111" s="54" t="s">
        <v>212</v>
      </c>
      <c r="B111" s="54" t="s">
        <v>213</v>
      </c>
      <c r="C111" s="31">
        <v>4301020344</v>
      </c>
      <c r="D111" s="560">
        <v>4680115880658</v>
      </c>
      <c r="E111" s="561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1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x14ac:dyDescent="0.2">
      <c r="A112" s="582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83"/>
      <c r="P112" s="572" t="s">
        <v>75</v>
      </c>
      <c r="Q112" s="573"/>
      <c r="R112" s="573"/>
      <c r="S112" s="573"/>
      <c r="T112" s="573"/>
      <c r="U112" s="573"/>
      <c r="V112" s="574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83"/>
      <c r="P113" s="572" t="s">
        <v>75</v>
      </c>
      <c r="Q113" s="573"/>
      <c r="R113" s="573"/>
      <c r="S113" s="573"/>
      <c r="T113" s="573"/>
      <c r="U113" s="573"/>
      <c r="V113" s="574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customHeight="1" x14ac:dyDescent="0.25">
      <c r="A114" s="569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customHeight="1" x14ac:dyDescent="0.25">
      <c r="A115" s="54" t="s">
        <v>214</v>
      </c>
      <c r="B115" s="54" t="s">
        <v>215</v>
      </c>
      <c r="C115" s="31">
        <v>4301051724</v>
      </c>
      <c r="D115" s="560">
        <v>4607091385168</v>
      </c>
      <c r="E115" s="561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217</v>
      </c>
      <c r="B116" s="54" t="s">
        <v>218</v>
      </c>
      <c r="C116" s="31">
        <v>4301051730</v>
      </c>
      <c r="D116" s="560">
        <v>4607091383256</v>
      </c>
      <c r="E116" s="561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60">
        <v>4607091385748</v>
      </c>
      <c r="E117" s="561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69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0</v>
      </c>
      <c r="Y117" s="554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16.5" customHeight="1" x14ac:dyDescent="0.25">
      <c r="A118" s="54" t="s">
        <v>222</v>
      </c>
      <c r="B118" s="54" t="s">
        <v>223</v>
      </c>
      <c r="C118" s="31">
        <v>4301051740</v>
      </c>
      <c r="D118" s="560">
        <v>4680115884533</v>
      </c>
      <c r="E118" s="561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68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82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83"/>
      <c r="P119" s="572" t="s">
        <v>75</v>
      </c>
      <c r="Q119" s="573"/>
      <c r="R119" s="573"/>
      <c r="S119" s="573"/>
      <c r="T119" s="573"/>
      <c r="U119" s="573"/>
      <c r="V119" s="574"/>
      <c r="W119" s="37" t="s">
        <v>76</v>
      </c>
      <c r="X119" s="555">
        <f>IFERROR(X115/H115,"0")+IFERROR(X116/H116,"0")+IFERROR(X117/H117,"0")+IFERROR(X118/H118,"0")</f>
        <v>0</v>
      </c>
      <c r="Y119" s="555">
        <f>IFERROR(Y115/H115,"0")+IFERROR(Y116/H116,"0")+IFERROR(Y117/H117,"0")+IFERROR(Y118/H118,"0")</f>
        <v>0</v>
      </c>
      <c r="Z119" s="555">
        <f>IFERROR(IF(Z115="",0,Z115),"0")+IFERROR(IF(Z116="",0,Z116),"0")+IFERROR(IF(Z117="",0,Z117),"0")+IFERROR(IF(Z118="",0,Z118),"0")</f>
        <v>0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83"/>
      <c r="P120" s="572" t="s">
        <v>75</v>
      </c>
      <c r="Q120" s="573"/>
      <c r="R120" s="573"/>
      <c r="S120" s="573"/>
      <c r="T120" s="573"/>
      <c r="U120" s="573"/>
      <c r="V120" s="574"/>
      <c r="W120" s="37" t="s">
        <v>69</v>
      </c>
      <c r="X120" s="555">
        <f>IFERROR(SUM(X115:X118),"0")</f>
        <v>0</v>
      </c>
      <c r="Y120" s="555">
        <f>IFERROR(SUM(Y115:Y118),"0")</f>
        <v>0</v>
      </c>
      <c r="Z120" s="37"/>
      <c r="AA120" s="556"/>
      <c r="AB120" s="556"/>
      <c r="AC120" s="556"/>
    </row>
    <row r="121" spans="1:68" ht="14.25" customHeight="1" x14ac:dyDescent="0.25">
      <c r="A121" s="569" t="s">
        <v>159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customHeight="1" x14ac:dyDescent="0.25">
      <c r="A122" s="54" t="s">
        <v>225</v>
      </c>
      <c r="B122" s="54" t="s">
        <v>226</v>
      </c>
      <c r="C122" s="31">
        <v>4301060317</v>
      </c>
      <c r="D122" s="560">
        <v>4680115880238</v>
      </c>
      <c r="E122" s="561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2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x14ac:dyDescent="0.2">
      <c r="A123" s="582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83"/>
      <c r="P123" s="572" t="s">
        <v>75</v>
      </c>
      <c r="Q123" s="573"/>
      <c r="R123" s="573"/>
      <c r="S123" s="573"/>
      <c r="T123" s="573"/>
      <c r="U123" s="573"/>
      <c r="V123" s="574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83"/>
      <c r="P124" s="572" t="s">
        <v>75</v>
      </c>
      <c r="Q124" s="573"/>
      <c r="R124" s="573"/>
      <c r="S124" s="573"/>
      <c r="T124" s="573"/>
      <c r="U124" s="573"/>
      <c r="V124" s="574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customHeight="1" x14ac:dyDescent="0.25">
      <c r="A125" s="567" t="s">
        <v>228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customHeight="1" x14ac:dyDescent="0.25">
      <c r="A126" s="569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customHeight="1" x14ac:dyDescent="0.25">
      <c r="A127" s="54" t="s">
        <v>229</v>
      </c>
      <c r="B127" s="54" t="s">
        <v>230</v>
      </c>
      <c r="C127" s="31">
        <v>4301011562</v>
      </c>
      <c r="D127" s="560">
        <v>4680115882577</v>
      </c>
      <c r="E127" s="561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customHeight="1" x14ac:dyDescent="0.25">
      <c r="A128" s="54" t="s">
        <v>229</v>
      </c>
      <c r="B128" s="54" t="s">
        <v>232</v>
      </c>
      <c r="C128" s="31">
        <v>4301011564</v>
      </c>
      <c r="D128" s="560">
        <v>4680115882577</v>
      </c>
      <c r="E128" s="561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4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x14ac:dyDescent="0.2">
      <c r="A129" s="582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83"/>
      <c r="P129" s="572" t="s">
        <v>75</v>
      </c>
      <c r="Q129" s="573"/>
      <c r="R129" s="573"/>
      <c r="S129" s="573"/>
      <c r="T129" s="573"/>
      <c r="U129" s="573"/>
      <c r="V129" s="574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83"/>
      <c r="P130" s="572" t="s">
        <v>75</v>
      </c>
      <c r="Q130" s="573"/>
      <c r="R130" s="573"/>
      <c r="S130" s="573"/>
      <c r="T130" s="573"/>
      <c r="U130" s="573"/>
      <c r="V130" s="574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customHeight="1" x14ac:dyDescent="0.25">
      <c r="A131" s="569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customHeight="1" x14ac:dyDescent="0.25">
      <c r="A132" s="54" t="s">
        <v>233</v>
      </c>
      <c r="B132" s="54" t="s">
        <v>234</v>
      </c>
      <c r="C132" s="31">
        <v>4301031235</v>
      </c>
      <c r="D132" s="560">
        <v>4680115883444</v>
      </c>
      <c r="E132" s="561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71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233</v>
      </c>
      <c r="B133" s="54" t="s">
        <v>236</v>
      </c>
      <c r="C133" s="31">
        <v>4301031234</v>
      </c>
      <c r="D133" s="560">
        <v>4680115883444</v>
      </c>
      <c r="E133" s="561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x14ac:dyDescent="0.2">
      <c r="A134" s="582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83"/>
      <c r="P134" s="572" t="s">
        <v>75</v>
      </c>
      <c r="Q134" s="573"/>
      <c r="R134" s="573"/>
      <c r="S134" s="573"/>
      <c r="T134" s="573"/>
      <c r="U134" s="573"/>
      <c r="V134" s="574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83"/>
      <c r="P135" s="572" t="s">
        <v>75</v>
      </c>
      <c r="Q135" s="573"/>
      <c r="R135" s="573"/>
      <c r="S135" s="573"/>
      <c r="T135" s="573"/>
      <c r="U135" s="573"/>
      <c r="V135" s="574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customHeight="1" x14ac:dyDescent="0.25">
      <c r="A136" s="569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customHeight="1" x14ac:dyDescent="0.25">
      <c r="A137" s="54" t="s">
        <v>237</v>
      </c>
      <c r="B137" s="54" t="s">
        <v>238</v>
      </c>
      <c r="C137" s="31">
        <v>4301051477</v>
      </c>
      <c r="D137" s="560">
        <v>4680115882584</v>
      </c>
      <c r="E137" s="561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70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customHeight="1" x14ac:dyDescent="0.25">
      <c r="A138" s="54" t="s">
        <v>237</v>
      </c>
      <c r="B138" s="54" t="s">
        <v>239</v>
      </c>
      <c r="C138" s="31">
        <v>4301051476</v>
      </c>
      <c r="D138" s="560">
        <v>4680115882584</v>
      </c>
      <c r="E138" s="561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3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x14ac:dyDescent="0.2">
      <c r="A139" s="582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83"/>
      <c r="P139" s="572" t="s">
        <v>75</v>
      </c>
      <c r="Q139" s="573"/>
      <c r="R139" s="573"/>
      <c r="S139" s="573"/>
      <c r="T139" s="573"/>
      <c r="U139" s="573"/>
      <c r="V139" s="574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83"/>
      <c r="P140" s="572" t="s">
        <v>75</v>
      </c>
      <c r="Q140" s="573"/>
      <c r="R140" s="573"/>
      <c r="S140" s="573"/>
      <c r="T140" s="573"/>
      <c r="U140" s="573"/>
      <c r="V140" s="574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customHeight="1" x14ac:dyDescent="0.25">
      <c r="A141" s="567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customHeight="1" x14ac:dyDescent="0.25">
      <c r="A142" s="569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customHeight="1" x14ac:dyDescent="0.25">
      <c r="A143" s="54" t="s">
        <v>240</v>
      </c>
      <c r="B143" s="54" t="s">
        <v>241</v>
      </c>
      <c r="C143" s="31">
        <v>4301012244</v>
      </c>
      <c r="D143" s="560">
        <v>4680115887374</v>
      </c>
      <c r="E143" s="561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6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customHeight="1" x14ac:dyDescent="0.25">
      <c r="A144" s="54" t="s">
        <v>243</v>
      </c>
      <c r="B144" s="54" t="s">
        <v>244</v>
      </c>
      <c r="C144" s="31">
        <v>4301011705</v>
      </c>
      <c r="D144" s="560">
        <v>4607091384604</v>
      </c>
      <c r="E144" s="561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6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x14ac:dyDescent="0.2">
      <c r="A145" s="582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83"/>
      <c r="P145" s="572" t="s">
        <v>75</v>
      </c>
      <c r="Q145" s="573"/>
      <c r="R145" s="573"/>
      <c r="S145" s="573"/>
      <c r="T145" s="573"/>
      <c r="U145" s="573"/>
      <c r="V145" s="574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83"/>
      <c r="P146" s="572" t="s">
        <v>75</v>
      </c>
      <c r="Q146" s="573"/>
      <c r="R146" s="573"/>
      <c r="S146" s="573"/>
      <c r="T146" s="573"/>
      <c r="U146" s="573"/>
      <c r="V146" s="574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customHeight="1" x14ac:dyDescent="0.25">
      <c r="A147" s="569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customHeight="1" x14ac:dyDescent="0.25">
      <c r="A148" s="54" t="s">
        <v>246</v>
      </c>
      <c r="B148" s="54" t="s">
        <v>247</v>
      </c>
      <c r="C148" s="31">
        <v>4301030895</v>
      </c>
      <c r="D148" s="560">
        <v>4607091387667</v>
      </c>
      <c r="E148" s="561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105</v>
      </c>
      <c r="N148" s="33"/>
      <c r="O148" s="32">
        <v>40</v>
      </c>
      <c r="P148" s="64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customHeight="1" x14ac:dyDescent="0.25">
      <c r="A149" s="54" t="s">
        <v>249</v>
      </c>
      <c r="B149" s="54" t="s">
        <v>250</v>
      </c>
      <c r="C149" s="31">
        <v>4301031450</v>
      </c>
      <c r="D149" s="560">
        <v>4680115887428</v>
      </c>
      <c r="E149" s="561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75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customHeight="1" x14ac:dyDescent="0.25">
      <c r="A150" s="54" t="s">
        <v>252</v>
      </c>
      <c r="B150" s="54" t="s">
        <v>253</v>
      </c>
      <c r="C150" s="31">
        <v>4301030961</v>
      </c>
      <c r="D150" s="560">
        <v>4607091387636</v>
      </c>
      <c r="E150" s="561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84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254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customHeight="1" x14ac:dyDescent="0.25">
      <c r="A151" s="54" t="s">
        <v>255</v>
      </c>
      <c r="B151" s="54" t="s">
        <v>256</v>
      </c>
      <c r="C151" s="31">
        <v>4301031453</v>
      </c>
      <c r="D151" s="560">
        <v>4680115887336</v>
      </c>
      <c r="E151" s="561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82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257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customHeight="1" x14ac:dyDescent="0.25">
      <c r="A152" s="54" t="s">
        <v>258</v>
      </c>
      <c r="B152" s="54" t="s">
        <v>259</v>
      </c>
      <c r="C152" s="31">
        <v>4301030963</v>
      </c>
      <c r="D152" s="560">
        <v>4607091382426</v>
      </c>
      <c r="E152" s="561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260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customHeight="1" x14ac:dyDescent="0.25">
      <c r="A153" s="54" t="s">
        <v>261</v>
      </c>
      <c r="B153" s="54" t="s">
        <v>262</v>
      </c>
      <c r="C153" s="31">
        <v>4301031456</v>
      </c>
      <c r="D153" s="560">
        <v>4680115887398</v>
      </c>
      <c r="E153" s="561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109</v>
      </c>
      <c r="L153" s="32"/>
      <c r="M153" s="33" t="s">
        <v>68</v>
      </c>
      <c r="N153" s="33"/>
      <c r="O153" s="32">
        <v>40</v>
      </c>
      <c r="P153" s="753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263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x14ac:dyDescent="0.2">
      <c r="A154" s="582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83"/>
      <c r="P154" s="572" t="s">
        <v>75</v>
      </c>
      <c r="Q154" s="573"/>
      <c r="R154" s="573"/>
      <c r="S154" s="573"/>
      <c r="T154" s="573"/>
      <c r="U154" s="573"/>
      <c r="V154" s="574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83"/>
      <c r="P155" s="572" t="s">
        <v>75</v>
      </c>
      <c r="Q155" s="573"/>
      <c r="R155" s="573"/>
      <c r="S155" s="573"/>
      <c r="T155" s="573"/>
      <c r="U155" s="573"/>
      <c r="V155" s="574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customHeight="1" x14ac:dyDescent="0.25">
      <c r="A156" s="569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customHeight="1" x14ac:dyDescent="0.25">
      <c r="A157" s="54" t="s">
        <v>264</v>
      </c>
      <c r="B157" s="54" t="s">
        <v>265</v>
      </c>
      <c r="C157" s="31">
        <v>4301052064</v>
      </c>
      <c r="D157" s="560">
        <v>4680115887459</v>
      </c>
      <c r="E157" s="561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266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82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83"/>
      <c r="P158" s="572" t="s">
        <v>75</v>
      </c>
      <c r="Q158" s="573"/>
      <c r="R158" s="573"/>
      <c r="S158" s="573"/>
      <c r="T158" s="573"/>
      <c r="U158" s="573"/>
      <c r="V158" s="574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83"/>
      <c r="P159" s="572" t="s">
        <v>75</v>
      </c>
      <c r="Q159" s="573"/>
      <c r="R159" s="573"/>
      <c r="S159" s="573"/>
      <c r="T159" s="573"/>
      <c r="U159" s="573"/>
      <c r="V159" s="574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customHeight="1" x14ac:dyDescent="0.2">
      <c r="A160" s="630" t="s">
        <v>267</v>
      </c>
      <c r="B160" s="631"/>
      <c r="C160" s="631"/>
      <c r="D160" s="631"/>
      <c r="E160" s="631"/>
      <c r="F160" s="631"/>
      <c r="G160" s="631"/>
      <c r="H160" s="631"/>
      <c r="I160" s="631"/>
      <c r="J160" s="631"/>
      <c r="K160" s="631"/>
      <c r="L160" s="631"/>
      <c r="M160" s="631"/>
      <c r="N160" s="631"/>
      <c r="O160" s="631"/>
      <c r="P160" s="631"/>
      <c r="Q160" s="631"/>
      <c r="R160" s="631"/>
      <c r="S160" s="631"/>
      <c r="T160" s="631"/>
      <c r="U160" s="631"/>
      <c r="V160" s="631"/>
      <c r="W160" s="631"/>
      <c r="X160" s="631"/>
      <c r="Y160" s="631"/>
      <c r="Z160" s="631"/>
      <c r="AA160" s="48"/>
      <c r="AB160" s="48"/>
      <c r="AC160" s="48"/>
    </row>
    <row r="161" spans="1:68" ht="16.5" customHeight="1" x14ac:dyDescent="0.25">
      <c r="A161" s="567" t="s">
        <v>268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customHeight="1" x14ac:dyDescent="0.25">
      <c r="A162" s="569" t="s">
        <v>134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customHeight="1" x14ac:dyDescent="0.25">
      <c r="A163" s="54" t="s">
        <v>269</v>
      </c>
      <c r="B163" s="54" t="s">
        <v>270</v>
      </c>
      <c r="C163" s="31">
        <v>4301020323</v>
      </c>
      <c r="D163" s="560">
        <v>4680115886223</v>
      </c>
      <c r="E163" s="561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3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271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x14ac:dyDescent="0.2">
      <c r="A164" s="582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83"/>
      <c r="P164" s="572" t="s">
        <v>75</v>
      </c>
      <c r="Q164" s="573"/>
      <c r="R164" s="573"/>
      <c r="S164" s="573"/>
      <c r="T164" s="573"/>
      <c r="U164" s="573"/>
      <c r="V164" s="574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83"/>
      <c r="P165" s="572" t="s">
        <v>75</v>
      </c>
      <c r="Q165" s="573"/>
      <c r="R165" s="573"/>
      <c r="S165" s="573"/>
      <c r="T165" s="573"/>
      <c r="U165" s="573"/>
      <c r="V165" s="574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customHeight="1" x14ac:dyDescent="0.25">
      <c r="A166" s="569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customHeight="1" x14ac:dyDescent="0.25">
      <c r="A167" s="54" t="s">
        <v>272</v>
      </c>
      <c r="B167" s="54" t="s">
        <v>273</v>
      </c>
      <c r="C167" s="31">
        <v>4301031463</v>
      </c>
      <c r="D167" s="560">
        <v>4680115887824</v>
      </c>
      <c r="E167" s="561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274</v>
      </c>
      <c r="N167" s="33"/>
      <c r="O167" s="32">
        <v>60</v>
      </c>
      <c r="P167" s="689" t="s">
        <v>275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276</v>
      </c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customHeight="1" x14ac:dyDescent="0.25">
      <c r="A168" s="54" t="s">
        <v>278</v>
      </c>
      <c r="B168" s="54" t="s">
        <v>279</v>
      </c>
      <c r="C168" s="31">
        <v>4301031464</v>
      </c>
      <c r="D168" s="560">
        <v>4680115887701</v>
      </c>
      <c r="E168" s="561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274</v>
      </c>
      <c r="N168" s="33"/>
      <c r="O168" s="32">
        <v>60</v>
      </c>
      <c r="P168" s="656" t="s">
        <v>280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276</v>
      </c>
      <c r="AC168" s="205" t="s">
        <v>277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customHeight="1" x14ac:dyDescent="0.25">
      <c r="A169" s="54" t="s">
        <v>281</v>
      </c>
      <c r="B169" s="54" t="s">
        <v>282</v>
      </c>
      <c r="C169" s="31">
        <v>4301031191</v>
      </c>
      <c r="D169" s="560">
        <v>4680115880993</v>
      </c>
      <c r="E169" s="561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6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283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284</v>
      </c>
      <c r="B170" s="54" t="s">
        <v>285</v>
      </c>
      <c r="C170" s="31">
        <v>4301031204</v>
      </c>
      <c r="D170" s="560">
        <v>4680115881761</v>
      </c>
      <c r="E170" s="561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109</v>
      </c>
      <c r="L170" s="32"/>
      <c r="M170" s="33" t="s">
        <v>68</v>
      </c>
      <c r="N170" s="33"/>
      <c r="O170" s="32">
        <v>40</v>
      </c>
      <c r="P170" s="60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customHeight="1" x14ac:dyDescent="0.25">
      <c r="A171" s="54" t="s">
        <v>287</v>
      </c>
      <c r="B171" s="54" t="s">
        <v>288</v>
      </c>
      <c r="C171" s="31">
        <v>4301031201</v>
      </c>
      <c r="D171" s="560">
        <v>4680115881563</v>
      </c>
      <c r="E171" s="561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109</v>
      </c>
      <c r="L171" s="32"/>
      <c r="M171" s="33" t="s">
        <v>68</v>
      </c>
      <c r="N171" s="33"/>
      <c r="O171" s="32">
        <v>40</v>
      </c>
      <c r="P171" s="63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289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customHeight="1" x14ac:dyDescent="0.25">
      <c r="A172" s="54" t="s">
        <v>290</v>
      </c>
      <c r="B172" s="54" t="s">
        <v>291</v>
      </c>
      <c r="C172" s="31">
        <v>4301031447</v>
      </c>
      <c r="D172" s="560">
        <v>4680115887565</v>
      </c>
      <c r="E172" s="561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8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292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customHeight="1" x14ac:dyDescent="0.25">
      <c r="A173" s="54" t="s">
        <v>293</v>
      </c>
      <c r="B173" s="54" t="s">
        <v>294</v>
      </c>
      <c r="C173" s="31">
        <v>4301031199</v>
      </c>
      <c r="D173" s="560">
        <v>4680115880986</v>
      </c>
      <c r="E173" s="561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customHeight="1" x14ac:dyDescent="0.25">
      <c r="A174" s="54" t="s">
        <v>295</v>
      </c>
      <c r="B174" s="54" t="s">
        <v>296</v>
      </c>
      <c r="C174" s="31">
        <v>4301031443</v>
      </c>
      <c r="D174" s="560">
        <v>4680115887213</v>
      </c>
      <c r="E174" s="561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7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297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298</v>
      </c>
      <c r="B175" s="54" t="s">
        <v>299</v>
      </c>
      <c r="C175" s="31">
        <v>4301031205</v>
      </c>
      <c r="D175" s="560">
        <v>4680115881785</v>
      </c>
      <c r="E175" s="561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286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customHeight="1" x14ac:dyDescent="0.25">
      <c r="A176" s="54" t="s">
        <v>300</v>
      </c>
      <c r="B176" s="54" t="s">
        <v>301</v>
      </c>
      <c r="C176" s="31">
        <v>4301031399</v>
      </c>
      <c r="D176" s="560">
        <v>4680115886537</v>
      </c>
      <c r="E176" s="561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customHeight="1" x14ac:dyDescent="0.25">
      <c r="A177" s="54" t="s">
        <v>303</v>
      </c>
      <c r="B177" s="54" t="s">
        <v>304</v>
      </c>
      <c r="C177" s="31">
        <v>4301031279</v>
      </c>
      <c r="D177" s="560">
        <v>4680115887596</v>
      </c>
      <c r="E177" s="561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172</v>
      </c>
      <c r="L177" s="32"/>
      <c r="M177" s="33" t="s">
        <v>68</v>
      </c>
      <c r="N177" s="33"/>
      <c r="O177" s="32">
        <v>45</v>
      </c>
      <c r="P177" s="80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305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customHeight="1" x14ac:dyDescent="0.25">
      <c r="A178" s="54" t="s">
        <v>306</v>
      </c>
      <c r="B178" s="54" t="s">
        <v>307</v>
      </c>
      <c r="C178" s="31">
        <v>4301031202</v>
      </c>
      <c r="D178" s="560">
        <v>4680115881679</v>
      </c>
      <c r="E178" s="561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289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308</v>
      </c>
      <c r="B179" s="54" t="s">
        <v>309</v>
      </c>
      <c r="C179" s="31">
        <v>4301031158</v>
      </c>
      <c r="D179" s="560">
        <v>4680115880191</v>
      </c>
      <c r="E179" s="561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289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310</v>
      </c>
      <c r="B180" s="54" t="s">
        <v>311</v>
      </c>
      <c r="C180" s="31">
        <v>4301031245</v>
      </c>
      <c r="D180" s="560">
        <v>4680115883963</v>
      </c>
      <c r="E180" s="561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312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x14ac:dyDescent="0.2">
      <c r="A181" s="582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83"/>
      <c r="P181" s="572" t="s">
        <v>75</v>
      </c>
      <c r="Q181" s="573"/>
      <c r="R181" s="573"/>
      <c r="S181" s="573"/>
      <c r="T181" s="573"/>
      <c r="U181" s="573"/>
      <c r="V181" s="574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83"/>
      <c r="P182" s="572" t="s">
        <v>75</v>
      </c>
      <c r="Q182" s="573"/>
      <c r="R182" s="573"/>
      <c r="S182" s="573"/>
      <c r="T182" s="573"/>
      <c r="U182" s="573"/>
      <c r="V182" s="574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customHeight="1" x14ac:dyDescent="0.25">
      <c r="A183" s="569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customHeight="1" x14ac:dyDescent="0.25">
      <c r="A184" s="54" t="s">
        <v>313</v>
      </c>
      <c r="B184" s="54" t="s">
        <v>314</v>
      </c>
      <c r="C184" s="31">
        <v>4301032053</v>
      </c>
      <c r="D184" s="560">
        <v>4680115886780</v>
      </c>
      <c r="E184" s="561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315</v>
      </c>
      <c r="L184" s="32"/>
      <c r="M184" s="33" t="s">
        <v>274</v>
      </c>
      <c r="N184" s="33"/>
      <c r="O184" s="32">
        <v>60</v>
      </c>
      <c r="P184" s="63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customHeight="1" x14ac:dyDescent="0.25">
      <c r="A185" s="54" t="s">
        <v>317</v>
      </c>
      <c r="B185" s="54" t="s">
        <v>318</v>
      </c>
      <c r="C185" s="31">
        <v>4301032051</v>
      </c>
      <c r="D185" s="560">
        <v>4680115886742</v>
      </c>
      <c r="E185" s="561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315</v>
      </c>
      <c r="L185" s="32"/>
      <c r="M185" s="33" t="s">
        <v>274</v>
      </c>
      <c r="N185" s="33"/>
      <c r="O185" s="32">
        <v>90</v>
      </c>
      <c r="P185" s="7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319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320</v>
      </c>
      <c r="B186" s="54" t="s">
        <v>321</v>
      </c>
      <c r="C186" s="31">
        <v>4301032052</v>
      </c>
      <c r="D186" s="560">
        <v>4680115886766</v>
      </c>
      <c r="E186" s="561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315</v>
      </c>
      <c r="L186" s="32"/>
      <c r="M186" s="33" t="s">
        <v>274</v>
      </c>
      <c r="N186" s="33"/>
      <c r="O186" s="32">
        <v>90</v>
      </c>
      <c r="P186" s="84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319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82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83"/>
      <c r="P187" s="572" t="s">
        <v>75</v>
      </c>
      <c r="Q187" s="573"/>
      <c r="R187" s="573"/>
      <c r="S187" s="573"/>
      <c r="T187" s="573"/>
      <c r="U187" s="573"/>
      <c r="V187" s="574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83"/>
      <c r="P188" s="572" t="s">
        <v>75</v>
      </c>
      <c r="Q188" s="573"/>
      <c r="R188" s="573"/>
      <c r="S188" s="573"/>
      <c r="T188" s="573"/>
      <c r="U188" s="573"/>
      <c r="V188" s="574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customHeight="1" x14ac:dyDescent="0.25">
      <c r="A189" s="569" t="s">
        <v>322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customHeight="1" x14ac:dyDescent="0.25">
      <c r="A190" s="54" t="s">
        <v>323</v>
      </c>
      <c r="B190" s="54" t="s">
        <v>324</v>
      </c>
      <c r="C190" s="31">
        <v>4301170013</v>
      </c>
      <c r="D190" s="560">
        <v>4680115886797</v>
      </c>
      <c r="E190" s="561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315</v>
      </c>
      <c r="L190" s="32"/>
      <c r="M190" s="33" t="s">
        <v>274</v>
      </c>
      <c r="N190" s="33"/>
      <c r="O190" s="32">
        <v>90</v>
      </c>
      <c r="P190" s="81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319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x14ac:dyDescent="0.2">
      <c r="A191" s="582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83"/>
      <c r="P191" s="572" t="s">
        <v>75</v>
      </c>
      <c r="Q191" s="573"/>
      <c r="R191" s="573"/>
      <c r="S191" s="573"/>
      <c r="T191" s="573"/>
      <c r="U191" s="573"/>
      <c r="V191" s="574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83"/>
      <c r="P192" s="572" t="s">
        <v>75</v>
      </c>
      <c r="Q192" s="573"/>
      <c r="R192" s="573"/>
      <c r="S192" s="573"/>
      <c r="T192" s="573"/>
      <c r="U192" s="573"/>
      <c r="V192" s="574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customHeight="1" x14ac:dyDescent="0.25">
      <c r="A193" s="567" t="s">
        <v>325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customHeight="1" x14ac:dyDescent="0.25">
      <c r="A194" s="569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customHeight="1" x14ac:dyDescent="0.25">
      <c r="A195" s="54" t="s">
        <v>326</v>
      </c>
      <c r="B195" s="54" t="s">
        <v>327</v>
      </c>
      <c r="C195" s="31">
        <v>4301011450</v>
      </c>
      <c r="D195" s="560">
        <v>4680115881402</v>
      </c>
      <c r="E195" s="561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105</v>
      </c>
      <c r="N195" s="33"/>
      <c r="O195" s="32">
        <v>55</v>
      </c>
      <c r="P195" s="69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328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customHeight="1" x14ac:dyDescent="0.25">
      <c r="A196" s="54" t="s">
        <v>329</v>
      </c>
      <c r="B196" s="54" t="s">
        <v>330</v>
      </c>
      <c r="C196" s="31">
        <v>4301011768</v>
      </c>
      <c r="D196" s="560">
        <v>4680115881396</v>
      </c>
      <c r="E196" s="561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105</v>
      </c>
      <c r="N196" s="33"/>
      <c r="O196" s="32">
        <v>55</v>
      </c>
      <c r="P196" s="8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328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x14ac:dyDescent="0.2">
      <c r="A197" s="582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83"/>
      <c r="P197" s="572" t="s">
        <v>75</v>
      </c>
      <c r="Q197" s="573"/>
      <c r="R197" s="573"/>
      <c r="S197" s="573"/>
      <c r="T197" s="573"/>
      <c r="U197" s="573"/>
      <c r="V197" s="574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83"/>
      <c r="P198" s="572" t="s">
        <v>75</v>
      </c>
      <c r="Q198" s="573"/>
      <c r="R198" s="573"/>
      <c r="S198" s="573"/>
      <c r="T198" s="573"/>
      <c r="U198" s="573"/>
      <c r="V198" s="574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customHeight="1" x14ac:dyDescent="0.25">
      <c r="A199" s="569" t="s">
        <v>134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customHeight="1" x14ac:dyDescent="0.25">
      <c r="A200" s="54" t="s">
        <v>331</v>
      </c>
      <c r="B200" s="54" t="s">
        <v>332</v>
      </c>
      <c r="C200" s="31">
        <v>4301020261</v>
      </c>
      <c r="D200" s="560">
        <v>4680115882935</v>
      </c>
      <c r="E200" s="561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105</v>
      </c>
      <c r="N200" s="33"/>
      <c r="O200" s="32">
        <v>50</v>
      </c>
      <c r="P200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333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customHeight="1" x14ac:dyDescent="0.25">
      <c r="A201" s="54" t="s">
        <v>334</v>
      </c>
      <c r="B201" s="54" t="s">
        <v>335</v>
      </c>
      <c r="C201" s="31">
        <v>4301020220</v>
      </c>
      <c r="D201" s="560">
        <v>4680115880764</v>
      </c>
      <c r="E201" s="561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105</v>
      </c>
      <c r="N201" s="33"/>
      <c r="O201" s="32">
        <v>50</v>
      </c>
      <c r="P20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333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x14ac:dyDescent="0.2">
      <c r="A202" s="582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83"/>
      <c r="P202" s="572" t="s">
        <v>75</v>
      </c>
      <c r="Q202" s="573"/>
      <c r="R202" s="573"/>
      <c r="S202" s="573"/>
      <c r="T202" s="573"/>
      <c r="U202" s="573"/>
      <c r="V202" s="574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83"/>
      <c r="P203" s="572" t="s">
        <v>75</v>
      </c>
      <c r="Q203" s="573"/>
      <c r="R203" s="573"/>
      <c r="S203" s="573"/>
      <c r="T203" s="573"/>
      <c r="U203" s="573"/>
      <c r="V203" s="574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customHeight="1" x14ac:dyDescent="0.25">
      <c r="A204" s="569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customHeight="1" x14ac:dyDescent="0.25">
      <c r="A205" s="54" t="s">
        <v>336</v>
      </c>
      <c r="B205" s="54" t="s">
        <v>337</v>
      </c>
      <c r="C205" s="31">
        <v>4301031224</v>
      </c>
      <c r="D205" s="560">
        <v>4680115882683</v>
      </c>
      <c r="E205" s="561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8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customHeight="1" x14ac:dyDescent="0.25">
      <c r="A206" s="54" t="s">
        <v>339</v>
      </c>
      <c r="B206" s="54" t="s">
        <v>340</v>
      </c>
      <c r="C206" s="31">
        <v>4301031230</v>
      </c>
      <c r="D206" s="560">
        <v>4680115882690</v>
      </c>
      <c r="E206" s="561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customHeight="1" x14ac:dyDescent="0.25">
      <c r="A207" s="54" t="s">
        <v>342</v>
      </c>
      <c r="B207" s="54" t="s">
        <v>343</v>
      </c>
      <c r="C207" s="31">
        <v>4301031220</v>
      </c>
      <c r="D207" s="560">
        <v>4680115882669</v>
      </c>
      <c r="E207" s="561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109</v>
      </c>
      <c r="L207" s="32"/>
      <c r="M207" s="33" t="s">
        <v>68</v>
      </c>
      <c r="N207" s="33"/>
      <c r="O207" s="32">
        <v>40</v>
      </c>
      <c r="P207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4301031221</v>
      </c>
      <c r="D208" s="560">
        <v>4680115882676</v>
      </c>
      <c r="E208" s="561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109</v>
      </c>
      <c r="L208" s="32"/>
      <c r="M208" s="33" t="s">
        <v>68</v>
      </c>
      <c r="N208" s="33"/>
      <c r="O208" s="32">
        <v>40</v>
      </c>
      <c r="P208" s="71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347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348</v>
      </c>
      <c r="B209" s="54" t="s">
        <v>349</v>
      </c>
      <c r="C209" s="31">
        <v>4301031223</v>
      </c>
      <c r="D209" s="560">
        <v>4680115884014</v>
      </c>
      <c r="E209" s="561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350</v>
      </c>
      <c r="M209" s="33" t="s">
        <v>68</v>
      </c>
      <c r="N209" s="33"/>
      <c r="O209" s="32">
        <v>40</v>
      </c>
      <c r="P209" s="6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84.6</v>
      </c>
      <c r="Y209" s="554">
        <f t="shared" si="15"/>
        <v>84.600000000000009</v>
      </c>
      <c r="Z209" s="36">
        <f>IFERROR(IF(Y209=0,"",ROUNDUP(Y209/H209,0)*0.00502),"")</f>
        <v>0.23594000000000001</v>
      </c>
      <c r="AA209" s="56"/>
      <c r="AB209" s="57"/>
      <c r="AC209" s="255" t="s">
        <v>338</v>
      </c>
      <c r="AG209" s="64"/>
      <c r="AJ209" s="68" t="s">
        <v>200</v>
      </c>
      <c r="AK209" s="68">
        <v>32.4</v>
      </c>
      <c r="BB209" s="256" t="s">
        <v>1</v>
      </c>
      <c r="BM209" s="64">
        <f t="shared" si="16"/>
        <v>90.71</v>
      </c>
      <c r="BN209" s="64">
        <f t="shared" si="17"/>
        <v>90.710000000000008</v>
      </c>
      <c r="BO209" s="64">
        <f t="shared" si="18"/>
        <v>0.20085470085470084</v>
      </c>
      <c r="BP209" s="64">
        <f t="shared" si="19"/>
        <v>0.20085470085470092</v>
      </c>
    </row>
    <row r="210" spans="1:68" ht="27" customHeight="1" x14ac:dyDescent="0.25">
      <c r="A210" s="54" t="s">
        <v>351</v>
      </c>
      <c r="B210" s="54" t="s">
        <v>352</v>
      </c>
      <c r="C210" s="31">
        <v>4301031222</v>
      </c>
      <c r="D210" s="560">
        <v>4680115884007</v>
      </c>
      <c r="E210" s="561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2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353</v>
      </c>
      <c r="B211" s="54" t="s">
        <v>354</v>
      </c>
      <c r="C211" s="31">
        <v>4301031229</v>
      </c>
      <c r="D211" s="560">
        <v>4680115884038</v>
      </c>
      <c r="E211" s="561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4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36</v>
      </c>
      <c r="Y211" s="554">
        <f t="shared" si="15"/>
        <v>36</v>
      </c>
      <c r="Z211" s="36">
        <f>IFERROR(IF(Y211=0,"",ROUNDUP(Y211/H211,0)*0.00502),"")</f>
        <v>0.1004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37.999999999999993</v>
      </c>
      <c r="BN211" s="64">
        <f t="shared" si="17"/>
        <v>37.999999999999993</v>
      </c>
      <c r="BO211" s="64">
        <f t="shared" si="18"/>
        <v>8.5470085470085472E-2</v>
      </c>
      <c r="BP211" s="64">
        <f t="shared" si="19"/>
        <v>8.5470085470085472E-2</v>
      </c>
    </row>
    <row r="212" spans="1:68" ht="27" customHeight="1" x14ac:dyDescent="0.25">
      <c r="A212" s="54" t="s">
        <v>355</v>
      </c>
      <c r="B212" s="54" t="s">
        <v>356</v>
      </c>
      <c r="C212" s="31">
        <v>4301031225</v>
      </c>
      <c r="D212" s="560">
        <v>4680115884021</v>
      </c>
      <c r="E212" s="561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77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347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82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83"/>
      <c r="P213" s="572" t="s">
        <v>75</v>
      </c>
      <c r="Q213" s="573"/>
      <c r="R213" s="573"/>
      <c r="S213" s="573"/>
      <c r="T213" s="573"/>
      <c r="U213" s="573"/>
      <c r="V213" s="574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67</v>
      </c>
      <c r="Y213" s="555">
        <f>IFERROR(Y205/H205,"0")+IFERROR(Y206/H206,"0")+IFERROR(Y207/H207,"0")+IFERROR(Y208/H208,"0")+IFERROR(Y209/H209,"0")+IFERROR(Y210/H210,"0")+IFERROR(Y211/H211,"0")+IFERROR(Y212/H212,"0")</f>
        <v>67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0.33634000000000003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83"/>
      <c r="P214" s="572" t="s">
        <v>75</v>
      </c>
      <c r="Q214" s="573"/>
      <c r="R214" s="573"/>
      <c r="S214" s="573"/>
      <c r="T214" s="573"/>
      <c r="U214" s="573"/>
      <c r="V214" s="574"/>
      <c r="W214" s="37" t="s">
        <v>69</v>
      </c>
      <c r="X214" s="555">
        <f>IFERROR(SUM(X205:X212),"0")</f>
        <v>120.6</v>
      </c>
      <c r="Y214" s="555">
        <f>IFERROR(SUM(Y205:Y212),"0")</f>
        <v>120.60000000000001</v>
      </c>
      <c r="Z214" s="37"/>
      <c r="AA214" s="556"/>
      <c r="AB214" s="556"/>
      <c r="AC214" s="556"/>
    </row>
    <row r="215" spans="1:68" ht="14.25" customHeight="1" x14ac:dyDescent="0.25">
      <c r="A215" s="569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customHeight="1" x14ac:dyDescent="0.25">
      <c r="A216" s="54" t="s">
        <v>357</v>
      </c>
      <c r="B216" s="54" t="s">
        <v>358</v>
      </c>
      <c r="C216" s="31">
        <v>4301051408</v>
      </c>
      <c r="D216" s="560">
        <v>4680115881594</v>
      </c>
      <c r="E216" s="561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customHeight="1" x14ac:dyDescent="0.25">
      <c r="A217" s="54" t="s">
        <v>360</v>
      </c>
      <c r="B217" s="54" t="s">
        <v>361</v>
      </c>
      <c r="C217" s="31">
        <v>4301051411</v>
      </c>
      <c r="D217" s="560">
        <v>4680115881617</v>
      </c>
      <c r="E217" s="561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362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customHeight="1" x14ac:dyDescent="0.25">
      <c r="A218" s="54" t="s">
        <v>363</v>
      </c>
      <c r="B218" s="54" t="s">
        <v>364</v>
      </c>
      <c r="C218" s="31">
        <v>4301051656</v>
      </c>
      <c r="D218" s="560">
        <v>4680115880573</v>
      </c>
      <c r="E218" s="561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365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366</v>
      </c>
      <c r="B219" s="54" t="s">
        <v>367</v>
      </c>
      <c r="C219" s="31">
        <v>4301051407</v>
      </c>
      <c r="D219" s="560">
        <v>4680115882195</v>
      </c>
      <c r="E219" s="561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40</v>
      </c>
      <c r="P219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100.8</v>
      </c>
      <c r="Y219" s="554">
        <f t="shared" si="20"/>
        <v>100.8</v>
      </c>
      <c r="Z219" s="36">
        <f t="shared" ref="Z219:Z224" si="25">IFERROR(IF(Y219=0,"",ROUNDUP(Y219/H219,0)*0.00651),"")</f>
        <v>0.27342</v>
      </c>
      <c r="AA219" s="56"/>
      <c r="AB219" s="57"/>
      <c r="AC219" s="269" t="s">
        <v>368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112.13999999999999</v>
      </c>
      <c r="BN219" s="64">
        <f t="shared" si="22"/>
        <v>112.13999999999999</v>
      </c>
      <c r="BO219" s="64">
        <f t="shared" si="23"/>
        <v>0.23076923076923078</v>
      </c>
      <c r="BP219" s="64">
        <f t="shared" si="24"/>
        <v>0.23076923076923078</v>
      </c>
    </row>
    <row r="220" spans="1:68" ht="27" customHeight="1" x14ac:dyDescent="0.25">
      <c r="A220" s="54" t="s">
        <v>369</v>
      </c>
      <c r="B220" s="54" t="s">
        <v>370</v>
      </c>
      <c r="C220" s="31">
        <v>4301051752</v>
      </c>
      <c r="D220" s="560">
        <v>4680115882607</v>
      </c>
      <c r="E220" s="561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7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371</v>
      </c>
      <c r="B221" s="54" t="s">
        <v>372</v>
      </c>
      <c r="C221" s="31">
        <v>4301051666</v>
      </c>
      <c r="D221" s="560">
        <v>4680115880092</v>
      </c>
      <c r="E221" s="561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221</v>
      </c>
      <c r="M221" s="33" t="s">
        <v>80</v>
      </c>
      <c r="N221" s="33"/>
      <c r="O221" s="32">
        <v>45</v>
      </c>
      <c r="P221" s="5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40.799999999999997</v>
      </c>
      <c r="Y221" s="554">
        <f t="shared" si="20"/>
        <v>40.799999999999997</v>
      </c>
      <c r="Z221" s="36">
        <f t="shared" si="25"/>
        <v>0.11067</v>
      </c>
      <c r="AA221" s="56"/>
      <c r="AB221" s="57"/>
      <c r="AC221" s="273" t="s">
        <v>365</v>
      </c>
      <c r="AG221" s="64"/>
      <c r="AJ221" s="68" t="s">
        <v>200</v>
      </c>
      <c r="AK221" s="68">
        <v>33.6</v>
      </c>
      <c r="BB221" s="274" t="s">
        <v>1</v>
      </c>
      <c r="BM221" s="64">
        <f t="shared" si="21"/>
        <v>45.084000000000003</v>
      </c>
      <c r="BN221" s="64">
        <f t="shared" si="22"/>
        <v>45.084000000000003</v>
      </c>
      <c r="BO221" s="64">
        <f t="shared" si="23"/>
        <v>9.3406593406593408E-2</v>
      </c>
      <c r="BP221" s="64">
        <f t="shared" si="24"/>
        <v>9.3406593406593408E-2</v>
      </c>
    </row>
    <row r="222" spans="1:68" ht="27" customHeight="1" x14ac:dyDescent="0.25">
      <c r="A222" s="54" t="s">
        <v>373</v>
      </c>
      <c r="B222" s="54" t="s">
        <v>374</v>
      </c>
      <c r="C222" s="31">
        <v>4301051668</v>
      </c>
      <c r="D222" s="560">
        <v>4680115880221</v>
      </c>
      <c r="E222" s="561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375</v>
      </c>
      <c r="B223" s="54" t="s">
        <v>376</v>
      </c>
      <c r="C223" s="31">
        <v>4301051945</v>
      </c>
      <c r="D223" s="560">
        <v>4680115880504</v>
      </c>
      <c r="E223" s="561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/>
      <c r="M223" s="33" t="s">
        <v>86</v>
      </c>
      <c r="N223" s="33"/>
      <c r="O223" s="32">
        <v>40</v>
      </c>
      <c r="P223" s="6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customHeight="1" x14ac:dyDescent="0.25">
      <c r="A224" s="54" t="s">
        <v>378</v>
      </c>
      <c r="B224" s="54" t="s">
        <v>379</v>
      </c>
      <c r="C224" s="31">
        <v>4301051410</v>
      </c>
      <c r="D224" s="560">
        <v>4680115882164</v>
      </c>
      <c r="E224" s="561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/>
      <c r="M224" s="33" t="s">
        <v>80</v>
      </c>
      <c r="N224" s="33"/>
      <c r="O224" s="32">
        <v>40</v>
      </c>
      <c r="P224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362</v>
      </c>
      <c r="AG224" s="64"/>
      <c r="AJ224" s="68"/>
      <c r="AK224" s="68">
        <v>0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82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83"/>
      <c r="P225" s="572" t="s">
        <v>75</v>
      </c>
      <c r="Q225" s="573"/>
      <c r="R225" s="573"/>
      <c r="S225" s="573"/>
      <c r="T225" s="573"/>
      <c r="U225" s="573"/>
      <c r="V225" s="574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59</v>
      </c>
      <c r="Y225" s="555">
        <f>IFERROR(Y216/H216,"0")+IFERROR(Y217/H217,"0")+IFERROR(Y218/H218,"0")+IFERROR(Y219/H219,"0")+IFERROR(Y220/H220,"0")+IFERROR(Y221/H221,"0")+IFERROR(Y222/H222,"0")+IFERROR(Y223/H223,"0")+IFERROR(Y224/H224,"0")</f>
        <v>59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0.38408999999999999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83"/>
      <c r="P226" s="572" t="s">
        <v>75</v>
      </c>
      <c r="Q226" s="573"/>
      <c r="R226" s="573"/>
      <c r="S226" s="573"/>
      <c r="T226" s="573"/>
      <c r="U226" s="573"/>
      <c r="V226" s="574"/>
      <c r="W226" s="37" t="s">
        <v>69</v>
      </c>
      <c r="X226" s="555">
        <f>IFERROR(SUM(X216:X224),"0")</f>
        <v>141.6</v>
      </c>
      <c r="Y226" s="555">
        <f>IFERROR(SUM(Y216:Y224),"0")</f>
        <v>141.6</v>
      </c>
      <c r="Z226" s="37"/>
      <c r="AA226" s="556"/>
      <c r="AB226" s="556"/>
      <c r="AC226" s="556"/>
    </row>
    <row r="227" spans="1:68" ht="14.25" customHeight="1" x14ac:dyDescent="0.25">
      <c r="A227" s="569" t="s">
        <v>159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customHeight="1" x14ac:dyDescent="0.25">
      <c r="A228" s="54" t="s">
        <v>380</v>
      </c>
      <c r="B228" s="54" t="s">
        <v>381</v>
      </c>
      <c r="C228" s="31">
        <v>4301060463</v>
      </c>
      <c r="D228" s="560">
        <v>4680115880818</v>
      </c>
      <c r="E228" s="561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382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customHeight="1" x14ac:dyDescent="0.25">
      <c r="A229" s="54" t="s">
        <v>383</v>
      </c>
      <c r="B229" s="54" t="s">
        <v>384</v>
      </c>
      <c r="C229" s="31">
        <v>4301060389</v>
      </c>
      <c r="D229" s="560">
        <v>4680115880801</v>
      </c>
      <c r="E229" s="561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385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x14ac:dyDescent="0.2">
      <c r="A230" s="582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83"/>
      <c r="P230" s="572" t="s">
        <v>75</v>
      </c>
      <c r="Q230" s="573"/>
      <c r="R230" s="573"/>
      <c r="S230" s="573"/>
      <c r="T230" s="573"/>
      <c r="U230" s="573"/>
      <c r="V230" s="574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83"/>
      <c r="P231" s="572" t="s">
        <v>75</v>
      </c>
      <c r="Q231" s="573"/>
      <c r="R231" s="573"/>
      <c r="S231" s="573"/>
      <c r="T231" s="573"/>
      <c r="U231" s="573"/>
      <c r="V231" s="574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customHeight="1" x14ac:dyDescent="0.25">
      <c r="A232" s="567" t="s">
        <v>386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customHeight="1" x14ac:dyDescent="0.25">
      <c r="A233" s="569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customHeight="1" x14ac:dyDescent="0.25">
      <c r="A234" s="54" t="s">
        <v>387</v>
      </c>
      <c r="B234" s="54" t="s">
        <v>388</v>
      </c>
      <c r="C234" s="31">
        <v>4301011826</v>
      </c>
      <c r="D234" s="560">
        <v>4680115884137</v>
      </c>
      <c r="E234" s="561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12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389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customHeight="1" x14ac:dyDescent="0.25">
      <c r="A235" s="54" t="s">
        <v>390</v>
      </c>
      <c r="B235" s="54" t="s">
        <v>391</v>
      </c>
      <c r="C235" s="31">
        <v>4301011724</v>
      </c>
      <c r="D235" s="560">
        <v>4680115884236</v>
      </c>
      <c r="E235" s="561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105</v>
      </c>
      <c r="N235" s="33"/>
      <c r="O235" s="32">
        <v>55</v>
      </c>
      <c r="P23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customHeight="1" x14ac:dyDescent="0.25">
      <c r="A236" s="54" t="s">
        <v>393</v>
      </c>
      <c r="B236" s="54" t="s">
        <v>394</v>
      </c>
      <c r="C236" s="31">
        <v>4301011721</v>
      </c>
      <c r="D236" s="560">
        <v>4680115884175</v>
      </c>
      <c r="E236" s="561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105</v>
      </c>
      <c r="N236" s="33"/>
      <c r="O236" s="32">
        <v>55</v>
      </c>
      <c r="P236" s="61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customHeight="1" x14ac:dyDescent="0.25">
      <c r="A237" s="54" t="s">
        <v>396</v>
      </c>
      <c r="B237" s="54" t="s">
        <v>397</v>
      </c>
      <c r="C237" s="31">
        <v>4301011824</v>
      </c>
      <c r="D237" s="560">
        <v>4680115884144</v>
      </c>
      <c r="E237" s="561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customHeight="1" x14ac:dyDescent="0.25">
      <c r="A238" s="54" t="s">
        <v>396</v>
      </c>
      <c r="B238" s="54" t="s">
        <v>398</v>
      </c>
      <c r="C238" s="31">
        <v>4301012196</v>
      </c>
      <c r="D238" s="560">
        <v>4680115884144</v>
      </c>
      <c r="E238" s="561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109</v>
      </c>
      <c r="L238" s="32"/>
      <c r="M238" s="33" t="s">
        <v>105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customHeight="1" x14ac:dyDescent="0.25">
      <c r="A239" s="54" t="s">
        <v>399</v>
      </c>
      <c r="B239" s="54" t="s">
        <v>400</v>
      </c>
      <c r="C239" s="31">
        <v>4301012149</v>
      </c>
      <c r="D239" s="560">
        <v>4680115886551</v>
      </c>
      <c r="E239" s="561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401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customHeight="1" x14ac:dyDescent="0.25">
      <c r="A240" s="54" t="s">
        <v>402</v>
      </c>
      <c r="B240" s="54" t="s">
        <v>403</v>
      </c>
      <c r="C240" s="31">
        <v>4301012228</v>
      </c>
      <c r="D240" s="560">
        <v>4680115887282</v>
      </c>
      <c r="E240" s="561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105</v>
      </c>
      <c r="N240" s="33"/>
      <c r="O240" s="32">
        <v>55</v>
      </c>
      <c r="P240" s="64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404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customHeight="1" x14ac:dyDescent="0.25">
      <c r="A241" s="54" t="s">
        <v>405</v>
      </c>
      <c r="B241" s="54" t="s">
        <v>406</v>
      </c>
      <c r="C241" s="31">
        <v>4301011722</v>
      </c>
      <c r="D241" s="560">
        <v>4680115884205</v>
      </c>
      <c r="E241" s="561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109</v>
      </c>
      <c r="L241" s="32"/>
      <c r="M241" s="33" t="s">
        <v>105</v>
      </c>
      <c r="N241" s="33"/>
      <c r="O241" s="32">
        <v>55</v>
      </c>
      <c r="P241" s="81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395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customHeight="1" x14ac:dyDescent="0.25">
      <c r="A242" s="54" t="s">
        <v>405</v>
      </c>
      <c r="B242" s="54" t="s">
        <v>407</v>
      </c>
      <c r="C242" s="31">
        <v>4301012195</v>
      </c>
      <c r="D242" s="560">
        <v>4680115884205</v>
      </c>
      <c r="E242" s="561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109</v>
      </c>
      <c r="L242" s="32"/>
      <c r="M242" s="33" t="s">
        <v>105</v>
      </c>
      <c r="N242" s="33"/>
      <c r="O242" s="32">
        <v>55</v>
      </c>
      <c r="P242" s="64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395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x14ac:dyDescent="0.2">
      <c r="A243" s="582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83"/>
      <c r="P243" s="572" t="s">
        <v>75</v>
      </c>
      <c r="Q243" s="573"/>
      <c r="R243" s="573"/>
      <c r="S243" s="573"/>
      <c r="T243" s="573"/>
      <c r="U243" s="573"/>
      <c r="V243" s="574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83"/>
      <c r="P244" s="572" t="s">
        <v>75</v>
      </c>
      <c r="Q244" s="573"/>
      <c r="R244" s="573"/>
      <c r="S244" s="573"/>
      <c r="T244" s="573"/>
      <c r="U244" s="573"/>
      <c r="V244" s="574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customHeight="1" x14ac:dyDescent="0.25">
      <c r="A245" s="569" t="s">
        <v>134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408</v>
      </c>
      <c r="B246" s="54" t="s">
        <v>409</v>
      </c>
      <c r="C246" s="31">
        <v>4301020377</v>
      </c>
      <c r="D246" s="560">
        <v>4680115885981</v>
      </c>
      <c r="E246" s="561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0</v>
      </c>
      <c r="Y246" s="554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410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x14ac:dyDescent="0.2">
      <c r="A247" s="582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83"/>
      <c r="P247" s="572" t="s">
        <v>75</v>
      </c>
      <c r="Q247" s="573"/>
      <c r="R247" s="573"/>
      <c r="S247" s="573"/>
      <c r="T247" s="573"/>
      <c r="U247" s="573"/>
      <c r="V247" s="574"/>
      <c r="W247" s="37" t="s">
        <v>76</v>
      </c>
      <c r="X247" s="555">
        <f>IFERROR(X246/H246,"0")</f>
        <v>0</v>
      </c>
      <c r="Y247" s="555">
        <f>IFERROR(Y246/H246,"0")</f>
        <v>0</v>
      </c>
      <c r="Z247" s="555">
        <f>IFERROR(IF(Z246="",0,Z246),"0")</f>
        <v>0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83"/>
      <c r="P248" s="572" t="s">
        <v>75</v>
      </c>
      <c r="Q248" s="573"/>
      <c r="R248" s="573"/>
      <c r="S248" s="573"/>
      <c r="T248" s="573"/>
      <c r="U248" s="573"/>
      <c r="V248" s="574"/>
      <c r="W248" s="37" t="s">
        <v>69</v>
      </c>
      <c r="X248" s="555">
        <f>IFERROR(SUM(X246:X246),"0")</f>
        <v>0</v>
      </c>
      <c r="Y248" s="555">
        <f>IFERROR(SUM(Y246:Y246),"0")</f>
        <v>0</v>
      </c>
      <c r="Z248" s="37"/>
      <c r="AA248" s="556"/>
      <c r="AB248" s="556"/>
      <c r="AC248" s="556"/>
    </row>
    <row r="249" spans="1:68" ht="14.25" customHeight="1" x14ac:dyDescent="0.25">
      <c r="A249" s="569" t="s">
        <v>411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customHeight="1" x14ac:dyDescent="0.25">
      <c r="A250" s="54" t="s">
        <v>412</v>
      </c>
      <c r="B250" s="54" t="s">
        <v>413</v>
      </c>
      <c r="C250" s="31">
        <v>4301040362</v>
      </c>
      <c r="D250" s="560">
        <v>4680115886803</v>
      </c>
      <c r="E250" s="561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315</v>
      </c>
      <c r="L250" s="32"/>
      <c r="M250" s="33" t="s">
        <v>274</v>
      </c>
      <c r="N250" s="33"/>
      <c r="O250" s="32">
        <v>45</v>
      </c>
      <c r="P250" s="66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82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83"/>
      <c r="P251" s="572" t="s">
        <v>75</v>
      </c>
      <c r="Q251" s="573"/>
      <c r="R251" s="573"/>
      <c r="S251" s="573"/>
      <c r="T251" s="573"/>
      <c r="U251" s="573"/>
      <c r="V251" s="574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83"/>
      <c r="P252" s="572" t="s">
        <v>75</v>
      </c>
      <c r="Q252" s="573"/>
      <c r="R252" s="573"/>
      <c r="S252" s="573"/>
      <c r="T252" s="573"/>
      <c r="U252" s="573"/>
      <c r="V252" s="574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customHeight="1" x14ac:dyDescent="0.25">
      <c r="A253" s="569" t="s">
        <v>415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customHeight="1" x14ac:dyDescent="0.25">
      <c r="A254" s="54" t="s">
        <v>416</v>
      </c>
      <c r="B254" s="54" t="s">
        <v>417</v>
      </c>
      <c r="C254" s="31">
        <v>4301041004</v>
      </c>
      <c r="D254" s="560">
        <v>4680115886704</v>
      </c>
      <c r="E254" s="561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315</v>
      </c>
      <c r="L254" s="32"/>
      <c r="M254" s="33" t="s">
        <v>274</v>
      </c>
      <c r="N254" s="33"/>
      <c r="O254" s="32">
        <v>90</v>
      </c>
      <c r="P254" s="78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customHeight="1" x14ac:dyDescent="0.25">
      <c r="A255" s="54" t="s">
        <v>419</v>
      </c>
      <c r="B255" s="54" t="s">
        <v>420</v>
      </c>
      <c r="C255" s="31">
        <v>4301041008</v>
      </c>
      <c r="D255" s="560">
        <v>4680115886681</v>
      </c>
      <c r="E255" s="561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315</v>
      </c>
      <c r="L255" s="32"/>
      <c r="M255" s="33" t="s">
        <v>274</v>
      </c>
      <c r="N255" s="33"/>
      <c r="O255" s="32">
        <v>90</v>
      </c>
      <c r="P255" s="65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421</v>
      </c>
      <c r="B256" s="54" t="s">
        <v>422</v>
      </c>
      <c r="C256" s="31">
        <v>4301041007</v>
      </c>
      <c r="D256" s="560">
        <v>4680115886735</v>
      </c>
      <c r="E256" s="561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315</v>
      </c>
      <c r="L256" s="32"/>
      <c r="M256" s="33" t="s">
        <v>274</v>
      </c>
      <c r="N256" s="33"/>
      <c r="O256" s="32">
        <v>90</v>
      </c>
      <c r="P256" s="78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418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423</v>
      </c>
      <c r="B257" s="54" t="s">
        <v>424</v>
      </c>
      <c r="C257" s="31">
        <v>4301041006</v>
      </c>
      <c r="D257" s="560">
        <v>4680115886728</v>
      </c>
      <c r="E257" s="561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315</v>
      </c>
      <c r="L257" s="32"/>
      <c r="M257" s="33" t="s">
        <v>274</v>
      </c>
      <c r="N257" s="33"/>
      <c r="O257" s="32">
        <v>90</v>
      </c>
      <c r="P257" s="796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418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customHeight="1" x14ac:dyDescent="0.25">
      <c r="A258" s="54" t="s">
        <v>425</v>
      </c>
      <c r="B258" s="54" t="s">
        <v>426</v>
      </c>
      <c r="C258" s="31">
        <v>4301041005</v>
      </c>
      <c r="D258" s="560">
        <v>4680115886711</v>
      </c>
      <c r="E258" s="561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315</v>
      </c>
      <c r="L258" s="32"/>
      <c r="M258" s="33" t="s">
        <v>274</v>
      </c>
      <c r="N258" s="33"/>
      <c r="O258" s="32">
        <v>90</v>
      </c>
      <c r="P258" s="6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418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82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83"/>
      <c r="P259" s="572" t="s">
        <v>75</v>
      </c>
      <c r="Q259" s="573"/>
      <c r="R259" s="573"/>
      <c r="S259" s="573"/>
      <c r="T259" s="573"/>
      <c r="U259" s="573"/>
      <c r="V259" s="574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83"/>
      <c r="P260" s="572" t="s">
        <v>75</v>
      </c>
      <c r="Q260" s="573"/>
      <c r="R260" s="573"/>
      <c r="S260" s="573"/>
      <c r="T260" s="573"/>
      <c r="U260" s="573"/>
      <c r="V260" s="574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customHeight="1" x14ac:dyDescent="0.25">
      <c r="A261" s="567" t="s">
        <v>427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customHeight="1" x14ac:dyDescent="0.25">
      <c r="A262" s="569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customHeight="1" x14ac:dyDescent="0.25">
      <c r="A263" s="54" t="s">
        <v>428</v>
      </c>
      <c r="B263" s="54" t="s">
        <v>429</v>
      </c>
      <c r="C263" s="31">
        <v>4301011855</v>
      </c>
      <c r="D263" s="560">
        <v>4680115885837</v>
      </c>
      <c r="E263" s="561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6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431</v>
      </c>
      <c r="B264" s="54" t="s">
        <v>432</v>
      </c>
      <c r="C264" s="31">
        <v>4301011853</v>
      </c>
      <c r="D264" s="560">
        <v>4680115885851</v>
      </c>
      <c r="E264" s="561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105</v>
      </c>
      <c r="N264" s="33"/>
      <c r="O264" s="32">
        <v>55</v>
      </c>
      <c r="P264" s="708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434</v>
      </c>
      <c r="B265" s="54" t="s">
        <v>435</v>
      </c>
      <c r="C265" s="31">
        <v>4301011850</v>
      </c>
      <c r="D265" s="560">
        <v>4680115885806</v>
      </c>
      <c r="E265" s="561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105</v>
      </c>
      <c r="N265" s="33"/>
      <c r="O265" s="32">
        <v>55</v>
      </c>
      <c r="P265" s="62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customHeight="1" x14ac:dyDescent="0.25">
      <c r="A266" s="54" t="s">
        <v>437</v>
      </c>
      <c r="B266" s="54" t="s">
        <v>438</v>
      </c>
      <c r="C266" s="31">
        <v>4301011852</v>
      </c>
      <c r="D266" s="560">
        <v>4680115885844</v>
      </c>
      <c r="E266" s="561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109</v>
      </c>
      <c r="L266" s="32"/>
      <c r="M266" s="33" t="s">
        <v>105</v>
      </c>
      <c r="N266" s="33"/>
      <c r="O266" s="32">
        <v>55</v>
      </c>
      <c r="P266" s="63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439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customHeight="1" x14ac:dyDescent="0.25">
      <c r="A267" s="54" t="s">
        <v>440</v>
      </c>
      <c r="B267" s="54" t="s">
        <v>441</v>
      </c>
      <c r="C267" s="31">
        <v>4301011851</v>
      </c>
      <c r="D267" s="560">
        <v>4680115885820</v>
      </c>
      <c r="E267" s="561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109</v>
      </c>
      <c r="L267" s="32"/>
      <c r="M267" s="33" t="s">
        <v>105</v>
      </c>
      <c r="N267" s="33"/>
      <c r="O267" s="32">
        <v>55</v>
      </c>
      <c r="P267" s="73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442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x14ac:dyDescent="0.2">
      <c r="A268" s="582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83"/>
      <c r="P268" s="572" t="s">
        <v>75</v>
      </c>
      <c r="Q268" s="573"/>
      <c r="R268" s="573"/>
      <c r="S268" s="573"/>
      <c r="T268" s="573"/>
      <c r="U268" s="573"/>
      <c r="V268" s="574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83"/>
      <c r="P269" s="572" t="s">
        <v>75</v>
      </c>
      <c r="Q269" s="573"/>
      <c r="R269" s="573"/>
      <c r="S269" s="573"/>
      <c r="T269" s="573"/>
      <c r="U269" s="573"/>
      <c r="V269" s="574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customHeight="1" x14ac:dyDescent="0.25">
      <c r="A270" s="567" t="s">
        <v>443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customHeight="1" x14ac:dyDescent="0.25">
      <c r="A271" s="569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customHeight="1" x14ac:dyDescent="0.25">
      <c r="A272" s="54" t="s">
        <v>444</v>
      </c>
      <c r="B272" s="54" t="s">
        <v>445</v>
      </c>
      <c r="C272" s="31">
        <v>4301011223</v>
      </c>
      <c r="D272" s="560">
        <v>4607091383423</v>
      </c>
      <c r="E272" s="561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1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106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customHeight="1" x14ac:dyDescent="0.25">
      <c r="A273" s="54" t="s">
        <v>446</v>
      </c>
      <c r="B273" s="54" t="s">
        <v>447</v>
      </c>
      <c r="C273" s="31">
        <v>4301012199</v>
      </c>
      <c r="D273" s="560">
        <v>4680115886957</v>
      </c>
      <c r="E273" s="561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448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customHeight="1" x14ac:dyDescent="0.25">
      <c r="A274" s="54" t="s">
        <v>449</v>
      </c>
      <c r="B274" s="54" t="s">
        <v>450</v>
      </c>
      <c r="C274" s="31">
        <v>4301012098</v>
      </c>
      <c r="D274" s="560">
        <v>4680115885660</v>
      </c>
      <c r="E274" s="561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3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395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customHeight="1" x14ac:dyDescent="0.25">
      <c r="A275" s="54" t="s">
        <v>451</v>
      </c>
      <c r="B275" s="54" t="s">
        <v>452</v>
      </c>
      <c r="C275" s="31">
        <v>4301012176</v>
      </c>
      <c r="D275" s="560">
        <v>4680115886773</v>
      </c>
      <c r="E275" s="561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105</v>
      </c>
      <c r="N275" s="33"/>
      <c r="O275" s="32">
        <v>31</v>
      </c>
      <c r="P275" s="59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453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x14ac:dyDescent="0.2">
      <c r="A276" s="582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83"/>
      <c r="P276" s="572" t="s">
        <v>75</v>
      </c>
      <c r="Q276" s="573"/>
      <c r="R276" s="573"/>
      <c r="S276" s="573"/>
      <c r="T276" s="573"/>
      <c r="U276" s="573"/>
      <c r="V276" s="574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83"/>
      <c r="P277" s="572" t="s">
        <v>75</v>
      </c>
      <c r="Q277" s="573"/>
      <c r="R277" s="573"/>
      <c r="S277" s="573"/>
      <c r="T277" s="573"/>
      <c r="U277" s="573"/>
      <c r="V277" s="574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customHeight="1" x14ac:dyDescent="0.25">
      <c r="A278" s="567" t="s">
        <v>454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customHeight="1" x14ac:dyDescent="0.25">
      <c r="A279" s="569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customHeight="1" x14ac:dyDescent="0.25">
      <c r="A280" s="54" t="s">
        <v>455</v>
      </c>
      <c r="B280" s="54" t="s">
        <v>456</v>
      </c>
      <c r="C280" s="31">
        <v>4301051893</v>
      </c>
      <c r="D280" s="560">
        <v>4680115886186</v>
      </c>
      <c r="E280" s="561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9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457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customHeight="1" x14ac:dyDescent="0.25">
      <c r="A281" s="54" t="s">
        <v>458</v>
      </c>
      <c r="B281" s="54" t="s">
        <v>459</v>
      </c>
      <c r="C281" s="31">
        <v>4301051795</v>
      </c>
      <c r="D281" s="560">
        <v>4680115881228</v>
      </c>
      <c r="E281" s="561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7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460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customHeight="1" x14ac:dyDescent="0.25">
      <c r="A282" s="54" t="s">
        <v>461</v>
      </c>
      <c r="B282" s="54" t="s">
        <v>462</v>
      </c>
      <c r="C282" s="31">
        <v>4301051388</v>
      </c>
      <c r="D282" s="560">
        <v>4680115881211</v>
      </c>
      <c r="E282" s="561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1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457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x14ac:dyDescent="0.2">
      <c r="A283" s="582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83"/>
      <c r="P283" s="572" t="s">
        <v>75</v>
      </c>
      <c r="Q283" s="573"/>
      <c r="R283" s="573"/>
      <c r="S283" s="573"/>
      <c r="T283" s="573"/>
      <c r="U283" s="573"/>
      <c r="V283" s="574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83"/>
      <c r="P284" s="572" t="s">
        <v>75</v>
      </c>
      <c r="Q284" s="573"/>
      <c r="R284" s="573"/>
      <c r="S284" s="573"/>
      <c r="T284" s="573"/>
      <c r="U284" s="573"/>
      <c r="V284" s="574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customHeight="1" x14ac:dyDescent="0.25">
      <c r="A285" s="567" t="s">
        <v>463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customHeight="1" x14ac:dyDescent="0.25">
      <c r="A286" s="569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customHeight="1" x14ac:dyDescent="0.25">
      <c r="A287" s="54" t="s">
        <v>464</v>
      </c>
      <c r="B287" s="54" t="s">
        <v>465</v>
      </c>
      <c r="C287" s="31">
        <v>4301031307</v>
      </c>
      <c r="D287" s="560">
        <v>4680115880344</v>
      </c>
      <c r="E287" s="561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7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466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customHeight="1" x14ac:dyDescent="0.25">
      <c r="A288" s="54" t="s">
        <v>467</v>
      </c>
      <c r="B288" s="54" t="s">
        <v>468</v>
      </c>
      <c r="C288" s="31">
        <v>4301031429</v>
      </c>
      <c r="D288" s="560">
        <v>4680115886919</v>
      </c>
      <c r="E288" s="561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3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469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x14ac:dyDescent="0.2">
      <c r="A289" s="582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83"/>
      <c r="P289" s="572" t="s">
        <v>75</v>
      </c>
      <c r="Q289" s="573"/>
      <c r="R289" s="573"/>
      <c r="S289" s="573"/>
      <c r="T289" s="573"/>
      <c r="U289" s="573"/>
      <c r="V289" s="574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83"/>
      <c r="P290" s="572" t="s">
        <v>75</v>
      </c>
      <c r="Q290" s="573"/>
      <c r="R290" s="573"/>
      <c r="S290" s="573"/>
      <c r="T290" s="573"/>
      <c r="U290" s="573"/>
      <c r="V290" s="574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customHeight="1" x14ac:dyDescent="0.25">
      <c r="A291" s="569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customHeight="1" x14ac:dyDescent="0.25">
      <c r="A292" s="54" t="s">
        <v>470</v>
      </c>
      <c r="B292" s="54" t="s">
        <v>471</v>
      </c>
      <c r="C292" s="31">
        <v>4301051782</v>
      </c>
      <c r="D292" s="560">
        <v>4680115884618</v>
      </c>
      <c r="E292" s="561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472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473</v>
      </c>
      <c r="B293" s="54" t="s">
        <v>474</v>
      </c>
      <c r="C293" s="31">
        <v>4301052057</v>
      </c>
      <c r="D293" s="560">
        <v>4680115887114</v>
      </c>
      <c r="E293" s="561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109</v>
      </c>
      <c r="L293" s="32"/>
      <c r="M293" s="33" t="s">
        <v>80</v>
      </c>
      <c r="N293" s="33"/>
      <c r="O293" s="32">
        <v>45</v>
      </c>
      <c r="P293" s="868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475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82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83"/>
      <c r="P294" s="572" t="s">
        <v>75</v>
      </c>
      <c r="Q294" s="573"/>
      <c r="R294" s="573"/>
      <c r="S294" s="573"/>
      <c r="T294" s="573"/>
      <c r="U294" s="573"/>
      <c r="V294" s="574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83"/>
      <c r="P295" s="572" t="s">
        <v>75</v>
      </c>
      <c r="Q295" s="573"/>
      <c r="R295" s="573"/>
      <c r="S295" s="573"/>
      <c r="T295" s="573"/>
      <c r="U295" s="573"/>
      <c r="V295" s="574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customHeight="1" x14ac:dyDescent="0.25">
      <c r="A296" s="567" t="s">
        <v>476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customHeight="1" x14ac:dyDescent="0.25">
      <c r="A297" s="569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customHeight="1" x14ac:dyDescent="0.25">
      <c r="A298" s="54" t="s">
        <v>477</v>
      </c>
      <c r="B298" s="54" t="s">
        <v>478</v>
      </c>
      <c r="C298" s="31">
        <v>4301012024</v>
      </c>
      <c r="D298" s="560">
        <v>4680115885615</v>
      </c>
      <c r="E298" s="561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7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customHeight="1" x14ac:dyDescent="0.25">
      <c r="A299" s="54" t="s">
        <v>480</v>
      </c>
      <c r="B299" s="54" t="s">
        <v>481</v>
      </c>
      <c r="C299" s="31">
        <v>4301011858</v>
      </c>
      <c r="D299" s="560">
        <v>4680115885646</v>
      </c>
      <c r="E299" s="561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105</v>
      </c>
      <c r="N299" s="33"/>
      <c r="O299" s="32">
        <v>55</v>
      </c>
      <c r="P299" s="7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customHeight="1" x14ac:dyDescent="0.25">
      <c r="A300" s="54" t="s">
        <v>483</v>
      </c>
      <c r="B300" s="54" t="s">
        <v>484</v>
      </c>
      <c r="C300" s="31">
        <v>4301012016</v>
      </c>
      <c r="D300" s="560">
        <v>4680115885554</v>
      </c>
      <c r="E300" s="561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0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customHeight="1" x14ac:dyDescent="0.25">
      <c r="A301" s="54" t="s">
        <v>486</v>
      </c>
      <c r="B301" s="54" t="s">
        <v>487</v>
      </c>
      <c r="C301" s="31">
        <v>4301011857</v>
      </c>
      <c r="D301" s="560">
        <v>4680115885622</v>
      </c>
      <c r="E301" s="561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109</v>
      </c>
      <c r="L301" s="32"/>
      <c r="M301" s="33" t="s">
        <v>105</v>
      </c>
      <c r="N301" s="33"/>
      <c r="O301" s="32">
        <v>55</v>
      </c>
      <c r="P301" s="82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479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customHeight="1" x14ac:dyDescent="0.25">
      <c r="A302" s="54" t="s">
        <v>488</v>
      </c>
      <c r="B302" s="54" t="s">
        <v>489</v>
      </c>
      <c r="C302" s="31">
        <v>4301011859</v>
      </c>
      <c r="D302" s="560">
        <v>4680115885608</v>
      </c>
      <c r="E302" s="561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109</v>
      </c>
      <c r="L302" s="32"/>
      <c r="M302" s="33" t="s">
        <v>105</v>
      </c>
      <c r="N302" s="33"/>
      <c r="O302" s="32">
        <v>55</v>
      </c>
      <c r="P302" s="56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490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x14ac:dyDescent="0.2">
      <c r="A303" s="582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83"/>
      <c r="P303" s="572" t="s">
        <v>75</v>
      </c>
      <c r="Q303" s="573"/>
      <c r="R303" s="573"/>
      <c r="S303" s="573"/>
      <c r="T303" s="573"/>
      <c r="U303" s="573"/>
      <c r="V303" s="574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83"/>
      <c r="P304" s="572" t="s">
        <v>75</v>
      </c>
      <c r="Q304" s="573"/>
      <c r="R304" s="573"/>
      <c r="S304" s="573"/>
      <c r="T304" s="573"/>
      <c r="U304" s="573"/>
      <c r="V304" s="574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customHeight="1" x14ac:dyDescent="0.25">
      <c r="A305" s="569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customHeight="1" x14ac:dyDescent="0.25">
      <c r="A306" s="54" t="s">
        <v>491</v>
      </c>
      <c r="B306" s="54" t="s">
        <v>492</v>
      </c>
      <c r="C306" s="31">
        <v>4301030878</v>
      </c>
      <c r="D306" s="560">
        <v>4607091387193</v>
      </c>
      <c r="E306" s="561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35</v>
      </c>
      <c r="P306" s="76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customHeight="1" x14ac:dyDescent="0.25">
      <c r="A307" s="54" t="s">
        <v>494</v>
      </c>
      <c r="B307" s="54" t="s">
        <v>495</v>
      </c>
      <c r="C307" s="31">
        <v>4301031153</v>
      </c>
      <c r="D307" s="560">
        <v>4607091387230</v>
      </c>
      <c r="E307" s="561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40</v>
      </c>
      <c r="P307" s="88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496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customHeight="1" x14ac:dyDescent="0.25">
      <c r="A308" s="54" t="s">
        <v>497</v>
      </c>
      <c r="B308" s="54" t="s">
        <v>498</v>
      </c>
      <c r="C308" s="31">
        <v>4301031154</v>
      </c>
      <c r="D308" s="560">
        <v>4607091387292</v>
      </c>
      <c r="E308" s="561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109</v>
      </c>
      <c r="L308" s="32"/>
      <c r="M308" s="33" t="s">
        <v>68</v>
      </c>
      <c r="N308" s="33"/>
      <c r="O308" s="32">
        <v>45</v>
      </c>
      <c r="P308" s="72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499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customHeight="1" x14ac:dyDescent="0.25">
      <c r="A309" s="54" t="s">
        <v>500</v>
      </c>
      <c r="B309" s="54" t="s">
        <v>501</v>
      </c>
      <c r="C309" s="31">
        <v>4301031152</v>
      </c>
      <c r="D309" s="560">
        <v>4607091387285</v>
      </c>
      <c r="E309" s="561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5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496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502</v>
      </c>
      <c r="B310" s="54" t="s">
        <v>503</v>
      </c>
      <c r="C310" s="31">
        <v>4301031305</v>
      </c>
      <c r="D310" s="560">
        <v>4607091389845</v>
      </c>
      <c r="E310" s="561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350.7</v>
      </c>
      <c r="Y310" s="554">
        <f t="shared" si="31"/>
        <v>350.7</v>
      </c>
      <c r="Z310" s="36">
        <f>IFERROR(IF(Y310=0,"",ROUNDUP(Y310/H310,0)*0.00502),"")</f>
        <v>0.83833999999999997</v>
      </c>
      <c r="AA310" s="56"/>
      <c r="AB310" s="57"/>
      <c r="AC310" s="367" t="s">
        <v>504</v>
      </c>
      <c r="AG310" s="64"/>
      <c r="AJ310" s="68"/>
      <c r="AK310" s="68">
        <v>0</v>
      </c>
      <c r="BB310" s="368" t="s">
        <v>1</v>
      </c>
      <c r="BM310" s="64">
        <f t="shared" si="32"/>
        <v>367.40000000000003</v>
      </c>
      <c r="BN310" s="64">
        <f t="shared" si="33"/>
        <v>367.40000000000003</v>
      </c>
      <c r="BO310" s="64">
        <f t="shared" si="34"/>
        <v>0.71367521367521369</v>
      </c>
      <c r="BP310" s="64">
        <f t="shared" si="35"/>
        <v>0.71367521367521369</v>
      </c>
    </row>
    <row r="311" spans="1:68" ht="27" customHeight="1" x14ac:dyDescent="0.25">
      <c r="A311" s="54" t="s">
        <v>505</v>
      </c>
      <c r="B311" s="54" t="s">
        <v>506</v>
      </c>
      <c r="C311" s="31">
        <v>4301031066</v>
      </c>
      <c r="D311" s="560">
        <v>4607091383836</v>
      </c>
      <c r="E311" s="561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3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507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x14ac:dyDescent="0.2">
      <c r="A312" s="582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83"/>
      <c r="P312" s="572" t="s">
        <v>75</v>
      </c>
      <c r="Q312" s="573"/>
      <c r="R312" s="573"/>
      <c r="S312" s="573"/>
      <c r="T312" s="573"/>
      <c r="U312" s="573"/>
      <c r="V312" s="574"/>
      <c r="W312" s="37" t="s">
        <v>76</v>
      </c>
      <c r="X312" s="555">
        <f>IFERROR(X306/H306,"0")+IFERROR(X307/H307,"0")+IFERROR(X308/H308,"0")+IFERROR(X309/H309,"0")+IFERROR(X310/H310,"0")+IFERROR(X311/H311,"0")</f>
        <v>167</v>
      </c>
      <c r="Y312" s="555">
        <f>IFERROR(Y306/H306,"0")+IFERROR(Y307/H307,"0")+IFERROR(Y308/H308,"0")+IFERROR(Y309/H309,"0")+IFERROR(Y310/H310,"0")+IFERROR(Y311/H311,"0")</f>
        <v>167</v>
      </c>
      <c r="Z312" s="555">
        <f>IFERROR(IF(Z306="",0,Z306),"0")+IFERROR(IF(Z307="",0,Z307),"0")+IFERROR(IF(Z308="",0,Z308),"0")+IFERROR(IF(Z309="",0,Z309),"0")+IFERROR(IF(Z310="",0,Z310),"0")+IFERROR(IF(Z311="",0,Z311),"0")</f>
        <v>0.83833999999999997</v>
      </c>
      <c r="AA312" s="556"/>
      <c r="AB312" s="556"/>
      <c r="AC312" s="556"/>
    </row>
    <row r="313" spans="1:68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83"/>
      <c r="P313" s="572" t="s">
        <v>75</v>
      </c>
      <c r="Q313" s="573"/>
      <c r="R313" s="573"/>
      <c r="S313" s="573"/>
      <c r="T313" s="573"/>
      <c r="U313" s="573"/>
      <c r="V313" s="574"/>
      <c r="W313" s="37" t="s">
        <v>69</v>
      </c>
      <c r="X313" s="555">
        <f>IFERROR(SUM(X306:X311),"0")</f>
        <v>350.7</v>
      </c>
      <c r="Y313" s="555">
        <f>IFERROR(SUM(Y306:Y311),"0")</f>
        <v>350.7</v>
      </c>
      <c r="Z313" s="37"/>
      <c r="AA313" s="556"/>
      <c r="AB313" s="556"/>
      <c r="AC313" s="556"/>
    </row>
    <row r="314" spans="1:68" ht="14.25" customHeight="1" x14ac:dyDescent="0.25">
      <c r="A314" s="569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customHeight="1" x14ac:dyDescent="0.25">
      <c r="A315" s="54" t="s">
        <v>508</v>
      </c>
      <c r="B315" s="54" t="s">
        <v>509</v>
      </c>
      <c r="C315" s="31">
        <v>4301051100</v>
      </c>
      <c r="D315" s="560">
        <v>4607091387766</v>
      </c>
      <c r="E315" s="561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511</v>
      </c>
      <c r="B316" s="54" t="s">
        <v>512</v>
      </c>
      <c r="C316" s="31">
        <v>4301051818</v>
      </c>
      <c r="D316" s="560">
        <v>4607091387957</v>
      </c>
      <c r="E316" s="561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customHeight="1" x14ac:dyDescent="0.25">
      <c r="A317" s="54" t="s">
        <v>514</v>
      </c>
      <c r="B317" s="54" t="s">
        <v>515</v>
      </c>
      <c r="C317" s="31">
        <v>4301051819</v>
      </c>
      <c r="D317" s="560">
        <v>4607091387964</v>
      </c>
      <c r="E317" s="561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5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516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customHeight="1" x14ac:dyDescent="0.25">
      <c r="A318" s="54" t="s">
        <v>517</v>
      </c>
      <c r="B318" s="54" t="s">
        <v>518</v>
      </c>
      <c r="C318" s="31">
        <v>4301051734</v>
      </c>
      <c r="D318" s="560">
        <v>4680115884588</v>
      </c>
      <c r="E318" s="561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519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x14ac:dyDescent="0.2">
      <c r="A319" s="582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83"/>
      <c r="P319" s="572" t="s">
        <v>75</v>
      </c>
      <c r="Q319" s="573"/>
      <c r="R319" s="573"/>
      <c r="S319" s="573"/>
      <c r="T319" s="573"/>
      <c r="U319" s="573"/>
      <c r="V319" s="574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83"/>
      <c r="P320" s="572" t="s">
        <v>75</v>
      </c>
      <c r="Q320" s="573"/>
      <c r="R320" s="573"/>
      <c r="S320" s="573"/>
      <c r="T320" s="573"/>
      <c r="U320" s="573"/>
      <c r="V320" s="574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customHeight="1" x14ac:dyDescent="0.25">
      <c r="A321" s="569" t="s">
        <v>159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customHeight="1" x14ac:dyDescent="0.25">
      <c r="A322" s="54" t="s">
        <v>520</v>
      </c>
      <c r="B322" s="54" t="s">
        <v>521</v>
      </c>
      <c r="C322" s="31">
        <v>4301060387</v>
      </c>
      <c r="D322" s="560">
        <v>4607091380880</v>
      </c>
      <c r="E322" s="561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74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523</v>
      </c>
      <c r="B323" s="54" t="s">
        <v>524</v>
      </c>
      <c r="C323" s="31">
        <v>4301060406</v>
      </c>
      <c r="D323" s="560">
        <v>4607091384482</v>
      </c>
      <c r="E323" s="561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/>
      <c r="M323" s="33" t="s">
        <v>80</v>
      </c>
      <c r="N323" s="33"/>
      <c r="O323" s="32">
        <v>30</v>
      </c>
      <c r="P323" s="81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525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customHeight="1" x14ac:dyDescent="0.25">
      <c r="A324" s="54" t="s">
        <v>526</v>
      </c>
      <c r="B324" s="54" t="s">
        <v>527</v>
      </c>
      <c r="C324" s="31">
        <v>4301060484</v>
      </c>
      <c r="D324" s="560">
        <v>4607091380897</v>
      </c>
      <c r="E324" s="561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7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528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x14ac:dyDescent="0.2">
      <c r="A325" s="582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83"/>
      <c r="P325" s="572" t="s">
        <v>75</v>
      </c>
      <c r="Q325" s="573"/>
      <c r="R325" s="573"/>
      <c r="S325" s="573"/>
      <c r="T325" s="573"/>
      <c r="U325" s="573"/>
      <c r="V325" s="574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83"/>
      <c r="P326" s="572" t="s">
        <v>75</v>
      </c>
      <c r="Q326" s="573"/>
      <c r="R326" s="573"/>
      <c r="S326" s="573"/>
      <c r="T326" s="573"/>
      <c r="U326" s="573"/>
      <c r="V326" s="574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customHeight="1" x14ac:dyDescent="0.25">
      <c r="A327" s="569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customHeight="1" x14ac:dyDescent="0.25">
      <c r="A328" s="54" t="s">
        <v>529</v>
      </c>
      <c r="B328" s="54" t="s">
        <v>530</v>
      </c>
      <c r="C328" s="31">
        <v>4301030235</v>
      </c>
      <c r="D328" s="560">
        <v>4607091388381</v>
      </c>
      <c r="E328" s="561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109</v>
      </c>
      <c r="L328" s="32"/>
      <c r="M328" s="33" t="s">
        <v>96</v>
      </c>
      <c r="N328" s="33"/>
      <c r="O328" s="32">
        <v>180</v>
      </c>
      <c r="P328" s="57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531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532</v>
      </c>
      <c r="B329" s="54" t="s">
        <v>533</v>
      </c>
      <c r="C329" s="31">
        <v>4301030232</v>
      </c>
      <c r="D329" s="560">
        <v>4607091388374</v>
      </c>
      <c r="E329" s="561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109</v>
      </c>
      <c r="L329" s="32"/>
      <c r="M329" s="33" t="s">
        <v>96</v>
      </c>
      <c r="N329" s="33"/>
      <c r="O329" s="32">
        <v>180</v>
      </c>
      <c r="P329" s="63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531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customHeight="1" x14ac:dyDescent="0.25">
      <c r="A330" s="54" t="s">
        <v>534</v>
      </c>
      <c r="B330" s="54" t="s">
        <v>535</v>
      </c>
      <c r="C330" s="31">
        <v>4301032015</v>
      </c>
      <c r="D330" s="560">
        <v>4607091383102</v>
      </c>
      <c r="E330" s="561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537</v>
      </c>
      <c r="B331" s="54" t="s">
        <v>538</v>
      </c>
      <c r="C331" s="31">
        <v>4301030233</v>
      </c>
      <c r="D331" s="560">
        <v>4607091388404</v>
      </c>
      <c r="E331" s="561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3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0</v>
      </c>
      <c r="Y331" s="554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531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x14ac:dyDescent="0.2">
      <c r="A332" s="582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83"/>
      <c r="P332" s="572" t="s">
        <v>75</v>
      </c>
      <c r="Q332" s="573"/>
      <c r="R332" s="573"/>
      <c r="S332" s="573"/>
      <c r="T332" s="573"/>
      <c r="U332" s="573"/>
      <c r="V332" s="574"/>
      <c r="W332" s="37" t="s">
        <v>76</v>
      </c>
      <c r="X332" s="555">
        <f>IFERROR(X328/H328,"0")+IFERROR(X329/H329,"0")+IFERROR(X330/H330,"0")+IFERROR(X331/H331,"0")</f>
        <v>0</v>
      </c>
      <c r="Y332" s="555">
        <f>IFERROR(Y328/H328,"0")+IFERROR(Y329/H329,"0")+IFERROR(Y330/H330,"0")+IFERROR(Y331/H331,"0")</f>
        <v>0</v>
      </c>
      <c r="Z332" s="555">
        <f>IFERROR(IF(Z328="",0,Z328),"0")+IFERROR(IF(Z329="",0,Z329),"0")+IFERROR(IF(Z330="",0,Z330),"0")+IFERROR(IF(Z331="",0,Z331),"0")</f>
        <v>0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83"/>
      <c r="P333" s="572" t="s">
        <v>75</v>
      </c>
      <c r="Q333" s="573"/>
      <c r="R333" s="573"/>
      <c r="S333" s="573"/>
      <c r="T333" s="573"/>
      <c r="U333" s="573"/>
      <c r="V333" s="574"/>
      <c r="W333" s="37" t="s">
        <v>69</v>
      </c>
      <c r="X333" s="555">
        <f>IFERROR(SUM(X328:X331),"0")</f>
        <v>0</v>
      </c>
      <c r="Y333" s="555">
        <f>IFERROR(SUM(Y328:Y331),"0")</f>
        <v>0</v>
      </c>
      <c r="Z333" s="37"/>
      <c r="AA333" s="556"/>
      <c r="AB333" s="556"/>
      <c r="AC333" s="556"/>
    </row>
    <row r="334" spans="1:68" ht="14.25" customHeight="1" x14ac:dyDescent="0.25">
      <c r="A334" s="569" t="s">
        <v>539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customHeight="1" x14ac:dyDescent="0.25">
      <c r="A335" s="54" t="s">
        <v>540</v>
      </c>
      <c r="B335" s="54" t="s">
        <v>541</v>
      </c>
      <c r="C335" s="31">
        <v>4301180007</v>
      </c>
      <c r="D335" s="560">
        <v>4680115881808</v>
      </c>
      <c r="E335" s="561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542</v>
      </c>
      <c r="N335" s="33"/>
      <c r="O335" s="32">
        <v>730</v>
      </c>
      <c r="P335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543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544</v>
      </c>
      <c r="B336" s="54" t="s">
        <v>545</v>
      </c>
      <c r="C336" s="31">
        <v>4301180006</v>
      </c>
      <c r="D336" s="560">
        <v>4680115881822</v>
      </c>
      <c r="E336" s="561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542</v>
      </c>
      <c r="N336" s="33"/>
      <c r="O336" s="32">
        <v>730</v>
      </c>
      <c r="P336" s="82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543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546</v>
      </c>
      <c r="B337" s="54" t="s">
        <v>547</v>
      </c>
      <c r="C337" s="31">
        <v>4301180001</v>
      </c>
      <c r="D337" s="560">
        <v>4680115880016</v>
      </c>
      <c r="E337" s="561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542</v>
      </c>
      <c r="N337" s="33"/>
      <c r="O337" s="32">
        <v>730</v>
      </c>
      <c r="P337" s="65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543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582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83"/>
      <c r="P338" s="572" t="s">
        <v>75</v>
      </c>
      <c r="Q338" s="573"/>
      <c r="R338" s="573"/>
      <c r="S338" s="573"/>
      <c r="T338" s="573"/>
      <c r="U338" s="573"/>
      <c r="V338" s="574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83"/>
      <c r="P339" s="572" t="s">
        <v>75</v>
      </c>
      <c r="Q339" s="573"/>
      <c r="R339" s="573"/>
      <c r="S339" s="573"/>
      <c r="T339" s="573"/>
      <c r="U339" s="573"/>
      <c r="V339" s="574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customHeight="1" x14ac:dyDescent="0.25">
      <c r="A340" s="567" t="s">
        <v>548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customHeight="1" x14ac:dyDescent="0.25">
      <c r="A341" s="569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customHeight="1" x14ac:dyDescent="0.25">
      <c r="A342" s="54" t="s">
        <v>549</v>
      </c>
      <c r="B342" s="54" t="s">
        <v>550</v>
      </c>
      <c r="C342" s="31">
        <v>4301051489</v>
      </c>
      <c r="D342" s="560">
        <v>4607091387919</v>
      </c>
      <c r="E342" s="561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5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551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552</v>
      </c>
      <c r="B343" s="54" t="s">
        <v>553</v>
      </c>
      <c r="C343" s="31">
        <v>4301051461</v>
      </c>
      <c r="D343" s="560">
        <v>4680115883604</v>
      </c>
      <c r="E343" s="561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221</v>
      </c>
      <c r="M343" s="33" t="s">
        <v>80</v>
      </c>
      <c r="N343" s="33"/>
      <c r="O343" s="32">
        <v>45</v>
      </c>
      <c r="P343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554</v>
      </c>
      <c r="AG343" s="64"/>
      <c r="AJ343" s="68" t="s">
        <v>200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555</v>
      </c>
      <c r="B344" s="54" t="s">
        <v>556</v>
      </c>
      <c r="C344" s="31">
        <v>4301051864</v>
      </c>
      <c r="D344" s="560">
        <v>4680115883567</v>
      </c>
      <c r="E344" s="561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221</v>
      </c>
      <c r="M344" s="33" t="s">
        <v>86</v>
      </c>
      <c r="N344" s="33"/>
      <c r="O344" s="32">
        <v>40</v>
      </c>
      <c r="P344" s="85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140.69999999999999</v>
      </c>
      <c r="Y344" s="554">
        <f>IFERROR(IF(X344="",0,CEILING((X344/$H344),1)*$H344),"")</f>
        <v>140.70000000000002</v>
      </c>
      <c r="Z344" s="36">
        <f>IFERROR(IF(Y344=0,"",ROUNDUP(Y344/H344,0)*0.00651),"")</f>
        <v>0.43617</v>
      </c>
      <c r="AA344" s="56"/>
      <c r="AB344" s="57"/>
      <c r="AC344" s="403" t="s">
        <v>557</v>
      </c>
      <c r="AG344" s="64"/>
      <c r="AJ344" s="68" t="s">
        <v>200</v>
      </c>
      <c r="AK344" s="68">
        <v>29.4</v>
      </c>
      <c r="BB344" s="404" t="s">
        <v>1</v>
      </c>
      <c r="BM344" s="64">
        <f>IFERROR(X344*I344/H344,"0")</f>
        <v>156.77999999999997</v>
      </c>
      <c r="BN344" s="64">
        <f>IFERROR(Y344*I344/H344,"0")</f>
        <v>156.78</v>
      </c>
      <c r="BO344" s="64">
        <f>IFERROR(1/J344*(X344/H344),"0")</f>
        <v>0.3681318681318681</v>
      </c>
      <c r="BP344" s="64">
        <f>IFERROR(1/J344*(Y344/H344),"0")</f>
        <v>0.36813186813186816</v>
      </c>
    </row>
    <row r="345" spans="1:68" x14ac:dyDescent="0.2">
      <c r="A345" s="582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83"/>
      <c r="P345" s="572" t="s">
        <v>75</v>
      </c>
      <c r="Q345" s="573"/>
      <c r="R345" s="573"/>
      <c r="S345" s="573"/>
      <c r="T345" s="573"/>
      <c r="U345" s="573"/>
      <c r="V345" s="574"/>
      <c r="W345" s="37" t="s">
        <v>76</v>
      </c>
      <c r="X345" s="555">
        <f>IFERROR(X342/H342,"0")+IFERROR(X343/H343,"0")+IFERROR(X344/H344,"0")</f>
        <v>66.999999999999986</v>
      </c>
      <c r="Y345" s="555">
        <f>IFERROR(Y342/H342,"0")+IFERROR(Y343/H343,"0")+IFERROR(Y344/H344,"0")</f>
        <v>67</v>
      </c>
      <c r="Z345" s="555">
        <f>IFERROR(IF(Z342="",0,Z342),"0")+IFERROR(IF(Z343="",0,Z343),"0")+IFERROR(IF(Z344="",0,Z344),"0")</f>
        <v>0.43617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83"/>
      <c r="P346" s="572" t="s">
        <v>75</v>
      </c>
      <c r="Q346" s="573"/>
      <c r="R346" s="573"/>
      <c r="S346" s="573"/>
      <c r="T346" s="573"/>
      <c r="U346" s="573"/>
      <c r="V346" s="574"/>
      <c r="W346" s="37" t="s">
        <v>69</v>
      </c>
      <c r="X346" s="555">
        <f>IFERROR(SUM(X342:X344),"0")</f>
        <v>140.69999999999999</v>
      </c>
      <c r="Y346" s="555">
        <f>IFERROR(SUM(Y342:Y344),"0")</f>
        <v>140.70000000000002</v>
      </c>
      <c r="Z346" s="37"/>
      <c r="AA346" s="556"/>
      <c r="AB346" s="556"/>
      <c r="AC346" s="556"/>
    </row>
    <row r="347" spans="1:68" ht="27.75" customHeight="1" x14ac:dyDescent="0.2">
      <c r="A347" s="630" t="s">
        <v>558</v>
      </c>
      <c r="B347" s="631"/>
      <c r="C347" s="631"/>
      <c r="D347" s="631"/>
      <c r="E347" s="631"/>
      <c r="F347" s="631"/>
      <c r="G347" s="631"/>
      <c r="H347" s="631"/>
      <c r="I347" s="631"/>
      <c r="J347" s="631"/>
      <c r="K347" s="631"/>
      <c r="L347" s="631"/>
      <c r="M347" s="631"/>
      <c r="N347" s="631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48"/>
      <c r="AB347" s="48"/>
      <c r="AC347" s="48"/>
    </row>
    <row r="348" spans="1:68" ht="16.5" customHeight="1" x14ac:dyDescent="0.25">
      <c r="A348" s="567" t="s">
        <v>559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customHeight="1" x14ac:dyDescent="0.25">
      <c r="A349" s="569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customHeight="1" x14ac:dyDescent="0.25">
      <c r="A350" s="54" t="s">
        <v>560</v>
      </c>
      <c r="B350" s="54" t="s">
        <v>561</v>
      </c>
      <c r="C350" s="31">
        <v>4301011869</v>
      </c>
      <c r="D350" s="560">
        <v>4680115884847</v>
      </c>
      <c r="E350" s="561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7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customHeight="1" x14ac:dyDescent="0.25">
      <c r="A351" s="54" t="s">
        <v>563</v>
      </c>
      <c r="B351" s="54" t="s">
        <v>564</v>
      </c>
      <c r="C351" s="31">
        <v>4301011870</v>
      </c>
      <c r="D351" s="560">
        <v>4680115884854</v>
      </c>
      <c r="E351" s="561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566</v>
      </c>
      <c r="B352" s="54" t="s">
        <v>567</v>
      </c>
      <c r="C352" s="31">
        <v>4301011867</v>
      </c>
      <c r="D352" s="560">
        <v>4680115884830</v>
      </c>
      <c r="E352" s="561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customHeight="1" x14ac:dyDescent="0.25">
      <c r="A353" s="54" t="s">
        <v>569</v>
      </c>
      <c r="B353" s="54" t="s">
        <v>570</v>
      </c>
      <c r="C353" s="31">
        <v>4301012215</v>
      </c>
      <c r="D353" s="560">
        <v>4680115887046</v>
      </c>
      <c r="E353" s="561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11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customHeight="1" x14ac:dyDescent="0.25">
      <c r="A354" s="54" t="s">
        <v>572</v>
      </c>
      <c r="B354" s="54" t="s">
        <v>573</v>
      </c>
      <c r="C354" s="31">
        <v>4301011433</v>
      </c>
      <c r="D354" s="560">
        <v>4680115882638</v>
      </c>
      <c r="E354" s="561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109</v>
      </c>
      <c r="L354" s="32"/>
      <c r="M354" s="33" t="s">
        <v>105</v>
      </c>
      <c r="N354" s="33"/>
      <c r="O354" s="32">
        <v>90</v>
      </c>
      <c r="P354" s="83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customHeight="1" x14ac:dyDescent="0.25">
      <c r="A355" s="54" t="s">
        <v>575</v>
      </c>
      <c r="B355" s="54" t="s">
        <v>576</v>
      </c>
      <c r="C355" s="31">
        <v>4301011952</v>
      </c>
      <c r="D355" s="560">
        <v>4680115884922</v>
      </c>
      <c r="E355" s="561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565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customHeight="1" x14ac:dyDescent="0.25">
      <c r="A356" s="54" t="s">
        <v>577</v>
      </c>
      <c r="B356" s="54" t="s">
        <v>578</v>
      </c>
      <c r="C356" s="31">
        <v>4301011868</v>
      </c>
      <c r="D356" s="560">
        <v>4680115884861</v>
      </c>
      <c r="E356" s="561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109</v>
      </c>
      <c r="L356" s="32"/>
      <c r="M356" s="33" t="s">
        <v>68</v>
      </c>
      <c r="N356" s="33"/>
      <c r="O356" s="32">
        <v>60</v>
      </c>
      <c r="P356" s="74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568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x14ac:dyDescent="0.2">
      <c r="A357" s="582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83"/>
      <c r="P357" s="572" t="s">
        <v>75</v>
      </c>
      <c r="Q357" s="573"/>
      <c r="R357" s="573"/>
      <c r="S357" s="573"/>
      <c r="T357" s="573"/>
      <c r="U357" s="573"/>
      <c r="V357" s="574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83"/>
      <c r="P358" s="572" t="s">
        <v>75</v>
      </c>
      <c r="Q358" s="573"/>
      <c r="R358" s="573"/>
      <c r="S358" s="573"/>
      <c r="T358" s="573"/>
      <c r="U358" s="573"/>
      <c r="V358" s="574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customHeight="1" x14ac:dyDescent="0.25">
      <c r="A359" s="569" t="s">
        <v>134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customHeight="1" x14ac:dyDescent="0.25">
      <c r="A360" s="54" t="s">
        <v>579</v>
      </c>
      <c r="B360" s="54" t="s">
        <v>580</v>
      </c>
      <c r="C360" s="31">
        <v>4301020178</v>
      </c>
      <c r="D360" s="560">
        <v>4607091383980</v>
      </c>
      <c r="E360" s="561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105</v>
      </c>
      <c r="N360" s="33"/>
      <c r="O360" s="32">
        <v>50</v>
      </c>
      <c r="P360" s="88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581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customHeight="1" x14ac:dyDescent="0.25">
      <c r="A361" s="54" t="s">
        <v>582</v>
      </c>
      <c r="B361" s="54" t="s">
        <v>583</v>
      </c>
      <c r="C361" s="31">
        <v>4301020179</v>
      </c>
      <c r="D361" s="560">
        <v>4607091384178</v>
      </c>
      <c r="E361" s="561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109</v>
      </c>
      <c r="L361" s="32"/>
      <c r="M361" s="33" t="s">
        <v>105</v>
      </c>
      <c r="N361" s="33"/>
      <c r="O361" s="32">
        <v>50</v>
      </c>
      <c r="P361" s="73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584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x14ac:dyDescent="0.2">
      <c r="A362" s="582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83"/>
      <c r="P362" s="572" t="s">
        <v>75</v>
      </c>
      <c r="Q362" s="573"/>
      <c r="R362" s="573"/>
      <c r="S362" s="573"/>
      <c r="T362" s="573"/>
      <c r="U362" s="573"/>
      <c r="V362" s="574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83"/>
      <c r="P363" s="572" t="s">
        <v>75</v>
      </c>
      <c r="Q363" s="573"/>
      <c r="R363" s="573"/>
      <c r="S363" s="573"/>
      <c r="T363" s="573"/>
      <c r="U363" s="573"/>
      <c r="V363" s="574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customHeight="1" x14ac:dyDescent="0.25">
      <c r="A364" s="569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customHeight="1" x14ac:dyDescent="0.25">
      <c r="A365" s="54" t="s">
        <v>585</v>
      </c>
      <c r="B365" s="54" t="s">
        <v>586</v>
      </c>
      <c r="C365" s="31">
        <v>4301051903</v>
      </c>
      <c r="D365" s="560">
        <v>4607091383928</v>
      </c>
      <c r="E365" s="561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587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588</v>
      </c>
      <c r="B366" s="54" t="s">
        <v>589</v>
      </c>
      <c r="C366" s="31">
        <v>4301051897</v>
      </c>
      <c r="D366" s="560">
        <v>4607091384260</v>
      </c>
      <c r="E366" s="561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590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582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83"/>
      <c r="P367" s="572" t="s">
        <v>75</v>
      </c>
      <c r="Q367" s="573"/>
      <c r="R367" s="573"/>
      <c r="S367" s="573"/>
      <c r="T367" s="573"/>
      <c r="U367" s="573"/>
      <c r="V367" s="574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83"/>
      <c r="P368" s="572" t="s">
        <v>75</v>
      </c>
      <c r="Q368" s="573"/>
      <c r="R368" s="573"/>
      <c r="S368" s="573"/>
      <c r="T368" s="573"/>
      <c r="U368" s="573"/>
      <c r="V368" s="574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customHeight="1" x14ac:dyDescent="0.25">
      <c r="A369" s="569" t="s">
        <v>159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customHeight="1" x14ac:dyDescent="0.25">
      <c r="A370" s="54" t="s">
        <v>591</v>
      </c>
      <c r="B370" s="54" t="s">
        <v>592</v>
      </c>
      <c r="C370" s="31">
        <v>4301060524</v>
      </c>
      <c r="D370" s="560">
        <v>4607091384673</v>
      </c>
      <c r="E370" s="561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6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593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x14ac:dyDescent="0.2">
      <c r="A371" s="582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83"/>
      <c r="P371" s="572" t="s">
        <v>75</v>
      </c>
      <c r="Q371" s="573"/>
      <c r="R371" s="573"/>
      <c r="S371" s="573"/>
      <c r="T371" s="573"/>
      <c r="U371" s="573"/>
      <c r="V371" s="574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83"/>
      <c r="P372" s="572" t="s">
        <v>75</v>
      </c>
      <c r="Q372" s="573"/>
      <c r="R372" s="573"/>
      <c r="S372" s="573"/>
      <c r="T372" s="573"/>
      <c r="U372" s="573"/>
      <c r="V372" s="574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customHeight="1" x14ac:dyDescent="0.25">
      <c r="A373" s="567" t="s">
        <v>594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customHeight="1" x14ac:dyDescent="0.25">
      <c r="A374" s="569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customHeight="1" x14ac:dyDescent="0.25">
      <c r="A375" s="54" t="s">
        <v>595</v>
      </c>
      <c r="B375" s="54" t="s">
        <v>596</v>
      </c>
      <c r="C375" s="31">
        <v>4301011875</v>
      </c>
      <c r="D375" s="560">
        <v>4680115884885</v>
      </c>
      <c r="E375" s="561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5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597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customHeight="1" x14ac:dyDescent="0.25">
      <c r="A376" s="54" t="s">
        <v>598</v>
      </c>
      <c r="B376" s="54" t="s">
        <v>599</v>
      </c>
      <c r="C376" s="31">
        <v>4301011871</v>
      </c>
      <c r="D376" s="560">
        <v>4680115884908</v>
      </c>
      <c r="E376" s="561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109</v>
      </c>
      <c r="L376" s="32"/>
      <c r="M376" s="33" t="s">
        <v>68</v>
      </c>
      <c r="N376" s="33"/>
      <c r="O376" s="32">
        <v>60</v>
      </c>
      <c r="P376" s="67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597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x14ac:dyDescent="0.2">
      <c r="A377" s="582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83"/>
      <c r="P377" s="572" t="s">
        <v>75</v>
      </c>
      <c r="Q377" s="573"/>
      <c r="R377" s="573"/>
      <c r="S377" s="573"/>
      <c r="T377" s="573"/>
      <c r="U377" s="573"/>
      <c r="V377" s="574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83"/>
      <c r="P378" s="572" t="s">
        <v>75</v>
      </c>
      <c r="Q378" s="573"/>
      <c r="R378" s="573"/>
      <c r="S378" s="573"/>
      <c r="T378" s="573"/>
      <c r="U378" s="573"/>
      <c r="V378" s="574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customHeight="1" x14ac:dyDescent="0.25">
      <c r="A379" s="569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customHeight="1" x14ac:dyDescent="0.25">
      <c r="A380" s="54" t="s">
        <v>600</v>
      </c>
      <c r="B380" s="54" t="s">
        <v>601</v>
      </c>
      <c r="C380" s="31">
        <v>4301031303</v>
      </c>
      <c r="D380" s="560">
        <v>4607091384802</v>
      </c>
      <c r="E380" s="561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5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602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customHeight="1" x14ac:dyDescent="0.25">
      <c r="A381" s="54" t="s">
        <v>600</v>
      </c>
      <c r="B381" s="54" t="s">
        <v>603</v>
      </c>
      <c r="C381" s="31">
        <v>4301031457</v>
      </c>
      <c r="D381" s="560">
        <v>4607091384802</v>
      </c>
      <c r="E381" s="561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109</v>
      </c>
      <c r="L381" s="32"/>
      <c r="M381" s="33" t="s">
        <v>68</v>
      </c>
      <c r="N381" s="33"/>
      <c r="O381" s="32">
        <v>50</v>
      </c>
      <c r="P381" s="60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604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x14ac:dyDescent="0.2">
      <c r="A382" s="582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83"/>
      <c r="P382" s="572" t="s">
        <v>75</v>
      </c>
      <c r="Q382" s="573"/>
      <c r="R382" s="573"/>
      <c r="S382" s="573"/>
      <c r="T382" s="573"/>
      <c r="U382" s="573"/>
      <c r="V382" s="574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83"/>
      <c r="P383" s="572" t="s">
        <v>75</v>
      </c>
      <c r="Q383" s="573"/>
      <c r="R383" s="573"/>
      <c r="S383" s="573"/>
      <c r="T383" s="573"/>
      <c r="U383" s="573"/>
      <c r="V383" s="574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customHeight="1" x14ac:dyDescent="0.25">
      <c r="A384" s="569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customHeight="1" x14ac:dyDescent="0.25">
      <c r="A385" s="54" t="s">
        <v>605</v>
      </c>
      <c r="B385" s="54" t="s">
        <v>606</v>
      </c>
      <c r="C385" s="31">
        <v>4301051899</v>
      </c>
      <c r="D385" s="560">
        <v>4607091384246</v>
      </c>
      <c r="E385" s="561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/>
      <c r="M385" s="33" t="s">
        <v>80</v>
      </c>
      <c r="N385" s="33"/>
      <c r="O385" s="32">
        <v>40</v>
      </c>
      <c r="P385" s="877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608</v>
      </c>
      <c r="B386" s="54" t="s">
        <v>609</v>
      </c>
      <c r="C386" s="31">
        <v>4301051660</v>
      </c>
      <c r="D386" s="560">
        <v>4607091384253</v>
      </c>
      <c r="E386" s="561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607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customHeight="1" x14ac:dyDescent="0.25">
      <c r="A387" s="54" t="s">
        <v>608</v>
      </c>
      <c r="B387" s="54" t="s">
        <v>610</v>
      </c>
      <c r="C387" s="31">
        <v>4301052069</v>
      </c>
      <c r="D387" s="560">
        <v>4607091384253</v>
      </c>
      <c r="E387" s="561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x14ac:dyDescent="0.2">
      <c r="A388" s="582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83"/>
      <c r="P388" s="572" t="s">
        <v>75</v>
      </c>
      <c r="Q388" s="573"/>
      <c r="R388" s="573"/>
      <c r="S388" s="573"/>
      <c r="T388" s="573"/>
      <c r="U388" s="573"/>
      <c r="V388" s="574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83"/>
      <c r="P389" s="572" t="s">
        <v>75</v>
      </c>
      <c r="Q389" s="573"/>
      <c r="R389" s="573"/>
      <c r="S389" s="573"/>
      <c r="T389" s="573"/>
      <c r="U389" s="573"/>
      <c r="V389" s="574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customHeight="1" x14ac:dyDescent="0.2">
      <c r="A390" s="630" t="s">
        <v>612</v>
      </c>
      <c r="B390" s="631"/>
      <c r="C390" s="631"/>
      <c r="D390" s="631"/>
      <c r="E390" s="631"/>
      <c r="F390" s="631"/>
      <c r="G390" s="631"/>
      <c r="H390" s="631"/>
      <c r="I390" s="631"/>
      <c r="J390" s="631"/>
      <c r="K390" s="631"/>
      <c r="L390" s="631"/>
      <c r="M390" s="631"/>
      <c r="N390" s="631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48"/>
      <c r="AB390" s="48"/>
      <c r="AC390" s="48"/>
    </row>
    <row r="391" spans="1:68" ht="16.5" customHeight="1" x14ac:dyDescent="0.25">
      <c r="A391" s="567" t="s">
        <v>613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customHeight="1" x14ac:dyDescent="0.25">
      <c r="A392" s="569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customHeight="1" x14ac:dyDescent="0.25">
      <c r="A393" s="54" t="s">
        <v>614</v>
      </c>
      <c r="B393" s="54" t="s">
        <v>615</v>
      </c>
      <c r="C393" s="31">
        <v>4301031405</v>
      </c>
      <c r="D393" s="560">
        <v>4680115886100</v>
      </c>
      <c r="E393" s="561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7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customHeight="1" x14ac:dyDescent="0.25">
      <c r="A394" s="54" t="s">
        <v>617</v>
      </c>
      <c r="B394" s="54" t="s">
        <v>618</v>
      </c>
      <c r="C394" s="31">
        <v>4301031406</v>
      </c>
      <c r="D394" s="560">
        <v>4680115886117</v>
      </c>
      <c r="E394" s="561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8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customHeight="1" x14ac:dyDescent="0.25">
      <c r="A395" s="54" t="s">
        <v>620</v>
      </c>
      <c r="B395" s="54" t="s">
        <v>621</v>
      </c>
      <c r="C395" s="31">
        <v>4301031402</v>
      </c>
      <c r="D395" s="560">
        <v>4680115886124</v>
      </c>
      <c r="E395" s="561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109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customHeight="1" x14ac:dyDescent="0.25">
      <c r="A396" s="54" t="s">
        <v>623</v>
      </c>
      <c r="B396" s="54" t="s">
        <v>624</v>
      </c>
      <c r="C396" s="31">
        <v>4301031366</v>
      </c>
      <c r="D396" s="560">
        <v>4680115883147</v>
      </c>
      <c r="E396" s="561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616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customHeight="1" x14ac:dyDescent="0.25">
      <c r="A397" s="54" t="s">
        <v>625</v>
      </c>
      <c r="B397" s="54" t="s">
        <v>626</v>
      </c>
      <c r="C397" s="31">
        <v>4301031362</v>
      </c>
      <c r="D397" s="560">
        <v>4607091384338</v>
      </c>
      <c r="E397" s="561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2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customHeight="1" x14ac:dyDescent="0.25">
      <c r="A398" s="54" t="s">
        <v>627</v>
      </c>
      <c r="B398" s="54" t="s">
        <v>628</v>
      </c>
      <c r="C398" s="31">
        <v>4301031361</v>
      </c>
      <c r="D398" s="560">
        <v>4607091389524</v>
      </c>
      <c r="E398" s="561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5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629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customHeight="1" x14ac:dyDescent="0.25">
      <c r="A399" s="54" t="s">
        <v>630</v>
      </c>
      <c r="B399" s="54" t="s">
        <v>631</v>
      </c>
      <c r="C399" s="31">
        <v>4301031364</v>
      </c>
      <c r="D399" s="560">
        <v>4680115883161</v>
      </c>
      <c r="E399" s="561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632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customHeight="1" x14ac:dyDescent="0.25">
      <c r="A400" s="54" t="s">
        <v>633</v>
      </c>
      <c r="B400" s="54" t="s">
        <v>634</v>
      </c>
      <c r="C400" s="31">
        <v>4301031358</v>
      </c>
      <c r="D400" s="560">
        <v>4607091389531</v>
      </c>
      <c r="E400" s="561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5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635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customHeight="1" x14ac:dyDescent="0.25">
      <c r="A401" s="54" t="s">
        <v>636</v>
      </c>
      <c r="B401" s="54" t="s">
        <v>637</v>
      </c>
      <c r="C401" s="31">
        <v>4301031360</v>
      </c>
      <c r="D401" s="560">
        <v>4607091384345</v>
      </c>
      <c r="E401" s="561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5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632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x14ac:dyDescent="0.2">
      <c r="A402" s="582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83"/>
      <c r="P402" s="572" t="s">
        <v>75</v>
      </c>
      <c r="Q402" s="573"/>
      <c r="R402" s="573"/>
      <c r="S402" s="573"/>
      <c r="T402" s="573"/>
      <c r="U402" s="573"/>
      <c r="V402" s="574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83"/>
      <c r="P403" s="572" t="s">
        <v>75</v>
      </c>
      <c r="Q403" s="573"/>
      <c r="R403" s="573"/>
      <c r="S403" s="573"/>
      <c r="T403" s="573"/>
      <c r="U403" s="573"/>
      <c r="V403" s="574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customHeight="1" x14ac:dyDescent="0.25">
      <c r="A404" s="569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customHeight="1" x14ac:dyDescent="0.25">
      <c r="A405" s="54" t="s">
        <v>638</v>
      </c>
      <c r="B405" s="54" t="s">
        <v>639</v>
      </c>
      <c r="C405" s="31">
        <v>4301051284</v>
      </c>
      <c r="D405" s="560">
        <v>4607091384352</v>
      </c>
      <c r="E405" s="561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109</v>
      </c>
      <c r="L405" s="32"/>
      <c r="M405" s="33" t="s">
        <v>80</v>
      </c>
      <c r="N405" s="33"/>
      <c r="O405" s="32">
        <v>45</v>
      </c>
      <c r="P405" s="63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640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customHeight="1" x14ac:dyDescent="0.25">
      <c r="A406" s="54" t="s">
        <v>641</v>
      </c>
      <c r="B406" s="54" t="s">
        <v>642</v>
      </c>
      <c r="C406" s="31">
        <v>4301051431</v>
      </c>
      <c r="D406" s="560">
        <v>4607091389654</v>
      </c>
      <c r="E406" s="561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69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643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x14ac:dyDescent="0.2">
      <c r="A407" s="582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83"/>
      <c r="P407" s="572" t="s">
        <v>75</v>
      </c>
      <c r="Q407" s="573"/>
      <c r="R407" s="573"/>
      <c r="S407" s="573"/>
      <c r="T407" s="573"/>
      <c r="U407" s="573"/>
      <c r="V407" s="574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83"/>
      <c r="P408" s="572" t="s">
        <v>75</v>
      </c>
      <c r="Q408" s="573"/>
      <c r="R408" s="573"/>
      <c r="S408" s="573"/>
      <c r="T408" s="573"/>
      <c r="U408" s="573"/>
      <c r="V408" s="574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customHeight="1" x14ac:dyDescent="0.25">
      <c r="A409" s="567" t="s">
        <v>644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customHeight="1" x14ac:dyDescent="0.25">
      <c r="A410" s="569" t="s">
        <v>134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customHeight="1" x14ac:dyDescent="0.25">
      <c r="A411" s="54" t="s">
        <v>645</v>
      </c>
      <c r="B411" s="54" t="s">
        <v>646</v>
      </c>
      <c r="C411" s="31">
        <v>4301020319</v>
      </c>
      <c r="D411" s="560">
        <v>4680115885240</v>
      </c>
      <c r="E411" s="561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69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647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x14ac:dyDescent="0.2">
      <c r="A412" s="582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83"/>
      <c r="P412" s="572" t="s">
        <v>75</v>
      </c>
      <c r="Q412" s="573"/>
      <c r="R412" s="573"/>
      <c r="S412" s="573"/>
      <c r="T412" s="573"/>
      <c r="U412" s="573"/>
      <c r="V412" s="574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83"/>
      <c r="P413" s="572" t="s">
        <v>75</v>
      </c>
      <c r="Q413" s="573"/>
      <c r="R413" s="573"/>
      <c r="S413" s="573"/>
      <c r="T413" s="573"/>
      <c r="U413" s="573"/>
      <c r="V413" s="574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customHeight="1" x14ac:dyDescent="0.25">
      <c r="A414" s="569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customHeight="1" x14ac:dyDescent="0.25">
      <c r="A415" s="54" t="s">
        <v>648</v>
      </c>
      <c r="B415" s="54" t="s">
        <v>649</v>
      </c>
      <c r="C415" s="31">
        <v>4301031403</v>
      </c>
      <c r="D415" s="560">
        <v>4680115886094</v>
      </c>
      <c r="E415" s="561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109</v>
      </c>
      <c r="L415" s="32"/>
      <c r="M415" s="33" t="s">
        <v>105</v>
      </c>
      <c r="N415" s="33"/>
      <c r="O415" s="32">
        <v>50</v>
      </c>
      <c r="P415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651</v>
      </c>
      <c r="B416" s="54" t="s">
        <v>652</v>
      </c>
      <c r="C416" s="31">
        <v>4301031363</v>
      </c>
      <c r="D416" s="560">
        <v>4607091389425</v>
      </c>
      <c r="E416" s="561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68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653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customHeight="1" x14ac:dyDescent="0.25">
      <c r="A417" s="54" t="s">
        <v>654</v>
      </c>
      <c r="B417" s="54" t="s">
        <v>655</v>
      </c>
      <c r="C417" s="31">
        <v>4301031373</v>
      </c>
      <c r="D417" s="560">
        <v>4680115880771</v>
      </c>
      <c r="E417" s="561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3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656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customHeight="1" x14ac:dyDescent="0.25">
      <c r="A418" s="54" t="s">
        <v>657</v>
      </c>
      <c r="B418" s="54" t="s">
        <v>658</v>
      </c>
      <c r="C418" s="31">
        <v>4301031359</v>
      </c>
      <c r="D418" s="560">
        <v>4607091389500</v>
      </c>
      <c r="E418" s="561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 t="s">
        <v>350</v>
      </c>
      <c r="M418" s="33" t="s">
        <v>68</v>
      </c>
      <c r="N418" s="33"/>
      <c r="O418" s="32">
        <v>50</v>
      </c>
      <c r="P418" s="84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656</v>
      </c>
      <c r="AG418" s="64"/>
      <c r="AJ418" s="68" t="s">
        <v>200</v>
      </c>
      <c r="AK418" s="68">
        <v>37.799999999999997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x14ac:dyDescent="0.2">
      <c r="A419" s="582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83"/>
      <c r="P419" s="572" t="s">
        <v>75</v>
      </c>
      <c r="Q419" s="573"/>
      <c r="R419" s="573"/>
      <c r="S419" s="573"/>
      <c r="T419" s="573"/>
      <c r="U419" s="573"/>
      <c r="V419" s="574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83"/>
      <c r="P420" s="572" t="s">
        <v>75</v>
      </c>
      <c r="Q420" s="573"/>
      <c r="R420" s="573"/>
      <c r="S420" s="573"/>
      <c r="T420" s="573"/>
      <c r="U420" s="573"/>
      <c r="V420" s="574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customHeight="1" x14ac:dyDescent="0.25">
      <c r="A421" s="567" t="s">
        <v>659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customHeight="1" x14ac:dyDescent="0.25">
      <c r="A422" s="569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customHeight="1" x14ac:dyDescent="0.25">
      <c r="A423" s="54" t="s">
        <v>660</v>
      </c>
      <c r="B423" s="54" t="s">
        <v>661</v>
      </c>
      <c r="C423" s="31">
        <v>4301031347</v>
      </c>
      <c r="D423" s="560">
        <v>4680115885110</v>
      </c>
      <c r="E423" s="561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7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662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x14ac:dyDescent="0.2">
      <c r="A424" s="582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83"/>
      <c r="P424" s="572" t="s">
        <v>75</v>
      </c>
      <c r="Q424" s="573"/>
      <c r="R424" s="573"/>
      <c r="S424" s="573"/>
      <c r="T424" s="573"/>
      <c r="U424" s="573"/>
      <c r="V424" s="574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83"/>
      <c r="P425" s="572" t="s">
        <v>75</v>
      </c>
      <c r="Q425" s="573"/>
      <c r="R425" s="573"/>
      <c r="S425" s="573"/>
      <c r="T425" s="573"/>
      <c r="U425" s="573"/>
      <c r="V425" s="574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customHeight="1" x14ac:dyDescent="0.2">
      <c r="A426" s="630" t="s">
        <v>663</v>
      </c>
      <c r="B426" s="631"/>
      <c r="C426" s="631"/>
      <c r="D426" s="631"/>
      <c r="E426" s="631"/>
      <c r="F426" s="631"/>
      <c r="G426" s="631"/>
      <c r="H426" s="631"/>
      <c r="I426" s="631"/>
      <c r="J426" s="631"/>
      <c r="K426" s="631"/>
      <c r="L426" s="631"/>
      <c r="M426" s="631"/>
      <c r="N426" s="631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48"/>
      <c r="AB426" s="48"/>
      <c r="AC426" s="48"/>
    </row>
    <row r="427" spans="1:68" ht="16.5" customHeight="1" x14ac:dyDescent="0.25">
      <c r="A427" s="567" t="s">
        <v>663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customHeight="1" x14ac:dyDescent="0.25">
      <c r="A428" s="569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customHeight="1" x14ac:dyDescent="0.25">
      <c r="A429" s="54" t="s">
        <v>664</v>
      </c>
      <c r="B429" s="54" t="s">
        <v>665</v>
      </c>
      <c r="C429" s="31">
        <v>4301011795</v>
      </c>
      <c r="D429" s="560">
        <v>4607091389067</v>
      </c>
      <c r="E429" s="561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106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customHeight="1" x14ac:dyDescent="0.25">
      <c r="A430" s="54" t="s">
        <v>666</v>
      </c>
      <c r="B430" s="54" t="s">
        <v>667</v>
      </c>
      <c r="C430" s="31">
        <v>4301012210</v>
      </c>
      <c r="D430" s="560">
        <v>4607091383522</v>
      </c>
      <c r="E430" s="561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29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customHeight="1" x14ac:dyDescent="0.25">
      <c r="A431" s="54" t="s">
        <v>666</v>
      </c>
      <c r="B431" s="54" t="s">
        <v>669</v>
      </c>
      <c r="C431" s="31">
        <v>4301012145</v>
      </c>
      <c r="D431" s="560">
        <v>4607091383522</v>
      </c>
      <c r="E431" s="561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105</v>
      </c>
      <c r="N431" s="33"/>
      <c r="O431" s="32">
        <v>60</v>
      </c>
      <c r="P431" s="701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customHeight="1" x14ac:dyDescent="0.25">
      <c r="A432" s="54" t="s">
        <v>670</v>
      </c>
      <c r="B432" s="54" t="s">
        <v>671</v>
      </c>
      <c r="C432" s="31">
        <v>4301011961</v>
      </c>
      <c r="D432" s="560">
        <v>4680115885271</v>
      </c>
      <c r="E432" s="561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customHeight="1" x14ac:dyDescent="0.25">
      <c r="A433" s="54" t="s">
        <v>673</v>
      </c>
      <c r="B433" s="54" t="s">
        <v>674</v>
      </c>
      <c r="C433" s="31">
        <v>4301011376</v>
      </c>
      <c r="D433" s="560">
        <v>4680115885226</v>
      </c>
      <c r="E433" s="561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/>
      <c r="M433" s="33" t="s">
        <v>80</v>
      </c>
      <c r="N433" s="33"/>
      <c r="O433" s="32">
        <v>60</v>
      </c>
      <c r="P433" s="85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675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customHeight="1" x14ac:dyDescent="0.25">
      <c r="A434" s="54" t="s">
        <v>676</v>
      </c>
      <c r="B434" s="54" t="s">
        <v>677</v>
      </c>
      <c r="C434" s="31">
        <v>4301011774</v>
      </c>
      <c r="D434" s="560">
        <v>4680115884502</v>
      </c>
      <c r="E434" s="561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105</v>
      </c>
      <c r="N434" s="33"/>
      <c r="O434" s="32">
        <v>60</v>
      </c>
      <c r="P434" s="86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678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customHeight="1" x14ac:dyDescent="0.25">
      <c r="A435" s="54" t="s">
        <v>679</v>
      </c>
      <c r="B435" s="54" t="s">
        <v>680</v>
      </c>
      <c r="C435" s="31">
        <v>4301011771</v>
      </c>
      <c r="D435" s="560">
        <v>4607091389104</v>
      </c>
      <c r="E435" s="561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/>
      <c r="M435" s="33" t="s">
        <v>105</v>
      </c>
      <c r="N435" s="33"/>
      <c r="O435" s="32">
        <v>60</v>
      </c>
      <c r="P435" s="86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681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682</v>
      </c>
      <c r="B436" s="54" t="s">
        <v>683</v>
      </c>
      <c r="C436" s="31">
        <v>4301012125</v>
      </c>
      <c r="D436" s="560">
        <v>4680115886391</v>
      </c>
      <c r="E436" s="561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7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customHeight="1" x14ac:dyDescent="0.25">
      <c r="A437" s="54" t="s">
        <v>684</v>
      </c>
      <c r="B437" s="54" t="s">
        <v>685</v>
      </c>
      <c r="C437" s="31">
        <v>4301012035</v>
      </c>
      <c r="D437" s="560">
        <v>4680115880603</v>
      </c>
      <c r="E437" s="561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109</v>
      </c>
      <c r="L437" s="32"/>
      <c r="M437" s="33" t="s">
        <v>105</v>
      </c>
      <c r="N437" s="33"/>
      <c r="O437" s="32">
        <v>60</v>
      </c>
      <c r="P437" s="56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customHeight="1" x14ac:dyDescent="0.25">
      <c r="A438" s="54" t="s">
        <v>686</v>
      </c>
      <c r="B438" s="54" t="s">
        <v>687</v>
      </c>
      <c r="C438" s="31">
        <v>4301012036</v>
      </c>
      <c r="D438" s="560">
        <v>4680115882782</v>
      </c>
      <c r="E438" s="561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109</v>
      </c>
      <c r="L438" s="32"/>
      <c r="M438" s="33" t="s">
        <v>105</v>
      </c>
      <c r="N438" s="33"/>
      <c r="O438" s="32">
        <v>60</v>
      </c>
      <c r="P438" s="73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688</v>
      </c>
      <c r="B439" s="54" t="s">
        <v>689</v>
      </c>
      <c r="C439" s="31">
        <v>4301012050</v>
      </c>
      <c r="D439" s="560">
        <v>4680115885479</v>
      </c>
      <c r="E439" s="561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105</v>
      </c>
      <c r="N439" s="33"/>
      <c r="O439" s="32">
        <v>60</v>
      </c>
      <c r="P439" s="857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690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customHeight="1" x14ac:dyDescent="0.25">
      <c r="A440" s="54" t="s">
        <v>691</v>
      </c>
      <c r="B440" s="54" t="s">
        <v>692</v>
      </c>
      <c r="C440" s="31">
        <v>4301012034</v>
      </c>
      <c r="D440" s="560">
        <v>4607091389982</v>
      </c>
      <c r="E440" s="561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109</v>
      </c>
      <c r="L440" s="32"/>
      <c r="M440" s="33" t="s">
        <v>105</v>
      </c>
      <c r="N440" s="33"/>
      <c r="O440" s="32">
        <v>60</v>
      </c>
      <c r="P440" s="7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681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x14ac:dyDescent="0.2">
      <c r="A441" s="582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83"/>
      <c r="P441" s="572" t="s">
        <v>75</v>
      </c>
      <c r="Q441" s="573"/>
      <c r="R441" s="573"/>
      <c r="S441" s="573"/>
      <c r="T441" s="573"/>
      <c r="U441" s="573"/>
      <c r="V441" s="574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83"/>
      <c r="P442" s="572" t="s">
        <v>75</v>
      </c>
      <c r="Q442" s="573"/>
      <c r="R442" s="573"/>
      <c r="S442" s="573"/>
      <c r="T442" s="573"/>
      <c r="U442" s="573"/>
      <c r="V442" s="574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customHeight="1" x14ac:dyDescent="0.25">
      <c r="A443" s="569" t="s">
        <v>134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customHeight="1" x14ac:dyDescent="0.25">
      <c r="A444" s="54" t="s">
        <v>693</v>
      </c>
      <c r="B444" s="54" t="s">
        <v>694</v>
      </c>
      <c r="C444" s="31">
        <v>4301020334</v>
      </c>
      <c r="D444" s="560">
        <v>4607091388930</v>
      </c>
      <c r="E444" s="561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/>
      <c r="M444" s="33" t="s">
        <v>80</v>
      </c>
      <c r="N444" s="33"/>
      <c r="O444" s="32">
        <v>70</v>
      </c>
      <c r="P444" s="8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695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696</v>
      </c>
      <c r="B445" s="54" t="s">
        <v>697</v>
      </c>
      <c r="C445" s="31">
        <v>4301020384</v>
      </c>
      <c r="D445" s="560">
        <v>4680115886407</v>
      </c>
      <c r="E445" s="561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695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698</v>
      </c>
      <c r="B446" s="54" t="s">
        <v>699</v>
      </c>
      <c r="C446" s="31">
        <v>4301020385</v>
      </c>
      <c r="D446" s="560">
        <v>4680115880054</v>
      </c>
      <c r="E446" s="561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109</v>
      </c>
      <c r="L446" s="32"/>
      <c r="M446" s="33" t="s">
        <v>105</v>
      </c>
      <c r="N446" s="33"/>
      <c r="O446" s="32">
        <v>70</v>
      </c>
      <c r="P446" s="7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695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582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83"/>
      <c r="P447" s="572" t="s">
        <v>75</v>
      </c>
      <c r="Q447" s="573"/>
      <c r="R447" s="573"/>
      <c r="S447" s="573"/>
      <c r="T447" s="573"/>
      <c r="U447" s="573"/>
      <c r="V447" s="574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83"/>
      <c r="P448" s="572" t="s">
        <v>75</v>
      </c>
      <c r="Q448" s="573"/>
      <c r="R448" s="573"/>
      <c r="S448" s="573"/>
      <c r="T448" s="573"/>
      <c r="U448" s="573"/>
      <c r="V448" s="574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customHeight="1" x14ac:dyDescent="0.25">
      <c r="A449" s="569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customHeight="1" x14ac:dyDescent="0.25">
      <c r="A450" s="54" t="s">
        <v>700</v>
      </c>
      <c r="B450" s="54" t="s">
        <v>701</v>
      </c>
      <c r="C450" s="31">
        <v>4301031349</v>
      </c>
      <c r="D450" s="560">
        <v>4680115883116</v>
      </c>
      <c r="E450" s="561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/>
      <c r="M450" s="33" t="s">
        <v>105</v>
      </c>
      <c r="N450" s="33"/>
      <c r="O450" s="32">
        <v>70</v>
      </c>
      <c r="P450" s="71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702</v>
      </c>
      <c r="AG450" s="64"/>
      <c r="AJ450" s="68"/>
      <c r="AK450" s="68">
        <v>0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customHeight="1" x14ac:dyDescent="0.25">
      <c r="A451" s="54" t="s">
        <v>703</v>
      </c>
      <c r="B451" s="54" t="s">
        <v>704</v>
      </c>
      <c r="C451" s="31">
        <v>4301031350</v>
      </c>
      <c r="D451" s="560">
        <v>4680115883093</v>
      </c>
      <c r="E451" s="561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/>
      <c r="M451" s="33" t="s">
        <v>68</v>
      </c>
      <c r="N451" s="33"/>
      <c r="O451" s="32">
        <v>70</v>
      </c>
      <c r="P451" s="74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customHeight="1" x14ac:dyDescent="0.25">
      <c r="A452" s="54" t="s">
        <v>706</v>
      </c>
      <c r="B452" s="54" t="s">
        <v>707</v>
      </c>
      <c r="C452" s="31">
        <v>4301031353</v>
      </c>
      <c r="D452" s="560">
        <v>4680115883109</v>
      </c>
      <c r="E452" s="561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/>
      <c r="M452" s="33" t="s">
        <v>68</v>
      </c>
      <c r="N452" s="33"/>
      <c r="O452" s="32">
        <v>70</v>
      </c>
      <c r="P452" s="59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customHeight="1" x14ac:dyDescent="0.25">
      <c r="A453" s="54" t="s">
        <v>709</v>
      </c>
      <c r="B453" s="54" t="s">
        <v>710</v>
      </c>
      <c r="C453" s="31">
        <v>4301031419</v>
      </c>
      <c r="D453" s="560">
        <v>4680115882072</v>
      </c>
      <c r="E453" s="561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109</v>
      </c>
      <c r="L453" s="32"/>
      <c r="M453" s="33" t="s">
        <v>105</v>
      </c>
      <c r="N453" s="33"/>
      <c r="O453" s="32">
        <v>70</v>
      </c>
      <c r="P453" s="64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customHeight="1" x14ac:dyDescent="0.25">
      <c r="A454" s="54" t="s">
        <v>711</v>
      </c>
      <c r="B454" s="54" t="s">
        <v>712</v>
      </c>
      <c r="C454" s="31">
        <v>4301031418</v>
      </c>
      <c r="D454" s="560">
        <v>4680115882102</v>
      </c>
      <c r="E454" s="561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705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customHeight="1" x14ac:dyDescent="0.25">
      <c r="A455" s="54" t="s">
        <v>713</v>
      </c>
      <c r="B455" s="54" t="s">
        <v>714</v>
      </c>
      <c r="C455" s="31">
        <v>4301031417</v>
      </c>
      <c r="D455" s="560">
        <v>4680115882096</v>
      </c>
      <c r="E455" s="561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109</v>
      </c>
      <c r="L455" s="32"/>
      <c r="M455" s="33" t="s">
        <v>68</v>
      </c>
      <c r="N455" s="33"/>
      <c r="O455" s="32">
        <v>70</v>
      </c>
      <c r="P455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708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x14ac:dyDescent="0.2">
      <c r="A456" s="582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83"/>
      <c r="P456" s="572" t="s">
        <v>75</v>
      </c>
      <c r="Q456" s="573"/>
      <c r="R456" s="573"/>
      <c r="S456" s="573"/>
      <c r="T456" s="573"/>
      <c r="U456" s="573"/>
      <c r="V456" s="574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83"/>
      <c r="P457" s="572" t="s">
        <v>75</v>
      </c>
      <c r="Q457" s="573"/>
      <c r="R457" s="573"/>
      <c r="S457" s="573"/>
      <c r="T457" s="573"/>
      <c r="U457" s="573"/>
      <c r="V457" s="574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customHeight="1" x14ac:dyDescent="0.25">
      <c r="A458" s="569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customHeight="1" x14ac:dyDescent="0.25">
      <c r="A459" s="54" t="s">
        <v>715</v>
      </c>
      <c r="B459" s="54" t="s">
        <v>716</v>
      </c>
      <c r="C459" s="31">
        <v>4301051064</v>
      </c>
      <c r="D459" s="560">
        <v>4680115883536</v>
      </c>
      <c r="E459" s="561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717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x14ac:dyDescent="0.2">
      <c r="A460" s="582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83"/>
      <c r="P460" s="572" t="s">
        <v>75</v>
      </c>
      <c r="Q460" s="573"/>
      <c r="R460" s="573"/>
      <c r="S460" s="573"/>
      <c r="T460" s="573"/>
      <c r="U460" s="573"/>
      <c r="V460" s="574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83"/>
      <c r="P461" s="572" t="s">
        <v>75</v>
      </c>
      <c r="Q461" s="573"/>
      <c r="R461" s="573"/>
      <c r="S461" s="573"/>
      <c r="T461" s="573"/>
      <c r="U461" s="573"/>
      <c r="V461" s="574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customHeight="1" x14ac:dyDescent="0.2">
      <c r="A462" s="630" t="s">
        <v>718</v>
      </c>
      <c r="B462" s="631"/>
      <c r="C462" s="631"/>
      <c r="D462" s="631"/>
      <c r="E462" s="631"/>
      <c r="F462" s="631"/>
      <c r="G462" s="631"/>
      <c r="H462" s="631"/>
      <c r="I462" s="631"/>
      <c r="J462" s="631"/>
      <c r="K462" s="631"/>
      <c r="L462" s="631"/>
      <c r="M462" s="631"/>
      <c r="N462" s="631"/>
      <c r="O462" s="631"/>
      <c r="P462" s="631"/>
      <c r="Q462" s="631"/>
      <c r="R462" s="631"/>
      <c r="S462" s="631"/>
      <c r="T462" s="631"/>
      <c r="U462" s="631"/>
      <c r="V462" s="631"/>
      <c r="W462" s="631"/>
      <c r="X462" s="631"/>
      <c r="Y462" s="631"/>
      <c r="Z462" s="631"/>
      <c r="AA462" s="48"/>
      <c r="AB462" s="48"/>
      <c r="AC462" s="48"/>
    </row>
    <row r="463" spans="1:68" ht="16.5" customHeight="1" x14ac:dyDescent="0.25">
      <c r="A463" s="567" t="s">
        <v>718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customHeight="1" x14ac:dyDescent="0.25">
      <c r="A464" s="569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customHeight="1" x14ac:dyDescent="0.25">
      <c r="A465" s="54" t="s">
        <v>719</v>
      </c>
      <c r="B465" s="54" t="s">
        <v>720</v>
      </c>
      <c r="C465" s="31">
        <v>4301011763</v>
      </c>
      <c r="D465" s="560">
        <v>4640242181011</v>
      </c>
      <c r="E465" s="561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4301011585</v>
      </c>
      <c r="D466" s="560">
        <v>4640242180441</v>
      </c>
      <c r="E466" s="561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105</v>
      </c>
      <c r="N466" s="33"/>
      <c r="O466" s="32">
        <v>50</v>
      </c>
      <c r="P466" s="657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724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725</v>
      </c>
      <c r="B467" s="54" t="s">
        <v>726</v>
      </c>
      <c r="C467" s="31">
        <v>4301011584</v>
      </c>
      <c r="D467" s="560">
        <v>4640242180564</v>
      </c>
      <c r="E467" s="561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105</v>
      </c>
      <c r="N467" s="33"/>
      <c r="O467" s="32">
        <v>50</v>
      </c>
      <c r="P467" s="69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727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728</v>
      </c>
      <c r="B468" s="54" t="s">
        <v>729</v>
      </c>
      <c r="C468" s="31">
        <v>4301011764</v>
      </c>
      <c r="D468" s="560">
        <v>4640242181189</v>
      </c>
      <c r="E468" s="561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109</v>
      </c>
      <c r="L468" s="32"/>
      <c r="M468" s="33" t="s">
        <v>80</v>
      </c>
      <c r="N468" s="33"/>
      <c r="O468" s="32">
        <v>55</v>
      </c>
      <c r="P468" s="60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280</v>
      </c>
      <c r="Y468" s="554">
        <f>IFERROR(IF(X468="",0,CEILING((X468/$H468),1)*$H468),"")</f>
        <v>280</v>
      </c>
      <c r="Z468" s="36">
        <f>IFERROR(IF(Y468=0,"",ROUNDUP(Y468/H468,0)*0.00902),"")</f>
        <v>0.63139999999999996</v>
      </c>
      <c r="AA468" s="56"/>
      <c r="AB468" s="57"/>
      <c r="AC468" s="527" t="s">
        <v>721</v>
      </c>
      <c r="AG468" s="64"/>
      <c r="AJ468" s="68"/>
      <c r="AK468" s="68">
        <v>0</v>
      </c>
      <c r="BB468" s="528" t="s">
        <v>1</v>
      </c>
      <c r="BM468" s="64">
        <f>IFERROR(X468*I468/H468,"0")</f>
        <v>293.3</v>
      </c>
      <c r="BN468" s="64">
        <f>IFERROR(Y468*I468/H468,"0")</f>
        <v>293.3</v>
      </c>
      <c r="BO468" s="64">
        <f>IFERROR(1/J468*(X468/H468),"0")</f>
        <v>0.53030303030303028</v>
      </c>
      <c r="BP468" s="64">
        <f>IFERROR(1/J468*(Y468/H468),"0")</f>
        <v>0.53030303030303028</v>
      </c>
    </row>
    <row r="469" spans="1:68" x14ac:dyDescent="0.2">
      <c r="A469" s="582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83"/>
      <c r="P469" s="572" t="s">
        <v>75</v>
      </c>
      <c r="Q469" s="573"/>
      <c r="R469" s="573"/>
      <c r="S469" s="573"/>
      <c r="T469" s="573"/>
      <c r="U469" s="573"/>
      <c r="V469" s="574"/>
      <c r="W469" s="37" t="s">
        <v>76</v>
      </c>
      <c r="X469" s="555">
        <f>IFERROR(X465/H465,"0")+IFERROR(X466/H466,"0")+IFERROR(X467/H467,"0")+IFERROR(X468/H468,"0")</f>
        <v>70</v>
      </c>
      <c r="Y469" s="555">
        <f>IFERROR(Y465/H465,"0")+IFERROR(Y466/H466,"0")+IFERROR(Y467/H467,"0")+IFERROR(Y468/H468,"0")</f>
        <v>70</v>
      </c>
      <c r="Z469" s="555">
        <f>IFERROR(IF(Z465="",0,Z465),"0")+IFERROR(IF(Z466="",0,Z466),"0")+IFERROR(IF(Z467="",0,Z467),"0")+IFERROR(IF(Z468="",0,Z468),"0")</f>
        <v>0.63139999999999996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83"/>
      <c r="P470" s="572" t="s">
        <v>75</v>
      </c>
      <c r="Q470" s="573"/>
      <c r="R470" s="573"/>
      <c r="S470" s="573"/>
      <c r="T470" s="573"/>
      <c r="U470" s="573"/>
      <c r="V470" s="574"/>
      <c r="W470" s="37" t="s">
        <v>69</v>
      </c>
      <c r="X470" s="555">
        <f>IFERROR(SUM(X465:X468),"0")</f>
        <v>280</v>
      </c>
      <c r="Y470" s="555">
        <f>IFERROR(SUM(Y465:Y468),"0")</f>
        <v>280</v>
      </c>
      <c r="Z470" s="37"/>
      <c r="AA470" s="556"/>
      <c r="AB470" s="556"/>
      <c r="AC470" s="556"/>
    </row>
    <row r="471" spans="1:68" ht="14.25" customHeight="1" x14ac:dyDescent="0.25">
      <c r="A471" s="569" t="s">
        <v>134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customHeight="1" x14ac:dyDescent="0.25">
      <c r="A472" s="54" t="s">
        <v>730</v>
      </c>
      <c r="B472" s="54" t="s">
        <v>731</v>
      </c>
      <c r="C472" s="31">
        <v>4301020400</v>
      </c>
      <c r="D472" s="560">
        <v>4640242180519</v>
      </c>
      <c r="E472" s="561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105</v>
      </c>
      <c r="N472" s="33"/>
      <c r="O472" s="32">
        <v>50</v>
      </c>
      <c r="P472" s="78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732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733</v>
      </c>
      <c r="B473" s="54" t="s">
        <v>734</v>
      </c>
      <c r="C473" s="31">
        <v>4301020260</v>
      </c>
      <c r="D473" s="560">
        <v>4640242180526</v>
      </c>
      <c r="E473" s="561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105</v>
      </c>
      <c r="N473" s="33"/>
      <c r="O473" s="32">
        <v>50</v>
      </c>
      <c r="P473" s="62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735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x14ac:dyDescent="0.2">
      <c r="A474" s="582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83"/>
      <c r="P474" s="572" t="s">
        <v>75</v>
      </c>
      <c r="Q474" s="573"/>
      <c r="R474" s="573"/>
      <c r="S474" s="573"/>
      <c r="T474" s="573"/>
      <c r="U474" s="573"/>
      <c r="V474" s="574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83"/>
      <c r="P475" s="572" t="s">
        <v>75</v>
      </c>
      <c r="Q475" s="573"/>
      <c r="R475" s="573"/>
      <c r="S475" s="573"/>
      <c r="T475" s="573"/>
      <c r="U475" s="573"/>
      <c r="V475" s="574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customHeight="1" x14ac:dyDescent="0.25">
      <c r="A476" s="569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customHeight="1" x14ac:dyDescent="0.25">
      <c r="A477" s="54" t="s">
        <v>736</v>
      </c>
      <c r="B477" s="54" t="s">
        <v>737</v>
      </c>
      <c r="C477" s="31">
        <v>4301031244</v>
      </c>
      <c r="D477" s="560">
        <v>4640242180595</v>
      </c>
      <c r="E477" s="561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109</v>
      </c>
      <c r="L477" s="32"/>
      <c r="M477" s="33" t="s">
        <v>68</v>
      </c>
      <c r="N477" s="33"/>
      <c r="O477" s="32">
        <v>40</v>
      </c>
      <c r="P477" s="76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738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736</v>
      </c>
      <c r="B478" s="54" t="s">
        <v>739</v>
      </c>
      <c r="C478" s="31">
        <v>4301031467</v>
      </c>
      <c r="D478" s="560">
        <v>4640242180595</v>
      </c>
      <c r="E478" s="561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109</v>
      </c>
      <c r="L478" s="32"/>
      <c r="M478" s="33" t="s">
        <v>68</v>
      </c>
      <c r="N478" s="33"/>
      <c r="O478" s="32">
        <v>40</v>
      </c>
      <c r="P478" s="824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740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582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83"/>
      <c r="P479" s="572" t="s">
        <v>75</v>
      </c>
      <c r="Q479" s="573"/>
      <c r="R479" s="573"/>
      <c r="S479" s="573"/>
      <c r="T479" s="573"/>
      <c r="U479" s="573"/>
      <c r="V479" s="574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83"/>
      <c r="P480" s="572" t="s">
        <v>75</v>
      </c>
      <c r="Q480" s="573"/>
      <c r="R480" s="573"/>
      <c r="S480" s="573"/>
      <c r="T480" s="573"/>
      <c r="U480" s="573"/>
      <c r="V480" s="574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customHeight="1" x14ac:dyDescent="0.25">
      <c r="A481" s="569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customHeight="1" x14ac:dyDescent="0.25">
      <c r="A482" s="54" t="s">
        <v>741</v>
      </c>
      <c r="B482" s="54" t="s">
        <v>742</v>
      </c>
      <c r="C482" s="31">
        <v>4301052046</v>
      </c>
      <c r="D482" s="560">
        <v>4640242180533</v>
      </c>
      <c r="E482" s="561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743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x14ac:dyDescent="0.2">
      <c r="A483" s="582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83"/>
      <c r="P483" s="572" t="s">
        <v>75</v>
      </c>
      <c r="Q483" s="573"/>
      <c r="R483" s="573"/>
      <c r="S483" s="573"/>
      <c r="T483" s="573"/>
      <c r="U483" s="573"/>
      <c r="V483" s="574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83"/>
      <c r="P484" s="572" t="s">
        <v>75</v>
      </c>
      <c r="Q484" s="573"/>
      <c r="R484" s="573"/>
      <c r="S484" s="573"/>
      <c r="T484" s="573"/>
      <c r="U484" s="573"/>
      <c r="V484" s="574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customHeight="1" x14ac:dyDescent="0.25">
      <c r="A485" s="569" t="s">
        <v>159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customHeight="1" x14ac:dyDescent="0.25">
      <c r="A486" s="54" t="s">
        <v>744</v>
      </c>
      <c r="B486" s="54" t="s">
        <v>745</v>
      </c>
      <c r="C486" s="31">
        <v>4301060491</v>
      </c>
      <c r="D486" s="560">
        <v>4640242180120</v>
      </c>
      <c r="E486" s="561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5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746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customHeight="1" x14ac:dyDescent="0.25">
      <c r="A487" s="54" t="s">
        <v>747</v>
      </c>
      <c r="B487" s="54" t="s">
        <v>748</v>
      </c>
      <c r="C487" s="31">
        <v>4301060493</v>
      </c>
      <c r="D487" s="560">
        <v>4640242180137</v>
      </c>
      <c r="E487" s="561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749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x14ac:dyDescent="0.2">
      <c r="A488" s="582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83"/>
      <c r="P488" s="572" t="s">
        <v>75</v>
      </c>
      <c r="Q488" s="573"/>
      <c r="R488" s="573"/>
      <c r="S488" s="573"/>
      <c r="T488" s="573"/>
      <c r="U488" s="573"/>
      <c r="V488" s="574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83"/>
      <c r="P489" s="572" t="s">
        <v>75</v>
      </c>
      <c r="Q489" s="573"/>
      <c r="R489" s="573"/>
      <c r="S489" s="573"/>
      <c r="T489" s="573"/>
      <c r="U489" s="573"/>
      <c r="V489" s="574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customHeight="1" x14ac:dyDescent="0.25">
      <c r="A490" s="567" t="s">
        <v>750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customHeight="1" x14ac:dyDescent="0.25">
      <c r="A491" s="569" t="s">
        <v>134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customHeight="1" x14ac:dyDescent="0.25">
      <c r="A492" s="54" t="s">
        <v>751</v>
      </c>
      <c r="B492" s="54" t="s">
        <v>752</v>
      </c>
      <c r="C492" s="31">
        <v>4301020314</v>
      </c>
      <c r="D492" s="560">
        <v>4640242180090</v>
      </c>
      <c r="E492" s="561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105</v>
      </c>
      <c r="N492" s="33"/>
      <c r="O492" s="32">
        <v>50</v>
      </c>
      <c r="P492" s="66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753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x14ac:dyDescent="0.2">
      <c r="A493" s="582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83"/>
      <c r="P493" s="572" t="s">
        <v>75</v>
      </c>
      <c r="Q493" s="573"/>
      <c r="R493" s="573"/>
      <c r="S493" s="573"/>
      <c r="T493" s="573"/>
      <c r="U493" s="573"/>
      <c r="V493" s="574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83"/>
      <c r="P494" s="572" t="s">
        <v>75</v>
      </c>
      <c r="Q494" s="573"/>
      <c r="R494" s="573"/>
      <c r="S494" s="573"/>
      <c r="T494" s="573"/>
      <c r="U494" s="573"/>
      <c r="V494" s="574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2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33"/>
      <c r="P495" s="723" t="s">
        <v>754</v>
      </c>
      <c r="Q495" s="684"/>
      <c r="R495" s="684"/>
      <c r="S495" s="684"/>
      <c r="T495" s="684"/>
      <c r="U495" s="684"/>
      <c r="V495" s="685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2253.1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2253.1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33"/>
      <c r="P496" s="723" t="s">
        <v>755</v>
      </c>
      <c r="Q496" s="684"/>
      <c r="R496" s="684"/>
      <c r="S496" s="684"/>
      <c r="T496" s="684"/>
      <c r="U496" s="684"/>
      <c r="V496" s="685"/>
      <c r="W496" s="37" t="s">
        <v>69</v>
      </c>
      <c r="X496" s="555">
        <f>IFERROR(SUM(BM22:BM492),"0")</f>
        <v>2379.5840000000003</v>
      </c>
      <c r="Y496" s="555">
        <f>IFERROR(SUM(BN22:BN492),"0")</f>
        <v>2379.5840000000003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33"/>
      <c r="P497" s="723" t="s">
        <v>756</v>
      </c>
      <c r="Q497" s="684"/>
      <c r="R497" s="684"/>
      <c r="S497" s="684"/>
      <c r="T497" s="684"/>
      <c r="U497" s="684"/>
      <c r="V497" s="685"/>
      <c r="W497" s="37" t="s">
        <v>757</v>
      </c>
      <c r="X497" s="38">
        <f>ROUNDUP(SUM(BO22:BO492),0)</f>
        <v>5</v>
      </c>
      <c r="Y497" s="38">
        <f>ROUNDUP(SUM(BP22:BP492),0)</f>
        <v>5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33"/>
      <c r="P498" s="723" t="s">
        <v>758</v>
      </c>
      <c r="Q498" s="684"/>
      <c r="R498" s="684"/>
      <c r="S498" s="684"/>
      <c r="T498" s="684"/>
      <c r="U498" s="684"/>
      <c r="V498" s="685"/>
      <c r="W498" s="37" t="s">
        <v>69</v>
      </c>
      <c r="X498" s="555">
        <f>GrossWeightTotal+PalletQtyTotal*25</f>
        <v>2504.5840000000003</v>
      </c>
      <c r="Y498" s="555">
        <f>GrossWeightTotalR+PalletQtyTotalR*25</f>
        <v>2504.5840000000003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33"/>
      <c r="P499" s="723" t="s">
        <v>759</v>
      </c>
      <c r="Q499" s="684"/>
      <c r="R499" s="684"/>
      <c r="S499" s="684"/>
      <c r="T499" s="684"/>
      <c r="U499" s="684"/>
      <c r="V499" s="685"/>
      <c r="W499" s="37" t="s">
        <v>757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725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725</v>
      </c>
      <c r="Z499" s="37"/>
      <c r="AA499" s="556"/>
      <c r="AB499" s="556"/>
      <c r="AC499" s="556"/>
    </row>
    <row r="500" spans="1:32" ht="14.25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33"/>
      <c r="P500" s="723" t="s">
        <v>760</v>
      </c>
      <c r="Q500" s="684"/>
      <c r="R500" s="684"/>
      <c r="S500" s="684"/>
      <c r="T500" s="684"/>
      <c r="U500" s="684"/>
      <c r="V500" s="685"/>
      <c r="W500" s="39" t="s">
        <v>761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5.2621399999999996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762</v>
      </c>
      <c r="B502" s="550" t="s">
        <v>63</v>
      </c>
      <c r="C502" s="598" t="s">
        <v>99</v>
      </c>
      <c r="D502" s="648"/>
      <c r="E502" s="648"/>
      <c r="F502" s="648"/>
      <c r="G502" s="648"/>
      <c r="H502" s="649"/>
      <c r="I502" s="598" t="s">
        <v>267</v>
      </c>
      <c r="J502" s="648"/>
      <c r="K502" s="648"/>
      <c r="L502" s="648"/>
      <c r="M502" s="648"/>
      <c r="N502" s="648"/>
      <c r="O502" s="648"/>
      <c r="P502" s="648"/>
      <c r="Q502" s="648"/>
      <c r="R502" s="649"/>
      <c r="S502" s="598" t="s">
        <v>558</v>
      </c>
      <c r="T502" s="649"/>
      <c r="U502" s="598" t="s">
        <v>612</v>
      </c>
      <c r="V502" s="648"/>
      <c r="W502" s="649"/>
      <c r="X502" s="550" t="s">
        <v>663</v>
      </c>
      <c r="Y502" s="598" t="s">
        <v>718</v>
      </c>
      <c r="Z502" s="649"/>
      <c r="AB502" s="52"/>
      <c r="AC502" s="52"/>
      <c r="AF502" s="551"/>
    </row>
    <row r="503" spans="1:32" ht="14.25" customHeight="1" thickTop="1" x14ac:dyDescent="0.2">
      <c r="A503" s="603" t="s">
        <v>763</v>
      </c>
      <c r="B503" s="598" t="s">
        <v>63</v>
      </c>
      <c r="C503" s="598" t="s">
        <v>100</v>
      </c>
      <c r="D503" s="598" t="s">
        <v>115</v>
      </c>
      <c r="E503" s="598" t="s">
        <v>166</v>
      </c>
      <c r="F503" s="598" t="s">
        <v>188</v>
      </c>
      <c r="G503" s="598" t="s">
        <v>228</v>
      </c>
      <c r="H503" s="598" t="s">
        <v>99</v>
      </c>
      <c r="I503" s="598" t="s">
        <v>268</v>
      </c>
      <c r="J503" s="598" t="s">
        <v>325</v>
      </c>
      <c r="K503" s="598" t="s">
        <v>386</v>
      </c>
      <c r="L503" s="598" t="s">
        <v>427</v>
      </c>
      <c r="M503" s="598" t="s">
        <v>443</v>
      </c>
      <c r="N503" s="551"/>
      <c r="O503" s="598" t="s">
        <v>454</v>
      </c>
      <c r="P503" s="598" t="s">
        <v>463</v>
      </c>
      <c r="Q503" s="598" t="s">
        <v>476</v>
      </c>
      <c r="R503" s="598" t="s">
        <v>548</v>
      </c>
      <c r="S503" s="598" t="s">
        <v>559</v>
      </c>
      <c r="T503" s="598" t="s">
        <v>594</v>
      </c>
      <c r="U503" s="598" t="s">
        <v>613</v>
      </c>
      <c r="V503" s="598" t="s">
        <v>644</v>
      </c>
      <c r="W503" s="598" t="s">
        <v>659</v>
      </c>
      <c r="X503" s="598" t="s">
        <v>663</v>
      </c>
      <c r="Y503" s="598" t="s">
        <v>718</v>
      </c>
      <c r="Z503" s="598" t="s">
        <v>750</v>
      </c>
      <c r="AB503" s="52"/>
      <c r="AC503" s="52"/>
      <c r="AF503" s="551"/>
    </row>
    <row r="504" spans="1:32" ht="13.5" customHeight="1" thickBot="1" x14ac:dyDescent="0.25">
      <c r="A504" s="604"/>
      <c r="B504" s="599"/>
      <c r="C504" s="599"/>
      <c r="D504" s="599"/>
      <c r="E504" s="599"/>
      <c r="F504" s="599"/>
      <c r="G504" s="599"/>
      <c r="H504" s="599"/>
      <c r="I504" s="599"/>
      <c r="J504" s="599"/>
      <c r="K504" s="599"/>
      <c r="L504" s="599"/>
      <c r="M504" s="599"/>
      <c r="N504" s="551"/>
      <c r="O504" s="599"/>
      <c r="P504" s="599"/>
      <c r="Q504" s="599"/>
      <c r="R504" s="599"/>
      <c r="S504" s="599"/>
      <c r="T504" s="599"/>
      <c r="U504" s="599"/>
      <c r="V504" s="599"/>
      <c r="W504" s="599"/>
      <c r="X504" s="599"/>
      <c r="Y504" s="599"/>
      <c r="Z504" s="599"/>
      <c r="AB504" s="52"/>
      <c r="AC504" s="52"/>
      <c r="AF504" s="551"/>
    </row>
    <row r="505" spans="1:32" ht="18" customHeight="1" thickTop="1" thickBot="1" x14ac:dyDescent="0.25">
      <c r="A505" s="40" t="s">
        <v>764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720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505" s="46">
        <f>IFERROR(Y85*1,"0")+IFERROR(Y86*1,"0")+IFERROR(Y87*1,"0")+IFERROR(Y88*1,"0")+IFERROR(Y92*1,"0")+IFERROR(Y93*1,"0")+IFERROR(Y94*1,"0")+IFERROR(Y95*1,"0")</f>
        <v>27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472.5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262.2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350.7</v>
      </c>
      <c r="R505" s="46">
        <f>IFERROR(Y342*1,"0")+IFERROR(Y343*1,"0")+IFERROR(Y344*1,"0")</f>
        <v>140.70000000000002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280</v>
      </c>
      <c r="Z505" s="46">
        <f>IFERROR(Y492*1,"0")</f>
        <v>0</v>
      </c>
      <c r="AB505" s="52"/>
      <c r="AC505" s="52"/>
      <c r="AF505" s="55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P85:T85"/>
    <mergeCell ref="A202:O203"/>
    <mergeCell ref="D239:E239"/>
    <mergeCell ref="D266:E266"/>
    <mergeCell ref="P174:T174"/>
    <mergeCell ref="P149:T149"/>
    <mergeCell ref="D95:E9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P197:V197"/>
    <mergeCell ref="A249:Z249"/>
    <mergeCell ref="P495:V495"/>
    <mergeCell ref="A347:Z347"/>
    <mergeCell ref="A314:Z314"/>
    <mergeCell ref="P289:V289"/>
    <mergeCell ref="A114:Z114"/>
    <mergeCell ref="P439:T439"/>
    <mergeCell ref="P433:T433"/>
    <mergeCell ref="A107:Z107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23:E23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D102:E102"/>
    <mergeCell ref="P81:V81"/>
    <mergeCell ref="A204:Z204"/>
    <mergeCell ref="D196:E196"/>
    <mergeCell ref="A424:O425"/>
    <mergeCell ref="P419:V419"/>
    <mergeCell ref="P145:V145"/>
    <mergeCell ref="D133:E133"/>
    <mergeCell ref="A262:Z262"/>
    <mergeCell ref="D54:E54"/>
    <mergeCell ref="P283:V283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P494:V494"/>
    <mergeCell ref="P430:T430"/>
    <mergeCell ref="A297:Z297"/>
    <mergeCell ref="P417:T417"/>
    <mergeCell ref="P102:T102"/>
    <mergeCell ref="P456:V456"/>
    <mergeCell ref="P196:T196"/>
    <mergeCell ref="D177:E177"/>
    <mergeCell ref="P354:T354"/>
    <mergeCell ref="A404:Z404"/>
    <mergeCell ref="D152:E152"/>
    <mergeCell ref="D394:E394"/>
    <mergeCell ref="D450:E450"/>
    <mergeCell ref="D223:E223"/>
    <mergeCell ref="A495:O500"/>
    <mergeCell ref="P178:T178"/>
    <mergeCell ref="D257:E257"/>
    <mergeCell ref="D86:E86"/>
    <mergeCell ref="A64:O65"/>
    <mergeCell ref="P192:V192"/>
    <mergeCell ref="D151:E151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P483:V483"/>
    <mergeCell ref="D298:E298"/>
    <mergeCell ref="D273:E273"/>
    <mergeCell ref="P252:V252"/>
    <mergeCell ref="P105:V105"/>
    <mergeCell ref="A464:Z464"/>
    <mergeCell ref="A160:Z160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111:T111"/>
    <mergeCell ref="A227:Z227"/>
    <mergeCell ref="D200:E200"/>
    <mergeCell ref="D436:E436"/>
    <mergeCell ref="A340:Z340"/>
    <mergeCell ref="A276:O277"/>
    <mergeCell ref="D267:E267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D29:E29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P58:V58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15:T16"/>
    <mergeCell ref="A325:O326"/>
    <mergeCell ref="D116:E116"/>
    <mergeCell ref="D352:E352"/>
    <mergeCell ref="P219:T219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328:E328"/>
    <mergeCell ref="D157:E157"/>
    <mergeCell ref="P65:V65"/>
    <mergeCell ref="A126:Z126"/>
    <mergeCell ref="A253:Z253"/>
    <mergeCell ref="D137:E137"/>
    <mergeCell ref="P124:V124"/>
    <mergeCell ref="D74:E74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26:Z26"/>
    <mergeCell ref="P401:T401"/>
    <mergeCell ref="A469:O470"/>
    <mergeCell ref="D211:E211"/>
    <mergeCell ref="P168:T168"/>
    <mergeCell ref="P130:V130"/>
    <mergeCell ref="P466:T466"/>
    <mergeCell ref="A71:Z71"/>
    <mergeCell ref="P488:V488"/>
    <mergeCell ref="A456:O457"/>
    <mergeCell ref="P59:V59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D453:E453"/>
    <mergeCell ref="D466:E466"/>
    <mergeCell ref="A483:O484"/>
    <mergeCell ref="P181:V181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D486:E486"/>
    <mergeCell ref="P86:T86"/>
    <mergeCell ref="P328:T328"/>
    <mergeCell ref="P157:T157"/>
    <mergeCell ref="P455:T455"/>
    <mergeCell ref="D376:E376"/>
    <mergeCell ref="D205:E205"/>
    <mergeCell ref="P172:T172"/>
    <mergeCell ref="A158:O159"/>
    <mergeCell ref="P150:T150"/>
    <mergeCell ref="P221:T221"/>
    <mergeCell ref="P452:T452"/>
    <mergeCell ref="P448:V448"/>
    <mergeCell ref="D482:E482"/>
    <mergeCell ref="P209:T209"/>
    <mergeCell ref="P445:T445"/>
    <mergeCell ref="P96:V96"/>
    <mergeCell ref="P90:V90"/>
    <mergeCell ref="P332:V332"/>
    <mergeCell ref="P388:V388"/>
    <mergeCell ref="A384:Z384"/>
    <mergeCell ref="A449:Z449"/>
    <mergeCell ref="P234:T234"/>
    <mergeCell ref="P325:V325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9:T79"/>
    <mergeCell ref="D473:E473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88:T88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9 X219 X221 X343:X344 X418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52"/>
    </row>
    <row r="3" spans="2:8" x14ac:dyDescent="0.2">
      <c r="B3" s="47" t="s">
        <v>766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767</v>
      </c>
      <c r="D6" s="47" t="s">
        <v>768</v>
      </c>
      <c r="E6" s="47"/>
    </row>
    <row r="8" spans="2:8" x14ac:dyDescent="0.2">
      <c r="B8" s="47" t="s">
        <v>19</v>
      </c>
      <c r="C8" s="47" t="s">
        <v>767</v>
      </c>
      <c r="D8" s="47"/>
      <c r="E8" s="47"/>
    </row>
    <row r="10" spans="2:8" x14ac:dyDescent="0.2">
      <c r="B10" s="47" t="s">
        <v>769</v>
      </c>
      <c r="C10" s="47"/>
      <c r="D10" s="47"/>
      <c r="E10" s="47"/>
    </row>
    <row r="11" spans="2:8" x14ac:dyDescent="0.2">
      <c r="B11" s="47" t="s">
        <v>770</v>
      </c>
      <c r="C11" s="47"/>
      <c r="D11" s="47"/>
      <c r="E11" s="47"/>
    </row>
    <row r="12" spans="2:8" x14ac:dyDescent="0.2">
      <c r="B12" s="47" t="s">
        <v>771</v>
      </c>
      <c r="C12" s="47"/>
      <c r="D12" s="47"/>
      <c r="E12" s="47"/>
    </row>
    <row r="13" spans="2:8" x14ac:dyDescent="0.2">
      <c r="B13" s="47" t="s">
        <v>772</v>
      </c>
      <c r="C13" s="47"/>
      <c r="D13" s="47"/>
      <c r="E13" s="47"/>
    </row>
    <row r="14" spans="2:8" x14ac:dyDescent="0.2">
      <c r="B14" s="47" t="s">
        <v>773</v>
      </c>
      <c r="C14" s="47"/>
      <c r="D14" s="47"/>
      <c r="E14" s="47"/>
    </row>
    <row r="15" spans="2:8" x14ac:dyDescent="0.2">
      <c r="B15" s="47" t="s">
        <v>774</v>
      </c>
      <c r="C15" s="47"/>
      <c r="D15" s="47"/>
      <c r="E15" s="47"/>
    </row>
    <row r="16" spans="2:8" x14ac:dyDescent="0.2">
      <c r="B16" s="47" t="s">
        <v>775</v>
      </c>
      <c r="C16" s="47"/>
      <c r="D16" s="47"/>
      <c r="E16" s="47"/>
    </row>
    <row r="17" spans="2:5" x14ac:dyDescent="0.2">
      <c r="B17" s="47" t="s">
        <v>776</v>
      </c>
      <c r="C17" s="47"/>
      <c r="D17" s="47"/>
      <c r="E17" s="47"/>
    </row>
    <row r="18" spans="2:5" x14ac:dyDescent="0.2">
      <c r="B18" s="47" t="s">
        <v>777</v>
      </c>
      <c r="C18" s="47"/>
      <c r="D18" s="47"/>
      <c r="E18" s="47"/>
    </row>
    <row r="19" spans="2:5" x14ac:dyDescent="0.2">
      <c r="B19" s="47" t="s">
        <v>778</v>
      </c>
      <c r="C19" s="47"/>
      <c r="D19" s="47"/>
      <c r="E19" s="47"/>
    </row>
    <row r="20" spans="2:5" x14ac:dyDescent="0.2">
      <c r="B20" s="47" t="s">
        <v>779</v>
      </c>
      <c r="C20" s="47"/>
      <c r="D20" s="47"/>
      <c r="E20" s="47"/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2025-12-30T09:53:49Z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