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Simf\"/>
    </mc:Choice>
  </mc:AlternateContent>
  <xr:revisionPtr revIDLastSave="0" documentId="13_ncr:1_{5DD982EE-BD4C-478C-840B-21DD4D1A209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заказа'!$X$491:$X$491</definedName>
    <definedName name="GrossWeightTotalR">'Бланк заказа'!$Y$491:$Y$491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заказа'!$X$492:$X$492</definedName>
    <definedName name="PalletQtyTotalR">'Бланк заказа'!$Y$492:$Y$492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заказа'!$B$47:$B$47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заказа'!$B$57:$B$57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заказа'!$B$23:$B$23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заказа'!$B$436:$B$436</definedName>
    <definedName name="ProductId21">'Бланк заказа'!$B$63:$B$63</definedName>
    <definedName name="ProductId210">'Бланк заказа'!$B$437:$B$437</definedName>
    <definedName name="ProductId211">'Бланк заказа'!$B$438:$B$438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заказа'!$B$466:$B$466</definedName>
    <definedName name="ProductId226">'Бланк заказа'!$B$467:$B$467</definedName>
    <definedName name="ProductId227">'Бланк заказа'!$B$468:$B$468</definedName>
    <definedName name="ProductId228">'Бланк заказа'!$B$472:$B$472</definedName>
    <definedName name="ProductId229">'Бланк заказа'!$B$473:$B$473</definedName>
    <definedName name="ProductId23">'Бланк заказа'!$B$68:$B$68</definedName>
    <definedName name="ProductId230">'Бланк заказа'!$B$477:$B$477</definedName>
    <definedName name="ProductId231">'Бланк заказа'!$B$481:$B$481</definedName>
    <definedName name="ProductId232">'Бланк заказа'!$B$482:$B$482</definedName>
    <definedName name="ProductId233">'Бланк заказа'!$B$487:$B$487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заказа'!$B$35:$B$35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заказа'!$X$47:$X$47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заказа'!$X$57:$X$57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заказа'!$X$23:$X$23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заказа'!$X$436:$X$436</definedName>
    <definedName name="SalesQty21">'Бланк заказа'!$X$63:$X$63</definedName>
    <definedName name="SalesQty210">'Бланк заказа'!$X$437:$X$437</definedName>
    <definedName name="SalesQty211">'Бланк заказа'!$X$438:$X$438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заказа'!$X$466:$X$466</definedName>
    <definedName name="SalesQty226">'Бланк заказа'!$X$467:$X$467</definedName>
    <definedName name="SalesQty227">'Бланк заказа'!$X$468:$X$468</definedName>
    <definedName name="SalesQty228">'Бланк заказа'!$X$472:$X$472</definedName>
    <definedName name="SalesQty229">'Бланк заказа'!$X$473:$X$473</definedName>
    <definedName name="SalesQty23">'Бланк заказа'!$X$68:$X$68</definedName>
    <definedName name="SalesQty230">'Бланк заказа'!$X$477:$X$477</definedName>
    <definedName name="SalesQty231">'Бланк заказа'!$X$481:$X$481</definedName>
    <definedName name="SalesQty232">'Бланк заказа'!$X$482:$X$482</definedName>
    <definedName name="SalesQty233">'Бланк заказа'!$X$487:$X$487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заказа'!$X$35:$X$35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заказа'!$Y$47:$Y$47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заказа'!$Y$57:$Y$57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заказа'!$Y$23:$Y$23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заказа'!$Y$436:$Y$436</definedName>
    <definedName name="SalesRoundBox21">'Бланк заказа'!$Y$63:$Y$63</definedName>
    <definedName name="SalesRoundBox210">'Бланк заказа'!$Y$437:$Y$437</definedName>
    <definedName name="SalesRoundBox211">'Бланк заказа'!$Y$438:$Y$438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заказа'!$Y$466:$Y$466</definedName>
    <definedName name="SalesRoundBox226">'Бланк заказа'!$Y$467:$Y$467</definedName>
    <definedName name="SalesRoundBox227">'Бланк заказа'!$Y$468:$Y$468</definedName>
    <definedName name="SalesRoundBox228">'Бланк заказа'!$Y$472:$Y$472</definedName>
    <definedName name="SalesRoundBox229">'Бланк заказа'!$Y$473:$Y$473</definedName>
    <definedName name="SalesRoundBox23">'Бланк заказа'!$Y$68:$Y$68</definedName>
    <definedName name="SalesRoundBox230">'Бланк заказа'!$Y$477:$Y$477</definedName>
    <definedName name="SalesRoundBox231">'Бланк заказа'!$Y$481:$Y$481</definedName>
    <definedName name="SalesRoundBox232">'Бланк заказа'!$Y$482:$Y$482</definedName>
    <definedName name="SalesRoundBox233">'Бланк заказа'!$Y$487:$Y$487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заказа'!$Y$35:$Y$35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заказа'!$W$47:$W$47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заказа'!$W$57:$W$57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заказа'!$W$23:$W$23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заказа'!$W$436:$W$436</definedName>
    <definedName name="UnitOfMeasure21">'Бланк заказа'!$W$63:$W$63</definedName>
    <definedName name="UnitOfMeasure210">'Бланк заказа'!$W$437:$W$437</definedName>
    <definedName name="UnitOfMeasure211">'Бланк заказа'!$W$438:$W$438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заказа'!$W$466:$W$466</definedName>
    <definedName name="UnitOfMeasure226">'Бланк заказа'!$W$467:$W$467</definedName>
    <definedName name="UnitOfMeasure227">'Бланк заказа'!$W$468:$W$468</definedName>
    <definedName name="UnitOfMeasure228">'Бланк заказа'!$W$472:$W$472</definedName>
    <definedName name="UnitOfMeasure229">'Бланк заказа'!$W$473:$W$473</definedName>
    <definedName name="UnitOfMeasure23">'Бланк заказа'!$W$68:$W$68</definedName>
    <definedName name="UnitOfMeasure230">'Бланк заказа'!$W$477:$W$477</definedName>
    <definedName name="UnitOfMeasure231">'Бланк заказа'!$W$481:$W$481</definedName>
    <definedName name="UnitOfMeasure232">'Бланк заказа'!$W$482:$W$482</definedName>
    <definedName name="UnitOfMeasure233">'Бланк заказа'!$W$487:$W$487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заказа'!$W$35:$W$35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9" i="1" l="1"/>
  <c r="X488" i="1"/>
  <c r="BO487" i="1"/>
  <c r="BM487" i="1"/>
  <c r="Y487" i="1"/>
  <c r="P487" i="1"/>
  <c r="X484" i="1"/>
  <c r="X483" i="1"/>
  <c r="BO482" i="1"/>
  <c r="BM482" i="1"/>
  <c r="Y482" i="1"/>
  <c r="P482" i="1"/>
  <c r="BP481" i="1"/>
  <c r="BO481" i="1"/>
  <c r="BN481" i="1"/>
  <c r="BM481" i="1"/>
  <c r="Z481" i="1"/>
  <c r="Y481" i="1"/>
  <c r="Y483" i="1" s="1"/>
  <c r="P481" i="1"/>
  <c r="X479" i="1"/>
  <c r="Y478" i="1"/>
  <c r="X478" i="1"/>
  <c r="BP477" i="1"/>
  <c r="BO477" i="1"/>
  <c r="BN477" i="1"/>
  <c r="BM477" i="1"/>
  <c r="Z477" i="1"/>
  <c r="Z478" i="1" s="1"/>
  <c r="Y477" i="1"/>
  <c r="Y479" i="1" s="1"/>
  <c r="P477" i="1"/>
  <c r="X475" i="1"/>
  <c r="X474" i="1"/>
  <c r="BP473" i="1"/>
  <c r="BO473" i="1"/>
  <c r="BN473" i="1"/>
  <c r="BM473" i="1"/>
  <c r="Z473" i="1"/>
  <c r="Y473" i="1"/>
  <c r="P473" i="1"/>
  <c r="BO472" i="1"/>
  <c r="BM472" i="1"/>
  <c r="Y472" i="1"/>
  <c r="P472" i="1"/>
  <c r="X470" i="1"/>
  <c r="X469" i="1"/>
  <c r="BO468" i="1"/>
  <c r="BM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P459" i="1"/>
  <c r="BO459" i="1"/>
  <c r="BN459" i="1"/>
  <c r="BM459" i="1"/>
  <c r="Z459" i="1"/>
  <c r="Y459" i="1"/>
  <c r="P459" i="1"/>
  <c r="X455" i="1"/>
  <c r="Y454" i="1"/>
  <c r="X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Y455" i="1" s="1"/>
  <c r="P451" i="1"/>
  <c r="X449" i="1"/>
  <c r="X448" i="1"/>
  <c r="BP447" i="1"/>
  <c r="BO447" i="1"/>
  <c r="BN447" i="1"/>
  <c r="BM447" i="1"/>
  <c r="Z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X434" i="1"/>
  <c r="X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BP422" i="1"/>
  <c r="BO422" i="1"/>
  <c r="BN422" i="1"/>
  <c r="BM422" i="1"/>
  <c r="Z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P407" i="1"/>
  <c r="BO407" i="1"/>
  <c r="BN407" i="1"/>
  <c r="BM407" i="1"/>
  <c r="Z407" i="1"/>
  <c r="Y407" i="1"/>
  <c r="P407" i="1"/>
  <c r="X405" i="1"/>
  <c r="Y404" i="1"/>
  <c r="X404" i="1"/>
  <c r="BP403" i="1"/>
  <c r="BO403" i="1"/>
  <c r="BN403" i="1"/>
  <c r="BM403" i="1"/>
  <c r="Z403" i="1"/>
  <c r="Z404" i="1" s="1"/>
  <c r="Y403" i="1"/>
  <c r="P403" i="1"/>
  <c r="X400" i="1"/>
  <c r="Y399" i="1"/>
  <c r="X399" i="1"/>
  <c r="BP398" i="1"/>
  <c r="BO398" i="1"/>
  <c r="BN398" i="1"/>
  <c r="BM398" i="1"/>
  <c r="Z398" i="1"/>
  <c r="Y398" i="1"/>
  <c r="P398" i="1"/>
  <c r="BO397" i="1"/>
  <c r="BM397" i="1"/>
  <c r="Y397" i="1"/>
  <c r="P397" i="1"/>
  <c r="X395" i="1"/>
  <c r="X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1" i="1"/>
  <c r="X380" i="1"/>
  <c r="BO379" i="1"/>
  <c r="BM379" i="1"/>
  <c r="Y379" i="1"/>
  <c r="P379" i="1"/>
  <c r="BP378" i="1"/>
  <c r="BO378" i="1"/>
  <c r="BN378" i="1"/>
  <c r="BM378" i="1"/>
  <c r="Z378" i="1"/>
  <c r="Y378" i="1"/>
  <c r="P378" i="1"/>
  <c r="BO377" i="1"/>
  <c r="BM377" i="1"/>
  <c r="Y377" i="1"/>
  <c r="P377" i="1"/>
  <c r="X375" i="1"/>
  <c r="X374" i="1"/>
  <c r="BO373" i="1"/>
  <c r="BM373" i="1"/>
  <c r="Y373" i="1"/>
  <c r="P373" i="1"/>
  <c r="BP372" i="1"/>
  <c r="BO372" i="1"/>
  <c r="BN372" i="1"/>
  <c r="BM372" i="1"/>
  <c r="Z372" i="1"/>
  <c r="Y372" i="1"/>
  <c r="P372" i="1"/>
  <c r="X370" i="1"/>
  <c r="Y369" i="1"/>
  <c r="X369" i="1"/>
  <c r="BP368" i="1"/>
  <c r="BO368" i="1"/>
  <c r="BN368" i="1"/>
  <c r="BM368" i="1"/>
  <c r="Z368" i="1"/>
  <c r="Y368" i="1"/>
  <c r="P368" i="1"/>
  <c r="BO367" i="1"/>
  <c r="BM367" i="1"/>
  <c r="Y367" i="1"/>
  <c r="P367" i="1"/>
  <c r="X364" i="1"/>
  <c r="X363" i="1"/>
  <c r="BO362" i="1"/>
  <c r="BM362" i="1"/>
  <c r="Y362" i="1"/>
  <c r="P362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X355" i="1"/>
  <c r="X354" i="1"/>
  <c r="BP353" i="1"/>
  <c r="BO353" i="1"/>
  <c r="BN353" i="1"/>
  <c r="BM353" i="1"/>
  <c r="Z353" i="1"/>
  <c r="Y353" i="1"/>
  <c r="P353" i="1"/>
  <c r="BO352" i="1"/>
  <c r="BM352" i="1"/>
  <c r="Y352" i="1"/>
  <c r="P352" i="1"/>
  <c r="X350" i="1"/>
  <c r="X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1" i="1"/>
  <c r="X330" i="1"/>
  <c r="BO329" i="1"/>
  <c r="BM329" i="1"/>
  <c r="Y329" i="1"/>
  <c r="Y331" i="1" s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P322" i="1"/>
  <c r="BO322" i="1"/>
  <c r="BN322" i="1"/>
  <c r="BM322" i="1"/>
  <c r="Z322" i="1"/>
  <c r="Y322" i="1"/>
  <c r="P322" i="1"/>
  <c r="BO321" i="1"/>
  <c r="BM321" i="1"/>
  <c r="Y321" i="1"/>
  <c r="P321" i="1"/>
  <c r="BP320" i="1"/>
  <c r="BO320" i="1"/>
  <c r="BN320" i="1"/>
  <c r="BM320" i="1"/>
  <c r="Z320" i="1"/>
  <c r="Y320" i="1"/>
  <c r="P320" i="1"/>
  <c r="X318" i="1"/>
  <c r="Y317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Y318" i="1" s="1"/>
  <c r="P314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Y304" i="1" s="1"/>
  <c r="P298" i="1"/>
  <c r="X296" i="1"/>
  <c r="X295" i="1"/>
  <c r="BP294" i="1"/>
  <c r="BO294" i="1"/>
  <c r="BN294" i="1"/>
  <c r="BM294" i="1"/>
  <c r="Z294" i="1"/>
  <c r="Y294" i="1"/>
  <c r="P294" i="1"/>
  <c r="BO293" i="1"/>
  <c r="BM293" i="1"/>
  <c r="Y293" i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Q500" i="1" s="1"/>
  <c r="P290" i="1"/>
  <c r="X287" i="1"/>
  <c r="X286" i="1"/>
  <c r="BP285" i="1"/>
  <c r="BO285" i="1"/>
  <c r="BN285" i="1"/>
  <c r="BM285" i="1"/>
  <c r="Z285" i="1"/>
  <c r="Y285" i="1"/>
  <c r="P285" i="1"/>
  <c r="BO284" i="1"/>
  <c r="BM284" i="1"/>
  <c r="Y284" i="1"/>
  <c r="P284" i="1"/>
  <c r="X282" i="1"/>
  <c r="X281" i="1"/>
  <c r="BO280" i="1"/>
  <c r="BM280" i="1"/>
  <c r="Y280" i="1"/>
  <c r="P280" i="1"/>
  <c r="BP279" i="1"/>
  <c r="BO279" i="1"/>
  <c r="BN279" i="1"/>
  <c r="BM279" i="1"/>
  <c r="Z279" i="1"/>
  <c r="Y279" i="1"/>
  <c r="P279" i="1"/>
  <c r="X276" i="1"/>
  <c r="Y275" i="1"/>
  <c r="X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X261" i="1"/>
  <c r="X260" i="1"/>
  <c r="BO259" i="1"/>
  <c r="BM259" i="1"/>
  <c r="Y259" i="1"/>
  <c r="P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X252" i="1"/>
  <c r="X251" i="1"/>
  <c r="BO250" i="1"/>
  <c r="BM250" i="1"/>
  <c r="Y250" i="1"/>
  <c r="P250" i="1"/>
  <c r="BP249" i="1"/>
  <c r="BO249" i="1"/>
  <c r="BN249" i="1"/>
  <c r="BM249" i="1"/>
  <c r="Z249" i="1"/>
  <c r="Y249" i="1"/>
  <c r="P249" i="1"/>
  <c r="BO248" i="1"/>
  <c r="BM248" i="1"/>
  <c r="Y248" i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X244" i="1"/>
  <c r="X243" i="1"/>
  <c r="BO242" i="1"/>
  <c r="BM242" i="1"/>
  <c r="Y242" i="1"/>
  <c r="P242" i="1"/>
  <c r="X240" i="1"/>
  <c r="X239" i="1"/>
  <c r="BO238" i="1"/>
  <c r="BM238" i="1"/>
  <c r="Y238" i="1"/>
  <c r="P238" i="1"/>
  <c r="X236" i="1"/>
  <c r="X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X222" i="1"/>
  <c r="X221" i="1"/>
  <c r="BP220" i="1"/>
  <c r="BO220" i="1"/>
  <c r="BN220" i="1"/>
  <c r="BM220" i="1"/>
  <c r="Z220" i="1"/>
  <c r="Y220" i="1"/>
  <c r="P220" i="1"/>
  <c r="BO219" i="1"/>
  <c r="BM219" i="1"/>
  <c r="Y219" i="1"/>
  <c r="P219" i="1"/>
  <c r="X217" i="1"/>
  <c r="X216" i="1"/>
  <c r="BO215" i="1"/>
  <c r="BM215" i="1"/>
  <c r="Y215" i="1"/>
  <c r="P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X205" i="1"/>
  <c r="X204" i="1"/>
  <c r="BO203" i="1"/>
  <c r="BM203" i="1"/>
  <c r="Y203" i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P198" i="1"/>
  <c r="BO198" i="1"/>
  <c r="BN198" i="1"/>
  <c r="BM198" i="1"/>
  <c r="Z198" i="1"/>
  <c r="Y198" i="1"/>
  <c r="P198" i="1"/>
  <c r="BO197" i="1"/>
  <c r="BM197" i="1"/>
  <c r="Y197" i="1"/>
  <c r="P197" i="1"/>
  <c r="BP196" i="1"/>
  <c r="BO196" i="1"/>
  <c r="BN196" i="1"/>
  <c r="BM196" i="1"/>
  <c r="Z196" i="1"/>
  <c r="Y196" i="1"/>
  <c r="P196" i="1"/>
  <c r="X194" i="1"/>
  <c r="Y193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X189" i="1"/>
  <c r="X188" i="1"/>
  <c r="BO187" i="1"/>
  <c r="BM187" i="1"/>
  <c r="Y187" i="1"/>
  <c r="P187" i="1"/>
  <c r="BP186" i="1"/>
  <c r="BO186" i="1"/>
  <c r="BN186" i="1"/>
  <c r="BM186" i="1"/>
  <c r="Z186" i="1"/>
  <c r="Y186" i="1"/>
  <c r="P186" i="1"/>
  <c r="X183" i="1"/>
  <c r="Y182" i="1"/>
  <c r="X182" i="1"/>
  <c r="BP181" i="1"/>
  <c r="BO181" i="1"/>
  <c r="BN181" i="1"/>
  <c r="BM181" i="1"/>
  <c r="Z181" i="1"/>
  <c r="Z182" i="1" s="1"/>
  <c r="Y181" i="1"/>
  <c r="Y183" i="1" s="1"/>
  <c r="P181" i="1"/>
  <c r="X179" i="1"/>
  <c r="X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X173" i="1"/>
  <c r="X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P165" i="1"/>
  <c r="BO165" i="1"/>
  <c r="BN165" i="1"/>
  <c r="BM165" i="1"/>
  <c r="Z165" i="1"/>
  <c r="Y165" i="1"/>
  <c r="P165" i="1"/>
  <c r="BO164" i="1"/>
  <c r="BM164" i="1"/>
  <c r="Y164" i="1"/>
  <c r="P164" i="1"/>
  <c r="BP163" i="1"/>
  <c r="BO163" i="1"/>
  <c r="BN163" i="1"/>
  <c r="BM163" i="1"/>
  <c r="Z163" i="1"/>
  <c r="Y163" i="1"/>
  <c r="P163" i="1"/>
  <c r="BO162" i="1"/>
  <c r="BM162" i="1"/>
  <c r="Y162" i="1"/>
  <c r="P162" i="1"/>
  <c r="X160" i="1"/>
  <c r="X159" i="1"/>
  <c r="BO158" i="1"/>
  <c r="BM158" i="1"/>
  <c r="Y158" i="1"/>
  <c r="P158" i="1"/>
  <c r="X154" i="1"/>
  <c r="X153" i="1"/>
  <c r="BO152" i="1"/>
  <c r="BM152" i="1"/>
  <c r="Y152" i="1"/>
  <c r="P152" i="1"/>
  <c r="X150" i="1"/>
  <c r="X149" i="1"/>
  <c r="BO148" i="1"/>
  <c r="BM148" i="1"/>
  <c r="Y148" i="1"/>
  <c r="P148" i="1"/>
  <c r="BP147" i="1"/>
  <c r="BO147" i="1"/>
  <c r="BN147" i="1"/>
  <c r="BM147" i="1"/>
  <c r="Z147" i="1"/>
  <c r="Y147" i="1"/>
  <c r="P147" i="1"/>
  <c r="BO146" i="1"/>
  <c r="BM146" i="1"/>
  <c r="Y146" i="1"/>
  <c r="P146" i="1"/>
  <c r="X144" i="1"/>
  <c r="X143" i="1"/>
  <c r="BO142" i="1"/>
  <c r="BM142" i="1"/>
  <c r="Y142" i="1"/>
  <c r="Y144" i="1" s="1"/>
  <c r="P142" i="1"/>
  <c r="BP141" i="1"/>
  <c r="BO141" i="1"/>
  <c r="BN141" i="1"/>
  <c r="BM141" i="1"/>
  <c r="Z141" i="1"/>
  <c r="Y141" i="1"/>
  <c r="P141" i="1"/>
  <c r="X138" i="1"/>
  <c r="Y137" i="1"/>
  <c r="X137" i="1"/>
  <c r="BP136" i="1"/>
  <c r="BO136" i="1"/>
  <c r="BN136" i="1"/>
  <c r="BM136" i="1"/>
  <c r="Z136" i="1"/>
  <c r="Y136" i="1"/>
  <c r="P136" i="1"/>
  <c r="BO135" i="1"/>
  <c r="BM135" i="1"/>
  <c r="Y135" i="1"/>
  <c r="P135" i="1"/>
  <c r="X133" i="1"/>
  <c r="X132" i="1"/>
  <c r="BO131" i="1"/>
  <c r="BM131" i="1"/>
  <c r="Y131" i="1"/>
  <c r="P131" i="1"/>
  <c r="BP130" i="1"/>
  <c r="BO130" i="1"/>
  <c r="BN130" i="1"/>
  <c r="BM130" i="1"/>
  <c r="Z130" i="1"/>
  <c r="Y130" i="1"/>
  <c r="Y132" i="1" s="1"/>
  <c r="P130" i="1"/>
  <c r="X128" i="1"/>
  <c r="X127" i="1"/>
  <c r="BP126" i="1"/>
  <c r="BO126" i="1"/>
  <c r="BN126" i="1"/>
  <c r="BM126" i="1"/>
  <c r="Z126" i="1"/>
  <c r="Y126" i="1"/>
  <c r="P126" i="1"/>
  <c r="BO125" i="1"/>
  <c r="BM125" i="1"/>
  <c r="Y125" i="1"/>
  <c r="P125" i="1"/>
  <c r="X122" i="1"/>
  <c r="X121" i="1"/>
  <c r="BO120" i="1"/>
  <c r="BM120" i="1"/>
  <c r="Y120" i="1"/>
  <c r="P120" i="1"/>
  <c r="X118" i="1"/>
  <c r="X117" i="1"/>
  <c r="BO116" i="1"/>
  <c r="BM116" i="1"/>
  <c r="Y116" i="1"/>
  <c r="P116" i="1"/>
  <c r="BP115" i="1"/>
  <c r="BO115" i="1"/>
  <c r="BN115" i="1"/>
  <c r="BM115" i="1"/>
  <c r="Z115" i="1"/>
  <c r="Y115" i="1"/>
  <c r="P115" i="1"/>
  <c r="BO114" i="1"/>
  <c r="BM114" i="1"/>
  <c r="Y114" i="1"/>
  <c r="P114" i="1"/>
  <c r="BP113" i="1"/>
  <c r="BO113" i="1"/>
  <c r="BN113" i="1"/>
  <c r="BM113" i="1"/>
  <c r="Z113" i="1"/>
  <c r="Y113" i="1"/>
  <c r="Y117" i="1" s="1"/>
  <c r="P113" i="1"/>
  <c r="X111" i="1"/>
  <c r="X110" i="1"/>
  <c r="BP109" i="1"/>
  <c r="BO109" i="1"/>
  <c r="BN109" i="1"/>
  <c r="BM109" i="1"/>
  <c r="Z109" i="1"/>
  <c r="Y109" i="1"/>
  <c r="P109" i="1"/>
  <c r="BO108" i="1"/>
  <c r="BM108" i="1"/>
  <c r="Y108" i="1"/>
  <c r="P108" i="1"/>
  <c r="BP107" i="1"/>
  <c r="BO107" i="1"/>
  <c r="BN107" i="1"/>
  <c r="BM107" i="1"/>
  <c r="Z107" i="1"/>
  <c r="Y107" i="1"/>
  <c r="P107" i="1"/>
  <c r="X105" i="1"/>
  <c r="X104" i="1"/>
  <c r="BP103" i="1"/>
  <c r="BO103" i="1"/>
  <c r="BN103" i="1"/>
  <c r="BM103" i="1"/>
  <c r="Z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X97" i="1"/>
  <c r="X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Y96" i="1" s="1"/>
  <c r="P92" i="1"/>
  <c r="X90" i="1"/>
  <c r="X89" i="1"/>
  <c r="BP88" i="1"/>
  <c r="BO88" i="1"/>
  <c r="BN88" i="1"/>
  <c r="BM88" i="1"/>
  <c r="Z88" i="1"/>
  <c r="Y88" i="1"/>
  <c r="P88" i="1"/>
  <c r="BO87" i="1"/>
  <c r="BM87" i="1"/>
  <c r="Z87" i="1"/>
  <c r="Y87" i="1"/>
  <c r="P87" i="1"/>
  <c r="BO86" i="1"/>
  <c r="BM86" i="1"/>
  <c r="Y86" i="1"/>
  <c r="P86" i="1"/>
  <c r="X83" i="1"/>
  <c r="X82" i="1"/>
  <c r="BO81" i="1"/>
  <c r="BM81" i="1"/>
  <c r="Y81" i="1"/>
  <c r="BP81" i="1" s="1"/>
  <c r="P81" i="1"/>
  <c r="BP80" i="1"/>
  <c r="BO80" i="1"/>
  <c r="BN80" i="1"/>
  <c r="BM80" i="1"/>
  <c r="Z80" i="1"/>
  <c r="Y80" i="1"/>
  <c r="Y82" i="1" s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Y78" i="1" s="1"/>
  <c r="P73" i="1"/>
  <c r="X71" i="1"/>
  <c r="X70" i="1"/>
  <c r="BO69" i="1"/>
  <c r="BM69" i="1"/>
  <c r="Y69" i="1"/>
  <c r="BP69" i="1" s="1"/>
  <c r="P69" i="1"/>
  <c r="BP68" i="1"/>
  <c r="BO68" i="1"/>
  <c r="BN68" i="1"/>
  <c r="BM68" i="1"/>
  <c r="Z68" i="1"/>
  <c r="Y68" i="1"/>
  <c r="P68" i="1"/>
  <c r="BO67" i="1"/>
  <c r="BM67" i="1"/>
  <c r="Y67" i="1"/>
  <c r="Y70" i="1" s="1"/>
  <c r="P67" i="1"/>
  <c r="X65" i="1"/>
  <c r="X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Y64" i="1" s="1"/>
  <c r="P61" i="1"/>
  <c r="X59" i="1"/>
  <c r="X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Y58" i="1" s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490" i="1" s="1"/>
  <c r="X24" i="1"/>
  <c r="BP23" i="1"/>
  <c r="BO23" i="1"/>
  <c r="BN23" i="1"/>
  <c r="BM23" i="1"/>
  <c r="Z23" i="1"/>
  <c r="Y23" i="1"/>
  <c r="P23" i="1"/>
  <c r="BO22" i="1"/>
  <c r="X492" i="1" s="1"/>
  <c r="BM22" i="1"/>
  <c r="X491" i="1" s="1"/>
  <c r="X493" i="1" s="1"/>
  <c r="Y22" i="1"/>
  <c r="B500" i="1" s="1"/>
  <c r="H10" i="1"/>
  <c r="F10" i="1"/>
  <c r="J9" i="1"/>
  <c r="F9" i="1"/>
  <c r="A9" i="1"/>
  <c r="A10" i="1" s="1"/>
  <c r="D7" i="1"/>
  <c r="Q6" i="1"/>
  <c r="P2" i="1"/>
  <c r="Y24" i="1" l="1"/>
  <c r="Y77" i="1"/>
  <c r="E500" i="1"/>
  <c r="Y90" i="1"/>
  <c r="BP95" i="1"/>
  <c r="BN95" i="1"/>
  <c r="Z95" i="1"/>
  <c r="F500" i="1"/>
  <c r="Y105" i="1"/>
  <c r="BP100" i="1"/>
  <c r="BN100" i="1"/>
  <c r="Z100" i="1"/>
  <c r="BP108" i="1"/>
  <c r="BN108" i="1"/>
  <c r="Z108" i="1"/>
  <c r="Y121" i="1"/>
  <c r="BP120" i="1"/>
  <c r="BN120" i="1"/>
  <c r="Z120" i="1"/>
  <c r="Z121" i="1" s="1"/>
  <c r="G500" i="1"/>
  <c r="Y128" i="1"/>
  <c r="BP125" i="1"/>
  <c r="BN125" i="1"/>
  <c r="Z125" i="1"/>
  <c r="Z127" i="1" s="1"/>
  <c r="BP164" i="1"/>
  <c r="BN164" i="1"/>
  <c r="Z164" i="1"/>
  <c r="Z178" i="1"/>
  <c r="BP176" i="1"/>
  <c r="BN176" i="1"/>
  <c r="Z176" i="1"/>
  <c r="BP197" i="1"/>
  <c r="BN197" i="1"/>
  <c r="Z197" i="1"/>
  <c r="Z204" i="1" s="1"/>
  <c r="BP201" i="1"/>
  <c r="BN201" i="1"/>
  <c r="Z201" i="1"/>
  <c r="BP266" i="1"/>
  <c r="BN266" i="1"/>
  <c r="Z266" i="1"/>
  <c r="Y32" i="1"/>
  <c r="Y44" i="1"/>
  <c r="Y59" i="1"/>
  <c r="Y65" i="1"/>
  <c r="Y71" i="1"/>
  <c r="Y83" i="1"/>
  <c r="Y97" i="1"/>
  <c r="Y104" i="1"/>
  <c r="Z110" i="1"/>
  <c r="BP116" i="1"/>
  <c r="BN116" i="1"/>
  <c r="Z116" i="1"/>
  <c r="Y118" i="1"/>
  <c r="Y122" i="1"/>
  <c r="BP142" i="1"/>
  <c r="BN142" i="1"/>
  <c r="Z142" i="1"/>
  <c r="Z143" i="1" s="1"/>
  <c r="Y149" i="1"/>
  <c r="BP146" i="1"/>
  <c r="BN146" i="1"/>
  <c r="Z146" i="1"/>
  <c r="BP168" i="1"/>
  <c r="BN168" i="1"/>
  <c r="Z168" i="1"/>
  <c r="Y172" i="1"/>
  <c r="BP209" i="1"/>
  <c r="BN209" i="1"/>
  <c r="Z209" i="1"/>
  <c r="BP213" i="1"/>
  <c r="BN213" i="1"/>
  <c r="Z213" i="1"/>
  <c r="BP228" i="1"/>
  <c r="BN228" i="1"/>
  <c r="Z228" i="1"/>
  <c r="BP232" i="1"/>
  <c r="BN232" i="1"/>
  <c r="Z232" i="1"/>
  <c r="BP248" i="1"/>
  <c r="BN248" i="1"/>
  <c r="Z248" i="1"/>
  <c r="BP257" i="1"/>
  <c r="BN257" i="1"/>
  <c r="Z257" i="1"/>
  <c r="BP293" i="1"/>
  <c r="BN293" i="1"/>
  <c r="Z293" i="1"/>
  <c r="BP321" i="1"/>
  <c r="BN321" i="1"/>
  <c r="Z321" i="1"/>
  <c r="Z324" i="1" s="1"/>
  <c r="Y325" i="1"/>
  <c r="BP329" i="1"/>
  <c r="BN329" i="1"/>
  <c r="Z329" i="1"/>
  <c r="R500" i="1"/>
  <c r="Y337" i="1"/>
  <c r="BP334" i="1"/>
  <c r="BN334" i="1"/>
  <c r="Z334" i="1"/>
  <c r="Y338" i="1"/>
  <c r="BP344" i="1"/>
  <c r="BN344" i="1"/>
  <c r="Z344" i="1"/>
  <c r="BP348" i="1"/>
  <c r="BN348" i="1"/>
  <c r="Z348" i="1"/>
  <c r="Y350" i="1"/>
  <c r="Y355" i="1"/>
  <c r="BP352" i="1"/>
  <c r="BN352" i="1"/>
  <c r="Z352" i="1"/>
  <c r="Z354" i="1" s="1"/>
  <c r="Y354" i="1"/>
  <c r="D500" i="1"/>
  <c r="H9" i="1"/>
  <c r="Z22" i="1"/>
  <c r="Z24" i="1" s="1"/>
  <c r="BN22" i="1"/>
  <c r="BP22" i="1"/>
  <c r="X494" i="1"/>
  <c r="Y25" i="1"/>
  <c r="Z28" i="1"/>
  <c r="Z32" i="1" s="1"/>
  <c r="BN28" i="1"/>
  <c r="Z30" i="1"/>
  <c r="BN30" i="1"/>
  <c r="C500" i="1"/>
  <c r="Z42" i="1"/>
  <c r="Z44" i="1" s="1"/>
  <c r="BN42" i="1"/>
  <c r="Y45" i="1"/>
  <c r="Z53" i="1"/>
  <c r="Z58" i="1" s="1"/>
  <c r="BN53" i="1"/>
  <c r="Z55" i="1"/>
  <c r="BN55" i="1"/>
  <c r="Z57" i="1"/>
  <c r="BN57" i="1"/>
  <c r="Z61" i="1"/>
  <c r="BN61" i="1"/>
  <c r="BP61" i="1"/>
  <c r="Z63" i="1"/>
  <c r="BN63" i="1"/>
  <c r="Z67" i="1"/>
  <c r="Z70" i="1" s="1"/>
  <c r="BN67" i="1"/>
  <c r="BP67" i="1"/>
  <c r="Z69" i="1"/>
  <c r="BN69" i="1"/>
  <c r="Z73" i="1"/>
  <c r="BN73" i="1"/>
  <c r="BP73" i="1"/>
  <c r="Z75" i="1"/>
  <c r="BN75" i="1"/>
  <c r="Z81" i="1"/>
  <c r="Z82" i="1" s="1"/>
  <c r="BN81" i="1"/>
  <c r="Z86" i="1"/>
  <c r="Z89" i="1" s="1"/>
  <c r="BN86" i="1"/>
  <c r="BP86" i="1"/>
  <c r="BP87" i="1"/>
  <c r="BN87" i="1"/>
  <c r="Y89" i="1"/>
  <c r="BP93" i="1"/>
  <c r="BN93" i="1"/>
  <c r="Z93" i="1"/>
  <c r="Z96" i="1" s="1"/>
  <c r="BP102" i="1"/>
  <c r="BN102" i="1"/>
  <c r="Z102" i="1"/>
  <c r="Y111" i="1"/>
  <c r="Y110" i="1"/>
  <c r="BP114" i="1"/>
  <c r="BN114" i="1"/>
  <c r="Z114" i="1"/>
  <c r="Z117" i="1" s="1"/>
  <c r="Y127" i="1"/>
  <c r="BP131" i="1"/>
  <c r="BN131" i="1"/>
  <c r="Z131" i="1"/>
  <c r="Z132" i="1" s="1"/>
  <c r="Y133" i="1"/>
  <c r="Y138" i="1"/>
  <c r="BP135" i="1"/>
  <c r="BN135" i="1"/>
  <c r="Z135" i="1"/>
  <c r="Z137" i="1" s="1"/>
  <c r="BP148" i="1"/>
  <c r="BN148" i="1"/>
  <c r="Z148" i="1"/>
  <c r="Y150" i="1"/>
  <c r="Y153" i="1"/>
  <c r="BP152" i="1"/>
  <c r="BN152" i="1"/>
  <c r="Z152" i="1"/>
  <c r="Z153" i="1" s="1"/>
  <c r="Y154" i="1"/>
  <c r="I500" i="1"/>
  <c r="Y159" i="1"/>
  <c r="BP158" i="1"/>
  <c r="BN158" i="1"/>
  <c r="Z158" i="1"/>
  <c r="Z159" i="1" s="1"/>
  <c r="Y160" i="1"/>
  <c r="Y173" i="1"/>
  <c r="BP162" i="1"/>
  <c r="BN162" i="1"/>
  <c r="Z162" i="1"/>
  <c r="BP166" i="1"/>
  <c r="BN166" i="1"/>
  <c r="Z166" i="1"/>
  <c r="BP170" i="1"/>
  <c r="BN170" i="1"/>
  <c r="Z170" i="1"/>
  <c r="Y179" i="1"/>
  <c r="Y178" i="1"/>
  <c r="BP187" i="1"/>
  <c r="BN187" i="1"/>
  <c r="Z187" i="1"/>
  <c r="Z188" i="1" s="1"/>
  <c r="Y189" i="1"/>
  <c r="Y194" i="1"/>
  <c r="BP191" i="1"/>
  <c r="BN191" i="1"/>
  <c r="Z191" i="1"/>
  <c r="Z193" i="1" s="1"/>
  <c r="Y204" i="1"/>
  <c r="BP199" i="1"/>
  <c r="BN199" i="1"/>
  <c r="Z199" i="1"/>
  <c r="BP203" i="1"/>
  <c r="BN203" i="1"/>
  <c r="Z203" i="1"/>
  <c r="Y205" i="1"/>
  <c r="Y216" i="1"/>
  <c r="BP207" i="1"/>
  <c r="BN207" i="1"/>
  <c r="Z207" i="1"/>
  <c r="BP211" i="1"/>
  <c r="BN211" i="1"/>
  <c r="Z211" i="1"/>
  <c r="BP215" i="1"/>
  <c r="BN215" i="1"/>
  <c r="Z215" i="1"/>
  <c r="Y217" i="1"/>
  <c r="Y222" i="1"/>
  <c r="BP219" i="1"/>
  <c r="Y221" i="1"/>
  <c r="BN219" i="1"/>
  <c r="Z219" i="1"/>
  <c r="Z221" i="1" s="1"/>
  <c r="BP280" i="1"/>
  <c r="BN280" i="1"/>
  <c r="Z280" i="1"/>
  <c r="Z281" i="1" s="1"/>
  <c r="Y282" i="1"/>
  <c r="Y287" i="1"/>
  <c r="BP284" i="1"/>
  <c r="BN284" i="1"/>
  <c r="Z284" i="1"/>
  <c r="Z286" i="1" s="1"/>
  <c r="Y286" i="1"/>
  <c r="BP301" i="1"/>
  <c r="BN301" i="1"/>
  <c r="Z301" i="1"/>
  <c r="BP309" i="1"/>
  <c r="BN309" i="1"/>
  <c r="Z309" i="1"/>
  <c r="BP373" i="1"/>
  <c r="BN373" i="1"/>
  <c r="Z373" i="1"/>
  <c r="Z374" i="1" s="1"/>
  <c r="Y375" i="1"/>
  <c r="Y380" i="1"/>
  <c r="BP377" i="1"/>
  <c r="BN377" i="1"/>
  <c r="Z377" i="1"/>
  <c r="Y381" i="1"/>
  <c r="BP387" i="1"/>
  <c r="BN387" i="1"/>
  <c r="Z387" i="1"/>
  <c r="BP391" i="1"/>
  <c r="BN391" i="1"/>
  <c r="Z391" i="1"/>
  <c r="BP408" i="1"/>
  <c r="BN408" i="1"/>
  <c r="Z408" i="1"/>
  <c r="Y412" i="1"/>
  <c r="BP424" i="1"/>
  <c r="BN424" i="1"/>
  <c r="Z424" i="1"/>
  <c r="BP460" i="1"/>
  <c r="BN460" i="1"/>
  <c r="Z460" i="1"/>
  <c r="Y464" i="1"/>
  <c r="Y500" i="1"/>
  <c r="BP468" i="1"/>
  <c r="BN468" i="1"/>
  <c r="Z468" i="1"/>
  <c r="Y470" i="1"/>
  <c r="Y475" i="1"/>
  <c r="BP472" i="1"/>
  <c r="BN472" i="1"/>
  <c r="Z472" i="1"/>
  <c r="Z474" i="1" s="1"/>
  <c r="Y474" i="1"/>
  <c r="U500" i="1"/>
  <c r="H500" i="1"/>
  <c r="Y143" i="1"/>
  <c r="J500" i="1"/>
  <c r="Y188" i="1"/>
  <c r="BP226" i="1"/>
  <c r="BN226" i="1"/>
  <c r="Z226" i="1"/>
  <c r="Z235" i="1" s="1"/>
  <c r="BP230" i="1"/>
  <c r="BN230" i="1"/>
  <c r="Z230" i="1"/>
  <c r="BP234" i="1"/>
  <c r="BN234" i="1"/>
  <c r="Z234" i="1"/>
  <c r="Y236" i="1"/>
  <c r="Y239" i="1"/>
  <c r="BP238" i="1"/>
  <c r="BN238" i="1"/>
  <c r="Z238" i="1"/>
  <c r="Z239" i="1" s="1"/>
  <c r="Y240" i="1"/>
  <c r="Y243" i="1"/>
  <c r="BP242" i="1"/>
  <c r="BN242" i="1"/>
  <c r="Z242" i="1"/>
  <c r="Z243" i="1" s="1"/>
  <c r="Y244" i="1"/>
  <c r="Y251" i="1"/>
  <c r="BP246" i="1"/>
  <c r="BN246" i="1"/>
  <c r="Z246" i="1"/>
  <c r="BP250" i="1"/>
  <c r="BN250" i="1"/>
  <c r="Z250" i="1"/>
  <c r="Y252" i="1"/>
  <c r="Y260" i="1"/>
  <c r="BP255" i="1"/>
  <c r="BN255" i="1"/>
  <c r="Z255" i="1"/>
  <c r="BP259" i="1"/>
  <c r="BN259" i="1"/>
  <c r="Z259" i="1"/>
  <c r="Y261" i="1"/>
  <c r="M500" i="1"/>
  <c r="Y269" i="1"/>
  <c r="BP264" i="1"/>
  <c r="BN264" i="1"/>
  <c r="Z264" i="1"/>
  <c r="Z268" i="1" s="1"/>
  <c r="Y268" i="1"/>
  <c r="BP273" i="1"/>
  <c r="BN273" i="1"/>
  <c r="Z273" i="1"/>
  <c r="Z275" i="1" s="1"/>
  <c r="BP291" i="1"/>
  <c r="BN291" i="1"/>
  <c r="Z291" i="1"/>
  <c r="Z295" i="1" s="1"/>
  <c r="Y295" i="1"/>
  <c r="BP299" i="1"/>
  <c r="BN299" i="1"/>
  <c r="Z299" i="1"/>
  <c r="Z304" i="1" s="1"/>
  <c r="BP303" i="1"/>
  <c r="BN303" i="1"/>
  <c r="Z303" i="1"/>
  <c r="Y305" i="1"/>
  <c r="Y312" i="1"/>
  <c r="BP307" i="1"/>
  <c r="BN307" i="1"/>
  <c r="Z307" i="1"/>
  <c r="Z311" i="1" s="1"/>
  <c r="Y311" i="1"/>
  <c r="BP315" i="1"/>
  <c r="BN315" i="1"/>
  <c r="Z315" i="1"/>
  <c r="Z317" i="1" s="1"/>
  <c r="Y324" i="1"/>
  <c r="BP323" i="1"/>
  <c r="BN323" i="1"/>
  <c r="Z323" i="1"/>
  <c r="Y330" i="1"/>
  <c r="BP327" i="1"/>
  <c r="BN327" i="1"/>
  <c r="Z327" i="1"/>
  <c r="Z330" i="1" s="1"/>
  <c r="BP336" i="1"/>
  <c r="BN336" i="1"/>
  <c r="Z336" i="1"/>
  <c r="S500" i="1"/>
  <c r="Y349" i="1"/>
  <c r="BP342" i="1"/>
  <c r="BN342" i="1"/>
  <c r="Z342" i="1"/>
  <c r="Z349" i="1" s="1"/>
  <c r="BP346" i="1"/>
  <c r="BN346" i="1"/>
  <c r="Z346" i="1"/>
  <c r="Z359" i="1"/>
  <c r="BP358" i="1"/>
  <c r="BN358" i="1"/>
  <c r="Z358" i="1"/>
  <c r="L500" i="1"/>
  <c r="K500" i="1"/>
  <c r="Y235" i="1"/>
  <c r="O500" i="1"/>
  <c r="Y276" i="1"/>
  <c r="P500" i="1"/>
  <c r="Y281" i="1"/>
  <c r="Y296" i="1"/>
  <c r="Y359" i="1"/>
  <c r="Y360" i="1"/>
  <c r="Y363" i="1"/>
  <c r="BP362" i="1"/>
  <c r="BN362" i="1"/>
  <c r="Z362" i="1"/>
  <c r="Z363" i="1" s="1"/>
  <c r="Y364" i="1"/>
  <c r="T500" i="1"/>
  <c r="Y370" i="1"/>
  <c r="BP367" i="1"/>
  <c r="BN367" i="1"/>
  <c r="Z367" i="1"/>
  <c r="Z369" i="1" s="1"/>
  <c r="Y374" i="1"/>
  <c r="BP379" i="1"/>
  <c r="BN379" i="1"/>
  <c r="Z379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Z411" i="1" s="1"/>
  <c r="W500" i="1"/>
  <c r="Y416" i="1"/>
  <c r="BP415" i="1"/>
  <c r="BN415" i="1"/>
  <c r="Z415" i="1"/>
  <c r="Z416" i="1" s="1"/>
  <c r="Y417" i="1"/>
  <c r="X500" i="1"/>
  <c r="Y433" i="1"/>
  <c r="Y434" i="1"/>
  <c r="BP421" i="1"/>
  <c r="BN421" i="1"/>
  <c r="Z421" i="1"/>
  <c r="BP426" i="1"/>
  <c r="BN426" i="1"/>
  <c r="Z426" i="1"/>
  <c r="BP430" i="1"/>
  <c r="BN430" i="1"/>
  <c r="Z430" i="1"/>
  <c r="BP438" i="1"/>
  <c r="BN438" i="1"/>
  <c r="Z438" i="1"/>
  <c r="Y440" i="1"/>
  <c r="Y449" i="1"/>
  <c r="BP442" i="1"/>
  <c r="BN442" i="1"/>
  <c r="Z442" i="1"/>
  <c r="Y448" i="1"/>
  <c r="BP446" i="1"/>
  <c r="BN446" i="1"/>
  <c r="Z446" i="1"/>
  <c r="V500" i="1"/>
  <c r="Y405" i="1"/>
  <c r="BP428" i="1"/>
  <c r="BN428" i="1"/>
  <c r="Z428" i="1"/>
  <c r="BP432" i="1"/>
  <c r="BN432" i="1"/>
  <c r="Z432" i="1"/>
  <c r="Y439" i="1"/>
  <c r="BP436" i="1"/>
  <c r="BN436" i="1"/>
  <c r="Z436" i="1"/>
  <c r="Z439" i="1" s="1"/>
  <c r="BP444" i="1"/>
  <c r="BN444" i="1"/>
  <c r="Z444" i="1"/>
  <c r="Z454" i="1"/>
  <c r="BP452" i="1"/>
  <c r="BN452" i="1"/>
  <c r="Z452" i="1"/>
  <c r="Y463" i="1"/>
  <c r="BP462" i="1"/>
  <c r="BN462" i="1"/>
  <c r="Z462" i="1"/>
  <c r="Z463" i="1" s="1"/>
  <c r="Y469" i="1"/>
  <c r="BP466" i="1"/>
  <c r="BN466" i="1"/>
  <c r="Z466" i="1"/>
  <c r="Z469" i="1" s="1"/>
  <c r="BP482" i="1"/>
  <c r="BN482" i="1"/>
  <c r="Z482" i="1"/>
  <c r="Z483" i="1" s="1"/>
  <c r="Y484" i="1"/>
  <c r="Z500" i="1"/>
  <c r="Y488" i="1"/>
  <c r="BP487" i="1"/>
  <c r="BN487" i="1"/>
  <c r="Z487" i="1"/>
  <c r="Z488" i="1" s="1"/>
  <c r="Y489" i="1"/>
  <c r="Z394" i="1" l="1"/>
  <c r="Z260" i="1"/>
  <c r="Z251" i="1"/>
  <c r="Z380" i="1"/>
  <c r="Z216" i="1"/>
  <c r="Z172" i="1"/>
  <c r="Y490" i="1"/>
  <c r="Y492" i="1"/>
  <c r="Z337" i="1"/>
  <c r="Z149" i="1"/>
  <c r="Z104" i="1"/>
  <c r="Z448" i="1"/>
  <c r="Z433" i="1"/>
  <c r="Z77" i="1"/>
  <c r="Z64" i="1"/>
  <c r="Z495" i="1" s="1"/>
  <c r="Y491" i="1"/>
  <c r="Y493" i="1" s="1"/>
  <c r="Y494" i="1"/>
</calcChain>
</file>

<file path=xl/sharedStrings.xml><?xml version="1.0" encoding="utf-8"?>
<sst xmlns="http://schemas.openxmlformats.org/spreadsheetml/2006/main" count="2283" uniqueCount="765">
  <si>
    <t xml:space="preserve">  БЛАНК ЗАКАЗА </t>
  </si>
  <si>
    <t>КИ</t>
  </si>
  <si>
    <t>на отгрузку продукции с ООО Трейд-Сервис с</t>
  </si>
  <si>
    <t>08.12.2025</t>
  </si>
  <si>
    <t>бланк создан</t>
  </si>
  <si>
    <t>03.12.2025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</si>
  <si>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</si>
  <si>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</si>
  <si>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</si>
  <si>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</si>
  <si>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</si>
  <si>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</si>
  <si>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</si>
  <si>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</si>
  <si>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</si>
  <si>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</si>
  <si>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</si>
  <si>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</si>
  <si>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</si>
  <si>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</si>
  <si>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</si>
  <si>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</si>
  <si>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</si>
  <si>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</si>
  <si>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</si>
  <si>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</si>
  <si>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</si>
  <si>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</si>
  <si>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</si>
  <si>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</si>
  <si>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</si>
  <si>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</si>
  <si>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</si>
  <si>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</si>
  <si>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</si>
  <si>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</si>
  <si>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</si>
  <si>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</si>
  <si>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</si>
  <si>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</si>
  <si>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</si>
  <si>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</si>
  <si>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</si>
  <si>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</si>
  <si>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</si>
  <si>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</si>
  <si>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</si>
  <si>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</si>
  <si>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</si>
  <si>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</si>
  <si>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</si>
  <si>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</si>
  <si>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</si>
  <si>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</si>
  <si>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</si>
  <si>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</si>
  <si>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</si>
  <si>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</si>
  <si>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</si>
  <si>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</si>
  <si>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</si>
  <si>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</si>
  <si>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</si>
  <si>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</si>
  <si>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</si>
  <si>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</si>
  <si>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</si>
  <si>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</si>
  <si>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</si>
  <si>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Копченые колбасы «Колбаски Мини-колбаски со вкусом Мясо на углях» Фикс.вес 0,2 б/о ТМ «Ядрена копоть»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</si>
  <si>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</si>
  <si>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</si>
  <si>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</si>
  <si>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</si>
  <si>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</si>
  <si>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</si>
  <si>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</si>
  <si>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</si>
  <si>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</si>
  <si>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</si>
  <si>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</si>
  <si>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</si>
  <si>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</si>
  <si>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</si>
  <si>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</si>
  <si>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</si>
  <si>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</si>
  <si>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</si>
  <si>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</si>
  <si>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</si>
  <si>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</si>
  <si>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</si>
  <si>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</si>
  <si>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</si>
  <si>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</si>
  <si>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</si>
  <si>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</si>
  <si>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</si>
  <si>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</si>
  <si>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</si>
  <si>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</si>
  <si>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</si>
  <si>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</si>
  <si>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</si>
  <si>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</si>
  <si>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</si>
  <si>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</si>
  <si>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</si>
  <si>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</si>
  <si>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</si>
  <si>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</si>
  <si>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</si>
  <si>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</si>
  <si>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</si>
  <si>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</si>
  <si>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</si>
  <si>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</si>
  <si>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</si>
  <si>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</si>
  <si>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</si>
  <si>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</si>
  <si>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</si>
  <si>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</si>
  <si>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</si>
  <si>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</si>
  <si>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</si>
  <si>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</si>
  <si>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</si>
  <si>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</si>
  <si>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</si>
  <si>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</si>
  <si>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</si>
  <si>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</si>
  <si>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</si>
  <si>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</si>
  <si>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</si>
  <si>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</si>
  <si>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</si>
  <si>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</si>
  <si>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</si>
  <si>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</si>
  <si>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</si>
  <si>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</si>
  <si>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</si>
  <si>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</si>
  <si>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</si>
  <si>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</si>
  <si>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</si>
  <si>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</si>
  <si>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</si>
  <si>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</si>
  <si>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</si>
  <si>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</si>
  <si>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</si>
  <si>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</si>
  <si>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</si>
  <si>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</si>
  <si>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</si>
  <si>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</si>
  <si>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</si>
  <si>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</si>
  <si>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</si>
  <si>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</si>
  <si>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</si>
  <si>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</si>
  <si>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</si>
  <si>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</si>
  <si>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</si>
  <si>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</si>
  <si>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</si>
  <si>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</si>
  <si>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</si>
  <si>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</si>
  <si>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</si>
  <si>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</si>
  <si>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</si>
  <si>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</si>
  <si>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</si>
  <si>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</si>
  <si>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</si>
  <si>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</si>
  <si>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</si>
  <si>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</si>
  <si>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</si>
  <si>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</si>
  <si>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</si>
  <si>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</si>
  <si>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</si>
  <si>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</si>
  <si>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</si>
  <si>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</si>
  <si>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</si>
  <si>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</si>
  <si>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</si>
  <si>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</si>
  <si>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</si>
  <si>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</si>
  <si>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</si>
  <si>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</si>
  <si>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</si>
  <si>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</si>
  <si>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</si>
  <si>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</si>
  <si>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</si>
  <si>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</si>
  <si>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</si>
  <si>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</si>
  <si>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</si>
  <si>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</si>
  <si>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</si>
  <si>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</si>
  <si>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</si>
  <si>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</si>
  <si>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</si>
  <si>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</si>
  <si>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</si>
  <si>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</si>
  <si>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</si>
  <si>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</si>
  <si>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</si>
  <si>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</si>
  <si>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</si>
  <si>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</si>
  <si>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</si>
  <si>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</si>
  <si>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</si>
  <si>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</si>
  <si>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</si>
  <si>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</si>
  <si>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</si>
  <si>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</si>
  <si>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</si>
  <si>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</si>
  <si>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</si>
  <si>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</si>
  <si>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</si>
  <si>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</si>
  <si>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</si>
  <si>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</si>
  <si>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</si>
  <si>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</si>
  <si>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</si>
  <si>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</si>
  <si>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</si>
  <si>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</si>
  <si>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</si>
  <si>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</si>
  <si>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</si>
  <si>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</si>
  <si>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</si>
  <si>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</si>
  <si>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</si>
  <si>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</si>
  <si>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</si>
  <si>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</si>
  <si>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</si>
  <si>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</si>
  <si>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</si>
  <si>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</si>
  <si>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</si>
  <si>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</si>
  <si>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</si>
  <si>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</si>
  <si>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</si>
  <si>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</si>
  <si>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</si>
  <si>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</si>
  <si>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</si>
  <si>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</si>
  <si>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</si>
  <si>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</si>
  <si>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</si>
  <si>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</si>
  <si>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</si>
  <si>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</si>
  <si>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</si>
  <si>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</si>
  <si>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</si>
  <si>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</si>
  <si>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</si>
  <si>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</si>
  <si>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</si>
  <si>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</si>
  <si>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</si>
  <si>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</si>
  <si>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</si>
  <si>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</si>
  <si>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</si>
  <si>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</si>
  <si>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</si>
  <si>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</si>
  <si>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</si>
  <si>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</si>
  <si>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</si>
  <si>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</si>
  <si>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</si>
  <si>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</si>
  <si>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</si>
  <si>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</si>
  <si>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</si>
  <si>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</si>
  <si>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</si>
  <si>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</si>
  <si>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</si>
  <si>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</si>
  <si>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</si>
  <si>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</si>
  <si>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</si>
  <si>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</si>
  <si>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</si>
  <si>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</si>
  <si>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</si>
  <si>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</si>
  <si>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</si>
  <si>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</si>
  <si>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</si>
  <si>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</si>
  <si>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</si>
  <si>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</si>
  <si>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</si>
  <si>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</si>
  <si>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</si>
  <si>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</si>
  <si>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</si>
  <si>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</si>
  <si>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</si>
  <si>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</si>
  <si>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</si>
  <si>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</si>
  <si>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</si>
  <si>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</si>
  <si>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</si>
  <si>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</si>
  <si>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</si>
  <si>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</si>
  <si>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</si>
  <si>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</si>
  <si>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</si>
  <si>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</si>
  <si>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</si>
  <si>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</si>
  <si>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</si>
  <si>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</si>
  <si>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</si>
  <si>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</si>
  <si>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</si>
  <si>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</si>
  <si>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</si>
  <si>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</si>
  <si>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</si>
  <si>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</si>
  <si>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</si>
  <si>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</si>
  <si>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</si>
  <si>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</si>
  <si>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</si>
  <si>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</si>
  <si>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</si>
  <si>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</si>
  <si>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</si>
  <si>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</si>
  <si>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</si>
  <si>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</si>
  <si>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</si>
  <si>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</si>
  <si>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</si>
  <si>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</si>
  <si>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</si>
  <si>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</si>
  <si>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</si>
  <si>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</si>
  <si>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</si>
  <si>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</si>
  <si>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</si>
  <si>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</si>
  <si>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</si>
  <si>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</si>
  <si>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</si>
  <si>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</si>
  <si>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</si>
  <si>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</si>
  <si>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</si>
  <si>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</si>
  <si>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</si>
  <si>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</si>
  <si>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</si>
  <si>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</si>
  <si>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</si>
  <si>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</si>
  <si>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</si>
  <si>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</si>
  <si>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</si>
  <si>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</si>
  <si>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</si>
  <si>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</si>
  <si>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</si>
  <si>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</si>
  <si>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</si>
  <si>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</si>
  <si>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</si>
  <si>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</si>
  <si>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</si>
  <si>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</si>
  <si>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</si>
  <si>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</si>
  <si>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</si>
  <si>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</si>
  <si>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</si>
  <si>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</si>
  <si>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</si>
  <si>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</si>
  <si>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</si>
  <si>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</si>
  <si>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</si>
  <si>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</si>
  <si>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</si>
  <si>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</si>
  <si>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</si>
  <si>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</si>
  <si>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</si>
  <si>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</si>
  <si>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</si>
  <si>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</si>
  <si>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</si>
  <si>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</si>
  <si>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</si>
  <si>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</si>
  <si>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</si>
  <si>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</si>
  <si>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</si>
  <si>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</si>
  <si>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</si>
  <si>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</si>
  <si>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</si>
  <si>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</si>
  <si>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</si>
  <si>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</si>
  <si>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</si>
  <si>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</si>
  <si>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</si>
  <si>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</si>
  <si>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</si>
  <si>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</si>
  <si>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</si>
  <si>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</si>
  <si>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</si>
  <si>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</si>
  <si>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</si>
  <si>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</si>
  <si>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</si>
  <si>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</si>
  <si>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</si>
  <si>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</si>
  <si>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</si>
  <si>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</si>
  <si>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</si>
  <si>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</si>
  <si>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</si>
  <si>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</si>
  <si>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</si>
  <si>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</si>
  <si>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</si>
  <si>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</si>
  <si>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</si>
  <si>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</si>
  <si>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</si>
  <si>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</si>
  <si>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</si>
  <si>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</si>
  <si>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</si>
  <si>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</si>
  <si>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</si>
  <si>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</si>
  <si>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</si>
  <si>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</si>
  <si>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</si>
  <si>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</si>
  <si>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</si>
  <si>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</si>
  <si>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</si>
  <si>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</si>
  <si>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</si>
  <si>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</si>
  <si>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</si>
  <si>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</si>
  <si>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</si>
  <si>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</si>
  <si>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</si>
  <si>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</si>
  <si>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</si>
  <si>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</si>
  <si>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</si>
  <si>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</si>
  <si>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</si>
  <si>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</si>
  <si>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</si>
  <si>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</si>
  <si>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</si>
  <si>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</si>
  <si>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</si>
  <si>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</si>
  <si>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</si>
  <si>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</si>
  <si>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</si>
  <si>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</si>
  <si>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</si>
  <si>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</si>
  <si>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</si>
  <si>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</si>
  <si>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</si>
  <si>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</si>
  <si>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</si>
  <si>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</si>
  <si>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</si>
  <si>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</si>
  <si>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</si>
  <si>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</si>
  <si>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</si>
  <si>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</si>
  <si>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</si>
  <si>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</si>
  <si>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</si>
  <si>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</si>
  <si>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</si>
  <si>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</si>
  <si>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</si>
  <si>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</si>
  <si>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</si>
  <si>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</si>
  <si>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</si>
  <si>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</si>
  <si>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</si>
  <si>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</si>
  <si>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</si>
  <si>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</si>
  <si>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</si>
  <si>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</si>
  <si>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</si>
  <si>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</si>
  <si>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</si>
  <si>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</si>
  <si>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</si>
  <si>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</si>
  <si>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</si>
  <si>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</si>
  <si>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</si>
  <si>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</si>
  <si>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</si>
  <si>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</si>
  <si>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</si>
  <si>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</si>
  <si>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</si>
  <si>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</si>
  <si>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</si>
  <si>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</si>
  <si>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</si>
  <si>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</si>
  <si>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</si>
  <si>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</si>
  <si>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</si>
  <si>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</si>
  <si>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</si>
  <si>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</si>
  <si>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</si>
  <si>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</si>
  <si>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</si>
  <si>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</si>
  <si>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</si>
  <si>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</si>
  <si>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</si>
  <si>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</si>
  <si>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</si>
  <si>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</si>
  <si>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</si>
  <si>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</si>
  <si>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</si>
  <si>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</si>
  <si>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</si>
  <si>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</si>
  <si>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</si>
  <si>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</si>
  <si>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</si>
  <si>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</si>
  <si>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</si>
  <si>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</si>
  <si>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</si>
  <si>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</si>
  <si>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</si>
  <si>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</si>
  <si>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</si>
  <si>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</si>
  <si>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</si>
  <si>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</si>
  <si>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</si>
  <si>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</si>
  <si>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</si>
  <si>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</si>
  <si>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</si>
  <si>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</si>
  <si>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</si>
  <si>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</si>
  <si>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</si>
  <si>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</si>
  <si>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</si>
  <si>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</si>
  <si>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</si>
  <si>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</si>
  <si>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</si>
  <si>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</si>
  <si>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</si>
  <si>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</si>
  <si>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</si>
  <si>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</si>
  <si>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</si>
  <si>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</si>
  <si>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</si>
  <si>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</si>
  <si>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</si>
  <si>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</si>
  <si>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</si>
  <si>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</si>
  <si>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</si>
  <si>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</si>
  <si>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</si>
  <si>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</si>
  <si>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</si>
  <si>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</si>
  <si>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</si>
  <si>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</si>
  <si>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</si>
  <si>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</si>
  <si>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</si>
  <si>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</si>
  <si>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</si>
  <si>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</si>
  <si>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</si>
  <si>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</si>
  <si>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</si>
  <si>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</si>
  <si>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</si>
  <si>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</si>
  <si>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</si>
  <si>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</si>
  <si>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Вареные колбасы «Докторская Дугушка КРУЧЕНАЯ» Весовой п/а ТМ «Стародворье»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</si>
  <si>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</si>
  <si>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</si>
  <si>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</si>
  <si>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</si>
  <si>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</si>
  <si>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</si>
  <si>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</si>
  <si>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</si>
  <si>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</si>
  <si>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</si>
  <si>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</si>
  <si>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</si>
  <si>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</si>
  <si>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</si>
  <si>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</si>
  <si>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</si>
  <si>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</si>
  <si>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</si>
  <si>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</si>
  <si>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</si>
  <si>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</si>
  <si>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</si>
  <si>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</si>
  <si>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</si>
  <si>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</si>
  <si>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</si>
  <si>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</si>
  <si>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</si>
  <si>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</si>
  <si>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</si>
  <si>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</si>
  <si>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</si>
  <si>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</si>
  <si>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</si>
  <si>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</si>
  <si>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</si>
  <si>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</si>
  <si>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</si>
  <si>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</si>
  <si>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</si>
  <si>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</si>
  <si>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</si>
  <si>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</si>
  <si>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</si>
  <si>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</si>
  <si>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</si>
  <si>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</si>
  <si>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10.12.2025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</si>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</sst>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9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0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16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0"/>
  <sheetViews>
    <sheetView showGridLines="0" tabSelected="1" topLeftCell="A474" zoomScaleNormal="100" zoomScaleSheetLayoutView="100" workbookViewId="0">
      <selection activeCell="AA496" sqref="AA496"/>
    </sheetView>
  </sheetViews>
  <sheetFormatPr defaultColWidth="9.140625" defaultRowHeight="12.75" x14ac:dyDescent="0.2"/>
  <cols>
    <col min="1" max="1" width="9.140625" style="5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1" customWidth="1"/>
    <col min="19" max="19" width="6.140625" style="5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1" customWidth="1"/>
    <col min="25" max="25" width="11" style="541" customWidth="1"/>
    <col min="26" max="26" width="10" style="541" customWidth="1"/>
    <col min="27" max="27" width="11.5703125" style="541" customWidth="1"/>
    <col min="28" max="28" width="10.42578125" style="541" customWidth="1"/>
    <col min="29" max="29" width="30" style="5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1" customWidth="1"/>
    <col min="34" max="34" width="9.140625" style="541" customWidth="1"/>
    <col min="35" max="16384" width="9.140625" style="541"/>
  </cols>
  <sheetData>
    <row r="1" spans="1:32" s="537" customFormat="1" ht="45" customHeight="1" x14ac:dyDescent="0.2">
      <c r="A1" s="41"/>
      <c r="B1" s="41"/>
      <c r="C1" s="41"/>
      <c r="D1" s="624" t="s">
        <v>0</v>
      </c>
      <c r="E1" s="574"/>
      <c r="F1" s="574"/>
      <c r="G1" s="12" t="s">
        <v>1</v>
      </c>
      <c r="H1" s="624" t="s">
        <v>2</v>
      </c>
      <c r="I1" s="574"/>
      <c r="J1" s="574"/>
      <c r="K1" s="574"/>
      <c r="L1" s="574"/>
      <c r="M1" s="574"/>
      <c r="N1" s="574"/>
      <c r="O1" s="574"/>
      <c r="P1" s="574"/>
      <c r="Q1" s="574"/>
      <c r="R1" s="573" t="s">
        <v>3</v>
      </c>
      <c r="S1" s="574"/>
      <c r="T1" s="57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6"/>
      <c r="Y2" s="16"/>
      <c r="Z2" s="16"/>
      <c r="AA2" s="16"/>
      <c r="AB2" s="51"/>
      <c r="AC2" s="51"/>
      <c r="AD2" s="51"/>
      <c r="AE2" s="51"/>
    </row>
    <row r="3" spans="1:32" s="5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7"/>
      <c r="Q3" s="557"/>
      <c r="R3" s="557"/>
      <c r="S3" s="557"/>
      <c r="T3" s="557"/>
      <c r="U3" s="557"/>
      <c r="V3" s="557"/>
      <c r="W3" s="557"/>
      <c r="X3" s="16"/>
      <c r="Y3" s="16"/>
      <c r="Z3" s="16"/>
      <c r="AA3" s="16"/>
      <c r="AB3" s="51"/>
      <c r="AC3" s="51"/>
      <c r="AD3" s="51"/>
      <c r="AE3" s="51"/>
    </row>
    <row r="4" spans="1:32" s="5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7" customFormat="1" ht="23.45" customHeight="1" x14ac:dyDescent="0.2">
      <c r="A5" s="674" t="s">
        <v>8</v>
      </c>
      <c r="B5" s="645"/>
      <c r="C5" s="646"/>
      <c r="D5" s="629"/>
      <c r="E5" s="630"/>
      <c r="F5" s="835" t="s">
        <v>9</v>
      </c>
      <c r="G5" s="646"/>
      <c r="H5" s="629"/>
      <c r="I5" s="781"/>
      <c r="J5" s="781"/>
      <c r="K5" s="781"/>
      <c r="L5" s="781"/>
      <c r="M5" s="630"/>
      <c r="N5" s="58"/>
      <c r="P5" s="24" t="s">
        <v>10</v>
      </c>
      <c r="Q5" s="848">
        <v>45998</v>
      </c>
      <c r="R5" s="673"/>
      <c r="T5" s="717" t="s">
        <v>11</v>
      </c>
      <c r="U5" s="718"/>
      <c r="V5" s="720" t="s">
        <v>12</v>
      </c>
      <c r="W5" s="673"/>
      <c r="AB5" s="51"/>
      <c r="AC5" s="51"/>
      <c r="AD5" s="51"/>
      <c r="AE5" s="51"/>
    </row>
    <row r="6" spans="1:32" s="537" customFormat="1" ht="24" customHeight="1" x14ac:dyDescent="0.2">
      <c r="A6" s="674" t="s">
        <v>13</v>
      </c>
      <c r="B6" s="645"/>
      <c r="C6" s="646"/>
      <c r="D6" s="784" t="s">
        <v>14</v>
      </c>
      <c r="E6" s="785"/>
      <c r="F6" s="785"/>
      <c r="G6" s="785"/>
      <c r="H6" s="785"/>
      <c r="I6" s="785"/>
      <c r="J6" s="785"/>
      <c r="K6" s="785"/>
      <c r="L6" s="785"/>
      <c r="M6" s="673"/>
      <c r="N6" s="59"/>
      <c r="P6" s="24" t="s">
        <v>15</v>
      </c>
      <c r="Q6" s="854" t="str">
        <f>IF(Q5=0," ",CHOOSE(WEEKDAY(Q5,2),"Понедельник","Вторник","Среда","Четверг","Пятница","Суббота","Воскресенье"))</f>
        <v>Воскресенье</v>
      </c>
      <c r="R6" s="548"/>
      <c r="T6" s="726" t="s">
        <v>16</v>
      </c>
      <c r="U6" s="718"/>
      <c r="V6" s="766" t="s">
        <v>17</v>
      </c>
      <c r="W6" s="590"/>
      <c r="AB6" s="51"/>
      <c r="AC6" s="51"/>
      <c r="AD6" s="51"/>
      <c r="AE6" s="51"/>
    </row>
    <row r="7" spans="1:32" s="537" customFormat="1" ht="21.75" hidden="1" customHeight="1" x14ac:dyDescent="0.2">
      <c r="A7" s="55"/>
      <c r="B7" s="55"/>
      <c r="C7" s="55"/>
      <c r="D7" s="604" t="str">
        <f>IFERROR(VLOOKUP(DeliveryAddress,Table,3,0),1)</f>
        <v>1</v>
      </c>
      <c r="E7" s="605"/>
      <c r="F7" s="605"/>
      <c r="G7" s="605"/>
      <c r="H7" s="605"/>
      <c r="I7" s="605"/>
      <c r="J7" s="605"/>
      <c r="K7" s="605"/>
      <c r="L7" s="605"/>
      <c r="M7" s="606"/>
      <c r="N7" s="60"/>
      <c r="P7" s="24"/>
      <c r="Q7" s="42"/>
      <c r="R7" s="42"/>
      <c r="T7" s="557"/>
      <c r="U7" s="718"/>
      <c r="V7" s="767"/>
      <c r="W7" s="768"/>
      <c r="AB7" s="51"/>
      <c r="AC7" s="51"/>
      <c r="AD7" s="51"/>
      <c r="AE7" s="51"/>
    </row>
    <row r="8" spans="1:32" s="537" customFormat="1" ht="25.5" customHeight="1" x14ac:dyDescent="0.2">
      <c r="A8" s="866" t="s">
        <v>18</v>
      </c>
      <c r="B8" s="562"/>
      <c r="C8" s="563"/>
      <c r="D8" s="615" t="s">
        <v>19</v>
      </c>
      <c r="E8" s="616"/>
      <c r="F8" s="616"/>
      <c r="G8" s="616"/>
      <c r="H8" s="616"/>
      <c r="I8" s="616"/>
      <c r="J8" s="616"/>
      <c r="K8" s="616"/>
      <c r="L8" s="616"/>
      <c r="M8" s="617"/>
      <c r="N8" s="61"/>
      <c r="P8" s="24" t="s">
        <v>20</v>
      </c>
      <c r="Q8" s="681">
        <v>0.375</v>
      </c>
      <c r="R8" s="606"/>
      <c r="T8" s="557"/>
      <c r="U8" s="718"/>
      <c r="V8" s="767"/>
      <c r="W8" s="768"/>
      <c r="AB8" s="51"/>
      <c r="AC8" s="51"/>
      <c r="AD8" s="51"/>
      <c r="AE8" s="51"/>
    </row>
    <row r="9" spans="1:32" s="537" customFormat="1" ht="39.950000000000003" customHeight="1" x14ac:dyDescent="0.2">
      <c r="A9" s="69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7"/>
      <c r="C9" s="557"/>
      <c r="D9" s="690"/>
      <c r="E9" s="560"/>
      <c r="F9" s="69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7"/>
      <c r="H9" s="559" t="str">
        <f>IF(AND($A$9="Тип доверенности/получателя при получении в адресе перегруза:",$D$9="Разовая доверенность"),"Введите ФИО","")</f>
        <v/>
      </c>
      <c r="I9" s="560"/>
      <c r="J9" s="55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0"/>
      <c r="L9" s="560"/>
      <c r="M9" s="560"/>
      <c r="N9" s="535"/>
      <c r="P9" s="26" t="s">
        <v>21</v>
      </c>
      <c r="Q9" s="670"/>
      <c r="R9" s="671"/>
      <c r="T9" s="557"/>
      <c r="U9" s="718"/>
      <c r="V9" s="769"/>
      <c r="W9" s="770"/>
      <c r="X9" s="43"/>
      <c r="Y9" s="43"/>
      <c r="Z9" s="43"/>
      <c r="AA9" s="43"/>
      <c r="AB9" s="51"/>
      <c r="AC9" s="51"/>
      <c r="AD9" s="51"/>
      <c r="AE9" s="51"/>
    </row>
    <row r="10" spans="1:32" s="537" customFormat="1" ht="26.45" customHeight="1" x14ac:dyDescent="0.2">
      <c r="A10" s="69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7"/>
      <c r="C10" s="557"/>
      <c r="D10" s="690"/>
      <c r="E10" s="560"/>
      <c r="F10" s="69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7"/>
      <c r="H10" s="759" t="str">
        <f>IFERROR(VLOOKUP($D$10,Proxy,2,FALSE),"")</f>
        <v/>
      </c>
      <c r="I10" s="557"/>
      <c r="J10" s="557"/>
      <c r="K10" s="557"/>
      <c r="L10" s="557"/>
      <c r="M10" s="557"/>
      <c r="N10" s="536"/>
      <c r="P10" s="26" t="s">
        <v>22</v>
      </c>
      <c r="Q10" s="727"/>
      <c r="R10" s="728"/>
      <c r="U10" s="24" t="s">
        <v>23</v>
      </c>
      <c r="V10" s="589" t="s">
        <v>24</v>
      </c>
      <c r="W10" s="590"/>
      <c r="X10" s="44"/>
      <c r="Y10" s="44"/>
      <c r="Z10" s="44"/>
      <c r="AA10" s="44"/>
      <c r="AB10" s="51"/>
      <c r="AC10" s="51"/>
      <c r="AD10" s="51"/>
      <c r="AE10" s="51"/>
    </row>
    <row r="11" spans="1:32" s="53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2"/>
      <c r="R11" s="673"/>
      <c r="U11" s="24" t="s">
        <v>27</v>
      </c>
      <c r="V11" s="806" t="s">
        <v>28</v>
      </c>
      <c r="W11" s="671"/>
      <c r="X11" s="45"/>
      <c r="Y11" s="45"/>
      <c r="Z11" s="45"/>
      <c r="AA11" s="45"/>
      <c r="AB11" s="51"/>
      <c r="AC11" s="51"/>
      <c r="AD11" s="51"/>
      <c r="AE11" s="51"/>
    </row>
    <row r="12" spans="1:32" s="537" customFormat="1" ht="18.600000000000001" customHeight="1" x14ac:dyDescent="0.2">
      <c r="A12" s="710" t="s">
        <v>29</v>
      </c>
      <c r="B12" s="645"/>
      <c r="C12" s="645"/>
      <c r="D12" s="645"/>
      <c r="E12" s="645"/>
      <c r="F12" s="645"/>
      <c r="G12" s="645"/>
      <c r="H12" s="645"/>
      <c r="I12" s="645"/>
      <c r="J12" s="645"/>
      <c r="K12" s="645"/>
      <c r="L12" s="645"/>
      <c r="M12" s="646"/>
      <c r="N12" s="62"/>
      <c r="P12" s="24" t="s">
        <v>30</v>
      </c>
      <c r="Q12" s="681"/>
      <c r="R12" s="606"/>
      <c r="S12" s="23"/>
      <c r="U12" s="24"/>
      <c r="V12" s="574"/>
      <c r="W12" s="557"/>
      <c r="AB12" s="51"/>
      <c r="AC12" s="51"/>
      <c r="AD12" s="51"/>
      <c r="AE12" s="51"/>
    </row>
    <row r="13" spans="1:32" s="537" customFormat="1" ht="23.25" customHeight="1" x14ac:dyDescent="0.2">
      <c r="A13" s="710" t="s">
        <v>31</v>
      </c>
      <c r="B13" s="645"/>
      <c r="C13" s="645"/>
      <c r="D13" s="645"/>
      <c r="E13" s="645"/>
      <c r="F13" s="645"/>
      <c r="G13" s="645"/>
      <c r="H13" s="645"/>
      <c r="I13" s="645"/>
      <c r="J13" s="645"/>
      <c r="K13" s="645"/>
      <c r="L13" s="645"/>
      <c r="M13" s="646"/>
      <c r="N13" s="62"/>
      <c r="O13" s="26"/>
      <c r="P13" s="26" t="s">
        <v>32</v>
      </c>
      <c r="Q13" s="806"/>
      <c r="R13" s="67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7" customFormat="1" ht="18.600000000000001" customHeight="1" x14ac:dyDescent="0.2">
      <c r="A14" s="710" t="s">
        <v>33</v>
      </c>
      <c r="B14" s="645"/>
      <c r="C14" s="645"/>
      <c r="D14" s="645"/>
      <c r="E14" s="645"/>
      <c r="F14" s="645"/>
      <c r="G14" s="645"/>
      <c r="H14" s="645"/>
      <c r="I14" s="645"/>
      <c r="J14" s="645"/>
      <c r="K14" s="645"/>
      <c r="L14" s="645"/>
      <c r="M14" s="64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7" customFormat="1" ht="22.5" customHeight="1" x14ac:dyDescent="0.2">
      <c r="A15" s="738" t="s">
        <v>34</v>
      </c>
      <c r="B15" s="645"/>
      <c r="C15" s="645"/>
      <c r="D15" s="645"/>
      <c r="E15" s="645"/>
      <c r="F15" s="645"/>
      <c r="G15" s="645"/>
      <c r="H15" s="645"/>
      <c r="I15" s="645"/>
      <c r="J15" s="645"/>
      <c r="K15" s="645"/>
      <c r="L15" s="645"/>
      <c r="M15" s="646"/>
      <c r="N15" s="63"/>
      <c r="P15" s="700" t="s">
        <v>35</v>
      </c>
      <c r="Q15" s="574"/>
      <c r="R15" s="574"/>
      <c r="S15" s="574"/>
      <c r="T15" s="57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1"/>
      <c r="Q16" s="701"/>
      <c r="R16" s="701"/>
      <c r="S16" s="701"/>
      <c r="T16" s="70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5" t="s">
        <v>36</v>
      </c>
      <c r="B17" s="585" t="s">
        <v>37</v>
      </c>
      <c r="C17" s="687" t="s">
        <v>38</v>
      </c>
      <c r="D17" s="585" t="s">
        <v>39</v>
      </c>
      <c r="E17" s="656"/>
      <c r="F17" s="585" t="s">
        <v>40</v>
      </c>
      <c r="G17" s="585" t="s">
        <v>41</v>
      </c>
      <c r="H17" s="585" t="s">
        <v>42</v>
      </c>
      <c r="I17" s="585" t="s">
        <v>43</v>
      </c>
      <c r="J17" s="585" t="s">
        <v>44</v>
      </c>
      <c r="K17" s="585" t="s">
        <v>45</v>
      </c>
      <c r="L17" s="585" t="s">
        <v>46</v>
      </c>
      <c r="M17" s="585" t="s">
        <v>47</v>
      </c>
      <c r="N17" s="585" t="s">
        <v>48</v>
      </c>
      <c r="O17" s="585" t="s">
        <v>49</v>
      </c>
      <c r="P17" s="585" t="s">
        <v>50</v>
      </c>
      <c r="Q17" s="655"/>
      <c r="R17" s="655"/>
      <c r="S17" s="655"/>
      <c r="T17" s="656"/>
      <c r="U17" s="865" t="s">
        <v>51</v>
      </c>
      <c r="V17" s="646"/>
      <c r="W17" s="585" t="s">
        <v>52</v>
      </c>
      <c r="X17" s="585" t="s">
        <v>53</v>
      </c>
      <c r="Y17" s="863" t="s">
        <v>54</v>
      </c>
      <c r="Z17" s="779" t="s">
        <v>55</v>
      </c>
      <c r="AA17" s="757" t="s">
        <v>56</v>
      </c>
      <c r="AB17" s="757" t="s">
        <v>57</v>
      </c>
      <c r="AC17" s="757" t="s">
        <v>58</v>
      </c>
      <c r="AD17" s="757" t="s">
        <v>59</v>
      </c>
      <c r="AE17" s="830"/>
      <c r="AF17" s="831"/>
      <c r="AG17" s="66"/>
      <c r="BD17" s="65" t="s">
        <v>60</v>
      </c>
    </row>
    <row r="18" spans="1:68" ht="14.25" customHeight="1" x14ac:dyDescent="0.2">
      <c r="A18" s="586"/>
      <c r="B18" s="586"/>
      <c r="C18" s="586"/>
      <c r="D18" s="657"/>
      <c r="E18" s="659"/>
      <c r="F18" s="586"/>
      <c r="G18" s="586"/>
      <c r="H18" s="586"/>
      <c r="I18" s="586"/>
      <c r="J18" s="586"/>
      <c r="K18" s="586"/>
      <c r="L18" s="586"/>
      <c r="M18" s="586"/>
      <c r="N18" s="586"/>
      <c r="O18" s="586"/>
      <c r="P18" s="657"/>
      <c r="Q18" s="658"/>
      <c r="R18" s="658"/>
      <c r="S18" s="658"/>
      <c r="T18" s="659"/>
      <c r="U18" s="67" t="s">
        <v>61</v>
      </c>
      <c r="V18" s="67" t="s">
        <v>62</v>
      </c>
      <c r="W18" s="586"/>
      <c r="X18" s="586"/>
      <c r="Y18" s="864"/>
      <c r="Z18" s="780"/>
      <c r="AA18" s="758"/>
      <c r="AB18" s="758"/>
      <c r="AC18" s="758"/>
      <c r="AD18" s="832"/>
      <c r="AE18" s="833"/>
      <c r="AF18" s="834"/>
      <c r="AG18" s="66"/>
      <c r="BD18" s="65"/>
    </row>
    <row r="19" spans="1:68" ht="27.75" customHeight="1" x14ac:dyDescent="0.2">
      <c r="A19" s="650" t="s">
        <v>63</v>
      </c>
      <c r="B19" s="651"/>
      <c r="C19" s="651"/>
      <c r="D19" s="651"/>
      <c r="E19" s="651"/>
      <c r="F19" s="651"/>
      <c r="G19" s="651"/>
      <c r="H19" s="651"/>
      <c r="I19" s="651"/>
      <c r="J19" s="651"/>
      <c r="K19" s="651"/>
      <c r="L19" s="651"/>
      <c r="M19" s="651"/>
      <c r="N19" s="651"/>
      <c r="O19" s="651"/>
      <c r="P19" s="651"/>
      <c r="Q19" s="651"/>
      <c r="R19" s="651"/>
      <c r="S19" s="651"/>
      <c r="T19" s="651"/>
      <c r="U19" s="651"/>
      <c r="V19" s="651"/>
      <c r="W19" s="651"/>
      <c r="X19" s="651"/>
      <c r="Y19" s="651"/>
      <c r="Z19" s="651"/>
      <c r="AA19" s="48"/>
      <c r="AB19" s="48"/>
      <c r="AC19" s="48"/>
    </row>
    <row r="20" spans="1:68" ht="16.5" customHeight="1" x14ac:dyDescent="0.25">
      <c r="A20" s="558" t="s">
        <v>63</v>
      </c>
      <c r="B20" s="557"/>
      <c r="C20" s="557"/>
      <c r="D20" s="557"/>
      <c r="E20" s="557"/>
      <c r="F20" s="557"/>
      <c r="G20" s="557"/>
      <c r="H20" s="557"/>
      <c r="I20" s="557"/>
      <c r="J20" s="557"/>
      <c r="K20" s="557"/>
      <c r="L20" s="557"/>
      <c r="M20" s="557"/>
      <c r="N20" s="557"/>
      <c r="O20" s="557"/>
      <c r="P20" s="557"/>
      <c r="Q20" s="557"/>
      <c r="R20" s="557"/>
      <c r="S20" s="557"/>
      <c r="T20" s="557"/>
      <c r="U20" s="557"/>
      <c r="V20" s="557"/>
      <c r="W20" s="557"/>
      <c r="X20" s="557"/>
      <c r="Y20" s="557"/>
      <c r="Z20" s="557"/>
      <c r="AA20" s="538"/>
      <c r="AB20" s="538"/>
      <c r="AC20" s="538"/>
    </row>
    <row r="21" spans="1:68" ht="14.25" customHeight="1" x14ac:dyDescent="0.25">
      <c r="A21" s="556" t="s">
        <v>64</v>
      </c>
      <c r="B21" s="557"/>
      <c r="C21" s="557"/>
      <c r="D21" s="557"/>
      <c r="E21" s="557"/>
      <c r="F21" s="557"/>
      <c r="G21" s="557"/>
      <c r="H21" s="557"/>
      <c r="I21" s="557"/>
      <c r="J21" s="557"/>
      <c r="K21" s="557"/>
      <c r="L21" s="557"/>
      <c r="M21" s="557"/>
      <c r="N21" s="557"/>
      <c r="O21" s="557"/>
      <c r="P21" s="557"/>
      <c r="Q21" s="557"/>
      <c r="R21" s="557"/>
      <c r="S21" s="557"/>
      <c r="T21" s="557"/>
      <c r="U21" s="557"/>
      <c r="V21" s="557"/>
      <c r="W21" s="557"/>
      <c r="X21" s="557"/>
      <c r="Y21" s="557"/>
      <c r="Z21" s="557"/>
      <c r="AA21" s="539"/>
      <c r="AB21" s="539"/>
      <c r="AC21" s="539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47">
        <v>4680115887510</v>
      </c>
      <c r="E22" s="548"/>
      <c r="F22" s="542">
        <v>0.2</v>
      </c>
      <c r="G22" s="32">
        <v>6</v>
      </c>
      <c r="H22" s="542">
        <v>1.2</v>
      </c>
      <c r="I22" s="54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4" t="s">
        <v>69</v>
      </c>
      <c r="Q22" s="550"/>
      <c r="R22" s="550"/>
      <c r="S22" s="550"/>
      <c r="T22" s="551"/>
      <c r="U22" s="34"/>
      <c r="V22" s="34"/>
      <c r="W22" s="35" t="s">
        <v>70</v>
      </c>
      <c r="X22" s="543">
        <v>0</v>
      </c>
      <c r="Y22" s="54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71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72</v>
      </c>
      <c r="B23" s="54" t="s">
        <v>73</v>
      </c>
      <c r="C23" s="31">
        <v>4301031278</v>
      </c>
      <c r="D23" s="547">
        <v>4680115886643</v>
      </c>
      <c r="E23" s="548"/>
      <c r="F23" s="542">
        <v>0.19</v>
      </c>
      <c r="G23" s="32">
        <v>10</v>
      </c>
      <c r="H23" s="542">
        <v>1.9</v>
      </c>
      <c r="I23" s="542">
        <v>2</v>
      </c>
      <c r="J23" s="32">
        <v>234</v>
      </c>
      <c r="K23" s="32" t="s">
        <v>74</v>
      </c>
      <c r="L23" s="32"/>
      <c r="M23" s="33" t="s">
        <v>68</v>
      </c>
      <c r="N23" s="33"/>
      <c r="O23" s="32">
        <v>40</v>
      </c>
      <c r="P23" s="70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0"/>
      <c r="R23" s="550"/>
      <c r="S23" s="550"/>
      <c r="T23" s="551"/>
      <c r="U23" s="34"/>
      <c r="V23" s="34"/>
      <c r="W23" s="35" t="s">
        <v>70</v>
      </c>
      <c r="X23" s="543">
        <v>0</v>
      </c>
      <c r="Y23" s="54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75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7"/>
      <c r="B24" s="557"/>
      <c r="C24" s="557"/>
      <c r="D24" s="557"/>
      <c r="E24" s="557"/>
      <c r="F24" s="557"/>
      <c r="G24" s="557"/>
      <c r="H24" s="557"/>
      <c r="I24" s="557"/>
      <c r="J24" s="557"/>
      <c r="K24" s="557"/>
      <c r="L24" s="557"/>
      <c r="M24" s="557"/>
      <c r="N24" s="557"/>
      <c r="O24" s="568"/>
      <c r="P24" s="561" t="s">
        <v>76</v>
      </c>
      <c r="Q24" s="562"/>
      <c r="R24" s="562"/>
      <c r="S24" s="562"/>
      <c r="T24" s="562"/>
      <c r="U24" s="562"/>
      <c r="V24" s="563"/>
      <c r="W24" s="37" t="s">
        <v>77</v>
      </c>
      <c r="X24" s="545">
        <f>IFERROR(X22/H22,"0")+IFERROR(X23/H23,"0")</f>
        <v>0</v>
      </c>
      <c r="Y24" s="545">
        <f>IFERROR(Y22/H22,"0")+IFERROR(Y23/H23,"0")</f>
        <v>0</v>
      </c>
      <c r="Z24" s="545">
        <f>IFERROR(IF(Z22="",0,Z22),"0")+IFERROR(IF(Z23="",0,Z23),"0")</f>
        <v>0</v>
      </c>
      <c r="AA24" s="546"/>
      <c r="AB24" s="546"/>
      <c r="AC24" s="546"/>
    </row>
    <row r="25" spans="1:68" x14ac:dyDescent="0.2">
      <c r="A25" s="557"/>
      <c r="B25" s="557"/>
      <c r="C25" s="557"/>
      <c r="D25" s="557"/>
      <c r="E25" s="557"/>
      <c r="F25" s="557"/>
      <c r="G25" s="557"/>
      <c r="H25" s="557"/>
      <c r="I25" s="557"/>
      <c r="J25" s="557"/>
      <c r="K25" s="557"/>
      <c r="L25" s="557"/>
      <c r="M25" s="557"/>
      <c r="N25" s="557"/>
      <c r="O25" s="568"/>
      <c r="P25" s="561" t="s">
        <v>76</v>
      </c>
      <c r="Q25" s="562"/>
      <c r="R25" s="562"/>
      <c r="S25" s="562"/>
      <c r="T25" s="562"/>
      <c r="U25" s="562"/>
      <c r="V25" s="563"/>
      <c r="W25" s="37" t="s">
        <v>70</v>
      </c>
      <c r="X25" s="545">
        <f>IFERROR(SUM(X22:X23),"0")</f>
        <v>0</v>
      </c>
      <c r="Y25" s="545">
        <f>IFERROR(SUM(Y22:Y23),"0")</f>
        <v>0</v>
      </c>
      <c r="Z25" s="37"/>
      <c r="AA25" s="546"/>
      <c r="AB25" s="546"/>
      <c r="AC25" s="546"/>
    </row>
    <row r="26" spans="1:68" ht="14.25" customHeight="1" x14ac:dyDescent="0.25">
      <c r="A26" s="556" t="s">
        <v>78</v>
      </c>
      <c r="B26" s="557"/>
      <c r="C26" s="557"/>
      <c r="D26" s="557"/>
      <c r="E26" s="557"/>
      <c r="F26" s="557"/>
      <c r="G26" s="557"/>
      <c r="H26" s="557"/>
      <c r="I26" s="557"/>
      <c r="J26" s="557"/>
      <c r="K26" s="557"/>
      <c r="L26" s="557"/>
      <c r="M26" s="557"/>
      <c r="N26" s="557"/>
      <c r="O26" s="557"/>
      <c r="P26" s="557"/>
      <c r="Q26" s="557"/>
      <c r="R26" s="557"/>
      <c r="S26" s="557"/>
      <c r="T26" s="557"/>
      <c r="U26" s="557"/>
      <c r="V26" s="557"/>
      <c r="W26" s="557"/>
      <c r="X26" s="557"/>
      <c r="Y26" s="557"/>
      <c r="Z26" s="557"/>
      <c r="AA26" s="539"/>
      <c r="AB26" s="539"/>
      <c r="AC26" s="539"/>
    </row>
    <row r="27" spans="1:68" ht="27" customHeight="1" x14ac:dyDescent="0.25">
      <c r="A27" s="54" t="s">
        <v>79</v>
      </c>
      <c r="B27" s="54" t="s">
        <v>80</v>
      </c>
      <c r="C27" s="31">
        <v>4301051866</v>
      </c>
      <c r="D27" s="547">
        <v>4680115885912</v>
      </c>
      <c r="E27" s="548"/>
      <c r="F27" s="542">
        <v>0.3</v>
      </c>
      <c r="G27" s="32">
        <v>6</v>
      </c>
      <c r="H27" s="542">
        <v>1.8</v>
      </c>
      <c r="I27" s="542">
        <v>3.18</v>
      </c>
      <c r="J27" s="32">
        <v>182</v>
      </c>
      <c r="K27" s="32" t="s">
        <v>67</v>
      </c>
      <c r="L27" s="32"/>
      <c r="M27" s="33" t="s">
        <v>81</v>
      </c>
      <c r="N27" s="33"/>
      <c r="O27" s="32">
        <v>40</v>
      </c>
      <c r="P27" s="75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0"/>
      <c r="R27" s="550"/>
      <c r="S27" s="550"/>
      <c r="T27" s="551"/>
      <c r="U27" s="34"/>
      <c r="V27" s="34"/>
      <c r="W27" s="35" t="s">
        <v>70</v>
      </c>
      <c r="X27" s="543">
        <v>0</v>
      </c>
      <c r="Y27" s="5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82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83</v>
      </c>
      <c r="B28" s="54" t="s">
        <v>84</v>
      </c>
      <c r="C28" s="31">
        <v>4301051776</v>
      </c>
      <c r="D28" s="547">
        <v>4607091388237</v>
      </c>
      <c r="E28" s="548"/>
      <c r="F28" s="542">
        <v>0.42</v>
      </c>
      <c r="G28" s="32">
        <v>6</v>
      </c>
      <c r="H28" s="542">
        <v>2.52</v>
      </c>
      <c r="I28" s="542">
        <v>2.766</v>
      </c>
      <c r="J28" s="32">
        <v>182</v>
      </c>
      <c r="K28" s="32" t="s">
        <v>67</v>
      </c>
      <c r="L28" s="32"/>
      <c r="M28" s="33" t="s">
        <v>81</v>
      </c>
      <c r="N28" s="33"/>
      <c r="O28" s="32">
        <v>40</v>
      </c>
      <c r="P28" s="57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0"/>
      <c r="R28" s="550"/>
      <c r="S28" s="550"/>
      <c r="T28" s="551"/>
      <c r="U28" s="34"/>
      <c r="V28" s="34"/>
      <c r="W28" s="35" t="s">
        <v>70</v>
      </c>
      <c r="X28" s="543">
        <v>0</v>
      </c>
      <c r="Y28" s="5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4301052063</v>
      </c>
      <c r="D29" s="547">
        <v>4680115887350</v>
      </c>
      <c r="E29" s="548"/>
      <c r="F29" s="542">
        <v>0.3</v>
      </c>
      <c r="G29" s="32">
        <v>6</v>
      </c>
      <c r="H29" s="542">
        <v>1.8</v>
      </c>
      <c r="I29" s="542">
        <v>3.18</v>
      </c>
      <c r="J29" s="32">
        <v>182</v>
      </c>
      <c r="K29" s="32" t="s">
        <v>67</v>
      </c>
      <c r="L29" s="32"/>
      <c r="M29" s="33" t="s">
        <v>88</v>
      </c>
      <c r="N29" s="33"/>
      <c r="O29" s="32">
        <v>40</v>
      </c>
      <c r="P29" s="60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0"/>
      <c r="R29" s="550"/>
      <c r="S29" s="550"/>
      <c r="T29" s="551"/>
      <c r="U29" s="34"/>
      <c r="V29" s="34"/>
      <c r="W29" s="35" t="s">
        <v>70</v>
      </c>
      <c r="X29" s="543">
        <v>0</v>
      </c>
      <c r="Y29" s="54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90</v>
      </c>
      <c r="B30" s="54" t="s">
        <v>91</v>
      </c>
      <c r="C30" s="31">
        <v>4301051863</v>
      </c>
      <c r="D30" s="547">
        <v>4680115885905</v>
      </c>
      <c r="E30" s="548"/>
      <c r="F30" s="542">
        <v>0.3</v>
      </c>
      <c r="G30" s="32">
        <v>6</v>
      </c>
      <c r="H30" s="542">
        <v>1.8</v>
      </c>
      <c r="I30" s="542">
        <v>3.18</v>
      </c>
      <c r="J30" s="32">
        <v>182</v>
      </c>
      <c r="K30" s="32" t="s">
        <v>67</v>
      </c>
      <c r="L30" s="32"/>
      <c r="M30" s="33" t="s">
        <v>88</v>
      </c>
      <c r="N30" s="33"/>
      <c r="O30" s="32">
        <v>40</v>
      </c>
      <c r="P30" s="58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0"/>
      <c r="R30" s="550"/>
      <c r="S30" s="550"/>
      <c r="T30" s="551"/>
      <c r="U30" s="34"/>
      <c r="V30" s="34"/>
      <c r="W30" s="35" t="s">
        <v>70</v>
      </c>
      <c r="X30" s="543">
        <v>0</v>
      </c>
      <c r="Y30" s="5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92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93</v>
      </c>
      <c r="B31" s="54" t="s">
        <v>94</v>
      </c>
      <c r="C31" s="31">
        <v>4301051851</v>
      </c>
      <c r="D31" s="547">
        <v>4607091388244</v>
      </c>
      <c r="E31" s="548"/>
      <c r="F31" s="542">
        <v>0.42</v>
      </c>
      <c r="G31" s="32">
        <v>6</v>
      </c>
      <c r="H31" s="542">
        <v>2.52</v>
      </c>
      <c r="I31" s="542">
        <v>2.766</v>
      </c>
      <c r="J31" s="32">
        <v>182</v>
      </c>
      <c r="K31" s="32" t="s">
        <v>67</v>
      </c>
      <c r="L31" s="32"/>
      <c r="M31" s="33" t="s">
        <v>88</v>
      </c>
      <c r="N31" s="33"/>
      <c r="O31" s="32">
        <v>40</v>
      </c>
      <c r="P31" s="61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0"/>
      <c r="R31" s="550"/>
      <c r="S31" s="550"/>
      <c r="T31" s="551"/>
      <c r="U31" s="34"/>
      <c r="V31" s="34"/>
      <c r="W31" s="35" t="s">
        <v>70</v>
      </c>
      <c r="X31" s="543">
        <v>0</v>
      </c>
      <c r="Y31" s="54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92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67"/>
      <c r="B32" s="557"/>
      <c r="C32" s="557"/>
      <c r="D32" s="557"/>
      <c r="E32" s="557"/>
      <c r="F32" s="557"/>
      <c r="G32" s="557"/>
      <c r="H32" s="557"/>
      <c r="I32" s="557"/>
      <c r="J32" s="557"/>
      <c r="K32" s="557"/>
      <c r="L32" s="557"/>
      <c r="M32" s="557"/>
      <c r="N32" s="557"/>
      <c r="O32" s="568"/>
      <c r="P32" s="561" t="s">
        <v>76</v>
      </c>
      <c r="Q32" s="562"/>
      <c r="R32" s="562"/>
      <c r="S32" s="562"/>
      <c r="T32" s="562"/>
      <c r="U32" s="562"/>
      <c r="V32" s="563"/>
      <c r="W32" s="37" t="s">
        <v>77</v>
      </c>
      <c r="X32" s="545">
        <f>IFERROR(X27/H27,"0")+IFERROR(X28/H28,"0")+IFERROR(X29/H29,"0")+IFERROR(X30/H30,"0")+IFERROR(X31/H31,"0")</f>
        <v>0</v>
      </c>
      <c r="Y32" s="545">
        <f>IFERROR(Y27/H27,"0")+IFERROR(Y28/H28,"0")+IFERROR(Y29/H29,"0")+IFERROR(Y30/H30,"0")+IFERROR(Y31/H31,"0")</f>
        <v>0</v>
      </c>
      <c r="Z32" s="545">
        <f>IFERROR(IF(Z27="",0,Z27),"0")+IFERROR(IF(Z28="",0,Z28),"0")+IFERROR(IF(Z29="",0,Z29),"0")+IFERROR(IF(Z30="",0,Z30),"0")+IFERROR(IF(Z31="",0,Z31),"0")</f>
        <v>0</v>
      </c>
      <c r="AA32" s="546"/>
      <c r="AB32" s="546"/>
      <c r="AC32" s="546"/>
    </row>
    <row r="33" spans="1:68" x14ac:dyDescent="0.2">
      <c r="A33" s="557"/>
      <c r="B33" s="557"/>
      <c r="C33" s="557"/>
      <c r="D33" s="557"/>
      <c r="E33" s="557"/>
      <c r="F33" s="557"/>
      <c r="G33" s="557"/>
      <c r="H33" s="557"/>
      <c r="I33" s="557"/>
      <c r="J33" s="557"/>
      <c r="K33" s="557"/>
      <c r="L33" s="557"/>
      <c r="M33" s="557"/>
      <c r="N33" s="557"/>
      <c r="O33" s="568"/>
      <c r="P33" s="561" t="s">
        <v>76</v>
      </c>
      <c r="Q33" s="562"/>
      <c r="R33" s="562"/>
      <c r="S33" s="562"/>
      <c r="T33" s="562"/>
      <c r="U33" s="562"/>
      <c r="V33" s="563"/>
      <c r="W33" s="37" t="s">
        <v>70</v>
      </c>
      <c r="X33" s="545">
        <f>IFERROR(SUM(X27:X31),"0")</f>
        <v>0</v>
      </c>
      <c r="Y33" s="545">
        <f>IFERROR(SUM(Y27:Y31),"0")</f>
        <v>0</v>
      </c>
      <c r="Z33" s="37"/>
      <c r="AA33" s="546"/>
      <c r="AB33" s="546"/>
      <c r="AC33" s="546"/>
    </row>
    <row r="34" spans="1:68" ht="14.25" customHeight="1" x14ac:dyDescent="0.25">
      <c r="A34" s="556" t="s">
        <v>95</v>
      </c>
      <c r="B34" s="557"/>
      <c r="C34" s="557"/>
      <c r="D34" s="557"/>
      <c r="E34" s="557"/>
      <c r="F34" s="557"/>
      <c r="G34" s="557"/>
      <c r="H34" s="557"/>
      <c r="I34" s="557"/>
      <c r="J34" s="557"/>
      <c r="K34" s="557"/>
      <c r="L34" s="557"/>
      <c r="M34" s="557"/>
      <c r="N34" s="557"/>
      <c r="O34" s="557"/>
      <c r="P34" s="557"/>
      <c r="Q34" s="557"/>
      <c r="R34" s="557"/>
      <c r="S34" s="557"/>
      <c r="T34" s="557"/>
      <c r="U34" s="557"/>
      <c r="V34" s="557"/>
      <c r="W34" s="557"/>
      <c r="X34" s="557"/>
      <c r="Y34" s="557"/>
      <c r="Z34" s="557"/>
      <c r="AA34" s="539"/>
      <c r="AB34" s="539"/>
      <c r="AC34" s="539"/>
    </row>
    <row r="35" spans="1:68" ht="27" customHeight="1" x14ac:dyDescent="0.25">
      <c r="A35" s="54" t="s">
        <v>96</v>
      </c>
      <c r="B35" s="54" t="s">
        <v>97</v>
      </c>
      <c r="C35" s="31">
        <v>4301032013</v>
      </c>
      <c r="D35" s="547">
        <v>4607091388503</v>
      </c>
      <c r="E35" s="548"/>
      <c r="F35" s="542">
        <v>0.05</v>
      </c>
      <c r="G35" s="32">
        <v>12</v>
      </c>
      <c r="H35" s="542">
        <v>0.6</v>
      </c>
      <c r="I35" s="542">
        <v>0.82199999999999995</v>
      </c>
      <c r="J35" s="32">
        <v>182</v>
      </c>
      <c r="K35" s="32" t="s">
        <v>67</v>
      </c>
      <c r="L35" s="32"/>
      <c r="M35" s="33" t="s">
        <v>98</v>
      </c>
      <c r="N35" s="33"/>
      <c r="O35" s="32">
        <v>120</v>
      </c>
      <c r="P35" s="79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0"/>
      <c r="R35" s="550"/>
      <c r="S35" s="550"/>
      <c r="T35" s="551"/>
      <c r="U35" s="34"/>
      <c r="V35" s="34"/>
      <c r="W35" s="35" t="s">
        <v>70</v>
      </c>
      <c r="X35" s="543">
        <v>0</v>
      </c>
      <c r="Y35" s="54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99</v>
      </c>
      <c r="AG35" s="64"/>
      <c r="AJ35" s="68"/>
      <c r="AK35" s="68">
        <v>0</v>
      </c>
      <c r="BB35" s="84" t="s">
        <v>100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67"/>
      <c r="B36" s="557"/>
      <c r="C36" s="557"/>
      <c r="D36" s="557"/>
      <c r="E36" s="557"/>
      <c r="F36" s="557"/>
      <c r="G36" s="557"/>
      <c r="H36" s="557"/>
      <c r="I36" s="557"/>
      <c r="J36" s="557"/>
      <c r="K36" s="557"/>
      <c r="L36" s="557"/>
      <c r="M36" s="557"/>
      <c r="N36" s="557"/>
      <c r="O36" s="568"/>
      <c r="P36" s="561" t="s">
        <v>76</v>
      </c>
      <c r="Q36" s="562"/>
      <c r="R36" s="562"/>
      <c r="S36" s="562"/>
      <c r="T36" s="562"/>
      <c r="U36" s="562"/>
      <c r="V36" s="563"/>
      <c r="W36" s="37" t="s">
        <v>77</v>
      </c>
      <c r="X36" s="545">
        <f>IFERROR(X35/H35,"0")</f>
        <v>0</v>
      </c>
      <c r="Y36" s="545">
        <f>IFERROR(Y35/H35,"0")</f>
        <v>0</v>
      </c>
      <c r="Z36" s="545">
        <f>IFERROR(IF(Z35="",0,Z35),"0")</f>
        <v>0</v>
      </c>
      <c r="AA36" s="546"/>
      <c r="AB36" s="546"/>
      <c r="AC36" s="546"/>
    </row>
    <row r="37" spans="1:68" x14ac:dyDescent="0.2">
      <c r="A37" s="557"/>
      <c r="B37" s="557"/>
      <c r="C37" s="557"/>
      <c r="D37" s="557"/>
      <c r="E37" s="557"/>
      <c r="F37" s="557"/>
      <c r="G37" s="557"/>
      <c r="H37" s="557"/>
      <c r="I37" s="557"/>
      <c r="J37" s="557"/>
      <c r="K37" s="557"/>
      <c r="L37" s="557"/>
      <c r="M37" s="557"/>
      <c r="N37" s="557"/>
      <c r="O37" s="568"/>
      <c r="P37" s="561" t="s">
        <v>76</v>
      </c>
      <c r="Q37" s="562"/>
      <c r="R37" s="562"/>
      <c r="S37" s="562"/>
      <c r="T37" s="562"/>
      <c r="U37" s="562"/>
      <c r="V37" s="563"/>
      <c r="W37" s="37" t="s">
        <v>70</v>
      </c>
      <c r="X37" s="545">
        <f>IFERROR(SUM(X35:X35),"0")</f>
        <v>0</v>
      </c>
      <c r="Y37" s="545">
        <f>IFERROR(SUM(Y35:Y35),"0")</f>
        <v>0</v>
      </c>
      <c r="Z37" s="37"/>
      <c r="AA37" s="546"/>
      <c r="AB37" s="546"/>
      <c r="AC37" s="546"/>
    </row>
    <row r="38" spans="1:68" ht="27.75" customHeight="1" x14ac:dyDescent="0.2">
      <c r="A38" s="650" t="s">
        <v>101</v>
      </c>
      <c r="B38" s="651"/>
      <c r="C38" s="651"/>
      <c r="D38" s="651"/>
      <c r="E38" s="651"/>
      <c r="F38" s="651"/>
      <c r="G38" s="651"/>
      <c r="H38" s="651"/>
      <c r="I38" s="651"/>
      <c r="J38" s="651"/>
      <c r="K38" s="651"/>
      <c r="L38" s="651"/>
      <c r="M38" s="651"/>
      <c r="N38" s="651"/>
      <c r="O38" s="651"/>
      <c r="P38" s="651"/>
      <c r="Q38" s="651"/>
      <c r="R38" s="651"/>
      <c r="S38" s="651"/>
      <c r="T38" s="651"/>
      <c r="U38" s="651"/>
      <c r="V38" s="651"/>
      <c r="W38" s="651"/>
      <c r="X38" s="651"/>
      <c r="Y38" s="651"/>
      <c r="Z38" s="651"/>
      <c r="AA38" s="48"/>
      <c r="AB38" s="48"/>
      <c r="AC38" s="48"/>
    </row>
    <row r="39" spans="1:68" ht="16.5" customHeight="1" x14ac:dyDescent="0.25">
      <c r="A39" s="558" t="s">
        <v>102</v>
      </c>
      <c r="B39" s="557"/>
      <c r="C39" s="557"/>
      <c r="D39" s="557"/>
      <c r="E39" s="557"/>
      <c r="F39" s="557"/>
      <c r="G39" s="557"/>
      <c r="H39" s="557"/>
      <c r="I39" s="557"/>
      <c r="J39" s="557"/>
      <c r="K39" s="557"/>
      <c r="L39" s="557"/>
      <c r="M39" s="557"/>
      <c r="N39" s="557"/>
      <c r="O39" s="557"/>
      <c r="P39" s="557"/>
      <c r="Q39" s="557"/>
      <c r="R39" s="557"/>
      <c r="S39" s="557"/>
      <c r="T39" s="557"/>
      <c r="U39" s="557"/>
      <c r="V39" s="557"/>
      <c r="W39" s="557"/>
      <c r="X39" s="557"/>
      <c r="Y39" s="557"/>
      <c r="Z39" s="557"/>
      <c r="AA39" s="538"/>
      <c r="AB39" s="538"/>
      <c r="AC39" s="538"/>
    </row>
    <row r="40" spans="1:68" ht="14.25" customHeight="1" x14ac:dyDescent="0.25">
      <c r="A40" s="556" t="s">
        <v>103</v>
      </c>
      <c r="B40" s="557"/>
      <c r="C40" s="557"/>
      <c r="D40" s="557"/>
      <c r="E40" s="557"/>
      <c r="F40" s="557"/>
      <c r="G40" s="557"/>
      <c r="H40" s="557"/>
      <c r="I40" s="557"/>
      <c r="J40" s="557"/>
      <c r="K40" s="557"/>
      <c r="L40" s="557"/>
      <c r="M40" s="557"/>
      <c r="N40" s="557"/>
      <c r="O40" s="557"/>
      <c r="P40" s="557"/>
      <c r="Q40" s="557"/>
      <c r="R40" s="557"/>
      <c r="S40" s="557"/>
      <c r="T40" s="557"/>
      <c r="U40" s="557"/>
      <c r="V40" s="557"/>
      <c r="W40" s="557"/>
      <c r="X40" s="557"/>
      <c r="Y40" s="557"/>
      <c r="Z40" s="557"/>
      <c r="AA40" s="539"/>
      <c r="AB40" s="539"/>
      <c r="AC40" s="539"/>
    </row>
    <row r="41" spans="1:68" ht="16.5" customHeight="1" x14ac:dyDescent="0.25">
      <c r="A41" s="54" t="s">
        <v>104</v>
      </c>
      <c r="B41" s="54" t="s">
        <v>105</v>
      </c>
      <c r="C41" s="31">
        <v>4301011380</v>
      </c>
      <c r="D41" s="547">
        <v>4607091385670</v>
      </c>
      <c r="E41" s="548"/>
      <c r="F41" s="542">
        <v>1.35</v>
      </c>
      <c r="G41" s="32">
        <v>8</v>
      </c>
      <c r="H41" s="542">
        <v>10.8</v>
      </c>
      <c r="I41" s="542">
        <v>11.21</v>
      </c>
      <c r="J41" s="32">
        <v>64</v>
      </c>
      <c r="K41" s="32" t="s">
        <v>106</v>
      </c>
      <c r="L41" s="32" t="s">
        <v>107</v>
      </c>
      <c r="M41" s="33" t="s">
        <v>108</v>
      </c>
      <c r="N41" s="33"/>
      <c r="O41" s="32">
        <v>50</v>
      </c>
      <c r="P41" s="81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0"/>
      <c r="R41" s="550"/>
      <c r="S41" s="550"/>
      <c r="T41" s="551"/>
      <c r="U41" s="34"/>
      <c r="V41" s="34"/>
      <c r="W41" s="35" t="s">
        <v>70</v>
      </c>
      <c r="X41" s="543">
        <v>100</v>
      </c>
      <c r="Y41" s="544">
        <f>IFERROR(IF(X41="",0,CEILING((X41/$H41),1)*$H41),"")</f>
        <v>108</v>
      </c>
      <c r="Z41" s="36">
        <f>IFERROR(IF(Y41=0,"",ROUNDUP(Y41/H41,0)*0.01898),"")</f>
        <v>0.1898</v>
      </c>
      <c r="AA41" s="56"/>
      <c r="AB41" s="57"/>
      <c r="AC41" s="85" t="s">
        <v>109</v>
      </c>
      <c r="AG41" s="64"/>
      <c r="AJ41" s="68" t="s">
        <v>110</v>
      </c>
      <c r="AK41" s="68">
        <v>86.4</v>
      </c>
      <c r="BB41" s="86" t="s">
        <v>1</v>
      </c>
      <c r="BM41" s="64">
        <f>IFERROR(X41*I41/H41,"0")</f>
        <v>103.79629629629629</v>
      </c>
      <c r="BN41" s="64">
        <f>IFERROR(Y41*I41/H41,"0")</f>
        <v>112.1</v>
      </c>
      <c r="BO41" s="64">
        <f>IFERROR(1/J41*(X41/H41),"0")</f>
        <v>0.14467592592592593</v>
      </c>
      <c r="BP41" s="64">
        <f>IFERROR(1/J41*(Y41/H41),"0")</f>
        <v>0.15625</v>
      </c>
    </row>
    <row r="42" spans="1:68" ht="27" customHeight="1" x14ac:dyDescent="0.25">
      <c r="A42" s="54" t="s">
        <v>111</v>
      </c>
      <c r="B42" s="54" t="s">
        <v>112</v>
      </c>
      <c r="C42" s="31">
        <v>4301011382</v>
      </c>
      <c r="D42" s="547">
        <v>4607091385687</v>
      </c>
      <c r="E42" s="548"/>
      <c r="F42" s="542">
        <v>0.4</v>
      </c>
      <c r="G42" s="32">
        <v>10</v>
      </c>
      <c r="H42" s="542">
        <v>4</v>
      </c>
      <c r="I42" s="542">
        <v>4.1900000000000004</v>
      </c>
      <c r="J42" s="32">
        <v>132</v>
      </c>
      <c r="K42" s="32" t="s">
        <v>113</v>
      </c>
      <c r="L42" s="32" t="s">
        <v>114</v>
      </c>
      <c r="M42" s="33" t="s">
        <v>81</v>
      </c>
      <c r="N42" s="33"/>
      <c r="O42" s="32">
        <v>50</v>
      </c>
      <c r="P42" s="6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0"/>
      <c r="R42" s="550"/>
      <c r="S42" s="550"/>
      <c r="T42" s="551"/>
      <c r="U42" s="34"/>
      <c r="V42" s="34"/>
      <c r="W42" s="35" t="s">
        <v>70</v>
      </c>
      <c r="X42" s="543">
        <v>240</v>
      </c>
      <c r="Y42" s="544">
        <f>IFERROR(IF(X42="",0,CEILING((X42/$H42),1)*$H42),"")</f>
        <v>240</v>
      </c>
      <c r="Z42" s="36">
        <f>IFERROR(IF(Y42=0,"",ROUNDUP(Y42/H42,0)*0.00902),"")</f>
        <v>0.54120000000000001</v>
      </c>
      <c r="AA42" s="56"/>
      <c r="AB42" s="57"/>
      <c r="AC42" s="87" t="s">
        <v>109</v>
      </c>
      <c r="AG42" s="64"/>
      <c r="AJ42" s="68" t="s">
        <v>110</v>
      </c>
      <c r="AK42" s="68">
        <v>48</v>
      </c>
      <c r="BB42" s="88" t="s">
        <v>1</v>
      </c>
      <c r="BM42" s="64">
        <f>IFERROR(X42*I42/H42,"0")</f>
        <v>251.40000000000003</v>
      </c>
      <c r="BN42" s="64">
        <f>IFERROR(Y42*I42/H42,"0")</f>
        <v>251.40000000000003</v>
      </c>
      <c r="BO42" s="64">
        <f>IFERROR(1/J42*(X42/H42),"0")</f>
        <v>0.45454545454545459</v>
      </c>
      <c r="BP42" s="64">
        <f>IFERROR(1/J42*(Y42/H42),"0")</f>
        <v>0.45454545454545459</v>
      </c>
    </row>
    <row r="43" spans="1:68" ht="27" customHeight="1" x14ac:dyDescent="0.25">
      <c r="A43" s="54" t="s">
        <v>115</v>
      </c>
      <c r="B43" s="54" t="s">
        <v>116</v>
      </c>
      <c r="C43" s="31">
        <v>4301011565</v>
      </c>
      <c r="D43" s="547">
        <v>4680115882539</v>
      </c>
      <c r="E43" s="548"/>
      <c r="F43" s="542">
        <v>0.37</v>
      </c>
      <c r="G43" s="32">
        <v>10</v>
      </c>
      <c r="H43" s="542">
        <v>3.7</v>
      </c>
      <c r="I43" s="542">
        <v>3.89</v>
      </c>
      <c r="J43" s="32">
        <v>132</v>
      </c>
      <c r="K43" s="32" t="s">
        <v>113</v>
      </c>
      <c r="L43" s="32"/>
      <c r="M43" s="33" t="s">
        <v>81</v>
      </c>
      <c r="N43" s="33"/>
      <c r="O43" s="32">
        <v>50</v>
      </c>
      <c r="P43" s="70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0"/>
      <c r="R43" s="550"/>
      <c r="S43" s="550"/>
      <c r="T43" s="551"/>
      <c r="U43" s="34"/>
      <c r="V43" s="34"/>
      <c r="W43" s="35" t="s">
        <v>70</v>
      </c>
      <c r="X43" s="543">
        <v>0</v>
      </c>
      <c r="Y43" s="54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109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7"/>
      <c r="B44" s="557"/>
      <c r="C44" s="557"/>
      <c r="D44" s="557"/>
      <c r="E44" s="557"/>
      <c r="F44" s="557"/>
      <c r="G44" s="557"/>
      <c r="H44" s="557"/>
      <c r="I44" s="557"/>
      <c r="J44" s="557"/>
      <c r="K44" s="557"/>
      <c r="L44" s="557"/>
      <c r="M44" s="557"/>
      <c r="N44" s="557"/>
      <c r="O44" s="568"/>
      <c r="P44" s="561" t="s">
        <v>76</v>
      </c>
      <c r="Q44" s="562"/>
      <c r="R44" s="562"/>
      <c r="S44" s="562"/>
      <c r="T44" s="562"/>
      <c r="U44" s="562"/>
      <c r="V44" s="563"/>
      <c r="W44" s="37" t="s">
        <v>77</v>
      </c>
      <c r="X44" s="545">
        <f>IFERROR(X41/H41,"0")+IFERROR(X42/H42,"0")+IFERROR(X43/H43,"0")</f>
        <v>69.259259259259267</v>
      </c>
      <c r="Y44" s="545">
        <f>IFERROR(Y41/H41,"0")+IFERROR(Y42/H42,"0")+IFERROR(Y43/H43,"0")</f>
        <v>70</v>
      </c>
      <c r="Z44" s="545">
        <f>IFERROR(IF(Z41="",0,Z41),"0")+IFERROR(IF(Z42="",0,Z42),"0")+IFERROR(IF(Z43="",0,Z43),"0")</f>
        <v>0.73099999999999998</v>
      </c>
      <c r="AA44" s="546"/>
      <c r="AB44" s="546"/>
      <c r="AC44" s="546"/>
    </row>
    <row r="45" spans="1:68" x14ac:dyDescent="0.2">
      <c r="A45" s="557"/>
      <c r="B45" s="557"/>
      <c r="C45" s="557"/>
      <c r="D45" s="557"/>
      <c r="E45" s="557"/>
      <c r="F45" s="557"/>
      <c r="G45" s="557"/>
      <c r="H45" s="557"/>
      <c r="I45" s="557"/>
      <c r="J45" s="557"/>
      <c r="K45" s="557"/>
      <c r="L45" s="557"/>
      <c r="M45" s="557"/>
      <c r="N45" s="557"/>
      <c r="O45" s="568"/>
      <c r="P45" s="561" t="s">
        <v>76</v>
      </c>
      <c r="Q45" s="562"/>
      <c r="R45" s="562"/>
      <c r="S45" s="562"/>
      <c r="T45" s="562"/>
      <c r="U45" s="562"/>
      <c r="V45" s="563"/>
      <c r="W45" s="37" t="s">
        <v>70</v>
      </c>
      <c r="X45" s="545">
        <f>IFERROR(SUM(X41:X43),"0")</f>
        <v>340</v>
      </c>
      <c r="Y45" s="545">
        <f>IFERROR(SUM(Y41:Y43),"0")</f>
        <v>348</v>
      </c>
      <c r="Z45" s="37"/>
      <c r="AA45" s="546"/>
      <c r="AB45" s="546"/>
      <c r="AC45" s="546"/>
    </row>
    <row r="46" spans="1:68" ht="14.25" customHeight="1" x14ac:dyDescent="0.25">
      <c r="A46" s="556" t="s">
        <v>78</v>
      </c>
      <c r="B46" s="557"/>
      <c r="C46" s="557"/>
      <c r="D46" s="557"/>
      <c r="E46" s="557"/>
      <c r="F46" s="557"/>
      <c r="G46" s="557"/>
      <c r="H46" s="557"/>
      <c r="I46" s="557"/>
      <c r="J46" s="557"/>
      <c r="K46" s="557"/>
      <c r="L46" s="557"/>
      <c r="M46" s="557"/>
      <c r="N46" s="557"/>
      <c r="O46" s="557"/>
      <c r="P46" s="557"/>
      <c r="Q46" s="557"/>
      <c r="R46" s="557"/>
      <c r="S46" s="557"/>
      <c r="T46" s="557"/>
      <c r="U46" s="557"/>
      <c r="V46" s="557"/>
      <c r="W46" s="557"/>
      <c r="X46" s="557"/>
      <c r="Y46" s="557"/>
      <c r="Z46" s="557"/>
      <c r="AA46" s="539"/>
      <c r="AB46" s="539"/>
      <c r="AC46" s="539"/>
    </row>
    <row r="47" spans="1:68" ht="16.5" customHeight="1" x14ac:dyDescent="0.25">
      <c r="A47" s="54" t="s">
        <v>117</v>
      </c>
      <c r="B47" s="54" t="s">
        <v>118</v>
      </c>
      <c r="C47" s="31">
        <v>4301051820</v>
      </c>
      <c r="D47" s="547">
        <v>4680115884915</v>
      </c>
      <c r="E47" s="548"/>
      <c r="F47" s="542">
        <v>0.3</v>
      </c>
      <c r="G47" s="32">
        <v>6</v>
      </c>
      <c r="H47" s="542">
        <v>1.8</v>
      </c>
      <c r="I47" s="542">
        <v>1.98</v>
      </c>
      <c r="J47" s="32">
        <v>182</v>
      </c>
      <c r="K47" s="32" t="s">
        <v>67</v>
      </c>
      <c r="L47" s="32"/>
      <c r="M47" s="33" t="s">
        <v>81</v>
      </c>
      <c r="N47" s="33"/>
      <c r="O47" s="32">
        <v>40</v>
      </c>
      <c r="P47" s="64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0"/>
      <c r="R47" s="550"/>
      <c r="S47" s="550"/>
      <c r="T47" s="551"/>
      <c r="U47" s="34"/>
      <c r="V47" s="34"/>
      <c r="W47" s="35" t="s">
        <v>70</v>
      </c>
      <c r="X47" s="543">
        <v>0</v>
      </c>
      <c r="Y47" s="54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119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67"/>
      <c r="B48" s="557"/>
      <c r="C48" s="557"/>
      <c r="D48" s="557"/>
      <c r="E48" s="557"/>
      <c r="F48" s="557"/>
      <c r="G48" s="557"/>
      <c r="H48" s="557"/>
      <c r="I48" s="557"/>
      <c r="J48" s="557"/>
      <c r="K48" s="557"/>
      <c r="L48" s="557"/>
      <c r="M48" s="557"/>
      <c r="N48" s="557"/>
      <c r="O48" s="568"/>
      <c r="P48" s="561" t="s">
        <v>76</v>
      </c>
      <c r="Q48" s="562"/>
      <c r="R48" s="562"/>
      <c r="S48" s="562"/>
      <c r="T48" s="562"/>
      <c r="U48" s="562"/>
      <c r="V48" s="563"/>
      <c r="W48" s="37" t="s">
        <v>77</v>
      </c>
      <c r="X48" s="545">
        <f>IFERROR(X47/H47,"0")</f>
        <v>0</v>
      </c>
      <c r="Y48" s="545">
        <f>IFERROR(Y47/H47,"0")</f>
        <v>0</v>
      </c>
      <c r="Z48" s="545">
        <f>IFERROR(IF(Z47="",0,Z47),"0")</f>
        <v>0</v>
      </c>
      <c r="AA48" s="546"/>
      <c r="AB48" s="546"/>
      <c r="AC48" s="546"/>
    </row>
    <row r="49" spans="1:68" x14ac:dyDescent="0.2">
      <c r="A49" s="557"/>
      <c r="B49" s="557"/>
      <c r="C49" s="557"/>
      <c r="D49" s="557"/>
      <c r="E49" s="557"/>
      <c r="F49" s="557"/>
      <c r="G49" s="557"/>
      <c r="H49" s="557"/>
      <c r="I49" s="557"/>
      <c r="J49" s="557"/>
      <c r="K49" s="557"/>
      <c r="L49" s="557"/>
      <c r="M49" s="557"/>
      <c r="N49" s="557"/>
      <c r="O49" s="568"/>
      <c r="P49" s="561" t="s">
        <v>76</v>
      </c>
      <c r="Q49" s="562"/>
      <c r="R49" s="562"/>
      <c r="S49" s="562"/>
      <c r="T49" s="562"/>
      <c r="U49" s="562"/>
      <c r="V49" s="563"/>
      <c r="W49" s="37" t="s">
        <v>70</v>
      </c>
      <c r="X49" s="545">
        <f>IFERROR(SUM(X47:X47),"0")</f>
        <v>0</v>
      </c>
      <c r="Y49" s="545">
        <f>IFERROR(SUM(Y47:Y47),"0")</f>
        <v>0</v>
      </c>
      <c r="Z49" s="37"/>
      <c r="AA49" s="546"/>
      <c r="AB49" s="546"/>
      <c r="AC49" s="546"/>
    </row>
    <row r="50" spans="1:68" ht="16.5" customHeight="1" x14ac:dyDescent="0.25">
      <c r="A50" s="558" t="s">
        <v>120</v>
      </c>
      <c r="B50" s="557"/>
      <c r="C50" s="557"/>
      <c r="D50" s="557"/>
      <c r="E50" s="557"/>
      <c r="F50" s="557"/>
      <c r="G50" s="557"/>
      <c r="H50" s="557"/>
      <c r="I50" s="557"/>
      <c r="J50" s="557"/>
      <c r="K50" s="557"/>
      <c r="L50" s="557"/>
      <c r="M50" s="557"/>
      <c r="N50" s="557"/>
      <c r="O50" s="557"/>
      <c r="P50" s="557"/>
      <c r="Q50" s="557"/>
      <c r="R50" s="557"/>
      <c r="S50" s="557"/>
      <c r="T50" s="557"/>
      <c r="U50" s="557"/>
      <c r="V50" s="557"/>
      <c r="W50" s="557"/>
      <c r="X50" s="557"/>
      <c r="Y50" s="557"/>
      <c r="Z50" s="557"/>
      <c r="AA50" s="538"/>
      <c r="AB50" s="538"/>
      <c r="AC50" s="538"/>
    </row>
    <row r="51" spans="1:68" ht="14.25" customHeight="1" x14ac:dyDescent="0.25">
      <c r="A51" s="556" t="s">
        <v>103</v>
      </c>
      <c r="B51" s="557"/>
      <c r="C51" s="557"/>
      <c r="D51" s="557"/>
      <c r="E51" s="557"/>
      <c r="F51" s="557"/>
      <c r="G51" s="557"/>
      <c r="H51" s="557"/>
      <c r="I51" s="557"/>
      <c r="J51" s="557"/>
      <c r="K51" s="557"/>
      <c r="L51" s="557"/>
      <c r="M51" s="557"/>
      <c r="N51" s="557"/>
      <c r="O51" s="557"/>
      <c r="P51" s="557"/>
      <c r="Q51" s="557"/>
      <c r="R51" s="557"/>
      <c r="S51" s="557"/>
      <c r="T51" s="557"/>
      <c r="U51" s="557"/>
      <c r="V51" s="557"/>
      <c r="W51" s="557"/>
      <c r="X51" s="557"/>
      <c r="Y51" s="557"/>
      <c r="Z51" s="557"/>
      <c r="AA51" s="539"/>
      <c r="AB51" s="539"/>
      <c r="AC51" s="539"/>
    </row>
    <row r="52" spans="1:68" ht="27" customHeight="1" x14ac:dyDescent="0.25">
      <c r="A52" s="54" t="s">
        <v>121</v>
      </c>
      <c r="B52" s="54" t="s">
        <v>122</v>
      </c>
      <c r="C52" s="31">
        <v>4301012030</v>
      </c>
      <c r="D52" s="547">
        <v>4680115885882</v>
      </c>
      <c r="E52" s="548"/>
      <c r="F52" s="542">
        <v>1.4</v>
      </c>
      <c r="G52" s="32">
        <v>8</v>
      </c>
      <c r="H52" s="542">
        <v>11.2</v>
      </c>
      <c r="I52" s="542">
        <v>11.61</v>
      </c>
      <c r="J52" s="32">
        <v>64</v>
      </c>
      <c r="K52" s="32" t="s">
        <v>106</v>
      </c>
      <c r="L52" s="32"/>
      <c r="M52" s="33" t="s">
        <v>81</v>
      </c>
      <c r="N52" s="33"/>
      <c r="O52" s="32">
        <v>50</v>
      </c>
      <c r="P52" s="66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0"/>
      <c r="R52" s="550"/>
      <c r="S52" s="550"/>
      <c r="T52" s="551"/>
      <c r="U52" s="34"/>
      <c r="V52" s="34"/>
      <c r="W52" s="35" t="s">
        <v>70</v>
      </c>
      <c r="X52" s="543">
        <v>0</v>
      </c>
      <c r="Y52" s="544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124</v>
      </c>
      <c r="B53" s="54" t="s">
        <v>125</v>
      </c>
      <c r="C53" s="31">
        <v>4301011816</v>
      </c>
      <c r="D53" s="547">
        <v>4680115881426</v>
      </c>
      <c r="E53" s="548"/>
      <c r="F53" s="542">
        <v>1.35</v>
      </c>
      <c r="G53" s="32">
        <v>8</v>
      </c>
      <c r="H53" s="542">
        <v>10.8</v>
      </c>
      <c r="I53" s="542">
        <v>11.21</v>
      </c>
      <c r="J53" s="32">
        <v>64</v>
      </c>
      <c r="K53" s="32" t="s">
        <v>106</v>
      </c>
      <c r="L53" s="32"/>
      <c r="M53" s="33" t="s">
        <v>108</v>
      </c>
      <c r="N53" s="33"/>
      <c r="O53" s="32">
        <v>50</v>
      </c>
      <c r="P53" s="69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0"/>
      <c r="R53" s="550"/>
      <c r="S53" s="550"/>
      <c r="T53" s="551"/>
      <c r="U53" s="34"/>
      <c r="V53" s="34"/>
      <c r="W53" s="35" t="s">
        <v>70</v>
      </c>
      <c r="X53" s="543">
        <v>150</v>
      </c>
      <c r="Y53" s="544">
        <f t="shared" si="0"/>
        <v>151.20000000000002</v>
      </c>
      <c r="Z53" s="36">
        <f>IFERROR(IF(Y53=0,"",ROUNDUP(Y53/H53,0)*0.01898),"")</f>
        <v>0.26572000000000001</v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155.69444444444446</v>
      </c>
      <c r="BN53" s="64">
        <f t="shared" si="2"/>
        <v>156.94</v>
      </c>
      <c r="BO53" s="64">
        <f t="shared" si="3"/>
        <v>0.21701388888888887</v>
      </c>
      <c r="BP53" s="64">
        <f t="shared" si="4"/>
        <v>0.21875</v>
      </c>
    </row>
    <row r="54" spans="1:68" ht="27" customHeight="1" x14ac:dyDescent="0.25">
      <c r="A54" s="54" t="s">
        <v>127</v>
      </c>
      <c r="B54" s="54" t="s">
        <v>128</v>
      </c>
      <c r="C54" s="31">
        <v>4301011386</v>
      </c>
      <c r="D54" s="547">
        <v>4680115880283</v>
      </c>
      <c r="E54" s="548"/>
      <c r="F54" s="542">
        <v>0.6</v>
      </c>
      <c r="G54" s="32">
        <v>8</v>
      </c>
      <c r="H54" s="542">
        <v>4.8</v>
      </c>
      <c r="I54" s="542">
        <v>4.99</v>
      </c>
      <c r="J54" s="32">
        <v>132</v>
      </c>
      <c r="K54" s="32" t="s">
        <v>113</v>
      </c>
      <c r="L54" s="32"/>
      <c r="M54" s="33" t="s">
        <v>108</v>
      </c>
      <c r="N54" s="33"/>
      <c r="O54" s="32">
        <v>45</v>
      </c>
      <c r="P54" s="82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0"/>
      <c r="R54" s="550"/>
      <c r="S54" s="550"/>
      <c r="T54" s="551"/>
      <c r="U54" s="34"/>
      <c r="V54" s="34"/>
      <c r="W54" s="35" t="s">
        <v>70</v>
      </c>
      <c r="X54" s="543">
        <v>0</v>
      </c>
      <c r="Y54" s="54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130</v>
      </c>
      <c r="B55" s="54" t="s">
        <v>131</v>
      </c>
      <c r="C55" s="31">
        <v>4301011806</v>
      </c>
      <c r="D55" s="547">
        <v>4680115881525</v>
      </c>
      <c r="E55" s="548"/>
      <c r="F55" s="542">
        <v>0.4</v>
      </c>
      <c r="G55" s="32">
        <v>10</v>
      </c>
      <c r="H55" s="542">
        <v>4</v>
      </c>
      <c r="I55" s="542">
        <v>4.1900000000000004</v>
      </c>
      <c r="J55" s="32">
        <v>132</v>
      </c>
      <c r="K55" s="32" t="s">
        <v>113</v>
      </c>
      <c r="L55" s="32"/>
      <c r="M55" s="33" t="s">
        <v>108</v>
      </c>
      <c r="N55" s="33"/>
      <c r="O55" s="32">
        <v>50</v>
      </c>
      <c r="P55" s="67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0"/>
      <c r="R55" s="550"/>
      <c r="S55" s="550"/>
      <c r="T55" s="551"/>
      <c r="U55" s="34"/>
      <c r="V55" s="34"/>
      <c r="W55" s="35" t="s">
        <v>70</v>
      </c>
      <c r="X55" s="543">
        <v>0</v>
      </c>
      <c r="Y55" s="54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132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4301011589</v>
      </c>
      <c r="D56" s="547">
        <v>4680115885899</v>
      </c>
      <c r="E56" s="548"/>
      <c r="F56" s="542">
        <v>0.35</v>
      </c>
      <c r="G56" s="32">
        <v>6</v>
      </c>
      <c r="H56" s="542">
        <v>2.1</v>
      </c>
      <c r="I56" s="542">
        <v>2.2799999999999998</v>
      </c>
      <c r="J56" s="32">
        <v>182</v>
      </c>
      <c r="K56" s="32" t="s">
        <v>67</v>
      </c>
      <c r="L56" s="32"/>
      <c r="M56" s="33" t="s">
        <v>88</v>
      </c>
      <c r="N56" s="33"/>
      <c r="O56" s="32">
        <v>50</v>
      </c>
      <c r="P56" s="58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0"/>
      <c r="R56" s="550"/>
      <c r="S56" s="550"/>
      <c r="T56" s="551"/>
      <c r="U56" s="34"/>
      <c r="V56" s="34"/>
      <c r="W56" s="35" t="s">
        <v>70</v>
      </c>
      <c r="X56" s="543">
        <v>0</v>
      </c>
      <c r="Y56" s="54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136</v>
      </c>
      <c r="B57" s="54" t="s">
        <v>137</v>
      </c>
      <c r="C57" s="31">
        <v>4301011801</v>
      </c>
      <c r="D57" s="547">
        <v>4680115881419</v>
      </c>
      <c r="E57" s="548"/>
      <c r="F57" s="542">
        <v>0.45</v>
      </c>
      <c r="G57" s="32">
        <v>10</v>
      </c>
      <c r="H57" s="542">
        <v>4.5</v>
      </c>
      <c r="I57" s="542">
        <v>4.6900000000000004</v>
      </c>
      <c r="J57" s="32">
        <v>132</v>
      </c>
      <c r="K57" s="32" t="s">
        <v>113</v>
      </c>
      <c r="L57" s="32"/>
      <c r="M57" s="33" t="s">
        <v>108</v>
      </c>
      <c r="N57" s="33"/>
      <c r="O57" s="32">
        <v>50</v>
      </c>
      <c r="P57" s="83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0"/>
      <c r="R57" s="550"/>
      <c r="S57" s="550"/>
      <c r="T57" s="551"/>
      <c r="U57" s="34"/>
      <c r="V57" s="34"/>
      <c r="W57" s="35" t="s">
        <v>70</v>
      </c>
      <c r="X57" s="543">
        <v>270</v>
      </c>
      <c r="Y57" s="544">
        <f t="shared" si="0"/>
        <v>270</v>
      </c>
      <c r="Z57" s="36">
        <f>IFERROR(IF(Y57=0,"",ROUNDUP(Y57/H57,0)*0.00902),"")</f>
        <v>0.54120000000000001</v>
      </c>
      <c r="AA57" s="56"/>
      <c r="AB57" s="57"/>
      <c r="AC57" s="103" t="s">
        <v>138</v>
      </c>
      <c r="AG57" s="64"/>
      <c r="AJ57" s="68"/>
      <c r="AK57" s="68">
        <v>0</v>
      </c>
      <c r="BB57" s="104" t="s">
        <v>1</v>
      </c>
      <c r="BM57" s="64">
        <f t="shared" si="1"/>
        <v>281.40000000000003</v>
      </c>
      <c r="BN57" s="64">
        <f t="shared" si="2"/>
        <v>281.40000000000003</v>
      </c>
      <c r="BO57" s="64">
        <f t="shared" si="3"/>
        <v>0.45454545454545459</v>
      </c>
      <c r="BP57" s="64">
        <f t="shared" si="4"/>
        <v>0.45454545454545459</v>
      </c>
    </row>
    <row r="58" spans="1:68" x14ac:dyDescent="0.2">
      <c r="A58" s="567"/>
      <c r="B58" s="557"/>
      <c r="C58" s="557"/>
      <c r="D58" s="557"/>
      <c r="E58" s="557"/>
      <c r="F58" s="557"/>
      <c r="G58" s="557"/>
      <c r="H58" s="557"/>
      <c r="I58" s="557"/>
      <c r="J58" s="557"/>
      <c r="K58" s="557"/>
      <c r="L58" s="557"/>
      <c r="M58" s="557"/>
      <c r="N58" s="557"/>
      <c r="O58" s="568"/>
      <c r="P58" s="561" t="s">
        <v>76</v>
      </c>
      <c r="Q58" s="562"/>
      <c r="R58" s="562"/>
      <c r="S58" s="562"/>
      <c r="T58" s="562"/>
      <c r="U58" s="562"/>
      <c r="V58" s="563"/>
      <c r="W58" s="37" t="s">
        <v>77</v>
      </c>
      <c r="X58" s="545">
        <f>IFERROR(X52/H52,"0")+IFERROR(X53/H53,"0")+IFERROR(X54/H54,"0")+IFERROR(X55/H55,"0")+IFERROR(X56/H56,"0")+IFERROR(X57/H57,"0")</f>
        <v>73.888888888888886</v>
      </c>
      <c r="Y58" s="545">
        <f>IFERROR(Y52/H52,"0")+IFERROR(Y53/H53,"0")+IFERROR(Y54/H54,"0")+IFERROR(Y55/H55,"0")+IFERROR(Y56/H56,"0")+IFERROR(Y57/H57,"0")</f>
        <v>74</v>
      </c>
      <c r="Z58" s="545">
        <f>IFERROR(IF(Z52="",0,Z52),"0")+IFERROR(IF(Z53="",0,Z53),"0")+IFERROR(IF(Z54="",0,Z54),"0")+IFERROR(IF(Z55="",0,Z55),"0")+IFERROR(IF(Z56="",0,Z56),"0")+IFERROR(IF(Z57="",0,Z57),"0")</f>
        <v>0.80692000000000008</v>
      </c>
      <c r="AA58" s="546"/>
      <c r="AB58" s="546"/>
      <c r="AC58" s="546"/>
    </row>
    <row r="59" spans="1:68" x14ac:dyDescent="0.2">
      <c r="A59" s="557"/>
      <c r="B59" s="557"/>
      <c r="C59" s="557"/>
      <c r="D59" s="557"/>
      <c r="E59" s="557"/>
      <c r="F59" s="557"/>
      <c r="G59" s="557"/>
      <c r="H59" s="557"/>
      <c r="I59" s="557"/>
      <c r="J59" s="557"/>
      <c r="K59" s="557"/>
      <c r="L59" s="557"/>
      <c r="M59" s="557"/>
      <c r="N59" s="557"/>
      <c r="O59" s="568"/>
      <c r="P59" s="561" t="s">
        <v>76</v>
      </c>
      <c r="Q59" s="562"/>
      <c r="R59" s="562"/>
      <c r="S59" s="562"/>
      <c r="T59" s="562"/>
      <c r="U59" s="562"/>
      <c r="V59" s="563"/>
      <c r="W59" s="37" t="s">
        <v>70</v>
      </c>
      <c r="X59" s="545">
        <f>IFERROR(SUM(X52:X57),"0")</f>
        <v>420</v>
      </c>
      <c r="Y59" s="545">
        <f>IFERROR(SUM(Y52:Y57),"0")</f>
        <v>421.20000000000005</v>
      </c>
      <c r="Z59" s="37"/>
      <c r="AA59" s="546"/>
      <c r="AB59" s="546"/>
      <c r="AC59" s="546"/>
    </row>
    <row r="60" spans="1:68" ht="14.25" customHeight="1" x14ac:dyDescent="0.25">
      <c r="A60" s="556" t="s">
        <v>139</v>
      </c>
      <c r="B60" s="557"/>
      <c r="C60" s="557"/>
      <c r="D60" s="557"/>
      <c r="E60" s="557"/>
      <c r="F60" s="557"/>
      <c r="G60" s="557"/>
      <c r="H60" s="557"/>
      <c r="I60" s="557"/>
      <c r="J60" s="557"/>
      <c r="K60" s="557"/>
      <c r="L60" s="557"/>
      <c r="M60" s="557"/>
      <c r="N60" s="557"/>
      <c r="O60" s="557"/>
      <c r="P60" s="557"/>
      <c r="Q60" s="557"/>
      <c r="R60" s="557"/>
      <c r="S60" s="557"/>
      <c r="T60" s="557"/>
      <c r="U60" s="557"/>
      <c r="V60" s="557"/>
      <c r="W60" s="557"/>
      <c r="X60" s="557"/>
      <c r="Y60" s="557"/>
      <c r="Z60" s="557"/>
      <c r="AA60" s="539"/>
      <c r="AB60" s="539"/>
      <c r="AC60" s="539"/>
    </row>
    <row r="61" spans="1:68" ht="16.5" customHeight="1" x14ac:dyDescent="0.25">
      <c r="A61" s="54" t="s">
        <v>140</v>
      </c>
      <c r="B61" s="54" t="s">
        <v>141</v>
      </c>
      <c r="C61" s="31">
        <v>4301020298</v>
      </c>
      <c r="D61" s="547">
        <v>4680115881440</v>
      </c>
      <c r="E61" s="548"/>
      <c r="F61" s="542">
        <v>1.35</v>
      </c>
      <c r="G61" s="32">
        <v>8</v>
      </c>
      <c r="H61" s="542">
        <v>10.8</v>
      </c>
      <c r="I61" s="542">
        <v>11.21</v>
      </c>
      <c r="J61" s="32">
        <v>64</v>
      </c>
      <c r="K61" s="32" t="s">
        <v>106</v>
      </c>
      <c r="L61" s="32" t="s">
        <v>107</v>
      </c>
      <c r="M61" s="33" t="s">
        <v>108</v>
      </c>
      <c r="N61" s="33"/>
      <c r="O61" s="32">
        <v>50</v>
      </c>
      <c r="P61" s="80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0"/>
      <c r="R61" s="550"/>
      <c r="S61" s="550"/>
      <c r="T61" s="551"/>
      <c r="U61" s="34"/>
      <c r="V61" s="34"/>
      <c r="W61" s="35" t="s">
        <v>70</v>
      </c>
      <c r="X61" s="543">
        <v>200</v>
      </c>
      <c r="Y61" s="544">
        <f>IFERROR(IF(X61="",0,CEILING((X61/$H61),1)*$H61),"")</f>
        <v>205.20000000000002</v>
      </c>
      <c r="Z61" s="36">
        <f>IFERROR(IF(Y61=0,"",ROUNDUP(Y61/H61,0)*0.01898),"")</f>
        <v>0.36062</v>
      </c>
      <c r="AA61" s="56"/>
      <c r="AB61" s="57"/>
      <c r="AC61" s="105" t="s">
        <v>142</v>
      </c>
      <c r="AG61" s="64"/>
      <c r="AJ61" s="68" t="s">
        <v>110</v>
      </c>
      <c r="AK61" s="68">
        <v>86.4</v>
      </c>
      <c r="BB61" s="106" t="s">
        <v>1</v>
      </c>
      <c r="BM61" s="64">
        <f>IFERROR(X61*I61/H61,"0")</f>
        <v>207.59259259259258</v>
      </c>
      <c r="BN61" s="64">
        <f>IFERROR(Y61*I61/H61,"0")</f>
        <v>212.99</v>
      </c>
      <c r="BO61" s="64">
        <f>IFERROR(1/J61*(X61/H61),"0")</f>
        <v>0.28935185185185186</v>
      </c>
      <c r="BP61" s="64">
        <f>IFERROR(1/J61*(Y61/H61),"0")</f>
        <v>0.296875</v>
      </c>
    </row>
    <row r="62" spans="1:68" ht="16.5" customHeight="1" x14ac:dyDescent="0.25">
      <c r="A62" s="54" t="s">
        <v>143</v>
      </c>
      <c r="B62" s="54" t="s">
        <v>144</v>
      </c>
      <c r="C62" s="31">
        <v>4301020358</v>
      </c>
      <c r="D62" s="547">
        <v>4680115885950</v>
      </c>
      <c r="E62" s="548"/>
      <c r="F62" s="542">
        <v>0.37</v>
      </c>
      <c r="G62" s="32">
        <v>6</v>
      </c>
      <c r="H62" s="542">
        <v>2.2200000000000002</v>
      </c>
      <c r="I62" s="542">
        <v>2.4</v>
      </c>
      <c r="J62" s="32">
        <v>182</v>
      </c>
      <c r="K62" s="32" t="s">
        <v>67</v>
      </c>
      <c r="L62" s="32"/>
      <c r="M62" s="33" t="s">
        <v>81</v>
      </c>
      <c r="N62" s="33"/>
      <c r="O62" s="32">
        <v>50</v>
      </c>
      <c r="P62" s="82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0"/>
      <c r="R62" s="550"/>
      <c r="S62" s="550"/>
      <c r="T62" s="551"/>
      <c r="U62" s="34"/>
      <c r="V62" s="34"/>
      <c r="W62" s="35" t="s">
        <v>70</v>
      </c>
      <c r="X62" s="543">
        <v>0</v>
      </c>
      <c r="Y62" s="54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142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145</v>
      </c>
      <c r="B63" s="54" t="s">
        <v>146</v>
      </c>
      <c r="C63" s="31">
        <v>4301020296</v>
      </c>
      <c r="D63" s="547">
        <v>4680115881433</v>
      </c>
      <c r="E63" s="548"/>
      <c r="F63" s="542">
        <v>0.45</v>
      </c>
      <c r="G63" s="32">
        <v>6</v>
      </c>
      <c r="H63" s="542">
        <v>2.7</v>
      </c>
      <c r="I63" s="542">
        <v>2.88</v>
      </c>
      <c r="J63" s="32">
        <v>182</v>
      </c>
      <c r="K63" s="32" t="s">
        <v>67</v>
      </c>
      <c r="L63" s="32"/>
      <c r="M63" s="33" t="s">
        <v>108</v>
      </c>
      <c r="N63" s="33"/>
      <c r="O63" s="32">
        <v>50</v>
      </c>
      <c r="P63" s="66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0"/>
      <c r="R63" s="550"/>
      <c r="S63" s="550"/>
      <c r="T63" s="551"/>
      <c r="U63" s="34"/>
      <c r="V63" s="34"/>
      <c r="W63" s="35" t="s">
        <v>70</v>
      </c>
      <c r="X63" s="543">
        <v>270</v>
      </c>
      <c r="Y63" s="544">
        <f>IFERROR(IF(X63="",0,CEILING((X63/$H63),1)*$H63),"")</f>
        <v>270</v>
      </c>
      <c r="Z63" s="36">
        <f>IFERROR(IF(Y63=0,"",ROUNDUP(Y63/H63,0)*0.00651),"")</f>
        <v>0.65100000000000002</v>
      </c>
      <c r="AA63" s="56"/>
      <c r="AB63" s="57"/>
      <c r="AC63" s="109" t="s">
        <v>142</v>
      </c>
      <c r="AG63" s="64"/>
      <c r="AJ63" s="68"/>
      <c r="AK63" s="68">
        <v>0</v>
      </c>
      <c r="BB63" s="110" t="s">
        <v>1</v>
      </c>
      <c r="BM63" s="64">
        <f>IFERROR(X63*I63/H63,"0")</f>
        <v>288</v>
      </c>
      <c r="BN63" s="64">
        <f>IFERROR(Y63*I63/H63,"0")</f>
        <v>288</v>
      </c>
      <c r="BO63" s="64">
        <f>IFERROR(1/J63*(X63/H63),"0")</f>
        <v>0.5494505494505495</v>
      </c>
      <c r="BP63" s="64">
        <f>IFERROR(1/J63*(Y63/H63),"0")</f>
        <v>0.5494505494505495</v>
      </c>
    </row>
    <row r="64" spans="1:68" x14ac:dyDescent="0.2">
      <c r="A64" s="567"/>
      <c r="B64" s="557"/>
      <c r="C64" s="557"/>
      <c r="D64" s="557"/>
      <c r="E64" s="557"/>
      <c r="F64" s="557"/>
      <c r="G64" s="557"/>
      <c r="H64" s="557"/>
      <c r="I64" s="557"/>
      <c r="J64" s="557"/>
      <c r="K64" s="557"/>
      <c r="L64" s="557"/>
      <c r="M64" s="557"/>
      <c r="N64" s="557"/>
      <c r="O64" s="568"/>
      <c r="P64" s="561" t="s">
        <v>76</v>
      </c>
      <c r="Q64" s="562"/>
      <c r="R64" s="562"/>
      <c r="S64" s="562"/>
      <c r="T64" s="562"/>
      <c r="U64" s="562"/>
      <c r="V64" s="563"/>
      <c r="W64" s="37" t="s">
        <v>77</v>
      </c>
      <c r="X64" s="545">
        <f>IFERROR(X61/H61,"0")+IFERROR(X62/H62,"0")+IFERROR(X63/H63,"0")</f>
        <v>118.51851851851852</v>
      </c>
      <c r="Y64" s="545">
        <f>IFERROR(Y61/H61,"0")+IFERROR(Y62/H62,"0")+IFERROR(Y63/H63,"0")</f>
        <v>119</v>
      </c>
      <c r="Z64" s="545">
        <f>IFERROR(IF(Z61="",0,Z61),"0")+IFERROR(IF(Z62="",0,Z62),"0")+IFERROR(IF(Z63="",0,Z63),"0")</f>
        <v>1.01162</v>
      </c>
      <c r="AA64" s="546"/>
      <c r="AB64" s="546"/>
      <c r="AC64" s="546"/>
    </row>
    <row r="65" spans="1:68" x14ac:dyDescent="0.2">
      <c r="A65" s="557"/>
      <c r="B65" s="557"/>
      <c r="C65" s="557"/>
      <c r="D65" s="557"/>
      <c r="E65" s="557"/>
      <c r="F65" s="557"/>
      <c r="G65" s="557"/>
      <c r="H65" s="557"/>
      <c r="I65" s="557"/>
      <c r="J65" s="557"/>
      <c r="K65" s="557"/>
      <c r="L65" s="557"/>
      <c r="M65" s="557"/>
      <c r="N65" s="557"/>
      <c r="O65" s="568"/>
      <c r="P65" s="561" t="s">
        <v>76</v>
      </c>
      <c r="Q65" s="562"/>
      <c r="R65" s="562"/>
      <c r="S65" s="562"/>
      <c r="T65" s="562"/>
      <c r="U65" s="562"/>
      <c r="V65" s="563"/>
      <c r="W65" s="37" t="s">
        <v>70</v>
      </c>
      <c r="X65" s="545">
        <f>IFERROR(SUM(X61:X63),"0")</f>
        <v>470</v>
      </c>
      <c r="Y65" s="545">
        <f>IFERROR(SUM(Y61:Y63),"0")</f>
        <v>475.20000000000005</v>
      </c>
      <c r="Z65" s="37"/>
      <c r="AA65" s="546"/>
      <c r="AB65" s="546"/>
      <c r="AC65" s="546"/>
    </row>
    <row r="66" spans="1:68" ht="14.25" customHeight="1" x14ac:dyDescent="0.25">
      <c r="A66" s="556" t="s">
        <v>64</v>
      </c>
      <c r="B66" s="557"/>
      <c r="C66" s="557"/>
      <c r="D66" s="557"/>
      <c r="E66" s="557"/>
      <c r="F66" s="557"/>
      <c r="G66" s="557"/>
      <c r="H66" s="557"/>
      <c r="I66" s="557"/>
      <c r="J66" s="557"/>
      <c r="K66" s="557"/>
      <c r="L66" s="557"/>
      <c r="M66" s="557"/>
      <c r="N66" s="557"/>
      <c r="O66" s="557"/>
      <c r="P66" s="557"/>
      <c r="Q66" s="557"/>
      <c r="R66" s="557"/>
      <c r="S66" s="557"/>
      <c r="T66" s="557"/>
      <c r="U66" s="557"/>
      <c r="V66" s="557"/>
      <c r="W66" s="557"/>
      <c r="X66" s="557"/>
      <c r="Y66" s="557"/>
      <c r="Z66" s="557"/>
      <c r="AA66" s="539"/>
      <c r="AB66" s="539"/>
      <c r="AC66" s="539"/>
    </row>
    <row r="67" spans="1:68" ht="27" customHeight="1" x14ac:dyDescent="0.25">
      <c r="A67" s="54" t="s">
        <v>147</v>
      </c>
      <c r="B67" s="54" t="s">
        <v>148</v>
      </c>
      <c r="C67" s="31">
        <v>4301031243</v>
      </c>
      <c r="D67" s="547">
        <v>4680115885073</v>
      </c>
      <c r="E67" s="548"/>
      <c r="F67" s="542">
        <v>0.3</v>
      </c>
      <c r="G67" s="32">
        <v>6</v>
      </c>
      <c r="H67" s="542">
        <v>1.8</v>
      </c>
      <c r="I67" s="542">
        <v>1.9</v>
      </c>
      <c r="J67" s="32">
        <v>234</v>
      </c>
      <c r="K67" s="32" t="s">
        <v>74</v>
      </c>
      <c r="L67" s="32"/>
      <c r="M67" s="33" t="s">
        <v>68</v>
      </c>
      <c r="N67" s="33"/>
      <c r="O67" s="32">
        <v>40</v>
      </c>
      <c r="P67" s="83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0"/>
      <c r="R67" s="550"/>
      <c r="S67" s="550"/>
      <c r="T67" s="551"/>
      <c r="U67" s="34"/>
      <c r="V67" s="34"/>
      <c r="W67" s="35" t="s">
        <v>70</v>
      </c>
      <c r="X67" s="543">
        <v>0</v>
      </c>
      <c r="Y67" s="54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150</v>
      </c>
      <c r="B68" s="54" t="s">
        <v>151</v>
      </c>
      <c r="C68" s="31">
        <v>4301031241</v>
      </c>
      <c r="D68" s="547">
        <v>4680115885059</v>
      </c>
      <c r="E68" s="548"/>
      <c r="F68" s="542">
        <v>0.3</v>
      </c>
      <c r="G68" s="32">
        <v>6</v>
      </c>
      <c r="H68" s="542">
        <v>1.8</v>
      </c>
      <c r="I68" s="542">
        <v>1.9</v>
      </c>
      <c r="J68" s="32">
        <v>234</v>
      </c>
      <c r="K68" s="32" t="s">
        <v>74</v>
      </c>
      <c r="L68" s="32"/>
      <c r="M68" s="33" t="s">
        <v>68</v>
      </c>
      <c r="N68" s="33"/>
      <c r="O68" s="32">
        <v>40</v>
      </c>
      <c r="P68" s="69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0"/>
      <c r="R68" s="550"/>
      <c r="S68" s="550"/>
      <c r="T68" s="551"/>
      <c r="U68" s="34"/>
      <c r="V68" s="34"/>
      <c r="W68" s="35" t="s">
        <v>70</v>
      </c>
      <c r="X68" s="543">
        <v>0</v>
      </c>
      <c r="Y68" s="54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customHeight="1" x14ac:dyDescent="0.25">
      <c r="A69" s="54" t="s">
        <v>153</v>
      </c>
      <c r="B69" s="54" t="s">
        <v>154</v>
      </c>
      <c r="C69" s="31">
        <v>4301031316</v>
      </c>
      <c r="D69" s="547">
        <v>4680115885097</v>
      </c>
      <c r="E69" s="548"/>
      <c r="F69" s="542">
        <v>0.3</v>
      </c>
      <c r="G69" s="32">
        <v>6</v>
      </c>
      <c r="H69" s="542">
        <v>1.8</v>
      </c>
      <c r="I69" s="542">
        <v>1.9</v>
      </c>
      <c r="J69" s="32">
        <v>234</v>
      </c>
      <c r="K69" s="32" t="s">
        <v>74</v>
      </c>
      <c r="L69" s="32"/>
      <c r="M69" s="33" t="s">
        <v>68</v>
      </c>
      <c r="N69" s="33"/>
      <c r="O69" s="32">
        <v>40</v>
      </c>
      <c r="P69" s="72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0"/>
      <c r="R69" s="550"/>
      <c r="S69" s="550"/>
      <c r="T69" s="551"/>
      <c r="U69" s="34"/>
      <c r="V69" s="34"/>
      <c r="W69" s="35" t="s">
        <v>70</v>
      </c>
      <c r="X69" s="543">
        <v>0</v>
      </c>
      <c r="Y69" s="544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155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567"/>
      <c r="B70" s="557"/>
      <c r="C70" s="557"/>
      <c r="D70" s="557"/>
      <c r="E70" s="557"/>
      <c r="F70" s="557"/>
      <c r="G70" s="557"/>
      <c r="H70" s="557"/>
      <c r="I70" s="557"/>
      <c r="J70" s="557"/>
      <c r="K70" s="557"/>
      <c r="L70" s="557"/>
      <c r="M70" s="557"/>
      <c r="N70" s="557"/>
      <c r="O70" s="568"/>
      <c r="P70" s="561" t="s">
        <v>76</v>
      </c>
      <c r="Q70" s="562"/>
      <c r="R70" s="562"/>
      <c r="S70" s="562"/>
      <c r="T70" s="562"/>
      <c r="U70" s="562"/>
      <c r="V70" s="563"/>
      <c r="W70" s="37" t="s">
        <v>77</v>
      </c>
      <c r="X70" s="545">
        <f>IFERROR(X67/H67,"0")+IFERROR(X68/H68,"0")+IFERROR(X69/H69,"0")</f>
        <v>0</v>
      </c>
      <c r="Y70" s="545">
        <f>IFERROR(Y67/H67,"0")+IFERROR(Y68/H68,"0")+IFERROR(Y69/H69,"0")</f>
        <v>0</v>
      </c>
      <c r="Z70" s="545">
        <f>IFERROR(IF(Z67="",0,Z67),"0")+IFERROR(IF(Z68="",0,Z68),"0")+IFERROR(IF(Z69="",0,Z69),"0")</f>
        <v>0</v>
      </c>
      <c r="AA70" s="546"/>
      <c r="AB70" s="546"/>
      <c r="AC70" s="546"/>
    </row>
    <row r="71" spans="1:68" x14ac:dyDescent="0.2">
      <c r="A71" s="557"/>
      <c r="B71" s="557"/>
      <c r="C71" s="557"/>
      <c r="D71" s="557"/>
      <c r="E71" s="557"/>
      <c r="F71" s="557"/>
      <c r="G71" s="557"/>
      <c r="H71" s="557"/>
      <c r="I71" s="557"/>
      <c r="J71" s="557"/>
      <c r="K71" s="557"/>
      <c r="L71" s="557"/>
      <c r="M71" s="557"/>
      <c r="N71" s="557"/>
      <c r="O71" s="568"/>
      <c r="P71" s="561" t="s">
        <v>76</v>
      </c>
      <c r="Q71" s="562"/>
      <c r="R71" s="562"/>
      <c r="S71" s="562"/>
      <c r="T71" s="562"/>
      <c r="U71" s="562"/>
      <c r="V71" s="563"/>
      <c r="W71" s="37" t="s">
        <v>70</v>
      </c>
      <c r="X71" s="545">
        <f>IFERROR(SUM(X67:X69),"0")</f>
        <v>0</v>
      </c>
      <c r="Y71" s="545">
        <f>IFERROR(SUM(Y67:Y69),"0")</f>
        <v>0</v>
      </c>
      <c r="Z71" s="37"/>
      <c r="AA71" s="546"/>
      <c r="AB71" s="546"/>
      <c r="AC71" s="546"/>
    </row>
    <row r="72" spans="1:68" ht="14.25" customHeight="1" x14ac:dyDescent="0.25">
      <c r="A72" s="556" t="s">
        <v>78</v>
      </c>
      <c r="B72" s="557"/>
      <c r="C72" s="557"/>
      <c r="D72" s="557"/>
      <c r="E72" s="557"/>
      <c r="F72" s="557"/>
      <c r="G72" s="557"/>
      <c r="H72" s="557"/>
      <c r="I72" s="557"/>
      <c r="J72" s="557"/>
      <c r="K72" s="557"/>
      <c r="L72" s="557"/>
      <c r="M72" s="557"/>
      <c r="N72" s="557"/>
      <c r="O72" s="557"/>
      <c r="P72" s="557"/>
      <c r="Q72" s="557"/>
      <c r="R72" s="557"/>
      <c r="S72" s="557"/>
      <c r="T72" s="557"/>
      <c r="U72" s="557"/>
      <c r="V72" s="557"/>
      <c r="W72" s="557"/>
      <c r="X72" s="557"/>
      <c r="Y72" s="557"/>
      <c r="Z72" s="557"/>
      <c r="AA72" s="539"/>
      <c r="AB72" s="539"/>
      <c r="AC72" s="539"/>
    </row>
    <row r="73" spans="1:68" ht="27" customHeight="1" x14ac:dyDescent="0.25">
      <c r="A73" s="54" t="s">
        <v>156</v>
      </c>
      <c r="B73" s="54" t="s">
        <v>157</v>
      </c>
      <c r="C73" s="31">
        <v>4301051846</v>
      </c>
      <c r="D73" s="547">
        <v>4680115885769</v>
      </c>
      <c r="E73" s="548"/>
      <c r="F73" s="542">
        <v>1.4</v>
      </c>
      <c r="G73" s="32">
        <v>6</v>
      </c>
      <c r="H73" s="542">
        <v>8.4</v>
      </c>
      <c r="I73" s="542">
        <v>8.81</v>
      </c>
      <c r="J73" s="32">
        <v>64</v>
      </c>
      <c r="K73" s="32" t="s">
        <v>106</v>
      </c>
      <c r="L73" s="32"/>
      <c r="M73" s="33" t="s">
        <v>81</v>
      </c>
      <c r="N73" s="33"/>
      <c r="O73" s="32">
        <v>45</v>
      </c>
      <c r="P73" s="54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0"/>
      <c r="R73" s="550"/>
      <c r="S73" s="550"/>
      <c r="T73" s="551"/>
      <c r="U73" s="34"/>
      <c r="V73" s="34"/>
      <c r="W73" s="35" t="s">
        <v>70</v>
      </c>
      <c r="X73" s="543">
        <v>0</v>
      </c>
      <c r="Y73" s="544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158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customHeight="1" x14ac:dyDescent="0.25">
      <c r="A74" s="54" t="s">
        <v>159</v>
      </c>
      <c r="B74" s="54" t="s">
        <v>160</v>
      </c>
      <c r="C74" s="31">
        <v>4301051837</v>
      </c>
      <c r="D74" s="547">
        <v>4680115884311</v>
      </c>
      <c r="E74" s="548"/>
      <c r="F74" s="542">
        <v>0.3</v>
      </c>
      <c r="G74" s="32">
        <v>6</v>
      </c>
      <c r="H74" s="542">
        <v>1.8</v>
      </c>
      <c r="I74" s="542">
        <v>2.0459999999999998</v>
      </c>
      <c r="J74" s="32">
        <v>182</v>
      </c>
      <c r="K74" s="32" t="s">
        <v>67</v>
      </c>
      <c r="L74" s="32"/>
      <c r="M74" s="33" t="s">
        <v>81</v>
      </c>
      <c r="N74" s="33"/>
      <c r="O74" s="32">
        <v>40</v>
      </c>
      <c r="P74" s="7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0"/>
      <c r="R74" s="550"/>
      <c r="S74" s="550"/>
      <c r="T74" s="551"/>
      <c r="U74" s="34"/>
      <c r="V74" s="34"/>
      <c r="W74" s="35" t="s">
        <v>70</v>
      </c>
      <c r="X74" s="543">
        <v>0</v>
      </c>
      <c r="Y74" s="54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161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162</v>
      </c>
      <c r="B75" s="54" t="s">
        <v>163</v>
      </c>
      <c r="C75" s="31">
        <v>4301051844</v>
      </c>
      <c r="D75" s="547">
        <v>4680115885929</v>
      </c>
      <c r="E75" s="548"/>
      <c r="F75" s="542">
        <v>0.42</v>
      </c>
      <c r="G75" s="32">
        <v>6</v>
      </c>
      <c r="H75" s="542">
        <v>2.52</v>
      </c>
      <c r="I75" s="542">
        <v>2.7</v>
      </c>
      <c r="J75" s="32">
        <v>182</v>
      </c>
      <c r="K75" s="32" t="s">
        <v>67</v>
      </c>
      <c r="L75" s="32"/>
      <c r="M75" s="33" t="s">
        <v>81</v>
      </c>
      <c r="N75" s="33"/>
      <c r="O75" s="32">
        <v>45</v>
      </c>
      <c r="P75" s="840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0"/>
      <c r="R75" s="550"/>
      <c r="S75" s="550"/>
      <c r="T75" s="551"/>
      <c r="U75" s="34"/>
      <c r="V75" s="34"/>
      <c r="W75" s="35" t="s">
        <v>70</v>
      </c>
      <c r="X75" s="543">
        <v>0</v>
      </c>
      <c r="Y75" s="54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158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customHeight="1" x14ac:dyDescent="0.25">
      <c r="A76" s="54" t="s">
        <v>164</v>
      </c>
      <c r="B76" s="54" t="s">
        <v>165</v>
      </c>
      <c r="C76" s="31">
        <v>4301051929</v>
      </c>
      <c r="D76" s="547">
        <v>4680115884403</v>
      </c>
      <c r="E76" s="548"/>
      <c r="F76" s="542">
        <v>0.3</v>
      </c>
      <c r="G76" s="32">
        <v>6</v>
      </c>
      <c r="H76" s="542">
        <v>1.8</v>
      </c>
      <c r="I76" s="542">
        <v>1.98</v>
      </c>
      <c r="J76" s="32">
        <v>182</v>
      </c>
      <c r="K76" s="32" t="s">
        <v>67</v>
      </c>
      <c r="L76" s="32"/>
      <c r="M76" s="33" t="s">
        <v>81</v>
      </c>
      <c r="N76" s="33"/>
      <c r="O76" s="32">
        <v>40</v>
      </c>
      <c r="P76" s="71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0"/>
      <c r="R76" s="550"/>
      <c r="S76" s="550"/>
      <c r="T76" s="551"/>
      <c r="U76" s="34"/>
      <c r="V76" s="34"/>
      <c r="W76" s="35" t="s">
        <v>70</v>
      </c>
      <c r="X76" s="543">
        <v>0</v>
      </c>
      <c r="Y76" s="544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166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x14ac:dyDescent="0.2">
      <c r="A77" s="567"/>
      <c r="B77" s="557"/>
      <c r="C77" s="557"/>
      <c r="D77" s="557"/>
      <c r="E77" s="557"/>
      <c r="F77" s="557"/>
      <c r="G77" s="557"/>
      <c r="H77" s="557"/>
      <c r="I77" s="557"/>
      <c r="J77" s="557"/>
      <c r="K77" s="557"/>
      <c r="L77" s="557"/>
      <c r="M77" s="557"/>
      <c r="N77" s="557"/>
      <c r="O77" s="568"/>
      <c r="P77" s="561" t="s">
        <v>76</v>
      </c>
      <c r="Q77" s="562"/>
      <c r="R77" s="562"/>
      <c r="S77" s="562"/>
      <c r="T77" s="562"/>
      <c r="U77" s="562"/>
      <c r="V77" s="563"/>
      <c r="W77" s="37" t="s">
        <v>77</v>
      </c>
      <c r="X77" s="545">
        <f>IFERROR(X73/H73,"0")+IFERROR(X74/H74,"0")+IFERROR(X75/H75,"0")+IFERROR(X76/H76,"0")</f>
        <v>0</v>
      </c>
      <c r="Y77" s="545">
        <f>IFERROR(Y73/H73,"0")+IFERROR(Y74/H74,"0")+IFERROR(Y75/H75,"0")+IFERROR(Y76/H76,"0")</f>
        <v>0</v>
      </c>
      <c r="Z77" s="545">
        <f>IFERROR(IF(Z73="",0,Z73),"0")+IFERROR(IF(Z74="",0,Z74),"0")+IFERROR(IF(Z75="",0,Z75),"0")+IFERROR(IF(Z76="",0,Z76),"0")</f>
        <v>0</v>
      </c>
      <c r="AA77" s="546"/>
      <c r="AB77" s="546"/>
      <c r="AC77" s="546"/>
    </row>
    <row r="78" spans="1:68" x14ac:dyDescent="0.2">
      <c r="A78" s="557"/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68"/>
      <c r="P78" s="561" t="s">
        <v>76</v>
      </c>
      <c r="Q78" s="562"/>
      <c r="R78" s="562"/>
      <c r="S78" s="562"/>
      <c r="T78" s="562"/>
      <c r="U78" s="562"/>
      <c r="V78" s="563"/>
      <c r="W78" s="37" t="s">
        <v>70</v>
      </c>
      <c r="X78" s="545">
        <f>IFERROR(SUM(X73:X76),"0")</f>
        <v>0</v>
      </c>
      <c r="Y78" s="545">
        <f>IFERROR(SUM(Y73:Y76),"0")</f>
        <v>0</v>
      </c>
      <c r="Z78" s="37"/>
      <c r="AA78" s="546"/>
      <c r="AB78" s="546"/>
      <c r="AC78" s="546"/>
    </row>
    <row r="79" spans="1:68" ht="14.25" customHeight="1" x14ac:dyDescent="0.25">
      <c r="A79" s="556" t="s">
        <v>167</v>
      </c>
      <c r="B79" s="557"/>
      <c r="C79" s="557"/>
      <c r="D79" s="557"/>
      <c r="E79" s="557"/>
      <c r="F79" s="557"/>
      <c r="G79" s="557"/>
      <c r="H79" s="557"/>
      <c r="I79" s="557"/>
      <c r="J79" s="557"/>
      <c r="K79" s="557"/>
      <c r="L79" s="557"/>
      <c r="M79" s="557"/>
      <c r="N79" s="557"/>
      <c r="O79" s="557"/>
      <c r="P79" s="557"/>
      <c r="Q79" s="557"/>
      <c r="R79" s="557"/>
      <c r="S79" s="557"/>
      <c r="T79" s="557"/>
      <c r="U79" s="557"/>
      <c r="V79" s="557"/>
      <c r="W79" s="557"/>
      <c r="X79" s="557"/>
      <c r="Y79" s="557"/>
      <c r="Z79" s="557"/>
      <c r="AA79" s="539"/>
      <c r="AB79" s="539"/>
      <c r="AC79" s="539"/>
    </row>
    <row r="80" spans="1:68" ht="27" customHeight="1" x14ac:dyDescent="0.25">
      <c r="A80" s="54" t="s">
        <v>168</v>
      </c>
      <c r="B80" s="54" t="s">
        <v>169</v>
      </c>
      <c r="C80" s="31">
        <v>4301060455</v>
      </c>
      <c r="D80" s="547">
        <v>4680115881532</v>
      </c>
      <c r="E80" s="548"/>
      <c r="F80" s="542">
        <v>1.3</v>
      </c>
      <c r="G80" s="32">
        <v>6</v>
      </c>
      <c r="H80" s="542">
        <v>7.8</v>
      </c>
      <c r="I80" s="542">
        <v>8.2100000000000009</v>
      </c>
      <c r="J80" s="32">
        <v>64</v>
      </c>
      <c r="K80" s="32" t="s">
        <v>106</v>
      </c>
      <c r="L80" s="32" t="s">
        <v>107</v>
      </c>
      <c r="M80" s="33" t="s">
        <v>88</v>
      </c>
      <c r="N80" s="33"/>
      <c r="O80" s="32">
        <v>30</v>
      </c>
      <c r="P80" s="77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0"/>
      <c r="R80" s="550"/>
      <c r="S80" s="550"/>
      <c r="T80" s="551"/>
      <c r="U80" s="34"/>
      <c r="V80" s="34"/>
      <c r="W80" s="35" t="s">
        <v>70</v>
      </c>
      <c r="X80" s="543">
        <v>20</v>
      </c>
      <c r="Y80" s="544">
        <f>IFERROR(IF(X80="",0,CEILING((X80/$H80),1)*$H80),"")</f>
        <v>23.4</v>
      </c>
      <c r="Z80" s="36">
        <f>IFERROR(IF(Y80=0,"",ROUNDUP(Y80/H80,0)*0.01898),"")</f>
        <v>5.6940000000000004E-2</v>
      </c>
      <c r="AA80" s="56"/>
      <c r="AB80" s="57"/>
      <c r="AC80" s="125" t="s">
        <v>170</v>
      </c>
      <c r="AG80" s="64"/>
      <c r="AJ80" s="68" t="s">
        <v>110</v>
      </c>
      <c r="AK80" s="68">
        <v>62.4</v>
      </c>
      <c r="BB80" s="126" t="s">
        <v>1</v>
      </c>
      <c r="BM80" s="64">
        <f>IFERROR(X80*I80/H80,"0")</f>
        <v>21.051282051282055</v>
      </c>
      <c r="BN80" s="64">
        <f>IFERROR(Y80*I80/H80,"0")</f>
        <v>24.630000000000003</v>
      </c>
      <c r="BO80" s="64">
        <f>IFERROR(1/J80*(X80/H80),"0")</f>
        <v>4.0064102564102567E-2</v>
      </c>
      <c r="BP80" s="64">
        <f>IFERROR(1/J80*(Y80/H80),"0")</f>
        <v>4.6875E-2</v>
      </c>
    </row>
    <row r="81" spans="1:68" ht="27" customHeight="1" x14ac:dyDescent="0.25">
      <c r="A81" s="54" t="s">
        <v>171</v>
      </c>
      <c r="B81" s="54" t="s">
        <v>172</v>
      </c>
      <c r="C81" s="31">
        <v>4301060351</v>
      </c>
      <c r="D81" s="547">
        <v>4680115881464</v>
      </c>
      <c r="E81" s="548"/>
      <c r="F81" s="542">
        <v>0.4</v>
      </c>
      <c r="G81" s="32">
        <v>6</v>
      </c>
      <c r="H81" s="542">
        <v>2.4</v>
      </c>
      <c r="I81" s="542">
        <v>2.59</v>
      </c>
      <c r="J81" s="32">
        <v>132</v>
      </c>
      <c r="K81" s="32" t="s">
        <v>113</v>
      </c>
      <c r="L81" s="32"/>
      <c r="M81" s="33" t="s">
        <v>81</v>
      </c>
      <c r="N81" s="33"/>
      <c r="O81" s="32">
        <v>30</v>
      </c>
      <c r="P81" s="58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0"/>
      <c r="R81" s="550"/>
      <c r="S81" s="550"/>
      <c r="T81" s="551"/>
      <c r="U81" s="34"/>
      <c r="V81" s="34"/>
      <c r="W81" s="35" t="s">
        <v>70</v>
      </c>
      <c r="X81" s="543">
        <v>0</v>
      </c>
      <c r="Y81" s="544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173</v>
      </c>
      <c r="AG81" s="64"/>
      <c r="AJ81" s="68"/>
      <c r="AK81" s="68">
        <v>0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67"/>
      <c r="B82" s="557"/>
      <c r="C82" s="557"/>
      <c r="D82" s="557"/>
      <c r="E82" s="557"/>
      <c r="F82" s="557"/>
      <c r="G82" s="557"/>
      <c r="H82" s="557"/>
      <c r="I82" s="557"/>
      <c r="J82" s="557"/>
      <c r="K82" s="557"/>
      <c r="L82" s="557"/>
      <c r="M82" s="557"/>
      <c r="N82" s="557"/>
      <c r="O82" s="568"/>
      <c r="P82" s="561" t="s">
        <v>76</v>
      </c>
      <c r="Q82" s="562"/>
      <c r="R82" s="562"/>
      <c r="S82" s="562"/>
      <c r="T82" s="562"/>
      <c r="U82" s="562"/>
      <c r="V82" s="563"/>
      <c r="W82" s="37" t="s">
        <v>77</v>
      </c>
      <c r="X82" s="545">
        <f>IFERROR(X80/H80,"0")+IFERROR(X81/H81,"0")</f>
        <v>2.5641025641025643</v>
      </c>
      <c r="Y82" s="545">
        <f>IFERROR(Y80/H80,"0")+IFERROR(Y81/H81,"0")</f>
        <v>3</v>
      </c>
      <c r="Z82" s="545">
        <f>IFERROR(IF(Z80="",0,Z80),"0")+IFERROR(IF(Z81="",0,Z81),"0")</f>
        <v>5.6940000000000004E-2</v>
      </c>
      <c r="AA82" s="546"/>
      <c r="AB82" s="546"/>
      <c r="AC82" s="546"/>
    </row>
    <row r="83" spans="1:68" x14ac:dyDescent="0.2">
      <c r="A83" s="557"/>
      <c r="B83" s="557"/>
      <c r="C83" s="557"/>
      <c r="D83" s="557"/>
      <c r="E83" s="557"/>
      <c r="F83" s="557"/>
      <c r="G83" s="557"/>
      <c r="H83" s="557"/>
      <c r="I83" s="557"/>
      <c r="J83" s="557"/>
      <c r="K83" s="557"/>
      <c r="L83" s="557"/>
      <c r="M83" s="557"/>
      <c r="N83" s="557"/>
      <c r="O83" s="568"/>
      <c r="P83" s="561" t="s">
        <v>76</v>
      </c>
      <c r="Q83" s="562"/>
      <c r="R83" s="562"/>
      <c r="S83" s="562"/>
      <c r="T83" s="562"/>
      <c r="U83" s="562"/>
      <c r="V83" s="563"/>
      <c r="W83" s="37" t="s">
        <v>70</v>
      </c>
      <c r="X83" s="545">
        <f>IFERROR(SUM(X80:X81),"0")</f>
        <v>20</v>
      </c>
      <c r="Y83" s="545">
        <f>IFERROR(SUM(Y80:Y81),"0")</f>
        <v>23.4</v>
      </c>
      <c r="Z83" s="37"/>
      <c r="AA83" s="546"/>
      <c r="AB83" s="546"/>
      <c r="AC83" s="546"/>
    </row>
    <row r="84" spans="1:68" ht="16.5" customHeight="1" x14ac:dyDescent="0.25">
      <c r="A84" s="558" t="s">
        <v>174</v>
      </c>
      <c r="B84" s="557"/>
      <c r="C84" s="557"/>
      <c r="D84" s="557"/>
      <c r="E84" s="557"/>
      <c r="F84" s="557"/>
      <c r="G84" s="557"/>
      <c r="H84" s="557"/>
      <c r="I84" s="557"/>
      <c r="J84" s="557"/>
      <c r="K84" s="557"/>
      <c r="L84" s="557"/>
      <c r="M84" s="557"/>
      <c r="N84" s="557"/>
      <c r="O84" s="557"/>
      <c r="P84" s="557"/>
      <c r="Q84" s="557"/>
      <c r="R84" s="557"/>
      <c r="S84" s="557"/>
      <c r="T84" s="557"/>
      <c r="U84" s="557"/>
      <c r="V84" s="557"/>
      <c r="W84" s="557"/>
      <c r="X84" s="557"/>
      <c r="Y84" s="557"/>
      <c r="Z84" s="557"/>
      <c r="AA84" s="538"/>
      <c r="AB84" s="538"/>
      <c r="AC84" s="538"/>
    </row>
    <row r="85" spans="1:68" ht="14.25" customHeight="1" x14ac:dyDescent="0.25">
      <c r="A85" s="556" t="s">
        <v>103</v>
      </c>
      <c r="B85" s="557"/>
      <c r="C85" s="557"/>
      <c r="D85" s="557"/>
      <c r="E85" s="557"/>
      <c r="F85" s="557"/>
      <c r="G85" s="557"/>
      <c r="H85" s="557"/>
      <c r="I85" s="557"/>
      <c r="J85" s="557"/>
      <c r="K85" s="557"/>
      <c r="L85" s="557"/>
      <c r="M85" s="557"/>
      <c r="N85" s="557"/>
      <c r="O85" s="557"/>
      <c r="P85" s="557"/>
      <c r="Q85" s="557"/>
      <c r="R85" s="557"/>
      <c r="S85" s="557"/>
      <c r="T85" s="557"/>
      <c r="U85" s="557"/>
      <c r="V85" s="557"/>
      <c r="W85" s="557"/>
      <c r="X85" s="557"/>
      <c r="Y85" s="557"/>
      <c r="Z85" s="557"/>
      <c r="AA85" s="539"/>
      <c r="AB85" s="539"/>
      <c r="AC85" s="539"/>
    </row>
    <row r="86" spans="1:68" ht="27" customHeight="1" x14ac:dyDescent="0.25">
      <c r="A86" s="54" t="s">
        <v>175</v>
      </c>
      <c r="B86" s="54" t="s">
        <v>176</v>
      </c>
      <c r="C86" s="31">
        <v>4301011468</v>
      </c>
      <c r="D86" s="547">
        <v>4680115881327</v>
      </c>
      <c r="E86" s="548"/>
      <c r="F86" s="542">
        <v>1.35</v>
      </c>
      <c r="G86" s="32">
        <v>8</v>
      </c>
      <c r="H86" s="542">
        <v>10.8</v>
      </c>
      <c r="I86" s="542">
        <v>11.21</v>
      </c>
      <c r="J86" s="32">
        <v>64</v>
      </c>
      <c r="K86" s="32" t="s">
        <v>106</v>
      </c>
      <c r="L86" s="32" t="s">
        <v>107</v>
      </c>
      <c r="M86" s="33" t="s">
        <v>88</v>
      </c>
      <c r="N86" s="33"/>
      <c r="O86" s="32">
        <v>50</v>
      </c>
      <c r="P86" s="56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0"/>
      <c r="R86" s="550"/>
      <c r="S86" s="550"/>
      <c r="T86" s="551"/>
      <c r="U86" s="34"/>
      <c r="V86" s="34"/>
      <c r="W86" s="35" t="s">
        <v>70</v>
      </c>
      <c r="X86" s="543">
        <v>100</v>
      </c>
      <c r="Y86" s="544">
        <f>IFERROR(IF(X86="",0,CEILING((X86/$H86),1)*$H86),"")</f>
        <v>108</v>
      </c>
      <c r="Z86" s="36">
        <f>IFERROR(IF(Y86=0,"",ROUNDUP(Y86/H86,0)*0.01898),"")</f>
        <v>0.1898</v>
      </c>
      <c r="AA86" s="56"/>
      <c r="AB86" s="57"/>
      <c r="AC86" s="129" t="s">
        <v>177</v>
      </c>
      <c r="AG86" s="64"/>
      <c r="AJ86" s="68" t="s">
        <v>110</v>
      </c>
      <c r="AK86" s="68">
        <v>86.4</v>
      </c>
      <c r="BB86" s="130" t="s">
        <v>1</v>
      </c>
      <c r="BM86" s="64">
        <f>IFERROR(X86*I86/H86,"0")</f>
        <v>103.79629629629629</v>
      </c>
      <c r="BN86" s="64">
        <f>IFERROR(Y86*I86/H86,"0")</f>
        <v>112.1</v>
      </c>
      <c r="BO86" s="64">
        <f>IFERROR(1/J86*(X86/H86),"0")</f>
        <v>0.14467592592592593</v>
      </c>
      <c r="BP86" s="64">
        <f>IFERROR(1/J86*(Y86/H86),"0")</f>
        <v>0.15625</v>
      </c>
    </row>
    <row r="87" spans="1:68" ht="27" customHeight="1" x14ac:dyDescent="0.25">
      <c r="A87" s="54" t="s">
        <v>178</v>
      </c>
      <c r="B87" s="54" t="s">
        <v>179</v>
      </c>
      <c r="C87" s="31">
        <v>4301011476</v>
      </c>
      <c r="D87" s="547">
        <v>4680115881518</v>
      </c>
      <c r="E87" s="548"/>
      <c r="F87" s="542">
        <v>0.4</v>
      </c>
      <c r="G87" s="32">
        <v>10</v>
      </c>
      <c r="H87" s="542">
        <v>4</v>
      </c>
      <c r="I87" s="542">
        <v>4.1900000000000004</v>
      </c>
      <c r="J87" s="32">
        <v>132</v>
      </c>
      <c r="K87" s="32" t="s">
        <v>113</v>
      </c>
      <c r="L87" s="32"/>
      <c r="M87" s="33" t="s">
        <v>81</v>
      </c>
      <c r="N87" s="33"/>
      <c r="O87" s="32">
        <v>50</v>
      </c>
      <c r="P87" s="73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0"/>
      <c r="R87" s="550"/>
      <c r="S87" s="550"/>
      <c r="T87" s="551"/>
      <c r="U87" s="34"/>
      <c r="V87" s="34"/>
      <c r="W87" s="35" t="s">
        <v>70</v>
      </c>
      <c r="X87" s="543">
        <v>0</v>
      </c>
      <c r="Y87" s="54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177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180</v>
      </c>
      <c r="B88" s="54" t="s">
        <v>181</v>
      </c>
      <c r="C88" s="31">
        <v>4301011443</v>
      </c>
      <c r="D88" s="547">
        <v>4680115881303</v>
      </c>
      <c r="E88" s="548"/>
      <c r="F88" s="542">
        <v>0.45</v>
      </c>
      <c r="G88" s="32">
        <v>10</v>
      </c>
      <c r="H88" s="542">
        <v>4.5</v>
      </c>
      <c r="I88" s="542">
        <v>4.6900000000000004</v>
      </c>
      <c r="J88" s="32">
        <v>132</v>
      </c>
      <c r="K88" s="32" t="s">
        <v>113</v>
      </c>
      <c r="L88" s="32"/>
      <c r="M88" s="33" t="s">
        <v>88</v>
      </c>
      <c r="N88" s="33"/>
      <c r="O88" s="32">
        <v>50</v>
      </c>
      <c r="P88" s="73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0"/>
      <c r="R88" s="550"/>
      <c r="S88" s="550"/>
      <c r="T88" s="551"/>
      <c r="U88" s="34"/>
      <c r="V88" s="34"/>
      <c r="W88" s="35" t="s">
        <v>70</v>
      </c>
      <c r="X88" s="543">
        <v>405</v>
      </c>
      <c r="Y88" s="544">
        <f>IFERROR(IF(X88="",0,CEILING((X88/$H88),1)*$H88),"")</f>
        <v>405</v>
      </c>
      <c r="Z88" s="36">
        <f>IFERROR(IF(Y88=0,"",ROUNDUP(Y88/H88,0)*0.00902),"")</f>
        <v>0.81180000000000008</v>
      </c>
      <c r="AA88" s="56"/>
      <c r="AB88" s="57"/>
      <c r="AC88" s="133" t="s">
        <v>177</v>
      </c>
      <c r="AG88" s="64"/>
      <c r="AJ88" s="68"/>
      <c r="AK88" s="68">
        <v>0</v>
      </c>
      <c r="BB88" s="134" t="s">
        <v>1</v>
      </c>
      <c r="BM88" s="64">
        <f>IFERROR(X88*I88/H88,"0")</f>
        <v>422.1</v>
      </c>
      <c r="BN88" s="64">
        <f>IFERROR(Y88*I88/H88,"0")</f>
        <v>422.1</v>
      </c>
      <c r="BO88" s="64">
        <f>IFERROR(1/J88*(X88/H88),"0")</f>
        <v>0.68181818181818188</v>
      </c>
      <c r="BP88" s="64">
        <f>IFERROR(1/J88*(Y88/H88),"0")</f>
        <v>0.68181818181818188</v>
      </c>
    </row>
    <row r="89" spans="1:68" x14ac:dyDescent="0.2">
      <c r="A89" s="567"/>
      <c r="B89" s="557"/>
      <c r="C89" s="557"/>
      <c r="D89" s="557"/>
      <c r="E89" s="557"/>
      <c r="F89" s="557"/>
      <c r="G89" s="557"/>
      <c r="H89" s="557"/>
      <c r="I89" s="557"/>
      <c r="J89" s="557"/>
      <c r="K89" s="557"/>
      <c r="L89" s="557"/>
      <c r="M89" s="557"/>
      <c r="N89" s="557"/>
      <c r="O89" s="568"/>
      <c r="P89" s="561" t="s">
        <v>76</v>
      </c>
      <c r="Q89" s="562"/>
      <c r="R89" s="562"/>
      <c r="S89" s="562"/>
      <c r="T89" s="562"/>
      <c r="U89" s="562"/>
      <c r="V89" s="563"/>
      <c r="W89" s="37" t="s">
        <v>77</v>
      </c>
      <c r="X89" s="545">
        <f>IFERROR(X86/H86,"0")+IFERROR(X87/H87,"0")+IFERROR(X88/H88,"0")</f>
        <v>99.259259259259267</v>
      </c>
      <c r="Y89" s="545">
        <f>IFERROR(Y86/H86,"0")+IFERROR(Y87/H87,"0")+IFERROR(Y88/H88,"0")</f>
        <v>100</v>
      </c>
      <c r="Z89" s="545">
        <f>IFERROR(IF(Z86="",0,Z86),"0")+IFERROR(IF(Z87="",0,Z87),"0")+IFERROR(IF(Z88="",0,Z88),"0")</f>
        <v>1.0016</v>
      </c>
      <c r="AA89" s="546"/>
      <c r="AB89" s="546"/>
      <c r="AC89" s="546"/>
    </row>
    <row r="90" spans="1:68" x14ac:dyDescent="0.2">
      <c r="A90" s="557"/>
      <c r="B90" s="557"/>
      <c r="C90" s="557"/>
      <c r="D90" s="557"/>
      <c r="E90" s="557"/>
      <c r="F90" s="557"/>
      <c r="G90" s="557"/>
      <c r="H90" s="557"/>
      <c r="I90" s="557"/>
      <c r="J90" s="557"/>
      <c r="K90" s="557"/>
      <c r="L90" s="557"/>
      <c r="M90" s="557"/>
      <c r="N90" s="557"/>
      <c r="O90" s="568"/>
      <c r="P90" s="561" t="s">
        <v>76</v>
      </c>
      <c r="Q90" s="562"/>
      <c r="R90" s="562"/>
      <c r="S90" s="562"/>
      <c r="T90" s="562"/>
      <c r="U90" s="562"/>
      <c r="V90" s="563"/>
      <c r="W90" s="37" t="s">
        <v>70</v>
      </c>
      <c r="X90" s="545">
        <f>IFERROR(SUM(X86:X88),"0")</f>
        <v>505</v>
      </c>
      <c r="Y90" s="545">
        <f>IFERROR(SUM(Y86:Y88),"0")</f>
        <v>513</v>
      </c>
      <c r="Z90" s="37"/>
      <c r="AA90" s="546"/>
      <c r="AB90" s="546"/>
      <c r="AC90" s="546"/>
    </row>
    <row r="91" spans="1:68" ht="14.25" customHeight="1" x14ac:dyDescent="0.25">
      <c r="A91" s="556" t="s">
        <v>78</v>
      </c>
      <c r="B91" s="557"/>
      <c r="C91" s="557"/>
      <c r="D91" s="557"/>
      <c r="E91" s="557"/>
      <c r="F91" s="557"/>
      <c r="G91" s="557"/>
      <c r="H91" s="557"/>
      <c r="I91" s="557"/>
      <c r="J91" s="557"/>
      <c r="K91" s="557"/>
      <c r="L91" s="557"/>
      <c r="M91" s="557"/>
      <c r="N91" s="557"/>
      <c r="O91" s="557"/>
      <c r="P91" s="557"/>
      <c r="Q91" s="557"/>
      <c r="R91" s="557"/>
      <c r="S91" s="557"/>
      <c r="T91" s="557"/>
      <c r="U91" s="557"/>
      <c r="V91" s="557"/>
      <c r="W91" s="557"/>
      <c r="X91" s="557"/>
      <c r="Y91" s="557"/>
      <c r="Z91" s="557"/>
      <c r="AA91" s="539"/>
      <c r="AB91" s="539"/>
      <c r="AC91" s="539"/>
    </row>
    <row r="92" spans="1:68" ht="27" customHeight="1" x14ac:dyDescent="0.25">
      <c r="A92" s="54" t="s">
        <v>182</v>
      </c>
      <c r="B92" s="54" t="s">
        <v>183</v>
      </c>
      <c r="C92" s="31">
        <v>4301051712</v>
      </c>
      <c r="D92" s="547">
        <v>4607091386967</v>
      </c>
      <c r="E92" s="548"/>
      <c r="F92" s="542">
        <v>1.35</v>
      </c>
      <c r="G92" s="32">
        <v>6</v>
      </c>
      <c r="H92" s="542">
        <v>8.1</v>
      </c>
      <c r="I92" s="542">
        <v>8.5939999999999994</v>
      </c>
      <c r="J92" s="32">
        <v>64</v>
      </c>
      <c r="K92" s="32" t="s">
        <v>106</v>
      </c>
      <c r="L92" s="32" t="s">
        <v>107</v>
      </c>
      <c r="M92" s="33" t="s">
        <v>88</v>
      </c>
      <c r="N92" s="33"/>
      <c r="O92" s="32">
        <v>45</v>
      </c>
      <c r="P92" s="60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0"/>
      <c r="R92" s="550"/>
      <c r="S92" s="550"/>
      <c r="T92" s="551"/>
      <c r="U92" s="34"/>
      <c r="V92" s="34"/>
      <c r="W92" s="35" t="s">
        <v>70</v>
      </c>
      <c r="X92" s="543">
        <v>500</v>
      </c>
      <c r="Y92" s="544">
        <f>IFERROR(IF(X92="",0,CEILING((X92/$H92),1)*$H92),"")</f>
        <v>502.2</v>
      </c>
      <c r="Z92" s="36">
        <f>IFERROR(IF(Y92=0,"",ROUNDUP(Y92/H92,0)*0.01898),"")</f>
        <v>1.17676</v>
      </c>
      <c r="AA92" s="56"/>
      <c r="AB92" s="57"/>
      <c r="AC92" s="135" t="s">
        <v>184</v>
      </c>
      <c r="AG92" s="64"/>
      <c r="AJ92" s="68" t="s">
        <v>110</v>
      </c>
      <c r="AK92" s="68">
        <v>64.8</v>
      </c>
      <c r="BB92" s="136" t="s">
        <v>1</v>
      </c>
      <c r="BM92" s="64">
        <f>IFERROR(X92*I92/H92,"0")</f>
        <v>530.49382716049388</v>
      </c>
      <c r="BN92" s="64">
        <f>IFERROR(Y92*I92/H92,"0")</f>
        <v>532.82799999999997</v>
      </c>
      <c r="BO92" s="64">
        <f>IFERROR(1/J92*(X92/H92),"0")</f>
        <v>0.96450617283950624</v>
      </c>
      <c r="BP92" s="64">
        <f>IFERROR(1/J92*(Y92/H92),"0")</f>
        <v>0.96875</v>
      </c>
    </row>
    <row r="93" spans="1:68" ht="27" customHeight="1" x14ac:dyDescent="0.25">
      <c r="A93" s="54" t="s">
        <v>185</v>
      </c>
      <c r="B93" s="54" t="s">
        <v>186</v>
      </c>
      <c r="C93" s="31">
        <v>4301051788</v>
      </c>
      <c r="D93" s="547">
        <v>4680115884953</v>
      </c>
      <c r="E93" s="548"/>
      <c r="F93" s="542">
        <v>0.37</v>
      </c>
      <c r="G93" s="32">
        <v>6</v>
      </c>
      <c r="H93" s="542">
        <v>2.2200000000000002</v>
      </c>
      <c r="I93" s="542">
        <v>2.472</v>
      </c>
      <c r="J93" s="32">
        <v>182</v>
      </c>
      <c r="K93" s="32" t="s">
        <v>67</v>
      </c>
      <c r="L93" s="32"/>
      <c r="M93" s="33" t="s">
        <v>81</v>
      </c>
      <c r="N93" s="33"/>
      <c r="O93" s="32">
        <v>45</v>
      </c>
      <c r="P93" s="79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0"/>
      <c r="R93" s="550"/>
      <c r="S93" s="550"/>
      <c r="T93" s="551"/>
      <c r="U93" s="34"/>
      <c r="V93" s="34"/>
      <c r="W93" s="35" t="s">
        <v>70</v>
      </c>
      <c r="X93" s="543">
        <v>0</v>
      </c>
      <c r="Y93" s="54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187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188</v>
      </c>
      <c r="B94" s="54" t="s">
        <v>189</v>
      </c>
      <c r="C94" s="31">
        <v>4301051718</v>
      </c>
      <c r="D94" s="547">
        <v>4607091385731</v>
      </c>
      <c r="E94" s="548"/>
      <c r="F94" s="542">
        <v>0.45</v>
      </c>
      <c r="G94" s="32">
        <v>6</v>
      </c>
      <c r="H94" s="542">
        <v>2.7</v>
      </c>
      <c r="I94" s="542">
        <v>2.952</v>
      </c>
      <c r="J94" s="32">
        <v>182</v>
      </c>
      <c r="K94" s="32" t="s">
        <v>67</v>
      </c>
      <c r="L94" s="32"/>
      <c r="M94" s="33" t="s">
        <v>88</v>
      </c>
      <c r="N94" s="33"/>
      <c r="O94" s="32">
        <v>45</v>
      </c>
      <c r="P94" s="61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0"/>
      <c r="R94" s="550"/>
      <c r="S94" s="550"/>
      <c r="T94" s="551"/>
      <c r="U94" s="34"/>
      <c r="V94" s="34"/>
      <c r="W94" s="35" t="s">
        <v>70</v>
      </c>
      <c r="X94" s="543">
        <v>495</v>
      </c>
      <c r="Y94" s="544">
        <f>IFERROR(IF(X94="",0,CEILING((X94/$H94),1)*$H94),"")</f>
        <v>496.8</v>
      </c>
      <c r="Z94" s="36">
        <f>IFERROR(IF(Y94=0,"",ROUNDUP(Y94/H94,0)*0.00651),"")</f>
        <v>1.19784</v>
      </c>
      <c r="AA94" s="56"/>
      <c r="AB94" s="57"/>
      <c r="AC94" s="139" t="s">
        <v>184</v>
      </c>
      <c r="AG94" s="64"/>
      <c r="AJ94" s="68"/>
      <c r="AK94" s="68">
        <v>0</v>
      </c>
      <c r="BB94" s="140" t="s">
        <v>1</v>
      </c>
      <c r="BM94" s="64">
        <f>IFERROR(X94*I94/H94,"0")</f>
        <v>541.19999999999993</v>
      </c>
      <c r="BN94" s="64">
        <f>IFERROR(Y94*I94/H94,"0")</f>
        <v>543.16800000000001</v>
      </c>
      <c r="BO94" s="64">
        <f>IFERROR(1/J94*(X94/H94),"0")</f>
        <v>1.0073260073260073</v>
      </c>
      <c r="BP94" s="64">
        <f>IFERROR(1/J94*(Y94/H94),"0")</f>
        <v>1.0109890109890112</v>
      </c>
    </row>
    <row r="95" spans="1:68" ht="16.5" customHeight="1" x14ac:dyDescent="0.25">
      <c r="A95" s="54" t="s">
        <v>190</v>
      </c>
      <c r="B95" s="54" t="s">
        <v>191</v>
      </c>
      <c r="C95" s="31">
        <v>4301051438</v>
      </c>
      <c r="D95" s="547">
        <v>4680115880894</v>
      </c>
      <c r="E95" s="548"/>
      <c r="F95" s="542">
        <v>0.33</v>
      </c>
      <c r="G95" s="32">
        <v>6</v>
      </c>
      <c r="H95" s="542">
        <v>1.98</v>
      </c>
      <c r="I95" s="542">
        <v>2.238</v>
      </c>
      <c r="J95" s="32">
        <v>182</v>
      </c>
      <c r="K95" s="32" t="s">
        <v>67</v>
      </c>
      <c r="L95" s="32"/>
      <c r="M95" s="33" t="s">
        <v>81</v>
      </c>
      <c r="N95" s="33"/>
      <c r="O95" s="32">
        <v>45</v>
      </c>
      <c r="P95" s="62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0"/>
      <c r="R95" s="550"/>
      <c r="S95" s="550"/>
      <c r="T95" s="551"/>
      <c r="U95" s="34"/>
      <c r="V95" s="34"/>
      <c r="W95" s="35" t="s">
        <v>70</v>
      </c>
      <c r="X95" s="543">
        <v>0</v>
      </c>
      <c r="Y95" s="54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192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67"/>
      <c r="B96" s="557"/>
      <c r="C96" s="557"/>
      <c r="D96" s="557"/>
      <c r="E96" s="557"/>
      <c r="F96" s="557"/>
      <c r="G96" s="557"/>
      <c r="H96" s="557"/>
      <c r="I96" s="557"/>
      <c r="J96" s="557"/>
      <c r="K96" s="557"/>
      <c r="L96" s="557"/>
      <c r="M96" s="557"/>
      <c r="N96" s="557"/>
      <c r="O96" s="568"/>
      <c r="P96" s="561" t="s">
        <v>76</v>
      </c>
      <c r="Q96" s="562"/>
      <c r="R96" s="562"/>
      <c r="S96" s="562"/>
      <c r="T96" s="562"/>
      <c r="U96" s="562"/>
      <c r="V96" s="563"/>
      <c r="W96" s="37" t="s">
        <v>77</v>
      </c>
      <c r="X96" s="545">
        <f>IFERROR(X92/H92,"0")+IFERROR(X93/H93,"0")+IFERROR(X94/H94,"0")+IFERROR(X95/H95,"0")</f>
        <v>245.06172839506172</v>
      </c>
      <c r="Y96" s="545">
        <f>IFERROR(Y92/H92,"0")+IFERROR(Y93/H93,"0")+IFERROR(Y94/H94,"0")+IFERROR(Y95/H95,"0")</f>
        <v>246</v>
      </c>
      <c r="Z96" s="545">
        <f>IFERROR(IF(Z92="",0,Z92),"0")+IFERROR(IF(Z93="",0,Z93),"0")+IFERROR(IF(Z94="",0,Z94),"0")+IFERROR(IF(Z95="",0,Z95),"0")</f>
        <v>2.3746</v>
      </c>
      <c r="AA96" s="546"/>
      <c r="AB96" s="546"/>
      <c r="AC96" s="546"/>
    </row>
    <row r="97" spans="1:68" x14ac:dyDescent="0.2">
      <c r="A97" s="557"/>
      <c r="B97" s="557"/>
      <c r="C97" s="557"/>
      <c r="D97" s="557"/>
      <c r="E97" s="557"/>
      <c r="F97" s="557"/>
      <c r="G97" s="557"/>
      <c r="H97" s="557"/>
      <c r="I97" s="557"/>
      <c r="J97" s="557"/>
      <c r="K97" s="557"/>
      <c r="L97" s="557"/>
      <c r="M97" s="557"/>
      <c r="N97" s="557"/>
      <c r="O97" s="568"/>
      <c r="P97" s="561" t="s">
        <v>76</v>
      </c>
      <c r="Q97" s="562"/>
      <c r="R97" s="562"/>
      <c r="S97" s="562"/>
      <c r="T97" s="562"/>
      <c r="U97" s="562"/>
      <c r="V97" s="563"/>
      <c r="W97" s="37" t="s">
        <v>70</v>
      </c>
      <c r="X97" s="545">
        <f>IFERROR(SUM(X92:X95),"0")</f>
        <v>995</v>
      </c>
      <c r="Y97" s="545">
        <f>IFERROR(SUM(Y92:Y95),"0")</f>
        <v>999</v>
      </c>
      <c r="Z97" s="37"/>
      <c r="AA97" s="546"/>
      <c r="AB97" s="546"/>
      <c r="AC97" s="546"/>
    </row>
    <row r="98" spans="1:68" ht="16.5" customHeight="1" x14ac:dyDescent="0.25">
      <c r="A98" s="558" t="s">
        <v>193</v>
      </c>
      <c r="B98" s="557"/>
      <c r="C98" s="557"/>
      <c r="D98" s="557"/>
      <c r="E98" s="557"/>
      <c r="F98" s="557"/>
      <c r="G98" s="557"/>
      <c r="H98" s="557"/>
      <c r="I98" s="557"/>
      <c r="J98" s="557"/>
      <c r="K98" s="557"/>
      <c r="L98" s="557"/>
      <c r="M98" s="557"/>
      <c r="N98" s="557"/>
      <c r="O98" s="557"/>
      <c r="P98" s="557"/>
      <c r="Q98" s="557"/>
      <c r="R98" s="557"/>
      <c r="S98" s="557"/>
      <c r="T98" s="557"/>
      <c r="U98" s="557"/>
      <c r="V98" s="557"/>
      <c r="W98" s="557"/>
      <c r="X98" s="557"/>
      <c r="Y98" s="557"/>
      <c r="Z98" s="557"/>
      <c r="AA98" s="538"/>
      <c r="AB98" s="538"/>
      <c r="AC98" s="538"/>
    </row>
    <row r="99" spans="1:68" ht="14.25" customHeight="1" x14ac:dyDescent="0.25">
      <c r="A99" s="556" t="s">
        <v>103</v>
      </c>
      <c r="B99" s="557"/>
      <c r="C99" s="557"/>
      <c r="D99" s="557"/>
      <c r="E99" s="557"/>
      <c r="F99" s="557"/>
      <c r="G99" s="557"/>
      <c r="H99" s="557"/>
      <c r="I99" s="557"/>
      <c r="J99" s="557"/>
      <c r="K99" s="557"/>
      <c r="L99" s="557"/>
      <c r="M99" s="557"/>
      <c r="N99" s="557"/>
      <c r="O99" s="557"/>
      <c r="P99" s="557"/>
      <c r="Q99" s="557"/>
      <c r="R99" s="557"/>
      <c r="S99" s="557"/>
      <c r="T99" s="557"/>
      <c r="U99" s="557"/>
      <c r="V99" s="557"/>
      <c r="W99" s="557"/>
      <c r="X99" s="557"/>
      <c r="Y99" s="557"/>
      <c r="Z99" s="557"/>
      <c r="AA99" s="539"/>
      <c r="AB99" s="539"/>
      <c r="AC99" s="539"/>
    </row>
    <row r="100" spans="1:68" ht="37.5" customHeight="1" x14ac:dyDescent="0.25">
      <c r="A100" s="54" t="s">
        <v>194</v>
      </c>
      <c r="B100" s="54" t="s">
        <v>195</v>
      </c>
      <c r="C100" s="31">
        <v>4301011514</v>
      </c>
      <c r="D100" s="547">
        <v>4680115882133</v>
      </c>
      <c r="E100" s="548"/>
      <c r="F100" s="542">
        <v>1.35</v>
      </c>
      <c r="G100" s="32">
        <v>8</v>
      </c>
      <c r="H100" s="542">
        <v>10.8</v>
      </c>
      <c r="I100" s="542">
        <v>11.21</v>
      </c>
      <c r="J100" s="32">
        <v>64</v>
      </c>
      <c r="K100" s="32" t="s">
        <v>106</v>
      </c>
      <c r="L100" s="32" t="s">
        <v>107</v>
      </c>
      <c r="M100" s="33" t="s">
        <v>108</v>
      </c>
      <c r="N100" s="33"/>
      <c r="O100" s="32">
        <v>50</v>
      </c>
      <c r="P100" s="61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0"/>
      <c r="R100" s="550"/>
      <c r="S100" s="550"/>
      <c r="T100" s="551"/>
      <c r="U100" s="34"/>
      <c r="V100" s="34"/>
      <c r="W100" s="35" t="s">
        <v>70</v>
      </c>
      <c r="X100" s="543">
        <v>0</v>
      </c>
      <c r="Y100" s="544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196</v>
      </c>
      <c r="AG100" s="64"/>
      <c r="AJ100" s="68" t="s">
        <v>110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197</v>
      </c>
      <c r="B101" s="54" t="s">
        <v>198</v>
      </c>
      <c r="C101" s="31">
        <v>4301011417</v>
      </c>
      <c r="D101" s="547">
        <v>4680115880269</v>
      </c>
      <c r="E101" s="548"/>
      <c r="F101" s="542">
        <v>0.375</v>
      </c>
      <c r="G101" s="32">
        <v>10</v>
      </c>
      <c r="H101" s="542">
        <v>3.75</v>
      </c>
      <c r="I101" s="542">
        <v>3.94</v>
      </c>
      <c r="J101" s="32">
        <v>132</v>
      </c>
      <c r="K101" s="32" t="s">
        <v>113</v>
      </c>
      <c r="L101" s="32"/>
      <c r="M101" s="33" t="s">
        <v>81</v>
      </c>
      <c r="N101" s="33"/>
      <c r="O101" s="32">
        <v>50</v>
      </c>
      <c r="P101" s="81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0"/>
      <c r="R101" s="550"/>
      <c r="S101" s="550"/>
      <c r="T101" s="551"/>
      <c r="U101" s="34"/>
      <c r="V101" s="34"/>
      <c r="W101" s="35" t="s">
        <v>70</v>
      </c>
      <c r="X101" s="543">
        <v>0</v>
      </c>
      <c r="Y101" s="544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196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4301011415</v>
      </c>
      <c r="D102" s="547">
        <v>4680115880429</v>
      </c>
      <c r="E102" s="548"/>
      <c r="F102" s="542">
        <v>0.45</v>
      </c>
      <c r="G102" s="32">
        <v>10</v>
      </c>
      <c r="H102" s="542">
        <v>4.5</v>
      </c>
      <c r="I102" s="542">
        <v>4.6900000000000004</v>
      </c>
      <c r="J102" s="32">
        <v>132</v>
      </c>
      <c r="K102" s="32" t="s">
        <v>113</v>
      </c>
      <c r="L102" s="32" t="s">
        <v>114</v>
      </c>
      <c r="M102" s="33" t="s">
        <v>81</v>
      </c>
      <c r="N102" s="33"/>
      <c r="O102" s="32">
        <v>50</v>
      </c>
      <c r="P102" s="81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0"/>
      <c r="R102" s="550"/>
      <c r="S102" s="550"/>
      <c r="T102" s="551"/>
      <c r="U102" s="34"/>
      <c r="V102" s="34"/>
      <c r="W102" s="35" t="s">
        <v>70</v>
      </c>
      <c r="X102" s="543">
        <v>135</v>
      </c>
      <c r="Y102" s="544">
        <f>IFERROR(IF(X102="",0,CEILING((X102/$H102),1)*$H102),"")</f>
        <v>135</v>
      </c>
      <c r="Z102" s="36">
        <f>IFERROR(IF(Y102=0,"",ROUNDUP(Y102/H102,0)*0.00902),"")</f>
        <v>0.27060000000000001</v>
      </c>
      <c r="AA102" s="56"/>
      <c r="AB102" s="57"/>
      <c r="AC102" s="147" t="s">
        <v>196</v>
      </c>
      <c r="AG102" s="64"/>
      <c r="AJ102" s="68" t="s">
        <v>110</v>
      </c>
      <c r="AK102" s="68">
        <v>54</v>
      </c>
      <c r="BB102" s="148" t="s">
        <v>1</v>
      </c>
      <c r="BM102" s="64">
        <f>IFERROR(X102*I102/H102,"0")</f>
        <v>140.70000000000002</v>
      </c>
      <c r="BN102" s="64">
        <f>IFERROR(Y102*I102/H102,"0")</f>
        <v>140.70000000000002</v>
      </c>
      <c r="BO102" s="64">
        <f>IFERROR(1/J102*(X102/H102),"0")</f>
        <v>0.22727272727272729</v>
      </c>
      <c r="BP102" s="64">
        <f>IFERROR(1/J102*(Y102/H102),"0")</f>
        <v>0.22727272727272729</v>
      </c>
    </row>
    <row r="103" spans="1:68" ht="37.5" customHeight="1" x14ac:dyDescent="0.25">
      <c r="A103" s="54" t="s">
        <v>201</v>
      </c>
      <c r="B103" s="54" t="s">
        <v>202</v>
      </c>
      <c r="C103" s="31">
        <v>4301011462</v>
      </c>
      <c r="D103" s="547">
        <v>4680115881457</v>
      </c>
      <c r="E103" s="548"/>
      <c r="F103" s="542">
        <v>0.75</v>
      </c>
      <c r="G103" s="32">
        <v>6</v>
      </c>
      <c r="H103" s="542">
        <v>4.5</v>
      </c>
      <c r="I103" s="542">
        <v>4.6900000000000004</v>
      </c>
      <c r="J103" s="32">
        <v>132</v>
      </c>
      <c r="K103" s="32" t="s">
        <v>113</v>
      </c>
      <c r="L103" s="32"/>
      <c r="M103" s="33" t="s">
        <v>81</v>
      </c>
      <c r="N103" s="33"/>
      <c r="O103" s="32">
        <v>50</v>
      </c>
      <c r="P103" s="63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0"/>
      <c r="R103" s="550"/>
      <c r="S103" s="550"/>
      <c r="T103" s="551"/>
      <c r="U103" s="34"/>
      <c r="V103" s="34"/>
      <c r="W103" s="35" t="s">
        <v>70</v>
      </c>
      <c r="X103" s="543">
        <v>0</v>
      </c>
      <c r="Y103" s="544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196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67"/>
      <c r="B104" s="557"/>
      <c r="C104" s="557"/>
      <c r="D104" s="557"/>
      <c r="E104" s="557"/>
      <c r="F104" s="557"/>
      <c r="G104" s="557"/>
      <c r="H104" s="557"/>
      <c r="I104" s="557"/>
      <c r="J104" s="557"/>
      <c r="K104" s="557"/>
      <c r="L104" s="557"/>
      <c r="M104" s="557"/>
      <c r="N104" s="557"/>
      <c r="O104" s="568"/>
      <c r="P104" s="561" t="s">
        <v>76</v>
      </c>
      <c r="Q104" s="562"/>
      <c r="R104" s="562"/>
      <c r="S104" s="562"/>
      <c r="T104" s="562"/>
      <c r="U104" s="562"/>
      <c r="V104" s="563"/>
      <c r="W104" s="37" t="s">
        <v>77</v>
      </c>
      <c r="X104" s="545">
        <f>IFERROR(X100/H100,"0")+IFERROR(X101/H101,"0")+IFERROR(X102/H102,"0")+IFERROR(X103/H103,"0")</f>
        <v>30</v>
      </c>
      <c r="Y104" s="545">
        <f>IFERROR(Y100/H100,"0")+IFERROR(Y101/H101,"0")+IFERROR(Y102/H102,"0")+IFERROR(Y103/H103,"0")</f>
        <v>30</v>
      </c>
      <c r="Z104" s="545">
        <f>IFERROR(IF(Z100="",0,Z100),"0")+IFERROR(IF(Z101="",0,Z101),"0")+IFERROR(IF(Z102="",0,Z102),"0")+IFERROR(IF(Z103="",0,Z103),"0")</f>
        <v>0.27060000000000001</v>
      </c>
      <c r="AA104" s="546"/>
      <c r="AB104" s="546"/>
      <c r="AC104" s="546"/>
    </row>
    <row r="105" spans="1:68" x14ac:dyDescent="0.2">
      <c r="A105" s="557"/>
      <c r="B105" s="557"/>
      <c r="C105" s="557"/>
      <c r="D105" s="557"/>
      <c r="E105" s="557"/>
      <c r="F105" s="557"/>
      <c r="G105" s="557"/>
      <c r="H105" s="557"/>
      <c r="I105" s="557"/>
      <c r="J105" s="557"/>
      <c r="K105" s="557"/>
      <c r="L105" s="557"/>
      <c r="M105" s="557"/>
      <c r="N105" s="557"/>
      <c r="O105" s="568"/>
      <c r="P105" s="561" t="s">
        <v>76</v>
      </c>
      <c r="Q105" s="562"/>
      <c r="R105" s="562"/>
      <c r="S105" s="562"/>
      <c r="T105" s="562"/>
      <c r="U105" s="562"/>
      <c r="V105" s="563"/>
      <c r="W105" s="37" t="s">
        <v>70</v>
      </c>
      <c r="X105" s="545">
        <f>IFERROR(SUM(X100:X103),"0")</f>
        <v>135</v>
      </c>
      <c r="Y105" s="545">
        <f>IFERROR(SUM(Y100:Y103),"0")</f>
        <v>135</v>
      </c>
      <c r="Z105" s="37"/>
      <c r="AA105" s="546"/>
      <c r="AB105" s="546"/>
      <c r="AC105" s="546"/>
    </row>
    <row r="106" spans="1:68" ht="14.25" customHeight="1" x14ac:dyDescent="0.25">
      <c r="A106" s="556" t="s">
        <v>139</v>
      </c>
      <c r="B106" s="557"/>
      <c r="C106" s="557"/>
      <c r="D106" s="557"/>
      <c r="E106" s="557"/>
      <c r="F106" s="557"/>
      <c r="G106" s="557"/>
      <c r="H106" s="557"/>
      <c r="I106" s="557"/>
      <c r="J106" s="557"/>
      <c r="K106" s="557"/>
      <c r="L106" s="557"/>
      <c r="M106" s="557"/>
      <c r="N106" s="557"/>
      <c r="O106" s="557"/>
      <c r="P106" s="557"/>
      <c r="Q106" s="557"/>
      <c r="R106" s="557"/>
      <c r="S106" s="557"/>
      <c r="T106" s="557"/>
      <c r="U106" s="557"/>
      <c r="V106" s="557"/>
      <c r="W106" s="557"/>
      <c r="X106" s="557"/>
      <c r="Y106" s="557"/>
      <c r="Z106" s="557"/>
      <c r="AA106" s="539"/>
      <c r="AB106" s="539"/>
      <c r="AC106" s="539"/>
    </row>
    <row r="107" spans="1:68" ht="16.5" customHeight="1" x14ac:dyDescent="0.25">
      <c r="A107" s="54" t="s">
        <v>203</v>
      </c>
      <c r="B107" s="54" t="s">
        <v>204</v>
      </c>
      <c r="C107" s="31">
        <v>4301020345</v>
      </c>
      <c r="D107" s="547">
        <v>4680115881488</v>
      </c>
      <c r="E107" s="548"/>
      <c r="F107" s="542">
        <v>1.35</v>
      </c>
      <c r="G107" s="32">
        <v>8</v>
      </c>
      <c r="H107" s="542">
        <v>10.8</v>
      </c>
      <c r="I107" s="542">
        <v>11.21</v>
      </c>
      <c r="J107" s="32">
        <v>64</v>
      </c>
      <c r="K107" s="32" t="s">
        <v>106</v>
      </c>
      <c r="L107" s="32" t="s">
        <v>107</v>
      </c>
      <c r="M107" s="33" t="s">
        <v>108</v>
      </c>
      <c r="N107" s="33"/>
      <c r="O107" s="32">
        <v>55</v>
      </c>
      <c r="P107" s="81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0"/>
      <c r="R107" s="550"/>
      <c r="S107" s="550"/>
      <c r="T107" s="551"/>
      <c r="U107" s="34"/>
      <c r="V107" s="34"/>
      <c r="W107" s="35" t="s">
        <v>70</v>
      </c>
      <c r="X107" s="543">
        <v>0</v>
      </c>
      <c r="Y107" s="544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205</v>
      </c>
      <c r="AG107" s="64"/>
      <c r="AJ107" s="68" t="s">
        <v>110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206</v>
      </c>
      <c r="B108" s="54" t="s">
        <v>207</v>
      </c>
      <c r="C108" s="31">
        <v>4301020346</v>
      </c>
      <c r="D108" s="547">
        <v>4680115882775</v>
      </c>
      <c r="E108" s="548"/>
      <c r="F108" s="542">
        <v>0.3</v>
      </c>
      <c r="G108" s="32">
        <v>8</v>
      </c>
      <c r="H108" s="542">
        <v>2.4</v>
      </c>
      <c r="I108" s="542">
        <v>2.5</v>
      </c>
      <c r="J108" s="32">
        <v>234</v>
      </c>
      <c r="K108" s="32" t="s">
        <v>74</v>
      </c>
      <c r="L108" s="32"/>
      <c r="M108" s="33" t="s">
        <v>108</v>
      </c>
      <c r="N108" s="33"/>
      <c r="O108" s="32">
        <v>55</v>
      </c>
      <c r="P108" s="762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50"/>
      <c r="R108" s="550"/>
      <c r="S108" s="550"/>
      <c r="T108" s="551"/>
      <c r="U108" s="34"/>
      <c r="V108" s="34"/>
      <c r="W108" s="35" t="s">
        <v>70</v>
      </c>
      <c r="X108" s="543">
        <v>0</v>
      </c>
      <c r="Y108" s="544">
        <f>IFERROR(IF(X108="",0,CEILING((X108/$H108),1)*$H108),"")</f>
        <v>0</v>
      </c>
      <c r="Z108" s="36" t="str">
        <f>IFERROR(IF(Y108=0,"",ROUNDUP(Y108/H108,0)*0.00502),"")</f>
        <v/>
      </c>
      <c r="AA108" s="56"/>
      <c r="AB108" s="57"/>
      <c r="AC108" s="153" t="s">
        <v>205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208</v>
      </c>
      <c r="B109" s="54" t="s">
        <v>209</v>
      </c>
      <c r="C109" s="31">
        <v>4301020344</v>
      </c>
      <c r="D109" s="547">
        <v>4680115880658</v>
      </c>
      <c r="E109" s="548"/>
      <c r="F109" s="542">
        <v>0.4</v>
      </c>
      <c r="G109" s="32">
        <v>6</v>
      </c>
      <c r="H109" s="542">
        <v>2.4</v>
      </c>
      <c r="I109" s="542">
        <v>2.58</v>
      </c>
      <c r="J109" s="32">
        <v>182</v>
      </c>
      <c r="K109" s="32" t="s">
        <v>67</v>
      </c>
      <c r="L109" s="32"/>
      <c r="M109" s="33" t="s">
        <v>108</v>
      </c>
      <c r="N109" s="33"/>
      <c r="O109" s="32">
        <v>55</v>
      </c>
      <c r="P109" s="77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50"/>
      <c r="R109" s="550"/>
      <c r="S109" s="550"/>
      <c r="T109" s="551"/>
      <c r="U109" s="34"/>
      <c r="V109" s="34"/>
      <c r="W109" s="35" t="s">
        <v>70</v>
      </c>
      <c r="X109" s="543">
        <v>0</v>
      </c>
      <c r="Y109" s="544">
        <f>IFERROR(IF(X109="",0,CEILING((X109/$H109),1)*$H109),"")</f>
        <v>0</v>
      </c>
      <c r="Z109" s="36" t="str">
        <f>IFERROR(IF(Y109=0,"",ROUNDUP(Y109/H109,0)*0.00651),"")</f>
        <v/>
      </c>
      <c r="AA109" s="56"/>
      <c r="AB109" s="57"/>
      <c r="AC109" s="155" t="s">
        <v>205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567"/>
      <c r="B110" s="557"/>
      <c r="C110" s="557"/>
      <c r="D110" s="557"/>
      <c r="E110" s="557"/>
      <c r="F110" s="557"/>
      <c r="G110" s="557"/>
      <c r="H110" s="557"/>
      <c r="I110" s="557"/>
      <c r="J110" s="557"/>
      <c r="K110" s="557"/>
      <c r="L110" s="557"/>
      <c r="M110" s="557"/>
      <c r="N110" s="557"/>
      <c r="O110" s="568"/>
      <c r="P110" s="561" t="s">
        <v>76</v>
      </c>
      <c r="Q110" s="562"/>
      <c r="R110" s="562"/>
      <c r="S110" s="562"/>
      <c r="T110" s="562"/>
      <c r="U110" s="562"/>
      <c r="V110" s="563"/>
      <c r="W110" s="37" t="s">
        <v>77</v>
      </c>
      <c r="X110" s="545">
        <f>IFERROR(X107/H107,"0")+IFERROR(X108/H108,"0")+IFERROR(X109/H109,"0")</f>
        <v>0</v>
      </c>
      <c r="Y110" s="545">
        <f>IFERROR(Y107/H107,"0")+IFERROR(Y108/H108,"0")+IFERROR(Y109/H109,"0")</f>
        <v>0</v>
      </c>
      <c r="Z110" s="545">
        <f>IFERROR(IF(Z107="",0,Z107),"0")+IFERROR(IF(Z108="",0,Z108),"0")+IFERROR(IF(Z109="",0,Z109),"0")</f>
        <v>0</v>
      </c>
      <c r="AA110" s="546"/>
      <c r="AB110" s="546"/>
      <c r="AC110" s="546"/>
    </row>
    <row r="111" spans="1:68" x14ac:dyDescent="0.2">
      <c r="A111" s="557"/>
      <c r="B111" s="557"/>
      <c r="C111" s="557"/>
      <c r="D111" s="557"/>
      <c r="E111" s="557"/>
      <c r="F111" s="557"/>
      <c r="G111" s="557"/>
      <c r="H111" s="557"/>
      <c r="I111" s="557"/>
      <c r="J111" s="557"/>
      <c r="K111" s="557"/>
      <c r="L111" s="557"/>
      <c r="M111" s="557"/>
      <c r="N111" s="557"/>
      <c r="O111" s="568"/>
      <c r="P111" s="561" t="s">
        <v>76</v>
      </c>
      <c r="Q111" s="562"/>
      <c r="R111" s="562"/>
      <c r="S111" s="562"/>
      <c r="T111" s="562"/>
      <c r="U111" s="562"/>
      <c r="V111" s="563"/>
      <c r="W111" s="37" t="s">
        <v>70</v>
      </c>
      <c r="X111" s="545">
        <f>IFERROR(SUM(X107:X109),"0")</f>
        <v>0</v>
      </c>
      <c r="Y111" s="545">
        <f>IFERROR(SUM(Y107:Y109),"0")</f>
        <v>0</v>
      </c>
      <c r="Z111" s="37"/>
      <c r="AA111" s="546"/>
      <c r="AB111" s="546"/>
      <c r="AC111" s="546"/>
    </row>
    <row r="112" spans="1:68" ht="14.25" customHeight="1" x14ac:dyDescent="0.25">
      <c r="A112" s="556" t="s">
        <v>78</v>
      </c>
      <c r="B112" s="557"/>
      <c r="C112" s="557"/>
      <c r="D112" s="557"/>
      <c r="E112" s="557"/>
      <c r="F112" s="557"/>
      <c r="G112" s="557"/>
      <c r="H112" s="557"/>
      <c r="I112" s="557"/>
      <c r="J112" s="557"/>
      <c r="K112" s="557"/>
      <c r="L112" s="557"/>
      <c r="M112" s="557"/>
      <c r="N112" s="557"/>
      <c r="O112" s="557"/>
      <c r="P112" s="557"/>
      <c r="Q112" s="557"/>
      <c r="R112" s="557"/>
      <c r="S112" s="557"/>
      <c r="T112" s="557"/>
      <c r="U112" s="557"/>
      <c r="V112" s="557"/>
      <c r="W112" s="557"/>
      <c r="X112" s="557"/>
      <c r="Y112" s="557"/>
      <c r="Z112" s="557"/>
      <c r="AA112" s="539"/>
      <c r="AB112" s="539"/>
      <c r="AC112" s="539"/>
    </row>
    <row r="113" spans="1:68" ht="27" customHeight="1" x14ac:dyDescent="0.25">
      <c r="A113" s="54" t="s">
        <v>210</v>
      </c>
      <c r="B113" s="54" t="s">
        <v>211</v>
      </c>
      <c r="C113" s="31">
        <v>4301051724</v>
      </c>
      <c r="D113" s="547">
        <v>4607091385168</v>
      </c>
      <c r="E113" s="548"/>
      <c r="F113" s="542">
        <v>1.35</v>
      </c>
      <c r="G113" s="32">
        <v>6</v>
      </c>
      <c r="H113" s="542">
        <v>8.1</v>
      </c>
      <c r="I113" s="542">
        <v>8.5879999999999992</v>
      </c>
      <c r="J113" s="32">
        <v>64</v>
      </c>
      <c r="K113" s="32" t="s">
        <v>106</v>
      </c>
      <c r="L113" s="32" t="s">
        <v>107</v>
      </c>
      <c r="M113" s="33" t="s">
        <v>88</v>
      </c>
      <c r="N113" s="33"/>
      <c r="O113" s="32">
        <v>45</v>
      </c>
      <c r="P113" s="65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50"/>
      <c r="R113" s="550"/>
      <c r="S113" s="550"/>
      <c r="T113" s="551"/>
      <c r="U113" s="34"/>
      <c r="V113" s="34"/>
      <c r="W113" s="35" t="s">
        <v>70</v>
      </c>
      <c r="X113" s="543">
        <v>300</v>
      </c>
      <c r="Y113" s="544">
        <f>IFERROR(IF(X113="",0,CEILING((X113/$H113),1)*$H113),"")</f>
        <v>307.8</v>
      </c>
      <c r="Z113" s="36">
        <f>IFERROR(IF(Y113=0,"",ROUNDUP(Y113/H113,0)*0.01898),"")</f>
        <v>0.72123999999999999</v>
      </c>
      <c r="AA113" s="56"/>
      <c r="AB113" s="57"/>
      <c r="AC113" s="157" t="s">
        <v>212</v>
      </c>
      <c r="AG113" s="64"/>
      <c r="AJ113" s="68" t="s">
        <v>110</v>
      </c>
      <c r="AK113" s="68">
        <v>64.8</v>
      </c>
      <c r="BB113" s="158" t="s">
        <v>1</v>
      </c>
      <c r="BM113" s="64">
        <f>IFERROR(X113*I113/H113,"0")</f>
        <v>318.07407407407402</v>
      </c>
      <c r="BN113" s="64">
        <f>IFERROR(Y113*I113/H113,"0")</f>
        <v>326.34399999999999</v>
      </c>
      <c r="BO113" s="64">
        <f>IFERROR(1/J113*(X113/H113),"0")</f>
        <v>0.57870370370370372</v>
      </c>
      <c r="BP113" s="64">
        <f>IFERROR(1/J113*(Y113/H113),"0")</f>
        <v>0.59375</v>
      </c>
    </row>
    <row r="114" spans="1:68" ht="27" customHeight="1" x14ac:dyDescent="0.25">
      <c r="A114" s="54" t="s">
        <v>213</v>
      </c>
      <c r="B114" s="54" t="s">
        <v>214</v>
      </c>
      <c r="C114" s="31">
        <v>4301051730</v>
      </c>
      <c r="D114" s="547">
        <v>4607091383256</v>
      </c>
      <c r="E114" s="548"/>
      <c r="F114" s="542">
        <v>0.33</v>
      </c>
      <c r="G114" s="32">
        <v>6</v>
      </c>
      <c r="H114" s="542">
        <v>1.98</v>
      </c>
      <c r="I114" s="542">
        <v>2.226</v>
      </c>
      <c r="J114" s="32">
        <v>182</v>
      </c>
      <c r="K114" s="32" t="s">
        <v>67</v>
      </c>
      <c r="L114" s="32"/>
      <c r="M114" s="33" t="s">
        <v>88</v>
      </c>
      <c r="N114" s="33"/>
      <c r="O114" s="32">
        <v>45</v>
      </c>
      <c r="P114" s="81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50"/>
      <c r="R114" s="550"/>
      <c r="S114" s="550"/>
      <c r="T114" s="551"/>
      <c r="U114" s="34"/>
      <c r="V114" s="34"/>
      <c r="W114" s="35" t="s">
        <v>70</v>
      </c>
      <c r="X114" s="543">
        <v>0</v>
      </c>
      <c r="Y114" s="544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212</v>
      </c>
      <c r="AG114" s="64"/>
      <c r="AJ114" s="68"/>
      <c r="AK114" s="68">
        <v>0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215</v>
      </c>
      <c r="B115" s="54" t="s">
        <v>216</v>
      </c>
      <c r="C115" s="31">
        <v>4301051721</v>
      </c>
      <c r="D115" s="547">
        <v>4607091385748</v>
      </c>
      <c r="E115" s="548"/>
      <c r="F115" s="542">
        <v>0.45</v>
      </c>
      <c r="G115" s="32">
        <v>6</v>
      </c>
      <c r="H115" s="542">
        <v>2.7</v>
      </c>
      <c r="I115" s="542">
        <v>2.952</v>
      </c>
      <c r="J115" s="32">
        <v>182</v>
      </c>
      <c r="K115" s="32" t="s">
        <v>67</v>
      </c>
      <c r="L115" s="32" t="s">
        <v>217</v>
      </c>
      <c r="M115" s="33" t="s">
        <v>88</v>
      </c>
      <c r="N115" s="33"/>
      <c r="O115" s="32">
        <v>45</v>
      </c>
      <c r="P115" s="73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50"/>
      <c r="R115" s="550"/>
      <c r="S115" s="550"/>
      <c r="T115" s="551"/>
      <c r="U115" s="34"/>
      <c r="V115" s="34"/>
      <c r="W115" s="35" t="s">
        <v>70</v>
      </c>
      <c r="X115" s="543">
        <v>315</v>
      </c>
      <c r="Y115" s="544">
        <f>IFERROR(IF(X115="",0,CEILING((X115/$H115),1)*$H115),"")</f>
        <v>315.90000000000003</v>
      </c>
      <c r="Z115" s="36">
        <f>IFERROR(IF(Y115=0,"",ROUNDUP(Y115/H115,0)*0.00651),"")</f>
        <v>0.76167000000000007</v>
      </c>
      <c r="AA115" s="56"/>
      <c r="AB115" s="57"/>
      <c r="AC115" s="161" t="s">
        <v>212</v>
      </c>
      <c r="AG115" s="64"/>
      <c r="AJ115" s="68" t="s">
        <v>110</v>
      </c>
      <c r="AK115" s="68">
        <v>37.799999999999997</v>
      </c>
      <c r="BB115" s="162" t="s">
        <v>1</v>
      </c>
      <c r="BM115" s="64">
        <f>IFERROR(X115*I115/H115,"0")</f>
        <v>344.4</v>
      </c>
      <c r="BN115" s="64">
        <f>IFERROR(Y115*I115/H115,"0")</f>
        <v>345.38400000000001</v>
      </c>
      <c r="BO115" s="64">
        <f>IFERROR(1/J115*(X115/H115),"0")</f>
        <v>0.64102564102564097</v>
      </c>
      <c r="BP115" s="64">
        <f>IFERROR(1/J115*(Y115/H115),"0")</f>
        <v>0.6428571428571429</v>
      </c>
    </row>
    <row r="116" spans="1:68" ht="16.5" customHeight="1" x14ac:dyDescent="0.25">
      <c r="A116" s="54" t="s">
        <v>218</v>
      </c>
      <c r="B116" s="54" t="s">
        <v>219</v>
      </c>
      <c r="C116" s="31">
        <v>4301051740</v>
      </c>
      <c r="D116" s="547">
        <v>4680115884533</v>
      </c>
      <c r="E116" s="548"/>
      <c r="F116" s="542">
        <v>0.3</v>
      </c>
      <c r="G116" s="32">
        <v>6</v>
      </c>
      <c r="H116" s="542">
        <v>1.8</v>
      </c>
      <c r="I116" s="542">
        <v>1.98</v>
      </c>
      <c r="J116" s="32">
        <v>182</v>
      </c>
      <c r="K116" s="32" t="s">
        <v>67</v>
      </c>
      <c r="L116" s="32" t="s">
        <v>217</v>
      </c>
      <c r="M116" s="33" t="s">
        <v>81</v>
      </c>
      <c r="N116" s="33"/>
      <c r="O116" s="32">
        <v>45</v>
      </c>
      <c r="P116" s="63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50"/>
      <c r="R116" s="550"/>
      <c r="S116" s="550"/>
      <c r="T116" s="551"/>
      <c r="U116" s="34"/>
      <c r="V116" s="34"/>
      <c r="W116" s="35" t="s">
        <v>70</v>
      </c>
      <c r="X116" s="543">
        <v>18</v>
      </c>
      <c r="Y116" s="544">
        <f>IFERROR(IF(X116="",0,CEILING((X116/$H116),1)*$H116),"")</f>
        <v>18</v>
      </c>
      <c r="Z116" s="36">
        <f>IFERROR(IF(Y116=0,"",ROUNDUP(Y116/H116,0)*0.00651),"")</f>
        <v>6.5100000000000005E-2</v>
      </c>
      <c r="AA116" s="56"/>
      <c r="AB116" s="57"/>
      <c r="AC116" s="163" t="s">
        <v>220</v>
      </c>
      <c r="AG116" s="64"/>
      <c r="AJ116" s="68" t="s">
        <v>110</v>
      </c>
      <c r="AK116" s="68">
        <v>25.2</v>
      </c>
      <c r="BB116" s="164" t="s">
        <v>1</v>
      </c>
      <c r="BM116" s="64">
        <f>IFERROR(X116*I116/H116,"0")</f>
        <v>19.8</v>
      </c>
      <c r="BN116" s="64">
        <f>IFERROR(Y116*I116/H116,"0")</f>
        <v>19.8</v>
      </c>
      <c r="BO116" s="64">
        <f>IFERROR(1/J116*(X116/H116),"0")</f>
        <v>5.4945054945054951E-2</v>
      </c>
      <c r="BP116" s="64">
        <f>IFERROR(1/J116*(Y116/H116),"0")</f>
        <v>5.4945054945054951E-2</v>
      </c>
    </row>
    <row r="117" spans="1:68" x14ac:dyDescent="0.2">
      <c r="A117" s="567"/>
      <c r="B117" s="557"/>
      <c r="C117" s="557"/>
      <c r="D117" s="557"/>
      <c r="E117" s="557"/>
      <c r="F117" s="557"/>
      <c r="G117" s="557"/>
      <c r="H117" s="557"/>
      <c r="I117" s="557"/>
      <c r="J117" s="557"/>
      <c r="K117" s="557"/>
      <c r="L117" s="557"/>
      <c r="M117" s="557"/>
      <c r="N117" s="557"/>
      <c r="O117" s="568"/>
      <c r="P117" s="561" t="s">
        <v>76</v>
      </c>
      <c r="Q117" s="562"/>
      <c r="R117" s="562"/>
      <c r="S117" s="562"/>
      <c r="T117" s="562"/>
      <c r="U117" s="562"/>
      <c r="V117" s="563"/>
      <c r="W117" s="37" t="s">
        <v>77</v>
      </c>
      <c r="X117" s="545">
        <f>IFERROR(X113/H113,"0")+IFERROR(X114/H114,"0")+IFERROR(X115/H115,"0")+IFERROR(X116/H116,"0")</f>
        <v>163.7037037037037</v>
      </c>
      <c r="Y117" s="545">
        <f>IFERROR(Y113/H113,"0")+IFERROR(Y114/H114,"0")+IFERROR(Y115/H115,"0")+IFERROR(Y116/H116,"0")</f>
        <v>165</v>
      </c>
      <c r="Z117" s="545">
        <f>IFERROR(IF(Z113="",0,Z113),"0")+IFERROR(IF(Z114="",0,Z114),"0")+IFERROR(IF(Z115="",0,Z115),"0")+IFERROR(IF(Z116="",0,Z116),"0")</f>
        <v>1.5480099999999999</v>
      </c>
      <c r="AA117" s="546"/>
      <c r="AB117" s="546"/>
      <c r="AC117" s="546"/>
    </row>
    <row r="118" spans="1:68" x14ac:dyDescent="0.2">
      <c r="A118" s="557"/>
      <c r="B118" s="557"/>
      <c r="C118" s="557"/>
      <c r="D118" s="557"/>
      <c r="E118" s="557"/>
      <c r="F118" s="557"/>
      <c r="G118" s="557"/>
      <c r="H118" s="557"/>
      <c r="I118" s="557"/>
      <c r="J118" s="557"/>
      <c r="K118" s="557"/>
      <c r="L118" s="557"/>
      <c r="M118" s="557"/>
      <c r="N118" s="557"/>
      <c r="O118" s="568"/>
      <c r="P118" s="561" t="s">
        <v>76</v>
      </c>
      <c r="Q118" s="562"/>
      <c r="R118" s="562"/>
      <c r="S118" s="562"/>
      <c r="T118" s="562"/>
      <c r="U118" s="562"/>
      <c r="V118" s="563"/>
      <c r="W118" s="37" t="s">
        <v>70</v>
      </c>
      <c r="X118" s="545">
        <f>IFERROR(SUM(X113:X116),"0")</f>
        <v>633</v>
      </c>
      <c r="Y118" s="545">
        <f>IFERROR(SUM(Y113:Y116),"0")</f>
        <v>641.70000000000005</v>
      </c>
      <c r="Z118" s="37"/>
      <c r="AA118" s="546"/>
      <c r="AB118" s="546"/>
      <c r="AC118" s="546"/>
    </row>
    <row r="119" spans="1:68" ht="14.25" customHeight="1" x14ac:dyDescent="0.25">
      <c r="A119" s="556" t="s">
        <v>167</v>
      </c>
      <c r="B119" s="557"/>
      <c r="C119" s="557"/>
      <c r="D119" s="557"/>
      <c r="E119" s="557"/>
      <c r="F119" s="557"/>
      <c r="G119" s="557"/>
      <c r="H119" s="557"/>
      <c r="I119" s="557"/>
      <c r="J119" s="557"/>
      <c r="K119" s="557"/>
      <c r="L119" s="557"/>
      <c r="M119" s="557"/>
      <c r="N119" s="557"/>
      <c r="O119" s="557"/>
      <c r="P119" s="557"/>
      <c r="Q119" s="557"/>
      <c r="R119" s="557"/>
      <c r="S119" s="557"/>
      <c r="T119" s="557"/>
      <c r="U119" s="557"/>
      <c r="V119" s="557"/>
      <c r="W119" s="557"/>
      <c r="X119" s="557"/>
      <c r="Y119" s="557"/>
      <c r="Z119" s="557"/>
      <c r="AA119" s="539"/>
      <c r="AB119" s="539"/>
      <c r="AC119" s="539"/>
    </row>
    <row r="120" spans="1:68" ht="16.5" customHeight="1" x14ac:dyDescent="0.25">
      <c r="A120" s="54" t="s">
        <v>221</v>
      </c>
      <c r="B120" s="54" t="s">
        <v>222</v>
      </c>
      <c r="C120" s="31">
        <v>4301060317</v>
      </c>
      <c r="D120" s="547">
        <v>4680115880238</v>
      </c>
      <c r="E120" s="548"/>
      <c r="F120" s="542">
        <v>0.33</v>
      </c>
      <c r="G120" s="32">
        <v>6</v>
      </c>
      <c r="H120" s="542">
        <v>1.98</v>
      </c>
      <c r="I120" s="542">
        <v>2.238</v>
      </c>
      <c r="J120" s="32">
        <v>182</v>
      </c>
      <c r="K120" s="32" t="s">
        <v>67</v>
      </c>
      <c r="L120" s="32" t="s">
        <v>217</v>
      </c>
      <c r="M120" s="33" t="s">
        <v>81</v>
      </c>
      <c r="N120" s="33"/>
      <c r="O120" s="32">
        <v>40</v>
      </c>
      <c r="P120" s="62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50"/>
      <c r="R120" s="550"/>
      <c r="S120" s="550"/>
      <c r="T120" s="551"/>
      <c r="U120" s="34"/>
      <c r="V120" s="34"/>
      <c r="W120" s="35" t="s">
        <v>70</v>
      </c>
      <c r="X120" s="543">
        <v>0</v>
      </c>
      <c r="Y120" s="544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65" t="s">
        <v>223</v>
      </c>
      <c r="AG120" s="64"/>
      <c r="AJ120" s="68" t="s">
        <v>110</v>
      </c>
      <c r="AK120" s="68">
        <v>27.72</v>
      </c>
      <c r="BB120" s="166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x14ac:dyDescent="0.2">
      <c r="A121" s="567"/>
      <c r="B121" s="557"/>
      <c r="C121" s="557"/>
      <c r="D121" s="557"/>
      <c r="E121" s="557"/>
      <c r="F121" s="557"/>
      <c r="G121" s="557"/>
      <c r="H121" s="557"/>
      <c r="I121" s="557"/>
      <c r="J121" s="557"/>
      <c r="K121" s="557"/>
      <c r="L121" s="557"/>
      <c r="M121" s="557"/>
      <c r="N121" s="557"/>
      <c r="O121" s="568"/>
      <c r="P121" s="561" t="s">
        <v>76</v>
      </c>
      <c r="Q121" s="562"/>
      <c r="R121" s="562"/>
      <c r="S121" s="562"/>
      <c r="T121" s="562"/>
      <c r="U121" s="562"/>
      <c r="V121" s="563"/>
      <c r="W121" s="37" t="s">
        <v>77</v>
      </c>
      <c r="X121" s="545">
        <f>IFERROR(X120/H120,"0")</f>
        <v>0</v>
      </c>
      <c r="Y121" s="545">
        <f>IFERROR(Y120/H120,"0")</f>
        <v>0</v>
      </c>
      <c r="Z121" s="545">
        <f>IFERROR(IF(Z120="",0,Z120),"0")</f>
        <v>0</v>
      </c>
      <c r="AA121" s="546"/>
      <c r="AB121" s="546"/>
      <c r="AC121" s="546"/>
    </row>
    <row r="122" spans="1:68" x14ac:dyDescent="0.2">
      <c r="A122" s="557"/>
      <c r="B122" s="557"/>
      <c r="C122" s="557"/>
      <c r="D122" s="557"/>
      <c r="E122" s="557"/>
      <c r="F122" s="557"/>
      <c r="G122" s="557"/>
      <c r="H122" s="557"/>
      <c r="I122" s="557"/>
      <c r="J122" s="557"/>
      <c r="K122" s="557"/>
      <c r="L122" s="557"/>
      <c r="M122" s="557"/>
      <c r="N122" s="557"/>
      <c r="O122" s="568"/>
      <c r="P122" s="561" t="s">
        <v>76</v>
      </c>
      <c r="Q122" s="562"/>
      <c r="R122" s="562"/>
      <c r="S122" s="562"/>
      <c r="T122" s="562"/>
      <c r="U122" s="562"/>
      <c r="V122" s="563"/>
      <c r="W122" s="37" t="s">
        <v>70</v>
      </c>
      <c r="X122" s="545">
        <f>IFERROR(SUM(X120:X120),"0")</f>
        <v>0</v>
      </c>
      <c r="Y122" s="545">
        <f>IFERROR(SUM(Y120:Y120),"0")</f>
        <v>0</v>
      </c>
      <c r="Z122" s="37"/>
      <c r="AA122" s="546"/>
      <c r="AB122" s="546"/>
      <c r="AC122" s="546"/>
    </row>
    <row r="123" spans="1:68" ht="16.5" customHeight="1" x14ac:dyDescent="0.25">
      <c r="A123" s="558" t="s">
        <v>224</v>
      </c>
      <c r="B123" s="557"/>
      <c r="C123" s="557"/>
      <c r="D123" s="557"/>
      <c r="E123" s="557"/>
      <c r="F123" s="557"/>
      <c r="G123" s="557"/>
      <c r="H123" s="557"/>
      <c r="I123" s="557"/>
      <c r="J123" s="557"/>
      <c r="K123" s="557"/>
      <c r="L123" s="557"/>
      <c r="M123" s="557"/>
      <c r="N123" s="557"/>
      <c r="O123" s="557"/>
      <c r="P123" s="557"/>
      <c r="Q123" s="557"/>
      <c r="R123" s="557"/>
      <c r="S123" s="557"/>
      <c r="T123" s="557"/>
      <c r="U123" s="557"/>
      <c r="V123" s="557"/>
      <c r="W123" s="557"/>
      <c r="X123" s="557"/>
      <c r="Y123" s="557"/>
      <c r="Z123" s="557"/>
      <c r="AA123" s="538"/>
      <c r="AB123" s="538"/>
      <c r="AC123" s="538"/>
    </row>
    <row r="124" spans="1:68" ht="14.25" customHeight="1" x14ac:dyDescent="0.25">
      <c r="A124" s="556" t="s">
        <v>103</v>
      </c>
      <c r="B124" s="557"/>
      <c r="C124" s="557"/>
      <c r="D124" s="557"/>
      <c r="E124" s="557"/>
      <c r="F124" s="557"/>
      <c r="G124" s="557"/>
      <c r="H124" s="557"/>
      <c r="I124" s="557"/>
      <c r="J124" s="557"/>
      <c r="K124" s="557"/>
      <c r="L124" s="557"/>
      <c r="M124" s="557"/>
      <c r="N124" s="557"/>
      <c r="O124" s="557"/>
      <c r="P124" s="557"/>
      <c r="Q124" s="557"/>
      <c r="R124" s="557"/>
      <c r="S124" s="557"/>
      <c r="T124" s="557"/>
      <c r="U124" s="557"/>
      <c r="V124" s="557"/>
      <c r="W124" s="557"/>
      <c r="X124" s="557"/>
      <c r="Y124" s="557"/>
      <c r="Z124" s="557"/>
      <c r="AA124" s="539"/>
      <c r="AB124" s="539"/>
      <c r="AC124" s="539"/>
    </row>
    <row r="125" spans="1:68" ht="27" customHeight="1" x14ac:dyDescent="0.25">
      <c r="A125" s="54" t="s">
        <v>225</v>
      </c>
      <c r="B125" s="54" t="s">
        <v>226</v>
      </c>
      <c r="C125" s="31">
        <v>4301011562</v>
      </c>
      <c r="D125" s="547">
        <v>4680115882577</v>
      </c>
      <c r="E125" s="548"/>
      <c r="F125" s="542">
        <v>0.4</v>
      </c>
      <c r="G125" s="32">
        <v>8</v>
      </c>
      <c r="H125" s="542">
        <v>3.2</v>
      </c>
      <c r="I125" s="542">
        <v>3.38</v>
      </c>
      <c r="J125" s="32">
        <v>182</v>
      </c>
      <c r="K125" s="32" t="s">
        <v>67</v>
      </c>
      <c r="L125" s="32" t="s">
        <v>217</v>
      </c>
      <c r="M125" s="33" t="s">
        <v>98</v>
      </c>
      <c r="N125" s="33"/>
      <c r="O125" s="32">
        <v>90</v>
      </c>
      <c r="P125" s="80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550"/>
      <c r="R125" s="550"/>
      <c r="S125" s="550"/>
      <c r="T125" s="551"/>
      <c r="U125" s="34"/>
      <c r="V125" s="34"/>
      <c r="W125" s="35" t="s">
        <v>70</v>
      </c>
      <c r="X125" s="543">
        <v>88</v>
      </c>
      <c r="Y125" s="544">
        <f>IFERROR(IF(X125="",0,CEILING((X125/$H125),1)*$H125),"")</f>
        <v>89.600000000000009</v>
      </c>
      <c r="Z125" s="36">
        <f>IFERROR(IF(Y125=0,"",ROUNDUP(Y125/H125,0)*0.00651),"")</f>
        <v>0.18228</v>
      </c>
      <c r="AA125" s="56"/>
      <c r="AB125" s="57"/>
      <c r="AC125" s="167" t="s">
        <v>227</v>
      </c>
      <c r="AG125" s="64"/>
      <c r="AJ125" s="68" t="s">
        <v>110</v>
      </c>
      <c r="AK125" s="68">
        <v>44.8</v>
      </c>
      <c r="BB125" s="168" t="s">
        <v>1</v>
      </c>
      <c r="BM125" s="64">
        <f>IFERROR(X125*I125/H125,"0")</f>
        <v>92.949999999999989</v>
      </c>
      <c r="BN125" s="64">
        <f>IFERROR(Y125*I125/H125,"0")</f>
        <v>94.64</v>
      </c>
      <c r="BO125" s="64">
        <f>IFERROR(1/J125*(X125/H125),"0")</f>
        <v>0.15109890109890112</v>
      </c>
      <c r="BP125" s="64">
        <f>IFERROR(1/J125*(Y125/H125),"0")</f>
        <v>0.15384615384615385</v>
      </c>
    </row>
    <row r="126" spans="1:68" ht="27" customHeight="1" x14ac:dyDescent="0.25">
      <c r="A126" s="54" t="s">
        <v>225</v>
      </c>
      <c r="B126" s="54" t="s">
        <v>228</v>
      </c>
      <c r="C126" s="31">
        <v>4301011564</v>
      </c>
      <c r="D126" s="547">
        <v>4680115882577</v>
      </c>
      <c r="E126" s="548"/>
      <c r="F126" s="542">
        <v>0.4</v>
      </c>
      <c r="G126" s="32">
        <v>8</v>
      </c>
      <c r="H126" s="542">
        <v>3.2</v>
      </c>
      <c r="I126" s="542">
        <v>3.38</v>
      </c>
      <c r="J126" s="32">
        <v>182</v>
      </c>
      <c r="K126" s="32" t="s">
        <v>67</v>
      </c>
      <c r="L126" s="32"/>
      <c r="M126" s="33" t="s">
        <v>98</v>
      </c>
      <c r="N126" s="33"/>
      <c r="O126" s="32">
        <v>90</v>
      </c>
      <c r="P126" s="86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0"/>
      <c r="R126" s="550"/>
      <c r="S126" s="550"/>
      <c r="T126" s="551"/>
      <c r="U126" s="34"/>
      <c r="V126" s="34"/>
      <c r="W126" s="35" t="s">
        <v>70</v>
      </c>
      <c r="X126" s="543">
        <v>0</v>
      </c>
      <c r="Y126" s="544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227</v>
      </c>
      <c r="AG126" s="64"/>
      <c r="AJ126" s="68"/>
      <c r="AK126" s="68">
        <v>0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x14ac:dyDescent="0.2">
      <c r="A127" s="567"/>
      <c r="B127" s="557"/>
      <c r="C127" s="557"/>
      <c r="D127" s="557"/>
      <c r="E127" s="557"/>
      <c r="F127" s="557"/>
      <c r="G127" s="557"/>
      <c r="H127" s="557"/>
      <c r="I127" s="557"/>
      <c r="J127" s="557"/>
      <c r="K127" s="557"/>
      <c r="L127" s="557"/>
      <c r="M127" s="557"/>
      <c r="N127" s="557"/>
      <c r="O127" s="568"/>
      <c r="P127" s="561" t="s">
        <v>76</v>
      </c>
      <c r="Q127" s="562"/>
      <c r="R127" s="562"/>
      <c r="S127" s="562"/>
      <c r="T127" s="562"/>
      <c r="U127" s="562"/>
      <c r="V127" s="563"/>
      <c r="W127" s="37" t="s">
        <v>77</v>
      </c>
      <c r="X127" s="545">
        <f>IFERROR(X125/H125,"0")+IFERROR(X126/H126,"0")</f>
        <v>27.5</v>
      </c>
      <c r="Y127" s="545">
        <f>IFERROR(Y125/H125,"0")+IFERROR(Y126/H126,"0")</f>
        <v>28</v>
      </c>
      <c r="Z127" s="545">
        <f>IFERROR(IF(Z125="",0,Z125),"0")+IFERROR(IF(Z126="",0,Z126),"0")</f>
        <v>0.18228</v>
      </c>
      <c r="AA127" s="546"/>
      <c r="AB127" s="546"/>
      <c r="AC127" s="546"/>
    </row>
    <row r="128" spans="1:68" x14ac:dyDescent="0.2">
      <c r="A128" s="557"/>
      <c r="B128" s="557"/>
      <c r="C128" s="557"/>
      <c r="D128" s="557"/>
      <c r="E128" s="557"/>
      <c r="F128" s="557"/>
      <c r="G128" s="557"/>
      <c r="H128" s="557"/>
      <c r="I128" s="557"/>
      <c r="J128" s="557"/>
      <c r="K128" s="557"/>
      <c r="L128" s="557"/>
      <c r="M128" s="557"/>
      <c r="N128" s="557"/>
      <c r="O128" s="568"/>
      <c r="P128" s="561" t="s">
        <v>76</v>
      </c>
      <c r="Q128" s="562"/>
      <c r="R128" s="562"/>
      <c r="S128" s="562"/>
      <c r="T128" s="562"/>
      <c r="U128" s="562"/>
      <c r="V128" s="563"/>
      <c r="W128" s="37" t="s">
        <v>70</v>
      </c>
      <c r="X128" s="545">
        <f>IFERROR(SUM(X125:X126),"0")</f>
        <v>88</v>
      </c>
      <c r="Y128" s="545">
        <f>IFERROR(SUM(Y125:Y126),"0")</f>
        <v>89.600000000000009</v>
      </c>
      <c r="Z128" s="37"/>
      <c r="AA128" s="546"/>
      <c r="AB128" s="546"/>
      <c r="AC128" s="546"/>
    </row>
    <row r="129" spans="1:68" ht="14.25" customHeight="1" x14ac:dyDescent="0.25">
      <c r="A129" s="556" t="s">
        <v>64</v>
      </c>
      <c r="B129" s="557"/>
      <c r="C129" s="557"/>
      <c r="D129" s="557"/>
      <c r="E129" s="557"/>
      <c r="F129" s="557"/>
      <c r="G129" s="557"/>
      <c r="H129" s="557"/>
      <c r="I129" s="557"/>
      <c r="J129" s="557"/>
      <c r="K129" s="557"/>
      <c r="L129" s="557"/>
      <c r="M129" s="557"/>
      <c r="N129" s="557"/>
      <c r="O129" s="557"/>
      <c r="P129" s="557"/>
      <c r="Q129" s="557"/>
      <c r="R129" s="557"/>
      <c r="S129" s="557"/>
      <c r="T129" s="557"/>
      <c r="U129" s="557"/>
      <c r="V129" s="557"/>
      <c r="W129" s="557"/>
      <c r="X129" s="557"/>
      <c r="Y129" s="557"/>
      <c r="Z129" s="557"/>
      <c r="AA129" s="539"/>
      <c r="AB129" s="539"/>
      <c r="AC129" s="539"/>
    </row>
    <row r="130" spans="1:68" ht="27" customHeight="1" x14ac:dyDescent="0.25">
      <c r="A130" s="54" t="s">
        <v>229</v>
      </c>
      <c r="B130" s="54" t="s">
        <v>230</v>
      </c>
      <c r="C130" s="31">
        <v>4301031235</v>
      </c>
      <c r="D130" s="547">
        <v>4680115883444</v>
      </c>
      <c r="E130" s="548"/>
      <c r="F130" s="542">
        <v>0.35</v>
      </c>
      <c r="G130" s="32">
        <v>8</v>
      </c>
      <c r="H130" s="542">
        <v>2.8</v>
      </c>
      <c r="I130" s="542">
        <v>3.0680000000000001</v>
      </c>
      <c r="J130" s="32">
        <v>182</v>
      </c>
      <c r="K130" s="32" t="s">
        <v>67</v>
      </c>
      <c r="L130" s="32"/>
      <c r="M130" s="33" t="s">
        <v>98</v>
      </c>
      <c r="N130" s="33"/>
      <c r="O130" s="32">
        <v>90</v>
      </c>
      <c r="P130" s="79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550"/>
      <c r="R130" s="550"/>
      <c r="S130" s="550"/>
      <c r="T130" s="551"/>
      <c r="U130" s="34"/>
      <c r="V130" s="34"/>
      <c r="W130" s="35" t="s">
        <v>70</v>
      </c>
      <c r="X130" s="543">
        <v>0</v>
      </c>
      <c r="Y130" s="54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231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customHeight="1" x14ac:dyDescent="0.25">
      <c r="A131" s="54" t="s">
        <v>229</v>
      </c>
      <c r="B131" s="54" t="s">
        <v>232</v>
      </c>
      <c r="C131" s="31">
        <v>4301031234</v>
      </c>
      <c r="D131" s="547">
        <v>4680115883444</v>
      </c>
      <c r="E131" s="548"/>
      <c r="F131" s="542">
        <v>0.35</v>
      </c>
      <c r="G131" s="32">
        <v>8</v>
      </c>
      <c r="H131" s="542">
        <v>2.8</v>
      </c>
      <c r="I131" s="542">
        <v>3.0680000000000001</v>
      </c>
      <c r="J131" s="32">
        <v>182</v>
      </c>
      <c r="K131" s="32" t="s">
        <v>67</v>
      </c>
      <c r="L131" s="32" t="s">
        <v>217</v>
      </c>
      <c r="M131" s="33" t="s">
        <v>98</v>
      </c>
      <c r="N131" s="33"/>
      <c r="O131" s="32">
        <v>90</v>
      </c>
      <c r="P131" s="66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0"/>
      <c r="R131" s="550"/>
      <c r="S131" s="550"/>
      <c r="T131" s="551"/>
      <c r="U131" s="34"/>
      <c r="V131" s="34"/>
      <c r="W131" s="35" t="s">
        <v>70</v>
      </c>
      <c r="X131" s="543">
        <v>35</v>
      </c>
      <c r="Y131" s="544">
        <f>IFERROR(IF(X131="",0,CEILING((X131/$H131),1)*$H131),"")</f>
        <v>36.4</v>
      </c>
      <c r="Z131" s="36">
        <f>IFERROR(IF(Y131=0,"",ROUNDUP(Y131/H131,0)*0.00651),"")</f>
        <v>8.4629999999999997E-2</v>
      </c>
      <c r="AA131" s="56"/>
      <c r="AB131" s="57"/>
      <c r="AC131" s="173" t="s">
        <v>231</v>
      </c>
      <c r="AG131" s="64"/>
      <c r="AJ131" s="68" t="s">
        <v>110</v>
      </c>
      <c r="AK131" s="68">
        <v>39.200000000000003</v>
      </c>
      <c r="BB131" s="174" t="s">
        <v>1</v>
      </c>
      <c r="BM131" s="64">
        <f>IFERROR(X131*I131/H131,"0")</f>
        <v>38.35</v>
      </c>
      <c r="BN131" s="64">
        <f>IFERROR(Y131*I131/H131,"0")</f>
        <v>39.884</v>
      </c>
      <c r="BO131" s="64">
        <f>IFERROR(1/J131*(X131/H131),"0")</f>
        <v>6.8681318681318687E-2</v>
      </c>
      <c r="BP131" s="64">
        <f>IFERROR(1/J131*(Y131/H131),"0")</f>
        <v>7.1428571428571438E-2</v>
      </c>
    </row>
    <row r="132" spans="1:68" x14ac:dyDescent="0.2">
      <c r="A132" s="567"/>
      <c r="B132" s="557"/>
      <c r="C132" s="557"/>
      <c r="D132" s="557"/>
      <c r="E132" s="557"/>
      <c r="F132" s="557"/>
      <c r="G132" s="557"/>
      <c r="H132" s="557"/>
      <c r="I132" s="557"/>
      <c r="J132" s="557"/>
      <c r="K132" s="557"/>
      <c r="L132" s="557"/>
      <c r="M132" s="557"/>
      <c r="N132" s="557"/>
      <c r="O132" s="568"/>
      <c r="P132" s="561" t="s">
        <v>76</v>
      </c>
      <c r="Q132" s="562"/>
      <c r="R132" s="562"/>
      <c r="S132" s="562"/>
      <c r="T132" s="562"/>
      <c r="U132" s="562"/>
      <c r="V132" s="563"/>
      <c r="W132" s="37" t="s">
        <v>77</v>
      </c>
      <c r="X132" s="545">
        <f>IFERROR(X130/H130,"0")+IFERROR(X131/H131,"0")</f>
        <v>12.5</v>
      </c>
      <c r="Y132" s="545">
        <f>IFERROR(Y130/H130,"0")+IFERROR(Y131/H131,"0")</f>
        <v>13</v>
      </c>
      <c r="Z132" s="545">
        <f>IFERROR(IF(Z130="",0,Z130),"0")+IFERROR(IF(Z131="",0,Z131),"0")</f>
        <v>8.4629999999999997E-2</v>
      </c>
      <c r="AA132" s="546"/>
      <c r="AB132" s="546"/>
      <c r="AC132" s="546"/>
    </row>
    <row r="133" spans="1:68" x14ac:dyDescent="0.2">
      <c r="A133" s="557"/>
      <c r="B133" s="557"/>
      <c r="C133" s="557"/>
      <c r="D133" s="557"/>
      <c r="E133" s="557"/>
      <c r="F133" s="557"/>
      <c r="G133" s="557"/>
      <c r="H133" s="557"/>
      <c r="I133" s="557"/>
      <c r="J133" s="557"/>
      <c r="K133" s="557"/>
      <c r="L133" s="557"/>
      <c r="M133" s="557"/>
      <c r="N133" s="557"/>
      <c r="O133" s="568"/>
      <c r="P133" s="561" t="s">
        <v>76</v>
      </c>
      <c r="Q133" s="562"/>
      <c r="R133" s="562"/>
      <c r="S133" s="562"/>
      <c r="T133" s="562"/>
      <c r="U133" s="562"/>
      <c r="V133" s="563"/>
      <c r="W133" s="37" t="s">
        <v>70</v>
      </c>
      <c r="X133" s="545">
        <f>IFERROR(SUM(X130:X131),"0")</f>
        <v>35</v>
      </c>
      <c r="Y133" s="545">
        <f>IFERROR(SUM(Y130:Y131),"0")</f>
        <v>36.4</v>
      </c>
      <c r="Z133" s="37"/>
      <c r="AA133" s="546"/>
      <c r="AB133" s="546"/>
      <c r="AC133" s="546"/>
    </row>
    <row r="134" spans="1:68" ht="14.25" customHeight="1" x14ac:dyDescent="0.25">
      <c r="A134" s="556" t="s">
        <v>78</v>
      </c>
      <c r="B134" s="557"/>
      <c r="C134" s="557"/>
      <c r="D134" s="557"/>
      <c r="E134" s="557"/>
      <c r="F134" s="557"/>
      <c r="G134" s="557"/>
      <c r="H134" s="557"/>
      <c r="I134" s="557"/>
      <c r="J134" s="557"/>
      <c r="K134" s="557"/>
      <c r="L134" s="557"/>
      <c r="M134" s="557"/>
      <c r="N134" s="557"/>
      <c r="O134" s="557"/>
      <c r="P134" s="557"/>
      <c r="Q134" s="557"/>
      <c r="R134" s="557"/>
      <c r="S134" s="557"/>
      <c r="T134" s="557"/>
      <c r="U134" s="557"/>
      <c r="V134" s="557"/>
      <c r="W134" s="557"/>
      <c r="X134" s="557"/>
      <c r="Y134" s="557"/>
      <c r="Z134" s="557"/>
      <c r="AA134" s="539"/>
      <c r="AB134" s="539"/>
      <c r="AC134" s="539"/>
    </row>
    <row r="135" spans="1:68" ht="16.5" customHeight="1" x14ac:dyDescent="0.25">
      <c r="A135" s="54" t="s">
        <v>233</v>
      </c>
      <c r="B135" s="54" t="s">
        <v>234</v>
      </c>
      <c r="C135" s="31">
        <v>4301051477</v>
      </c>
      <c r="D135" s="547">
        <v>4680115882584</v>
      </c>
      <c r="E135" s="548"/>
      <c r="F135" s="542">
        <v>0.33</v>
      </c>
      <c r="G135" s="32">
        <v>8</v>
      </c>
      <c r="H135" s="542">
        <v>2.64</v>
      </c>
      <c r="I135" s="542">
        <v>2.9079999999999999</v>
      </c>
      <c r="J135" s="32">
        <v>182</v>
      </c>
      <c r="K135" s="32" t="s">
        <v>67</v>
      </c>
      <c r="L135" s="32"/>
      <c r="M135" s="33" t="s">
        <v>98</v>
      </c>
      <c r="N135" s="33"/>
      <c r="O135" s="32">
        <v>60</v>
      </c>
      <c r="P135" s="82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50"/>
      <c r="R135" s="550"/>
      <c r="S135" s="550"/>
      <c r="T135" s="551"/>
      <c r="U135" s="34"/>
      <c r="V135" s="34"/>
      <c r="W135" s="35" t="s">
        <v>70</v>
      </c>
      <c r="X135" s="543">
        <v>0</v>
      </c>
      <c r="Y135" s="544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227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16.5" customHeight="1" x14ac:dyDescent="0.25">
      <c r="A136" s="54" t="s">
        <v>233</v>
      </c>
      <c r="B136" s="54" t="s">
        <v>235</v>
      </c>
      <c r="C136" s="31">
        <v>4301051476</v>
      </c>
      <c r="D136" s="547">
        <v>4680115882584</v>
      </c>
      <c r="E136" s="548"/>
      <c r="F136" s="542">
        <v>0.33</v>
      </c>
      <c r="G136" s="32">
        <v>8</v>
      </c>
      <c r="H136" s="542">
        <v>2.64</v>
      </c>
      <c r="I136" s="542">
        <v>2.9079999999999999</v>
      </c>
      <c r="J136" s="32">
        <v>182</v>
      </c>
      <c r="K136" s="32" t="s">
        <v>67</v>
      </c>
      <c r="L136" s="32" t="s">
        <v>217</v>
      </c>
      <c r="M136" s="33" t="s">
        <v>98</v>
      </c>
      <c r="N136" s="33"/>
      <c r="O136" s="32">
        <v>60</v>
      </c>
      <c r="P136" s="85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50"/>
      <c r="R136" s="550"/>
      <c r="S136" s="550"/>
      <c r="T136" s="551"/>
      <c r="U136" s="34"/>
      <c r="V136" s="34"/>
      <c r="W136" s="35" t="s">
        <v>70</v>
      </c>
      <c r="X136" s="543">
        <v>66</v>
      </c>
      <c r="Y136" s="544">
        <f>IFERROR(IF(X136="",0,CEILING((X136/$H136),1)*$H136),"")</f>
        <v>66</v>
      </c>
      <c r="Z136" s="36">
        <f>IFERROR(IF(Y136=0,"",ROUNDUP(Y136/H136,0)*0.00651),"")</f>
        <v>0.16275000000000001</v>
      </c>
      <c r="AA136" s="56"/>
      <c r="AB136" s="57"/>
      <c r="AC136" s="177" t="s">
        <v>227</v>
      </c>
      <c r="AG136" s="64"/>
      <c r="AJ136" s="68" t="s">
        <v>110</v>
      </c>
      <c r="AK136" s="68">
        <v>36.96</v>
      </c>
      <c r="BB136" s="178" t="s">
        <v>1</v>
      </c>
      <c r="BM136" s="64">
        <f>IFERROR(X136*I136/H136,"0")</f>
        <v>72.699999999999989</v>
      </c>
      <c r="BN136" s="64">
        <f>IFERROR(Y136*I136/H136,"0")</f>
        <v>72.699999999999989</v>
      </c>
      <c r="BO136" s="64">
        <f>IFERROR(1/J136*(X136/H136),"0")</f>
        <v>0.13736263736263737</v>
      </c>
      <c r="BP136" s="64">
        <f>IFERROR(1/J136*(Y136/H136),"0")</f>
        <v>0.13736263736263737</v>
      </c>
    </row>
    <row r="137" spans="1:68" x14ac:dyDescent="0.2">
      <c r="A137" s="567"/>
      <c r="B137" s="557"/>
      <c r="C137" s="557"/>
      <c r="D137" s="557"/>
      <c r="E137" s="557"/>
      <c r="F137" s="557"/>
      <c r="G137" s="557"/>
      <c r="H137" s="557"/>
      <c r="I137" s="557"/>
      <c r="J137" s="557"/>
      <c r="K137" s="557"/>
      <c r="L137" s="557"/>
      <c r="M137" s="557"/>
      <c r="N137" s="557"/>
      <c r="O137" s="568"/>
      <c r="P137" s="561" t="s">
        <v>76</v>
      </c>
      <c r="Q137" s="562"/>
      <c r="R137" s="562"/>
      <c r="S137" s="562"/>
      <c r="T137" s="562"/>
      <c r="U137" s="562"/>
      <c r="V137" s="563"/>
      <c r="W137" s="37" t="s">
        <v>77</v>
      </c>
      <c r="X137" s="545">
        <f>IFERROR(X135/H135,"0")+IFERROR(X136/H136,"0")</f>
        <v>25</v>
      </c>
      <c r="Y137" s="545">
        <f>IFERROR(Y135/H135,"0")+IFERROR(Y136/H136,"0")</f>
        <v>25</v>
      </c>
      <c r="Z137" s="545">
        <f>IFERROR(IF(Z135="",0,Z135),"0")+IFERROR(IF(Z136="",0,Z136),"0")</f>
        <v>0.16275000000000001</v>
      </c>
      <c r="AA137" s="546"/>
      <c r="AB137" s="546"/>
      <c r="AC137" s="546"/>
    </row>
    <row r="138" spans="1:68" x14ac:dyDescent="0.2">
      <c r="A138" s="557"/>
      <c r="B138" s="557"/>
      <c r="C138" s="557"/>
      <c r="D138" s="557"/>
      <c r="E138" s="557"/>
      <c r="F138" s="557"/>
      <c r="G138" s="557"/>
      <c r="H138" s="557"/>
      <c r="I138" s="557"/>
      <c r="J138" s="557"/>
      <c r="K138" s="557"/>
      <c r="L138" s="557"/>
      <c r="M138" s="557"/>
      <c r="N138" s="557"/>
      <c r="O138" s="568"/>
      <c r="P138" s="561" t="s">
        <v>76</v>
      </c>
      <c r="Q138" s="562"/>
      <c r="R138" s="562"/>
      <c r="S138" s="562"/>
      <c r="T138" s="562"/>
      <c r="U138" s="562"/>
      <c r="V138" s="563"/>
      <c r="W138" s="37" t="s">
        <v>70</v>
      </c>
      <c r="X138" s="545">
        <f>IFERROR(SUM(X135:X136),"0")</f>
        <v>66</v>
      </c>
      <c r="Y138" s="545">
        <f>IFERROR(SUM(Y135:Y136),"0")</f>
        <v>66</v>
      </c>
      <c r="Z138" s="37"/>
      <c r="AA138" s="546"/>
      <c r="AB138" s="546"/>
      <c r="AC138" s="546"/>
    </row>
    <row r="139" spans="1:68" ht="16.5" customHeight="1" x14ac:dyDescent="0.25">
      <c r="A139" s="558" t="s">
        <v>101</v>
      </c>
      <c r="B139" s="557"/>
      <c r="C139" s="557"/>
      <c r="D139" s="557"/>
      <c r="E139" s="557"/>
      <c r="F139" s="557"/>
      <c r="G139" s="557"/>
      <c r="H139" s="557"/>
      <c r="I139" s="557"/>
      <c r="J139" s="557"/>
      <c r="K139" s="557"/>
      <c r="L139" s="557"/>
      <c r="M139" s="557"/>
      <c r="N139" s="557"/>
      <c r="O139" s="557"/>
      <c r="P139" s="557"/>
      <c r="Q139" s="557"/>
      <c r="R139" s="557"/>
      <c r="S139" s="557"/>
      <c r="T139" s="557"/>
      <c r="U139" s="557"/>
      <c r="V139" s="557"/>
      <c r="W139" s="557"/>
      <c r="X139" s="557"/>
      <c r="Y139" s="557"/>
      <c r="Z139" s="557"/>
      <c r="AA139" s="538"/>
      <c r="AB139" s="538"/>
      <c r="AC139" s="538"/>
    </row>
    <row r="140" spans="1:68" ht="14.25" customHeight="1" x14ac:dyDescent="0.25">
      <c r="A140" s="556" t="s">
        <v>103</v>
      </c>
      <c r="B140" s="557"/>
      <c r="C140" s="557"/>
      <c r="D140" s="557"/>
      <c r="E140" s="557"/>
      <c r="F140" s="557"/>
      <c r="G140" s="557"/>
      <c r="H140" s="557"/>
      <c r="I140" s="557"/>
      <c r="J140" s="557"/>
      <c r="K140" s="557"/>
      <c r="L140" s="557"/>
      <c r="M140" s="557"/>
      <c r="N140" s="557"/>
      <c r="O140" s="557"/>
      <c r="P140" s="557"/>
      <c r="Q140" s="557"/>
      <c r="R140" s="557"/>
      <c r="S140" s="557"/>
      <c r="T140" s="557"/>
      <c r="U140" s="557"/>
      <c r="V140" s="557"/>
      <c r="W140" s="557"/>
      <c r="X140" s="557"/>
      <c r="Y140" s="557"/>
      <c r="Z140" s="557"/>
      <c r="AA140" s="539"/>
      <c r="AB140" s="539"/>
      <c r="AC140" s="539"/>
    </row>
    <row r="141" spans="1:68" ht="27" customHeight="1" x14ac:dyDescent="0.25">
      <c r="A141" s="54" t="s">
        <v>236</v>
      </c>
      <c r="B141" s="54" t="s">
        <v>237</v>
      </c>
      <c r="C141" s="31">
        <v>4301012244</v>
      </c>
      <c r="D141" s="547">
        <v>4680115887374</v>
      </c>
      <c r="E141" s="548"/>
      <c r="F141" s="542">
        <v>1.6</v>
      </c>
      <c r="G141" s="32">
        <v>8</v>
      </c>
      <c r="H141" s="542">
        <v>12.8</v>
      </c>
      <c r="I141" s="542">
        <v>13.21</v>
      </c>
      <c r="J141" s="32">
        <v>64</v>
      </c>
      <c r="K141" s="32" t="s">
        <v>106</v>
      </c>
      <c r="L141" s="32"/>
      <c r="M141" s="33" t="s">
        <v>108</v>
      </c>
      <c r="N141" s="33"/>
      <c r="O141" s="32">
        <v>55</v>
      </c>
      <c r="P141" s="74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50"/>
      <c r="R141" s="550"/>
      <c r="S141" s="550"/>
      <c r="T141" s="551"/>
      <c r="U141" s="34"/>
      <c r="V141" s="34"/>
      <c r="W141" s="35" t="s">
        <v>70</v>
      </c>
      <c r="X141" s="543">
        <v>0</v>
      </c>
      <c r="Y141" s="544">
        <f>IFERROR(IF(X141="",0,CEILING((X141/$H141),1)*$H141),"")</f>
        <v>0</v>
      </c>
      <c r="Z141" s="36" t="str">
        <f>IFERROR(IF(Y141=0,"",ROUNDUP(Y141/H141,0)*0.01898),"")</f>
        <v/>
      </c>
      <c r="AA141" s="56"/>
      <c r="AB141" s="57"/>
      <c r="AC141" s="179" t="s">
        <v>238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customHeight="1" x14ac:dyDescent="0.25">
      <c r="A142" s="54" t="s">
        <v>239</v>
      </c>
      <c r="B142" s="54" t="s">
        <v>240</v>
      </c>
      <c r="C142" s="31">
        <v>4301011705</v>
      </c>
      <c r="D142" s="547">
        <v>4607091384604</v>
      </c>
      <c r="E142" s="548"/>
      <c r="F142" s="542">
        <v>0.4</v>
      </c>
      <c r="G142" s="32">
        <v>10</v>
      </c>
      <c r="H142" s="542">
        <v>4</v>
      </c>
      <c r="I142" s="542">
        <v>4.1900000000000004</v>
      </c>
      <c r="J142" s="32">
        <v>132</v>
      </c>
      <c r="K142" s="32" t="s">
        <v>113</v>
      </c>
      <c r="L142" s="32"/>
      <c r="M142" s="33" t="s">
        <v>108</v>
      </c>
      <c r="N142" s="33"/>
      <c r="O142" s="32">
        <v>50</v>
      </c>
      <c r="P142" s="6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50"/>
      <c r="R142" s="550"/>
      <c r="S142" s="550"/>
      <c r="T142" s="551"/>
      <c r="U142" s="34"/>
      <c r="V142" s="34"/>
      <c r="W142" s="35" t="s">
        <v>70</v>
      </c>
      <c r="X142" s="543">
        <v>0</v>
      </c>
      <c r="Y142" s="544">
        <f>IFERROR(IF(X142="",0,CEILING((X142/$H142),1)*$H142),"")</f>
        <v>0</v>
      </c>
      <c r="Z142" s="36" t="str">
        <f>IFERROR(IF(Y142=0,"",ROUNDUP(Y142/H142,0)*0.00902),"")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567"/>
      <c r="B143" s="557"/>
      <c r="C143" s="557"/>
      <c r="D143" s="557"/>
      <c r="E143" s="557"/>
      <c r="F143" s="557"/>
      <c r="G143" s="557"/>
      <c r="H143" s="557"/>
      <c r="I143" s="557"/>
      <c r="J143" s="557"/>
      <c r="K143" s="557"/>
      <c r="L143" s="557"/>
      <c r="M143" s="557"/>
      <c r="N143" s="557"/>
      <c r="O143" s="568"/>
      <c r="P143" s="561" t="s">
        <v>76</v>
      </c>
      <c r="Q143" s="562"/>
      <c r="R143" s="562"/>
      <c r="S143" s="562"/>
      <c r="T143" s="562"/>
      <c r="U143" s="562"/>
      <c r="V143" s="563"/>
      <c r="W143" s="37" t="s">
        <v>77</v>
      </c>
      <c r="X143" s="545">
        <f>IFERROR(X141/H141,"0")+IFERROR(X142/H142,"0")</f>
        <v>0</v>
      </c>
      <c r="Y143" s="545">
        <f>IFERROR(Y141/H141,"0")+IFERROR(Y142/H142,"0")</f>
        <v>0</v>
      </c>
      <c r="Z143" s="545">
        <f>IFERROR(IF(Z141="",0,Z141),"0")+IFERROR(IF(Z142="",0,Z142),"0")</f>
        <v>0</v>
      </c>
      <c r="AA143" s="546"/>
      <c r="AB143" s="546"/>
      <c r="AC143" s="546"/>
    </row>
    <row r="144" spans="1:68" x14ac:dyDescent="0.2">
      <c r="A144" s="557"/>
      <c r="B144" s="557"/>
      <c r="C144" s="557"/>
      <c r="D144" s="557"/>
      <c r="E144" s="557"/>
      <c r="F144" s="557"/>
      <c r="G144" s="557"/>
      <c r="H144" s="557"/>
      <c r="I144" s="557"/>
      <c r="J144" s="557"/>
      <c r="K144" s="557"/>
      <c r="L144" s="557"/>
      <c r="M144" s="557"/>
      <c r="N144" s="557"/>
      <c r="O144" s="568"/>
      <c r="P144" s="561" t="s">
        <v>76</v>
      </c>
      <c r="Q144" s="562"/>
      <c r="R144" s="562"/>
      <c r="S144" s="562"/>
      <c r="T144" s="562"/>
      <c r="U144" s="562"/>
      <c r="V144" s="563"/>
      <c r="W144" s="37" t="s">
        <v>70</v>
      </c>
      <c r="X144" s="545">
        <f>IFERROR(SUM(X141:X142),"0")</f>
        <v>0</v>
      </c>
      <c r="Y144" s="545">
        <f>IFERROR(SUM(Y141:Y142),"0")</f>
        <v>0</v>
      </c>
      <c r="Z144" s="37"/>
      <c r="AA144" s="546"/>
      <c r="AB144" s="546"/>
      <c r="AC144" s="546"/>
    </row>
    <row r="145" spans="1:68" ht="14.25" customHeight="1" x14ac:dyDescent="0.25">
      <c r="A145" s="556" t="s">
        <v>64</v>
      </c>
      <c r="B145" s="557"/>
      <c r="C145" s="557"/>
      <c r="D145" s="557"/>
      <c r="E145" s="557"/>
      <c r="F145" s="557"/>
      <c r="G145" s="557"/>
      <c r="H145" s="557"/>
      <c r="I145" s="557"/>
      <c r="J145" s="557"/>
      <c r="K145" s="557"/>
      <c r="L145" s="557"/>
      <c r="M145" s="557"/>
      <c r="N145" s="557"/>
      <c r="O145" s="557"/>
      <c r="P145" s="557"/>
      <c r="Q145" s="557"/>
      <c r="R145" s="557"/>
      <c r="S145" s="557"/>
      <c r="T145" s="557"/>
      <c r="U145" s="557"/>
      <c r="V145" s="557"/>
      <c r="W145" s="557"/>
      <c r="X145" s="557"/>
      <c r="Y145" s="557"/>
      <c r="Z145" s="557"/>
      <c r="AA145" s="539"/>
      <c r="AB145" s="539"/>
      <c r="AC145" s="539"/>
    </row>
    <row r="146" spans="1:68" ht="16.5" customHeight="1" x14ac:dyDescent="0.25">
      <c r="A146" s="54" t="s">
        <v>242</v>
      </c>
      <c r="B146" s="54" t="s">
        <v>243</v>
      </c>
      <c r="C146" s="31">
        <v>4301030895</v>
      </c>
      <c r="D146" s="547">
        <v>4607091387667</v>
      </c>
      <c r="E146" s="548"/>
      <c r="F146" s="542">
        <v>0.9</v>
      </c>
      <c r="G146" s="32">
        <v>10</v>
      </c>
      <c r="H146" s="542">
        <v>9</v>
      </c>
      <c r="I146" s="542">
        <v>9.56</v>
      </c>
      <c r="J146" s="32">
        <v>64</v>
      </c>
      <c r="K146" s="32" t="s">
        <v>106</v>
      </c>
      <c r="L146" s="32"/>
      <c r="M146" s="33" t="s">
        <v>108</v>
      </c>
      <c r="N146" s="33"/>
      <c r="O146" s="32">
        <v>40</v>
      </c>
      <c r="P146" s="84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50"/>
      <c r="R146" s="550"/>
      <c r="S146" s="550"/>
      <c r="T146" s="551"/>
      <c r="U146" s="34"/>
      <c r="V146" s="34"/>
      <c r="W146" s="35" t="s">
        <v>70</v>
      </c>
      <c r="X146" s="543">
        <v>0</v>
      </c>
      <c r="Y146" s="544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244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245</v>
      </c>
      <c r="B147" s="54" t="s">
        <v>246</v>
      </c>
      <c r="C147" s="31">
        <v>4301030961</v>
      </c>
      <c r="D147" s="547">
        <v>4607091387636</v>
      </c>
      <c r="E147" s="548"/>
      <c r="F147" s="542">
        <v>0.7</v>
      </c>
      <c r="G147" s="32">
        <v>6</v>
      </c>
      <c r="H147" s="542">
        <v>4.2</v>
      </c>
      <c r="I147" s="542">
        <v>4.47</v>
      </c>
      <c r="J147" s="32">
        <v>182</v>
      </c>
      <c r="K147" s="32" t="s">
        <v>67</v>
      </c>
      <c r="L147" s="32"/>
      <c r="M147" s="33" t="s">
        <v>68</v>
      </c>
      <c r="N147" s="33"/>
      <c r="O147" s="32">
        <v>40</v>
      </c>
      <c r="P147" s="60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50"/>
      <c r="R147" s="550"/>
      <c r="S147" s="550"/>
      <c r="T147" s="551"/>
      <c r="U147" s="34"/>
      <c r="V147" s="34"/>
      <c r="W147" s="35" t="s">
        <v>70</v>
      </c>
      <c r="X147" s="543">
        <v>0</v>
      </c>
      <c r="Y147" s="54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248</v>
      </c>
      <c r="B148" s="54" t="s">
        <v>249</v>
      </c>
      <c r="C148" s="31">
        <v>4301030963</v>
      </c>
      <c r="D148" s="547">
        <v>4607091382426</v>
      </c>
      <c r="E148" s="548"/>
      <c r="F148" s="542">
        <v>0.9</v>
      </c>
      <c r="G148" s="32">
        <v>10</v>
      </c>
      <c r="H148" s="542">
        <v>9</v>
      </c>
      <c r="I148" s="542">
        <v>9.56</v>
      </c>
      <c r="J148" s="32">
        <v>64</v>
      </c>
      <c r="K148" s="32" t="s">
        <v>106</v>
      </c>
      <c r="L148" s="32"/>
      <c r="M148" s="33" t="s">
        <v>68</v>
      </c>
      <c r="N148" s="33"/>
      <c r="O148" s="32">
        <v>40</v>
      </c>
      <c r="P148" s="63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50"/>
      <c r="R148" s="550"/>
      <c r="S148" s="550"/>
      <c r="T148" s="551"/>
      <c r="U148" s="34"/>
      <c r="V148" s="34"/>
      <c r="W148" s="35" t="s">
        <v>70</v>
      </c>
      <c r="X148" s="543">
        <v>0</v>
      </c>
      <c r="Y148" s="544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567"/>
      <c r="B149" s="557"/>
      <c r="C149" s="557"/>
      <c r="D149" s="557"/>
      <c r="E149" s="557"/>
      <c r="F149" s="557"/>
      <c r="G149" s="557"/>
      <c r="H149" s="557"/>
      <c r="I149" s="557"/>
      <c r="J149" s="557"/>
      <c r="K149" s="557"/>
      <c r="L149" s="557"/>
      <c r="M149" s="557"/>
      <c r="N149" s="557"/>
      <c r="O149" s="568"/>
      <c r="P149" s="561" t="s">
        <v>76</v>
      </c>
      <c r="Q149" s="562"/>
      <c r="R149" s="562"/>
      <c r="S149" s="562"/>
      <c r="T149" s="562"/>
      <c r="U149" s="562"/>
      <c r="V149" s="563"/>
      <c r="W149" s="37" t="s">
        <v>77</v>
      </c>
      <c r="X149" s="545">
        <f>IFERROR(X146/H146,"0")+IFERROR(X147/H147,"0")+IFERROR(X148/H148,"0")</f>
        <v>0</v>
      </c>
      <c r="Y149" s="545">
        <f>IFERROR(Y146/H146,"0")+IFERROR(Y147/H147,"0")+IFERROR(Y148/H148,"0")</f>
        <v>0</v>
      </c>
      <c r="Z149" s="545">
        <f>IFERROR(IF(Z146="",0,Z146),"0")+IFERROR(IF(Z147="",0,Z147),"0")+IFERROR(IF(Z148="",0,Z148),"0")</f>
        <v>0</v>
      </c>
      <c r="AA149" s="546"/>
      <c r="AB149" s="546"/>
      <c r="AC149" s="546"/>
    </row>
    <row r="150" spans="1:68" x14ac:dyDescent="0.2">
      <c r="A150" s="557"/>
      <c r="B150" s="557"/>
      <c r="C150" s="557"/>
      <c r="D150" s="557"/>
      <c r="E150" s="557"/>
      <c r="F150" s="557"/>
      <c r="G150" s="557"/>
      <c r="H150" s="557"/>
      <c r="I150" s="557"/>
      <c r="J150" s="557"/>
      <c r="K150" s="557"/>
      <c r="L150" s="557"/>
      <c r="M150" s="557"/>
      <c r="N150" s="557"/>
      <c r="O150" s="568"/>
      <c r="P150" s="561" t="s">
        <v>76</v>
      </c>
      <c r="Q150" s="562"/>
      <c r="R150" s="562"/>
      <c r="S150" s="562"/>
      <c r="T150" s="562"/>
      <c r="U150" s="562"/>
      <c r="V150" s="563"/>
      <c r="W150" s="37" t="s">
        <v>70</v>
      </c>
      <c r="X150" s="545">
        <f>IFERROR(SUM(X146:X148),"0")</f>
        <v>0</v>
      </c>
      <c r="Y150" s="545">
        <f>IFERROR(SUM(Y146:Y148),"0")</f>
        <v>0</v>
      </c>
      <c r="Z150" s="37"/>
      <c r="AA150" s="546"/>
      <c r="AB150" s="546"/>
      <c r="AC150" s="546"/>
    </row>
    <row r="151" spans="1:68" ht="14.25" customHeight="1" x14ac:dyDescent="0.25">
      <c r="A151" s="556" t="s">
        <v>78</v>
      </c>
      <c r="B151" s="557"/>
      <c r="C151" s="557"/>
      <c r="D151" s="557"/>
      <c r="E151" s="557"/>
      <c r="F151" s="557"/>
      <c r="G151" s="557"/>
      <c r="H151" s="557"/>
      <c r="I151" s="557"/>
      <c r="J151" s="557"/>
      <c r="K151" s="557"/>
      <c r="L151" s="557"/>
      <c r="M151" s="557"/>
      <c r="N151" s="557"/>
      <c r="O151" s="557"/>
      <c r="P151" s="557"/>
      <c r="Q151" s="557"/>
      <c r="R151" s="557"/>
      <c r="S151" s="557"/>
      <c r="T151" s="557"/>
      <c r="U151" s="557"/>
      <c r="V151" s="557"/>
      <c r="W151" s="557"/>
      <c r="X151" s="557"/>
      <c r="Y151" s="557"/>
      <c r="Z151" s="557"/>
      <c r="AA151" s="539"/>
      <c r="AB151" s="539"/>
      <c r="AC151" s="539"/>
    </row>
    <row r="152" spans="1:68" ht="27" customHeight="1" x14ac:dyDescent="0.25">
      <c r="A152" s="54" t="s">
        <v>251</v>
      </c>
      <c r="B152" s="54" t="s">
        <v>252</v>
      </c>
      <c r="C152" s="31">
        <v>4301052064</v>
      </c>
      <c r="D152" s="547">
        <v>4680115887459</v>
      </c>
      <c r="E152" s="548"/>
      <c r="F152" s="542">
        <v>0.3</v>
      </c>
      <c r="G152" s="32">
        <v>6</v>
      </c>
      <c r="H152" s="542">
        <v>1.8</v>
      </c>
      <c r="I152" s="542">
        <v>2.0579999999999998</v>
      </c>
      <c r="J152" s="32">
        <v>182</v>
      </c>
      <c r="K152" s="32" t="s">
        <v>67</v>
      </c>
      <c r="L152" s="32"/>
      <c r="M152" s="33" t="s">
        <v>81</v>
      </c>
      <c r="N152" s="33"/>
      <c r="O152" s="32">
        <v>45</v>
      </c>
      <c r="P152" s="58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2" s="550"/>
      <c r="R152" s="550"/>
      <c r="S152" s="550"/>
      <c r="T152" s="551"/>
      <c r="U152" s="34"/>
      <c r="V152" s="34"/>
      <c r="W152" s="35" t="s">
        <v>70</v>
      </c>
      <c r="X152" s="543">
        <v>0</v>
      </c>
      <c r="Y152" s="544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189" t="s">
        <v>253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567"/>
      <c r="B153" s="557"/>
      <c r="C153" s="557"/>
      <c r="D153" s="557"/>
      <c r="E153" s="557"/>
      <c r="F153" s="557"/>
      <c r="G153" s="557"/>
      <c r="H153" s="557"/>
      <c r="I153" s="557"/>
      <c r="J153" s="557"/>
      <c r="K153" s="557"/>
      <c r="L153" s="557"/>
      <c r="M153" s="557"/>
      <c r="N153" s="557"/>
      <c r="O153" s="568"/>
      <c r="P153" s="561" t="s">
        <v>76</v>
      </c>
      <c r="Q153" s="562"/>
      <c r="R153" s="562"/>
      <c r="S153" s="562"/>
      <c r="T153" s="562"/>
      <c r="U153" s="562"/>
      <c r="V153" s="563"/>
      <c r="W153" s="37" t="s">
        <v>77</v>
      </c>
      <c r="X153" s="545">
        <f>IFERROR(X152/H152,"0")</f>
        <v>0</v>
      </c>
      <c r="Y153" s="545">
        <f>IFERROR(Y152/H152,"0")</f>
        <v>0</v>
      </c>
      <c r="Z153" s="545">
        <f>IFERROR(IF(Z152="",0,Z152),"0")</f>
        <v>0</v>
      </c>
      <c r="AA153" s="546"/>
      <c r="AB153" s="546"/>
      <c r="AC153" s="546"/>
    </row>
    <row r="154" spans="1:68" x14ac:dyDescent="0.2">
      <c r="A154" s="557"/>
      <c r="B154" s="557"/>
      <c r="C154" s="557"/>
      <c r="D154" s="557"/>
      <c r="E154" s="557"/>
      <c r="F154" s="557"/>
      <c r="G154" s="557"/>
      <c r="H154" s="557"/>
      <c r="I154" s="557"/>
      <c r="J154" s="557"/>
      <c r="K154" s="557"/>
      <c r="L154" s="557"/>
      <c r="M154" s="557"/>
      <c r="N154" s="557"/>
      <c r="O154" s="568"/>
      <c r="P154" s="561" t="s">
        <v>76</v>
      </c>
      <c r="Q154" s="562"/>
      <c r="R154" s="562"/>
      <c r="S154" s="562"/>
      <c r="T154" s="562"/>
      <c r="U154" s="562"/>
      <c r="V154" s="563"/>
      <c r="W154" s="37" t="s">
        <v>70</v>
      </c>
      <c r="X154" s="545">
        <f>IFERROR(SUM(X152:X152),"0")</f>
        <v>0</v>
      </c>
      <c r="Y154" s="545">
        <f>IFERROR(SUM(Y152:Y152),"0")</f>
        <v>0</v>
      </c>
      <c r="Z154" s="37"/>
      <c r="AA154" s="546"/>
      <c r="AB154" s="546"/>
      <c r="AC154" s="546"/>
    </row>
    <row r="155" spans="1:68" ht="27.75" customHeight="1" x14ac:dyDescent="0.2">
      <c r="A155" s="650" t="s">
        <v>254</v>
      </c>
      <c r="B155" s="651"/>
      <c r="C155" s="651"/>
      <c r="D155" s="651"/>
      <c r="E155" s="651"/>
      <c r="F155" s="651"/>
      <c r="G155" s="651"/>
      <c r="H155" s="651"/>
      <c r="I155" s="651"/>
      <c r="J155" s="651"/>
      <c r="K155" s="651"/>
      <c r="L155" s="651"/>
      <c r="M155" s="651"/>
      <c r="N155" s="651"/>
      <c r="O155" s="651"/>
      <c r="P155" s="651"/>
      <c r="Q155" s="651"/>
      <c r="R155" s="651"/>
      <c r="S155" s="651"/>
      <c r="T155" s="651"/>
      <c r="U155" s="651"/>
      <c r="V155" s="651"/>
      <c r="W155" s="651"/>
      <c r="X155" s="651"/>
      <c r="Y155" s="651"/>
      <c r="Z155" s="651"/>
      <c r="AA155" s="48"/>
      <c r="AB155" s="48"/>
      <c r="AC155" s="48"/>
    </row>
    <row r="156" spans="1:68" ht="16.5" customHeight="1" x14ac:dyDescent="0.25">
      <c r="A156" s="558" t="s">
        <v>255</v>
      </c>
      <c r="B156" s="557"/>
      <c r="C156" s="557"/>
      <c r="D156" s="557"/>
      <c r="E156" s="557"/>
      <c r="F156" s="557"/>
      <c r="G156" s="557"/>
      <c r="H156" s="557"/>
      <c r="I156" s="557"/>
      <c r="J156" s="557"/>
      <c r="K156" s="557"/>
      <c r="L156" s="557"/>
      <c r="M156" s="557"/>
      <c r="N156" s="557"/>
      <c r="O156" s="557"/>
      <c r="P156" s="557"/>
      <c r="Q156" s="557"/>
      <c r="R156" s="557"/>
      <c r="S156" s="557"/>
      <c r="T156" s="557"/>
      <c r="U156" s="557"/>
      <c r="V156" s="557"/>
      <c r="W156" s="557"/>
      <c r="X156" s="557"/>
      <c r="Y156" s="557"/>
      <c r="Z156" s="557"/>
      <c r="AA156" s="538"/>
      <c r="AB156" s="538"/>
      <c r="AC156" s="538"/>
    </row>
    <row r="157" spans="1:68" ht="14.25" customHeight="1" x14ac:dyDescent="0.25">
      <c r="A157" s="556" t="s">
        <v>139</v>
      </c>
      <c r="B157" s="557"/>
      <c r="C157" s="557"/>
      <c r="D157" s="557"/>
      <c r="E157" s="557"/>
      <c r="F157" s="557"/>
      <c r="G157" s="557"/>
      <c r="H157" s="557"/>
      <c r="I157" s="557"/>
      <c r="J157" s="557"/>
      <c r="K157" s="557"/>
      <c r="L157" s="557"/>
      <c r="M157" s="557"/>
      <c r="N157" s="557"/>
      <c r="O157" s="557"/>
      <c r="P157" s="557"/>
      <c r="Q157" s="557"/>
      <c r="R157" s="557"/>
      <c r="S157" s="557"/>
      <c r="T157" s="557"/>
      <c r="U157" s="557"/>
      <c r="V157" s="557"/>
      <c r="W157" s="557"/>
      <c r="X157" s="557"/>
      <c r="Y157" s="557"/>
      <c r="Z157" s="557"/>
      <c r="AA157" s="539"/>
      <c r="AB157" s="539"/>
      <c r="AC157" s="539"/>
    </row>
    <row r="158" spans="1:68" ht="27" customHeight="1" x14ac:dyDescent="0.25">
      <c r="A158" s="54" t="s">
        <v>256</v>
      </c>
      <c r="B158" s="54" t="s">
        <v>257</v>
      </c>
      <c r="C158" s="31">
        <v>4301020323</v>
      </c>
      <c r="D158" s="547">
        <v>4680115886223</v>
      </c>
      <c r="E158" s="548"/>
      <c r="F158" s="542">
        <v>0.33</v>
      </c>
      <c r="G158" s="32">
        <v>6</v>
      </c>
      <c r="H158" s="542">
        <v>1.98</v>
      </c>
      <c r="I158" s="542">
        <v>2.08</v>
      </c>
      <c r="J158" s="32">
        <v>234</v>
      </c>
      <c r="K158" s="32" t="s">
        <v>74</v>
      </c>
      <c r="L158" s="32"/>
      <c r="M158" s="33" t="s">
        <v>68</v>
      </c>
      <c r="N158" s="33"/>
      <c r="O158" s="32">
        <v>40</v>
      </c>
      <c r="P158" s="62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50"/>
      <c r="R158" s="550"/>
      <c r="S158" s="550"/>
      <c r="T158" s="551"/>
      <c r="U158" s="34"/>
      <c r="V158" s="34"/>
      <c r="W158" s="35" t="s">
        <v>70</v>
      </c>
      <c r="X158" s="543">
        <v>0</v>
      </c>
      <c r="Y158" s="544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258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567"/>
      <c r="B159" s="557"/>
      <c r="C159" s="557"/>
      <c r="D159" s="557"/>
      <c r="E159" s="557"/>
      <c r="F159" s="557"/>
      <c r="G159" s="557"/>
      <c r="H159" s="557"/>
      <c r="I159" s="557"/>
      <c r="J159" s="557"/>
      <c r="K159" s="557"/>
      <c r="L159" s="557"/>
      <c r="M159" s="557"/>
      <c r="N159" s="557"/>
      <c r="O159" s="568"/>
      <c r="P159" s="561" t="s">
        <v>76</v>
      </c>
      <c r="Q159" s="562"/>
      <c r="R159" s="562"/>
      <c r="S159" s="562"/>
      <c r="T159" s="562"/>
      <c r="U159" s="562"/>
      <c r="V159" s="563"/>
      <c r="W159" s="37" t="s">
        <v>77</v>
      </c>
      <c r="X159" s="545">
        <f>IFERROR(X158/H158,"0")</f>
        <v>0</v>
      </c>
      <c r="Y159" s="545">
        <f>IFERROR(Y158/H158,"0")</f>
        <v>0</v>
      </c>
      <c r="Z159" s="545">
        <f>IFERROR(IF(Z158="",0,Z158),"0")</f>
        <v>0</v>
      </c>
      <c r="AA159" s="546"/>
      <c r="AB159" s="546"/>
      <c r="AC159" s="546"/>
    </row>
    <row r="160" spans="1:68" x14ac:dyDescent="0.2">
      <c r="A160" s="557"/>
      <c r="B160" s="557"/>
      <c r="C160" s="557"/>
      <c r="D160" s="557"/>
      <c r="E160" s="557"/>
      <c r="F160" s="557"/>
      <c r="G160" s="557"/>
      <c r="H160" s="557"/>
      <c r="I160" s="557"/>
      <c r="J160" s="557"/>
      <c r="K160" s="557"/>
      <c r="L160" s="557"/>
      <c r="M160" s="557"/>
      <c r="N160" s="557"/>
      <c r="O160" s="568"/>
      <c r="P160" s="561" t="s">
        <v>76</v>
      </c>
      <c r="Q160" s="562"/>
      <c r="R160" s="562"/>
      <c r="S160" s="562"/>
      <c r="T160" s="562"/>
      <c r="U160" s="562"/>
      <c r="V160" s="563"/>
      <c r="W160" s="37" t="s">
        <v>70</v>
      </c>
      <c r="X160" s="545">
        <f>IFERROR(SUM(X158:X158),"0")</f>
        <v>0</v>
      </c>
      <c r="Y160" s="545">
        <f>IFERROR(SUM(Y158:Y158),"0")</f>
        <v>0</v>
      </c>
      <c r="Z160" s="37"/>
      <c r="AA160" s="546"/>
      <c r="AB160" s="546"/>
      <c r="AC160" s="546"/>
    </row>
    <row r="161" spans="1:68" ht="14.25" customHeight="1" x14ac:dyDescent="0.25">
      <c r="A161" s="556" t="s">
        <v>64</v>
      </c>
      <c r="B161" s="557"/>
      <c r="C161" s="557"/>
      <c r="D161" s="557"/>
      <c r="E161" s="557"/>
      <c r="F161" s="557"/>
      <c r="G161" s="557"/>
      <c r="H161" s="557"/>
      <c r="I161" s="557"/>
      <c r="J161" s="557"/>
      <c r="K161" s="557"/>
      <c r="L161" s="557"/>
      <c r="M161" s="557"/>
      <c r="N161" s="557"/>
      <c r="O161" s="557"/>
      <c r="P161" s="557"/>
      <c r="Q161" s="557"/>
      <c r="R161" s="557"/>
      <c r="S161" s="557"/>
      <c r="T161" s="557"/>
      <c r="U161" s="557"/>
      <c r="V161" s="557"/>
      <c r="W161" s="557"/>
      <c r="X161" s="557"/>
      <c r="Y161" s="557"/>
      <c r="Z161" s="557"/>
      <c r="AA161" s="539"/>
      <c r="AB161" s="539"/>
      <c r="AC161" s="539"/>
    </row>
    <row r="162" spans="1:68" ht="27" customHeight="1" x14ac:dyDescent="0.25">
      <c r="A162" s="54" t="s">
        <v>259</v>
      </c>
      <c r="B162" s="54" t="s">
        <v>260</v>
      </c>
      <c r="C162" s="31">
        <v>4301031191</v>
      </c>
      <c r="D162" s="547">
        <v>4680115880993</v>
      </c>
      <c r="E162" s="548"/>
      <c r="F162" s="542">
        <v>0.7</v>
      </c>
      <c r="G162" s="32">
        <v>6</v>
      </c>
      <c r="H162" s="542">
        <v>4.2</v>
      </c>
      <c r="I162" s="542">
        <v>4.45</v>
      </c>
      <c r="J162" s="32">
        <v>132</v>
      </c>
      <c r="K162" s="32" t="s">
        <v>113</v>
      </c>
      <c r="L162" s="32" t="s">
        <v>114</v>
      </c>
      <c r="M162" s="33" t="s">
        <v>68</v>
      </c>
      <c r="N162" s="33"/>
      <c r="O162" s="32">
        <v>40</v>
      </c>
      <c r="P162" s="78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50"/>
      <c r="R162" s="550"/>
      <c r="S162" s="550"/>
      <c r="T162" s="551"/>
      <c r="U162" s="34"/>
      <c r="V162" s="34"/>
      <c r="W162" s="35" t="s">
        <v>70</v>
      </c>
      <c r="X162" s="543">
        <v>60</v>
      </c>
      <c r="Y162" s="544">
        <f t="shared" ref="Y162:Y171" si="5">IFERROR(IF(X162="",0,CEILING((X162/$H162),1)*$H162),"")</f>
        <v>63</v>
      </c>
      <c r="Z162" s="36">
        <f>IFERROR(IF(Y162=0,"",ROUNDUP(Y162/H162,0)*0.00902),"")</f>
        <v>0.1353</v>
      </c>
      <c r="AA162" s="56"/>
      <c r="AB162" s="57"/>
      <c r="AC162" s="193" t="s">
        <v>261</v>
      </c>
      <c r="AG162" s="64"/>
      <c r="AJ162" s="68" t="s">
        <v>110</v>
      </c>
      <c r="AK162" s="68">
        <v>50.4</v>
      </c>
      <c r="BB162" s="194" t="s">
        <v>1</v>
      </c>
      <c r="BM162" s="64">
        <f t="shared" ref="BM162:BM171" si="6">IFERROR(X162*I162/H162,"0")</f>
        <v>63.571428571428569</v>
      </c>
      <c r="BN162" s="64">
        <f t="shared" ref="BN162:BN171" si="7">IFERROR(Y162*I162/H162,"0")</f>
        <v>66.75</v>
      </c>
      <c r="BO162" s="64">
        <f t="shared" ref="BO162:BO171" si="8">IFERROR(1/J162*(X162/H162),"0")</f>
        <v>0.10822510822510822</v>
      </c>
      <c r="BP162" s="64">
        <f t="shared" ref="BP162:BP171" si="9">IFERROR(1/J162*(Y162/H162),"0")</f>
        <v>0.11363636363636365</v>
      </c>
    </row>
    <row r="163" spans="1:68" ht="27" customHeight="1" x14ac:dyDescent="0.25">
      <c r="A163" s="54" t="s">
        <v>262</v>
      </c>
      <c r="B163" s="54" t="s">
        <v>263</v>
      </c>
      <c r="C163" s="31">
        <v>4301031204</v>
      </c>
      <c r="D163" s="547">
        <v>4680115881761</v>
      </c>
      <c r="E163" s="548"/>
      <c r="F163" s="542">
        <v>0.7</v>
      </c>
      <c r="G163" s="32">
        <v>6</v>
      </c>
      <c r="H163" s="542">
        <v>4.2</v>
      </c>
      <c r="I163" s="542">
        <v>4.45</v>
      </c>
      <c r="J163" s="32">
        <v>132</v>
      </c>
      <c r="K163" s="32" t="s">
        <v>113</v>
      </c>
      <c r="L163" s="32" t="s">
        <v>114</v>
      </c>
      <c r="M163" s="33" t="s">
        <v>68</v>
      </c>
      <c r="N163" s="33"/>
      <c r="O163" s="32">
        <v>40</v>
      </c>
      <c r="P163" s="71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50"/>
      <c r="R163" s="550"/>
      <c r="S163" s="550"/>
      <c r="T163" s="551"/>
      <c r="U163" s="34"/>
      <c r="V163" s="34"/>
      <c r="W163" s="35" t="s">
        <v>70</v>
      </c>
      <c r="X163" s="543">
        <v>30</v>
      </c>
      <c r="Y163" s="544">
        <f t="shared" si="5"/>
        <v>33.6</v>
      </c>
      <c r="Z163" s="36">
        <f>IFERROR(IF(Y163=0,"",ROUNDUP(Y163/H163,0)*0.00902),"")</f>
        <v>7.2160000000000002E-2</v>
      </c>
      <c r="AA163" s="56"/>
      <c r="AB163" s="57"/>
      <c r="AC163" s="195" t="s">
        <v>264</v>
      </c>
      <c r="AG163" s="64"/>
      <c r="AJ163" s="68" t="s">
        <v>110</v>
      </c>
      <c r="AK163" s="68">
        <v>50.4</v>
      </c>
      <c r="BB163" s="196" t="s">
        <v>1</v>
      </c>
      <c r="BM163" s="64">
        <f t="shared" si="6"/>
        <v>31.785714285714285</v>
      </c>
      <c r="BN163" s="64">
        <f t="shared" si="7"/>
        <v>35.6</v>
      </c>
      <c r="BO163" s="64">
        <f t="shared" si="8"/>
        <v>5.4112554112554112E-2</v>
      </c>
      <c r="BP163" s="64">
        <f t="shared" si="9"/>
        <v>6.0606060606060608E-2</v>
      </c>
    </row>
    <row r="164" spans="1:68" ht="27" customHeight="1" x14ac:dyDescent="0.25">
      <c r="A164" s="54" t="s">
        <v>265</v>
      </c>
      <c r="B164" s="54" t="s">
        <v>266</v>
      </c>
      <c r="C164" s="31">
        <v>4301031201</v>
      </c>
      <c r="D164" s="547">
        <v>4680115881563</v>
      </c>
      <c r="E164" s="548"/>
      <c r="F164" s="542">
        <v>0.7</v>
      </c>
      <c r="G164" s="32">
        <v>6</v>
      </c>
      <c r="H164" s="542">
        <v>4.2</v>
      </c>
      <c r="I164" s="542">
        <v>4.3899999999999997</v>
      </c>
      <c r="J164" s="32">
        <v>132</v>
      </c>
      <c r="K164" s="32" t="s">
        <v>113</v>
      </c>
      <c r="L164" s="32" t="s">
        <v>114</v>
      </c>
      <c r="M164" s="33" t="s">
        <v>68</v>
      </c>
      <c r="N164" s="33"/>
      <c r="O164" s="32">
        <v>40</v>
      </c>
      <c r="P164" s="7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50"/>
      <c r="R164" s="550"/>
      <c r="S164" s="550"/>
      <c r="T164" s="551"/>
      <c r="U164" s="34"/>
      <c r="V164" s="34"/>
      <c r="W164" s="35" t="s">
        <v>70</v>
      </c>
      <c r="X164" s="543">
        <v>60</v>
      </c>
      <c r="Y164" s="544">
        <f t="shared" si="5"/>
        <v>63</v>
      </c>
      <c r="Z164" s="36">
        <f>IFERROR(IF(Y164=0,"",ROUNDUP(Y164/H164,0)*0.00902),"")</f>
        <v>0.1353</v>
      </c>
      <c r="AA164" s="56"/>
      <c r="AB164" s="57"/>
      <c r="AC164" s="197" t="s">
        <v>267</v>
      </c>
      <c r="AG164" s="64"/>
      <c r="AJ164" s="68" t="s">
        <v>110</v>
      </c>
      <c r="AK164" s="68">
        <v>50.4</v>
      </c>
      <c r="BB164" s="198" t="s">
        <v>1</v>
      </c>
      <c r="BM164" s="64">
        <f t="shared" si="6"/>
        <v>62.714285714285708</v>
      </c>
      <c r="BN164" s="64">
        <f t="shared" si="7"/>
        <v>65.849999999999994</v>
      </c>
      <c r="BO164" s="64">
        <f t="shared" si="8"/>
        <v>0.10822510822510822</v>
      </c>
      <c r="BP164" s="64">
        <f t="shared" si="9"/>
        <v>0.11363636363636365</v>
      </c>
    </row>
    <row r="165" spans="1:68" ht="27" customHeight="1" x14ac:dyDescent="0.25">
      <c r="A165" s="54" t="s">
        <v>268</v>
      </c>
      <c r="B165" s="54" t="s">
        <v>269</v>
      </c>
      <c r="C165" s="31">
        <v>4301031199</v>
      </c>
      <c r="D165" s="547">
        <v>4680115880986</v>
      </c>
      <c r="E165" s="548"/>
      <c r="F165" s="542">
        <v>0.35</v>
      </c>
      <c r="G165" s="32">
        <v>6</v>
      </c>
      <c r="H165" s="542">
        <v>2.1</v>
      </c>
      <c r="I165" s="542">
        <v>2.23</v>
      </c>
      <c r="J165" s="32">
        <v>234</v>
      </c>
      <c r="K165" s="32" t="s">
        <v>74</v>
      </c>
      <c r="L165" s="32" t="s">
        <v>270</v>
      </c>
      <c r="M165" s="33" t="s">
        <v>68</v>
      </c>
      <c r="N165" s="33"/>
      <c r="O165" s="32">
        <v>40</v>
      </c>
      <c r="P165" s="57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50"/>
      <c r="R165" s="550"/>
      <c r="S165" s="550"/>
      <c r="T165" s="551"/>
      <c r="U165" s="34"/>
      <c r="V165" s="34"/>
      <c r="W165" s="35" t="s">
        <v>70</v>
      </c>
      <c r="X165" s="543">
        <v>210</v>
      </c>
      <c r="Y165" s="544">
        <f t="shared" si="5"/>
        <v>210</v>
      </c>
      <c r="Z165" s="36">
        <f>IFERROR(IF(Y165=0,"",ROUNDUP(Y165/H165,0)*0.00502),"")</f>
        <v>0.502</v>
      </c>
      <c r="AA165" s="56"/>
      <c r="AB165" s="57"/>
      <c r="AC165" s="199" t="s">
        <v>261</v>
      </c>
      <c r="AG165" s="64"/>
      <c r="AJ165" s="68" t="s">
        <v>110</v>
      </c>
      <c r="AK165" s="68">
        <v>37.799999999999997</v>
      </c>
      <c r="BB165" s="200" t="s">
        <v>1</v>
      </c>
      <c r="BM165" s="64">
        <f t="shared" si="6"/>
        <v>223</v>
      </c>
      <c r="BN165" s="64">
        <f t="shared" si="7"/>
        <v>223</v>
      </c>
      <c r="BO165" s="64">
        <f t="shared" si="8"/>
        <v>0.42735042735042739</v>
      </c>
      <c r="BP165" s="64">
        <f t="shared" si="9"/>
        <v>0.42735042735042739</v>
      </c>
    </row>
    <row r="166" spans="1:68" ht="27" customHeight="1" x14ac:dyDescent="0.25">
      <c r="A166" s="54" t="s">
        <v>271</v>
      </c>
      <c r="B166" s="54" t="s">
        <v>272</v>
      </c>
      <c r="C166" s="31">
        <v>4301031443</v>
      </c>
      <c r="D166" s="547">
        <v>4680115887213</v>
      </c>
      <c r="E166" s="548"/>
      <c r="F166" s="542">
        <v>0.3</v>
      </c>
      <c r="G166" s="32">
        <v>6</v>
      </c>
      <c r="H166" s="542">
        <v>1.8</v>
      </c>
      <c r="I166" s="542">
        <v>1.9</v>
      </c>
      <c r="J166" s="32">
        <v>234</v>
      </c>
      <c r="K166" s="32" t="s">
        <v>74</v>
      </c>
      <c r="L166" s="32"/>
      <c r="M166" s="33" t="s">
        <v>68</v>
      </c>
      <c r="N166" s="33"/>
      <c r="O166" s="32">
        <v>45</v>
      </c>
      <c r="P166" s="63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66" s="550"/>
      <c r="R166" s="550"/>
      <c r="S166" s="550"/>
      <c r="T166" s="551"/>
      <c r="U166" s="34"/>
      <c r="V166" s="34"/>
      <c r="W166" s="35" t="s">
        <v>70</v>
      </c>
      <c r="X166" s="543">
        <v>0</v>
      </c>
      <c r="Y166" s="544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4301031205</v>
      </c>
      <c r="D167" s="547">
        <v>4680115881785</v>
      </c>
      <c r="E167" s="548"/>
      <c r="F167" s="542">
        <v>0.35</v>
      </c>
      <c r="G167" s="32">
        <v>6</v>
      </c>
      <c r="H167" s="542">
        <v>2.1</v>
      </c>
      <c r="I167" s="542">
        <v>2.23</v>
      </c>
      <c r="J167" s="32">
        <v>234</v>
      </c>
      <c r="K167" s="32" t="s">
        <v>74</v>
      </c>
      <c r="L167" s="32" t="s">
        <v>270</v>
      </c>
      <c r="M167" s="33" t="s">
        <v>68</v>
      </c>
      <c r="N167" s="33"/>
      <c r="O167" s="32">
        <v>40</v>
      </c>
      <c r="P167" s="67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50"/>
      <c r="R167" s="550"/>
      <c r="S167" s="550"/>
      <c r="T167" s="551"/>
      <c r="U167" s="34"/>
      <c r="V167" s="34"/>
      <c r="W167" s="35" t="s">
        <v>70</v>
      </c>
      <c r="X167" s="543">
        <v>140</v>
      </c>
      <c r="Y167" s="544">
        <f t="shared" si="5"/>
        <v>140.70000000000002</v>
      </c>
      <c r="Z167" s="36">
        <f>IFERROR(IF(Y167=0,"",ROUNDUP(Y167/H167,0)*0.00502),"")</f>
        <v>0.33634000000000003</v>
      </c>
      <c r="AA167" s="56"/>
      <c r="AB167" s="57"/>
      <c r="AC167" s="203" t="s">
        <v>264</v>
      </c>
      <c r="AG167" s="64"/>
      <c r="AJ167" s="68" t="s">
        <v>110</v>
      </c>
      <c r="AK167" s="68">
        <v>37.799999999999997</v>
      </c>
      <c r="BB167" s="204" t="s">
        <v>1</v>
      </c>
      <c r="BM167" s="64">
        <f t="shared" si="6"/>
        <v>148.66666666666666</v>
      </c>
      <c r="BN167" s="64">
        <f t="shared" si="7"/>
        <v>149.41</v>
      </c>
      <c r="BO167" s="64">
        <f t="shared" si="8"/>
        <v>0.28490028490028491</v>
      </c>
      <c r="BP167" s="64">
        <f t="shared" si="9"/>
        <v>0.28632478632478636</v>
      </c>
    </row>
    <row r="168" spans="1:68" ht="27" customHeight="1" x14ac:dyDescent="0.25">
      <c r="A168" s="54" t="s">
        <v>276</v>
      </c>
      <c r="B168" s="54" t="s">
        <v>277</v>
      </c>
      <c r="C168" s="31">
        <v>4301031399</v>
      </c>
      <c r="D168" s="547">
        <v>4680115886537</v>
      </c>
      <c r="E168" s="548"/>
      <c r="F168" s="542">
        <v>0.3</v>
      </c>
      <c r="G168" s="32">
        <v>6</v>
      </c>
      <c r="H168" s="542">
        <v>1.8</v>
      </c>
      <c r="I168" s="542">
        <v>1.93</v>
      </c>
      <c r="J168" s="32">
        <v>234</v>
      </c>
      <c r="K168" s="32" t="s">
        <v>74</v>
      </c>
      <c r="L168" s="32"/>
      <c r="M168" s="33" t="s">
        <v>68</v>
      </c>
      <c r="N168" s="33"/>
      <c r="O168" s="32">
        <v>40</v>
      </c>
      <c r="P168" s="64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50"/>
      <c r="R168" s="550"/>
      <c r="S168" s="550"/>
      <c r="T168" s="551"/>
      <c r="U168" s="34"/>
      <c r="V168" s="34"/>
      <c r="W168" s="35" t="s">
        <v>70</v>
      </c>
      <c r="X168" s="543">
        <v>0</v>
      </c>
      <c r="Y168" s="544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customHeight="1" x14ac:dyDescent="0.25">
      <c r="A169" s="54" t="s">
        <v>279</v>
      </c>
      <c r="B169" s="54" t="s">
        <v>280</v>
      </c>
      <c r="C169" s="31">
        <v>4301031202</v>
      </c>
      <c r="D169" s="547">
        <v>4680115881679</v>
      </c>
      <c r="E169" s="548"/>
      <c r="F169" s="542">
        <v>0.35</v>
      </c>
      <c r="G169" s="32">
        <v>6</v>
      </c>
      <c r="H169" s="542">
        <v>2.1</v>
      </c>
      <c r="I169" s="542">
        <v>2.2000000000000002</v>
      </c>
      <c r="J169" s="32">
        <v>234</v>
      </c>
      <c r="K169" s="32" t="s">
        <v>74</v>
      </c>
      <c r="L169" s="32" t="s">
        <v>270</v>
      </c>
      <c r="M169" s="33" t="s">
        <v>68</v>
      </c>
      <c r="N169" s="33"/>
      <c r="O169" s="32">
        <v>40</v>
      </c>
      <c r="P169" s="68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50"/>
      <c r="R169" s="550"/>
      <c r="S169" s="550"/>
      <c r="T169" s="551"/>
      <c r="U169" s="34"/>
      <c r="V169" s="34"/>
      <c r="W169" s="35" t="s">
        <v>70</v>
      </c>
      <c r="X169" s="543">
        <v>280</v>
      </c>
      <c r="Y169" s="544">
        <f t="shared" si="5"/>
        <v>281.40000000000003</v>
      </c>
      <c r="Z169" s="36">
        <f>IFERROR(IF(Y169=0,"",ROUNDUP(Y169/H169,0)*0.00502),"")</f>
        <v>0.67268000000000006</v>
      </c>
      <c r="AA169" s="56"/>
      <c r="AB169" s="57"/>
      <c r="AC169" s="207" t="s">
        <v>267</v>
      </c>
      <c r="AG169" s="64"/>
      <c r="AJ169" s="68" t="s">
        <v>110</v>
      </c>
      <c r="AK169" s="68">
        <v>37.799999999999997</v>
      </c>
      <c r="BB169" s="208" t="s">
        <v>1</v>
      </c>
      <c r="BM169" s="64">
        <f t="shared" si="6"/>
        <v>293.33333333333331</v>
      </c>
      <c r="BN169" s="64">
        <f t="shared" si="7"/>
        <v>294.80000000000007</v>
      </c>
      <c r="BO169" s="64">
        <f t="shared" si="8"/>
        <v>0.56980056980056981</v>
      </c>
      <c r="BP169" s="64">
        <f t="shared" si="9"/>
        <v>0.57264957264957272</v>
      </c>
    </row>
    <row r="170" spans="1:68" ht="27" customHeight="1" x14ac:dyDescent="0.25">
      <c r="A170" s="54" t="s">
        <v>281</v>
      </c>
      <c r="B170" s="54" t="s">
        <v>282</v>
      </c>
      <c r="C170" s="31">
        <v>4301031158</v>
      </c>
      <c r="D170" s="547">
        <v>4680115880191</v>
      </c>
      <c r="E170" s="548"/>
      <c r="F170" s="542">
        <v>0.4</v>
      </c>
      <c r="G170" s="32">
        <v>6</v>
      </c>
      <c r="H170" s="542">
        <v>2.4</v>
      </c>
      <c r="I170" s="542">
        <v>2.58</v>
      </c>
      <c r="J170" s="32">
        <v>182</v>
      </c>
      <c r="K170" s="32" t="s">
        <v>67</v>
      </c>
      <c r="L170" s="32"/>
      <c r="M170" s="33" t="s">
        <v>68</v>
      </c>
      <c r="N170" s="33"/>
      <c r="O170" s="32">
        <v>40</v>
      </c>
      <c r="P170" s="59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50"/>
      <c r="R170" s="550"/>
      <c r="S170" s="550"/>
      <c r="T170" s="551"/>
      <c r="U170" s="34"/>
      <c r="V170" s="34"/>
      <c r="W170" s="35" t="s">
        <v>70</v>
      </c>
      <c r="X170" s="543">
        <v>0</v>
      </c>
      <c r="Y170" s="544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267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283</v>
      </c>
      <c r="B171" s="54" t="s">
        <v>284</v>
      </c>
      <c r="C171" s="31">
        <v>4301031245</v>
      </c>
      <c r="D171" s="547">
        <v>4680115883963</v>
      </c>
      <c r="E171" s="548"/>
      <c r="F171" s="542">
        <v>0.28000000000000003</v>
      </c>
      <c r="G171" s="32">
        <v>6</v>
      </c>
      <c r="H171" s="542">
        <v>1.68</v>
      </c>
      <c r="I171" s="542">
        <v>1.78</v>
      </c>
      <c r="J171" s="32">
        <v>234</v>
      </c>
      <c r="K171" s="32" t="s">
        <v>74</v>
      </c>
      <c r="L171" s="32"/>
      <c r="M171" s="33" t="s">
        <v>68</v>
      </c>
      <c r="N171" s="33"/>
      <c r="O171" s="32">
        <v>40</v>
      </c>
      <c r="P171" s="62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50"/>
      <c r="R171" s="550"/>
      <c r="S171" s="550"/>
      <c r="T171" s="551"/>
      <c r="U171" s="34"/>
      <c r="V171" s="34"/>
      <c r="W171" s="35" t="s">
        <v>70</v>
      </c>
      <c r="X171" s="543">
        <v>0</v>
      </c>
      <c r="Y171" s="544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285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67"/>
      <c r="B172" s="557"/>
      <c r="C172" s="557"/>
      <c r="D172" s="557"/>
      <c r="E172" s="557"/>
      <c r="F172" s="557"/>
      <c r="G172" s="557"/>
      <c r="H172" s="557"/>
      <c r="I172" s="557"/>
      <c r="J172" s="557"/>
      <c r="K172" s="557"/>
      <c r="L172" s="557"/>
      <c r="M172" s="557"/>
      <c r="N172" s="557"/>
      <c r="O172" s="568"/>
      <c r="P172" s="561" t="s">
        <v>76</v>
      </c>
      <c r="Q172" s="562"/>
      <c r="R172" s="562"/>
      <c r="S172" s="562"/>
      <c r="T172" s="562"/>
      <c r="U172" s="562"/>
      <c r="V172" s="563"/>
      <c r="W172" s="37" t="s">
        <v>77</v>
      </c>
      <c r="X172" s="545">
        <f>IFERROR(X162/H162,"0")+IFERROR(X163/H163,"0")+IFERROR(X164/H164,"0")+IFERROR(X165/H165,"0")+IFERROR(X166/H166,"0")+IFERROR(X167/H167,"0")+IFERROR(X168/H168,"0")+IFERROR(X169/H169,"0")+IFERROR(X170/H170,"0")+IFERROR(X171/H171,"0")</f>
        <v>335.71428571428567</v>
      </c>
      <c r="Y172" s="545">
        <f>IFERROR(Y162/H162,"0")+IFERROR(Y163/H163,"0")+IFERROR(Y164/H164,"0")+IFERROR(Y165/H165,"0")+IFERROR(Y166/H166,"0")+IFERROR(Y167/H167,"0")+IFERROR(Y168/H168,"0")+IFERROR(Y169/H169,"0")+IFERROR(Y170/H170,"0")+IFERROR(Y171/H171,"0")</f>
        <v>339</v>
      </c>
      <c r="Z172" s="545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1.85378</v>
      </c>
      <c r="AA172" s="546"/>
      <c r="AB172" s="546"/>
      <c r="AC172" s="546"/>
    </row>
    <row r="173" spans="1:68" x14ac:dyDescent="0.2">
      <c r="A173" s="557"/>
      <c r="B173" s="557"/>
      <c r="C173" s="557"/>
      <c r="D173" s="557"/>
      <c r="E173" s="557"/>
      <c r="F173" s="557"/>
      <c r="G173" s="557"/>
      <c r="H173" s="557"/>
      <c r="I173" s="557"/>
      <c r="J173" s="557"/>
      <c r="K173" s="557"/>
      <c r="L173" s="557"/>
      <c r="M173" s="557"/>
      <c r="N173" s="557"/>
      <c r="O173" s="568"/>
      <c r="P173" s="561" t="s">
        <v>76</v>
      </c>
      <c r="Q173" s="562"/>
      <c r="R173" s="562"/>
      <c r="S173" s="562"/>
      <c r="T173" s="562"/>
      <c r="U173" s="562"/>
      <c r="V173" s="563"/>
      <c r="W173" s="37" t="s">
        <v>70</v>
      </c>
      <c r="X173" s="545">
        <f>IFERROR(SUM(X162:X171),"0")</f>
        <v>780</v>
      </c>
      <c r="Y173" s="545">
        <f>IFERROR(SUM(Y162:Y171),"0")</f>
        <v>791.7</v>
      </c>
      <c r="Z173" s="37"/>
      <c r="AA173" s="546"/>
      <c r="AB173" s="546"/>
      <c r="AC173" s="546"/>
    </row>
    <row r="174" spans="1:68" ht="14.25" customHeight="1" x14ac:dyDescent="0.25">
      <c r="A174" s="556" t="s">
        <v>95</v>
      </c>
      <c r="B174" s="557"/>
      <c r="C174" s="557"/>
      <c r="D174" s="557"/>
      <c r="E174" s="557"/>
      <c r="F174" s="557"/>
      <c r="G174" s="557"/>
      <c r="H174" s="557"/>
      <c r="I174" s="557"/>
      <c r="J174" s="557"/>
      <c r="K174" s="557"/>
      <c r="L174" s="557"/>
      <c r="M174" s="557"/>
      <c r="N174" s="557"/>
      <c r="O174" s="557"/>
      <c r="P174" s="557"/>
      <c r="Q174" s="557"/>
      <c r="R174" s="557"/>
      <c r="S174" s="557"/>
      <c r="T174" s="557"/>
      <c r="U174" s="557"/>
      <c r="V174" s="557"/>
      <c r="W174" s="557"/>
      <c r="X174" s="557"/>
      <c r="Y174" s="557"/>
      <c r="Z174" s="557"/>
      <c r="AA174" s="539"/>
      <c r="AB174" s="539"/>
      <c r="AC174" s="539"/>
    </row>
    <row r="175" spans="1:68" ht="27" customHeight="1" x14ac:dyDescent="0.25">
      <c r="A175" s="54" t="s">
        <v>286</v>
      </c>
      <c r="B175" s="54" t="s">
        <v>287</v>
      </c>
      <c r="C175" s="31">
        <v>4301032053</v>
      </c>
      <c r="D175" s="547">
        <v>4680115886780</v>
      </c>
      <c r="E175" s="548"/>
      <c r="F175" s="542">
        <v>7.0000000000000007E-2</v>
      </c>
      <c r="G175" s="32">
        <v>18</v>
      </c>
      <c r="H175" s="542">
        <v>1.26</v>
      </c>
      <c r="I175" s="542">
        <v>1.45</v>
      </c>
      <c r="J175" s="32">
        <v>216</v>
      </c>
      <c r="K175" s="32" t="s">
        <v>288</v>
      </c>
      <c r="L175" s="32"/>
      <c r="M175" s="33" t="s">
        <v>289</v>
      </c>
      <c r="N175" s="33"/>
      <c r="O175" s="32">
        <v>60</v>
      </c>
      <c r="P175" s="78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50"/>
      <c r="R175" s="550"/>
      <c r="S175" s="550"/>
      <c r="T175" s="551"/>
      <c r="U175" s="34"/>
      <c r="V175" s="34"/>
      <c r="W175" s="35" t="s">
        <v>70</v>
      </c>
      <c r="X175" s="543">
        <v>7.0000000000000009</v>
      </c>
      <c r="Y175" s="544">
        <f>IFERROR(IF(X175="",0,CEILING((X175/$H175),1)*$H175),"")</f>
        <v>7.5600000000000005</v>
      </c>
      <c r="Z175" s="36">
        <f>IFERROR(IF(Y175=0,"",ROUNDUP(Y175/H175,0)*0.0059),"")</f>
        <v>3.5400000000000001E-2</v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8.0555555555555554</v>
      </c>
      <c r="BN175" s="64">
        <f>IFERROR(Y175*I175/H175,"0")</f>
        <v>8.6999999999999993</v>
      </c>
      <c r="BO175" s="64">
        <f>IFERROR(1/J175*(X175/H175),"0")</f>
        <v>2.5720164609053499E-2</v>
      </c>
      <c r="BP175" s="64">
        <f>IFERROR(1/J175*(Y175/H175),"0")</f>
        <v>2.7777777777777776E-2</v>
      </c>
    </row>
    <row r="176" spans="1:68" ht="27" customHeight="1" x14ac:dyDescent="0.25">
      <c r="A176" s="54" t="s">
        <v>291</v>
      </c>
      <c r="B176" s="54" t="s">
        <v>292</v>
      </c>
      <c r="C176" s="31">
        <v>4301032051</v>
      </c>
      <c r="D176" s="547">
        <v>4680115886742</v>
      </c>
      <c r="E176" s="548"/>
      <c r="F176" s="542">
        <v>7.0000000000000007E-2</v>
      </c>
      <c r="G176" s="32">
        <v>18</v>
      </c>
      <c r="H176" s="542">
        <v>1.26</v>
      </c>
      <c r="I176" s="542">
        <v>1.45</v>
      </c>
      <c r="J176" s="32">
        <v>216</v>
      </c>
      <c r="K176" s="32" t="s">
        <v>288</v>
      </c>
      <c r="L176" s="32"/>
      <c r="M176" s="33" t="s">
        <v>289</v>
      </c>
      <c r="N176" s="33"/>
      <c r="O176" s="32">
        <v>90</v>
      </c>
      <c r="P176" s="80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50"/>
      <c r="R176" s="550"/>
      <c r="S176" s="550"/>
      <c r="T176" s="551"/>
      <c r="U176" s="34"/>
      <c r="V176" s="34"/>
      <c r="W176" s="35" t="s">
        <v>70</v>
      </c>
      <c r="X176" s="543">
        <v>7.0000000000000009</v>
      </c>
      <c r="Y176" s="544">
        <f>IFERROR(IF(X176="",0,CEILING((X176/$H176),1)*$H176),"")</f>
        <v>7.5600000000000005</v>
      </c>
      <c r="Z176" s="36">
        <f>IFERROR(IF(Y176=0,"",ROUNDUP(Y176/H176,0)*0.0059),"")</f>
        <v>3.5400000000000001E-2</v>
      </c>
      <c r="AA176" s="56"/>
      <c r="AB176" s="57"/>
      <c r="AC176" s="215" t="s">
        <v>293</v>
      </c>
      <c r="AG176" s="64"/>
      <c r="AJ176" s="68"/>
      <c r="AK176" s="68">
        <v>0</v>
      </c>
      <c r="BB176" s="216" t="s">
        <v>1</v>
      </c>
      <c r="BM176" s="64">
        <f>IFERROR(X176*I176/H176,"0")</f>
        <v>8.0555555555555554</v>
      </c>
      <c r="BN176" s="64">
        <f>IFERROR(Y176*I176/H176,"0")</f>
        <v>8.6999999999999993</v>
      </c>
      <c r="BO176" s="64">
        <f>IFERROR(1/J176*(X176/H176),"0")</f>
        <v>2.5720164609053499E-2</v>
      </c>
      <c r="BP176" s="64">
        <f>IFERROR(1/J176*(Y176/H176),"0")</f>
        <v>2.7777777777777776E-2</v>
      </c>
    </row>
    <row r="177" spans="1:68" ht="27" customHeight="1" x14ac:dyDescent="0.25">
      <c r="A177" s="54" t="s">
        <v>294</v>
      </c>
      <c r="B177" s="54" t="s">
        <v>295</v>
      </c>
      <c r="C177" s="31">
        <v>4301032052</v>
      </c>
      <c r="D177" s="547">
        <v>4680115886766</v>
      </c>
      <c r="E177" s="548"/>
      <c r="F177" s="542">
        <v>7.0000000000000007E-2</v>
      </c>
      <c r="G177" s="32">
        <v>18</v>
      </c>
      <c r="H177" s="542">
        <v>1.26</v>
      </c>
      <c r="I177" s="542">
        <v>1.45</v>
      </c>
      <c r="J177" s="32">
        <v>216</v>
      </c>
      <c r="K177" s="32" t="s">
        <v>288</v>
      </c>
      <c r="L177" s="32"/>
      <c r="M177" s="33" t="s">
        <v>289</v>
      </c>
      <c r="N177" s="33"/>
      <c r="O177" s="32">
        <v>90</v>
      </c>
      <c r="P177" s="79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50"/>
      <c r="R177" s="550"/>
      <c r="S177" s="550"/>
      <c r="T177" s="551"/>
      <c r="U177" s="34"/>
      <c r="V177" s="34"/>
      <c r="W177" s="35" t="s">
        <v>70</v>
      </c>
      <c r="X177" s="543">
        <v>10.5</v>
      </c>
      <c r="Y177" s="544">
        <f>IFERROR(IF(X177="",0,CEILING((X177/$H177),1)*$H177),"")</f>
        <v>11.34</v>
      </c>
      <c r="Z177" s="36">
        <f>IFERROR(IF(Y177=0,"",ROUNDUP(Y177/H177,0)*0.0059),"")</f>
        <v>5.3100000000000001E-2</v>
      </c>
      <c r="AA177" s="56"/>
      <c r="AB177" s="57"/>
      <c r="AC177" s="217" t="s">
        <v>293</v>
      </c>
      <c r="AG177" s="64"/>
      <c r="AJ177" s="68"/>
      <c r="AK177" s="68">
        <v>0</v>
      </c>
      <c r="BB177" s="218" t="s">
        <v>1</v>
      </c>
      <c r="BM177" s="64">
        <f>IFERROR(X177*I177/H177,"0")</f>
        <v>12.083333333333332</v>
      </c>
      <c r="BN177" s="64">
        <f>IFERROR(Y177*I177/H177,"0")</f>
        <v>13.049999999999999</v>
      </c>
      <c r="BO177" s="64">
        <f>IFERROR(1/J177*(X177/H177),"0")</f>
        <v>3.8580246913580245E-2</v>
      </c>
      <c r="BP177" s="64">
        <f>IFERROR(1/J177*(Y177/H177),"0")</f>
        <v>4.1666666666666664E-2</v>
      </c>
    </row>
    <row r="178" spans="1:68" x14ac:dyDescent="0.2">
      <c r="A178" s="567"/>
      <c r="B178" s="557"/>
      <c r="C178" s="557"/>
      <c r="D178" s="557"/>
      <c r="E178" s="557"/>
      <c r="F178" s="557"/>
      <c r="G178" s="557"/>
      <c r="H178" s="557"/>
      <c r="I178" s="557"/>
      <c r="J178" s="557"/>
      <c r="K178" s="557"/>
      <c r="L178" s="557"/>
      <c r="M178" s="557"/>
      <c r="N178" s="557"/>
      <c r="O178" s="568"/>
      <c r="P178" s="561" t="s">
        <v>76</v>
      </c>
      <c r="Q178" s="562"/>
      <c r="R178" s="562"/>
      <c r="S178" s="562"/>
      <c r="T178" s="562"/>
      <c r="U178" s="562"/>
      <c r="V178" s="563"/>
      <c r="W178" s="37" t="s">
        <v>77</v>
      </c>
      <c r="X178" s="545">
        <f>IFERROR(X175/H175,"0")+IFERROR(X176/H176,"0")+IFERROR(X177/H177,"0")</f>
        <v>19.444444444444446</v>
      </c>
      <c r="Y178" s="545">
        <f>IFERROR(Y175/H175,"0")+IFERROR(Y176/H176,"0")+IFERROR(Y177/H177,"0")</f>
        <v>21</v>
      </c>
      <c r="Z178" s="545">
        <f>IFERROR(IF(Z175="",0,Z175),"0")+IFERROR(IF(Z176="",0,Z176),"0")+IFERROR(IF(Z177="",0,Z177),"0")</f>
        <v>0.12390000000000001</v>
      </c>
      <c r="AA178" s="546"/>
      <c r="AB178" s="546"/>
      <c r="AC178" s="546"/>
    </row>
    <row r="179" spans="1:68" x14ac:dyDescent="0.2">
      <c r="A179" s="557"/>
      <c r="B179" s="557"/>
      <c r="C179" s="557"/>
      <c r="D179" s="557"/>
      <c r="E179" s="557"/>
      <c r="F179" s="557"/>
      <c r="G179" s="557"/>
      <c r="H179" s="557"/>
      <c r="I179" s="557"/>
      <c r="J179" s="557"/>
      <c r="K179" s="557"/>
      <c r="L179" s="557"/>
      <c r="M179" s="557"/>
      <c r="N179" s="557"/>
      <c r="O179" s="568"/>
      <c r="P179" s="561" t="s">
        <v>76</v>
      </c>
      <c r="Q179" s="562"/>
      <c r="R179" s="562"/>
      <c r="S179" s="562"/>
      <c r="T179" s="562"/>
      <c r="U179" s="562"/>
      <c r="V179" s="563"/>
      <c r="W179" s="37" t="s">
        <v>70</v>
      </c>
      <c r="X179" s="545">
        <f>IFERROR(SUM(X175:X177),"0")</f>
        <v>24.5</v>
      </c>
      <c r="Y179" s="545">
        <f>IFERROR(SUM(Y175:Y177),"0")</f>
        <v>26.46</v>
      </c>
      <c r="Z179" s="37"/>
      <c r="AA179" s="546"/>
      <c r="AB179" s="546"/>
      <c r="AC179" s="546"/>
    </row>
    <row r="180" spans="1:68" ht="14.25" customHeight="1" x14ac:dyDescent="0.25">
      <c r="A180" s="556" t="s">
        <v>296</v>
      </c>
      <c r="B180" s="557"/>
      <c r="C180" s="557"/>
      <c r="D180" s="557"/>
      <c r="E180" s="557"/>
      <c r="F180" s="557"/>
      <c r="G180" s="557"/>
      <c r="H180" s="557"/>
      <c r="I180" s="557"/>
      <c r="J180" s="557"/>
      <c r="K180" s="557"/>
      <c r="L180" s="557"/>
      <c r="M180" s="557"/>
      <c r="N180" s="557"/>
      <c r="O180" s="557"/>
      <c r="P180" s="557"/>
      <c r="Q180" s="557"/>
      <c r="R180" s="557"/>
      <c r="S180" s="557"/>
      <c r="T180" s="557"/>
      <c r="U180" s="557"/>
      <c r="V180" s="557"/>
      <c r="W180" s="557"/>
      <c r="X180" s="557"/>
      <c r="Y180" s="557"/>
      <c r="Z180" s="557"/>
      <c r="AA180" s="539"/>
      <c r="AB180" s="539"/>
      <c r="AC180" s="539"/>
    </row>
    <row r="181" spans="1:68" ht="27" customHeight="1" x14ac:dyDescent="0.25">
      <c r="A181" s="54" t="s">
        <v>297</v>
      </c>
      <c r="B181" s="54" t="s">
        <v>298</v>
      </c>
      <c r="C181" s="31">
        <v>4301170013</v>
      </c>
      <c r="D181" s="547">
        <v>4680115886797</v>
      </c>
      <c r="E181" s="548"/>
      <c r="F181" s="542">
        <v>7.0000000000000007E-2</v>
      </c>
      <c r="G181" s="32">
        <v>18</v>
      </c>
      <c r="H181" s="542">
        <v>1.26</v>
      </c>
      <c r="I181" s="542">
        <v>1.45</v>
      </c>
      <c r="J181" s="32">
        <v>216</v>
      </c>
      <c r="K181" s="32" t="s">
        <v>288</v>
      </c>
      <c r="L181" s="32"/>
      <c r="M181" s="33" t="s">
        <v>289</v>
      </c>
      <c r="N181" s="33"/>
      <c r="O181" s="32">
        <v>90</v>
      </c>
      <c r="P181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50"/>
      <c r="R181" s="550"/>
      <c r="S181" s="550"/>
      <c r="T181" s="551"/>
      <c r="U181" s="34"/>
      <c r="V181" s="34"/>
      <c r="W181" s="35" t="s">
        <v>70</v>
      </c>
      <c r="X181" s="543">
        <v>10.5</v>
      </c>
      <c r="Y181" s="544">
        <f>IFERROR(IF(X181="",0,CEILING((X181/$H181),1)*$H181),"")</f>
        <v>11.34</v>
      </c>
      <c r="Z181" s="36">
        <f>IFERROR(IF(Y181=0,"",ROUNDUP(Y181/H181,0)*0.0059),"")</f>
        <v>5.3100000000000001E-2</v>
      </c>
      <c r="AA181" s="56"/>
      <c r="AB181" s="57"/>
      <c r="AC181" s="219" t="s">
        <v>293</v>
      </c>
      <c r="AG181" s="64"/>
      <c r="AJ181" s="68"/>
      <c r="AK181" s="68">
        <v>0</v>
      </c>
      <c r="BB181" s="220" t="s">
        <v>1</v>
      </c>
      <c r="BM181" s="64">
        <f>IFERROR(X181*I181/H181,"0")</f>
        <v>12.083333333333332</v>
      </c>
      <c r="BN181" s="64">
        <f>IFERROR(Y181*I181/H181,"0")</f>
        <v>13.049999999999999</v>
      </c>
      <c r="BO181" s="64">
        <f>IFERROR(1/J181*(X181/H181),"0")</f>
        <v>3.8580246913580245E-2</v>
      </c>
      <c r="BP181" s="64">
        <f>IFERROR(1/J181*(Y181/H181),"0")</f>
        <v>4.1666666666666664E-2</v>
      </c>
    </row>
    <row r="182" spans="1:68" x14ac:dyDescent="0.2">
      <c r="A182" s="567"/>
      <c r="B182" s="557"/>
      <c r="C182" s="557"/>
      <c r="D182" s="557"/>
      <c r="E182" s="557"/>
      <c r="F182" s="557"/>
      <c r="G182" s="557"/>
      <c r="H182" s="557"/>
      <c r="I182" s="557"/>
      <c r="J182" s="557"/>
      <c r="K182" s="557"/>
      <c r="L182" s="557"/>
      <c r="M182" s="557"/>
      <c r="N182" s="557"/>
      <c r="O182" s="568"/>
      <c r="P182" s="561" t="s">
        <v>76</v>
      </c>
      <c r="Q182" s="562"/>
      <c r="R182" s="562"/>
      <c r="S182" s="562"/>
      <c r="T182" s="562"/>
      <c r="U182" s="562"/>
      <c r="V182" s="563"/>
      <c r="W182" s="37" t="s">
        <v>77</v>
      </c>
      <c r="X182" s="545">
        <f>IFERROR(X181/H181,"0")</f>
        <v>8.3333333333333339</v>
      </c>
      <c r="Y182" s="545">
        <f>IFERROR(Y181/H181,"0")</f>
        <v>9</v>
      </c>
      <c r="Z182" s="545">
        <f>IFERROR(IF(Z181="",0,Z181),"0")</f>
        <v>5.3100000000000001E-2</v>
      </c>
      <c r="AA182" s="546"/>
      <c r="AB182" s="546"/>
      <c r="AC182" s="546"/>
    </row>
    <row r="183" spans="1:68" x14ac:dyDescent="0.2">
      <c r="A183" s="557"/>
      <c r="B183" s="557"/>
      <c r="C183" s="557"/>
      <c r="D183" s="557"/>
      <c r="E183" s="557"/>
      <c r="F183" s="557"/>
      <c r="G183" s="557"/>
      <c r="H183" s="557"/>
      <c r="I183" s="557"/>
      <c r="J183" s="557"/>
      <c r="K183" s="557"/>
      <c r="L183" s="557"/>
      <c r="M183" s="557"/>
      <c r="N183" s="557"/>
      <c r="O183" s="568"/>
      <c r="P183" s="561" t="s">
        <v>76</v>
      </c>
      <c r="Q183" s="562"/>
      <c r="R183" s="562"/>
      <c r="S183" s="562"/>
      <c r="T183" s="562"/>
      <c r="U183" s="562"/>
      <c r="V183" s="563"/>
      <c r="W183" s="37" t="s">
        <v>70</v>
      </c>
      <c r="X183" s="545">
        <f>IFERROR(SUM(X181:X181),"0")</f>
        <v>10.5</v>
      </c>
      <c r="Y183" s="545">
        <f>IFERROR(SUM(Y181:Y181),"0")</f>
        <v>11.34</v>
      </c>
      <c r="Z183" s="37"/>
      <c r="AA183" s="546"/>
      <c r="AB183" s="546"/>
      <c r="AC183" s="546"/>
    </row>
    <row r="184" spans="1:68" ht="16.5" customHeight="1" x14ac:dyDescent="0.25">
      <c r="A184" s="558" t="s">
        <v>299</v>
      </c>
      <c r="B184" s="557"/>
      <c r="C184" s="557"/>
      <c r="D184" s="557"/>
      <c r="E184" s="557"/>
      <c r="F184" s="557"/>
      <c r="G184" s="557"/>
      <c r="H184" s="557"/>
      <c r="I184" s="557"/>
      <c r="J184" s="557"/>
      <c r="K184" s="557"/>
      <c r="L184" s="557"/>
      <c r="M184" s="557"/>
      <c r="N184" s="557"/>
      <c r="O184" s="557"/>
      <c r="P184" s="557"/>
      <c r="Q184" s="557"/>
      <c r="R184" s="557"/>
      <c r="S184" s="557"/>
      <c r="T184" s="557"/>
      <c r="U184" s="557"/>
      <c r="V184" s="557"/>
      <c r="W184" s="557"/>
      <c r="X184" s="557"/>
      <c r="Y184" s="557"/>
      <c r="Z184" s="557"/>
      <c r="AA184" s="538"/>
      <c r="AB184" s="538"/>
      <c r="AC184" s="538"/>
    </row>
    <row r="185" spans="1:68" ht="14.25" customHeight="1" x14ac:dyDescent="0.25">
      <c r="A185" s="556" t="s">
        <v>103</v>
      </c>
      <c r="B185" s="557"/>
      <c r="C185" s="557"/>
      <c r="D185" s="557"/>
      <c r="E185" s="557"/>
      <c r="F185" s="557"/>
      <c r="G185" s="557"/>
      <c r="H185" s="557"/>
      <c r="I185" s="557"/>
      <c r="J185" s="557"/>
      <c r="K185" s="557"/>
      <c r="L185" s="557"/>
      <c r="M185" s="557"/>
      <c r="N185" s="557"/>
      <c r="O185" s="557"/>
      <c r="P185" s="557"/>
      <c r="Q185" s="557"/>
      <c r="R185" s="557"/>
      <c r="S185" s="557"/>
      <c r="T185" s="557"/>
      <c r="U185" s="557"/>
      <c r="V185" s="557"/>
      <c r="W185" s="557"/>
      <c r="X185" s="557"/>
      <c r="Y185" s="557"/>
      <c r="Z185" s="557"/>
      <c r="AA185" s="539"/>
      <c r="AB185" s="539"/>
      <c r="AC185" s="539"/>
    </row>
    <row r="186" spans="1:68" ht="27" customHeight="1" x14ac:dyDescent="0.25">
      <c r="A186" s="54" t="s">
        <v>300</v>
      </c>
      <c r="B186" s="54" t="s">
        <v>301</v>
      </c>
      <c r="C186" s="31">
        <v>4301011450</v>
      </c>
      <c r="D186" s="547">
        <v>4680115881402</v>
      </c>
      <c r="E186" s="548"/>
      <c r="F186" s="542">
        <v>1.35</v>
      </c>
      <c r="G186" s="32">
        <v>8</v>
      </c>
      <c r="H186" s="542">
        <v>10.8</v>
      </c>
      <c r="I186" s="542">
        <v>11.21</v>
      </c>
      <c r="J186" s="32">
        <v>64</v>
      </c>
      <c r="K186" s="32" t="s">
        <v>106</v>
      </c>
      <c r="L186" s="32"/>
      <c r="M186" s="33" t="s">
        <v>108</v>
      </c>
      <c r="N186" s="33"/>
      <c r="O186" s="32">
        <v>55</v>
      </c>
      <c r="P186" s="83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50"/>
      <c r="R186" s="550"/>
      <c r="S186" s="550"/>
      <c r="T186" s="551"/>
      <c r="U186" s="34"/>
      <c r="V186" s="34"/>
      <c r="W186" s="35" t="s">
        <v>70</v>
      </c>
      <c r="X186" s="543">
        <v>0</v>
      </c>
      <c r="Y186" s="544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302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customHeight="1" x14ac:dyDescent="0.25">
      <c r="A187" s="54" t="s">
        <v>303</v>
      </c>
      <c r="B187" s="54" t="s">
        <v>304</v>
      </c>
      <c r="C187" s="31">
        <v>4301011768</v>
      </c>
      <c r="D187" s="547">
        <v>4680115881396</v>
      </c>
      <c r="E187" s="548"/>
      <c r="F187" s="542">
        <v>0.45</v>
      </c>
      <c r="G187" s="32">
        <v>6</v>
      </c>
      <c r="H187" s="542">
        <v>2.7</v>
      </c>
      <c r="I187" s="542">
        <v>2.88</v>
      </c>
      <c r="J187" s="32">
        <v>182</v>
      </c>
      <c r="K187" s="32" t="s">
        <v>67</v>
      </c>
      <c r="L187" s="32"/>
      <c r="M187" s="33" t="s">
        <v>108</v>
      </c>
      <c r="N187" s="33"/>
      <c r="O187" s="32">
        <v>55</v>
      </c>
      <c r="P187" s="66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50"/>
      <c r="R187" s="550"/>
      <c r="S187" s="550"/>
      <c r="T187" s="551"/>
      <c r="U187" s="34"/>
      <c r="V187" s="34"/>
      <c r="W187" s="35" t="s">
        <v>70</v>
      </c>
      <c r="X187" s="543">
        <v>0</v>
      </c>
      <c r="Y187" s="544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302</v>
      </c>
      <c r="AG187" s="64"/>
      <c r="AJ187" s="68"/>
      <c r="AK187" s="68">
        <v>0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x14ac:dyDescent="0.2">
      <c r="A188" s="567"/>
      <c r="B188" s="557"/>
      <c r="C188" s="557"/>
      <c r="D188" s="557"/>
      <c r="E188" s="557"/>
      <c r="F188" s="557"/>
      <c r="G188" s="557"/>
      <c r="H188" s="557"/>
      <c r="I188" s="557"/>
      <c r="J188" s="557"/>
      <c r="K188" s="557"/>
      <c r="L188" s="557"/>
      <c r="M188" s="557"/>
      <c r="N188" s="557"/>
      <c r="O188" s="568"/>
      <c r="P188" s="561" t="s">
        <v>76</v>
      </c>
      <c r="Q188" s="562"/>
      <c r="R188" s="562"/>
      <c r="S188" s="562"/>
      <c r="T188" s="562"/>
      <c r="U188" s="562"/>
      <c r="V188" s="563"/>
      <c r="W188" s="37" t="s">
        <v>77</v>
      </c>
      <c r="X188" s="545">
        <f>IFERROR(X186/H186,"0")+IFERROR(X187/H187,"0")</f>
        <v>0</v>
      </c>
      <c r="Y188" s="545">
        <f>IFERROR(Y186/H186,"0")+IFERROR(Y187/H187,"0")</f>
        <v>0</v>
      </c>
      <c r="Z188" s="545">
        <f>IFERROR(IF(Z186="",0,Z186),"0")+IFERROR(IF(Z187="",0,Z187),"0")</f>
        <v>0</v>
      </c>
      <c r="AA188" s="546"/>
      <c r="AB188" s="546"/>
      <c r="AC188" s="546"/>
    </row>
    <row r="189" spans="1:68" x14ac:dyDescent="0.2">
      <c r="A189" s="557"/>
      <c r="B189" s="557"/>
      <c r="C189" s="557"/>
      <c r="D189" s="557"/>
      <c r="E189" s="557"/>
      <c r="F189" s="557"/>
      <c r="G189" s="557"/>
      <c r="H189" s="557"/>
      <c r="I189" s="557"/>
      <c r="J189" s="557"/>
      <c r="K189" s="557"/>
      <c r="L189" s="557"/>
      <c r="M189" s="557"/>
      <c r="N189" s="557"/>
      <c r="O189" s="568"/>
      <c r="P189" s="561" t="s">
        <v>76</v>
      </c>
      <c r="Q189" s="562"/>
      <c r="R189" s="562"/>
      <c r="S189" s="562"/>
      <c r="T189" s="562"/>
      <c r="U189" s="562"/>
      <c r="V189" s="563"/>
      <c r="W189" s="37" t="s">
        <v>70</v>
      </c>
      <c r="X189" s="545">
        <f>IFERROR(SUM(X186:X187),"0")</f>
        <v>0</v>
      </c>
      <c r="Y189" s="545">
        <f>IFERROR(SUM(Y186:Y187),"0")</f>
        <v>0</v>
      </c>
      <c r="Z189" s="37"/>
      <c r="AA189" s="546"/>
      <c r="AB189" s="546"/>
      <c r="AC189" s="546"/>
    </row>
    <row r="190" spans="1:68" ht="14.25" customHeight="1" x14ac:dyDescent="0.25">
      <c r="A190" s="556" t="s">
        <v>139</v>
      </c>
      <c r="B190" s="557"/>
      <c r="C190" s="557"/>
      <c r="D190" s="557"/>
      <c r="E190" s="557"/>
      <c r="F190" s="557"/>
      <c r="G190" s="557"/>
      <c r="H190" s="557"/>
      <c r="I190" s="557"/>
      <c r="J190" s="557"/>
      <c r="K190" s="557"/>
      <c r="L190" s="557"/>
      <c r="M190" s="557"/>
      <c r="N190" s="557"/>
      <c r="O190" s="557"/>
      <c r="P190" s="557"/>
      <c r="Q190" s="557"/>
      <c r="R190" s="557"/>
      <c r="S190" s="557"/>
      <c r="T190" s="557"/>
      <c r="U190" s="557"/>
      <c r="V190" s="557"/>
      <c r="W190" s="557"/>
      <c r="X190" s="557"/>
      <c r="Y190" s="557"/>
      <c r="Z190" s="557"/>
      <c r="AA190" s="539"/>
      <c r="AB190" s="539"/>
      <c r="AC190" s="539"/>
    </row>
    <row r="191" spans="1:68" ht="16.5" customHeight="1" x14ac:dyDescent="0.25">
      <c r="A191" s="54" t="s">
        <v>305</v>
      </c>
      <c r="B191" s="54" t="s">
        <v>306</v>
      </c>
      <c r="C191" s="31">
        <v>4301020261</v>
      </c>
      <c r="D191" s="547">
        <v>4680115882935</v>
      </c>
      <c r="E191" s="548"/>
      <c r="F191" s="542">
        <v>1.35</v>
      </c>
      <c r="G191" s="32">
        <v>8</v>
      </c>
      <c r="H191" s="542">
        <v>10.8</v>
      </c>
      <c r="I191" s="542">
        <v>11.21</v>
      </c>
      <c r="J191" s="32">
        <v>64</v>
      </c>
      <c r="K191" s="32" t="s">
        <v>106</v>
      </c>
      <c r="L191" s="32"/>
      <c r="M191" s="33" t="s">
        <v>108</v>
      </c>
      <c r="N191" s="33"/>
      <c r="O191" s="32">
        <v>50</v>
      </c>
      <c r="P191" s="82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50"/>
      <c r="R191" s="550"/>
      <c r="S191" s="550"/>
      <c r="T191" s="551"/>
      <c r="U191" s="34"/>
      <c r="V191" s="34"/>
      <c r="W191" s="35" t="s">
        <v>70</v>
      </c>
      <c r="X191" s="543">
        <v>0</v>
      </c>
      <c r="Y191" s="54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307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308</v>
      </c>
      <c r="B192" s="54" t="s">
        <v>309</v>
      </c>
      <c r="C192" s="31">
        <v>4301020220</v>
      </c>
      <c r="D192" s="547">
        <v>4680115880764</v>
      </c>
      <c r="E192" s="548"/>
      <c r="F192" s="542">
        <v>0.35</v>
      </c>
      <c r="G192" s="32">
        <v>6</v>
      </c>
      <c r="H192" s="542">
        <v>2.1</v>
      </c>
      <c r="I192" s="542">
        <v>2.2799999999999998</v>
      </c>
      <c r="J192" s="32">
        <v>182</v>
      </c>
      <c r="K192" s="32" t="s">
        <v>67</v>
      </c>
      <c r="L192" s="32"/>
      <c r="M192" s="33" t="s">
        <v>108</v>
      </c>
      <c r="N192" s="33"/>
      <c r="O192" s="32">
        <v>50</v>
      </c>
      <c r="P192" s="64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50"/>
      <c r="R192" s="550"/>
      <c r="S192" s="550"/>
      <c r="T192" s="551"/>
      <c r="U192" s="34"/>
      <c r="V192" s="34"/>
      <c r="W192" s="35" t="s">
        <v>70</v>
      </c>
      <c r="X192" s="543">
        <v>0</v>
      </c>
      <c r="Y192" s="54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307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67"/>
      <c r="B193" s="557"/>
      <c r="C193" s="557"/>
      <c r="D193" s="557"/>
      <c r="E193" s="557"/>
      <c r="F193" s="557"/>
      <c r="G193" s="557"/>
      <c r="H193" s="557"/>
      <c r="I193" s="557"/>
      <c r="J193" s="557"/>
      <c r="K193" s="557"/>
      <c r="L193" s="557"/>
      <c r="M193" s="557"/>
      <c r="N193" s="557"/>
      <c r="O193" s="568"/>
      <c r="P193" s="561" t="s">
        <v>76</v>
      </c>
      <c r="Q193" s="562"/>
      <c r="R193" s="562"/>
      <c r="S193" s="562"/>
      <c r="T193" s="562"/>
      <c r="U193" s="562"/>
      <c r="V193" s="563"/>
      <c r="W193" s="37" t="s">
        <v>77</v>
      </c>
      <c r="X193" s="545">
        <f>IFERROR(X191/H191,"0")+IFERROR(X192/H192,"0")</f>
        <v>0</v>
      </c>
      <c r="Y193" s="545">
        <f>IFERROR(Y191/H191,"0")+IFERROR(Y192/H192,"0")</f>
        <v>0</v>
      </c>
      <c r="Z193" s="545">
        <f>IFERROR(IF(Z191="",0,Z191),"0")+IFERROR(IF(Z192="",0,Z192),"0")</f>
        <v>0</v>
      </c>
      <c r="AA193" s="546"/>
      <c r="AB193" s="546"/>
      <c r="AC193" s="546"/>
    </row>
    <row r="194" spans="1:68" x14ac:dyDescent="0.2">
      <c r="A194" s="557"/>
      <c r="B194" s="557"/>
      <c r="C194" s="557"/>
      <c r="D194" s="557"/>
      <c r="E194" s="557"/>
      <c r="F194" s="557"/>
      <c r="G194" s="557"/>
      <c r="H194" s="557"/>
      <c r="I194" s="557"/>
      <c r="J194" s="557"/>
      <c r="K194" s="557"/>
      <c r="L194" s="557"/>
      <c r="M194" s="557"/>
      <c r="N194" s="557"/>
      <c r="O194" s="568"/>
      <c r="P194" s="561" t="s">
        <v>76</v>
      </c>
      <c r="Q194" s="562"/>
      <c r="R194" s="562"/>
      <c r="S194" s="562"/>
      <c r="T194" s="562"/>
      <c r="U194" s="562"/>
      <c r="V194" s="563"/>
      <c r="W194" s="37" t="s">
        <v>70</v>
      </c>
      <c r="X194" s="545">
        <f>IFERROR(SUM(X191:X192),"0")</f>
        <v>0</v>
      </c>
      <c r="Y194" s="545">
        <f>IFERROR(SUM(Y191:Y192),"0")</f>
        <v>0</v>
      </c>
      <c r="Z194" s="37"/>
      <c r="AA194" s="546"/>
      <c r="AB194" s="546"/>
      <c r="AC194" s="546"/>
    </row>
    <row r="195" spans="1:68" ht="14.25" customHeight="1" x14ac:dyDescent="0.25">
      <c r="A195" s="556" t="s">
        <v>64</v>
      </c>
      <c r="B195" s="557"/>
      <c r="C195" s="557"/>
      <c r="D195" s="557"/>
      <c r="E195" s="557"/>
      <c r="F195" s="557"/>
      <c r="G195" s="557"/>
      <c r="H195" s="557"/>
      <c r="I195" s="557"/>
      <c r="J195" s="557"/>
      <c r="K195" s="557"/>
      <c r="L195" s="557"/>
      <c r="M195" s="557"/>
      <c r="N195" s="557"/>
      <c r="O195" s="557"/>
      <c r="P195" s="557"/>
      <c r="Q195" s="557"/>
      <c r="R195" s="557"/>
      <c r="S195" s="557"/>
      <c r="T195" s="557"/>
      <c r="U195" s="557"/>
      <c r="V195" s="557"/>
      <c r="W195" s="557"/>
      <c r="X195" s="557"/>
      <c r="Y195" s="557"/>
      <c r="Z195" s="557"/>
      <c r="AA195" s="539"/>
      <c r="AB195" s="539"/>
      <c r="AC195" s="539"/>
    </row>
    <row r="196" spans="1:68" ht="27" customHeight="1" x14ac:dyDescent="0.25">
      <c r="A196" s="54" t="s">
        <v>310</v>
      </c>
      <c r="B196" s="54" t="s">
        <v>311</v>
      </c>
      <c r="C196" s="31">
        <v>4301031224</v>
      </c>
      <c r="D196" s="547">
        <v>4680115882683</v>
      </c>
      <c r="E196" s="548"/>
      <c r="F196" s="542">
        <v>0.9</v>
      </c>
      <c r="G196" s="32">
        <v>6</v>
      </c>
      <c r="H196" s="542">
        <v>5.4</v>
      </c>
      <c r="I196" s="542">
        <v>5.59</v>
      </c>
      <c r="J196" s="32">
        <v>132</v>
      </c>
      <c r="K196" s="32" t="s">
        <v>113</v>
      </c>
      <c r="L196" s="32" t="s">
        <v>114</v>
      </c>
      <c r="M196" s="33" t="s">
        <v>68</v>
      </c>
      <c r="N196" s="33"/>
      <c r="O196" s="32">
        <v>40</v>
      </c>
      <c r="P196" s="8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50"/>
      <c r="R196" s="550"/>
      <c r="S196" s="550"/>
      <c r="T196" s="551"/>
      <c r="U196" s="34"/>
      <c r="V196" s="34"/>
      <c r="W196" s="35" t="s">
        <v>70</v>
      </c>
      <c r="X196" s="543">
        <v>160</v>
      </c>
      <c r="Y196" s="544">
        <f t="shared" ref="Y196:Y203" si="10">IFERROR(IF(X196="",0,CEILING((X196/$H196),1)*$H196),"")</f>
        <v>162</v>
      </c>
      <c r="Z196" s="36">
        <f>IFERROR(IF(Y196=0,"",ROUNDUP(Y196/H196,0)*0.00902),"")</f>
        <v>0.27060000000000001</v>
      </c>
      <c r="AA196" s="56"/>
      <c r="AB196" s="57"/>
      <c r="AC196" s="229" t="s">
        <v>312</v>
      </c>
      <c r="AG196" s="64"/>
      <c r="AJ196" s="68" t="s">
        <v>110</v>
      </c>
      <c r="AK196" s="68">
        <v>64.8</v>
      </c>
      <c r="BB196" s="230" t="s">
        <v>1</v>
      </c>
      <c r="BM196" s="64">
        <f t="shared" ref="BM196:BM203" si="11">IFERROR(X196*I196/H196,"0")</f>
        <v>165.62962962962962</v>
      </c>
      <c r="BN196" s="64">
        <f t="shared" ref="BN196:BN203" si="12">IFERROR(Y196*I196/H196,"0")</f>
        <v>167.7</v>
      </c>
      <c r="BO196" s="64">
        <f t="shared" ref="BO196:BO203" si="13">IFERROR(1/J196*(X196/H196),"0")</f>
        <v>0.22446689113355778</v>
      </c>
      <c r="BP196" s="64">
        <f t="shared" ref="BP196:BP203" si="14">IFERROR(1/J196*(Y196/H196),"0")</f>
        <v>0.22727272727272727</v>
      </c>
    </row>
    <row r="197" spans="1:68" ht="27" customHeight="1" x14ac:dyDescent="0.25">
      <c r="A197" s="54" t="s">
        <v>313</v>
      </c>
      <c r="B197" s="54" t="s">
        <v>314</v>
      </c>
      <c r="C197" s="31">
        <v>4301031230</v>
      </c>
      <c r="D197" s="547">
        <v>4680115882690</v>
      </c>
      <c r="E197" s="548"/>
      <c r="F197" s="542">
        <v>0.9</v>
      </c>
      <c r="G197" s="32">
        <v>6</v>
      </c>
      <c r="H197" s="542">
        <v>5.4</v>
      </c>
      <c r="I197" s="542">
        <v>5.59</v>
      </c>
      <c r="J197" s="32">
        <v>132</v>
      </c>
      <c r="K197" s="32" t="s">
        <v>113</v>
      </c>
      <c r="L197" s="32" t="s">
        <v>114</v>
      </c>
      <c r="M197" s="33" t="s">
        <v>68</v>
      </c>
      <c r="N197" s="33"/>
      <c r="O197" s="32">
        <v>40</v>
      </c>
      <c r="P197" s="69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50"/>
      <c r="R197" s="550"/>
      <c r="S197" s="550"/>
      <c r="T197" s="551"/>
      <c r="U197" s="34"/>
      <c r="V197" s="34"/>
      <c r="W197" s="35" t="s">
        <v>70</v>
      </c>
      <c r="X197" s="543">
        <v>50</v>
      </c>
      <c r="Y197" s="544">
        <f t="shared" si="10"/>
        <v>54</v>
      </c>
      <c r="Z197" s="36">
        <f>IFERROR(IF(Y197=0,"",ROUNDUP(Y197/H197,0)*0.00902),"")</f>
        <v>9.0200000000000002E-2</v>
      </c>
      <c r="AA197" s="56"/>
      <c r="AB197" s="57"/>
      <c r="AC197" s="231" t="s">
        <v>315</v>
      </c>
      <c r="AG197" s="64"/>
      <c r="AJ197" s="68" t="s">
        <v>110</v>
      </c>
      <c r="AK197" s="68">
        <v>64.8</v>
      </c>
      <c r="BB197" s="232" t="s">
        <v>1</v>
      </c>
      <c r="BM197" s="64">
        <f t="shared" si="11"/>
        <v>51.759259259259252</v>
      </c>
      <c r="BN197" s="64">
        <f t="shared" si="12"/>
        <v>55.9</v>
      </c>
      <c r="BO197" s="64">
        <f t="shared" si="13"/>
        <v>7.0145903479236812E-2</v>
      </c>
      <c r="BP197" s="64">
        <f t="shared" si="14"/>
        <v>7.575757575757576E-2</v>
      </c>
    </row>
    <row r="198" spans="1:68" ht="27" customHeight="1" x14ac:dyDescent="0.25">
      <c r="A198" s="54" t="s">
        <v>316</v>
      </c>
      <c r="B198" s="54" t="s">
        <v>317</v>
      </c>
      <c r="C198" s="31">
        <v>4301031220</v>
      </c>
      <c r="D198" s="547">
        <v>4680115882669</v>
      </c>
      <c r="E198" s="548"/>
      <c r="F198" s="542">
        <v>0.9</v>
      </c>
      <c r="G198" s="32">
        <v>6</v>
      </c>
      <c r="H198" s="542">
        <v>5.4</v>
      </c>
      <c r="I198" s="542">
        <v>5.59</v>
      </c>
      <c r="J198" s="32">
        <v>132</v>
      </c>
      <c r="K198" s="32" t="s">
        <v>113</v>
      </c>
      <c r="L198" s="32" t="s">
        <v>114</v>
      </c>
      <c r="M198" s="33" t="s">
        <v>68</v>
      </c>
      <c r="N198" s="33"/>
      <c r="O198" s="32">
        <v>40</v>
      </c>
      <c r="P198" s="82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50"/>
      <c r="R198" s="550"/>
      <c r="S198" s="550"/>
      <c r="T198" s="551"/>
      <c r="U198" s="34"/>
      <c r="V198" s="34"/>
      <c r="W198" s="35" t="s">
        <v>70</v>
      </c>
      <c r="X198" s="543">
        <v>600</v>
      </c>
      <c r="Y198" s="544">
        <f t="shared" si="10"/>
        <v>604.80000000000007</v>
      </c>
      <c r="Z198" s="36">
        <f>IFERROR(IF(Y198=0,"",ROUNDUP(Y198/H198,0)*0.00902),"")</f>
        <v>1.01024</v>
      </c>
      <c r="AA198" s="56"/>
      <c r="AB198" s="57"/>
      <c r="AC198" s="233" t="s">
        <v>318</v>
      </c>
      <c r="AG198" s="64"/>
      <c r="AJ198" s="68" t="s">
        <v>110</v>
      </c>
      <c r="AK198" s="68">
        <v>64.8</v>
      </c>
      <c r="BB198" s="234" t="s">
        <v>1</v>
      </c>
      <c r="BM198" s="64">
        <f t="shared" si="11"/>
        <v>621.11111111111109</v>
      </c>
      <c r="BN198" s="64">
        <f t="shared" si="12"/>
        <v>626.08000000000004</v>
      </c>
      <c r="BO198" s="64">
        <f t="shared" si="13"/>
        <v>0.84175084175084169</v>
      </c>
      <c r="BP198" s="64">
        <f t="shared" si="14"/>
        <v>0.84848484848484851</v>
      </c>
    </row>
    <row r="199" spans="1:68" ht="27" customHeight="1" x14ac:dyDescent="0.25">
      <c r="A199" s="54" t="s">
        <v>319</v>
      </c>
      <c r="B199" s="54" t="s">
        <v>320</v>
      </c>
      <c r="C199" s="31">
        <v>4301031221</v>
      </c>
      <c r="D199" s="547">
        <v>4680115882676</v>
      </c>
      <c r="E199" s="548"/>
      <c r="F199" s="542">
        <v>0.9</v>
      </c>
      <c r="G199" s="32">
        <v>6</v>
      </c>
      <c r="H199" s="542">
        <v>5.4</v>
      </c>
      <c r="I199" s="542">
        <v>5.59</v>
      </c>
      <c r="J199" s="32">
        <v>132</v>
      </c>
      <c r="K199" s="32" t="s">
        <v>113</v>
      </c>
      <c r="L199" s="32" t="s">
        <v>114</v>
      </c>
      <c r="M199" s="33" t="s">
        <v>68</v>
      </c>
      <c r="N199" s="33"/>
      <c r="O199" s="32">
        <v>40</v>
      </c>
      <c r="P199" s="84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50"/>
      <c r="R199" s="550"/>
      <c r="S199" s="550"/>
      <c r="T199" s="551"/>
      <c r="U199" s="34"/>
      <c r="V199" s="34"/>
      <c r="W199" s="35" t="s">
        <v>70</v>
      </c>
      <c r="X199" s="543">
        <v>100</v>
      </c>
      <c r="Y199" s="544">
        <f t="shared" si="10"/>
        <v>102.60000000000001</v>
      </c>
      <c r="Z199" s="36">
        <f>IFERROR(IF(Y199=0,"",ROUNDUP(Y199/H199,0)*0.00902),"")</f>
        <v>0.17138</v>
      </c>
      <c r="AA199" s="56"/>
      <c r="AB199" s="57"/>
      <c r="AC199" s="235" t="s">
        <v>321</v>
      </c>
      <c r="AG199" s="64"/>
      <c r="AJ199" s="68" t="s">
        <v>110</v>
      </c>
      <c r="AK199" s="68">
        <v>64.8</v>
      </c>
      <c r="BB199" s="236" t="s">
        <v>1</v>
      </c>
      <c r="BM199" s="64">
        <f t="shared" si="11"/>
        <v>103.5185185185185</v>
      </c>
      <c r="BN199" s="64">
        <f t="shared" si="12"/>
        <v>106.21</v>
      </c>
      <c r="BO199" s="64">
        <f t="shared" si="13"/>
        <v>0.14029180695847362</v>
      </c>
      <c r="BP199" s="64">
        <f t="shared" si="14"/>
        <v>0.14393939393939395</v>
      </c>
    </row>
    <row r="200" spans="1:68" ht="27" customHeight="1" x14ac:dyDescent="0.25">
      <c r="A200" s="54" t="s">
        <v>322</v>
      </c>
      <c r="B200" s="54" t="s">
        <v>323</v>
      </c>
      <c r="C200" s="31">
        <v>4301031223</v>
      </c>
      <c r="D200" s="547">
        <v>4680115884014</v>
      </c>
      <c r="E200" s="548"/>
      <c r="F200" s="542">
        <v>0.3</v>
      </c>
      <c r="G200" s="32">
        <v>6</v>
      </c>
      <c r="H200" s="542">
        <v>1.8</v>
      </c>
      <c r="I200" s="542">
        <v>1.93</v>
      </c>
      <c r="J200" s="32">
        <v>234</v>
      </c>
      <c r="K200" s="32" t="s">
        <v>74</v>
      </c>
      <c r="L200" s="32" t="s">
        <v>270</v>
      </c>
      <c r="M200" s="33" t="s">
        <v>68</v>
      </c>
      <c r="N200" s="33"/>
      <c r="O200" s="32">
        <v>40</v>
      </c>
      <c r="P200" s="85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50"/>
      <c r="R200" s="550"/>
      <c r="S200" s="550"/>
      <c r="T200" s="551"/>
      <c r="U200" s="34"/>
      <c r="V200" s="34"/>
      <c r="W200" s="35" t="s">
        <v>70</v>
      </c>
      <c r="X200" s="543">
        <v>180</v>
      </c>
      <c r="Y200" s="544">
        <f t="shared" si="10"/>
        <v>180</v>
      </c>
      <c r="Z200" s="36">
        <f>IFERROR(IF(Y200=0,"",ROUNDUP(Y200/H200,0)*0.00502),"")</f>
        <v>0.502</v>
      </c>
      <c r="AA200" s="56"/>
      <c r="AB200" s="57"/>
      <c r="AC200" s="237" t="s">
        <v>312</v>
      </c>
      <c r="AG200" s="64"/>
      <c r="AJ200" s="68" t="s">
        <v>110</v>
      </c>
      <c r="AK200" s="68">
        <v>32.4</v>
      </c>
      <c r="BB200" s="238" t="s">
        <v>1</v>
      </c>
      <c r="BM200" s="64">
        <f t="shared" si="11"/>
        <v>192.99999999999997</v>
      </c>
      <c r="BN200" s="64">
        <f t="shared" si="12"/>
        <v>192.99999999999997</v>
      </c>
      <c r="BO200" s="64">
        <f t="shared" si="13"/>
        <v>0.42735042735042739</v>
      </c>
      <c r="BP200" s="64">
        <f t="shared" si="14"/>
        <v>0.42735042735042739</v>
      </c>
    </row>
    <row r="201" spans="1:68" ht="27" customHeight="1" x14ac:dyDescent="0.25">
      <c r="A201" s="54" t="s">
        <v>324</v>
      </c>
      <c r="B201" s="54" t="s">
        <v>325</v>
      </c>
      <c r="C201" s="31">
        <v>4301031222</v>
      </c>
      <c r="D201" s="547">
        <v>4680115884007</v>
      </c>
      <c r="E201" s="548"/>
      <c r="F201" s="542">
        <v>0.3</v>
      </c>
      <c r="G201" s="32">
        <v>6</v>
      </c>
      <c r="H201" s="542">
        <v>1.8</v>
      </c>
      <c r="I201" s="542">
        <v>1.9</v>
      </c>
      <c r="J201" s="32">
        <v>234</v>
      </c>
      <c r="K201" s="32" t="s">
        <v>74</v>
      </c>
      <c r="L201" s="32" t="s">
        <v>270</v>
      </c>
      <c r="M201" s="33" t="s">
        <v>68</v>
      </c>
      <c r="N201" s="33"/>
      <c r="O201" s="32">
        <v>40</v>
      </c>
      <c r="P201" s="80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50"/>
      <c r="R201" s="550"/>
      <c r="S201" s="550"/>
      <c r="T201" s="551"/>
      <c r="U201" s="34"/>
      <c r="V201" s="34"/>
      <c r="W201" s="35" t="s">
        <v>70</v>
      </c>
      <c r="X201" s="543">
        <v>60</v>
      </c>
      <c r="Y201" s="544">
        <f t="shared" si="10"/>
        <v>61.2</v>
      </c>
      <c r="Z201" s="36">
        <f>IFERROR(IF(Y201=0,"",ROUNDUP(Y201/H201,0)*0.00502),"")</f>
        <v>0.17068</v>
      </c>
      <c r="AA201" s="56"/>
      <c r="AB201" s="57"/>
      <c r="AC201" s="239" t="s">
        <v>315</v>
      </c>
      <c r="AG201" s="64"/>
      <c r="AJ201" s="68" t="s">
        <v>110</v>
      </c>
      <c r="AK201" s="68">
        <v>32.4</v>
      </c>
      <c r="BB201" s="240" t="s">
        <v>1</v>
      </c>
      <c r="BM201" s="64">
        <f t="shared" si="11"/>
        <v>63.333333333333329</v>
      </c>
      <c r="BN201" s="64">
        <f t="shared" si="12"/>
        <v>64.599999999999994</v>
      </c>
      <c r="BO201" s="64">
        <f t="shared" si="13"/>
        <v>0.14245014245014248</v>
      </c>
      <c r="BP201" s="64">
        <f t="shared" si="14"/>
        <v>0.14529914529914531</v>
      </c>
    </row>
    <row r="202" spans="1:68" ht="27" customHeight="1" x14ac:dyDescent="0.25">
      <c r="A202" s="54" t="s">
        <v>326</v>
      </c>
      <c r="B202" s="54" t="s">
        <v>327</v>
      </c>
      <c r="C202" s="31">
        <v>4301031229</v>
      </c>
      <c r="D202" s="547">
        <v>4680115884038</v>
      </c>
      <c r="E202" s="548"/>
      <c r="F202" s="542">
        <v>0.3</v>
      </c>
      <c r="G202" s="32">
        <v>6</v>
      </c>
      <c r="H202" s="542">
        <v>1.8</v>
      </c>
      <c r="I202" s="542">
        <v>1.9</v>
      </c>
      <c r="J202" s="32">
        <v>234</v>
      </c>
      <c r="K202" s="32" t="s">
        <v>74</v>
      </c>
      <c r="L202" s="32" t="s">
        <v>270</v>
      </c>
      <c r="M202" s="33" t="s">
        <v>68</v>
      </c>
      <c r="N202" s="33"/>
      <c r="O202" s="32">
        <v>40</v>
      </c>
      <c r="P202" s="87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50"/>
      <c r="R202" s="550"/>
      <c r="S202" s="550"/>
      <c r="T202" s="551"/>
      <c r="U202" s="34"/>
      <c r="V202" s="34"/>
      <c r="W202" s="35" t="s">
        <v>70</v>
      </c>
      <c r="X202" s="543">
        <v>75</v>
      </c>
      <c r="Y202" s="544">
        <f t="shared" si="10"/>
        <v>75.600000000000009</v>
      </c>
      <c r="Z202" s="36">
        <f>IFERROR(IF(Y202=0,"",ROUNDUP(Y202/H202,0)*0.00502),"")</f>
        <v>0.21084</v>
      </c>
      <c r="AA202" s="56"/>
      <c r="AB202" s="57"/>
      <c r="AC202" s="241" t="s">
        <v>318</v>
      </c>
      <c r="AG202" s="64"/>
      <c r="AJ202" s="68" t="s">
        <v>110</v>
      </c>
      <c r="AK202" s="68">
        <v>32.4</v>
      </c>
      <c r="BB202" s="242" t="s">
        <v>1</v>
      </c>
      <c r="BM202" s="64">
        <f t="shared" si="11"/>
        <v>79.166666666666671</v>
      </c>
      <c r="BN202" s="64">
        <f t="shared" si="12"/>
        <v>79.800000000000011</v>
      </c>
      <c r="BO202" s="64">
        <f t="shared" si="13"/>
        <v>0.17806267806267806</v>
      </c>
      <c r="BP202" s="64">
        <f t="shared" si="14"/>
        <v>0.17948717948717954</v>
      </c>
    </row>
    <row r="203" spans="1:68" ht="27" customHeight="1" x14ac:dyDescent="0.25">
      <c r="A203" s="54" t="s">
        <v>328</v>
      </c>
      <c r="B203" s="54" t="s">
        <v>329</v>
      </c>
      <c r="C203" s="31">
        <v>4301031225</v>
      </c>
      <c r="D203" s="547">
        <v>4680115884021</v>
      </c>
      <c r="E203" s="548"/>
      <c r="F203" s="542">
        <v>0.3</v>
      </c>
      <c r="G203" s="32">
        <v>6</v>
      </c>
      <c r="H203" s="542">
        <v>1.8</v>
      </c>
      <c r="I203" s="542">
        <v>1.9</v>
      </c>
      <c r="J203" s="32">
        <v>234</v>
      </c>
      <c r="K203" s="32" t="s">
        <v>74</v>
      </c>
      <c r="L203" s="32" t="s">
        <v>270</v>
      </c>
      <c r="M203" s="33" t="s">
        <v>68</v>
      </c>
      <c r="N203" s="33"/>
      <c r="O203" s="32">
        <v>40</v>
      </c>
      <c r="P203" s="72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50"/>
      <c r="R203" s="550"/>
      <c r="S203" s="550"/>
      <c r="T203" s="551"/>
      <c r="U203" s="34"/>
      <c r="V203" s="34"/>
      <c r="W203" s="35" t="s">
        <v>70</v>
      </c>
      <c r="X203" s="543">
        <v>75</v>
      </c>
      <c r="Y203" s="544">
        <f t="shared" si="10"/>
        <v>75.600000000000009</v>
      </c>
      <c r="Z203" s="36">
        <f>IFERROR(IF(Y203=0,"",ROUNDUP(Y203/H203,0)*0.00502),"")</f>
        <v>0.21084</v>
      </c>
      <c r="AA203" s="56"/>
      <c r="AB203" s="57"/>
      <c r="AC203" s="243" t="s">
        <v>321</v>
      </c>
      <c r="AG203" s="64"/>
      <c r="AJ203" s="68" t="s">
        <v>110</v>
      </c>
      <c r="AK203" s="68">
        <v>32.4</v>
      </c>
      <c r="BB203" s="244" t="s">
        <v>1</v>
      </c>
      <c r="BM203" s="64">
        <f t="shared" si="11"/>
        <v>79.166666666666671</v>
      </c>
      <c r="BN203" s="64">
        <f t="shared" si="12"/>
        <v>79.800000000000011</v>
      </c>
      <c r="BO203" s="64">
        <f t="shared" si="13"/>
        <v>0.17806267806267806</v>
      </c>
      <c r="BP203" s="64">
        <f t="shared" si="14"/>
        <v>0.17948717948717954</v>
      </c>
    </row>
    <row r="204" spans="1:68" x14ac:dyDescent="0.2">
      <c r="A204" s="567"/>
      <c r="B204" s="557"/>
      <c r="C204" s="557"/>
      <c r="D204" s="557"/>
      <c r="E204" s="557"/>
      <c r="F204" s="557"/>
      <c r="G204" s="557"/>
      <c r="H204" s="557"/>
      <c r="I204" s="557"/>
      <c r="J204" s="557"/>
      <c r="K204" s="557"/>
      <c r="L204" s="557"/>
      <c r="M204" s="557"/>
      <c r="N204" s="557"/>
      <c r="O204" s="568"/>
      <c r="P204" s="561" t="s">
        <v>76</v>
      </c>
      <c r="Q204" s="562"/>
      <c r="R204" s="562"/>
      <c r="S204" s="562"/>
      <c r="T204" s="562"/>
      <c r="U204" s="562"/>
      <c r="V204" s="563"/>
      <c r="W204" s="37" t="s">
        <v>77</v>
      </c>
      <c r="X204" s="545">
        <f>IFERROR(X196/H196,"0")+IFERROR(X197/H197,"0")+IFERROR(X198/H198,"0")+IFERROR(X199/H199,"0")+IFERROR(X200/H200,"0")+IFERROR(X201/H201,"0")+IFERROR(X202/H202,"0")+IFERROR(X203/H203,"0")</f>
        <v>385.18518518518522</v>
      </c>
      <c r="Y204" s="545">
        <f>IFERROR(Y196/H196,"0")+IFERROR(Y197/H197,"0")+IFERROR(Y198/H198,"0")+IFERROR(Y199/H199,"0")+IFERROR(Y200/H200,"0")+IFERROR(Y201/H201,"0")+IFERROR(Y202/H202,"0")+IFERROR(Y203/H203,"0")</f>
        <v>389</v>
      </c>
      <c r="Z204" s="545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2.6367800000000003</v>
      </c>
      <c r="AA204" s="546"/>
      <c r="AB204" s="546"/>
      <c r="AC204" s="546"/>
    </row>
    <row r="205" spans="1:68" x14ac:dyDescent="0.2">
      <c r="A205" s="557"/>
      <c r="B205" s="557"/>
      <c r="C205" s="557"/>
      <c r="D205" s="557"/>
      <c r="E205" s="557"/>
      <c r="F205" s="557"/>
      <c r="G205" s="557"/>
      <c r="H205" s="557"/>
      <c r="I205" s="557"/>
      <c r="J205" s="557"/>
      <c r="K205" s="557"/>
      <c r="L205" s="557"/>
      <c r="M205" s="557"/>
      <c r="N205" s="557"/>
      <c r="O205" s="568"/>
      <c r="P205" s="561" t="s">
        <v>76</v>
      </c>
      <c r="Q205" s="562"/>
      <c r="R205" s="562"/>
      <c r="S205" s="562"/>
      <c r="T205" s="562"/>
      <c r="U205" s="562"/>
      <c r="V205" s="563"/>
      <c r="W205" s="37" t="s">
        <v>70</v>
      </c>
      <c r="X205" s="545">
        <f>IFERROR(SUM(X196:X203),"0")</f>
        <v>1300</v>
      </c>
      <c r="Y205" s="545">
        <f>IFERROR(SUM(Y196:Y203),"0")</f>
        <v>1315.8</v>
      </c>
      <c r="Z205" s="37"/>
      <c r="AA205" s="546"/>
      <c r="AB205" s="546"/>
      <c r="AC205" s="546"/>
    </row>
    <row r="206" spans="1:68" ht="14.25" customHeight="1" x14ac:dyDescent="0.25">
      <c r="A206" s="556" t="s">
        <v>78</v>
      </c>
      <c r="B206" s="557"/>
      <c r="C206" s="557"/>
      <c r="D206" s="557"/>
      <c r="E206" s="557"/>
      <c r="F206" s="557"/>
      <c r="G206" s="557"/>
      <c r="H206" s="557"/>
      <c r="I206" s="557"/>
      <c r="J206" s="557"/>
      <c r="K206" s="557"/>
      <c r="L206" s="557"/>
      <c r="M206" s="557"/>
      <c r="N206" s="557"/>
      <c r="O206" s="557"/>
      <c r="P206" s="557"/>
      <c r="Q206" s="557"/>
      <c r="R206" s="557"/>
      <c r="S206" s="557"/>
      <c r="T206" s="557"/>
      <c r="U206" s="557"/>
      <c r="V206" s="557"/>
      <c r="W206" s="557"/>
      <c r="X206" s="557"/>
      <c r="Y206" s="557"/>
      <c r="Z206" s="557"/>
      <c r="AA206" s="539"/>
      <c r="AB206" s="539"/>
      <c r="AC206" s="539"/>
    </row>
    <row r="207" spans="1:68" ht="27" customHeight="1" x14ac:dyDescent="0.25">
      <c r="A207" s="54" t="s">
        <v>330</v>
      </c>
      <c r="B207" s="54" t="s">
        <v>331</v>
      </c>
      <c r="C207" s="31">
        <v>4301051408</v>
      </c>
      <c r="D207" s="547">
        <v>4680115881594</v>
      </c>
      <c r="E207" s="548"/>
      <c r="F207" s="542">
        <v>1.35</v>
      </c>
      <c r="G207" s="32">
        <v>6</v>
      </c>
      <c r="H207" s="542">
        <v>8.1</v>
      </c>
      <c r="I207" s="542">
        <v>8.5939999999999994</v>
      </c>
      <c r="J207" s="32">
        <v>64</v>
      </c>
      <c r="K207" s="32" t="s">
        <v>106</v>
      </c>
      <c r="L207" s="32"/>
      <c r="M207" s="33" t="s">
        <v>81</v>
      </c>
      <c r="N207" s="33"/>
      <c r="O207" s="32">
        <v>40</v>
      </c>
      <c r="P207" s="74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50"/>
      <c r="R207" s="550"/>
      <c r="S207" s="550"/>
      <c r="T207" s="551"/>
      <c r="U207" s="34"/>
      <c r="V207" s="34"/>
      <c r="W207" s="35" t="s">
        <v>70</v>
      </c>
      <c r="X207" s="543">
        <v>0</v>
      </c>
      <c r="Y207" s="544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customHeight="1" x14ac:dyDescent="0.25">
      <c r="A208" s="54" t="s">
        <v>333</v>
      </c>
      <c r="B208" s="54" t="s">
        <v>334</v>
      </c>
      <c r="C208" s="31">
        <v>4301051411</v>
      </c>
      <c r="D208" s="547">
        <v>4680115881617</v>
      </c>
      <c r="E208" s="548"/>
      <c r="F208" s="542">
        <v>1.35</v>
      </c>
      <c r="G208" s="32">
        <v>6</v>
      </c>
      <c r="H208" s="542">
        <v>8.1</v>
      </c>
      <c r="I208" s="542">
        <v>8.5760000000000005</v>
      </c>
      <c r="J208" s="32">
        <v>64</v>
      </c>
      <c r="K208" s="32" t="s">
        <v>106</v>
      </c>
      <c r="L208" s="32"/>
      <c r="M208" s="33" t="s">
        <v>81</v>
      </c>
      <c r="N208" s="33"/>
      <c r="O208" s="32">
        <v>40</v>
      </c>
      <c r="P208" s="69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50"/>
      <c r="R208" s="550"/>
      <c r="S208" s="550"/>
      <c r="T208" s="551"/>
      <c r="U208" s="34"/>
      <c r="V208" s="34"/>
      <c r="W208" s="35" t="s">
        <v>70</v>
      </c>
      <c r="X208" s="543">
        <v>0</v>
      </c>
      <c r="Y208" s="544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336</v>
      </c>
      <c r="B209" s="54" t="s">
        <v>337</v>
      </c>
      <c r="C209" s="31">
        <v>4301051656</v>
      </c>
      <c r="D209" s="547">
        <v>4680115880573</v>
      </c>
      <c r="E209" s="548"/>
      <c r="F209" s="542">
        <v>1.45</v>
      </c>
      <c r="G209" s="32">
        <v>6</v>
      </c>
      <c r="H209" s="542">
        <v>8.6999999999999993</v>
      </c>
      <c r="I209" s="542">
        <v>9.1940000000000008</v>
      </c>
      <c r="J209" s="32">
        <v>64</v>
      </c>
      <c r="K209" s="32" t="s">
        <v>106</v>
      </c>
      <c r="L209" s="32" t="s">
        <v>107</v>
      </c>
      <c r="M209" s="33" t="s">
        <v>81</v>
      </c>
      <c r="N209" s="33"/>
      <c r="O209" s="32">
        <v>45</v>
      </c>
      <c r="P209" s="60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50"/>
      <c r="R209" s="550"/>
      <c r="S209" s="550"/>
      <c r="T209" s="551"/>
      <c r="U209" s="34"/>
      <c r="V209" s="34"/>
      <c r="W209" s="35" t="s">
        <v>70</v>
      </c>
      <c r="X209" s="543">
        <v>120</v>
      </c>
      <c r="Y209" s="544">
        <f t="shared" si="15"/>
        <v>121.79999999999998</v>
      </c>
      <c r="Z209" s="36">
        <f>IFERROR(IF(Y209=0,"",ROUNDUP(Y209/H209,0)*0.01898),"")</f>
        <v>0.26572000000000001</v>
      </c>
      <c r="AA209" s="56"/>
      <c r="AB209" s="57"/>
      <c r="AC209" s="249" t="s">
        <v>338</v>
      </c>
      <c r="AG209" s="64"/>
      <c r="AJ209" s="68" t="s">
        <v>110</v>
      </c>
      <c r="AK209" s="68">
        <v>69.599999999999994</v>
      </c>
      <c r="BB209" s="250" t="s">
        <v>1</v>
      </c>
      <c r="BM209" s="64">
        <f t="shared" si="16"/>
        <v>126.8137931034483</v>
      </c>
      <c r="BN209" s="64">
        <f t="shared" si="17"/>
        <v>128.71600000000001</v>
      </c>
      <c r="BO209" s="64">
        <f t="shared" si="18"/>
        <v>0.21551724137931036</v>
      </c>
      <c r="BP209" s="64">
        <f t="shared" si="19"/>
        <v>0.21875</v>
      </c>
    </row>
    <row r="210" spans="1:68" ht="27" customHeight="1" x14ac:dyDescent="0.25">
      <c r="A210" s="54" t="s">
        <v>339</v>
      </c>
      <c r="B210" s="54" t="s">
        <v>340</v>
      </c>
      <c r="C210" s="31">
        <v>4301051407</v>
      </c>
      <c r="D210" s="547">
        <v>4680115882195</v>
      </c>
      <c r="E210" s="548"/>
      <c r="F210" s="542">
        <v>0.4</v>
      </c>
      <c r="G210" s="32">
        <v>6</v>
      </c>
      <c r="H210" s="542">
        <v>2.4</v>
      </c>
      <c r="I210" s="542">
        <v>2.67</v>
      </c>
      <c r="J210" s="32">
        <v>182</v>
      </c>
      <c r="K210" s="32" t="s">
        <v>67</v>
      </c>
      <c r="L210" s="32" t="s">
        <v>217</v>
      </c>
      <c r="M210" s="33" t="s">
        <v>81</v>
      </c>
      <c r="N210" s="33"/>
      <c r="O210" s="32">
        <v>40</v>
      </c>
      <c r="P210" s="70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50"/>
      <c r="R210" s="550"/>
      <c r="S210" s="550"/>
      <c r="T210" s="551"/>
      <c r="U210" s="34"/>
      <c r="V210" s="34"/>
      <c r="W210" s="35" t="s">
        <v>70</v>
      </c>
      <c r="X210" s="543">
        <v>320</v>
      </c>
      <c r="Y210" s="544">
        <f t="shared" si="15"/>
        <v>321.59999999999997</v>
      </c>
      <c r="Z210" s="36">
        <f t="shared" ref="Z210:Z215" si="20">IFERROR(IF(Y210=0,"",ROUNDUP(Y210/H210,0)*0.00651),"")</f>
        <v>0.87234</v>
      </c>
      <c r="AA210" s="56"/>
      <c r="AB210" s="57"/>
      <c r="AC210" s="251" t="s">
        <v>332</v>
      </c>
      <c r="AG210" s="64"/>
      <c r="AJ210" s="68" t="s">
        <v>110</v>
      </c>
      <c r="AK210" s="68">
        <v>33.6</v>
      </c>
      <c r="BB210" s="252" t="s">
        <v>1</v>
      </c>
      <c r="BM210" s="64">
        <f t="shared" si="16"/>
        <v>356</v>
      </c>
      <c r="BN210" s="64">
        <f t="shared" si="17"/>
        <v>357.78</v>
      </c>
      <c r="BO210" s="64">
        <f t="shared" si="18"/>
        <v>0.73260073260073266</v>
      </c>
      <c r="BP210" s="64">
        <f t="shared" si="19"/>
        <v>0.73626373626373631</v>
      </c>
    </row>
    <row r="211" spans="1:68" ht="27" customHeight="1" x14ac:dyDescent="0.25">
      <c r="A211" s="54" t="s">
        <v>341</v>
      </c>
      <c r="B211" s="54" t="s">
        <v>342</v>
      </c>
      <c r="C211" s="31">
        <v>4301051752</v>
      </c>
      <c r="D211" s="547">
        <v>4680115882607</v>
      </c>
      <c r="E211" s="548"/>
      <c r="F211" s="542">
        <v>0.3</v>
      </c>
      <c r="G211" s="32">
        <v>6</v>
      </c>
      <c r="H211" s="542">
        <v>1.8</v>
      </c>
      <c r="I211" s="542">
        <v>2.052</v>
      </c>
      <c r="J211" s="32">
        <v>182</v>
      </c>
      <c r="K211" s="32" t="s">
        <v>67</v>
      </c>
      <c r="L211" s="32"/>
      <c r="M211" s="33" t="s">
        <v>88</v>
      </c>
      <c r="N211" s="33"/>
      <c r="O211" s="32">
        <v>45</v>
      </c>
      <c r="P211" s="73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50"/>
      <c r="R211" s="550"/>
      <c r="S211" s="550"/>
      <c r="T211" s="551"/>
      <c r="U211" s="34"/>
      <c r="V211" s="34"/>
      <c r="W211" s="35" t="s">
        <v>70</v>
      </c>
      <c r="X211" s="543">
        <v>0</v>
      </c>
      <c r="Y211" s="544">
        <f t="shared" si="15"/>
        <v>0</v>
      </c>
      <c r="Z211" s="36" t="str">
        <f t="shared" si="20"/>
        <v/>
      </c>
      <c r="AA211" s="56"/>
      <c r="AB211" s="57"/>
      <c r="AC211" s="253" t="s">
        <v>338</v>
      </c>
      <c r="AG211" s="64"/>
      <c r="AJ211" s="68"/>
      <c r="AK211" s="68">
        <v>0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343</v>
      </c>
      <c r="B212" s="54" t="s">
        <v>344</v>
      </c>
      <c r="C212" s="31">
        <v>4301051666</v>
      </c>
      <c r="D212" s="547">
        <v>4680115880092</v>
      </c>
      <c r="E212" s="548"/>
      <c r="F212" s="542">
        <v>0.4</v>
      </c>
      <c r="G212" s="32">
        <v>6</v>
      </c>
      <c r="H212" s="542">
        <v>2.4</v>
      </c>
      <c r="I212" s="542">
        <v>2.6520000000000001</v>
      </c>
      <c r="J212" s="32">
        <v>182</v>
      </c>
      <c r="K212" s="32" t="s">
        <v>67</v>
      </c>
      <c r="L212" s="32" t="s">
        <v>217</v>
      </c>
      <c r="M212" s="33" t="s">
        <v>81</v>
      </c>
      <c r="N212" s="33"/>
      <c r="O212" s="32">
        <v>45</v>
      </c>
      <c r="P212" s="75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50"/>
      <c r="R212" s="550"/>
      <c r="S212" s="550"/>
      <c r="T212" s="551"/>
      <c r="U212" s="34"/>
      <c r="V212" s="34"/>
      <c r="W212" s="35" t="s">
        <v>70</v>
      </c>
      <c r="X212" s="543">
        <v>360</v>
      </c>
      <c r="Y212" s="544">
        <f t="shared" si="15"/>
        <v>360</v>
      </c>
      <c r="Z212" s="36">
        <f t="shared" si="20"/>
        <v>0.97650000000000003</v>
      </c>
      <c r="AA212" s="56"/>
      <c r="AB212" s="57"/>
      <c r="AC212" s="255" t="s">
        <v>338</v>
      </c>
      <c r="AG212" s="64"/>
      <c r="AJ212" s="68" t="s">
        <v>110</v>
      </c>
      <c r="AK212" s="68">
        <v>33.6</v>
      </c>
      <c r="BB212" s="256" t="s">
        <v>1</v>
      </c>
      <c r="BM212" s="64">
        <f t="shared" si="16"/>
        <v>397.8</v>
      </c>
      <c r="BN212" s="64">
        <f t="shared" si="17"/>
        <v>397.8</v>
      </c>
      <c r="BO212" s="64">
        <f t="shared" si="18"/>
        <v>0.82417582417582425</v>
      </c>
      <c r="BP212" s="64">
        <f t="shared" si="19"/>
        <v>0.82417582417582425</v>
      </c>
    </row>
    <row r="213" spans="1:68" ht="27" customHeight="1" x14ac:dyDescent="0.25">
      <c r="A213" s="54" t="s">
        <v>345</v>
      </c>
      <c r="B213" s="54" t="s">
        <v>346</v>
      </c>
      <c r="C213" s="31">
        <v>4301051668</v>
      </c>
      <c r="D213" s="547">
        <v>4680115880221</v>
      </c>
      <c r="E213" s="548"/>
      <c r="F213" s="542">
        <v>0.4</v>
      </c>
      <c r="G213" s="32">
        <v>6</v>
      </c>
      <c r="H213" s="542">
        <v>2.4</v>
      </c>
      <c r="I213" s="542">
        <v>2.6520000000000001</v>
      </c>
      <c r="J213" s="32">
        <v>182</v>
      </c>
      <c r="K213" s="32" t="s">
        <v>67</v>
      </c>
      <c r="L213" s="32"/>
      <c r="M213" s="33" t="s">
        <v>81</v>
      </c>
      <c r="N213" s="33"/>
      <c r="O213" s="32">
        <v>45</v>
      </c>
      <c r="P213" s="57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50"/>
      <c r="R213" s="550"/>
      <c r="S213" s="550"/>
      <c r="T213" s="551"/>
      <c r="U213" s="34"/>
      <c r="V213" s="34"/>
      <c r="W213" s="35" t="s">
        <v>70</v>
      </c>
      <c r="X213" s="543">
        <v>0</v>
      </c>
      <c r="Y213" s="544">
        <f t="shared" si="15"/>
        <v>0</v>
      </c>
      <c r="Z213" s="36" t="str">
        <f t="shared" si="20"/>
        <v/>
      </c>
      <c r="AA213" s="56"/>
      <c r="AB213" s="57"/>
      <c r="AC213" s="257" t="s">
        <v>338</v>
      </c>
      <c r="AG213" s="64"/>
      <c r="AJ213" s="68"/>
      <c r="AK213" s="68">
        <v>0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347</v>
      </c>
      <c r="B214" s="54" t="s">
        <v>348</v>
      </c>
      <c r="C214" s="31">
        <v>4301051945</v>
      </c>
      <c r="D214" s="547">
        <v>4680115880504</v>
      </c>
      <c r="E214" s="548"/>
      <c r="F214" s="542">
        <v>0.4</v>
      </c>
      <c r="G214" s="32">
        <v>6</v>
      </c>
      <c r="H214" s="542">
        <v>2.4</v>
      </c>
      <c r="I214" s="542">
        <v>2.6520000000000001</v>
      </c>
      <c r="J214" s="32">
        <v>182</v>
      </c>
      <c r="K214" s="32" t="s">
        <v>67</v>
      </c>
      <c r="L214" s="32" t="s">
        <v>217</v>
      </c>
      <c r="M214" s="33" t="s">
        <v>88</v>
      </c>
      <c r="N214" s="33"/>
      <c r="O214" s="32">
        <v>40</v>
      </c>
      <c r="P214" s="81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50"/>
      <c r="R214" s="550"/>
      <c r="S214" s="550"/>
      <c r="T214" s="551"/>
      <c r="U214" s="34"/>
      <c r="V214" s="34"/>
      <c r="W214" s="35" t="s">
        <v>70</v>
      </c>
      <c r="X214" s="543">
        <v>160</v>
      </c>
      <c r="Y214" s="544">
        <f t="shared" si="15"/>
        <v>160.79999999999998</v>
      </c>
      <c r="Z214" s="36">
        <f t="shared" si="20"/>
        <v>0.43617</v>
      </c>
      <c r="AA214" s="56"/>
      <c r="AB214" s="57"/>
      <c r="AC214" s="259" t="s">
        <v>349</v>
      </c>
      <c r="AG214" s="64"/>
      <c r="AJ214" s="68" t="s">
        <v>110</v>
      </c>
      <c r="AK214" s="68">
        <v>33.6</v>
      </c>
      <c r="BB214" s="260" t="s">
        <v>1</v>
      </c>
      <c r="BM214" s="64">
        <f t="shared" si="16"/>
        <v>176.80000000000004</v>
      </c>
      <c r="BN214" s="64">
        <f t="shared" si="17"/>
        <v>177.684</v>
      </c>
      <c r="BO214" s="64">
        <f t="shared" si="18"/>
        <v>0.36630036630036633</v>
      </c>
      <c r="BP214" s="64">
        <f t="shared" si="19"/>
        <v>0.36813186813186816</v>
      </c>
    </row>
    <row r="215" spans="1:68" ht="27" customHeight="1" x14ac:dyDescent="0.25">
      <c r="A215" s="54" t="s">
        <v>350</v>
      </c>
      <c r="B215" s="54" t="s">
        <v>351</v>
      </c>
      <c r="C215" s="31">
        <v>4301051410</v>
      </c>
      <c r="D215" s="547">
        <v>4680115882164</v>
      </c>
      <c r="E215" s="548"/>
      <c r="F215" s="542">
        <v>0.4</v>
      </c>
      <c r="G215" s="32">
        <v>6</v>
      </c>
      <c r="H215" s="542">
        <v>2.4</v>
      </c>
      <c r="I215" s="542">
        <v>2.6579999999999999</v>
      </c>
      <c r="J215" s="32">
        <v>182</v>
      </c>
      <c r="K215" s="32" t="s">
        <v>67</v>
      </c>
      <c r="L215" s="32" t="s">
        <v>217</v>
      </c>
      <c r="M215" s="33" t="s">
        <v>81</v>
      </c>
      <c r="N215" s="33"/>
      <c r="O215" s="32">
        <v>40</v>
      </c>
      <c r="P215" s="57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50"/>
      <c r="R215" s="550"/>
      <c r="S215" s="550"/>
      <c r="T215" s="551"/>
      <c r="U215" s="34"/>
      <c r="V215" s="34"/>
      <c r="W215" s="35" t="s">
        <v>70</v>
      </c>
      <c r="X215" s="543">
        <v>240</v>
      </c>
      <c r="Y215" s="544">
        <f t="shared" si="15"/>
        <v>240</v>
      </c>
      <c r="Z215" s="36">
        <f t="shared" si="20"/>
        <v>0.65100000000000002</v>
      </c>
      <c r="AA215" s="56"/>
      <c r="AB215" s="57"/>
      <c r="AC215" s="261" t="s">
        <v>335</v>
      </c>
      <c r="AG215" s="64"/>
      <c r="AJ215" s="68" t="s">
        <v>110</v>
      </c>
      <c r="AK215" s="68">
        <v>33.6</v>
      </c>
      <c r="BB215" s="262" t="s">
        <v>1</v>
      </c>
      <c r="BM215" s="64">
        <f t="shared" si="16"/>
        <v>265.8</v>
      </c>
      <c r="BN215" s="64">
        <f t="shared" si="17"/>
        <v>265.8</v>
      </c>
      <c r="BO215" s="64">
        <f t="shared" si="18"/>
        <v>0.5494505494505495</v>
      </c>
      <c r="BP215" s="64">
        <f t="shared" si="19"/>
        <v>0.5494505494505495</v>
      </c>
    </row>
    <row r="216" spans="1:68" x14ac:dyDescent="0.2">
      <c r="A216" s="567"/>
      <c r="B216" s="557"/>
      <c r="C216" s="557"/>
      <c r="D216" s="557"/>
      <c r="E216" s="557"/>
      <c r="F216" s="557"/>
      <c r="G216" s="557"/>
      <c r="H216" s="557"/>
      <c r="I216" s="557"/>
      <c r="J216" s="557"/>
      <c r="K216" s="557"/>
      <c r="L216" s="557"/>
      <c r="M216" s="557"/>
      <c r="N216" s="557"/>
      <c r="O216" s="568"/>
      <c r="P216" s="561" t="s">
        <v>76</v>
      </c>
      <c r="Q216" s="562"/>
      <c r="R216" s="562"/>
      <c r="S216" s="562"/>
      <c r="T216" s="562"/>
      <c r="U216" s="562"/>
      <c r="V216" s="563"/>
      <c r="W216" s="37" t="s">
        <v>77</v>
      </c>
      <c r="X216" s="545">
        <f>IFERROR(X207/H207,"0")+IFERROR(X208/H208,"0")+IFERROR(X209/H209,"0")+IFERROR(X210/H210,"0")+IFERROR(X211/H211,"0")+IFERROR(X212/H212,"0")+IFERROR(X213/H213,"0")+IFERROR(X214/H214,"0")+IFERROR(X215/H215,"0")</f>
        <v>463.79310344827587</v>
      </c>
      <c r="Y216" s="545">
        <f>IFERROR(Y207/H207,"0")+IFERROR(Y208/H208,"0")+IFERROR(Y209/H209,"0")+IFERROR(Y210/H210,"0")+IFERROR(Y211/H211,"0")+IFERROR(Y212/H212,"0")+IFERROR(Y213/H213,"0")+IFERROR(Y214/H214,"0")+IFERROR(Y215/H215,"0")</f>
        <v>465</v>
      </c>
      <c r="Z216" s="545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3.2017300000000004</v>
      </c>
      <c r="AA216" s="546"/>
      <c r="AB216" s="546"/>
      <c r="AC216" s="546"/>
    </row>
    <row r="217" spans="1:68" x14ac:dyDescent="0.2">
      <c r="A217" s="557"/>
      <c r="B217" s="557"/>
      <c r="C217" s="557"/>
      <c r="D217" s="557"/>
      <c r="E217" s="557"/>
      <c r="F217" s="557"/>
      <c r="G217" s="557"/>
      <c r="H217" s="557"/>
      <c r="I217" s="557"/>
      <c r="J217" s="557"/>
      <c r="K217" s="557"/>
      <c r="L217" s="557"/>
      <c r="M217" s="557"/>
      <c r="N217" s="557"/>
      <c r="O217" s="568"/>
      <c r="P217" s="561" t="s">
        <v>76</v>
      </c>
      <c r="Q217" s="562"/>
      <c r="R217" s="562"/>
      <c r="S217" s="562"/>
      <c r="T217" s="562"/>
      <c r="U217" s="562"/>
      <c r="V217" s="563"/>
      <c r="W217" s="37" t="s">
        <v>70</v>
      </c>
      <c r="X217" s="545">
        <f>IFERROR(SUM(X207:X215),"0")</f>
        <v>1200</v>
      </c>
      <c r="Y217" s="545">
        <f>IFERROR(SUM(Y207:Y215),"0")</f>
        <v>1204.1999999999998</v>
      </c>
      <c r="Z217" s="37"/>
      <c r="AA217" s="546"/>
      <c r="AB217" s="546"/>
      <c r="AC217" s="546"/>
    </row>
    <row r="218" spans="1:68" ht="14.25" customHeight="1" x14ac:dyDescent="0.25">
      <c r="A218" s="556" t="s">
        <v>167</v>
      </c>
      <c r="B218" s="557"/>
      <c r="C218" s="557"/>
      <c r="D218" s="557"/>
      <c r="E218" s="557"/>
      <c r="F218" s="557"/>
      <c r="G218" s="557"/>
      <c r="H218" s="557"/>
      <c r="I218" s="557"/>
      <c r="J218" s="557"/>
      <c r="K218" s="557"/>
      <c r="L218" s="557"/>
      <c r="M218" s="557"/>
      <c r="N218" s="557"/>
      <c r="O218" s="557"/>
      <c r="P218" s="557"/>
      <c r="Q218" s="557"/>
      <c r="R218" s="557"/>
      <c r="S218" s="557"/>
      <c r="T218" s="557"/>
      <c r="U218" s="557"/>
      <c r="V218" s="557"/>
      <c r="W218" s="557"/>
      <c r="X218" s="557"/>
      <c r="Y218" s="557"/>
      <c r="Z218" s="557"/>
      <c r="AA218" s="539"/>
      <c r="AB218" s="539"/>
      <c r="AC218" s="539"/>
    </row>
    <row r="219" spans="1:68" ht="27" customHeight="1" x14ac:dyDescent="0.25">
      <c r="A219" s="54" t="s">
        <v>352</v>
      </c>
      <c r="B219" s="54" t="s">
        <v>353</v>
      </c>
      <c r="C219" s="31">
        <v>4301060463</v>
      </c>
      <c r="D219" s="547">
        <v>4680115880818</v>
      </c>
      <c r="E219" s="548"/>
      <c r="F219" s="542">
        <v>0.4</v>
      </c>
      <c r="G219" s="32">
        <v>6</v>
      </c>
      <c r="H219" s="542">
        <v>2.4</v>
      </c>
      <c r="I219" s="542">
        <v>2.6520000000000001</v>
      </c>
      <c r="J219" s="32">
        <v>182</v>
      </c>
      <c r="K219" s="32" t="s">
        <v>67</v>
      </c>
      <c r="L219" s="32" t="s">
        <v>217</v>
      </c>
      <c r="M219" s="33" t="s">
        <v>88</v>
      </c>
      <c r="N219" s="33"/>
      <c r="O219" s="32">
        <v>40</v>
      </c>
      <c r="P219" s="70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50"/>
      <c r="R219" s="550"/>
      <c r="S219" s="550"/>
      <c r="T219" s="551"/>
      <c r="U219" s="34"/>
      <c r="V219" s="34"/>
      <c r="W219" s="35" t="s">
        <v>70</v>
      </c>
      <c r="X219" s="543">
        <v>44</v>
      </c>
      <c r="Y219" s="544">
        <f>IFERROR(IF(X219="",0,CEILING((X219/$H219),1)*$H219),"")</f>
        <v>45.6</v>
      </c>
      <c r="Z219" s="36">
        <f>IFERROR(IF(Y219=0,"",ROUNDUP(Y219/H219,0)*0.00651),"")</f>
        <v>0.12369000000000001</v>
      </c>
      <c r="AA219" s="56"/>
      <c r="AB219" s="57"/>
      <c r="AC219" s="263" t="s">
        <v>354</v>
      </c>
      <c r="AG219" s="64"/>
      <c r="AJ219" s="68" t="s">
        <v>110</v>
      </c>
      <c r="AK219" s="68">
        <v>33.6</v>
      </c>
      <c r="BB219" s="264" t="s">
        <v>1</v>
      </c>
      <c r="BM219" s="64">
        <f>IFERROR(X219*I219/H219,"0")</f>
        <v>48.620000000000005</v>
      </c>
      <c r="BN219" s="64">
        <f>IFERROR(Y219*I219/H219,"0")</f>
        <v>50.388000000000005</v>
      </c>
      <c r="BO219" s="64">
        <f>IFERROR(1/J219*(X219/H219),"0")</f>
        <v>0.10073260073260075</v>
      </c>
      <c r="BP219" s="64">
        <f>IFERROR(1/J219*(Y219/H219),"0")</f>
        <v>0.1043956043956044</v>
      </c>
    </row>
    <row r="220" spans="1:68" ht="37.5" customHeight="1" x14ac:dyDescent="0.25">
      <c r="A220" s="54" t="s">
        <v>355</v>
      </c>
      <c r="B220" s="54" t="s">
        <v>356</v>
      </c>
      <c r="C220" s="31">
        <v>4301060389</v>
      </c>
      <c r="D220" s="547">
        <v>4680115880801</v>
      </c>
      <c r="E220" s="548"/>
      <c r="F220" s="542">
        <v>0.4</v>
      </c>
      <c r="G220" s="32">
        <v>6</v>
      </c>
      <c r="H220" s="542">
        <v>2.4</v>
      </c>
      <c r="I220" s="542">
        <v>2.6520000000000001</v>
      </c>
      <c r="J220" s="32">
        <v>182</v>
      </c>
      <c r="K220" s="32" t="s">
        <v>67</v>
      </c>
      <c r="L220" s="32" t="s">
        <v>217</v>
      </c>
      <c r="M220" s="33" t="s">
        <v>81</v>
      </c>
      <c r="N220" s="33"/>
      <c r="O220" s="32">
        <v>40</v>
      </c>
      <c r="P220" s="56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50"/>
      <c r="R220" s="550"/>
      <c r="S220" s="550"/>
      <c r="T220" s="551"/>
      <c r="U220" s="34"/>
      <c r="V220" s="34"/>
      <c r="W220" s="35" t="s">
        <v>70</v>
      </c>
      <c r="X220" s="543">
        <v>40</v>
      </c>
      <c r="Y220" s="544">
        <f>IFERROR(IF(X220="",0,CEILING((X220/$H220),1)*$H220),"")</f>
        <v>40.799999999999997</v>
      </c>
      <c r="Z220" s="36">
        <f>IFERROR(IF(Y220=0,"",ROUNDUP(Y220/H220,0)*0.00651),"")</f>
        <v>0.11067</v>
      </c>
      <c r="AA220" s="56"/>
      <c r="AB220" s="57"/>
      <c r="AC220" s="265" t="s">
        <v>357</v>
      </c>
      <c r="AG220" s="64"/>
      <c r="AJ220" s="68" t="s">
        <v>110</v>
      </c>
      <c r="AK220" s="68">
        <v>33.6</v>
      </c>
      <c r="BB220" s="266" t="s">
        <v>1</v>
      </c>
      <c r="BM220" s="64">
        <f>IFERROR(X220*I220/H220,"0")</f>
        <v>44.20000000000001</v>
      </c>
      <c r="BN220" s="64">
        <f>IFERROR(Y220*I220/H220,"0")</f>
        <v>45.084000000000003</v>
      </c>
      <c r="BO220" s="64">
        <f>IFERROR(1/J220*(X220/H220),"0")</f>
        <v>9.1575091575091583E-2</v>
      </c>
      <c r="BP220" s="64">
        <f>IFERROR(1/J220*(Y220/H220),"0")</f>
        <v>9.3406593406593408E-2</v>
      </c>
    </row>
    <row r="221" spans="1:68" x14ac:dyDescent="0.2">
      <c r="A221" s="567"/>
      <c r="B221" s="557"/>
      <c r="C221" s="557"/>
      <c r="D221" s="557"/>
      <c r="E221" s="557"/>
      <c r="F221" s="557"/>
      <c r="G221" s="557"/>
      <c r="H221" s="557"/>
      <c r="I221" s="557"/>
      <c r="J221" s="557"/>
      <c r="K221" s="557"/>
      <c r="L221" s="557"/>
      <c r="M221" s="557"/>
      <c r="N221" s="557"/>
      <c r="O221" s="568"/>
      <c r="P221" s="561" t="s">
        <v>76</v>
      </c>
      <c r="Q221" s="562"/>
      <c r="R221" s="562"/>
      <c r="S221" s="562"/>
      <c r="T221" s="562"/>
      <c r="U221" s="562"/>
      <c r="V221" s="563"/>
      <c r="W221" s="37" t="s">
        <v>77</v>
      </c>
      <c r="X221" s="545">
        <f>IFERROR(X219/H219,"0")+IFERROR(X220/H220,"0")</f>
        <v>35</v>
      </c>
      <c r="Y221" s="545">
        <f>IFERROR(Y219/H219,"0")+IFERROR(Y220/H220,"0")</f>
        <v>36</v>
      </c>
      <c r="Z221" s="545">
        <f>IFERROR(IF(Z219="",0,Z219),"0")+IFERROR(IF(Z220="",0,Z220),"0")</f>
        <v>0.23436000000000001</v>
      </c>
      <c r="AA221" s="546"/>
      <c r="AB221" s="546"/>
      <c r="AC221" s="546"/>
    </row>
    <row r="222" spans="1:68" x14ac:dyDescent="0.2">
      <c r="A222" s="557"/>
      <c r="B222" s="557"/>
      <c r="C222" s="557"/>
      <c r="D222" s="557"/>
      <c r="E222" s="557"/>
      <c r="F222" s="557"/>
      <c r="G222" s="557"/>
      <c r="H222" s="557"/>
      <c r="I222" s="557"/>
      <c r="J222" s="557"/>
      <c r="K222" s="557"/>
      <c r="L222" s="557"/>
      <c r="M222" s="557"/>
      <c r="N222" s="557"/>
      <c r="O222" s="568"/>
      <c r="P222" s="561" t="s">
        <v>76</v>
      </c>
      <c r="Q222" s="562"/>
      <c r="R222" s="562"/>
      <c r="S222" s="562"/>
      <c r="T222" s="562"/>
      <c r="U222" s="562"/>
      <c r="V222" s="563"/>
      <c r="W222" s="37" t="s">
        <v>70</v>
      </c>
      <c r="X222" s="545">
        <f>IFERROR(SUM(X219:X220),"0")</f>
        <v>84</v>
      </c>
      <c r="Y222" s="545">
        <f>IFERROR(SUM(Y219:Y220),"0")</f>
        <v>86.4</v>
      </c>
      <c r="Z222" s="37"/>
      <c r="AA222" s="546"/>
      <c r="AB222" s="546"/>
      <c r="AC222" s="546"/>
    </row>
    <row r="223" spans="1:68" ht="16.5" customHeight="1" x14ac:dyDescent="0.25">
      <c r="A223" s="558" t="s">
        <v>358</v>
      </c>
      <c r="B223" s="557"/>
      <c r="C223" s="557"/>
      <c r="D223" s="557"/>
      <c r="E223" s="557"/>
      <c r="F223" s="557"/>
      <c r="G223" s="557"/>
      <c r="H223" s="557"/>
      <c r="I223" s="557"/>
      <c r="J223" s="557"/>
      <c r="K223" s="557"/>
      <c r="L223" s="557"/>
      <c r="M223" s="557"/>
      <c r="N223" s="557"/>
      <c r="O223" s="557"/>
      <c r="P223" s="557"/>
      <c r="Q223" s="557"/>
      <c r="R223" s="557"/>
      <c r="S223" s="557"/>
      <c r="T223" s="557"/>
      <c r="U223" s="557"/>
      <c r="V223" s="557"/>
      <c r="W223" s="557"/>
      <c r="X223" s="557"/>
      <c r="Y223" s="557"/>
      <c r="Z223" s="557"/>
      <c r="AA223" s="538"/>
      <c r="AB223" s="538"/>
      <c r="AC223" s="538"/>
    </row>
    <row r="224" spans="1:68" ht="14.25" customHeight="1" x14ac:dyDescent="0.25">
      <c r="A224" s="556" t="s">
        <v>103</v>
      </c>
      <c r="B224" s="557"/>
      <c r="C224" s="557"/>
      <c r="D224" s="557"/>
      <c r="E224" s="557"/>
      <c r="F224" s="557"/>
      <c r="G224" s="557"/>
      <c r="H224" s="557"/>
      <c r="I224" s="557"/>
      <c r="J224" s="557"/>
      <c r="K224" s="557"/>
      <c r="L224" s="557"/>
      <c r="M224" s="557"/>
      <c r="N224" s="557"/>
      <c r="O224" s="557"/>
      <c r="P224" s="557"/>
      <c r="Q224" s="557"/>
      <c r="R224" s="557"/>
      <c r="S224" s="557"/>
      <c r="T224" s="557"/>
      <c r="U224" s="557"/>
      <c r="V224" s="557"/>
      <c r="W224" s="557"/>
      <c r="X224" s="557"/>
      <c r="Y224" s="557"/>
      <c r="Z224" s="557"/>
      <c r="AA224" s="539"/>
      <c r="AB224" s="539"/>
      <c r="AC224" s="539"/>
    </row>
    <row r="225" spans="1:68" ht="27" customHeight="1" x14ac:dyDescent="0.25">
      <c r="A225" s="54" t="s">
        <v>359</v>
      </c>
      <c r="B225" s="54" t="s">
        <v>360</v>
      </c>
      <c r="C225" s="31">
        <v>4301011826</v>
      </c>
      <c r="D225" s="547">
        <v>4680115884137</v>
      </c>
      <c r="E225" s="548"/>
      <c r="F225" s="542">
        <v>1.45</v>
      </c>
      <c r="G225" s="32">
        <v>8</v>
      </c>
      <c r="H225" s="542">
        <v>11.6</v>
      </c>
      <c r="I225" s="542">
        <v>12.01</v>
      </c>
      <c r="J225" s="32">
        <v>64</v>
      </c>
      <c r="K225" s="32" t="s">
        <v>106</v>
      </c>
      <c r="L225" s="32" t="s">
        <v>107</v>
      </c>
      <c r="M225" s="33" t="s">
        <v>108</v>
      </c>
      <c r="N225" s="33"/>
      <c r="O225" s="32">
        <v>55</v>
      </c>
      <c r="P225" s="78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50"/>
      <c r="R225" s="550"/>
      <c r="S225" s="550"/>
      <c r="T225" s="551"/>
      <c r="U225" s="34"/>
      <c r="V225" s="34"/>
      <c r="W225" s="35" t="s">
        <v>70</v>
      </c>
      <c r="X225" s="543">
        <v>0</v>
      </c>
      <c r="Y225" s="544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 t="s">
        <v>110</v>
      </c>
      <c r="AK225" s="68">
        <v>92.8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customHeight="1" x14ac:dyDescent="0.25">
      <c r="A226" s="54" t="s">
        <v>362</v>
      </c>
      <c r="B226" s="54" t="s">
        <v>363</v>
      </c>
      <c r="C226" s="31">
        <v>4301011724</v>
      </c>
      <c r="D226" s="547">
        <v>4680115884236</v>
      </c>
      <c r="E226" s="548"/>
      <c r="F226" s="542">
        <v>1.45</v>
      </c>
      <c r="G226" s="32">
        <v>8</v>
      </c>
      <c r="H226" s="542">
        <v>11.6</v>
      </c>
      <c r="I226" s="542">
        <v>12.01</v>
      </c>
      <c r="J226" s="32">
        <v>64</v>
      </c>
      <c r="K226" s="32" t="s">
        <v>106</v>
      </c>
      <c r="L226" s="32"/>
      <c r="M226" s="33" t="s">
        <v>108</v>
      </c>
      <c r="N226" s="33"/>
      <c r="O226" s="32">
        <v>55</v>
      </c>
      <c r="P226" s="79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50"/>
      <c r="R226" s="550"/>
      <c r="S226" s="550"/>
      <c r="T226" s="551"/>
      <c r="U226" s="34"/>
      <c r="V226" s="34"/>
      <c r="W226" s="35" t="s">
        <v>70</v>
      </c>
      <c r="X226" s="543">
        <v>0</v>
      </c>
      <c r="Y226" s="544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365</v>
      </c>
      <c r="B227" s="54" t="s">
        <v>366</v>
      </c>
      <c r="C227" s="31">
        <v>4301011721</v>
      </c>
      <c r="D227" s="547">
        <v>4680115884175</v>
      </c>
      <c r="E227" s="548"/>
      <c r="F227" s="542">
        <v>1.45</v>
      </c>
      <c r="G227" s="32">
        <v>8</v>
      </c>
      <c r="H227" s="542">
        <v>11.6</v>
      </c>
      <c r="I227" s="542">
        <v>12.01</v>
      </c>
      <c r="J227" s="32">
        <v>64</v>
      </c>
      <c r="K227" s="32" t="s">
        <v>106</v>
      </c>
      <c r="L227" s="32" t="s">
        <v>107</v>
      </c>
      <c r="M227" s="33" t="s">
        <v>108</v>
      </c>
      <c r="N227" s="33"/>
      <c r="O227" s="32">
        <v>55</v>
      </c>
      <c r="P227" s="79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50"/>
      <c r="R227" s="550"/>
      <c r="S227" s="550"/>
      <c r="T227" s="551"/>
      <c r="U227" s="34"/>
      <c r="V227" s="34"/>
      <c r="W227" s="35" t="s">
        <v>70</v>
      </c>
      <c r="X227" s="543">
        <v>60</v>
      </c>
      <c r="Y227" s="544">
        <f t="shared" si="21"/>
        <v>69.599999999999994</v>
      </c>
      <c r="Z227" s="36">
        <f>IFERROR(IF(Y227=0,"",ROUNDUP(Y227/H227,0)*0.01898),"")</f>
        <v>0.11388000000000001</v>
      </c>
      <c r="AA227" s="56"/>
      <c r="AB227" s="57"/>
      <c r="AC227" s="271" t="s">
        <v>367</v>
      </c>
      <c r="AG227" s="64"/>
      <c r="AJ227" s="68" t="s">
        <v>110</v>
      </c>
      <c r="AK227" s="68">
        <v>92.8</v>
      </c>
      <c r="BB227" s="272" t="s">
        <v>1</v>
      </c>
      <c r="BM227" s="64">
        <f t="shared" si="22"/>
        <v>62.12068965517242</v>
      </c>
      <c r="BN227" s="64">
        <f t="shared" si="23"/>
        <v>72.06</v>
      </c>
      <c r="BO227" s="64">
        <f t="shared" si="24"/>
        <v>8.0818965517241381E-2</v>
      </c>
      <c r="BP227" s="64">
        <f t="shared" si="25"/>
        <v>9.375E-2</v>
      </c>
    </row>
    <row r="228" spans="1:68" ht="27" customHeight="1" x14ac:dyDescent="0.25">
      <c r="A228" s="54" t="s">
        <v>368</v>
      </c>
      <c r="B228" s="54" t="s">
        <v>369</v>
      </c>
      <c r="C228" s="31">
        <v>4301011824</v>
      </c>
      <c r="D228" s="547">
        <v>4680115884144</v>
      </c>
      <c r="E228" s="548"/>
      <c r="F228" s="542">
        <v>0.4</v>
      </c>
      <c r="G228" s="32">
        <v>10</v>
      </c>
      <c r="H228" s="542">
        <v>4</v>
      </c>
      <c r="I228" s="542">
        <v>4.1900000000000004</v>
      </c>
      <c r="J228" s="32">
        <v>132</v>
      </c>
      <c r="K228" s="32" t="s">
        <v>113</v>
      </c>
      <c r="L228" s="32" t="s">
        <v>114</v>
      </c>
      <c r="M228" s="33" t="s">
        <v>108</v>
      </c>
      <c r="N228" s="33"/>
      <c r="O228" s="32">
        <v>55</v>
      </c>
      <c r="P228" s="85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50"/>
      <c r="R228" s="550"/>
      <c r="S228" s="550"/>
      <c r="T228" s="551"/>
      <c r="U228" s="34"/>
      <c r="V228" s="34"/>
      <c r="W228" s="35" t="s">
        <v>70</v>
      </c>
      <c r="X228" s="543">
        <v>0</v>
      </c>
      <c r="Y228" s="544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361</v>
      </c>
      <c r="AG228" s="64"/>
      <c r="AJ228" s="68" t="s">
        <v>110</v>
      </c>
      <c r="AK228" s="68">
        <v>48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368</v>
      </c>
      <c r="B229" s="54" t="s">
        <v>370</v>
      </c>
      <c r="C229" s="31">
        <v>4301012196</v>
      </c>
      <c r="D229" s="547">
        <v>4680115884144</v>
      </c>
      <c r="E229" s="548"/>
      <c r="F229" s="542">
        <v>0.4</v>
      </c>
      <c r="G229" s="32">
        <v>10</v>
      </c>
      <c r="H229" s="542">
        <v>4</v>
      </c>
      <c r="I229" s="542">
        <v>4.1900000000000004</v>
      </c>
      <c r="J229" s="32">
        <v>132</v>
      </c>
      <c r="K229" s="32" t="s">
        <v>113</v>
      </c>
      <c r="L229" s="32"/>
      <c r="M229" s="33" t="s">
        <v>108</v>
      </c>
      <c r="N229" s="33"/>
      <c r="O229" s="32">
        <v>55</v>
      </c>
      <c r="P229" s="740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50"/>
      <c r="R229" s="550"/>
      <c r="S229" s="550"/>
      <c r="T229" s="551"/>
      <c r="U229" s="34"/>
      <c r="V229" s="34"/>
      <c r="W229" s="35" t="s">
        <v>70</v>
      </c>
      <c r="X229" s="543">
        <v>0</v>
      </c>
      <c r="Y229" s="544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361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371</v>
      </c>
      <c r="B230" s="54" t="s">
        <v>372</v>
      </c>
      <c r="C230" s="31">
        <v>4301012149</v>
      </c>
      <c r="D230" s="547">
        <v>4680115886551</v>
      </c>
      <c r="E230" s="548"/>
      <c r="F230" s="542">
        <v>0.4</v>
      </c>
      <c r="G230" s="32">
        <v>10</v>
      </c>
      <c r="H230" s="542">
        <v>4</v>
      </c>
      <c r="I230" s="542">
        <v>4.1900000000000004</v>
      </c>
      <c r="J230" s="32">
        <v>132</v>
      </c>
      <c r="K230" s="32" t="s">
        <v>113</v>
      </c>
      <c r="L230" s="32"/>
      <c r="M230" s="33" t="s">
        <v>108</v>
      </c>
      <c r="N230" s="33"/>
      <c r="O230" s="32">
        <v>55</v>
      </c>
      <c r="P230" s="64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50"/>
      <c r="R230" s="550"/>
      <c r="S230" s="550"/>
      <c r="T230" s="551"/>
      <c r="U230" s="34"/>
      <c r="V230" s="34"/>
      <c r="W230" s="35" t="s">
        <v>70</v>
      </c>
      <c r="X230" s="543">
        <v>0</v>
      </c>
      <c r="Y230" s="544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373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374</v>
      </c>
      <c r="B231" s="54" t="s">
        <v>375</v>
      </c>
      <c r="C231" s="31">
        <v>4301011726</v>
      </c>
      <c r="D231" s="547">
        <v>4680115884182</v>
      </c>
      <c r="E231" s="548"/>
      <c r="F231" s="542">
        <v>0.37</v>
      </c>
      <c r="G231" s="32">
        <v>10</v>
      </c>
      <c r="H231" s="542">
        <v>3.7</v>
      </c>
      <c r="I231" s="542">
        <v>3.89</v>
      </c>
      <c r="J231" s="32">
        <v>132</v>
      </c>
      <c r="K231" s="32" t="s">
        <v>113</v>
      </c>
      <c r="L231" s="32"/>
      <c r="M231" s="33" t="s">
        <v>108</v>
      </c>
      <c r="N231" s="33"/>
      <c r="O231" s="32">
        <v>55</v>
      </c>
      <c r="P231" s="554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50"/>
      <c r="R231" s="550"/>
      <c r="S231" s="550"/>
      <c r="T231" s="551"/>
      <c r="U231" s="34"/>
      <c r="V231" s="34"/>
      <c r="W231" s="35" t="s">
        <v>70</v>
      </c>
      <c r="X231" s="543">
        <v>0</v>
      </c>
      <c r="Y231" s="544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364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376</v>
      </c>
      <c r="B232" s="54" t="s">
        <v>377</v>
      </c>
      <c r="C232" s="31">
        <v>4301012228</v>
      </c>
      <c r="D232" s="547">
        <v>4680115887282</v>
      </c>
      <c r="E232" s="548"/>
      <c r="F232" s="542">
        <v>0.4</v>
      </c>
      <c r="G232" s="32">
        <v>6</v>
      </c>
      <c r="H232" s="542">
        <v>2.4</v>
      </c>
      <c r="I232" s="542">
        <v>2.58</v>
      </c>
      <c r="J232" s="32">
        <v>182</v>
      </c>
      <c r="K232" s="32" t="s">
        <v>67</v>
      </c>
      <c r="L232" s="32"/>
      <c r="M232" s="33" t="s">
        <v>108</v>
      </c>
      <c r="N232" s="33"/>
      <c r="O232" s="32">
        <v>55</v>
      </c>
      <c r="P232" s="75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50"/>
      <c r="R232" s="550"/>
      <c r="S232" s="550"/>
      <c r="T232" s="551"/>
      <c r="U232" s="34"/>
      <c r="V232" s="34"/>
      <c r="W232" s="35" t="s">
        <v>70</v>
      </c>
      <c r="X232" s="543">
        <v>0</v>
      </c>
      <c r="Y232" s="544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364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378</v>
      </c>
      <c r="B233" s="54" t="s">
        <v>379</v>
      </c>
      <c r="C233" s="31">
        <v>4301011722</v>
      </c>
      <c r="D233" s="547">
        <v>4680115884205</v>
      </c>
      <c r="E233" s="548"/>
      <c r="F233" s="542">
        <v>0.4</v>
      </c>
      <c r="G233" s="32">
        <v>10</v>
      </c>
      <c r="H233" s="542">
        <v>4</v>
      </c>
      <c r="I233" s="542">
        <v>4.1900000000000004</v>
      </c>
      <c r="J233" s="32">
        <v>132</v>
      </c>
      <c r="K233" s="32" t="s">
        <v>113</v>
      </c>
      <c r="L233" s="32" t="s">
        <v>114</v>
      </c>
      <c r="M233" s="33" t="s">
        <v>108</v>
      </c>
      <c r="N233" s="33"/>
      <c r="O233" s="32">
        <v>55</v>
      </c>
      <c r="P233" s="74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50"/>
      <c r="R233" s="550"/>
      <c r="S233" s="550"/>
      <c r="T233" s="551"/>
      <c r="U233" s="34"/>
      <c r="V233" s="34"/>
      <c r="W233" s="35" t="s">
        <v>70</v>
      </c>
      <c r="X233" s="543">
        <v>92</v>
      </c>
      <c r="Y233" s="544">
        <f t="shared" si="21"/>
        <v>92</v>
      </c>
      <c r="Z233" s="36">
        <f>IFERROR(IF(Y233=0,"",ROUNDUP(Y233/H233,0)*0.00902),"")</f>
        <v>0.20746000000000001</v>
      </c>
      <c r="AA233" s="56"/>
      <c r="AB233" s="57"/>
      <c r="AC233" s="283" t="s">
        <v>367</v>
      </c>
      <c r="AG233" s="64"/>
      <c r="AJ233" s="68" t="s">
        <v>110</v>
      </c>
      <c r="AK233" s="68">
        <v>48</v>
      </c>
      <c r="BB233" s="284" t="s">
        <v>1</v>
      </c>
      <c r="BM233" s="64">
        <f t="shared" si="22"/>
        <v>96.37</v>
      </c>
      <c r="BN233" s="64">
        <f t="shared" si="23"/>
        <v>96.37</v>
      </c>
      <c r="BO233" s="64">
        <f t="shared" si="24"/>
        <v>0.17424242424242425</v>
      </c>
      <c r="BP233" s="64">
        <f t="shared" si="25"/>
        <v>0.17424242424242425</v>
      </c>
    </row>
    <row r="234" spans="1:68" ht="27" customHeight="1" x14ac:dyDescent="0.25">
      <c r="A234" s="54" t="s">
        <v>378</v>
      </c>
      <c r="B234" s="54" t="s">
        <v>380</v>
      </c>
      <c r="C234" s="31">
        <v>4301012195</v>
      </c>
      <c r="D234" s="547">
        <v>4680115884205</v>
      </c>
      <c r="E234" s="548"/>
      <c r="F234" s="542">
        <v>0.4</v>
      </c>
      <c r="G234" s="32">
        <v>10</v>
      </c>
      <c r="H234" s="542">
        <v>4</v>
      </c>
      <c r="I234" s="542">
        <v>4.1900000000000004</v>
      </c>
      <c r="J234" s="32">
        <v>132</v>
      </c>
      <c r="K234" s="32" t="s">
        <v>113</v>
      </c>
      <c r="L234" s="32"/>
      <c r="M234" s="33" t="s">
        <v>108</v>
      </c>
      <c r="N234" s="33"/>
      <c r="O234" s="32">
        <v>55</v>
      </c>
      <c r="P234" s="603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50"/>
      <c r="R234" s="550"/>
      <c r="S234" s="550"/>
      <c r="T234" s="551"/>
      <c r="U234" s="34"/>
      <c r="V234" s="34"/>
      <c r="W234" s="35" t="s">
        <v>70</v>
      </c>
      <c r="X234" s="543">
        <v>0</v>
      </c>
      <c r="Y234" s="544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367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x14ac:dyDescent="0.2">
      <c r="A235" s="567"/>
      <c r="B235" s="557"/>
      <c r="C235" s="557"/>
      <c r="D235" s="557"/>
      <c r="E235" s="557"/>
      <c r="F235" s="557"/>
      <c r="G235" s="557"/>
      <c r="H235" s="557"/>
      <c r="I235" s="557"/>
      <c r="J235" s="557"/>
      <c r="K235" s="557"/>
      <c r="L235" s="557"/>
      <c r="M235" s="557"/>
      <c r="N235" s="557"/>
      <c r="O235" s="568"/>
      <c r="P235" s="561" t="s">
        <v>76</v>
      </c>
      <c r="Q235" s="562"/>
      <c r="R235" s="562"/>
      <c r="S235" s="562"/>
      <c r="T235" s="562"/>
      <c r="U235" s="562"/>
      <c r="V235" s="563"/>
      <c r="W235" s="37" t="s">
        <v>77</v>
      </c>
      <c r="X235" s="545">
        <f>IFERROR(X225/H225,"0")+IFERROR(X226/H226,"0")+IFERROR(X227/H227,"0")+IFERROR(X228/H228,"0")+IFERROR(X229/H229,"0")+IFERROR(X230/H230,"0")+IFERROR(X231/H231,"0")+IFERROR(X232/H232,"0")+IFERROR(X233/H233,"0")+IFERROR(X234/H234,"0")</f>
        <v>28.172413793103448</v>
      </c>
      <c r="Y235" s="545">
        <f>IFERROR(Y225/H225,"0")+IFERROR(Y226/H226,"0")+IFERROR(Y227/H227,"0")+IFERROR(Y228/H228,"0")+IFERROR(Y229/H229,"0")+IFERROR(Y230/H230,"0")+IFERROR(Y231/H231,"0")+IFERROR(Y232/H232,"0")+IFERROR(Y233/H233,"0")+IFERROR(Y234/H234,"0")</f>
        <v>29</v>
      </c>
      <c r="Z235" s="545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0.32134000000000001</v>
      </c>
      <c r="AA235" s="546"/>
      <c r="AB235" s="546"/>
      <c r="AC235" s="546"/>
    </row>
    <row r="236" spans="1:68" x14ac:dyDescent="0.2">
      <c r="A236" s="557"/>
      <c r="B236" s="557"/>
      <c r="C236" s="557"/>
      <c r="D236" s="557"/>
      <c r="E236" s="557"/>
      <c r="F236" s="557"/>
      <c r="G236" s="557"/>
      <c r="H236" s="557"/>
      <c r="I236" s="557"/>
      <c r="J236" s="557"/>
      <c r="K236" s="557"/>
      <c r="L236" s="557"/>
      <c r="M236" s="557"/>
      <c r="N236" s="557"/>
      <c r="O236" s="568"/>
      <c r="P236" s="561" t="s">
        <v>76</v>
      </c>
      <c r="Q236" s="562"/>
      <c r="R236" s="562"/>
      <c r="S236" s="562"/>
      <c r="T236" s="562"/>
      <c r="U236" s="562"/>
      <c r="V236" s="563"/>
      <c r="W236" s="37" t="s">
        <v>70</v>
      </c>
      <c r="X236" s="545">
        <f>IFERROR(SUM(X225:X234),"0")</f>
        <v>152</v>
      </c>
      <c r="Y236" s="545">
        <f>IFERROR(SUM(Y225:Y234),"0")</f>
        <v>161.6</v>
      </c>
      <c r="Z236" s="37"/>
      <c r="AA236" s="546"/>
      <c r="AB236" s="546"/>
      <c r="AC236" s="546"/>
    </row>
    <row r="237" spans="1:68" ht="14.25" customHeight="1" x14ac:dyDescent="0.25">
      <c r="A237" s="556" t="s">
        <v>139</v>
      </c>
      <c r="B237" s="557"/>
      <c r="C237" s="557"/>
      <c r="D237" s="557"/>
      <c r="E237" s="557"/>
      <c r="F237" s="557"/>
      <c r="G237" s="557"/>
      <c r="H237" s="557"/>
      <c r="I237" s="557"/>
      <c r="J237" s="557"/>
      <c r="K237" s="557"/>
      <c r="L237" s="557"/>
      <c r="M237" s="557"/>
      <c r="N237" s="557"/>
      <c r="O237" s="557"/>
      <c r="P237" s="557"/>
      <c r="Q237" s="557"/>
      <c r="R237" s="557"/>
      <c r="S237" s="557"/>
      <c r="T237" s="557"/>
      <c r="U237" s="557"/>
      <c r="V237" s="557"/>
      <c r="W237" s="557"/>
      <c r="X237" s="557"/>
      <c r="Y237" s="557"/>
      <c r="Z237" s="557"/>
      <c r="AA237" s="539"/>
      <c r="AB237" s="539"/>
      <c r="AC237" s="539"/>
    </row>
    <row r="238" spans="1:68" ht="27" customHeight="1" x14ac:dyDescent="0.25">
      <c r="A238" s="54" t="s">
        <v>381</v>
      </c>
      <c r="B238" s="54" t="s">
        <v>382</v>
      </c>
      <c r="C238" s="31">
        <v>4301020377</v>
      </c>
      <c r="D238" s="547">
        <v>4680115885981</v>
      </c>
      <c r="E238" s="548"/>
      <c r="F238" s="542">
        <v>0.33</v>
      </c>
      <c r="G238" s="32">
        <v>6</v>
      </c>
      <c r="H238" s="542">
        <v>1.98</v>
      </c>
      <c r="I238" s="542">
        <v>2.08</v>
      </c>
      <c r="J238" s="32">
        <v>234</v>
      </c>
      <c r="K238" s="32" t="s">
        <v>74</v>
      </c>
      <c r="L238" s="32"/>
      <c r="M238" s="33" t="s">
        <v>81</v>
      </c>
      <c r="N238" s="33"/>
      <c r="O238" s="32">
        <v>50</v>
      </c>
      <c r="P238" s="73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50"/>
      <c r="R238" s="550"/>
      <c r="S238" s="550"/>
      <c r="T238" s="551"/>
      <c r="U238" s="34"/>
      <c r="V238" s="34"/>
      <c r="W238" s="35" t="s">
        <v>70</v>
      </c>
      <c r="X238" s="543">
        <v>0</v>
      </c>
      <c r="Y238" s="544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383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x14ac:dyDescent="0.2">
      <c r="A239" s="567"/>
      <c r="B239" s="557"/>
      <c r="C239" s="557"/>
      <c r="D239" s="557"/>
      <c r="E239" s="557"/>
      <c r="F239" s="557"/>
      <c r="G239" s="557"/>
      <c r="H239" s="557"/>
      <c r="I239" s="557"/>
      <c r="J239" s="557"/>
      <c r="K239" s="557"/>
      <c r="L239" s="557"/>
      <c r="M239" s="557"/>
      <c r="N239" s="557"/>
      <c r="O239" s="568"/>
      <c r="P239" s="561" t="s">
        <v>76</v>
      </c>
      <c r="Q239" s="562"/>
      <c r="R239" s="562"/>
      <c r="S239" s="562"/>
      <c r="T239" s="562"/>
      <c r="U239" s="562"/>
      <c r="V239" s="563"/>
      <c r="W239" s="37" t="s">
        <v>77</v>
      </c>
      <c r="X239" s="545">
        <f>IFERROR(X238/H238,"0")</f>
        <v>0</v>
      </c>
      <c r="Y239" s="545">
        <f>IFERROR(Y238/H238,"0")</f>
        <v>0</v>
      </c>
      <c r="Z239" s="545">
        <f>IFERROR(IF(Z238="",0,Z238),"0")</f>
        <v>0</v>
      </c>
      <c r="AA239" s="546"/>
      <c r="AB239" s="546"/>
      <c r="AC239" s="546"/>
    </row>
    <row r="240" spans="1:68" x14ac:dyDescent="0.2">
      <c r="A240" s="557"/>
      <c r="B240" s="557"/>
      <c r="C240" s="557"/>
      <c r="D240" s="557"/>
      <c r="E240" s="557"/>
      <c r="F240" s="557"/>
      <c r="G240" s="557"/>
      <c r="H240" s="557"/>
      <c r="I240" s="557"/>
      <c r="J240" s="557"/>
      <c r="K240" s="557"/>
      <c r="L240" s="557"/>
      <c r="M240" s="557"/>
      <c r="N240" s="557"/>
      <c r="O240" s="568"/>
      <c r="P240" s="561" t="s">
        <v>76</v>
      </c>
      <c r="Q240" s="562"/>
      <c r="R240" s="562"/>
      <c r="S240" s="562"/>
      <c r="T240" s="562"/>
      <c r="U240" s="562"/>
      <c r="V240" s="563"/>
      <c r="W240" s="37" t="s">
        <v>70</v>
      </c>
      <c r="X240" s="545">
        <f>IFERROR(SUM(X238:X238),"0")</f>
        <v>0</v>
      </c>
      <c r="Y240" s="545">
        <f>IFERROR(SUM(Y238:Y238),"0")</f>
        <v>0</v>
      </c>
      <c r="Z240" s="37"/>
      <c r="AA240" s="546"/>
      <c r="AB240" s="546"/>
      <c r="AC240" s="546"/>
    </row>
    <row r="241" spans="1:68" ht="14.25" customHeight="1" x14ac:dyDescent="0.25">
      <c r="A241" s="556" t="s">
        <v>384</v>
      </c>
      <c r="B241" s="557"/>
      <c r="C241" s="557"/>
      <c r="D241" s="557"/>
      <c r="E241" s="557"/>
      <c r="F241" s="557"/>
      <c r="G241" s="557"/>
      <c r="H241" s="557"/>
      <c r="I241" s="557"/>
      <c r="J241" s="557"/>
      <c r="K241" s="557"/>
      <c r="L241" s="557"/>
      <c r="M241" s="557"/>
      <c r="N241" s="557"/>
      <c r="O241" s="557"/>
      <c r="P241" s="557"/>
      <c r="Q241" s="557"/>
      <c r="R241" s="557"/>
      <c r="S241" s="557"/>
      <c r="T241" s="557"/>
      <c r="U241" s="557"/>
      <c r="V241" s="557"/>
      <c r="W241" s="557"/>
      <c r="X241" s="557"/>
      <c r="Y241" s="557"/>
      <c r="Z241" s="557"/>
      <c r="AA241" s="539"/>
      <c r="AB241" s="539"/>
      <c r="AC241" s="539"/>
    </row>
    <row r="242" spans="1:68" ht="27" customHeight="1" x14ac:dyDescent="0.25">
      <c r="A242" s="54" t="s">
        <v>385</v>
      </c>
      <c r="B242" s="54" t="s">
        <v>386</v>
      </c>
      <c r="C242" s="31">
        <v>4301040362</v>
      </c>
      <c r="D242" s="547">
        <v>4680115886803</v>
      </c>
      <c r="E242" s="548"/>
      <c r="F242" s="542">
        <v>0.12</v>
      </c>
      <c r="G242" s="32">
        <v>15</v>
      </c>
      <c r="H242" s="542">
        <v>1.8</v>
      </c>
      <c r="I242" s="542">
        <v>1.9750000000000001</v>
      </c>
      <c r="J242" s="32">
        <v>216</v>
      </c>
      <c r="K242" s="32" t="s">
        <v>288</v>
      </c>
      <c r="L242" s="32"/>
      <c r="M242" s="33" t="s">
        <v>289</v>
      </c>
      <c r="N242" s="33"/>
      <c r="O242" s="32">
        <v>45</v>
      </c>
      <c r="P242" s="62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50"/>
      <c r="R242" s="550"/>
      <c r="S242" s="550"/>
      <c r="T242" s="551"/>
      <c r="U242" s="34"/>
      <c r="V242" s="34"/>
      <c r="W242" s="35" t="s">
        <v>70</v>
      </c>
      <c r="X242" s="543">
        <v>6</v>
      </c>
      <c r="Y242" s="544">
        <f>IFERROR(IF(X242="",0,CEILING((X242/$H242),1)*$H242),"")</f>
        <v>7.2</v>
      </c>
      <c r="Z242" s="36">
        <f>IFERROR(IF(Y242=0,"",ROUNDUP(Y242/H242,0)*0.0059),"")</f>
        <v>2.3599999999999999E-2</v>
      </c>
      <c r="AA242" s="56"/>
      <c r="AB242" s="57"/>
      <c r="AC242" s="289" t="s">
        <v>387</v>
      </c>
      <c r="AG242" s="64"/>
      <c r="AJ242" s="68"/>
      <c r="AK242" s="68">
        <v>0</v>
      </c>
      <c r="BB242" s="290" t="s">
        <v>1</v>
      </c>
      <c r="BM242" s="64">
        <f>IFERROR(X242*I242/H242,"0")</f>
        <v>6.5833333333333339</v>
      </c>
      <c r="BN242" s="64">
        <f>IFERROR(Y242*I242/H242,"0")</f>
        <v>7.9</v>
      </c>
      <c r="BO242" s="64">
        <f>IFERROR(1/J242*(X242/H242),"0")</f>
        <v>1.5432098765432096E-2</v>
      </c>
      <c r="BP242" s="64">
        <f>IFERROR(1/J242*(Y242/H242),"0")</f>
        <v>1.8518518518518517E-2</v>
      </c>
    </row>
    <row r="243" spans="1:68" x14ac:dyDescent="0.2">
      <c r="A243" s="567"/>
      <c r="B243" s="557"/>
      <c r="C243" s="557"/>
      <c r="D243" s="557"/>
      <c r="E243" s="557"/>
      <c r="F243" s="557"/>
      <c r="G243" s="557"/>
      <c r="H243" s="557"/>
      <c r="I243" s="557"/>
      <c r="J243" s="557"/>
      <c r="K243" s="557"/>
      <c r="L243" s="557"/>
      <c r="M243" s="557"/>
      <c r="N243" s="557"/>
      <c r="O243" s="568"/>
      <c r="P243" s="561" t="s">
        <v>76</v>
      </c>
      <c r="Q243" s="562"/>
      <c r="R243" s="562"/>
      <c r="S243" s="562"/>
      <c r="T243" s="562"/>
      <c r="U243" s="562"/>
      <c r="V243" s="563"/>
      <c r="W243" s="37" t="s">
        <v>77</v>
      </c>
      <c r="X243" s="545">
        <f>IFERROR(X242/H242,"0")</f>
        <v>3.333333333333333</v>
      </c>
      <c r="Y243" s="545">
        <f>IFERROR(Y242/H242,"0")</f>
        <v>4</v>
      </c>
      <c r="Z243" s="545">
        <f>IFERROR(IF(Z242="",0,Z242),"0")</f>
        <v>2.3599999999999999E-2</v>
      </c>
      <c r="AA243" s="546"/>
      <c r="AB243" s="546"/>
      <c r="AC243" s="546"/>
    </row>
    <row r="244" spans="1:68" x14ac:dyDescent="0.2">
      <c r="A244" s="557"/>
      <c r="B244" s="557"/>
      <c r="C244" s="557"/>
      <c r="D244" s="557"/>
      <c r="E244" s="557"/>
      <c r="F244" s="557"/>
      <c r="G244" s="557"/>
      <c r="H244" s="557"/>
      <c r="I244" s="557"/>
      <c r="J244" s="557"/>
      <c r="K244" s="557"/>
      <c r="L244" s="557"/>
      <c r="M244" s="557"/>
      <c r="N244" s="557"/>
      <c r="O244" s="568"/>
      <c r="P244" s="561" t="s">
        <v>76</v>
      </c>
      <c r="Q244" s="562"/>
      <c r="R244" s="562"/>
      <c r="S244" s="562"/>
      <c r="T244" s="562"/>
      <c r="U244" s="562"/>
      <c r="V244" s="563"/>
      <c r="W244" s="37" t="s">
        <v>70</v>
      </c>
      <c r="X244" s="545">
        <f>IFERROR(SUM(X242:X242),"0")</f>
        <v>6</v>
      </c>
      <c r="Y244" s="545">
        <f>IFERROR(SUM(Y242:Y242),"0")</f>
        <v>7.2</v>
      </c>
      <c r="Z244" s="37"/>
      <c r="AA244" s="546"/>
      <c r="AB244" s="546"/>
      <c r="AC244" s="546"/>
    </row>
    <row r="245" spans="1:68" ht="14.25" customHeight="1" x14ac:dyDescent="0.25">
      <c r="A245" s="556" t="s">
        <v>388</v>
      </c>
      <c r="B245" s="557"/>
      <c r="C245" s="557"/>
      <c r="D245" s="557"/>
      <c r="E245" s="557"/>
      <c r="F245" s="557"/>
      <c r="G245" s="557"/>
      <c r="H245" s="557"/>
      <c r="I245" s="557"/>
      <c r="J245" s="557"/>
      <c r="K245" s="557"/>
      <c r="L245" s="557"/>
      <c r="M245" s="557"/>
      <c r="N245" s="557"/>
      <c r="O245" s="557"/>
      <c r="P245" s="557"/>
      <c r="Q245" s="557"/>
      <c r="R245" s="557"/>
      <c r="S245" s="557"/>
      <c r="T245" s="557"/>
      <c r="U245" s="557"/>
      <c r="V245" s="557"/>
      <c r="W245" s="557"/>
      <c r="X245" s="557"/>
      <c r="Y245" s="557"/>
      <c r="Z245" s="557"/>
      <c r="AA245" s="539"/>
      <c r="AB245" s="539"/>
      <c r="AC245" s="539"/>
    </row>
    <row r="246" spans="1:68" ht="27" customHeight="1" x14ac:dyDescent="0.25">
      <c r="A246" s="54" t="s">
        <v>389</v>
      </c>
      <c r="B246" s="54" t="s">
        <v>390</v>
      </c>
      <c r="C246" s="31">
        <v>4301041004</v>
      </c>
      <c r="D246" s="547">
        <v>4680115886704</v>
      </c>
      <c r="E246" s="548"/>
      <c r="F246" s="542">
        <v>5.5E-2</v>
      </c>
      <c r="G246" s="32">
        <v>18</v>
      </c>
      <c r="H246" s="542">
        <v>0.99</v>
      </c>
      <c r="I246" s="542">
        <v>1.18</v>
      </c>
      <c r="J246" s="32">
        <v>216</v>
      </c>
      <c r="K246" s="32" t="s">
        <v>288</v>
      </c>
      <c r="L246" s="32"/>
      <c r="M246" s="33" t="s">
        <v>289</v>
      </c>
      <c r="N246" s="33"/>
      <c r="O246" s="32">
        <v>90</v>
      </c>
      <c r="P246" s="68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50"/>
      <c r="R246" s="550"/>
      <c r="S246" s="550"/>
      <c r="T246" s="551"/>
      <c r="U246" s="34"/>
      <c r="V246" s="34"/>
      <c r="W246" s="35" t="s">
        <v>70</v>
      </c>
      <c r="X246" s="543">
        <v>0</v>
      </c>
      <c r="Y246" s="54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391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392</v>
      </c>
      <c r="B247" s="54" t="s">
        <v>393</v>
      </c>
      <c r="C247" s="31">
        <v>4301041008</v>
      </c>
      <c r="D247" s="547">
        <v>4680115886681</v>
      </c>
      <c r="E247" s="548"/>
      <c r="F247" s="542">
        <v>0.12</v>
      </c>
      <c r="G247" s="32">
        <v>15</v>
      </c>
      <c r="H247" s="542">
        <v>1.8</v>
      </c>
      <c r="I247" s="542">
        <v>1.9750000000000001</v>
      </c>
      <c r="J247" s="32">
        <v>216</v>
      </c>
      <c r="K247" s="32" t="s">
        <v>288</v>
      </c>
      <c r="L247" s="32"/>
      <c r="M247" s="33" t="s">
        <v>289</v>
      </c>
      <c r="N247" s="33"/>
      <c r="O247" s="32">
        <v>90</v>
      </c>
      <c r="P247" s="80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50"/>
      <c r="R247" s="550"/>
      <c r="S247" s="550"/>
      <c r="T247" s="551"/>
      <c r="U247" s="34"/>
      <c r="V247" s="34"/>
      <c r="W247" s="35" t="s">
        <v>70</v>
      </c>
      <c r="X247" s="543">
        <v>12</v>
      </c>
      <c r="Y247" s="544">
        <f>IFERROR(IF(X247="",0,CEILING((X247/$H247),1)*$H247),"")</f>
        <v>12.6</v>
      </c>
      <c r="Z247" s="36">
        <f>IFERROR(IF(Y247=0,"",ROUNDUP(Y247/H247,0)*0.0059),"")</f>
        <v>4.1299999999999996E-2</v>
      </c>
      <c r="AA247" s="56"/>
      <c r="AB247" s="57"/>
      <c r="AC247" s="293" t="s">
        <v>391</v>
      </c>
      <c r="AG247" s="64"/>
      <c r="AJ247" s="68"/>
      <c r="AK247" s="68">
        <v>0</v>
      </c>
      <c r="BB247" s="294" t="s">
        <v>1</v>
      </c>
      <c r="BM247" s="64">
        <f>IFERROR(X247*I247/H247,"0")</f>
        <v>13.166666666666668</v>
      </c>
      <c r="BN247" s="64">
        <f>IFERROR(Y247*I247/H247,"0")</f>
        <v>13.825000000000001</v>
      </c>
      <c r="BO247" s="64">
        <f>IFERROR(1/J247*(X247/H247),"0")</f>
        <v>3.0864197530864192E-2</v>
      </c>
      <c r="BP247" s="64">
        <f>IFERROR(1/J247*(Y247/H247),"0")</f>
        <v>3.2407407407407406E-2</v>
      </c>
    </row>
    <row r="248" spans="1:68" ht="27" customHeight="1" x14ac:dyDescent="0.25">
      <c r="A248" s="54" t="s">
        <v>394</v>
      </c>
      <c r="B248" s="54" t="s">
        <v>395</v>
      </c>
      <c r="C248" s="31">
        <v>4301041007</v>
      </c>
      <c r="D248" s="547">
        <v>4680115886735</v>
      </c>
      <c r="E248" s="548"/>
      <c r="F248" s="542">
        <v>0.05</v>
      </c>
      <c r="G248" s="32">
        <v>18</v>
      </c>
      <c r="H248" s="542">
        <v>0.9</v>
      </c>
      <c r="I248" s="542">
        <v>1.0900000000000001</v>
      </c>
      <c r="J248" s="32">
        <v>216</v>
      </c>
      <c r="K248" s="32" t="s">
        <v>288</v>
      </c>
      <c r="L248" s="32"/>
      <c r="M248" s="33" t="s">
        <v>289</v>
      </c>
      <c r="N248" s="33"/>
      <c r="O248" s="32">
        <v>90</v>
      </c>
      <c r="P248" s="74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50"/>
      <c r="R248" s="550"/>
      <c r="S248" s="550"/>
      <c r="T248" s="551"/>
      <c r="U248" s="34"/>
      <c r="V248" s="34"/>
      <c r="W248" s="35" t="s">
        <v>70</v>
      </c>
      <c r="X248" s="543">
        <v>6</v>
      </c>
      <c r="Y248" s="544">
        <f>IFERROR(IF(X248="",0,CEILING((X248/$H248),1)*$H248),"")</f>
        <v>6.3</v>
      </c>
      <c r="Z248" s="36">
        <f>IFERROR(IF(Y248=0,"",ROUNDUP(Y248/H248,0)*0.0059),"")</f>
        <v>4.1299999999999996E-2</v>
      </c>
      <c r="AA248" s="56"/>
      <c r="AB248" s="57"/>
      <c r="AC248" s="295" t="s">
        <v>391</v>
      </c>
      <c r="AG248" s="64"/>
      <c r="AJ248" s="68"/>
      <c r="AK248" s="68">
        <v>0</v>
      </c>
      <c r="BB248" s="296" t="s">
        <v>1</v>
      </c>
      <c r="BM248" s="64">
        <f>IFERROR(X248*I248/H248,"0")</f>
        <v>7.2666666666666675</v>
      </c>
      <c r="BN248" s="64">
        <f>IFERROR(Y248*I248/H248,"0")</f>
        <v>7.63</v>
      </c>
      <c r="BO248" s="64">
        <f>IFERROR(1/J248*(X248/H248),"0")</f>
        <v>3.0864197530864192E-2</v>
      </c>
      <c r="BP248" s="64">
        <f>IFERROR(1/J248*(Y248/H248),"0")</f>
        <v>3.2407407407407406E-2</v>
      </c>
    </row>
    <row r="249" spans="1:68" ht="27" customHeight="1" x14ac:dyDescent="0.25">
      <c r="A249" s="54" t="s">
        <v>396</v>
      </c>
      <c r="B249" s="54" t="s">
        <v>397</v>
      </c>
      <c r="C249" s="31">
        <v>4301041006</v>
      </c>
      <c r="D249" s="547">
        <v>4680115886728</v>
      </c>
      <c r="E249" s="548"/>
      <c r="F249" s="542">
        <v>5.5E-2</v>
      </c>
      <c r="G249" s="32">
        <v>18</v>
      </c>
      <c r="H249" s="542">
        <v>0.99</v>
      </c>
      <c r="I249" s="542">
        <v>1.18</v>
      </c>
      <c r="J249" s="32">
        <v>216</v>
      </c>
      <c r="K249" s="32" t="s">
        <v>288</v>
      </c>
      <c r="L249" s="32"/>
      <c r="M249" s="33" t="s">
        <v>289</v>
      </c>
      <c r="N249" s="33"/>
      <c r="O249" s="32">
        <v>90</v>
      </c>
      <c r="P249" s="57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50"/>
      <c r="R249" s="550"/>
      <c r="S249" s="550"/>
      <c r="T249" s="551"/>
      <c r="U249" s="34"/>
      <c r="V249" s="34"/>
      <c r="W249" s="35" t="s">
        <v>70</v>
      </c>
      <c r="X249" s="543">
        <v>0</v>
      </c>
      <c r="Y249" s="544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391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398</v>
      </c>
      <c r="B250" s="54" t="s">
        <v>399</v>
      </c>
      <c r="C250" s="31">
        <v>4301041005</v>
      </c>
      <c r="D250" s="547">
        <v>4680115886711</v>
      </c>
      <c r="E250" s="548"/>
      <c r="F250" s="542">
        <v>5.5E-2</v>
      </c>
      <c r="G250" s="32">
        <v>18</v>
      </c>
      <c r="H250" s="542">
        <v>0.99</v>
      </c>
      <c r="I250" s="542">
        <v>1.18</v>
      </c>
      <c r="J250" s="32">
        <v>216</v>
      </c>
      <c r="K250" s="32" t="s">
        <v>288</v>
      </c>
      <c r="L250" s="32"/>
      <c r="M250" s="33" t="s">
        <v>289</v>
      </c>
      <c r="N250" s="33"/>
      <c r="O250" s="32">
        <v>90</v>
      </c>
      <c r="P250" s="66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50"/>
      <c r="R250" s="550"/>
      <c r="S250" s="550"/>
      <c r="T250" s="551"/>
      <c r="U250" s="34"/>
      <c r="V250" s="34"/>
      <c r="W250" s="35" t="s">
        <v>70</v>
      </c>
      <c r="X250" s="543">
        <v>0</v>
      </c>
      <c r="Y250" s="54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67"/>
      <c r="B251" s="557"/>
      <c r="C251" s="557"/>
      <c r="D251" s="557"/>
      <c r="E251" s="557"/>
      <c r="F251" s="557"/>
      <c r="G251" s="557"/>
      <c r="H251" s="557"/>
      <c r="I251" s="557"/>
      <c r="J251" s="557"/>
      <c r="K251" s="557"/>
      <c r="L251" s="557"/>
      <c r="M251" s="557"/>
      <c r="N251" s="557"/>
      <c r="O251" s="568"/>
      <c r="P251" s="561" t="s">
        <v>76</v>
      </c>
      <c r="Q251" s="562"/>
      <c r="R251" s="562"/>
      <c r="S251" s="562"/>
      <c r="T251" s="562"/>
      <c r="U251" s="562"/>
      <c r="V251" s="563"/>
      <c r="W251" s="37" t="s">
        <v>77</v>
      </c>
      <c r="X251" s="545">
        <f>IFERROR(X246/H246,"0")+IFERROR(X247/H247,"0")+IFERROR(X248/H248,"0")+IFERROR(X249/H249,"0")+IFERROR(X250/H250,"0")</f>
        <v>13.333333333333332</v>
      </c>
      <c r="Y251" s="545">
        <f>IFERROR(Y246/H246,"0")+IFERROR(Y247/H247,"0")+IFERROR(Y248/H248,"0")+IFERROR(Y249/H249,"0")+IFERROR(Y250/H250,"0")</f>
        <v>14</v>
      </c>
      <c r="Z251" s="545">
        <f>IFERROR(IF(Z246="",0,Z246),"0")+IFERROR(IF(Z247="",0,Z247),"0")+IFERROR(IF(Z248="",0,Z248),"0")+IFERROR(IF(Z249="",0,Z249),"0")+IFERROR(IF(Z250="",0,Z250),"0")</f>
        <v>8.2599999999999993E-2</v>
      </c>
      <c r="AA251" s="546"/>
      <c r="AB251" s="546"/>
      <c r="AC251" s="546"/>
    </row>
    <row r="252" spans="1:68" x14ac:dyDescent="0.2">
      <c r="A252" s="557"/>
      <c r="B252" s="557"/>
      <c r="C252" s="557"/>
      <c r="D252" s="557"/>
      <c r="E252" s="557"/>
      <c r="F252" s="557"/>
      <c r="G252" s="557"/>
      <c r="H252" s="557"/>
      <c r="I252" s="557"/>
      <c r="J252" s="557"/>
      <c r="K252" s="557"/>
      <c r="L252" s="557"/>
      <c r="M252" s="557"/>
      <c r="N252" s="557"/>
      <c r="O252" s="568"/>
      <c r="P252" s="561" t="s">
        <v>76</v>
      </c>
      <c r="Q252" s="562"/>
      <c r="R252" s="562"/>
      <c r="S252" s="562"/>
      <c r="T252" s="562"/>
      <c r="U252" s="562"/>
      <c r="V252" s="563"/>
      <c r="W252" s="37" t="s">
        <v>70</v>
      </c>
      <c r="X252" s="545">
        <f>IFERROR(SUM(X246:X250),"0")</f>
        <v>18</v>
      </c>
      <c r="Y252" s="545">
        <f>IFERROR(SUM(Y246:Y250),"0")</f>
        <v>18.899999999999999</v>
      </c>
      <c r="Z252" s="37"/>
      <c r="AA252" s="546"/>
      <c r="AB252" s="546"/>
      <c r="AC252" s="546"/>
    </row>
    <row r="253" spans="1:68" ht="16.5" customHeight="1" x14ac:dyDescent="0.25">
      <c r="A253" s="558" t="s">
        <v>400</v>
      </c>
      <c r="B253" s="557"/>
      <c r="C253" s="557"/>
      <c r="D253" s="557"/>
      <c r="E253" s="557"/>
      <c r="F253" s="557"/>
      <c r="G253" s="557"/>
      <c r="H253" s="557"/>
      <c r="I253" s="557"/>
      <c r="J253" s="557"/>
      <c r="K253" s="557"/>
      <c r="L253" s="557"/>
      <c r="M253" s="557"/>
      <c r="N253" s="557"/>
      <c r="O253" s="557"/>
      <c r="P253" s="557"/>
      <c r="Q253" s="557"/>
      <c r="R253" s="557"/>
      <c r="S253" s="557"/>
      <c r="T253" s="557"/>
      <c r="U253" s="557"/>
      <c r="V253" s="557"/>
      <c r="W253" s="557"/>
      <c r="X253" s="557"/>
      <c r="Y253" s="557"/>
      <c r="Z253" s="557"/>
      <c r="AA253" s="538"/>
      <c r="AB253" s="538"/>
      <c r="AC253" s="538"/>
    </row>
    <row r="254" spans="1:68" ht="14.25" customHeight="1" x14ac:dyDescent="0.25">
      <c r="A254" s="556" t="s">
        <v>103</v>
      </c>
      <c r="B254" s="557"/>
      <c r="C254" s="557"/>
      <c r="D254" s="557"/>
      <c r="E254" s="557"/>
      <c r="F254" s="557"/>
      <c r="G254" s="557"/>
      <c r="H254" s="557"/>
      <c r="I254" s="557"/>
      <c r="J254" s="557"/>
      <c r="K254" s="557"/>
      <c r="L254" s="557"/>
      <c r="M254" s="557"/>
      <c r="N254" s="557"/>
      <c r="O254" s="557"/>
      <c r="P254" s="557"/>
      <c r="Q254" s="557"/>
      <c r="R254" s="557"/>
      <c r="S254" s="557"/>
      <c r="T254" s="557"/>
      <c r="U254" s="557"/>
      <c r="V254" s="557"/>
      <c r="W254" s="557"/>
      <c r="X254" s="557"/>
      <c r="Y254" s="557"/>
      <c r="Z254" s="557"/>
      <c r="AA254" s="539"/>
      <c r="AB254" s="539"/>
      <c r="AC254" s="539"/>
    </row>
    <row r="255" spans="1:68" ht="27" customHeight="1" x14ac:dyDescent="0.25">
      <c r="A255" s="54" t="s">
        <v>401</v>
      </c>
      <c r="B255" s="54" t="s">
        <v>402</v>
      </c>
      <c r="C255" s="31">
        <v>4301011855</v>
      </c>
      <c r="D255" s="547">
        <v>4680115885837</v>
      </c>
      <c r="E255" s="548"/>
      <c r="F255" s="542">
        <v>1.35</v>
      </c>
      <c r="G255" s="32">
        <v>8</v>
      </c>
      <c r="H255" s="542">
        <v>10.8</v>
      </c>
      <c r="I255" s="542">
        <v>11.21</v>
      </c>
      <c r="J255" s="32">
        <v>64</v>
      </c>
      <c r="K255" s="32" t="s">
        <v>106</v>
      </c>
      <c r="L255" s="32"/>
      <c r="M255" s="33" t="s">
        <v>108</v>
      </c>
      <c r="N255" s="33"/>
      <c r="O255" s="32">
        <v>55</v>
      </c>
      <c r="P255" s="64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50"/>
      <c r="R255" s="550"/>
      <c r="S255" s="550"/>
      <c r="T255" s="551"/>
      <c r="U255" s="34"/>
      <c r="V255" s="34"/>
      <c r="W255" s="35" t="s">
        <v>70</v>
      </c>
      <c r="X255" s="543">
        <v>0</v>
      </c>
      <c r="Y255" s="544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customHeight="1" x14ac:dyDescent="0.25">
      <c r="A256" s="54" t="s">
        <v>404</v>
      </c>
      <c r="B256" s="54" t="s">
        <v>405</v>
      </c>
      <c r="C256" s="31">
        <v>4301011853</v>
      </c>
      <c r="D256" s="547">
        <v>4680115885851</v>
      </c>
      <c r="E256" s="548"/>
      <c r="F256" s="542">
        <v>1.35</v>
      </c>
      <c r="G256" s="32">
        <v>8</v>
      </c>
      <c r="H256" s="542">
        <v>10.8</v>
      </c>
      <c r="I256" s="542">
        <v>11.21</v>
      </c>
      <c r="J256" s="32">
        <v>64</v>
      </c>
      <c r="K256" s="32" t="s">
        <v>106</v>
      </c>
      <c r="L256" s="32"/>
      <c r="M256" s="33" t="s">
        <v>108</v>
      </c>
      <c r="N256" s="33"/>
      <c r="O256" s="32">
        <v>55</v>
      </c>
      <c r="P256" s="765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50"/>
      <c r="R256" s="550"/>
      <c r="S256" s="550"/>
      <c r="T256" s="551"/>
      <c r="U256" s="34"/>
      <c r="V256" s="34"/>
      <c r="W256" s="35" t="s">
        <v>70</v>
      </c>
      <c r="X256" s="543">
        <v>0</v>
      </c>
      <c r="Y256" s="544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407</v>
      </c>
      <c r="B257" s="54" t="s">
        <v>408</v>
      </c>
      <c r="C257" s="31">
        <v>4301011850</v>
      </c>
      <c r="D257" s="547">
        <v>4680115885806</v>
      </c>
      <c r="E257" s="548"/>
      <c r="F257" s="542">
        <v>1.35</v>
      </c>
      <c r="G257" s="32">
        <v>8</v>
      </c>
      <c r="H257" s="542">
        <v>10.8</v>
      </c>
      <c r="I257" s="542">
        <v>11.21</v>
      </c>
      <c r="J257" s="32">
        <v>64</v>
      </c>
      <c r="K257" s="32" t="s">
        <v>106</v>
      </c>
      <c r="L257" s="32"/>
      <c r="M257" s="33" t="s">
        <v>108</v>
      </c>
      <c r="N257" s="33"/>
      <c r="O257" s="32">
        <v>55</v>
      </c>
      <c r="P257" s="7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50"/>
      <c r="R257" s="550"/>
      <c r="S257" s="550"/>
      <c r="T257" s="551"/>
      <c r="U257" s="34"/>
      <c r="V257" s="34"/>
      <c r="W257" s="35" t="s">
        <v>70</v>
      </c>
      <c r="X257" s="543">
        <v>0</v>
      </c>
      <c r="Y257" s="54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410</v>
      </c>
      <c r="B258" s="54" t="s">
        <v>411</v>
      </c>
      <c r="C258" s="31">
        <v>4301011852</v>
      </c>
      <c r="D258" s="547">
        <v>4680115885844</v>
      </c>
      <c r="E258" s="548"/>
      <c r="F258" s="542">
        <v>0.4</v>
      </c>
      <c r="G258" s="32">
        <v>10</v>
      </c>
      <c r="H258" s="542">
        <v>4</v>
      </c>
      <c r="I258" s="542">
        <v>4.1900000000000004</v>
      </c>
      <c r="J258" s="32">
        <v>132</v>
      </c>
      <c r="K258" s="32" t="s">
        <v>113</v>
      </c>
      <c r="L258" s="32"/>
      <c r="M258" s="33" t="s">
        <v>108</v>
      </c>
      <c r="N258" s="33"/>
      <c r="O258" s="32">
        <v>55</v>
      </c>
      <c r="P258" s="66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50"/>
      <c r="R258" s="550"/>
      <c r="S258" s="550"/>
      <c r="T258" s="551"/>
      <c r="U258" s="34"/>
      <c r="V258" s="34"/>
      <c r="W258" s="35" t="s">
        <v>70</v>
      </c>
      <c r="X258" s="543">
        <v>0</v>
      </c>
      <c r="Y258" s="544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customHeight="1" x14ac:dyDescent="0.25">
      <c r="A259" s="54" t="s">
        <v>413</v>
      </c>
      <c r="B259" s="54" t="s">
        <v>414</v>
      </c>
      <c r="C259" s="31">
        <v>4301011851</v>
      </c>
      <c r="D259" s="547">
        <v>4680115885820</v>
      </c>
      <c r="E259" s="548"/>
      <c r="F259" s="542">
        <v>0.4</v>
      </c>
      <c r="G259" s="32">
        <v>10</v>
      </c>
      <c r="H259" s="542">
        <v>4</v>
      </c>
      <c r="I259" s="542">
        <v>4.1900000000000004</v>
      </c>
      <c r="J259" s="32">
        <v>132</v>
      </c>
      <c r="K259" s="32" t="s">
        <v>113</v>
      </c>
      <c r="L259" s="32"/>
      <c r="M259" s="33" t="s">
        <v>108</v>
      </c>
      <c r="N259" s="33"/>
      <c r="O259" s="32">
        <v>55</v>
      </c>
      <c r="P259" s="63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50"/>
      <c r="R259" s="550"/>
      <c r="S259" s="550"/>
      <c r="T259" s="551"/>
      <c r="U259" s="34"/>
      <c r="V259" s="34"/>
      <c r="W259" s="35" t="s">
        <v>70</v>
      </c>
      <c r="X259" s="543">
        <v>0</v>
      </c>
      <c r="Y259" s="544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415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x14ac:dyDescent="0.2">
      <c r="A260" s="567"/>
      <c r="B260" s="557"/>
      <c r="C260" s="557"/>
      <c r="D260" s="557"/>
      <c r="E260" s="557"/>
      <c r="F260" s="557"/>
      <c r="G260" s="557"/>
      <c r="H260" s="557"/>
      <c r="I260" s="557"/>
      <c r="J260" s="557"/>
      <c r="K260" s="557"/>
      <c r="L260" s="557"/>
      <c r="M260" s="557"/>
      <c r="N260" s="557"/>
      <c r="O260" s="568"/>
      <c r="P260" s="561" t="s">
        <v>76</v>
      </c>
      <c r="Q260" s="562"/>
      <c r="R260" s="562"/>
      <c r="S260" s="562"/>
      <c r="T260" s="562"/>
      <c r="U260" s="562"/>
      <c r="V260" s="563"/>
      <c r="W260" s="37" t="s">
        <v>77</v>
      </c>
      <c r="X260" s="545">
        <f>IFERROR(X255/H255,"0")+IFERROR(X256/H256,"0")+IFERROR(X257/H257,"0")+IFERROR(X258/H258,"0")+IFERROR(X259/H259,"0")</f>
        <v>0</v>
      </c>
      <c r="Y260" s="545">
        <f>IFERROR(Y255/H255,"0")+IFERROR(Y256/H256,"0")+IFERROR(Y257/H257,"0")+IFERROR(Y258/H258,"0")+IFERROR(Y259/H259,"0")</f>
        <v>0</v>
      </c>
      <c r="Z260" s="545">
        <f>IFERROR(IF(Z255="",0,Z255),"0")+IFERROR(IF(Z256="",0,Z256),"0")+IFERROR(IF(Z257="",0,Z257),"0")+IFERROR(IF(Z258="",0,Z258),"0")+IFERROR(IF(Z259="",0,Z259),"0")</f>
        <v>0</v>
      </c>
      <c r="AA260" s="546"/>
      <c r="AB260" s="546"/>
      <c r="AC260" s="546"/>
    </row>
    <row r="261" spans="1:68" x14ac:dyDescent="0.2">
      <c r="A261" s="557"/>
      <c r="B261" s="557"/>
      <c r="C261" s="557"/>
      <c r="D261" s="557"/>
      <c r="E261" s="557"/>
      <c r="F261" s="557"/>
      <c r="G261" s="557"/>
      <c r="H261" s="557"/>
      <c r="I261" s="557"/>
      <c r="J261" s="557"/>
      <c r="K261" s="557"/>
      <c r="L261" s="557"/>
      <c r="M261" s="557"/>
      <c r="N261" s="557"/>
      <c r="O261" s="568"/>
      <c r="P261" s="561" t="s">
        <v>76</v>
      </c>
      <c r="Q261" s="562"/>
      <c r="R261" s="562"/>
      <c r="S261" s="562"/>
      <c r="T261" s="562"/>
      <c r="U261" s="562"/>
      <c r="V261" s="563"/>
      <c r="W261" s="37" t="s">
        <v>70</v>
      </c>
      <c r="X261" s="545">
        <f>IFERROR(SUM(X255:X259),"0")</f>
        <v>0</v>
      </c>
      <c r="Y261" s="545">
        <f>IFERROR(SUM(Y255:Y259),"0")</f>
        <v>0</v>
      </c>
      <c r="Z261" s="37"/>
      <c r="AA261" s="546"/>
      <c r="AB261" s="546"/>
      <c r="AC261" s="546"/>
    </row>
    <row r="262" spans="1:68" ht="16.5" customHeight="1" x14ac:dyDescent="0.25">
      <c r="A262" s="558" t="s">
        <v>416</v>
      </c>
      <c r="B262" s="557"/>
      <c r="C262" s="557"/>
      <c r="D262" s="557"/>
      <c r="E262" s="557"/>
      <c r="F262" s="557"/>
      <c r="G262" s="557"/>
      <c r="H262" s="557"/>
      <c r="I262" s="557"/>
      <c r="J262" s="557"/>
      <c r="K262" s="557"/>
      <c r="L262" s="557"/>
      <c r="M262" s="557"/>
      <c r="N262" s="557"/>
      <c r="O262" s="557"/>
      <c r="P262" s="557"/>
      <c r="Q262" s="557"/>
      <c r="R262" s="557"/>
      <c r="S262" s="557"/>
      <c r="T262" s="557"/>
      <c r="U262" s="557"/>
      <c r="V262" s="557"/>
      <c r="W262" s="557"/>
      <c r="X262" s="557"/>
      <c r="Y262" s="557"/>
      <c r="Z262" s="557"/>
      <c r="AA262" s="538"/>
      <c r="AB262" s="538"/>
      <c r="AC262" s="538"/>
    </row>
    <row r="263" spans="1:68" ht="14.25" customHeight="1" x14ac:dyDescent="0.25">
      <c r="A263" s="556" t="s">
        <v>103</v>
      </c>
      <c r="B263" s="557"/>
      <c r="C263" s="557"/>
      <c r="D263" s="557"/>
      <c r="E263" s="557"/>
      <c r="F263" s="557"/>
      <c r="G263" s="557"/>
      <c r="H263" s="557"/>
      <c r="I263" s="557"/>
      <c r="J263" s="557"/>
      <c r="K263" s="557"/>
      <c r="L263" s="557"/>
      <c r="M263" s="557"/>
      <c r="N263" s="557"/>
      <c r="O263" s="557"/>
      <c r="P263" s="557"/>
      <c r="Q263" s="557"/>
      <c r="R263" s="557"/>
      <c r="S263" s="557"/>
      <c r="T263" s="557"/>
      <c r="U263" s="557"/>
      <c r="V263" s="557"/>
      <c r="W263" s="557"/>
      <c r="X263" s="557"/>
      <c r="Y263" s="557"/>
      <c r="Z263" s="557"/>
      <c r="AA263" s="539"/>
      <c r="AB263" s="539"/>
      <c r="AC263" s="539"/>
    </row>
    <row r="264" spans="1:68" ht="27" customHeight="1" x14ac:dyDescent="0.25">
      <c r="A264" s="54" t="s">
        <v>417</v>
      </c>
      <c r="B264" s="54" t="s">
        <v>418</v>
      </c>
      <c r="C264" s="31">
        <v>4301011223</v>
      </c>
      <c r="D264" s="547">
        <v>4607091383423</v>
      </c>
      <c r="E264" s="548"/>
      <c r="F264" s="542">
        <v>1.35</v>
      </c>
      <c r="G264" s="32">
        <v>8</v>
      </c>
      <c r="H264" s="542">
        <v>10.8</v>
      </c>
      <c r="I264" s="542">
        <v>11.305999999999999</v>
      </c>
      <c r="J264" s="32">
        <v>64</v>
      </c>
      <c r="K264" s="32" t="s">
        <v>106</v>
      </c>
      <c r="L264" s="32"/>
      <c r="M264" s="33" t="s">
        <v>81</v>
      </c>
      <c r="N264" s="33"/>
      <c r="O264" s="32">
        <v>35</v>
      </c>
      <c r="P264" s="69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50"/>
      <c r="R264" s="550"/>
      <c r="S264" s="550"/>
      <c r="T264" s="551"/>
      <c r="U264" s="34"/>
      <c r="V264" s="34"/>
      <c r="W264" s="35" t="s">
        <v>70</v>
      </c>
      <c r="X264" s="543">
        <v>0</v>
      </c>
      <c r="Y264" s="54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109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419</v>
      </c>
      <c r="B265" s="54" t="s">
        <v>420</v>
      </c>
      <c r="C265" s="31">
        <v>4301012199</v>
      </c>
      <c r="D265" s="547">
        <v>4680115886957</v>
      </c>
      <c r="E265" s="548"/>
      <c r="F265" s="542">
        <v>1.35</v>
      </c>
      <c r="G265" s="32">
        <v>8</v>
      </c>
      <c r="H265" s="542">
        <v>10.8</v>
      </c>
      <c r="I265" s="542">
        <v>11.21</v>
      </c>
      <c r="J265" s="32">
        <v>64</v>
      </c>
      <c r="K265" s="32" t="s">
        <v>106</v>
      </c>
      <c r="L265" s="32"/>
      <c r="M265" s="33" t="s">
        <v>81</v>
      </c>
      <c r="N265" s="33"/>
      <c r="O265" s="32">
        <v>30</v>
      </c>
      <c r="P265" s="613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50"/>
      <c r="R265" s="550"/>
      <c r="S265" s="550"/>
      <c r="T265" s="551"/>
      <c r="U265" s="34"/>
      <c r="V265" s="34"/>
      <c r="W265" s="35" t="s">
        <v>70</v>
      </c>
      <c r="X265" s="543">
        <v>0</v>
      </c>
      <c r="Y265" s="54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421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422</v>
      </c>
      <c r="B266" s="54" t="s">
        <v>423</v>
      </c>
      <c r="C266" s="31">
        <v>4301012098</v>
      </c>
      <c r="D266" s="547">
        <v>4680115885660</v>
      </c>
      <c r="E266" s="548"/>
      <c r="F266" s="542">
        <v>1.35</v>
      </c>
      <c r="G266" s="32">
        <v>8</v>
      </c>
      <c r="H266" s="542">
        <v>10.8</v>
      </c>
      <c r="I266" s="542">
        <v>11.21</v>
      </c>
      <c r="J266" s="32">
        <v>64</v>
      </c>
      <c r="K266" s="32" t="s">
        <v>106</v>
      </c>
      <c r="L266" s="32"/>
      <c r="M266" s="33" t="s">
        <v>81</v>
      </c>
      <c r="N266" s="33"/>
      <c r="O266" s="32">
        <v>35</v>
      </c>
      <c r="P266" s="622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50"/>
      <c r="R266" s="550"/>
      <c r="S266" s="550"/>
      <c r="T266" s="551"/>
      <c r="U266" s="34"/>
      <c r="V266" s="34"/>
      <c r="W266" s="35" t="s">
        <v>70</v>
      </c>
      <c r="X266" s="543">
        <v>0</v>
      </c>
      <c r="Y266" s="544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367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424</v>
      </c>
      <c r="B267" s="54" t="s">
        <v>425</v>
      </c>
      <c r="C267" s="31">
        <v>4301012176</v>
      </c>
      <c r="D267" s="547">
        <v>4680115886773</v>
      </c>
      <c r="E267" s="548"/>
      <c r="F267" s="542">
        <v>0.9</v>
      </c>
      <c r="G267" s="32">
        <v>10</v>
      </c>
      <c r="H267" s="542">
        <v>9</v>
      </c>
      <c r="I267" s="542">
        <v>9.41</v>
      </c>
      <c r="J267" s="32">
        <v>64</v>
      </c>
      <c r="K267" s="32" t="s">
        <v>106</v>
      </c>
      <c r="L267" s="32"/>
      <c r="M267" s="33" t="s">
        <v>108</v>
      </c>
      <c r="N267" s="33"/>
      <c r="O267" s="32">
        <v>31</v>
      </c>
      <c r="P267" s="72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50"/>
      <c r="R267" s="550"/>
      <c r="S267" s="550"/>
      <c r="T267" s="551"/>
      <c r="U267" s="34"/>
      <c r="V267" s="34"/>
      <c r="W267" s="35" t="s">
        <v>70</v>
      </c>
      <c r="X267" s="543">
        <v>0</v>
      </c>
      <c r="Y267" s="544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426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67"/>
      <c r="B268" s="557"/>
      <c r="C268" s="557"/>
      <c r="D268" s="557"/>
      <c r="E268" s="557"/>
      <c r="F268" s="557"/>
      <c r="G268" s="557"/>
      <c r="H268" s="557"/>
      <c r="I268" s="557"/>
      <c r="J268" s="557"/>
      <c r="K268" s="557"/>
      <c r="L268" s="557"/>
      <c r="M268" s="557"/>
      <c r="N268" s="557"/>
      <c r="O268" s="568"/>
      <c r="P268" s="561" t="s">
        <v>76</v>
      </c>
      <c r="Q268" s="562"/>
      <c r="R268" s="562"/>
      <c r="S268" s="562"/>
      <c r="T268" s="562"/>
      <c r="U268" s="562"/>
      <c r="V268" s="563"/>
      <c r="W268" s="37" t="s">
        <v>77</v>
      </c>
      <c r="X268" s="545">
        <f>IFERROR(X264/H264,"0")+IFERROR(X265/H265,"0")+IFERROR(X266/H266,"0")+IFERROR(X267/H267,"0")</f>
        <v>0</v>
      </c>
      <c r="Y268" s="545">
        <f>IFERROR(Y264/H264,"0")+IFERROR(Y265/H265,"0")+IFERROR(Y266/H266,"0")+IFERROR(Y267/H267,"0")</f>
        <v>0</v>
      </c>
      <c r="Z268" s="545">
        <f>IFERROR(IF(Z264="",0,Z264),"0")+IFERROR(IF(Z265="",0,Z265),"0")+IFERROR(IF(Z266="",0,Z266),"0")+IFERROR(IF(Z267="",0,Z267),"0")</f>
        <v>0</v>
      </c>
      <c r="AA268" s="546"/>
      <c r="AB268" s="546"/>
      <c r="AC268" s="546"/>
    </row>
    <row r="269" spans="1:68" x14ac:dyDescent="0.2">
      <c r="A269" s="557"/>
      <c r="B269" s="557"/>
      <c r="C269" s="557"/>
      <c r="D269" s="557"/>
      <c r="E269" s="557"/>
      <c r="F269" s="557"/>
      <c r="G269" s="557"/>
      <c r="H269" s="557"/>
      <c r="I269" s="557"/>
      <c r="J269" s="557"/>
      <c r="K269" s="557"/>
      <c r="L269" s="557"/>
      <c r="M269" s="557"/>
      <c r="N269" s="557"/>
      <c r="O269" s="568"/>
      <c r="P269" s="561" t="s">
        <v>76</v>
      </c>
      <c r="Q269" s="562"/>
      <c r="R269" s="562"/>
      <c r="S269" s="562"/>
      <c r="T269" s="562"/>
      <c r="U269" s="562"/>
      <c r="V269" s="563"/>
      <c r="W269" s="37" t="s">
        <v>70</v>
      </c>
      <c r="X269" s="545">
        <f>IFERROR(SUM(X264:X267),"0")</f>
        <v>0</v>
      </c>
      <c r="Y269" s="545">
        <f>IFERROR(SUM(Y264:Y267),"0")</f>
        <v>0</v>
      </c>
      <c r="Z269" s="37"/>
      <c r="AA269" s="546"/>
      <c r="AB269" s="546"/>
      <c r="AC269" s="546"/>
    </row>
    <row r="270" spans="1:68" ht="16.5" customHeight="1" x14ac:dyDescent="0.25">
      <c r="A270" s="558" t="s">
        <v>427</v>
      </c>
      <c r="B270" s="557"/>
      <c r="C270" s="557"/>
      <c r="D270" s="557"/>
      <c r="E270" s="557"/>
      <c r="F270" s="557"/>
      <c r="G270" s="557"/>
      <c r="H270" s="557"/>
      <c r="I270" s="557"/>
      <c r="J270" s="557"/>
      <c r="K270" s="557"/>
      <c r="L270" s="557"/>
      <c r="M270" s="557"/>
      <c r="N270" s="557"/>
      <c r="O270" s="557"/>
      <c r="P270" s="557"/>
      <c r="Q270" s="557"/>
      <c r="R270" s="557"/>
      <c r="S270" s="557"/>
      <c r="T270" s="557"/>
      <c r="U270" s="557"/>
      <c r="V270" s="557"/>
      <c r="W270" s="557"/>
      <c r="X270" s="557"/>
      <c r="Y270" s="557"/>
      <c r="Z270" s="557"/>
      <c r="AA270" s="538"/>
      <c r="AB270" s="538"/>
      <c r="AC270" s="538"/>
    </row>
    <row r="271" spans="1:68" ht="14.25" customHeight="1" x14ac:dyDescent="0.25">
      <c r="A271" s="556" t="s">
        <v>78</v>
      </c>
      <c r="B271" s="557"/>
      <c r="C271" s="557"/>
      <c r="D271" s="557"/>
      <c r="E271" s="557"/>
      <c r="F271" s="557"/>
      <c r="G271" s="557"/>
      <c r="H271" s="557"/>
      <c r="I271" s="557"/>
      <c r="J271" s="557"/>
      <c r="K271" s="557"/>
      <c r="L271" s="557"/>
      <c r="M271" s="557"/>
      <c r="N271" s="557"/>
      <c r="O271" s="557"/>
      <c r="P271" s="557"/>
      <c r="Q271" s="557"/>
      <c r="R271" s="557"/>
      <c r="S271" s="557"/>
      <c r="T271" s="557"/>
      <c r="U271" s="557"/>
      <c r="V271" s="557"/>
      <c r="W271" s="557"/>
      <c r="X271" s="557"/>
      <c r="Y271" s="557"/>
      <c r="Z271" s="557"/>
      <c r="AA271" s="539"/>
      <c r="AB271" s="539"/>
      <c r="AC271" s="539"/>
    </row>
    <row r="272" spans="1:68" ht="27" customHeight="1" x14ac:dyDescent="0.25">
      <c r="A272" s="54" t="s">
        <v>428</v>
      </c>
      <c r="B272" s="54" t="s">
        <v>429</v>
      </c>
      <c r="C272" s="31">
        <v>4301051893</v>
      </c>
      <c r="D272" s="547">
        <v>4680115886186</v>
      </c>
      <c r="E272" s="548"/>
      <c r="F272" s="542">
        <v>0.3</v>
      </c>
      <c r="G272" s="32">
        <v>6</v>
      </c>
      <c r="H272" s="542">
        <v>1.8</v>
      </c>
      <c r="I272" s="542">
        <v>1.98</v>
      </c>
      <c r="J272" s="32">
        <v>182</v>
      </c>
      <c r="K272" s="32" t="s">
        <v>67</v>
      </c>
      <c r="L272" s="32"/>
      <c r="M272" s="33" t="s">
        <v>81</v>
      </c>
      <c r="N272" s="33"/>
      <c r="O272" s="32">
        <v>45</v>
      </c>
      <c r="P272" s="70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50"/>
      <c r="R272" s="550"/>
      <c r="S272" s="550"/>
      <c r="T272" s="551"/>
      <c r="U272" s="34"/>
      <c r="V272" s="34"/>
      <c r="W272" s="35" t="s">
        <v>70</v>
      </c>
      <c r="X272" s="543">
        <v>0</v>
      </c>
      <c r="Y272" s="544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431</v>
      </c>
      <c r="B273" s="54" t="s">
        <v>432</v>
      </c>
      <c r="C273" s="31">
        <v>4301051795</v>
      </c>
      <c r="D273" s="547">
        <v>4680115881228</v>
      </c>
      <c r="E273" s="548"/>
      <c r="F273" s="542">
        <v>0.4</v>
      </c>
      <c r="G273" s="32">
        <v>6</v>
      </c>
      <c r="H273" s="542">
        <v>2.4</v>
      </c>
      <c r="I273" s="542">
        <v>2.6520000000000001</v>
      </c>
      <c r="J273" s="32">
        <v>182</v>
      </c>
      <c r="K273" s="32" t="s">
        <v>67</v>
      </c>
      <c r="L273" s="32" t="s">
        <v>217</v>
      </c>
      <c r="M273" s="33" t="s">
        <v>88</v>
      </c>
      <c r="N273" s="33"/>
      <c r="O273" s="32">
        <v>40</v>
      </c>
      <c r="P273" s="63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50"/>
      <c r="R273" s="550"/>
      <c r="S273" s="550"/>
      <c r="T273" s="551"/>
      <c r="U273" s="34"/>
      <c r="V273" s="34"/>
      <c r="W273" s="35" t="s">
        <v>70</v>
      </c>
      <c r="X273" s="543">
        <v>200</v>
      </c>
      <c r="Y273" s="544">
        <f>IFERROR(IF(X273="",0,CEILING((X273/$H273),1)*$H273),"")</f>
        <v>201.6</v>
      </c>
      <c r="Z273" s="36">
        <f>IFERROR(IF(Y273=0,"",ROUNDUP(Y273/H273,0)*0.00651),"")</f>
        <v>0.54683999999999999</v>
      </c>
      <c r="AA273" s="56"/>
      <c r="AB273" s="57"/>
      <c r="AC273" s="321" t="s">
        <v>433</v>
      </c>
      <c r="AG273" s="64"/>
      <c r="AJ273" s="68" t="s">
        <v>110</v>
      </c>
      <c r="AK273" s="68">
        <v>33.6</v>
      </c>
      <c r="BB273" s="322" t="s">
        <v>1</v>
      </c>
      <c r="BM273" s="64">
        <f>IFERROR(X273*I273/H273,"0")</f>
        <v>221</v>
      </c>
      <c r="BN273" s="64">
        <f>IFERROR(Y273*I273/H273,"0")</f>
        <v>222.768</v>
      </c>
      <c r="BO273" s="64">
        <f>IFERROR(1/J273*(X273/H273),"0")</f>
        <v>0.45787545787545797</v>
      </c>
      <c r="BP273" s="64">
        <f>IFERROR(1/J273*(Y273/H273),"0")</f>
        <v>0.46153846153846156</v>
      </c>
    </row>
    <row r="274" spans="1:68" ht="27" customHeight="1" x14ac:dyDescent="0.25">
      <c r="A274" s="54" t="s">
        <v>434</v>
      </c>
      <c r="B274" s="54" t="s">
        <v>435</v>
      </c>
      <c r="C274" s="31">
        <v>4301051388</v>
      </c>
      <c r="D274" s="547">
        <v>4680115881211</v>
      </c>
      <c r="E274" s="548"/>
      <c r="F274" s="542">
        <v>0.4</v>
      </c>
      <c r="G274" s="32">
        <v>6</v>
      </c>
      <c r="H274" s="542">
        <v>2.4</v>
      </c>
      <c r="I274" s="542">
        <v>2.58</v>
      </c>
      <c r="J274" s="32">
        <v>182</v>
      </c>
      <c r="K274" s="32" t="s">
        <v>67</v>
      </c>
      <c r="L274" s="32"/>
      <c r="M274" s="33" t="s">
        <v>81</v>
      </c>
      <c r="N274" s="33"/>
      <c r="O274" s="32">
        <v>45</v>
      </c>
      <c r="P274" s="77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50"/>
      <c r="R274" s="550"/>
      <c r="S274" s="550"/>
      <c r="T274" s="551"/>
      <c r="U274" s="34"/>
      <c r="V274" s="34"/>
      <c r="W274" s="35" t="s">
        <v>70</v>
      </c>
      <c r="X274" s="543">
        <v>160</v>
      </c>
      <c r="Y274" s="544">
        <f>IFERROR(IF(X274="",0,CEILING((X274/$H274),1)*$H274),"")</f>
        <v>160.79999999999998</v>
      </c>
      <c r="Z274" s="36">
        <f>IFERROR(IF(Y274=0,"",ROUNDUP(Y274/H274,0)*0.00651),"")</f>
        <v>0.43617</v>
      </c>
      <c r="AA274" s="56"/>
      <c r="AB274" s="57"/>
      <c r="AC274" s="323" t="s">
        <v>430</v>
      </c>
      <c r="AG274" s="64"/>
      <c r="AJ274" s="68"/>
      <c r="AK274" s="68">
        <v>0</v>
      </c>
      <c r="BB274" s="324" t="s">
        <v>1</v>
      </c>
      <c r="BM274" s="64">
        <f>IFERROR(X274*I274/H274,"0")</f>
        <v>172</v>
      </c>
      <c r="BN274" s="64">
        <f>IFERROR(Y274*I274/H274,"0")</f>
        <v>172.85999999999999</v>
      </c>
      <c r="BO274" s="64">
        <f>IFERROR(1/J274*(X274/H274),"0")</f>
        <v>0.36630036630036633</v>
      </c>
      <c r="BP274" s="64">
        <f>IFERROR(1/J274*(Y274/H274),"0")</f>
        <v>0.36813186813186816</v>
      </c>
    </row>
    <row r="275" spans="1:68" x14ac:dyDescent="0.2">
      <c r="A275" s="567"/>
      <c r="B275" s="557"/>
      <c r="C275" s="557"/>
      <c r="D275" s="557"/>
      <c r="E275" s="557"/>
      <c r="F275" s="557"/>
      <c r="G275" s="557"/>
      <c r="H275" s="557"/>
      <c r="I275" s="557"/>
      <c r="J275" s="557"/>
      <c r="K275" s="557"/>
      <c r="L275" s="557"/>
      <c r="M275" s="557"/>
      <c r="N275" s="557"/>
      <c r="O275" s="568"/>
      <c r="P275" s="561" t="s">
        <v>76</v>
      </c>
      <c r="Q275" s="562"/>
      <c r="R275" s="562"/>
      <c r="S275" s="562"/>
      <c r="T275" s="562"/>
      <c r="U275" s="562"/>
      <c r="V275" s="563"/>
      <c r="W275" s="37" t="s">
        <v>77</v>
      </c>
      <c r="X275" s="545">
        <f>IFERROR(X272/H272,"0")+IFERROR(X273/H273,"0")+IFERROR(X274/H274,"0")</f>
        <v>150</v>
      </c>
      <c r="Y275" s="545">
        <f>IFERROR(Y272/H272,"0")+IFERROR(Y273/H273,"0")+IFERROR(Y274/H274,"0")</f>
        <v>151</v>
      </c>
      <c r="Z275" s="545">
        <f>IFERROR(IF(Z272="",0,Z272),"0")+IFERROR(IF(Z273="",0,Z273),"0")+IFERROR(IF(Z274="",0,Z274),"0")</f>
        <v>0.98300999999999994</v>
      </c>
      <c r="AA275" s="546"/>
      <c r="AB275" s="546"/>
      <c r="AC275" s="546"/>
    </row>
    <row r="276" spans="1:68" x14ac:dyDescent="0.2">
      <c r="A276" s="557"/>
      <c r="B276" s="557"/>
      <c r="C276" s="557"/>
      <c r="D276" s="557"/>
      <c r="E276" s="557"/>
      <c r="F276" s="557"/>
      <c r="G276" s="557"/>
      <c r="H276" s="557"/>
      <c r="I276" s="557"/>
      <c r="J276" s="557"/>
      <c r="K276" s="557"/>
      <c r="L276" s="557"/>
      <c r="M276" s="557"/>
      <c r="N276" s="557"/>
      <c r="O276" s="568"/>
      <c r="P276" s="561" t="s">
        <v>76</v>
      </c>
      <c r="Q276" s="562"/>
      <c r="R276" s="562"/>
      <c r="S276" s="562"/>
      <c r="T276" s="562"/>
      <c r="U276" s="562"/>
      <c r="V276" s="563"/>
      <c r="W276" s="37" t="s">
        <v>70</v>
      </c>
      <c r="X276" s="545">
        <f>IFERROR(SUM(X272:X274),"0")</f>
        <v>360</v>
      </c>
      <c r="Y276" s="545">
        <f>IFERROR(SUM(Y272:Y274),"0")</f>
        <v>362.4</v>
      </c>
      <c r="Z276" s="37"/>
      <c r="AA276" s="546"/>
      <c r="AB276" s="546"/>
      <c r="AC276" s="546"/>
    </row>
    <row r="277" spans="1:68" ht="16.5" customHeight="1" x14ac:dyDescent="0.25">
      <c r="A277" s="558" t="s">
        <v>436</v>
      </c>
      <c r="B277" s="557"/>
      <c r="C277" s="557"/>
      <c r="D277" s="557"/>
      <c r="E277" s="557"/>
      <c r="F277" s="557"/>
      <c r="G277" s="557"/>
      <c r="H277" s="557"/>
      <c r="I277" s="557"/>
      <c r="J277" s="557"/>
      <c r="K277" s="557"/>
      <c r="L277" s="557"/>
      <c r="M277" s="557"/>
      <c r="N277" s="557"/>
      <c r="O277" s="557"/>
      <c r="P277" s="557"/>
      <c r="Q277" s="557"/>
      <c r="R277" s="557"/>
      <c r="S277" s="557"/>
      <c r="T277" s="557"/>
      <c r="U277" s="557"/>
      <c r="V277" s="557"/>
      <c r="W277" s="557"/>
      <c r="X277" s="557"/>
      <c r="Y277" s="557"/>
      <c r="Z277" s="557"/>
      <c r="AA277" s="538"/>
      <c r="AB277" s="538"/>
      <c r="AC277" s="538"/>
    </row>
    <row r="278" spans="1:68" ht="14.25" customHeight="1" x14ac:dyDescent="0.25">
      <c r="A278" s="556" t="s">
        <v>64</v>
      </c>
      <c r="B278" s="557"/>
      <c r="C278" s="557"/>
      <c r="D278" s="557"/>
      <c r="E278" s="557"/>
      <c r="F278" s="557"/>
      <c r="G278" s="557"/>
      <c r="H278" s="557"/>
      <c r="I278" s="557"/>
      <c r="J278" s="557"/>
      <c r="K278" s="557"/>
      <c r="L278" s="557"/>
      <c r="M278" s="557"/>
      <c r="N278" s="557"/>
      <c r="O278" s="557"/>
      <c r="P278" s="557"/>
      <c r="Q278" s="557"/>
      <c r="R278" s="557"/>
      <c r="S278" s="557"/>
      <c r="T278" s="557"/>
      <c r="U278" s="557"/>
      <c r="V278" s="557"/>
      <c r="W278" s="557"/>
      <c r="X278" s="557"/>
      <c r="Y278" s="557"/>
      <c r="Z278" s="557"/>
      <c r="AA278" s="539"/>
      <c r="AB278" s="539"/>
      <c r="AC278" s="539"/>
    </row>
    <row r="279" spans="1:68" ht="27" customHeight="1" x14ac:dyDescent="0.25">
      <c r="A279" s="54" t="s">
        <v>437</v>
      </c>
      <c r="B279" s="54" t="s">
        <v>438</v>
      </c>
      <c r="C279" s="31">
        <v>4301031307</v>
      </c>
      <c r="D279" s="547">
        <v>4680115880344</v>
      </c>
      <c r="E279" s="548"/>
      <c r="F279" s="542">
        <v>0.28000000000000003</v>
      </c>
      <c r="G279" s="32">
        <v>6</v>
      </c>
      <c r="H279" s="542">
        <v>1.68</v>
      </c>
      <c r="I279" s="542">
        <v>1.78</v>
      </c>
      <c r="J279" s="32">
        <v>234</v>
      </c>
      <c r="K279" s="32" t="s">
        <v>74</v>
      </c>
      <c r="L279" s="32"/>
      <c r="M279" s="33" t="s">
        <v>68</v>
      </c>
      <c r="N279" s="33"/>
      <c r="O279" s="32">
        <v>40</v>
      </c>
      <c r="P279" s="76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50"/>
      <c r="R279" s="550"/>
      <c r="S279" s="550"/>
      <c r="T279" s="551"/>
      <c r="U279" s="34"/>
      <c r="V279" s="34"/>
      <c r="W279" s="35" t="s">
        <v>70</v>
      </c>
      <c r="X279" s="543">
        <v>0</v>
      </c>
      <c r="Y279" s="544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440</v>
      </c>
      <c r="B280" s="54" t="s">
        <v>441</v>
      </c>
      <c r="C280" s="31">
        <v>4301031429</v>
      </c>
      <c r="D280" s="547">
        <v>4680115886919</v>
      </c>
      <c r="E280" s="548"/>
      <c r="F280" s="542">
        <v>0.4</v>
      </c>
      <c r="G280" s="32">
        <v>6</v>
      </c>
      <c r="H280" s="542">
        <v>2.4</v>
      </c>
      <c r="I280" s="542">
        <v>2.58</v>
      </c>
      <c r="J280" s="32">
        <v>182</v>
      </c>
      <c r="K280" s="32" t="s">
        <v>67</v>
      </c>
      <c r="L280" s="32"/>
      <c r="M280" s="33" t="s">
        <v>68</v>
      </c>
      <c r="N280" s="33"/>
      <c r="O280" s="32">
        <v>40</v>
      </c>
      <c r="P280" s="680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50"/>
      <c r="R280" s="550"/>
      <c r="S280" s="550"/>
      <c r="T280" s="551"/>
      <c r="U280" s="34"/>
      <c r="V280" s="34"/>
      <c r="W280" s="35" t="s">
        <v>70</v>
      </c>
      <c r="X280" s="543">
        <v>0</v>
      </c>
      <c r="Y280" s="54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442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67"/>
      <c r="B281" s="557"/>
      <c r="C281" s="557"/>
      <c r="D281" s="557"/>
      <c r="E281" s="557"/>
      <c r="F281" s="557"/>
      <c r="G281" s="557"/>
      <c r="H281" s="557"/>
      <c r="I281" s="557"/>
      <c r="J281" s="557"/>
      <c r="K281" s="557"/>
      <c r="L281" s="557"/>
      <c r="M281" s="557"/>
      <c r="N281" s="557"/>
      <c r="O281" s="568"/>
      <c r="P281" s="561" t="s">
        <v>76</v>
      </c>
      <c r="Q281" s="562"/>
      <c r="R281" s="562"/>
      <c r="S281" s="562"/>
      <c r="T281" s="562"/>
      <c r="U281" s="562"/>
      <c r="V281" s="563"/>
      <c r="W281" s="37" t="s">
        <v>77</v>
      </c>
      <c r="X281" s="545">
        <f>IFERROR(X279/H279,"0")+IFERROR(X280/H280,"0")</f>
        <v>0</v>
      </c>
      <c r="Y281" s="545">
        <f>IFERROR(Y279/H279,"0")+IFERROR(Y280/H280,"0")</f>
        <v>0</v>
      </c>
      <c r="Z281" s="545">
        <f>IFERROR(IF(Z279="",0,Z279),"0")+IFERROR(IF(Z280="",0,Z280),"0")</f>
        <v>0</v>
      </c>
      <c r="AA281" s="546"/>
      <c r="AB281" s="546"/>
      <c r="AC281" s="546"/>
    </row>
    <row r="282" spans="1:68" x14ac:dyDescent="0.2">
      <c r="A282" s="557"/>
      <c r="B282" s="557"/>
      <c r="C282" s="557"/>
      <c r="D282" s="557"/>
      <c r="E282" s="557"/>
      <c r="F282" s="557"/>
      <c r="G282" s="557"/>
      <c r="H282" s="557"/>
      <c r="I282" s="557"/>
      <c r="J282" s="557"/>
      <c r="K282" s="557"/>
      <c r="L282" s="557"/>
      <c r="M282" s="557"/>
      <c r="N282" s="557"/>
      <c r="O282" s="568"/>
      <c r="P282" s="561" t="s">
        <v>76</v>
      </c>
      <c r="Q282" s="562"/>
      <c r="R282" s="562"/>
      <c r="S282" s="562"/>
      <c r="T282" s="562"/>
      <c r="U282" s="562"/>
      <c r="V282" s="563"/>
      <c r="W282" s="37" t="s">
        <v>70</v>
      </c>
      <c r="X282" s="545">
        <f>IFERROR(SUM(X279:X280),"0")</f>
        <v>0</v>
      </c>
      <c r="Y282" s="545">
        <f>IFERROR(SUM(Y279:Y280),"0")</f>
        <v>0</v>
      </c>
      <c r="Z282" s="37"/>
      <c r="AA282" s="546"/>
      <c r="AB282" s="546"/>
      <c r="AC282" s="546"/>
    </row>
    <row r="283" spans="1:68" ht="14.25" customHeight="1" x14ac:dyDescent="0.25">
      <c r="A283" s="556" t="s">
        <v>78</v>
      </c>
      <c r="B283" s="557"/>
      <c r="C283" s="557"/>
      <c r="D283" s="557"/>
      <c r="E283" s="557"/>
      <c r="F283" s="557"/>
      <c r="G283" s="557"/>
      <c r="H283" s="557"/>
      <c r="I283" s="557"/>
      <c r="J283" s="557"/>
      <c r="K283" s="557"/>
      <c r="L283" s="557"/>
      <c r="M283" s="557"/>
      <c r="N283" s="557"/>
      <c r="O283" s="557"/>
      <c r="P283" s="557"/>
      <c r="Q283" s="557"/>
      <c r="R283" s="557"/>
      <c r="S283" s="557"/>
      <c r="T283" s="557"/>
      <c r="U283" s="557"/>
      <c r="V283" s="557"/>
      <c r="W283" s="557"/>
      <c r="X283" s="557"/>
      <c r="Y283" s="557"/>
      <c r="Z283" s="557"/>
      <c r="AA283" s="539"/>
      <c r="AB283" s="539"/>
      <c r="AC283" s="539"/>
    </row>
    <row r="284" spans="1:68" ht="37.5" customHeight="1" x14ac:dyDescent="0.25">
      <c r="A284" s="54" t="s">
        <v>443</v>
      </c>
      <c r="B284" s="54" t="s">
        <v>444</v>
      </c>
      <c r="C284" s="31">
        <v>4301051782</v>
      </c>
      <c r="D284" s="547">
        <v>4680115884618</v>
      </c>
      <c r="E284" s="548"/>
      <c r="F284" s="542">
        <v>0.6</v>
      </c>
      <c r="G284" s="32">
        <v>6</v>
      </c>
      <c r="H284" s="542">
        <v>3.6</v>
      </c>
      <c r="I284" s="542">
        <v>3.79</v>
      </c>
      <c r="J284" s="32">
        <v>132</v>
      </c>
      <c r="K284" s="32" t="s">
        <v>113</v>
      </c>
      <c r="L284" s="32"/>
      <c r="M284" s="33" t="s">
        <v>81</v>
      </c>
      <c r="N284" s="33"/>
      <c r="O284" s="32">
        <v>45</v>
      </c>
      <c r="P284" s="65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550"/>
      <c r="R284" s="550"/>
      <c r="S284" s="550"/>
      <c r="T284" s="551"/>
      <c r="U284" s="34"/>
      <c r="V284" s="34"/>
      <c r="W284" s="35" t="s">
        <v>70</v>
      </c>
      <c r="X284" s="543">
        <v>0</v>
      </c>
      <c r="Y284" s="544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27" customHeight="1" x14ac:dyDescent="0.25">
      <c r="A285" s="54" t="s">
        <v>446</v>
      </c>
      <c r="B285" s="54" t="s">
        <v>447</v>
      </c>
      <c r="C285" s="31">
        <v>4301052057</v>
      </c>
      <c r="D285" s="547">
        <v>4680115887114</v>
      </c>
      <c r="E285" s="548"/>
      <c r="F285" s="542">
        <v>0.55000000000000004</v>
      </c>
      <c r="G285" s="32">
        <v>6</v>
      </c>
      <c r="H285" s="542">
        <v>3.3</v>
      </c>
      <c r="I285" s="542">
        <v>3.49</v>
      </c>
      <c r="J285" s="32">
        <v>132</v>
      </c>
      <c r="K285" s="32" t="s">
        <v>113</v>
      </c>
      <c r="L285" s="32"/>
      <c r="M285" s="33" t="s">
        <v>81</v>
      </c>
      <c r="N285" s="33"/>
      <c r="O285" s="32">
        <v>45</v>
      </c>
      <c r="P285" s="70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5" s="550"/>
      <c r="R285" s="550"/>
      <c r="S285" s="550"/>
      <c r="T285" s="551"/>
      <c r="U285" s="34"/>
      <c r="V285" s="34"/>
      <c r="W285" s="35" t="s">
        <v>70</v>
      </c>
      <c r="X285" s="543">
        <v>0</v>
      </c>
      <c r="Y285" s="544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448</v>
      </c>
      <c r="AG285" s="64"/>
      <c r="AJ285" s="68"/>
      <c r="AK285" s="68">
        <v>0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x14ac:dyDescent="0.2">
      <c r="A286" s="567"/>
      <c r="B286" s="557"/>
      <c r="C286" s="557"/>
      <c r="D286" s="557"/>
      <c r="E286" s="557"/>
      <c r="F286" s="557"/>
      <c r="G286" s="557"/>
      <c r="H286" s="557"/>
      <c r="I286" s="557"/>
      <c r="J286" s="557"/>
      <c r="K286" s="557"/>
      <c r="L286" s="557"/>
      <c r="M286" s="557"/>
      <c r="N286" s="557"/>
      <c r="O286" s="568"/>
      <c r="P286" s="561" t="s">
        <v>76</v>
      </c>
      <c r="Q286" s="562"/>
      <c r="R286" s="562"/>
      <c r="S286" s="562"/>
      <c r="T286" s="562"/>
      <c r="U286" s="562"/>
      <c r="V286" s="563"/>
      <c r="W286" s="37" t="s">
        <v>77</v>
      </c>
      <c r="X286" s="545">
        <f>IFERROR(X284/H284,"0")+IFERROR(X285/H285,"0")</f>
        <v>0</v>
      </c>
      <c r="Y286" s="545">
        <f>IFERROR(Y284/H284,"0")+IFERROR(Y285/H285,"0")</f>
        <v>0</v>
      </c>
      <c r="Z286" s="545">
        <f>IFERROR(IF(Z284="",0,Z284),"0")+IFERROR(IF(Z285="",0,Z285),"0")</f>
        <v>0</v>
      </c>
      <c r="AA286" s="546"/>
      <c r="AB286" s="546"/>
      <c r="AC286" s="546"/>
    </row>
    <row r="287" spans="1:68" x14ac:dyDescent="0.2">
      <c r="A287" s="557"/>
      <c r="B287" s="557"/>
      <c r="C287" s="557"/>
      <c r="D287" s="557"/>
      <c r="E287" s="557"/>
      <c r="F287" s="557"/>
      <c r="G287" s="557"/>
      <c r="H287" s="557"/>
      <c r="I287" s="557"/>
      <c r="J287" s="557"/>
      <c r="K287" s="557"/>
      <c r="L287" s="557"/>
      <c r="M287" s="557"/>
      <c r="N287" s="557"/>
      <c r="O287" s="568"/>
      <c r="P287" s="561" t="s">
        <v>76</v>
      </c>
      <c r="Q287" s="562"/>
      <c r="R287" s="562"/>
      <c r="S287" s="562"/>
      <c r="T287" s="562"/>
      <c r="U287" s="562"/>
      <c r="V287" s="563"/>
      <c r="W287" s="37" t="s">
        <v>70</v>
      </c>
      <c r="X287" s="545">
        <f>IFERROR(SUM(X284:X285),"0")</f>
        <v>0</v>
      </c>
      <c r="Y287" s="545">
        <f>IFERROR(SUM(Y284:Y285),"0")</f>
        <v>0</v>
      </c>
      <c r="Z287" s="37"/>
      <c r="AA287" s="546"/>
      <c r="AB287" s="546"/>
      <c r="AC287" s="546"/>
    </row>
    <row r="288" spans="1:68" ht="16.5" customHeight="1" x14ac:dyDescent="0.25">
      <c r="A288" s="558" t="s">
        <v>449</v>
      </c>
      <c r="B288" s="557"/>
      <c r="C288" s="557"/>
      <c r="D288" s="557"/>
      <c r="E288" s="557"/>
      <c r="F288" s="557"/>
      <c r="G288" s="557"/>
      <c r="H288" s="557"/>
      <c r="I288" s="557"/>
      <c r="J288" s="557"/>
      <c r="K288" s="557"/>
      <c r="L288" s="557"/>
      <c r="M288" s="557"/>
      <c r="N288" s="557"/>
      <c r="O288" s="557"/>
      <c r="P288" s="557"/>
      <c r="Q288" s="557"/>
      <c r="R288" s="557"/>
      <c r="S288" s="557"/>
      <c r="T288" s="557"/>
      <c r="U288" s="557"/>
      <c r="V288" s="557"/>
      <c r="W288" s="557"/>
      <c r="X288" s="557"/>
      <c r="Y288" s="557"/>
      <c r="Z288" s="557"/>
      <c r="AA288" s="538"/>
      <c r="AB288" s="538"/>
      <c r="AC288" s="538"/>
    </row>
    <row r="289" spans="1:68" ht="14.25" customHeight="1" x14ac:dyDescent="0.25">
      <c r="A289" s="556" t="s">
        <v>103</v>
      </c>
      <c r="B289" s="557"/>
      <c r="C289" s="557"/>
      <c r="D289" s="557"/>
      <c r="E289" s="557"/>
      <c r="F289" s="557"/>
      <c r="G289" s="557"/>
      <c r="H289" s="557"/>
      <c r="I289" s="557"/>
      <c r="J289" s="557"/>
      <c r="K289" s="557"/>
      <c r="L289" s="557"/>
      <c r="M289" s="557"/>
      <c r="N289" s="557"/>
      <c r="O289" s="557"/>
      <c r="P289" s="557"/>
      <c r="Q289" s="557"/>
      <c r="R289" s="557"/>
      <c r="S289" s="557"/>
      <c r="T289" s="557"/>
      <c r="U289" s="557"/>
      <c r="V289" s="557"/>
      <c r="W289" s="557"/>
      <c r="X289" s="557"/>
      <c r="Y289" s="557"/>
      <c r="Z289" s="557"/>
      <c r="AA289" s="539"/>
      <c r="AB289" s="539"/>
      <c r="AC289" s="539"/>
    </row>
    <row r="290" spans="1:68" ht="27" customHeight="1" x14ac:dyDescent="0.25">
      <c r="A290" s="54" t="s">
        <v>450</v>
      </c>
      <c r="B290" s="54" t="s">
        <v>451</v>
      </c>
      <c r="C290" s="31">
        <v>4301012024</v>
      </c>
      <c r="D290" s="547">
        <v>4680115885615</v>
      </c>
      <c r="E290" s="548"/>
      <c r="F290" s="542">
        <v>1.35</v>
      </c>
      <c r="G290" s="32">
        <v>8</v>
      </c>
      <c r="H290" s="542">
        <v>10.8</v>
      </c>
      <c r="I290" s="542">
        <v>11.21</v>
      </c>
      <c r="J290" s="32">
        <v>64</v>
      </c>
      <c r="K290" s="32" t="s">
        <v>106</v>
      </c>
      <c r="L290" s="32"/>
      <c r="M290" s="33" t="s">
        <v>81</v>
      </c>
      <c r="N290" s="33"/>
      <c r="O290" s="32">
        <v>55</v>
      </c>
      <c r="P290" s="58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50"/>
      <c r="R290" s="550"/>
      <c r="S290" s="550"/>
      <c r="T290" s="551"/>
      <c r="U290" s="34"/>
      <c r="V290" s="34"/>
      <c r="W290" s="35" t="s">
        <v>70</v>
      </c>
      <c r="X290" s="543">
        <v>0</v>
      </c>
      <c r="Y290" s="544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452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37.5" customHeight="1" x14ac:dyDescent="0.25">
      <c r="A291" s="54" t="s">
        <v>453</v>
      </c>
      <c r="B291" s="54" t="s">
        <v>454</v>
      </c>
      <c r="C291" s="31">
        <v>4301011858</v>
      </c>
      <c r="D291" s="547">
        <v>4680115885646</v>
      </c>
      <c r="E291" s="548"/>
      <c r="F291" s="542">
        <v>1.35</v>
      </c>
      <c r="G291" s="32">
        <v>8</v>
      </c>
      <c r="H291" s="542">
        <v>10.8</v>
      </c>
      <c r="I291" s="542">
        <v>11.21</v>
      </c>
      <c r="J291" s="32">
        <v>64</v>
      </c>
      <c r="K291" s="32" t="s">
        <v>106</v>
      </c>
      <c r="L291" s="32"/>
      <c r="M291" s="33" t="s">
        <v>108</v>
      </c>
      <c r="N291" s="33"/>
      <c r="O291" s="32">
        <v>55</v>
      </c>
      <c r="P291" s="85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50"/>
      <c r="R291" s="550"/>
      <c r="S291" s="550"/>
      <c r="T291" s="551"/>
      <c r="U291" s="34"/>
      <c r="V291" s="34"/>
      <c r="W291" s="35" t="s">
        <v>70</v>
      </c>
      <c r="X291" s="543">
        <v>0</v>
      </c>
      <c r="Y291" s="544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455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456</v>
      </c>
      <c r="B292" s="54" t="s">
        <v>457</v>
      </c>
      <c r="C292" s="31">
        <v>4301012016</v>
      </c>
      <c r="D292" s="547">
        <v>4680115885554</v>
      </c>
      <c r="E292" s="548"/>
      <c r="F292" s="542">
        <v>1.35</v>
      </c>
      <c r="G292" s="32">
        <v>8</v>
      </c>
      <c r="H292" s="542">
        <v>10.8</v>
      </c>
      <c r="I292" s="542">
        <v>11.21</v>
      </c>
      <c r="J292" s="32">
        <v>64</v>
      </c>
      <c r="K292" s="32" t="s">
        <v>106</v>
      </c>
      <c r="L292" s="32"/>
      <c r="M292" s="33" t="s">
        <v>81</v>
      </c>
      <c r="N292" s="33"/>
      <c r="O292" s="32">
        <v>55</v>
      </c>
      <c r="P292" s="85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50"/>
      <c r="R292" s="550"/>
      <c r="S292" s="550"/>
      <c r="T292" s="551"/>
      <c r="U292" s="34"/>
      <c r="V292" s="34"/>
      <c r="W292" s="35" t="s">
        <v>70</v>
      </c>
      <c r="X292" s="543">
        <v>0</v>
      </c>
      <c r="Y292" s="544">
        <f>IFERROR(IF(X292="",0,CEILING((X292/$H292),1)*$H292),"")</f>
        <v>0</v>
      </c>
      <c r="Z292" s="36" t="str">
        <f>IFERROR(IF(Y292=0,"",ROUNDUP(Y292/H292,0)*0.01898),"")</f>
        <v/>
      </c>
      <c r="AA292" s="56"/>
      <c r="AB292" s="57"/>
      <c r="AC292" s="337" t="s">
        <v>458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459</v>
      </c>
      <c r="B293" s="54" t="s">
        <v>460</v>
      </c>
      <c r="C293" s="31">
        <v>4301011857</v>
      </c>
      <c r="D293" s="547">
        <v>4680115885622</v>
      </c>
      <c r="E293" s="548"/>
      <c r="F293" s="542">
        <v>0.4</v>
      </c>
      <c r="G293" s="32">
        <v>10</v>
      </c>
      <c r="H293" s="542">
        <v>4</v>
      </c>
      <c r="I293" s="542">
        <v>4.1900000000000004</v>
      </c>
      <c r="J293" s="32">
        <v>132</v>
      </c>
      <c r="K293" s="32" t="s">
        <v>113</v>
      </c>
      <c r="L293" s="32"/>
      <c r="M293" s="33" t="s">
        <v>108</v>
      </c>
      <c r="N293" s="33"/>
      <c r="O293" s="32">
        <v>55</v>
      </c>
      <c r="P293" s="85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50"/>
      <c r="R293" s="550"/>
      <c r="S293" s="550"/>
      <c r="T293" s="551"/>
      <c r="U293" s="34"/>
      <c r="V293" s="34"/>
      <c r="W293" s="35" t="s">
        <v>70</v>
      </c>
      <c r="X293" s="543">
        <v>0</v>
      </c>
      <c r="Y293" s="54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452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t="27" customHeight="1" x14ac:dyDescent="0.25">
      <c r="A294" s="54" t="s">
        <v>461</v>
      </c>
      <c r="B294" s="54" t="s">
        <v>462</v>
      </c>
      <c r="C294" s="31">
        <v>4301011859</v>
      </c>
      <c r="D294" s="547">
        <v>4680115885608</v>
      </c>
      <c r="E294" s="548"/>
      <c r="F294" s="542">
        <v>0.4</v>
      </c>
      <c r="G294" s="32">
        <v>10</v>
      </c>
      <c r="H294" s="542">
        <v>4</v>
      </c>
      <c r="I294" s="542">
        <v>4.1900000000000004</v>
      </c>
      <c r="J294" s="32">
        <v>132</v>
      </c>
      <c r="K294" s="32" t="s">
        <v>113</v>
      </c>
      <c r="L294" s="32"/>
      <c r="M294" s="33" t="s">
        <v>108</v>
      </c>
      <c r="N294" s="33"/>
      <c r="O294" s="32">
        <v>55</v>
      </c>
      <c r="P294" s="85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50"/>
      <c r="R294" s="550"/>
      <c r="S294" s="550"/>
      <c r="T294" s="551"/>
      <c r="U294" s="34"/>
      <c r="V294" s="34"/>
      <c r="W294" s="35" t="s">
        <v>70</v>
      </c>
      <c r="X294" s="543">
        <v>0</v>
      </c>
      <c r="Y294" s="54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1" t="s">
        <v>463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567"/>
      <c r="B295" s="557"/>
      <c r="C295" s="557"/>
      <c r="D295" s="557"/>
      <c r="E295" s="557"/>
      <c r="F295" s="557"/>
      <c r="G295" s="557"/>
      <c r="H295" s="557"/>
      <c r="I295" s="557"/>
      <c r="J295" s="557"/>
      <c r="K295" s="557"/>
      <c r="L295" s="557"/>
      <c r="M295" s="557"/>
      <c r="N295" s="557"/>
      <c r="O295" s="568"/>
      <c r="P295" s="561" t="s">
        <v>76</v>
      </c>
      <c r="Q295" s="562"/>
      <c r="R295" s="562"/>
      <c r="S295" s="562"/>
      <c r="T295" s="562"/>
      <c r="U295" s="562"/>
      <c r="V295" s="563"/>
      <c r="W295" s="37" t="s">
        <v>77</v>
      </c>
      <c r="X295" s="545">
        <f>IFERROR(X290/H290,"0")+IFERROR(X291/H291,"0")+IFERROR(X292/H292,"0")+IFERROR(X293/H293,"0")+IFERROR(X294/H294,"0")</f>
        <v>0</v>
      </c>
      <c r="Y295" s="545">
        <f>IFERROR(Y290/H290,"0")+IFERROR(Y291/H291,"0")+IFERROR(Y292/H292,"0")+IFERROR(Y293/H293,"0")+IFERROR(Y294/H294,"0")</f>
        <v>0</v>
      </c>
      <c r="Z295" s="545">
        <f>IFERROR(IF(Z290="",0,Z290),"0")+IFERROR(IF(Z291="",0,Z291),"0")+IFERROR(IF(Z292="",0,Z292),"0")+IFERROR(IF(Z293="",0,Z293),"0")+IFERROR(IF(Z294="",0,Z294),"0")</f>
        <v>0</v>
      </c>
      <c r="AA295" s="546"/>
      <c r="AB295" s="546"/>
      <c r="AC295" s="546"/>
    </row>
    <row r="296" spans="1:68" x14ac:dyDescent="0.2">
      <c r="A296" s="557"/>
      <c r="B296" s="557"/>
      <c r="C296" s="557"/>
      <c r="D296" s="557"/>
      <c r="E296" s="557"/>
      <c r="F296" s="557"/>
      <c r="G296" s="557"/>
      <c r="H296" s="557"/>
      <c r="I296" s="557"/>
      <c r="J296" s="557"/>
      <c r="K296" s="557"/>
      <c r="L296" s="557"/>
      <c r="M296" s="557"/>
      <c r="N296" s="557"/>
      <c r="O296" s="568"/>
      <c r="P296" s="561" t="s">
        <v>76</v>
      </c>
      <c r="Q296" s="562"/>
      <c r="R296" s="562"/>
      <c r="S296" s="562"/>
      <c r="T296" s="562"/>
      <c r="U296" s="562"/>
      <c r="V296" s="563"/>
      <c r="W296" s="37" t="s">
        <v>70</v>
      </c>
      <c r="X296" s="545">
        <f>IFERROR(SUM(X290:X294),"0")</f>
        <v>0</v>
      </c>
      <c r="Y296" s="545">
        <f>IFERROR(SUM(Y290:Y294),"0")</f>
        <v>0</v>
      </c>
      <c r="Z296" s="37"/>
      <c r="AA296" s="546"/>
      <c r="AB296" s="546"/>
      <c r="AC296" s="546"/>
    </row>
    <row r="297" spans="1:68" ht="14.25" customHeight="1" x14ac:dyDescent="0.25">
      <c r="A297" s="556" t="s">
        <v>64</v>
      </c>
      <c r="B297" s="557"/>
      <c r="C297" s="557"/>
      <c r="D297" s="557"/>
      <c r="E297" s="557"/>
      <c r="F297" s="557"/>
      <c r="G297" s="557"/>
      <c r="H297" s="557"/>
      <c r="I297" s="557"/>
      <c r="J297" s="557"/>
      <c r="K297" s="557"/>
      <c r="L297" s="557"/>
      <c r="M297" s="557"/>
      <c r="N297" s="557"/>
      <c r="O297" s="557"/>
      <c r="P297" s="557"/>
      <c r="Q297" s="557"/>
      <c r="R297" s="557"/>
      <c r="S297" s="557"/>
      <c r="T297" s="557"/>
      <c r="U297" s="557"/>
      <c r="V297" s="557"/>
      <c r="W297" s="557"/>
      <c r="X297" s="557"/>
      <c r="Y297" s="557"/>
      <c r="Z297" s="557"/>
      <c r="AA297" s="539"/>
      <c r="AB297" s="539"/>
      <c r="AC297" s="539"/>
    </row>
    <row r="298" spans="1:68" ht="27" customHeight="1" x14ac:dyDescent="0.25">
      <c r="A298" s="54" t="s">
        <v>464</v>
      </c>
      <c r="B298" s="54" t="s">
        <v>465</v>
      </c>
      <c r="C298" s="31">
        <v>4301030878</v>
      </c>
      <c r="D298" s="547">
        <v>4607091387193</v>
      </c>
      <c r="E298" s="548"/>
      <c r="F298" s="542">
        <v>0.7</v>
      </c>
      <c r="G298" s="32">
        <v>6</v>
      </c>
      <c r="H298" s="542">
        <v>4.2</v>
      </c>
      <c r="I298" s="542">
        <v>4.45</v>
      </c>
      <c r="J298" s="32">
        <v>132</v>
      </c>
      <c r="K298" s="32" t="s">
        <v>113</v>
      </c>
      <c r="L298" s="32"/>
      <c r="M298" s="33" t="s">
        <v>68</v>
      </c>
      <c r="N298" s="33"/>
      <c r="O298" s="32">
        <v>35</v>
      </c>
      <c r="P298" s="82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50"/>
      <c r="R298" s="550"/>
      <c r="S298" s="550"/>
      <c r="T298" s="551"/>
      <c r="U298" s="34"/>
      <c r="V298" s="34"/>
      <c r="W298" s="35" t="s">
        <v>70</v>
      </c>
      <c r="X298" s="543">
        <v>0</v>
      </c>
      <c r="Y298" s="544">
        <f t="shared" ref="Y298:Y303" si="26"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3" t="s">
        <v>466</v>
      </c>
      <c r="AG298" s="64"/>
      <c r="AJ298" s="68"/>
      <c r="AK298" s="68">
        <v>0</v>
      </c>
      <c r="BB298" s="344" t="s">
        <v>1</v>
      </c>
      <c r="BM298" s="64">
        <f t="shared" ref="BM298:BM303" si="27">IFERROR(X298*I298/H298,"0")</f>
        <v>0</v>
      </c>
      <c r="BN298" s="64">
        <f t="shared" ref="BN298:BN303" si="28">IFERROR(Y298*I298/H298,"0")</f>
        <v>0</v>
      </c>
      <c r="BO298" s="64">
        <f t="shared" ref="BO298:BO303" si="29">IFERROR(1/J298*(X298/H298),"0")</f>
        <v>0</v>
      </c>
      <c r="BP298" s="64">
        <f t="shared" ref="BP298:BP303" si="30">IFERROR(1/J298*(Y298/H298),"0")</f>
        <v>0</v>
      </c>
    </row>
    <row r="299" spans="1:68" ht="27" customHeight="1" x14ac:dyDescent="0.25">
      <c r="A299" s="54" t="s">
        <v>467</v>
      </c>
      <c r="B299" s="54" t="s">
        <v>468</v>
      </c>
      <c r="C299" s="31">
        <v>4301031153</v>
      </c>
      <c r="D299" s="547">
        <v>4607091387230</v>
      </c>
      <c r="E299" s="548"/>
      <c r="F299" s="542">
        <v>0.7</v>
      </c>
      <c r="G299" s="32">
        <v>6</v>
      </c>
      <c r="H299" s="542">
        <v>4.2</v>
      </c>
      <c r="I299" s="542">
        <v>4.45</v>
      </c>
      <c r="J299" s="32">
        <v>132</v>
      </c>
      <c r="K299" s="32" t="s">
        <v>113</v>
      </c>
      <c r="L299" s="32"/>
      <c r="M299" s="33" t="s">
        <v>68</v>
      </c>
      <c r="N299" s="33"/>
      <c r="O299" s="32">
        <v>40</v>
      </c>
      <c r="P299" s="74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50"/>
      <c r="R299" s="550"/>
      <c r="S299" s="550"/>
      <c r="T299" s="551"/>
      <c r="U299" s="34"/>
      <c r="V299" s="34"/>
      <c r="W299" s="35" t="s">
        <v>70</v>
      </c>
      <c r="X299" s="543">
        <v>0</v>
      </c>
      <c r="Y299" s="544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469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470</v>
      </c>
      <c r="B300" s="54" t="s">
        <v>471</v>
      </c>
      <c r="C300" s="31">
        <v>4301031154</v>
      </c>
      <c r="D300" s="547">
        <v>4607091387292</v>
      </c>
      <c r="E300" s="548"/>
      <c r="F300" s="542">
        <v>0.73</v>
      </c>
      <c r="G300" s="32">
        <v>6</v>
      </c>
      <c r="H300" s="542">
        <v>4.38</v>
      </c>
      <c r="I300" s="542">
        <v>4.63</v>
      </c>
      <c r="J300" s="32">
        <v>132</v>
      </c>
      <c r="K300" s="32" t="s">
        <v>113</v>
      </c>
      <c r="L300" s="32"/>
      <c r="M300" s="33" t="s">
        <v>68</v>
      </c>
      <c r="N300" s="33"/>
      <c r="O300" s="32">
        <v>45</v>
      </c>
      <c r="P300" s="68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50"/>
      <c r="R300" s="550"/>
      <c r="S300" s="550"/>
      <c r="T300" s="551"/>
      <c r="U300" s="34"/>
      <c r="V300" s="34"/>
      <c r="W300" s="35" t="s">
        <v>70</v>
      </c>
      <c r="X300" s="543">
        <v>0</v>
      </c>
      <c r="Y300" s="544">
        <f t="shared" si="26"/>
        <v>0</v>
      </c>
      <c r="Z300" s="36" t="str">
        <f>IFERROR(IF(Y300=0,"",ROUNDUP(Y300/H300,0)*0.00902),"")</f>
        <v/>
      </c>
      <c r="AA300" s="56"/>
      <c r="AB300" s="57"/>
      <c r="AC300" s="347" t="s">
        <v>472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473</v>
      </c>
      <c r="B301" s="54" t="s">
        <v>474</v>
      </c>
      <c r="C301" s="31">
        <v>4301031152</v>
      </c>
      <c r="D301" s="547">
        <v>4607091387285</v>
      </c>
      <c r="E301" s="548"/>
      <c r="F301" s="542">
        <v>0.35</v>
      </c>
      <c r="G301" s="32">
        <v>6</v>
      </c>
      <c r="H301" s="542">
        <v>2.1</v>
      </c>
      <c r="I301" s="542">
        <v>2.23</v>
      </c>
      <c r="J301" s="32">
        <v>234</v>
      </c>
      <c r="K301" s="32" t="s">
        <v>74</v>
      </c>
      <c r="L301" s="32" t="s">
        <v>270</v>
      </c>
      <c r="M301" s="33" t="s">
        <v>68</v>
      </c>
      <c r="N301" s="33"/>
      <c r="O301" s="32">
        <v>40</v>
      </c>
      <c r="P301" s="81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50"/>
      <c r="R301" s="550"/>
      <c r="S301" s="550"/>
      <c r="T301" s="551"/>
      <c r="U301" s="34"/>
      <c r="V301" s="34"/>
      <c r="W301" s="35" t="s">
        <v>70</v>
      </c>
      <c r="X301" s="543">
        <v>0</v>
      </c>
      <c r="Y301" s="544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469</v>
      </c>
      <c r="AG301" s="64"/>
      <c r="AJ301" s="68" t="s">
        <v>110</v>
      </c>
      <c r="AK301" s="68">
        <v>37.799999999999997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475</v>
      </c>
      <c r="B302" s="54" t="s">
        <v>476</v>
      </c>
      <c r="C302" s="31">
        <v>4301031305</v>
      </c>
      <c r="D302" s="547">
        <v>4607091389845</v>
      </c>
      <c r="E302" s="548"/>
      <c r="F302" s="542">
        <v>0.35</v>
      </c>
      <c r="G302" s="32">
        <v>6</v>
      </c>
      <c r="H302" s="542">
        <v>2.1</v>
      </c>
      <c r="I302" s="542">
        <v>2.2000000000000002</v>
      </c>
      <c r="J302" s="32">
        <v>234</v>
      </c>
      <c r="K302" s="32" t="s">
        <v>74</v>
      </c>
      <c r="L302" s="32" t="s">
        <v>270</v>
      </c>
      <c r="M302" s="33" t="s">
        <v>68</v>
      </c>
      <c r="N302" s="33"/>
      <c r="O302" s="32">
        <v>40</v>
      </c>
      <c r="P302" s="55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50"/>
      <c r="R302" s="550"/>
      <c r="S302" s="550"/>
      <c r="T302" s="551"/>
      <c r="U302" s="34"/>
      <c r="V302" s="34"/>
      <c r="W302" s="35" t="s">
        <v>70</v>
      </c>
      <c r="X302" s="543">
        <v>175</v>
      </c>
      <c r="Y302" s="544">
        <f t="shared" si="26"/>
        <v>176.4</v>
      </c>
      <c r="Z302" s="36">
        <f>IFERROR(IF(Y302=0,"",ROUNDUP(Y302/H302,0)*0.00502),"")</f>
        <v>0.42168</v>
      </c>
      <c r="AA302" s="56"/>
      <c r="AB302" s="57"/>
      <c r="AC302" s="351" t="s">
        <v>477</v>
      </c>
      <c r="AG302" s="64"/>
      <c r="AJ302" s="68" t="s">
        <v>110</v>
      </c>
      <c r="AK302" s="68">
        <v>37.799999999999997</v>
      </c>
      <c r="BB302" s="352" t="s">
        <v>1</v>
      </c>
      <c r="BM302" s="64">
        <f t="shared" si="27"/>
        <v>183.33333333333334</v>
      </c>
      <c r="BN302" s="64">
        <f t="shared" si="28"/>
        <v>184.8</v>
      </c>
      <c r="BO302" s="64">
        <f t="shared" si="29"/>
        <v>0.35612535612535612</v>
      </c>
      <c r="BP302" s="64">
        <f t="shared" si="30"/>
        <v>0.35897435897435903</v>
      </c>
    </row>
    <row r="303" spans="1:68" ht="27" customHeight="1" x14ac:dyDescent="0.25">
      <c r="A303" s="54" t="s">
        <v>478</v>
      </c>
      <c r="B303" s="54" t="s">
        <v>479</v>
      </c>
      <c r="C303" s="31">
        <v>4301031066</v>
      </c>
      <c r="D303" s="547">
        <v>4607091383836</v>
      </c>
      <c r="E303" s="548"/>
      <c r="F303" s="542">
        <v>0.3</v>
      </c>
      <c r="G303" s="32">
        <v>6</v>
      </c>
      <c r="H303" s="542">
        <v>1.8</v>
      </c>
      <c r="I303" s="542">
        <v>2.028</v>
      </c>
      <c r="J303" s="32">
        <v>182</v>
      </c>
      <c r="K303" s="32" t="s">
        <v>67</v>
      </c>
      <c r="L303" s="32" t="s">
        <v>217</v>
      </c>
      <c r="M303" s="33" t="s">
        <v>68</v>
      </c>
      <c r="N303" s="33"/>
      <c r="O303" s="32">
        <v>40</v>
      </c>
      <c r="P303" s="69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50"/>
      <c r="R303" s="550"/>
      <c r="S303" s="550"/>
      <c r="T303" s="551"/>
      <c r="U303" s="34"/>
      <c r="V303" s="34"/>
      <c r="W303" s="35" t="s">
        <v>70</v>
      </c>
      <c r="X303" s="543">
        <v>39</v>
      </c>
      <c r="Y303" s="544">
        <f t="shared" si="26"/>
        <v>39.6</v>
      </c>
      <c r="Z303" s="36">
        <f>IFERROR(IF(Y303=0,"",ROUNDUP(Y303/H303,0)*0.00651),"")</f>
        <v>0.14322000000000001</v>
      </c>
      <c r="AA303" s="56"/>
      <c r="AB303" s="57"/>
      <c r="AC303" s="353" t="s">
        <v>480</v>
      </c>
      <c r="AG303" s="64"/>
      <c r="AJ303" s="68" t="s">
        <v>110</v>
      </c>
      <c r="AK303" s="68">
        <v>25.2</v>
      </c>
      <c r="BB303" s="354" t="s">
        <v>1</v>
      </c>
      <c r="BM303" s="64">
        <f t="shared" si="27"/>
        <v>43.94</v>
      </c>
      <c r="BN303" s="64">
        <f t="shared" si="28"/>
        <v>44.616</v>
      </c>
      <c r="BO303" s="64">
        <f t="shared" si="29"/>
        <v>0.11904761904761907</v>
      </c>
      <c r="BP303" s="64">
        <f t="shared" si="30"/>
        <v>0.12087912087912089</v>
      </c>
    </row>
    <row r="304" spans="1:68" x14ac:dyDescent="0.2">
      <c r="A304" s="567"/>
      <c r="B304" s="557"/>
      <c r="C304" s="557"/>
      <c r="D304" s="557"/>
      <c r="E304" s="557"/>
      <c r="F304" s="557"/>
      <c r="G304" s="557"/>
      <c r="H304" s="557"/>
      <c r="I304" s="557"/>
      <c r="J304" s="557"/>
      <c r="K304" s="557"/>
      <c r="L304" s="557"/>
      <c r="M304" s="557"/>
      <c r="N304" s="557"/>
      <c r="O304" s="568"/>
      <c r="P304" s="561" t="s">
        <v>76</v>
      </c>
      <c r="Q304" s="562"/>
      <c r="R304" s="562"/>
      <c r="S304" s="562"/>
      <c r="T304" s="562"/>
      <c r="U304" s="562"/>
      <c r="V304" s="563"/>
      <c r="W304" s="37" t="s">
        <v>77</v>
      </c>
      <c r="X304" s="545">
        <f>IFERROR(X298/H298,"0")+IFERROR(X299/H299,"0")+IFERROR(X300/H300,"0")+IFERROR(X301/H301,"0")+IFERROR(X302/H302,"0")+IFERROR(X303/H303,"0")</f>
        <v>105</v>
      </c>
      <c r="Y304" s="545">
        <f>IFERROR(Y298/H298,"0")+IFERROR(Y299/H299,"0")+IFERROR(Y300/H300,"0")+IFERROR(Y301/H301,"0")+IFERROR(Y302/H302,"0")+IFERROR(Y303/H303,"0")</f>
        <v>106</v>
      </c>
      <c r="Z304" s="545">
        <f>IFERROR(IF(Z298="",0,Z298),"0")+IFERROR(IF(Z299="",0,Z299),"0")+IFERROR(IF(Z300="",0,Z300),"0")+IFERROR(IF(Z301="",0,Z301),"0")+IFERROR(IF(Z302="",0,Z302),"0")+IFERROR(IF(Z303="",0,Z303),"0")</f>
        <v>0.56489999999999996</v>
      </c>
      <c r="AA304" s="546"/>
      <c r="AB304" s="546"/>
      <c r="AC304" s="546"/>
    </row>
    <row r="305" spans="1:68" x14ac:dyDescent="0.2">
      <c r="A305" s="557"/>
      <c r="B305" s="557"/>
      <c r="C305" s="557"/>
      <c r="D305" s="557"/>
      <c r="E305" s="557"/>
      <c r="F305" s="557"/>
      <c r="G305" s="557"/>
      <c r="H305" s="557"/>
      <c r="I305" s="557"/>
      <c r="J305" s="557"/>
      <c r="K305" s="557"/>
      <c r="L305" s="557"/>
      <c r="M305" s="557"/>
      <c r="N305" s="557"/>
      <c r="O305" s="568"/>
      <c r="P305" s="561" t="s">
        <v>76</v>
      </c>
      <c r="Q305" s="562"/>
      <c r="R305" s="562"/>
      <c r="S305" s="562"/>
      <c r="T305" s="562"/>
      <c r="U305" s="562"/>
      <c r="V305" s="563"/>
      <c r="W305" s="37" t="s">
        <v>70</v>
      </c>
      <c r="X305" s="545">
        <f>IFERROR(SUM(X298:X303),"0")</f>
        <v>214</v>
      </c>
      <c r="Y305" s="545">
        <f>IFERROR(SUM(Y298:Y303),"0")</f>
        <v>216</v>
      </c>
      <c r="Z305" s="37"/>
      <c r="AA305" s="546"/>
      <c r="AB305" s="546"/>
      <c r="AC305" s="546"/>
    </row>
    <row r="306" spans="1:68" ht="14.25" customHeight="1" x14ac:dyDescent="0.25">
      <c r="A306" s="556" t="s">
        <v>78</v>
      </c>
      <c r="B306" s="557"/>
      <c r="C306" s="557"/>
      <c r="D306" s="557"/>
      <c r="E306" s="557"/>
      <c r="F306" s="557"/>
      <c r="G306" s="557"/>
      <c r="H306" s="557"/>
      <c r="I306" s="557"/>
      <c r="J306" s="557"/>
      <c r="K306" s="557"/>
      <c r="L306" s="557"/>
      <c r="M306" s="557"/>
      <c r="N306" s="557"/>
      <c r="O306" s="557"/>
      <c r="P306" s="557"/>
      <c r="Q306" s="557"/>
      <c r="R306" s="557"/>
      <c r="S306" s="557"/>
      <c r="T306" s="557"/>
      <c r="U306" s="557"/>
      <c r="V306" s="557"/>
      <c r="W306" s="557"/>
      <c r="X306" s="557"/>
      <c r="Y306" s="557"/>
      <c r="Z306" s="557"/>
      <c r="AA306" s="539"/>
      <c r="AB306" s="539"/>
      <c r="AC306" s="539"/>
    </row>
    <row r="307" spans="1:68" ht="27" customHeight="1" x14ac:dyDescent="0.25">
      <c r="A307" s="54" t="s">
        <v>481</v>
      </c>
      <c r="B307" s="54" t="s">
        <v>482</v>
      </c>
      <c r="C307" s="31">
        <v>4301051100</v>
      </c>
      <c r="D307" s="547">
        <v>4607091387766</v>
      </c>
      <c r="E307" s="548"/>
      <c r="F307" s="542">
        <v>1.3</v>
      </c>
      <c r="G307" s="32">
        <v>6</v>
      </c>
      <c r="H307" s="542">
        <v>7.8</v>
      </c>
      <c r="I307" s="542">
        <v>8.2880000000000003</v>
      </c>
      <c r="J307" s="32">
        <v>64</v>
      </c>
      <c r="K307" s="32" t="s">
        <v>106</v>
      </c>
      <c r="L307" s="32"/>
      <c r="M307" s="33" t="s">
        <v>81</v>
      </c>
      <c r="N307" s="33"/>
      <c r="O307" s="32">
        <v>40</v>
      </c>
      <c r="P307" s="87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50"/>
      <c r="R307" s="550"/>
      <c r="S307" s="550"/>
      <c r="T307" s="551"/>
      <c r="U307" s="34"/>
      <c r="V307" s="34"/>
      <c r="W307" s="35" t="s">
        <v>70</v>
      </c>
      <c r="X307" s="543">
        <v>0</v>
      </c>
      <c r="Y307" s="544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483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customHeight="1" x14ac:dyDescent="0.25">
      <c r="A308" s="54" t="s">
        <v>484</v>
      </c>
      <c r="B308" s="54" t="s">
        <v>485</v>
      </c>
      <c r="C308" s="31">
        <v>4301051818</v>
      </c>
      <c r="D308" s="547">
        <v>4607091387957</v>
      </c>
      <c r="E308" s="548"/>
      <c r="F308" s="542">
        <v>1.3</v>
      </c>
      <c r="G308" s="32">
        <v>6</v>
      </c>
      <c r="H308" s="542">
        <v>7.8</v>
      </c>
      <c r="I308" s="542">
        <v>8.2940000000000005</v>
      </c>
      <c r="J308" s="32">
        <v>64</v>
      </c>
      <c r="K308" s="32" t="s">
        <v>106</v>
      </c>
      <c r="L308" s="32"/>
      <c r="M308" s="33" t="s">
        <v>81</v>
      </c>
      <c r="N308" s="33"/>
      <c r="O308" s="32">
        <v>40</v>
      </c>
      <c r="P308" s="70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50"/>
      <c r="R308" s="550"/>
      <c r="S308" s="550"/>
      <c r="T308" s="551"/>
      <c r="U308" s="34"/>
      <c r="V308" s="34"/>
      <c r="W308" s="35" t="s">
        <v>70</v>
      </c>
      <c r="X308" s="543">
        <v>0</v>
      </c>
      <c r="Y308" s="544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486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487</v>
      </c>
      <c r="B309" s="54" t="s">
        <v>488</v>
      </c>
      <c r="C309" s="31">
        <v>4301051819</v>
      </c>
      <c r="D309" s="547">
        <v>4607091387964</v>
      </c>
      <c r="E309" s="548"/>
      <c r="F309" s="542">
        <v>1.35</v>
      </c>
      <c r="G309" s="32">
        <v>6</v>
      </c>
      <c r="H309" s="542">
        <v>8.1</v>
      </c>
      <c r="I309" s="542">
        <v>8.5760000000000005</v>
      </c>
      <c r="J309" s="32">
        <v>64</v>
      </c>
      <c r="K309" s="32" t="s">
        <v>106</v>
      </c>
      <c r="L309" s="32"/>
      <c r="M309" s="33" t="s">
        <v>81</v>
      </c>
      <c r="N309" s="33"/>
      <c r="O309" s="32">
        <v>40</v>
      </c>
      <c r="P309" s="73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50"/>
      <c r="R309" s="550"/>
      <c r="S309" s="550"/>
      <c r="T309" s="551"/>
      <c r="U309" s="34"/>
      <c r="V309" s="34"/>
      <c r="W309" s="35" t="s">
        <v>70</v>
      </c>
      <c r="X309" s="543">
        <v>0</v>
      </c>
      <c r="Y309" s="544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490</v>
      </c>
      <c r="B310" s="54" t="s">
        <v>491</v>
      </c>
      <c r="C310" s="31">
        <v>4301051734</v>
      </c>
      <c r="D310" s="547">
        <v>4680115884588</v>
      </c>
      <c r="E310" s="548"/>
      <c r="F310" s="542">
        <v>0.5</v>
      </c>
      <c r="G310" s="32">
        <v>6</v>
      </c>
      <c r="H310" s="542">
        <v>3</v>
      </c>
      <c r="I310" s="542">
        <v>3.246</v>
      </c>
      <c r="J310" s="32">
        <v>182</v>
      </c>
      <c r="K310" s="32" t="s">
        <v>67</v>
      </c>
      <c r="L310" s="32"/>
      <c r="M310" s="33" t="s">
        <v>81</v>
      </c>
      <c r="N310" s="33"/>
      <c r="O310" s="32">
        <v>40</v>
      </c>
      <c r="P310" s="71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50"/>
      <c r="R310" s="550"/>
      <c r="S310" s="550"/>
      <c r="T310" s="551"/>
      <c r="U310" s="34"/>
      <c r="V310" s="34"/>
      <c r="W310" s="35" t="s">
        <v>70</v>
      </c>
      <c r="X310" s="543">
        <v>0</v>
      </c>
      <c r="Y310" s="544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x14ac:dyDescent="0.2">
      <c r="A311" s="567"/>
      <c r="B311" s="557"/>
      <c r="C311" s="557"/>
      <c r="D311" s="557"/>
      <c r="E311" s="557"/>
      <c r="F311" s="557"/>
      <c r="G311" s="557"/>
      <c r="H311" s="557"/>
      <c r="I311" s="557"/>
      <c r="J311" s="557"/>
      <c r="K311" s="557"/>
      <c r="L311" s="557"/>
      <c r="M311" s="557"/>
      <c r="N311" s="557"/>
      <c r="O311" s="568"/>
      <c r="P311" s="561" t="s">
        <v>76</v>
      </c>
      <c r="Q311" s="562"/>
      <c r="R311" s="562"/>
      <c r="S311" s="562"/>
      <c r="T311" s="562"/>
      <c r="U311" s="562"/>
      <c r="V311" s="563"/>
      <c r="W311" s="37" t="s">
        <v>77</v>
      </c>
      <c r="X311" s="545">
        <f>IFERROR(X307/H307,"0")+IFERROR(X308/H308,"0")+IFERROR(X309/H309,"0")+IFERROR(X310/H310,"0")</f>
        <v>0</v>
      </c>
      <c r="Y311" s="545">
        <f>IFERROR(Y307/H307,"0")+IFERROR(Y308/H308,"0")+IFERROR(Y309/H309,"0")+IFERROR(Y310/H310,"0")</f>
        <v>0</v>
      </c>
      <c r="Z311" s="545">
        <f>IFERROR(IF(Z307="",0,Z307),"0")+IFERROR(IF(Z308="",0,Z308),"0")+IFERROR(IF(Z309="",0,Z309),"0")+IFERROR(IF(Z310="",0,Z310),"0")</f>
        <v>0</v>
      </c>
      <c r="AA311" s="546"/>
      <c r="AB311" s="546"/>
      <c r="AC311" s="546"/>
    </row>
    <row r="312" spans="1:68" x14ac:dyDescent="0.2">
      <c r="A312" s="557"/>
      <c r="B312" s="557"/>
      <c r="C312" s="557"/>
      <c r="D312" s="557"/>
      <c r="E312" s="557"/>
      <c r="F312" s="557"/>
      <c r="G312" s="557"/>
      <c r="H312" s="557"/>
      <c r="I312" s="557"/>
      <c r="J312" s="557"/>
      <c r="K312" s="557"/>
      <c r="L312" s="557"/>
      <c r="M312" s="557"/>
      <c r="N312" s="557"/>
      <c r="O312" s="568"/>
      <c r="P312" s="561" t="s">
        <v>76</v>
      </c>
      <c r="Q312" s="562"/>
      <c r="R312" s="562"/>
      <c r="S312" s="562"/>
      <c r="T312" s="562"/>
      <c r="U312" s="562"/>
      <c r="V312" s="563"/>
      <c r="W312" s="37" t="s">
        <v>70</v>
      </c>
      <c r="X312" s="545">
        <f>IFERROR(SUM(X307:X310),"0")</f>
        <v>0</v>
      </c>
      <c r="Y312" s="545">
        <f>IFERROR(SUM(Y307:Y310),"0")</f>
        <v>0</v>
      </c>
      <c r="Z312" s="37"/>
      <c r="AA312" s="546"/>
      <c r="AB312" s="546"/>
      <c r="AC312" s="546"/>
    </row>
    <row r="313" spans="1:68" ht="14.25" customHeight="1" x14ac:dyDescent="0.25">
      <c r="A313" s="556" t="s">
        <v>167</v>
      </c>
      <c r="B313" s="557"/>
      <c r="C313" s="557"/>
      <c r="D313" s="557"/>
      <c r="E313" s="557"/>
      <c r="F313" s="557"/>
      <c r="G313" s="557"/>
      <c r="H313" s="557"/>
      <c r="I313" s="557"/>
      <c r="J313" s="557"/>
      <c r="K313" s="557"/>
      <c r="L313" s="557"/>
      <c r="M313" s="557"/>
      <c r="N313" s="557"/>
      <c r="O313" s="557"/>
      <c r="P313" s="557"/>
      <c r="Q313" s="557"/>
      <c r="R313" s="557"/>
      <c r="S313" s="557"/>
      <c r="T313" s="557"/>
      <c r="U313" s="557"/>
      <c r="V313" s="557"/>
      <c r="W313" s="557"/>
      <c r="X313" s="557"/>
      <c r="Y313" s="557"/>
      <c r="Z313" s="557"/>
      <c r="AA313" s="539"/>
      <c r="AB313" s="539"/>
      <c r="AC313" s="539"/>
    </row>
    <row r="314" spans="1:68" ht="27" customHeight="1" x14ac:dyDescent="0.25">
      <c r="A314" s="54" t="s">
        <v>493</v>
      </c>
      <c r="B314" s="54" t="s">
        <v>494</v>
      </c>
      <c r="C314" s="31">
        <v>4301060387</v>
      </c>
      <c r="D314" s="547">
        <v>4607091380880</v>
      </c>
      <c r="E314" s="548"/>
      <c r="F314" s="542">
        <v>1.4</v>
      </c>
      <c r="G314" s="32">
        <v>6</v>
      </c>
      <c r="H314" s="542">
        <v>8.4</v>
      </c>
      <c r="I314" s="542">
        <v>8.8940000000000001</v>
      </c>
      <c r="J314" s="32">
        <v>64</v>
      </c>
      <c r="K314" s="32" t="s">
        <v>106</v>
      </c>
      <c r="L314" s="32" t="s">
        <v>107</v>
      </c>
      <c r="M314" s="33" t="s">
        <v>81</v>
      </c>
      <c r="N314" s="33"/>
      <c r="O314" s="32">
        <v>30</v>
      </c>
      <c r="P314" s="77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50"/>
      <c r="R314" s="550"/>
      <c r="S314" s="550"/>
      <c r="T314" s="551"/>
      <c r="U314" s="34"/>
      <c r="V314" s="34"/>
      <c r="W314" s="35" t="s">
        <v>70</v>
      </c>
      <c r="X314" s="543">
        <v>0</v>
      </c>
      <c r="Y314" s="544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3" t="s">
        <v>495</v>
      </c>
      <c r="AG314" s="64"/>
      <c r="AJ314" s="68" t="s">
        <v>110</v>
      </c>
      <c r="AK314" s="68">
        <v>67.2</v>
      </c>
      <c r="BB314" s="36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496</v>
      </c>
      <c r="B315" s="54" t="s">
        <v>497</v>
      </c>
      <c r="C315" s="31">
        <v>4301060406</v>
      </c>
      <c r="D315" s="547">
        <v>4607091384482</v>
      </c>
      <c r="E315" s="548"/>
      <c r="F315" s="542">
        <v>1.3</v>
      </c>
      <c r="G315" s="32">
        <v>6</v>
      </c>
      <c r="H315" s="542">
        <v>7.8</v>
      </c>
      <c r="I315" s="542">
        <v>8.2940000000000005</v>
      </c>
      <c r="J315" s="32">
        <v>64</v>
      </c>
      <c r="K315" s="32" t="s">
        <v>106</v>
      </c>
      <c r="L315" s="32" t="s">
        <v>107</v>
      </c>
      <c r="M315" s="33" t="s">
        <v>81</v>
      </c>
      <c r="N315" s="33"/>
      <c r="O315" s="32">
        <v>30</v>
      </c>
      <c r="P315" s="55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50"/>
      <c r="R315" s="550"/>
      <c r="S315" s="550"/>
      <c r="T315" s="551"/>
      <c r="U315" s="34"/>
      <c r="V315" s="34"/>
      <c r="W315" s="35" t="s">
        <v>70</v>
      </c>
      <c r="X315" s="543">
        <v>250</v>
      </c>
      <c r="Y315" s="544">
        <f>IFERROR(IF(X315="",0,CEILING((X315/$H315),1)*$H315),"")</f>
        <v>257.39999999999998</v>
      </c>
      <c r="Z315" s="36">
        <f>IFERROR(IF(Y315=0,"",ROUNDUP(Y315/H315,0)*0.01898),"")</f>
        <v>0.62634000000000001</v>
      </c>
      <c r="AA315" s="56"/>
      <c r="AB315" s="57"/>
      <c r="AC315" s="365" t="s">
        <v>498</v>
      </c>
      <c r="AG315" s="64"/>
      <c r="AJ315" s="68" t="s">
        <v>110</v>
      </c>
      <c r="AK315" s="68">
        <v>62.4</v>
      </c>
      <c r="BB315" s="366" t="s">
        <v>1</v>
      </c>
      <c r="BM315" s="64">
        <f>IFERROR(X315*I315/H315,"0")</f>
        <v>265.83333333333331</v>
      </c>
      <c r="BN315" s="64">
        <f>IFERROR(Y315*I315/H315,"0")</f>
        <v>273.702</v>
      </c>
      <c r="BO315" s="64">
        <f>IFERROR(1/J315*(X315/H315),"0")</f>
        <v>0.50080128205128205</v>
      </c>
      <c r="BP315" s="64">
        <f>IFERROR(1/J315*(Y315/H315),"0")</f>
        <v>0.515625</v>
      </c>
    </row>
    <row r="316" spans="1:68" ht="16.5" customHeight="1" x14ac:dyDescent="0.25">
      <c r="A316" s="54" t="s">
        <v>499</v>
      </c>
      <c r="B316" s="54" t="s">
        <v>500</v>
      </c>
      <c r="C316" s="31">
        <v>4301060484</v>
      </c>
      <c r="D316" s="547">
        <v>4607091380897</v>
      </c>
      <c r="E316" s="548"/>
      <c r="F316" s="542">
        <v>1.4</v>
      </c>
      <c r="G316" s="32">
        <v>6</v>
      </c>
      <c r="H316" s="542">
        <v>8.4</v>
      </c>
      <c r="I316" s="542">
        <v>8.8940000000000001</v>
      </c>
      <c r="J316" s="32">
        <v>64</v>
      </c>
      <c r="K316" s="32" t="s">
        <v>106</v>
      </c>
      <c r="L316" s="32" t="s">
        <v>107</v>
      </c>
      <c r="M316" s="33" t="s">
        <v>88</v>
      </c>
      <c r="N316" s="33"/>
      <c r="O316" s="32">
        <v>30</v>
      </c>
      <c r="P316" s="59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50"/>
      <c r="R316" s="550"/>
      <c r="S316" s="550"/>
      <c r="T316" s="551"/>
      <c r="U316" s="34"/>
      <c r="V316" s="34"/>
      <c r="W316" s="35" t="s">
        <v>70</v>
      </c>
      <c r="X316" s="543">
        <v>300</v>
      </c>
      <c r="Y316" s="544">
        <f>IFERROR(IF(X316="",0,CEILING((X316/$H316),1)*$H316),"")</f>
        <v>302.40000000000003</v>
      </c>
      <c r="Z316" s="36">
        <f>IFERROR(IF(Y316=0,"",ROUNDUP(Y316/H316,0)*0.01898),"")</f>
        <v>0.68328</v>
      </c>
      <c r="AA316" s="56"/>
      <c r="AB316" s="57"/>
      <c r="AC316" s="367" t="s">
        <v>501</v>
      </c>
      <c r="AG316" s="64"/>
      <c r="AJ316" s="68" t="s">
        <v>110</v>
      </c>
      <c r="AK316" s="68">
        <v>67.2</v>
      </c>
      <c r="BB316" s="368" t="s">
        <v>1</v>
      </c>
      <c r="BM316" s="64">
        <f>IFERROR(X316*I316/H316,"0")</f>
        <v>317.64285714285711</v>
      </c>
      <c r="BN316" s="64">
        <f>IFERROR(Y316*I316/H316,"0")</f>
        <v>320.18400000000003</v>
      </c>
      <c r="BO316" s="64">
        <f>IFERROR(1/J316*(X316/H316),"0")</f>
        <v>0.5580357142857143</v>
      </c>
      <c r="BP316" s="64">
        <f>IFERROR(1/J316*(Y316/H316),"0")</f>
        <v>0.5625</v>
      </c>
    </row>
    <row r="317" spans="1:68" x14ac:dyDescent="0.2">
      <c r="A317" s="567"/>
      <c r="B317" s="557"/>
      <c r="C317" s="557"/>
      <c r="D317" s="557"/>
      <c r="E317" s="557"/>
      <c r="F317" s="557"/>
      <c r="G317" s="557"/>
      <c r="H317" s="557"/>
      <c r="I317" s="557"/>
      <c r="J317" s="557"/>
      <c r="K317" s="557"/>
      <c r="L317" s="557"/>
      <c r="M317" s="557"/>
      <c r="N317" s="557"/>
      <c r="O317" s="568"/>
      <c r="P317" s="561" t="s">
        <v>76</v>
      </c>
      <c r="Q317" s="562"/>
      <c r="R317" s="562"/>
      <c r="S317" s="562"/>
      <c r="T317" s="562"/>
      <c r="U317" s="562"/>
      <c r="V317" s="563"/>
      <c r="W317" s="37" t="s">
        <v>77</v>
      </c>
      <c r="X317" s="545">
        <f>IFERROR(X314/H314,"0")+IFERROR(X315/H315,"0")+IFERROR(X316/H316,"0")</f>
        <v>67.765567765567766</v>
      </c>
      <c r="Y317" s="545">
        <f>IFERROR(Y314/H314,"0")+IFERROR(Y315/H315,"0")+IFERROR(Y316/H316,"0")</f>
        <v>69</v>
      </c>
      <c r="Z317" s="545">
        <f>IFERROR(IF(Z314="",0,Z314),"0")+IFERROR(IF(Z315="",0,Z315),"0")+IFERROR(IF(Z316="",0,Z316),"0")</f>
        <v>1.30962</v>
      </c>
      <c r="AA317" s="546"/>
      <c r="AB317" s="546"/>
      <c r="AC317" s="546"/>
    </row>
    <row r="318" spans="1:68" x14ac:dyDescent="0.2">
      <c r="A318" s="557"/>
      <c r="B318" s="557"/>
      <c r="C318" s="557"/>
      <c r="D318" s="557"/>
      <c r="E318" s="557"/>
      <c r="F318" s="557"/>
      <c r="G318" s="557"/>
      <c r="H318" s="557"/>
      <c r="I318" s="557"/>
      <c r="J318" s="557"/>
      <c r="K318" s="557"/>
      <c r="L318" s="557"/>
      <c r="M318" s="557"/>
      <c r="N318" s="557"/>
      <c r="O318" s="568"/>
      <c r="P318" s="561" t="s">
        <v>76</v>
      </c>
      <c r="Q318" s="562"/>
      <c r="R318" s="562"/>
      <c r="S318" s="562"/>
      <c r="T318" s="562"/>
      <c r="U318" s="562"/>
      <c r="V318" s="563"/>
      <c r="W318" s="37" t="s">
        <v>70</v>
      </c>
      <c r="X318" s="545">
        <f>IFERROR(SUM(X314:X316),"0")</f>
        <v>550</v>
      </c>
      <c r="Y318" s="545">
        <f>IFERROR(SUM(Y314:Y316),"0")</f>
        <v>559.79999999999995</v>
      </c>
      <c r="Z318" s="37"/>
      <c r="AA318" s="546"/>
      <c r="AB318" s="546"/>
      <c r="AC318" s="546"/>
    </row>
    <row r="319" spans="1:68" ht="14.25" customHeight="1" x14ac:dyDescent="0.25">
      <c r="A319" s="556" t="s">
        <v>95</v>
      </c>
      <c r="B319" s="557"/>
      <c r="C319" s="557"/>
      <c r="D319" s="557"/>
      <c r="E319" s="557"/>
      <c r="F319" s="557"/>
      <c r="G319" s="557"/>
      <c r="H319" s="557"/>
      <c r="I319" s="557"/>
      <c r="J319" s="557"/>
      <c r="K319" s="557"/>
      <c r="L319" s="557"/>
      <c r="M319" s="557"/>
      <c r="N319" s="557"/>
      <c r="O319" s="557"/>
      <c r="P319" s="557"/>
      <c r="Q319" s="557"/>
      <c r="R319" s="557"/>
      <c r="S319" s="557"/>
      <c r="T319" s="557"/>
      <c r="U319" s="557"/>
      <c r="V319" s="557"/>
      <c r="W319" s="557"/>
      <c r="X319" s="557"/>
      <c r="Y319" s="557"/>
      <c r="Z319" s="557"/>
      <c r="AA319" s="539"/>
      <c r="AB319" s="539"/>
      <c r="AC319" s="539"/>
    </row>
    <row r="320" spans="1:68" ht="27" customHeight="1" x14ac:dyDescent="0.25">
      <c r="A320" s="54" t="s">
        <v>502</v>
      </c>
      <c r="B320" s="54" t="s">
        <v>503</v>
      </c>
      <c r="C320" s="31">
        <v>4301030235</v>
      </c>
      <c r="D320" s="547">
        <v>4607091388381</v>
      </c>
      <c r="E320" s="548"/>
      <c r="F320" s="542">
        <v>0.38</v>
      </c>
      <c r="G320" s="32">
        <v>8</v>
      </c>
      <c r="H320" s="542">
        <v>3.04</v>
      </c>
      <c r="I320" s="542">
        <v>3.31</v>
      </c>
      <c r="J320" s="32">
        <v>132</v>
      </c>
      <c r="K320" s="32" t="s">
        <v>113</v>
      </c>
      <c r="L320" s="32"/>
      <c r="M320" s="33" t="s">
        <v>98</v>
      </c>
      <c r="N320" s="33"/>
      <c r="O320" s="32">
        <v>180</v>
      </c>
      <c r="P320" s="77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50"/>
      <c r="R320" s="550"/>
      <c r="S320" s="550"/>
      <c r="T320" s="551"/>
      <c r="U320" s="34"/>
      <c r="V320" s="34"/>
      <c r="W320" s="35" t="s">
        <v>70</v>
      </c>
      <c r="X320" s="543">
        <v>0</v>
      </c>
      <c r="Y320" s="544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504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505</v>
      </c>
      <c r="B321" s="54" t="s">
        <v>506</v>
      </c>
      <c r="C321" s="31">
        <v>4301030232</v>
      </c>
      <c r="D321" s="547">
        <v>4607091388374</v>
      </c>
      <c r="E321" s="548"/>
      <c r="F321" s="542">
        <v>0.38</v>
      </c>
      <c r="G321" s="32">
        <v>8</v>
      </c>
      <c r="H321" s="542">
        <v>3.04</v>
      </c>
      <c r="I321" s="542">
        <v>3.27</v>
      </c>
      <c r="J321" s="32">
        <v>132</v>
      </c>
      <c r="K321" s="32" t="s">
        <v>113</v>
      </c>
      <c r="L321" s="32"/>
      <c r="M321" s="33" t="s">
        <v>98</v>
      </c>
      <c r="N321" s="33"/>
      <c r="O321" s="32">
        <v>180</v>
      </c>
      <c r="P321" s="80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50"/>
      <c r="R321" s="550"/>
      <c r="S321" s="550"/>
      <c r="T321" s="551"/>
      <c r="U321" s="34"/>
      <c r="V321" s="34"/>
      <c r="W321" s="35" t="s">
        <v>70</v>
      </c>
      <c r="X321" s="543">
        <v>0</v>
      </c>
      <c r="Y321" s="544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504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507</v>
      </c>
      <c r="B322" s="54" t="s">
        <v>508</v>
      </c>
      <c r="C322" s="31">
        <v>4301032015</v>
      </c>
      <c r="D322" s="547">
        <v>4607091383102</v>
      </c>
      <c r="E322" s="548"/>
      <c r="F322" s="542">
        <v>0.17</v>
      </c>
      <c r="G322" s="32">
        <v>15</v>
      </c>
      <c r="H322" s="542">
        <v>2.5499999999999998</v>
      </c>
      <c r="I322" s="542">
        <v>2.9550000000000001</v>
      </c>
      <c r="J322" s="32">
        <v>182</v>
      </c>
      <c r="K322" s="32" t="s">
        <v>67</v>
      </c>
      <c r="L322" s="32" t="s">
        <v>217</v>
      </c>
      <c r="M322" s="33" t="s">
        <v>98</v>
      </c>
      <c r="N322" s="33"/>
      <c r="O322" s="32">
        <v>180</v>
      </c>
      <c r="P322" s="73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50"/>
      <c r="R322" s="550"/>
      <c r="S322" s="550"/>
      <c r="T322" s="551"/>
      <c r="U322" s="34"/>
      <c r="V322" s="34"/>
      <c r="W322" s="35" t="s">
        <v>70</v>
      </c>
      <c r="X322" s="543">
        <v>34</v>
      </c>
      <c r="Y322" s="544">
        <f>IFERROR(IF(X322="",0,CEILING((X322/$H322),1)*$H322),"")</f>
        <v>35.699999999999996</v>
      </c>
      <c r="Z322" s="36">
        <f>IFERROR(IF(Y322=0,"",ROUNDUP(Y322/H322,0)*0.00651),"")</f>
        <v>9.1139999999999999E-2</v>
      </c>
      <c r="AA322" s="56"/>
      <c r="AB322" s="57"/>
      <c r="AC322" s="373" t="s">
        <v>509</v>
      </c>
      <c r="AG322" s="64"/>
      <c r="AJ322" s="68" t="s">
        <v>110</v>
      </c>
      <c r="AK322" s="68">
        <v>35.700000000000003</v>
      </c>
      <c r="BB322" s="374" t="s">
        <v>1</v>
      </c>
      <c r="BM322" s="64">
        <f>IFERROR(X322*I322/H322,"0")</f>
        <v>39.400000000000006</v>
      </c>
      <c r="BN322" s="64">
        <f>IFERROR(Y322*I322/H322,"0")</f>
        <v>41.37</v>
      </c>
      <c r="BO322" s="64">
        <f>IFERROR(1/J322*(X322/H322),"0")</f>
        <v>7.3260073260073263E-2</v>
      </c>
      <c r="BP322" s="64">
        <f>IFERROR(1/J322*(Y322/H322),"0")</f>
        <v>7.6923076923076927E-2</v>
      </c>
    </row>
    <row r="323" spans="1:68" ht="27" customHeight="1" x14ac:dyDescent="0.25">
      <c r="A323" s="54" t="s">
        <v>510</v>
      </c>
      <c r="B323" s="54" t="s">
        <v>511</v>
      </c>
      <c r="C323" s="31">
        <v>4301030233</v>
      </c>
      <c r="D323" s="547">
        <v>4607091388404</v>
      </c>
      <c r="E323" s="548"/>
      <c r="F323" s="542">
        <v>0.17</v>
      </c>
      <c r="G323" s="32">
        <v>15</v>
      </c>
      <c r="H323" s="542">
        <v>2.5499999999999998</v>
      </c>
      <c r="I323" s="542">
        <v>2.88</v>
      </c>
      <c r="J323" s="32">
        <v>182</v>
      </c>
      <c r="K323" s="32" t="s">
        <v>67</v>
      </c>
      <c r="L323" s="32" t="s">
        <v>217</v>
      </c>
      <c r="M323" s="33" t="s">
        <v>98</v>
      </c>
      <c r="N323" s="33"/>
      <c r="O323" s="32">
        <v>180</v>
      </c>
      <c r="P323" s="80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50"/>
      <c r="R323" s="550"/>
      <c r="S323" s="550"/>
      <c r="T323" s="551"/>
      <c r="U323" s="34"/>
      <c r="V323" s="34"/>
      <c r="W323" s="35" t="s">
        <v>70</v>
      </c>
      <c r="X323" s="543">
        <v>204</v>
      </c>
      <c r="Y323" s="544">
        <f>IFERROR(IF(X323="",0,CEILING((X323/$H323),1)*$H323),"")</f>
        <v>204</v>
      </c>
      <c r="Z323" s="36">
        <f>IFERROR(IF(Y323=0,"",ROUNDUP(Y323/H323,0)*0.00651),"")</f>
        <v>0.52080000000000004</v>
      </c>
      <c r="AA323" s="56"/>
      <c r="AB323" s="57"/>
      <c r="AC323" s="375" t="s">
        <v>504</v>
      </c>
      <c r="AG323" s="64"/>
      <c r="AJ323" s="68" t="s">
        <v>110</v>
      </c>
      <c r="AK323" s="68">
        <v>35.700000000000003</v>
      </c>
      <c r="BB323" s="376" t="s">
        <v>1</v>
      </c>
      <c r="BM323" s="64">
        <f>IFERROR(X323*I323/H323,"0")</f>
        <v>230.4</v>
      </c>
      <c r="BN323" s="64">
        <f>IFERROR(Y323*I323/H323,"0")</f>
        <v>230.4</v>
      </c>
      <c r="BO323" s="64">
        <f>IFERROR(1/J323*(X323/H323),"0")</f>
        <v>0.43956043956043961</v>
      </c>
      <c r="BP323" s="64">
        <f>IFERROR(1/J323*(Y323/H323),"0")</f>
        <v>0.43956043956043961</v>
      </c>
    </row>
    <row r="324" spans="1:68" x14ac:dyDescent="0.2">
      <c r="A324" s="567"/>
      <c r="B324" s="557"/>
      <c r="C324" s="557"/>
      <c r="D324" s="557"/>
      <c r="E324" s="557"/>
      <c r="F324" s="557"/>
      <c r="G324" s="557"/>
      <c r="H324" s="557"/>
      <c r="I324" s="557"/>
      <c r="J324" s="557"/>
      <c r="K324" s="557"/>
      <c r="L324" s="557"/>
      <c r="M324" s="557"/>
      <c r="N324" s="557"/>
      <c r="O324" s="568"/>
      <c r="P324" s="561" t="s">
        <v>76</v>
      </c>
      <c r="Q324" s="562"/>
      <c r="R324" s="562"/>
      <c r="S324" s="562"/>
      <c r="T324" s="562"/>
      <c r="U324" s="562"/>
      <c r="V324" s="563"/>
      <c r="W324" s="37" t="s">
        <v>77</v>
      </c>
      <c r="X324" s="545">
        <f>IFERROR(X320/H320,"0")+IFERROR(X321/H321,"0")+IFERROR(X322/H322,"0")+IFERROR(X323/H323,"0")</f>
        <v>93.333333333333329</v>
      </c>
      <c r="Y324" s="545">
        <f>IFERROR(Y320/H320,"0")+IFERROR(Y321/H321,"0")+IFERROR(Y322/H322,"0")+IFERROR(Y323/H323,"0")</f>
        <v>94</v>
      </c>
      <c r="Z324" s="545">
        <f>IFERROR(IF(Z320="",0,Z320),"0")+IFERROR(IF(Z321="",0,Z321),"0")+IFERROR(IF(Z322="",0,Z322),"0")+IFERROR(IF(Z323="",0,Z323),"0")</f>
        <v>0.61194000000000004</v>
      </c>
      <c r="AA324" s="546"/>
      <c r="AB324" s="546"/>
      <c r="AC324" s="546"/>
    </row>
    <row r="325" spans="1:68" x14ac:dyDescent="0.2">
      <c r="A325" s="557"/>
      <c r="B325" s="557"/>
      <c r="C325" s="557"/>
      <c r="D325" s="557"/>
      <c r="E325" s="557"/>
      <c r="F325" s="557"/>
      <c r="G325" s="557"/>
      <c r="H325" s="557"/>
      <c r="I325" s="557"/>
      <c r="J325" s="557"/>
      <c r="K325" s="557"/>
      <c r="L325" s="557"/>
      <c r="M325" s="557"/>
      <c r="N325" s="557"/>
      <c r="O325" s="568"/>
      <c r="P325" s="561" t="s">
        <v>76</v>
      </c>
      <c r="Q325" s="562"/>
      <c r="R325" s="562"/>
      <c r="S325" s="562"/>
      <c r="T325" s="562"/>
      <c r="U325" s="562"/>
      <c r="V325" s="563"/>
      <c r="W325" s="37" t="s">
        <v>70</v>
      </c>
      <c r="X325" s="545">
        <f>IFERROR(SUM(X320:X323),"0")</f>
        <v>238</v>
      </c>
      <c r="Y325" s="545">
        <f>IFERROR(SUM(Y320:Y323),"0")</f>
        <v>239.7</v>
      </c>
      <c r="Z325" s="37"/>
      <c r="AA325" s="546"/>
      <c r="AB325" s="546"/>
      <c r="AC325" s="546"/>
    </row>
    <row r="326" spans="1:68" ht="14.25" customHeight="1" x14ac:dyDescent="0.25">
      <c r="A326" s="556" t="s">
        <v>512</v>
      </c>
      <c r="B326" s="557"/>
      <c r="C326" s="557"/>
      <c r="D326" s="557"/>
      <c r="E326" s="557"/>
      <c r="F326" s="557"/>
      <c r="G326" s="557"/>
      <c r="H326" s="557"/>
      <c r="I326" s="557"/>
      <c r="J326" s="557"/>
      <c r="K326" s="557"/>
      <c r="L326" s="557"/>
      <c r="M326" s="557"/>
      <c r="N326" s="557"/>
      <c r="O326" s="557"/>
      <c r="P326" s="557"/>
      <c r="Q326" s="557"/>
      <c r="R326" s="557"/>
      <c r="S326" s="557"/>
      <c r="T326" s="557"/>
      <c r="U326" s="557"/>
      <c r="V326" s="557"/>
      <c r="W326" s="557"/>
      <c r="X326" s="557"/>
      <c r="Y326" s="557"/>
      <c r="Z326" s="557"/>
      <c r="AA326" s="539"/>
      <c r="AB326" s="539"/>
      <c r="AC326" s="539"/>
    </row>
    <row r="327" spans="1:68" ht="16.5" customHeight="1" x14ac:dyDescent="0.25">
      <c r="A327" s="54" t="s">
        <v>513</v>
      </c>
      <c r="B327" s="54" t="s">
        <v>514</v>
      </c>
      <c r="C327" s="31">
        <v>4301180007</v>
      </c>
      <c r="D327" s="547">
        <v>4680115881808</v>
      </c>
      <c r="E327" s="548"/>
      <c r="F327" s="542">
        <v>0.1</v>
      </c>
      <c r="G327" s="32">
        <v>20</v>
      </c>
      <c r="H327" s="542">
        <v>2</v>
      </c>
      <c r="I327" s="542">
        <v>2.2400000000000002</v>
      </c>
      <c r="J327" s="32">
        <v>238</v>
      </c>
      <c r="K327" s="32" t="s">
        <v>67</v>
      </c>
      <c r="L327" s="32" t="s">
        <v>217</v>
      </c>
      <c r="M327" s="33" t="s">
        <v>515</v>
      </c>
      <c r="N327" s="33"/>
      <c r="O327" s="32">
        <v>730</v>
      </c>
      <c r="P327" s="75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50"/>
      <c r="R327" s="550"/>
      <c r="S327" s="550"/>
      <c r="T327" s="551"/>
      <c r="U327" s="34"/>
      <c r="V327" s="34"/>
      <c r="W327" s="35" t="s">
        <v>70</v>
      </c>
      <c r="X327" s="543">
        <v>100</v>
      </c>
      <c r="Y327" s="544">
        <f>IFERROR(IF(X327="",0,CEILING((X327/$H327),1)*$H327),"")</f>
        <v>100</v>
      </c>
      <c r="Z327" s="36">
        <f>IFERROR(IF(Y327=0,"",ROUNDUP(Y327/H327,0)*0.00474),"")</f>
        <v>0.23700000000000002</v>
      </c>
      <c r="AA327" s="56"/>
      <c r="AB327" s="57"/>
      <c r="AC327" s="377" t="s">
        <v>516</v>
      </c>
      <c r="AG327" s="64"/>
      <c r="AJ327" s="68" t="s">
        <v>110</v>
      </c>
      <c r="AK327" s="68">
        <v>28</v>
      </c>
      <c r="BB327" s="378" t="s">
        <v>1</v>
      </c>
      <c r="BM327" s="64">
        <f>IFERROR(X327*I327/H327,"0")</f>
        <v>112.00000000000001</v>
      </c>
      <c r="BN327" s="64">
        <f>IFERROR(Y327*I327/H327,"0")</f>
        <v>112.00000000000001</v>
      </c>
      <c r="BO327" s="64">
        <f>IFERROR(1/J327*(X327/H327),"0")</f>
        <v>0.21008403361344538</v>
      </c>
      <c r="BP327" s="64">
        <f>IFERROR(1/J327*(Y327/H327),"0")</f>
        <v>0.21008403361344538</v>
      </c>
    </row>
    <row r="328" spans="1:68" ht="27" customHeight="1" x14ac:dyDescent="0.25">
      <c r="A328" s="54" t="s">
        <v>517</v>
      </c>
      <c r="B328" s="54" t="s">
        <v>518</v>
      </c>
      <c r="C328" s="31">
        <v>4301180006</v>
      </c>
      <c r="D328" s="547">
        <v>4680115881822</v>
      </c>
      <c r="E328" s="548"/>
      <c r="F328" s="542">
        <v>0.1</v>
      </c>
      <c r="G328" s="32">
        <v>20</v>
      </c>
      <c r="H328" s="542">
        <v>2</v>
      </c>
      <c r="I328" s="542">
        <v>2.2400000000000002</v>
      </c>
      <c r="J328" s="32">
        <v>238</v>
      </c>
      <c r="K328" s="32" t="s">
        <v>67</v>
      </c>
      <c r="L328" s="32"/>
      <c r="M328" s="33" t="s">
        <v>515</v>
      </c>
      <c r="N328" s="33"/>
      <c r="O328" s="32">
        <v>730</v>
      </c>
      <c r="P328" s="57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50"/>
      <c r="R328" s="550"/>
      <c r="S328" s="550"/>
      <c r="T328" s="551"/>
      <c r="U328" s="34"/>
      <c r="V328" s="34"/>
      <c r="W328" s="35" t="s">
        <v>70</v>
      </c>
      <c r="X328" s="543">
        <v>0</v>
      </c>
      <c r="Y328" s="544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516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519</v>
      </c>
      <c r="B329" s="54" t="s">
        <v>520</v>
      </c>
      <c r="C329" s="31">
        <v>4301180001</v>
      </c>
      <c r="D329" s="547">
        <v>4680115880016</v>
      </c>
      <c r="E329" s="548"/>
      <c r="F329" s="542">
        <v>0.1</v>
      </c>
      <c r="G329" s="32">
        <v>20</v>
      </c>
      <c r="H329" s="542">
        <v>2</v>
      </c>
      <c r="I329" s="542">
        <v>2.2400000000000002</v>
      </c>
      <c r="J329" s="32">
        <v>238</v>
      </c>
      <c r="K329" s="32" t="s">
        <v>67</v>
      </c>
      <c r="L329" s="32" t="s">
        <v>217</v>
      </c>
      <c r="M329" s="33" t="s">
        <v>515</v>
      </c>
      <c r="N329" s="33"/>
      <c r="O329" s="32">
        <v>730</v>
      </c>
      <c r="P329" s="62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50"/>
      <c r="R329" s="550"/>
      <c r="S329" s="550"/>
      <c r="T329" s="551"/>
      <c r="U329" s="34"/>
      <c r="V329" s="34"/>
      <c r="W329" s="35" t="s">
        <v>70</v>
      </c>
      <c r="X329" s="543">
        <v>100</v>
      </c>
      <c r="Y329" s="544">
        <f>IFERROR(IF(X329="",0,CEILING((X329/$H329),1)*$H329),"")</f>
        <v>100</v>
      </c>
      <c r="Z329" s="36">
        <f>IFERROR(IF(Y329=0,"",ROUNDUP(Y329/H329,0)*0.00474),"")</f>
        <v>0.23700000000000002</v>
      </c>
      <c r="AA329" s="56"/>
      <c r="AB329" s="57"/>
      <c r="AC329" s="381" t="s">
        <v>516</v>
      </c>
      <c r="AG329" s="64"/>
      <c r="AJ329" s="68" t="s">
        <v>110</v>
      </c>
      <c r="AK329" s="68">
        <v>28</v>
      </c>
      <c r="BB329" s="382" t="s">
        <v>1</v>
      </c>
      <c r="BM329" s="64">
        <f>IFERROR(X329*I329/H329,"0")</f>
        <v>112.00000000000001</v>
      </c>
      <c r="BN329" s="64">
        <f>IFERROR(Y329*I329/H329,"0")</f>
        <v>112.00000000000001</v>
      </c>
      <c r="BO329" s="64">
        <f>IFERROR(1/J329*(X329/H329),"0")</f>
        <v>0.21008403361344538</v>
      </c>
      <c r="BP329" s="64">
        <f>IFERROR(1/J329*(Y329/H329),"0")</f>
        <v>0.21008403361344538</v>
      </c>
    </row>
    <row r="330" spans="1:68" x14ac:dyDescent="0.2">
      <c r="A330" s="567"/>
      <c r="B330" s="557"/>
      <c r="C330" s="557"/>
      <c r="D330" s="557"/>
      <c r="E330" s="557"/>
      <c r="F330" s="557"/>
      <c r="G330" s="557"/>
      <c r="H330" s="557"/>
      <c r="I330" s="557"/>
      <c r="J330" s="557"/>
      <c r="K330" s="557"/>
      <c r="L330" s="557"/>
      <c r="M330" s="557"/>
      <c r="N330" s="557"/>
      <c r="O330" s="568"/>
      <c r="P330" s="561" t="s">
        <v>76</v>
      </c>
      <c r="Q330" s="562"/>
      <c r="R330" s="562"/>
      <c r="S330" s="562"/>
      <c r="T330" s="562"/>
      <c r="U330" s="562"/>
      <c r="V330" s="563"/>
      <c r="W330" s="37" t="s">
        <v>77</v>
      </c>
      <c r="X330" s="545">
        <f>IFERROR(X327/H327,"0")+IFERROR(X328/H328,"0")+IFERROR(X329/H329,"0")</f>
        <v>100</v>
      </c>
      <c r="Y330" s="545">
        <f>IFERROR(Y327/H327,"0")+IFERROR(Y328/H328,"0")+IFERROR(Y329/H329,"0")</f>
        <v>100</v>
      </c>
      <c r="Z330" s="545">
        <f>IFERROR(IF(Z327="",0,Z327),"0")+IFERROR(IF(Z328="",0,Z328),"0")+IFERROR(IF(Z329="",0,Z329),"0")</f>
        <v>0.47400000000000003</v>
      </c>
      <c r="AA330" s="546"/>
      <c r="AB330" s="546"/>
      <c r="AC330" s="546"/>
    </row>
    <row r="331" spans="1:68" x14ac:dyDescent="0.2">
      <c r="A331" s="557"/>
      <c r="B331" s="557"/>
      <c r="C331" s="557"/>
      <c r="D331" s="557"/>
      <c r="E331" s="557"/>
      <c r="F331" s="557"/>
      <c r="G331" s="557"/>
      <c r="H331" s="557"/>
      <c r="I331" s="557"/>
      <c r="J331" s="557"/>
      <c r="K331" s="557"/>
      <c r="L331" s="557"/>
      <c r="M331" s="557"/>
      <c r="N331" s="557"/>
      <c r="O331" s="568"/>
      <c r="P331" s="561" t="s">
        <v>76</v>
      </c>
      <c r="Q331" s="562"/>
      <c r="R331" s="562"/>
      <c r="S331" s="562"/>
      <c r="T331" s="562"/>
      <c r="U331" s="562"/>
      <c r="V331" s="563"/>
      <c r="W331" s="37" t="s">
        <v>70</v>
      </c>
      <c r="X331" s="545">
        <f>IFERROR(SUM(X327:X329),"0")</f>
        <v>200</v>
      </c>
      <c r="Y331" s="545">
        <f>IFERROR(SUM(Y327:Y329),"0")</f>
        <v>200</v>
      </c>
      <c r="Z331" s="37"/>
      <c r="AA331" s="546"/>
      <c r="AB331" s="546"/>
      <c r="AC331" s="546"/>
    </row>
    <row r="332" spans="1:68" ht="16.5" customHeight="1" x14ac:dyDescent="0.25">
      <c r="A332" s="558" t="s">
        <v>521</v>
      </c>
      <c r="B332" s="557"/>
      <c r="C332" s="557"/>
      <c r="D332" s="557"/>
      <c r="E332" s="557"/>
      <c r="F332" s="557"/>
      <c r="G332" s="557"/>
      <c r="H332" s="557"/>
      <c r="I332" s="557"/>
      <c r="J332" s="557"/>
      <c r="K332" s="557"/>
      <c r="L332" s="557"/>
      <c r="M332" s="557"/>
      <c r="N332" s="557"/>
      <c r="O332" s="557"/>
      <c r="P332" s="557"/>
      <c r="Q332" s="557"/>
      <c r="R332" s="557"/>
      <c r="S332" s="557"/>
      <c r="T332" s="557"/>
      <c r="U332" s="557"/>
      <c r="V332" s="557"/>
      <c r="W332" s="557"/>
      <c r="X332" s="557"/>
      <c r="Y332" s="557"/>
      <c r="Z332" s="557"/>
      <c r="AA332" s="538"/>
      <c r="AB332" s="538"/>
      <c r="AC332" s="538"/>
    </row>
    <row r="333" spans="1:68" ht="14.25" customHeight="1" x14ac:dyDescent="0.25">
      <c r="A333" s="556" t="s">
        <v>78</v>
      </c>
      <c r="B333" s="557"/>
      <c r="C333" s="557"/>
      <c r="D333" s="557"/>
      <c r="E333" s="557"/>
      <c r="F333" s="557"/>
      <c r="G333" s="557"/>
      <c r="H333" s="557"/>
      <c r="I333" s="557"/>
      <c r="J333" s="557"/>
      <c r="K333" s="557"/>
      <c r="L333" s="557"/>
      <c r="M333" s="557"/>
      <c r="N333" s="557"/>
      <c r="O333" s="557"/>
      <c r="P333" s="557"/>
      <c r="Q333" s="557"/>
      <c r="R333" s="557"/>
      <c r="S333" s="557"/>
      <c r="T333" s="557"/>
      <c r="U333" s="557"/>
      <c r="V333" s="557"/>
      <c r="W333" s="557"/>
      <c r="X333" s="557"/>
      <c r="Y333" s="557"/>
      <c r="Z333" s="557"/>
      <c r="AA333" s="539"/>
      <c r="AB333" s="539"/>
      <c r="AC333" s="539"/>
    </row>
    <row r="334" spans="1:68" ht="27" customHeight="1" x14ac:dyDescent="0.25">
      <c r="A334" s="54" t="s">
        <v>522</v>
      </c>
      <c r="B334" s="54" t="s">
        <v>523</v>
      </c>
      <c r="C334" s="31">
        <v>4301051489</v>
      </c>
      <c r="D334" s="547">
        <v>4607091387919</v>
      </c>
      <c r="E334" s="548"/>
      <c r="F334" s="542">
        <v>1.35</v>
      </c>
      <c r="G334" s="32">
        <v>6</v>
      </c>
      <c r="H334" s="542">
        <v>8.1</v>
      </c>
      <c r="I334" s="542">
        <v>8.5939999999999994</v>
      </c>
      <c r="J334" s="32">
        <v>64</v>
      </c>
      <c r="K334" s="32" t="s">
        <v>106</v>
      </c>
      <c r="L334" s="32"/>
      <c r="M334" s="33" t="s">
        <v>88</v>
      </c>
      <c r="N334" s="33"/>
      <c r="O334" s="32">
        <v>45</v>
      </c>
      <c r="P334" s="60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50"/>
      <c r="R334" s="550"/>
      <c r="S334" s="550"/>
      <c r="T334" s="551"/>
      <c r="U334" s="34"/>
      <c r="V334" s="34"/>
      <c r="W334" s="35" t="s">
        <v>70</v>
      </c>
      <c r="X334" s="543">
        <v>0</v>
      </c>
      <c r="Y334" s="544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524</v>
      </c>
      <c r="AG334" s="64"/>
      <c r="AJ334" s="68"/>
      <c r="AK334" s="68">
        <v>0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525</v>
      </c>
      <c r="B335" s="54" t="s">
        <v>526</v>
      </c>
      <c r="C335" s="31">
        <v>4301051461</v>
      </c>
      <c r="D335" s="547">
        <v>4680115883604</v>
      </c>
      <c r="E335" s="548"/>
      <c r="F335" s="542">
        <v>0.35</v>
      </c>
      <c r="G335" s="32">
        <v>6</v>
      </c>
      <c r="H335" s="542">
        <v>2.1</v>
      </c>
      <c r="I335" s="542">
        <v>2.3519999999999999</v>
      </c>
      <c r="J335" s="32">
        <v>182</v>
      </c>
      <c r="K335" s="32" t="s">
        <v>67</v>
      </c>
      <c r="L335" s="32" t="s">
        <v>217</v>
      </c>
      <c r="M335" s="33" t="s">
        <v>81</v>
      </c>
      <c r="N335" s="33"/>
      <c r="O335" s="32">
        <v>45</v>
      </c>
      <c r="P335" s="79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50"/>
      <c r="R335" s="550"/>
      <c r="S335" s="550"/>
      <c r="T335" s="551"/>
      <c r="U335" s="34"/>
      <c r="V335" s="34"/>
      <c r="W335" s="35" t="s">
        <v>70</v>
      </c>
      <c r="X335" s="543">
        <v>875</v>
      </c>
      <c r="Y335" s="544">
        <f>IFERROR(IF(X335="",0,CEILING((X335/$H335),1)*$H335),"")</f>
        <v>875.7</v>
      </c>
      <c r="Z335" s="36">
        <f>IFERROR(IF(Y335=0,"",ROUNDUP(Y335/H335,0)*0.00651),"")</f>
        <v>2.7146699999999999</v>
      </c>
      <c r="AA335" s="56"/>
      <c r="AB335" s="57"/>
      <c r="AC335" s="385" t="s">
        <v>527</v>
      </c>
      <c r="AG335" s="64"/>
      <c r="AJ335" s="68" t="s">
        <v>110</v>
      </c>
      <c r="AK335" s="68">
        <v>29.4</v>
      </c>
      <c r="BB335" s="386" t="s">
        <v>1</v>
      </c>
      <c r="BM335" s="64">
        <f>IFERROR(X335*I335/H335,"0")</f>
        <v>980</v>
      </c>
      <c r="BN335" s="64">
        <f>IFERROR(Y335*I335/H335,"0")</f>
        <v>980.78399999999999</v>
      </c>
      <c r="BO335" s="64">
        <f>IFERROR(1/J335*(X335/H335),"0")</f>
        <v>2.2893772893772892</v>
      </c>
      <c r="BP335" s="64">
        <f>IFERROR(1/J335*(Y335/H335),"0")</f>
        <v>2.2912087912087915</v>
      </c>
    </row>
    <row r="336" spans="1:68" ht="27" customHeight="1" x14ac:dyDescent="0.25">
      <c r="A336" s="54" t="s">
        <v>528</v>
      </c>
      <c r="B336" s="54" t="s">
        <v>529</v>
      </c>
      <c r="C336" s="31">
        <v>4301051864</v>
      </c>
      <c r="D336" s="547">
        <v>4680115883567</v>
      </c>
      <c r="E336" s="548"/>
      <c r="F336" s="542">
        <v>0.35</v>
      </c>
      <c r="G336" s="32">
        <v>6</v>
      </c>
      <c r="H336" s="542">
        <v>2.1</v>
      </c>
      <c r="I336" s="542">
        <v>2.34</v>
      </c>
      <c r="J336" s="32">
        <v>182</v>
      </c>
      <c r="K336" s="32" t="s">
        <v>67</v>
      </c>
      <c r="L336" s="32" t="s">
        <v>217</v>
      </c>
      <c r="M336" s="33" t="s">
        <v>88</v>
      </c>
      <c r="N336" s="33"/>
      <c r="O336" s="32">
        <v>40</v>
      </c>
      <c r="P336" s="81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50"/>
      <c r="R336" s="550"/>
      <c r="S336" s="550"/>
      <c r="T336" s="551"/>
      <c r="U336" s="34"/>
      <c r="V336" s="34"/>
      <c r="W336" s="35" t="s">
        <v>70</v>
      </c>
      <c r="X336" s="543">
        <v>350</v>
      </c>
      <c r="Y336" s="544">
        <f>IFERROR(IF(X336="",0,CEILING((X336/$H336),1)*$H336),"")</f>
        <v>350.7</v>
      </c>
      <c r="Z336" s="36">
        <f>IFERROR(IF(Y336=0,"",ROUNDUP(Y336/H336,0)*0.00651),"")</f>
        <v>1.08717</v>
      </c>
      <c r="AA336" s="56"/>
      <c r="AB336" s="57"/>
      <c r="AC336" s="387" t="s">
        <v>530</v>
      </c>
      <c r="AG336" s="64"/>
      <c r="AJ336" s="68" t="s">
        <v>110</v>
      </c>
      <c r="AK336" s="68">
        <v>29.4</v>
      </c>
      <c r="BB336" s="388" t="s">
        <v>1</v>
      </c>
      <c r="BM336" s="64">
        <f>IFERROR(X336*I336/H336,"0")</f>
        <v>390</v>
      </c>
      <c r="BN336" s="64">
        <f>IFERROR(Y336*I336/H336,"0")</f>
        <v>390.78</v>
      </c>
      <c r="BO336" s="64">
        <f>IFERROR(1/J336*(X336/H336),"0")</f>
        <v>0.91575091575091572</v>
      </c>
      <c r="BP336" s="64">
        <f>IFERROR(1/J336*(Y336/H336),"0")</f>
        <v>0.91758241758241765</v>
      </c>
    </row>
    <row r="337" spans="1:68" x14ac:dyDescent="0.2">
      <c r="A337" s="567"/>
      <c r="B337" s="557"/>
      <c r="C337" s="557"/>
      <c r="D337" s="557"/>
      <c r="E337" s="557"/>
      <c r="F337" s="557"/>
      <c r="G337" s="557"/>
      <c r="H337" s="557"/>
      <c r="I337" s="557"/>
      <c r="J337" s="557"/>
      <c r="K337" s="557"/>
      <c r="L337" s="557"/>
      <c r="M337" s="557"/>
      <c r="N337" s="557"/>
      <c r="O337" s="568"/>
      <c r="P337" s="561" t="s">
        <v>76</v>
      </c>
      <c r="Q337" s="562"/>
      <c r="R337" s="562"/>
      <c r="S337" s="562"/>
      <c r="T337" s="562"/>
      <c r="U337" s="562"/>
      <c r="V337" s="563"/>
      <c r="W337" s="37" t="s">
        <v>77</v>
      </c>
      <c r="X337" s="545">
        <f>IFERROR(X334/H334,"0")+IFERROR(X335/H335,"0")+IFERROR(X336/H336,"0")</f>
        <v>583.33333333333326</v>
      </c>
      <c r="Y337" s="545">
        <f>IFERROR(Y334/H334,"0")+IFERROR(Y335/H335,"0")+IFERROR(Y336/H336,"0")</f>
        <v>584</v>
      </c>
      <c r="Z337" s="545">
        <f>IFERROR(IF(Z334="",0,Z334),"0")+IFERROR(IF(Z335="",0,Z335),"0")+IFERROR(IF(Z336="",0,Z336),"0")</f>
        <v>3.8018399999999999</v>
      </c>
      <c r="AA337" s="546"/>
      <c r="AB337" s="546"/>
      <c r="AC337" s="546"/>
    </row>
    <row r="338" spans="1:68" x14ac:dyDescent="0.2">
      <c r="A338" s="557"/>
      <c r="B338" s="557"/>
      <c r="C338" s="557"/>
      <c r="D338" s="557"/>
      <c r="E338" s="557"/>
      <c r="F338" s="557"/>
      <c r="G338" s="557"/>
      <c r="H338" s="557"/>
      <c r="I338" s="557"/>
      <c r="J338" s="557"/>
      <c r="K338" s="557"/>
      <c r="L338" s="557"/>
      <c r="M338" s="557"/>
      <c r="N338" s="557"/>
      <c r="O338" s="568"/>
      <c r="P338" s="561" t="s">
        <v>76</v>
      </c>
      <c r="Q338" s="562"/>
      <c r="R338" s="562"/>
      <c r="S338" s="562"/>
      <c r="T338" s="562"/>
      <c r="U338" s="562"/>
      <c r="V338" s="563"/>
      <c r="W338" s="37" t="s">
        <v>70</v>
      </c>
      <c r="X338" s="545">
        <f>IFERROR(SUM(X334:X336),"0")</f>
        <v>1225</v>
      </c>
      <c r="Y338" s="545">
        <f>IFERROR(SUM(Y334:Y336),"0")</f>
        <v>1226.4000000000001</v>
      </c>
      <c r="Z338" s="37"/>
      <c r="AA338" s="546"/>
      <c r="AB338" s="546"/>
      <c r="AC338" s="546"/>
    </row>
    <row r="339" spans="1:68" ht="27.75" customHeight="1" x14ac:dyDescent="0.2">
      <c r="A339" s="650" t="s">
        <v>531</v>
      </c>
      <c r="B339" s="651"/>
      <c r="C339" s="651"/>
      <c r="D339" s="651"/>
      <c r="E339" s="651"/>
      <c r="F339" s="651"/>
      <c r="G339" s="651"/>
      <c r="H339" s="651"/>
      <c r="I339" s="651"/>
      <c r="J339" s="651"/>
      <c r="K339" s="651"/>
      <c r="L339" s="651"/>
      <c r="M339" s="651"/>
      <c r="N339" s="651"/>
      <c r="O339" s="651"/>
      <c r="P339" s="651"/>
      <c r="Q339" s="651"/>
      <c r="R339" s="651"/>
      <c r="S339" s="651"/>
      <c r="T339" s="651"/>
      <c r="U339" s="651"/>
      <c r="V339" s="651"/>
      <c r="W339" s="651"/>
      <c r="X339" s="651"/>
      <c r="Y339" s="651"/>
      <c r="Z339" s="651"/>
      <c r="AA339" s="48"/>
      <c r="AB339" s="48"/>
      <c r="AC339" s="48"/>
    </row>
    <row r="340" spans="1:68" ht="16.5" customHeight="1" x14ac:dyDescent="0.25">
      <c r="A340" s="558" t="s">
        <v>532</v>
      </c>
      <c r="B340" s="557"/>
      <c r="C340" s="557"/>
      <c r="D340" s="557"/>
      <c r="E340" s="557"/>
      <c r="F340" s="557"/>
      <c r="G340" s="557"/>
      <c r="H340" s="557"/>
      <c r="I340" s="557"/>
      <c r="J340" s="557"/>
      <c r="K340" s="557"/>
      <c r="L340" s="557"/>
      <c r="M340" s="557"/>
      <c r="N340" s="557"/>
      <c r="O340" s="557"/>
      <c r="P340" s="557"/>
      <c r="Q340" s="557"/>
      <c r="R340" s="557"/>
      <c r="S340" s="557"/>
      <c r="T340" s="557"/>
      <c r="U340" s="557"/>
      <c r="V340" s="557"/>
      <c r="W340" s="557"/>
      <c r="X340" s="557"/>
      <c r="Y340" s="557"/>
      <c r="Z340" s="557"/>
      <c r="AA340" s="538"/>
      <c r="AB340" s="538"/>
      <c r="AC340" s="538"/>
    </row>
    <row r="341" spans="1:68" ht="14.25" customHeight="1" x14ac:dyDescent="0.25">
      <c r="A341" s="556" t="s">
        <v>103</v>
      </c>
      <c r="B341" s="557"/>
      <c r="C341" s="557"/>
      <c r="D341" s="557"/>
      <c r="E341" s="557"/>
      <c r="F341" s="557"/>
      <c r="G341" s="557"/>
      <c r="H341" s="557"/>
      <c r="I341" s="557"/>
      <c r="J341" s="557"/>
      <c r="K341" s="557"/>
      <c r="L341" s="557"/>
      <c r="M341" s="557"/>
      <c r="N341" s="557"/>
      <c r="O341" s="557"/>
      <c r="P341" s="557"/>
      <c r="Q341" s="557"/>
      <c r="R341" s="557"/>
      <c r="S341" s="557"/>
      <c r="T341" s="557"/>
      <c r="U341" s="557"/>
      <c r="V341" s="557"/>
      <c r="W341" s="557"/>
      <c r="X341" s="557"/>
      <c r="Y341" s="557"/>
      <c r="Z341" s="557"/>
      <c r="AA341" s="539"/>
      <c r="AB341" s="539"/>
      <c r="AC341" s="539"/>
    </row>
    <row r="342" spans="1:68" ht="37.5" customHeight="1" x14ac:dyDescent="0.25">
      <c r="A342" s="54" t="s">
        <v>533</v>
      </c>
      <c r="B342" s="54" t="s">
        <v>534</v>
      </c>
      <c r="C342" s="31">
        <v>4301011869</v>
      </c>
      <c r="D342" s="547">
        <v>4680115884847</v>
      </c>
      <c r="E342" s="548"/>
      <c r="F342" s="542">
        <v>2.5</v>
      </c>
      <c r="G342" s="32">
        <v>6</v>
      </c>
      <c r="H342" s="542">
        <v>15</v>
      </c>
      <c r="I342" s="542">
        <v>15.47</v>
      </c>
      <c r="J342" s="32">
        <v>48</v>
      </c>
      <c r="K342" s="32" t="s">
        <v>106</v>
      </c>
      <c r="L342" s="32"/>
      <c r="M342" s="33" t="s">
        <v>68</v>
      </c>
      <c r="N342" s="33"/>
      <c r="O342" s="32">
        <v>60</v>
      </c>
      <c r="P342" s="84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50"/>
      <c r="R342" s="550"/>
      <c r="S342" s="550"/>
      <c r="T342" s="551"/>
      <c r="U342" s="34"/>
      <c r="V342" s="34"/>
      <c r="W342" s="35" t="s">
        <v>70</v>
      </c>
      <c r="X342" s="543">
        <v>1600</v>
      </c>
      <c r="Y342" s="544">
        <f t="shared" ref="Y342:Y348" si="31">IFERROR(IF(X342="",0,CEILING((X342/$H342),1)*$H342),"")</f>
        <v>1605</v>
      </c>
      <c r="Z342" s="36">
        <f>IFERROR(IF(Y342=0,"",ROUNDUP(Y342/H342,0)*0.02175),"")</f>
        <v>2.3272499999999998</v>
      </c>
      <c r="AA342" s="56"/>
      <c r="AB342" s="57"/>
      <c r="AC342" s="389" t="s">
        <v>535</v>
      </c>
      <c r="AG342" s="64"/>
      <c r="AJ342" s="68"/>
      <c r="AK342" s="68">
        <v>0</v>
      </c>
      <c r="BB342" s="390" t="s">
        <v>1</v>
      </c>
      <c r="BM342" s="64">
        <f t="shared" ref="BM342:BM348" si="32">IFERROR(X342*I342/H342,"0")</f>
        <v>1650.1333333333334</v>
      </c>
      <c r="BN342" s="64">
        <f t="shared" ref="BN342:BN348" si="33">IFERROR(Y342*I342/H342,"0")</f>
        <v>1655.2900000000002</v>
      </c>
      <c r="BO342" s="64">
        <f t="shared" ref="BO342:BO348" si="34">IFERROR(1/J342*(X342/H342),"0")</f>
        <v>2.2222222222222223</v>
      </c>
      <c r="BP342" s="64">
        <f t="shared" ref="BP342:BP348" si="35">IFERROR(1/J342*(Y342/H342),"0")</f>
        <v>2.2291666666666665</v>
      </c>
    </row>
    <row r="343" spans="1:68" ht="27" customHeight="1" x14ac:dyDescent="0.25">
      <c r="A343" s="54" t="s">
        <v>536</v>
      </c>
      <c r="B343" s="54" t="s">
        <v>537</v>
      </c>
      <c r="C343" s="31">
        <v>4301011870</v>
      </c>
      <c r="D343" s="547">
        <v>4680115884854</v>
      </c>
      <c r="E343" s="548"/>
      <c r="F343" s="542">
        <v>2.5</v>
      </c>
      <c r="G343" s="32">
        <v>6</v>
      </c>
      <c r="H343" s="542">
        <v>15</v>
      </c>
      <c r="I343" s="542">
        <v>15.47</v>
      </c>
      <c r="J343" s="32">
        <v>48</v>
      </c>
      <c r="K343" s="32" t="s">
        <v>106</v>
      </c>
      <c r="L343" s="32"/>
      <c r="M343" s="33" t="s">
        <v>68</v>
      </c>
      <c r="N343" s="33"/>
      <c r="O343" s="32">
        <v>60</v>
      </c>
      <c r="P343" s="76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50"/>
      <c r="R343" s="550"/>
      <c r="S343" s="550"/>
      <c r="T343" s="551"/>
      <c r="U343" s="34"/>
      <c r="V343" s="34"/>
      <c r="W343" s="35" t="s">
        <v>70</v>
      </c>
      <c r="X343" s="543">
        <v>1000</v>
      </c>
      <c r="Y343" s="544">
        <f t="shared" si="31"/>
        <v>1005</v>
      </c>
      <c r="Z343" s="36">
        <f>IFERROR(IF(Y343=0,"",ROUNDUP(Y343/H343,0)*0.02175),"")</f>
        <v>1.4572499999999999</v>
      </c>
      <c r="AA343" s="56"/>
      <c r="AB343" s="57"/>
      <c r="AC343" s="391" t="s">
        <v>538</v>
      </c>
      <c r="AG343" s="64"/>
      <c r="AJ343" s="68"/>
      <c r="AK343" s="68">
        <v>0</v>
      </c>
      <c r="BB343" s="392" t="s">
        <v>1</v>
      </c>
      <c r="BM343" s="64">
        <f t="shared" si="32"/>
        <v>1031.3333333333333</v>
      </c>
      <c r="BN343" s="64">
        <f t="shared" si="33"/>
        <v>1036.49</v>
      </c>
      <c r="BO343" s="64">
        <f t="shared" si="34"/>
        <v>1.3888888888888888</v>
      </c>
      <c r="BP343" s="64">
        <f t="shared" si="35"/>
        <v>1.3958333333333333</v>
      </c>
    </row>
    <row r="344" spans="1:68" ht="37.5" customHeight="1" x14ac:dyDescent="0.25">
      <c r="A344" s="54" t="s">
        <v>539</v>
      </c>
      <c r="B344" s="54" t="s">
        <v>540</v>
      </c>
      <c r="C344" s="31">
        <v>4301011867</v>
      </c>
      <c r="D344" s="547">
        <v>4680115884830</v>
      </c>
      <c r="E344" s="548"/>
      <c r="F344" s="542">
        <v>2.5</v>
      </c>
      <c r="G344" s="32">
        <v>6</v>
      </c>
      <c r="H344" s="542">
        <v>15</v>
      </c>
      <c r="I344" s="542">
        <v>15.47</v>
      </c>
      <c r="J344" s="32">
        <v>48</v>
      </c>
      <c r="K344" s="32" t="s">
        <v>106</v>
      </c>
      <c r="L344" s="32"/>
      <c r="M344" s="33" t="s">
        <v>68</v>
      </c>
      <c r="N344" s="33"/>
      <c r="O344" s="32">
        <v>60</v>
      </c>
      <c r="P344" s="84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50"/>
      <c r="R344" s="550"/>
      <c r="S344" s="550"/>
      <c r="T344" s="551"/>
      <c r="U344" s="34"/>
      <c r="V344" s="34"/>
      <c r="W344" s="35" t="s">
        <v>70</v>
      </c>
      <c r="X344" s="543">
        <v>1000</v>
      </c>
      <c r="Y344" s="544">
        <f t="shared" si="31"/>
        <v>1005</v>
      </c>
      <c r="Z344" s="36">
        <f>IFERROR(IF(Y344=0,"",ROUNDUP(Y344/H344,0)*0.02175),"")</f>
        <v>1.4572499999999999</v>
      </c>
      <c r="AA344" s="56"/>
      <c r="AB344" s="57"/>
      <c r="AC344" s="393" t="s">
        <v>541</v>
      </c>
      <c r="AG344" s="64"/>
      <c r="AJ344" s="68"/>
      <c r="AK344" s="68">
        <v>0</v>
      </c>
      <c r="BB344" s="394" t="s">
        <v>1</v>
      </c>
      <c r="BM344" s="64">
        <f t="shared" si="32"/>
        <v>1031.3333333333333</v>
      </c>
      <c r="BN344" s="64">
        <f t="shared" si="33"/>
        <v>1036.49</v>
      </c>
      <c r="BO344" s="64">
        <f t="shared" si="34"/>
        <v>1.3888888888888888</v>
      </c>
      <c r="BP344" s="64">
        <f t="shared" si="35"/>
        <v>1.3958333333333333</v>
      </c>
    </row>
    <row r="345" spans="1:68" ht="27" customHeight="1" x14ac:dyDescent="0.25">
      <c r="A345" s="54" t="s">
        <v>542</v>
      </c>
      <c r="B345" s="54" t="s">
        <v>543</v>
      </c>
      <c r="C345" s="31">
        <v>4301012215</v>
      </c>
      <c r="D345" s="547">
        <v>4680115887046</v>
      </c>
      <c r="E345" s="548"/>
      <c r="F345" s="542">
        <v>2.5</v>
      </c>
      <c r="G345" s="32">
        <v>6</v>
      </c>
      <c r="H345" s="542">
        <v>15</v>
      </c>
      <c r="I345" s="542">
        <v>15.47</v>
      </c>
      <c r="J345" s="32">
        <v>48</v>
      </c>
      <c r="K345" s="32" t="s">
        <v>106</v>
      </c>
      <c r="L345" s="32"/>
      <c r="M345" s="33" t="s">
        <v>88</v>
      </c>
      <c r="N345" s="33"/>
      <c r="O345" s="32">
        <v>60</v>
      </c>
      <c r="P345" s="77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50"/>
      <c r="R345" s="550"/>
      <c r="S345" s="550"/>
      <c r="T345" s="551"/>
      <c r="U345" s="34"/>
      <c r="V345" s="34"/>
      <c r="W345" s="35" t="s">
        <v>70</v>
      </c>
      <c r="X345" s="543">
        <v>400</v>
      </c>
      <c r="Y345" s="544">
        <f t="shared" si="31"/>
        <v>405</v>
      </c>
      <c r="Z345" s="36">
        <f>IFERROR(IF(Y345=0,"",ROUNDUP(Y345/H345,0)*0.02175),"")</f>
        <v>0.58724999999999994</v>
      </c>
      <c r="AA345" s="56"/>
      <c r="AB345" s="57"/>
      <c r="AC345" s="395" t="s">
        <v>544</v>
      </c>
      <c r="AG345" s="64"/>
      <c r="AJ345" s="68"/>
      <c r="AK345" s="68">
        <v>0</v>
      </c>
      <c r="BB345" s="396" t="s">
        <v>1</v>
      </c>
      <c r="BM345" s="64">
        <f t="shared" si="32"/>
        <v>412.53333333333336</v>
      </c>
      <c r="BN345" s="64">
        <f t="shared" si="33"/>
        <v>417.69</v>
      </c>
      <c r="BO345" s="64">
        <f t="shared" si="34"/>
        <v>0.55555555555555558</v>
      </c>
      <c r="BP345" s="64">
        <f t="shared" si="35"/>
        <v>0.5625</v>
      </c>
    </row>
    <row r="346" spans="1:68" ht="27" customHeight="1" x14ac:dyDescent="0.25">
      <c r="A346" s="54" t="s">
        <v>545</v>
      </c>
      <c r="B346" s="54" t="s">
        <v>546</v>
      </c>
      <c r="C346" s="31">
        <v>4301011433</v>
      </c>
      <c r="D346" s="547">
        <v>4680115882638</v>
      </c>
      <c r="E346" s="548"/>
      <c r="F346" s="542">
        <v>0.4</v>
      </c>
      <c r="G346" s="32">
        <v>10</v>
      </c>
      <c r="H346" s="542">
        <v>4</v>
      </c>
      <c r="I346" s="542">
        <v>4.1900000000000004</v>
      </c>
      <c r="J346" s="32">
        <v>132</v>
      </c>
      <c r="K346" s="32" t="s">
        <v>113</v>
      </c>
      <c r="L346" s="32"/>
      <c r="M346" s="33" t="s">
        <v>108</v>
      </c>
      <c r="N346" s="33"/>
      <c r="O346" s="32">
        <v>90</v>
      </c>
      <c r="P346" s="80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50"/>
      <c r="R346" s="550"/>
      <c r="S346" s="550"/>
      <c r="T346" s="551"/>
      <c r="U346" s="34"/>
      <c r="V346" s="34"/>
      <c r="W346" s="35" t="s">
        <v>70</v>
      </c>
      <c r="X346" s="543">
        <v>0</v>
      </c>
      <c r="Y346" s="544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547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customHeight="1" x14ac:dyDescent="0.25">
      <c r="A347" s="54" t="s">
        <v>548</v>
      </c>
      <c r="B347" s="54" t="s">
        <v>549</v>
      </c>
      <c r="C347" s="31">
        <v>4301011952</v>
      </c>
      <c r="D347" s="547">
        <v>4680115884922</v>
      </c>
      <c r="E347" s="548"/>
      <c r="F347" s="542">
        <v>0.5</v>
      </c>
      <c r="G347" s="32">
        <v>10</v>
      </c>
      <c r="H347" s="542">
        <v>5</v>
      </c>
      <c r="I347" s="542">
        <v>5.19</v>
      </c>
      <c r="J347" s="32">
        <v>132</v>
      </c>
      <c r="K347" s="32" t="s">
        <v>113</v>
      </c>
      <c r="L347" s="32"/>
      <c r="M347" s="33" t="s">
        <v>68</v>
      </c>
      <c r="N347" s="33"/>
      <c r="O347" s="32">
        <v>60</v>
      </c>
      <c r="P347" s="82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50"/>
      <c r="R347" s="550"/>
      <c r="S347" s="550"/>
      <c r="T347" s="551"/>
      <c r="U347" s="34"/>
      <c r="V347" s="34"/>
      <c r="W347" s="35" t="s">
        <v>70</v>
      </c>
      <c r="X347" s="543">
        <v>0</v>
      </c>
      <c r="Y347" s="544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538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customHeight="1" x14ac:dyDescent="0.25">
      <c r="A348" s="54" t="s">
        <v>550</v>
      </c>
      <c r="B348" s="54" t="s">
        <v>551</v>
      </c>
      <c r="C348" s="31">
        <v>4301011868</v>
      </c>
      <c r="D348" s="547">
        <v>4680115884861</v>
      </c>
      <c r="E348" s="548"/>
      <c r="F348" s="542">
        <v>0.5</v>
      </c>
      <c r="G348" s="32">
        <v>10</v>
      </c>
      <c r="H348" s="542">
        <v>5</v>
      </c>
      <c r="I348" s="542">
        <v>5.19</v>
      </c>
      <c r="J348" s="32">
        <v>132</v>
      </c>
      <c r="K348" s="32" t="s">
        <v>113</v>
      </c>
      <c r="L348" s="32"/>
      <c r="M348" s="33" t="s">
        <v>68</v>
      </c>
      <c r="N348" s="33"/>
      <c r="O348" s="32">
        <v>60</v>
      </c>
      <c r="P348" s="80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50"/>
      <c r="R348" s="550"/>
      <c r="S348" s="550"/>
      <c r="T348" s="551"/>
      <c r="U348" s="34"/>
      <c r="V348" s="34"/>
      <c r="W348" s="35" t="s">
        <v>70</v>
      </c>
      <c r="X348" s="543">
        <v>0</v>
      </c>
      <c r="Y348" s="544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541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67"/>
      <c r="B349" s="557"/>
      <c r="C349" s="557"/>
      <c r="D349" s="557"/>
      <c r="E349" s="557"/>
      <c r="F349" s="557"/>
      <c r="G349" s="557"/>
      <c r="H349" s="557"/>
      <c r="I349" s="557"/>
      <c r="J349" s="557"/>
      <c r="K349" s="557"/>
      <c r="L349" s="557"/>
      <c r="M349" s="557"/>
      <c r="N349" s="557"/>
      <c r="O349" s="568"/>
      <c r="P349" s="561" t="s">
        <v>76</v>
      </c>
      <c r="Q349" s="562"/>
      <c r="R349" s="562"/>
      <c r="S349" s="562"/>
      <c r="T349" s="562"/>
      <c r="U349" s="562"/>
      <c r="V349" s="563"/>
      <c r="W349" s="37" t="s">
        <v>77</v>
      </c>
      <c r="X349" s="545">
        <f>IFERROR(X342/H342,"0")+IFERROR(X343/H343,"0")+IFERROR(X344/H344,"0")+IFERROR(X345/H345,"0")+IFERROR(X346/H346,"0")+IFERROR(X347/H347,"0")+IFERROR(X348/H348,"0")</f>
        <v>266.66666666666669</v>
      </c>
      <c r="Y349" s="545">
        <f>IFERROR(Y342/H342,"0")+IFERROR(Y343/H343,"0")+IFERROR(Y344/H344,"0")+IFERROR(Y345/H345,"0")+IFERROR(Y346/H346,"0")+IFERROR(Y347/H347,"0")+IFERROR(Y348/H348,"0")</f>
        <v>268</v>
      </c>
      <c r="Z349" s="545">
        <f>IFERROR(IF(Z342="",0,Z342),"0")+IFERROR(IF(Z343="",0,Z343),"0")+IFERROR(IF(Z344="",0,Z344),"0")+IFERROR(IF(Z345="",0,Z345),"0")+IFERROR(IF(Z346="",0,Z346),"0")+IFERROR(IF(Z347="",0,Z347),"0")+IFERROR(IF(Z348="",0,Z348),"0")</f>
        <v>5.8289999999999997</v>
      </c>
      <c r="AA349" s="546"/>
      <c r="AB349" s="546"/>
      <c r="AC349" s="546"/>
    </row>
    <row r="350" spans="1:68" x14ac:dyDescent="0.2">
      <c r="A350" s="557"/>
      <c r="B350" s="557"/>
      <c r="C350" s="557"/>
      <c r="D350" s="557"/>
      <c r="E350" s="557"/>
      <c r="F350" s="557"/>
      <c r="G350" s="557"/>
      <c r="H350" s="557"/>
      <c r="I350" s="557"/>
      <c r="J350" s="557"/>
      <c r="K350" s="557"/>
      <c r="L350" s="557"/>
      <c r="M350" s="557"/>
      <c r="N350" s="557"/>
      <c r="O350" s="568"/>
      <c r="P350" s="561" t="s">
        <v>76</v>
      </c>
      <c r="Q350" s="562"/>
      <c r="R350" s="562"/>
      <c r="S350" s="562"/>
      <c r="T350" s="562"/>
      <c r="U350" s="562"/>
      <c r="V350" s="563"/>
      <c r="W350" s="37" t="s">
        <v>70</v>
      </c>
      <c r="X350" s="545">
        <f>IFERROR(SUM(X342:X348),"0")</f>
        <v>4000</v>
      </c>
      <c r="Y350" s="545">
        <f>IFERROR(SUM(Y342:Y348),"0")</f>
        <v>4020</v>
      </c>
      <c r="Z350" s="37"/>
      <c r="AA350" s="546"/>
      <c r="AB350" s="546"/>
      <c r="AC350" s="546"/>
    </row>
    <row r="351" spans="1:68" ht="14.25" customHeight="1" x14ac:dyDescent="0.25">
      <c r="A351" s="556" t="s">
        <v>139</v>
      </c>
      <c r="B351" s="557"/>
      <c r="C351" s="557"/>
      <c r="D351" s="557"/>
      <c r="E351" s="557"/>
      <c r="F351" s="557"/>
      <c r="G351" s="557"/>
      <c r="H351" s="557"/>
      <c r="I351" s="557"/>
      <c r="J351" s="557"/>
      <c r="K351" s="557"/>
      <c r="L351" s="557"/>
      <c r="M351" s="557"/>
      <c r="N351" s="557"/>
      <c r="O351" s="557"/>
      <c r="P351" s="557"/>
      <c r="Q351" s="557"/>
      <c r="R351" s="557"/>
      <c r="S351" s="557"/>
      <c r="T351" s="557"/>
      <c r="U351" s="557"/>
      <c r="V351" s="557"/>
      <c r="W351" s="557"/>
      <c r="X351" s="557"/>
      <c r="Y351" s="557"/>
      <c r="Z351" s="557"/>
      <c r="AA351" s="539"/>
      <c r="AB351" s="539"/>
      <c r="AC351" s="539"/>
    </row>
    <row r="352" spans="1:68" ht="27" customHeight="1" x14ac:dyDescent="0.25">
      <c r="A352" s="54" t="s">
        <v>552</v>
      </c>
      <c r="B352" s="54" t="s">
        <v>553</v>
      </c>
      <c r="C352" s="31">
        <v>4301020178</v>
      </c>
      <c r="D352" s="547">
        <v>4607091383980</v>
      </c>
      <c r="E352" s="548"/>
      <c r="F352" s="542">
        <v>2.5</v>
      </c>
      <c r="G352" s="32">
        <v>6</v>
      </c>
      <c r="H352" s="542">
        <v>15</v>
      </c>
      <c r="I352" s="542">
        <v>15.47</v>
      </c>
      <c r="J352" s="32">
        <v>48</v>
      </c>
      <c r="K352" s="32" t="s">
        <v>106</v>
      </c>
      <c r="L352" s="32"/>
      <c r="M352" s="33" t="s">
        <v>108</v>
      </c>
      <c r="N352" s="33"/>
      <c r="O352" s="32">
        <v>50</v>
      </c>
      <c r="P352" s="66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50"/>
      <c r="R352" s="550"/>
      <c r="S352" s="550"/>
      <c r="T352" s="551"/>
      <c r="U352" s="34"/>
      <c r="V352" s="34"/>
      <c r="W352" s="35" t="s">
        <v>70</v>
      </c>
      <c r="X352" s="543">
        <v>1000</v>
      </c>
      <c r="Y352" s="544">
        <f>IFERROR(IF(X352="",0,CEILING((X352/$H352),1)*$H352),"")</f>
        <v>1005</v>
      </c>
      <c r="Z352" s="36">
        <f>IFERROR(IF(Y352=0,"",ROUNDUP(Y352/H352,0)*0.02175),"")</f>
        <v>1.4572499999999999</v>
      </c>
      <c r="AA352" s="56"/>
      <c r="AB352" s="57"/>
      <c r="AC352" s="403" t="s">
        <v>554</v>
      </c>
      <c r="AG352" s="64"/>
      <c r="AJ352" s="68"/>
      <c r="AK352" s="68">
        <v>0</v>
      </c>
      <c r="BB352" s="404" t="s">
        <v>1</v>
      </c>
      <c r="BM352" s="64">
        <f>IFERROR(X352*I352/H352,"0")</f>
        <v>1031.3333333333333</v>
      </c>
      <c r="BN352" s="64">
        <f>IFERROR(Y352*I352/H352,"0")</f>
        <v>1036.49</v>
      </c>
      <c r="BO352" s="64">
        <f>IFERROR(1/J352*(X352/H352),"0")</f>
        <v>1.3888888888888888</v>
      </c>
      <c r="BP352" s="64">
        <f>IFERROR(1/J352*(Y352/H352),"0")</f>
        <v>1.3958333333333333</v>
      </c>
    </row>
    <row r="353" spans="1:68" ht="27" customHeight="1" x14ac:dyDescent="0.25">
      <c r="A353" s="54" t="s">
        <v>555</v>
      </c>
      <c r="B353" s="54" t="s">
        <v>556</v>
      </c>
      <c r="C353" s="31">
        <v>4301020179</v>
      </c>
      <c r="D353" s="547">
        <v>4607091384178</v>
      </c>
      <c r="E353" s="548"/>
      <c r="F353" s="542">
        <v>0.4</v>
      </c>
      <c r="G353" s="32">
        <v>10</v>
      </c>
      <c r="H353" s="542">
        <v>4</v>
      </c>
      <c r="I353" s="542">
        <v>4.1900000000000004</v>
      </c>
      <c r="J353" s="32">
        <v>132</v>
      </c>
      <c r="K353" s="32" t="s">
        <v>113</v>
      </c>
      <c r="L353" s="32"/>
      <c r="M353" s="33" t="s">
        <v>108</v>
      </c>
      <c r="N353" s="33"/>
      <c r="O353" s="32">
        <v>50</v>
      </c>
      <c r="P353" s="69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50"/>
      <c r="R353" s="550"/>
      <c r="S353" s="550"/>
      <c r="T353" s="551"/>
      <c r="U353" s="34"/>
      <c r="V353" s="34"/>
      <c r="W353" s="35" t="s">
        <v>70</v>
      </c>
      <c r="X353" s="543">
        <v>12</v>
      </c>
      <c r="Y353" s="544">
        <f>IFERROR(IF(X353="",0,CEILING((X353/$H353),1)*$H353),"")</f>
        <v>12</v>
      </c>
      <c r="Z353" s="36">
        <f>IFERROR(IF(Y353=0,"",ROUNDUP(Y353/H353,0)*0.00902),"")</f>
        <v>2.7060000000000001E-2</v>
      </c>
      <c r="AA353" s="56"/>
      <c r="AB353" s="57"/>
      <c r="AC353" s="405" t="s">
        <v>557</v>
      </c>
      <c r="AG353" s="64"/>
      <c r="AJ353" s="68"/>
      <c r="AK353" s="68">
        <v>0</v>
      </c>
      <c r="BB353" s="406" t="s">
        <v>1</v>
      </c>
      <c r="BM353" s="64">
        <f>IFERROR(X353*I353/H353,"0")</f>
        <v>12.57</v>
      </c>
      <c r="BN353" s="64">
        <f>IFERROR(Y353*I353/H353,"0")</f>
        <v>12.57</v>
      </c>
      <c r="BO353" s="64">
        <f>IFERROR(1/J353*(X353/H353),"0")</f>
        <v>2.2727272727272728E-2</v>
      </c>
      <c r="BP353" s="64">
        <f>IFERROR(1/J353*(Y353/H353),"0")</f>
        <v>2.2727272727272728E-2</v>
      </c>
    </row>
    <row r="354" spans="1:68" x14ac:dyDescent="0.2">
      <c r="A354" s="567"/>
      <c r="B354" s="557"/>
      <c r="C354" s="557"/>
      <c r="D354" s="557"/>
      <c r="E354" s="557"/>
      <c r="F354" s="557"/>
      <c r="G354" s="557"/>
      <c r="H354" s="557"/>
      <c r="I354" s="557"/>
      <c r="J354" s="557"/>
      <c r="K354" s="557"/>
      <c r="L354" s="557"/>
      <c r="M354" s="557"/>
      <c r="N354" s="557"/>
      <c r="O354" s="568"/>
      <c r="P354" s="561" t="s">
        <v>76</v>
      </c>
      <c r="Q354" s="562"/>
      <c r="R354" s="562"/>
      <c r="S354" s="562"/>
      <c r="T354" s="562"/>
      <c r="U354" s="562"/>
      <c r="V354" s="563"/>
      <c r="W354" s="37" t="s">
        <v>77</v>
      </c>
      <c r="X354" s="545">
        <f>IFERROR(X352/H352,"0")+IFERROR(X353/H353,"0")</f>
        <v>69.666666666666671</v>
      </c>
      <c r="Y354" s="545">
        <f>IFERROR(Y352/H352,"0")+IFERROR(Y353/H353,"0")</f>
        <v>70</v>
      </c>
      <c r="Z354" s="545">
        <f>IFERROR(IF(Z352="",0,Z352),"0")+IFERROR(IF(Z353="",0,Z353),"0")</f>
        <v>1.48431</v>
      </c>
      <c r="AA354" s="546"/>
      <c r="AB354" s="546"/>
      <c r="AC354" s="546"/>
    </row>
    <row r="355" spans="1:68" x14ac:dyDescent="0.2">
      <c r="A355" s="557"/>
      <c r="B355" s="557"/>
      <c r="C355" s="557"/>
      <c r="D355" s="557"/>
      <c r="E355" s="557"/>
      <c r="F355" s="557"/>
      <c r="G355" s="557"/>
      <c r="H355" s="557"/>
      <c r="I355" s="557"/>
      <c r="J355" s="557"/>
      <c r="K355" s="557"/>
      <c r="L355" s="557"/>
      <c r="M355" s="557"/>
      <c r="N355" s="557"/>
      <c r="O355" s="568"/>
      <c r="P355" s="561" t="s">
        <v>76</v>
      </c>
      <c r="Q355" s="562"/>
      <c r="R355" s="562"/>
      <c r="S355" s="562"/>
      <c r="T355" s="562"/>
      <c r="U355" s="562"/>
      <c r="V355" s="563"/>
      <c r="W355" s="37" t="s">
        <v>70</v>
      </c>
      <c r="X355" s="545">
        <f>IFERROR(SUM(X352:X353),"0")</f>
        <v>1012</v>
      </c>
      <c r="Y355" s="545">
        <f>IFERROR(SUM(Y352:Y353),"0")</f>
        <v>1017</v>
      </c>
      <c r="Z355" s="37"/>
      <c r="AA355" s="546"/>
      <c r="AB355" s="546"/>
      <c r="AC355" s="546"/>
    </row>
    <row r="356" spans="1:68" ht="14.25" customHeight="1" x14ac:dyDescent="0.25">
      <c r="A356" s="556" t="s">
        <v>78</v>
      </c>
      <c r="B356" s="557"/>
      <c r="C356" s="557"/>
      <c r="D356" s="557"/>
      <c r="E356" s="557"/>
      <c r="F356" s="557"/>
      <c r="G356" s="557"/>
      <c r="H356" s="557"/>
      <c r="I356" s="557"/>
      <c r="J356" s="557"/>
      <c r="K356" s="557"/>
      <c r="L356" s="557"/>
      <c r="M356" s="557"/>
      <c r="N356" s="557"/>
      <c r="O356" s="557"/>
      <c r="P356" s="557"/>
      <c r="Q356" s="557"/>
      <c r="R356" s="557"/>
      <c r="S356" s="557"/>
      <c r="T356" s="557"/>
      <c r="U356" s="557"/>
      <c r="V356" s="557"/>
      <c r="W356" s="557"/>
      <c r="X356" s="557"/>
      <c r="Y356" s="557"/>
      <c r="Z356" s="557"/>
      <c r="AA356" s="539"/>
      <c r="AB356" s="539"/>
      <c r="AC356" s="539"/>
    </row>
    <row r="357" spans="1:68" ht="27" customHeight="1" x14ac:dyDescent="0.25">
      <c r="A357" s="54" t="s">
        <v>558</v>
      </c>
      <c r="B357" s="54" t="s">
        <v>559</v>
      </c>
      <c r="C357" s="31">
        <v>4301051903</v>
      </c>
      <c r="D357" s="547">
        <v>4607091383928</v>
      </c>
      <c r="E357" s="548"/>
      <c r="F357" s="542">
        <v>1.5</v>
      </c>
      <c r="G357" s="32">
        <v>6</v>
      </c>
      <c r="H357" s="542">
        <v>9</v>
      </c>
      <c r="I357" s="542">
        <v>9.5</v>
      </c>
      <c r="J357" s="32">
        <v>64</v>
      </c>
      <c r="K357" s="32" t="s">
        <v>106</v>
      </c>
      <c r="L357" s="32"/>
      <c r="M357" s="33" t="s">
        <v>81</v>
      </c>
      <c r="N357" s="33"/>
      <c r="O357" s="32">
        <v>40</v>
      </c>
      <c r="P357" s="84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50"/>
      <c r="R357" s="550"/>
      <c r="S357" s="550"/>
      <c r="T357" s="551"/>
      <c r="U357" s="34"/>
      <c r="V357" s="34"/>
      <c r="W357" s="35" t="s">
        <v>70</v>
      </c>
      <c r="X357" s="543">
        <v>0</v>
      </c>
      <c r="Y357" s="544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560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561</v>
      </c>
      <c r="B358" s="54" t="s">
        <v>562</v>
      </c>
      <c r="C358" s="31">
        <v>4301051897</v>
      </c>
      <c r="D358" s="547">
        <v>4607091384260</v>
      </c>
      <c r="E358" s="548"/>
      <c r="F358" s="542">
        <v>1.5</v>
      </c>
      <c r="G358" s="32">
        <v>6</v>
      </c>
      <c r="H358" s="542">
        <v>9</v>
      </c>
      <c r="I358" s="542">
        <v>9.4939999999999998</v>
      </c>
      <c r="J358" s="32">
        <v>64</v>
      </c>
      <c r="K358" s="32" t="s">
        <v>106</v>
      </c>
      <c r="L358" s="32" t="s">
        <v>107</v>
      </c>
      <c r="M358" s="33" t="s">
        <v>81</v>
      </c>
      <c r="N358" s="33"/>
      <c r="O358" s="32">
        <v>40</v>
      </c>
      <c r="P358" s="68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50"/>
      <c r="R358" s="550"/>
      <c r="S358" s="550"/>
      <c r="T358" s="551"/>
      <c r="U358" s="34"/>
      <c r="V358" s="34"/>
      <c r="W358" s="35" t="s">
        <v>70</v>
      </c>
      <c r="X358" s="543">
        <v>20</v>
      </c>
      <c r="Y358" s="544">
        <f>IFERROR(IF(X358="",0,CEILING((X358/$H358),1)*$H358),"")</f>
        <v>27</v>
      </c>
      <c r="Z358" s="36">
        <f>IFERROR(IF(Y358=0,"",ROUNDUP(Y358/H358,0)*0.01898),"")</f>
        <v>5.6940000000000004E-2</v>
      </c>
      <c r="AA358" s="56"/>
      <c r="AB358" s="57"/>
      <c r="AC358" s="409" t="s">
        <v>563</v>
      </c>
      <c r="AG358" s="64"/>
      <c r="AJ358" s="68" t="s">
        <v>110</v>
      </c>
      <c r="AK358" s="68">
        <v>72</v>
      </c>
      <c r="BB358" s="410" t="s">
        <v>1</v>
      </c>
      <c r="BM358" s="64">
        <f>IFERROR(X358*I358/H358,"0")</f>
        <v>21.097777777777779</v>
      </c>
      <c r="BN358" s="64">
        <f>IFERROR(Y358*I358/H358,"0")</f>
        <v>28.481999999999996</v>
      </c>
      <c r="BO358" s="64">
        <f>IFERROR(1/J358*(X358/H358),"0")</f>
        <v>3.4722222222222224E-2</v>
      </c>
      <c r="BP358" s="64">
        <f>IFERROR(1/J358*(Y358/H358),"0")</f>
        <v>4.6875E-2</v>
      </c>
    </row>
    <row r="359" spans="1:68" x14ac:dyDescent="0.2">
      <c r="A359" s="567"/>
      <c r="B359" s="557"/>
      <c r="C359" s="557"/>
      <c r="D359" s="557"/>
      <c r="E359" s="557"/>
      <c r="F359" s="557"/>
      <c r="G359" s="557"/>
      <c r="H359" s="557"/>
      <c r="I359" s="557"/>
      <c r="J359" s="557"/>
      <c r="K359" s="557"/>
      <c r="L359" s="557"/>
      <c r="M359" s="557"/>
      <c r="N359" s="557"/>
      <c r="O359" s="568"/>
      <c r="P359" s="561" t="s">
        <v>76</v>
      </c>
      <c r="Q359" s="562"/>
      <c r="R359" s="562"/>
      <c r="S359" s="562"/>
      <c r="T359" s="562"/>
      <c r="U359" s="562"/>
      <c r="V359" s="563"/>
      <c r="W359" s="37" t="s">
        <v>77</v>
      </c>
      <c r="X359" s="545">
        <f>IFERROR(X357/H357,"0")+IFERROR(X358/H358,"0")</f>
        <v>2.2222222222222223</v>
      </c>
      <c r="Y359" s="545">
        <f>IFERROR(Y357/H357,"0")+IFERROR(Y358/H358,"0")</f>
        <v>3</v>
      </c>
      <c r="Z359" s="545">
        <f>IFERROR(IF(Z357="",0,Z357),"0")+IFERROR(IF(Z358="",0,Z358),"0")</f>
        <v>5.6940000000000004E-2</v>
      </c>
      <c r="AA359" s="546"/>
      <c r="AB359" s="546"/>
      <c r="AC359" s="546"/>
    </row>
    <row r="360" spans="1:68" x14ac:dyDescent="0.2">
      <c r="A360" s="557"/>
      <c r="B360" s="557"/>
      <c r="C360" s="557"/>
      <c r="D360" s="557"/>
      <c r="E360" s="557"/>
      <c r="F360" s="557"/>
      <c r="G360" s="557"/>
      <c r="H360" s="557"/>
      <c r="I360" s="557"/>
      <c r="J360" s="557"/>
      <c r="K360" s="557"/>
      <c r="L360" s="557"/>
      <c r="M360" s="557"/>
      <c r="N360" s="557"/>
      <c r="O360" s="568"/>
      <c r="P360" s="561" t="s">
        <v>76</v>
      </c>
      <c r="Q360" s="562"/>
      <c r="R360" s="562"/>
      <c r="S360" s="562"/>
      <c r="T360" s="562"/>
      <c r="U360" s="562"/>
      <c r="V360" s="563"/>
      <c r="W360" s="37" t="s">
        <v>70</v>
      </c>
      <c r="X360" s="545">
        <f>IFERROR(SUM(X357:X358),"0")</f>
        <v>20</v>
      </c>
      <c r="Y360" s="545">
        <f>IFERROR(SUM(Y357:Y358),"0")</f>
        <v>27</v>
      </c>
      <c r="Z360" s="37"/>
      <c r="AA360" s="546"/>
      <c r="AB360" s="546"/>
      <c r="AC360" s="546"/>
    </row>
    <row r="361" spans="1:68" ht="14.25" customHeight="1" x14ac:dyDescent="0.25">
      <c r="A361" s="556" t="s">
        <v>167</v>
      </c>
      <c r="B361" s="557"/>
      <c r="C361" s="557"/>
      <c r="D361" s="557"/>
      <c r="E361" s="557"/>
      <c r="F361" s="557"/>
      <c r="G361" s="557"/>
      <c r="H361" s="557"/>
      <c r="I361" s="557"/>
      <c r="J361" s="557"/>
      <c r="K361" s="557"/>
      <c r="L361" s="557"/>
      <c r="M361" s="557"/>
      <c r="N361" s="557"/>
      <c r="O361" s="557"/>
      <c r="P361" s="557"/>
      <c r="Q361" s="557"/>
      <c r="R361" s="557"/>
      <c r="S361" s="557"/>
      <c r="T361" s="557"/>
      <c r="U361" s="557"/>
      <c r="V361" s="557"/>
      <c r="W361" s="557"/>
      <c r="X361" s="557"/>
      <c r="Y361" s="557"/>
      <c r="Z361" s="557"/>
      <c r="AA361" s="539"/>
      <c r="AB361" s="539"/>
      <c r="AC361" s="539"/>
    </row>
    <row r="362" spans="1:68" ht="16.5" customHeight="1" x14ac:dyDescent="0.25">
      <c r="A362" s="54" t="s">
        <v>564</v>
      </c>
      <c r="B362" s="54" t="s">
        <v>565</v>
      </c>
      <c r="C362" s="31">
        <v>4301060524</v>
      </c>
      <c r="D362" s="547">
        <v>4607091384673</v>
      </c>
      <c r="E362" s="548"/>
      <c r="F362" s="542">
        <v>1.5</v>
      </c>
      <c r="G362" s="32">
        <v>6</v>
      </c>
      <c r="H362" s="542">
        <v>9</v>
      </c>
      <c r="I362" s="542">
        <v>9.4939999999999998</v>
      </c>
      <c r="J362" s="32">
        <v>64</v>
      </c>
      <c r="K362" s="32" t="s">
        <v>106</v>
      </c>
      <c r="L362" s="32"/>
      <c r="M362" s="33" t="s">
        <v>81</v>
      </c>
      <c r="N362" s="33"/>
      <c r="O362" s="32">
        <v>40</v>
      </c>
      <c r="P362" s="82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50"/>
      <c r="R362" s="550"/>
      <c r="S362" s="550"/>
      <c r="T362" s="551"/>
      <c r="U362" s="34"/>
      <c r="V362" s="34"/>
      <c r="W362" s="35" t="s">
        <v>70</v>
      </c>
      <c r="X362" s="543">
        <v>0</v>
      </c>
      <c r="Y362" s="544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1" t="s">
        <v>566</v>
      </c>
      <c r="AG362" s="64"/>
      <c r="AJ362" s="68"/>
      <c r="AK362" s="68">
        <v>0</v>
      </c>
      <c r="BB362" s="412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x14ac:dyDescent="0.2">
      <c r="A363" s="567"/>
      <c r="B363" s="557"/>
      <c r="C363" s="557"/>
      <c r="D363" s="557"/>
      <c r="E363" s="557"/>
      <c r="F363" s="557"/>
      <c r="G363" s="557"/>
      <c r="H363" s="557"/>
      <c r="I363" s="557"/>
      <c r="J363" s="557"/>
      <c r="K363" s="557"/>
      <c r="L363" s="557"/>
      <c r="M363" s="557"/>
      <c r="N363" s="557"/>
      <c r="O363" s="568"/>
      <c r="P363" s="561" t="s">
        <v>76</v>
      </c>
      <c r="Q363" s="562"/>
      <c r="R363" s="562"/>
      <c r="S363" s="562"/>
      <c r="T363" s="562"/>
      <c r="U363" s="562"/>
      <c r="V363" s="563"/>
      <c r="W363" s="37" t="s">
        <v>77</v>
      </c>
      <c r="X363" s="545">
        <f>IFERROR(X362/H362,"0")</f>
        <v>0</v>
      </c>
      <c r="Y363" s="545">
        <f>IFERROR(Y362/H362,"0")</f>
        <v>0</v>
      </c>
      <c r="Z363" s="545">
        <f>IFERROR(IF(Z362="",0,Z362),"0")</f>
        <v>0</v>
      </c>
      <c r="AA363" s="546"/>
      <c r="AB363" s="546"/>
      <c r="AC363" s="546"/>
    </row>
    <row r="364" spans="1:68" x14ac:dyDescent="0.2">
      <c r="A364" s="557"/>
      <c r="B364" s="557"/>
      <c r="C364" s="557"/>
      <c r="D364" s="557"/>
      <c r="E364" s="557"/>
      <c r="F364" s="557"/>
      <c r="G364" s="557"/>
      <c r="H364" s="557"/>
      <c r="I364" s="557"/>
      <c r="J364" s="557"/>
      <c r="K364" s="557"/>
      <c r="L364" s="557"/>
      <c r="M364" s="557"/>
      <c r="N364" s="557"/>
      <c r="O364" s="568"/>
      <c r="P364" s="561" t="s">
        <v>76</v>
      </c>
      <c r="Q364" s="562"/>
      <c r="R364" s="562"/>
      <c r="S364" s="562"/>
      <c r="T364" s="562"/>
      <c r="U364" s="562"/>
      <c r="V364" s="563"/>
      <c r="W364" s="37" t="s">
        <v>70</v>
      </c>
      <c r="X364" s="545">
        <f>IFERROR(SUM(X362:X362),"0")</f>
        <v>0</v>
      </c>
      <c r="Y364" s="545">
        <f>IFERROR(SUM(Y362:Y362),"0")</f>
        <v>0</v>
      </c>
      <c r="Z364" s="37"/>
      <c r="AA364" s="546"/>
      <c r="AB364" s="546"/>
      <c r="AC364" s="546"/>
    </row>
    <row r="365" spans="1:68" ht="16.5" customHeight="1" x14ac:dyDescent="0.25">
      <c r="A365" s="558" t="s">
        <v>567</v>
      </c>
      <c r="B365" s="557"/>
      <c r="C365" s="557"/>
      <c r="D365" s="557"/>
      <c r="E365" s="557"/>
      <c r="F365" s="557"/>
      <c r="G365" s="557"/>
      <c r="H365" s="557"/>
      <c r="I365" s="557"/>
      <c r="J365" s="557"/>
      <c r="K365" s="557"/>
      <c r="L365" s="557"/>
      <c r="M365" s="557"/>
      <c r="N365" s="557"/>
      <c r="O365" s="557"/>
      <c r="P365" s="557"/>
      <c r="Q365" s="557"/>
      <c r="R365" s="557"/>
      <c r="S365" s="557"/>
      <c r="T365" s="557"/>
      <c r="U365" s="557"/>
      <c r="V365" s="557"/>
      <c r="W365" s="557"/>
      <c r="X365" s="557"/>
      <c r="Y365" s="557"/>
      <c r="Z365" s="557"/>
      <c r="AA365" s="538"/>
      <c r="AB365" s="538"/>
      <c r="AC365" s="538"/>
    </row>
    <row r="366" spans="1:68" ht="14.25" customHeight="1" x14ac:dyDescent="0.25">
      <c r="A366" s="556" t="s">
        <v>103</v>
      </c>
      <c r="B366" s="557"/>
      <c r="C366" s="557"/>
      <c r="D366" s="557"/>
      <c r="E366" s="557"/>
      <c r="F366" s="557"/>
      <c r="G366" s="557"/>
      <c r="H366" s="557"/>
      <c r="I366" s="557"/>
      <c r="J366" s="557"/>
      <c r="K366" s="557"/>
      <c r="L366" s="557"/>
      <c r="M366" s="557"/>
      <c r="N366" s="557"/>
      <c r="O366" s="557"/>
      <c r="P366" s="557"/>
      <c r="Q366" s="557"/>
      <c r="R366" s="557"/>
      <c r="S366" s="557"/>
      <c r="T366" s="557"/>
      <c r="U366" s="557"/>
      <c r="V366" s="557"/>
      <c r="W366" s="557"/>
      <c r="X366" s="557"/>
      <c r="Y366" s="557"/>
      <c r="Z366" s="557"/>
      <c r="AA366" s="539"/>
      <c r="AB366" s="539"/>
      <c r="AC366" s="539"/>
    </row>
    <row r="367" spans="1:68" ht="37.5" customHeight="1" x14ac:dyDescent="0.25">
      <c r="A367" s="54" t="s">
        <v>568</v>
      </c>
      <c r="B367" s="54" t="s">
        <v>569</v>
      </c>
      <c r="C367" s="31">
        <v>4301011875</v>
      </c>
      <c r="D367" s="547">
        <v>4680115884885</v>
      </c>
      <c r="E367" s="548"/>
      <c r="F367" s="542">
        <v>0.8</v>
      </c>
      <c r="G367" s="32">
        <v>15</v>
      </c>
      <c r="H367" s="542">
        <v>12</v>
      </c>
      <c r="I367" s="542">
        <v>12.41</v>
      </c>
      <c r="J367" s="32">
        <v>64</v>
      </c>
      <c r="K367" s="32" t="s">
        <v>106</v>
      </c>
      <c r="L367" s="32" t="s">
        <v>107</v>
      </c>
      <c r="M367" s="33" t="s">
        <v>68</v>
      </c>
      <c r="N367" s="33"/>
      <c r="O367" s="32">
        <v>60</v>
      </c>
      <c r="P367" s="83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50"/>
      <c r="R367" s="550"/>
      <c r="S367" s="550"/>
      <c r="T367" s="551"/>
      <c r="U367" s="34"/>
      <c r="V367" s="34"/>
      <c r="W367" s="35" t="s">
        <v>70</v>
      </c>
      <c r="X367" s="543">
        <v>0</v>
      </c>
      <c r="Y367" s="54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570</v>
      </c>
      <c r="AG367" s="64"/>
      <c r="AJ367" s="68" t="s">
        <v>110</v>
      </c>
      <c r="AK367" s="68">
        <v>96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customHeight="1" x14ac:dyDescent="0.25">
      <c r="A368" s="54" t="s">
        <v>571</v>
      </c>
      <c r="B368" s="54" t="s">
        <v>572</v>
      </c>
      <c r="C368" s="31">
        <v>4301011871</v>
      </c>
      <c r="D368" s="547">
        <v>4680115884908</v>
      </c>
      <c r="E368" s="548"/>
      <c r="F368" s="542">
        <v>0.4</v>
      </c>
      <c r="G368" s="32">
        <v>10</v>
      </c>
      <c r="H368" s="542">
        <v>4</v>
      </c>
      <c r="I368" s="542">
        <v>4.1900000000000004</v>
      </c>
      <c r="J368" s="32">
        <v>132</v>
      </c>
      <c r="K368" s="32" t="s">
        <v>113</v>
      </c>
      <c r="L368" s="32"/>
      <c r="M368" s="33" t="s">
        <v>68</v>
      </c>
      <c r="N368" s="33"/>
      <c r="O368" s="32">
        <v>60</v>
      </c>
      <c r="P368" s="85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50"/>
      <c r="R368" s="550"/>
      <c r="S368" s="550"/>
      <c r="T368" s="551"/>
      <c r="U368" s="34"/>
      <c r="V368" s="34"/>
      <c r="W368" s="35" t="s">
        <v>70</v>
      </c>
      <c r="X368" s="543">
        <v>0</v>
      </c>
      <c r="Y368" s="544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570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67"/>
      <c r="B369" s="557"/>
      <c r="C369" s="557"/>
      <c r="D369" s="557"/>
      <c r="E369" s="557"/>
      <c r="F369" s="557"/>
      <c r="G369" s="557"/>
      <c r="H369" s="557"/>
      <c r="I369" s="557"/>
      <c r="J369" s="557"/>
      <c r="K369" s="557"/>
      <c r="L369" s="557"/>
      <c r="M369" s="557"/>
      <c r="N369" s="557"/>
      <c r="O369" s="568"/>
      <c r="P369" s="561" t="s">
        <v>76</v>
      </c>
      <c r="Q369" s="562"/>
      <c r="R369" s="562"/>
      <c r="S369" s="562"/>
      <c r="T369" s="562"/>
      <c r="U369" s="562"/>
      <c r="V369" s="563"/>
      <c r="W369" s="37" t="s">
        <v>77</v>
      </c>
      <c r="X369" s="545">
        <f>IFERROR(X367/H367,"0")+IFERROR(X368/H368,"0")</f>
        <v>0</v>
      </c>
      <c r="Y369" s="545">
        <f>IFERROR(Y367/H367,"0")+IFERROR(Y368/H368,"0")</f>
        <v>0</v>
      </c>
      <c r="Z369" s="545">
        <f>IFERROR(IF(Z367="",0,Z367),"0")+IFERROR(IF(Z368="",0,Z368),"0")</f>
        <v>0</v>
      </c>
      <c r="AA369" s="546"/>
      <c r="AB369" s="546"/>
      <c r="AC369" s="546"/>
    </row>
    <row r="370" spans="1:68" x14ac:dyDescent="0.2">
      <c r="A370" s="557"/>
      <c r="B370" s="557"/>
      <c r="C370" s="557"/>
      <c r="D370" s="557"/>
      <c r="E370" s="557"/>
      <c r="F370" s="557"/>
      <c r="G370" s="557"/>
      <c r="H370" s="557"/>
      <c r="I370" s="557"/>
      <c r="J370" s="557"/>
      <c r="K370" s="557"/>
      <c r="L370" s="557"/>
      <c r="M370" s="557"/>
      <c r="N370" s="557"/>
      <c r="O370" s="568"/>
      <c r="P370" s="561" t="s">
        <v>76</v>
      </c>
      <c r="Q370" s="562"/>
      <c r="R370" s="562"/>
      <c r="S370" s="562"/>
      <c r="T370" s="562"/>
      <c r="U370" s="562"/>
      <c r="V370" s="563"/>
      <c r="W370" s="37" t="s">
        <v>70</v>
      </c>
      <c r="X370" s="545">
        <f>IFERROR(SUM(X367:X368),"0")</f>
        <v>0</v>
      </c>
      <c r="Y370" s="545">
        <f>IFERROR(SUM(Y367:Y368),"0")</f>
        <v>0</v>
      </c>
      <c r="Z370" s="37"/>
      <c r="AA370" s="546"/>
      <c r="AB370" s="546"/>
      <c r="AC370" s="546"/>
    </row>
    <row r="371" spans="1:68" ht="14.25" customHeight="1" x14ac:dyDescent="0.25">
      <c r="A371" s="556" t="s">
        <v>64</v>
      </c>
      <c r="B371" s="557"/>
      <c r="C371" s="557"/>
      <c r="D371" s="557"/>
      <c r="E371" s="557"/>
      <c r="F371" s="557"/>
      <c r="G371" s="557"/>
      <c r="H371" s="557"/>
      <c r="I371" s="557"/>
      <c r="J371" s="557"/>
      <c r="K371" s="557"/>
      <c r="L371" s="557"/>
      <c r="M371" s="557"/>
      <c r="N371" s="557"/>
      <c r="O371" s="557"/>
      <c r="P371" s="557"/>
      <c r="Q371" s="557"/>
      <c r="R371" s="557"/>
      <c r="S371" s="557"/>
      <c r="T371" s="557"/>
      <c r="U371" s="557"/>
      <c r="V371" s="557"/>
      <c r="W371" s="557"/>
      <c r="X371" s="557"/>
      <c r="Y371" s="557"/>
      <c r="Z371" s="557"/>
      <c r="AA371" s="539"/>
      <c r="AB371" s="539"/>
      <c r="AC371" s="539"/>
    </row>
    <row r="372" spans="1:68" ht="27" customHeight="1" x14ac:dyDescent="0.25">
      <c r="A372" s="54" t="s">
        <v>573</v>
      </c>
      <c r="B372" s="54" t="s">
        <v>574</v>
      </c>
      <c r="C372" s="31">
        <v>4301031303</v>
      </c>
      <c r="D372" s="547">
        <v>4607091384802</v>
      </c>
      <c r="E372" s="548"/>
      <c r="F372" s="542">
        <v>0.73</v>
      </c>
      <c r="G372" s="32">
        <v>6</v>
      </c>
      <c r="H372" s="542">
        <v>4.38</v>
      </c>
      <c r="I372" s="542">
        <v>4.63</v>
      </c>
      <c r="J372" s="32">
        <v>132</v>
      </c>
      <c r="K372" s="32" t="s">
        <v>113</v>
      </c>
      <c r="L372" s="32"/>
      <c r="M372" s="33" t="s">
        <v>68</v>
      </c>
      <c r="N372" s="33"/>
      <c r="O372" s="32">
        <v>35</v>
      </c>
      <c r="P372" s="713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50"/>
      <c r="R372" s="550"/>
      <c r="S372" s="550"/>
      <c r="T372" s="551"/>
      <c r="U372" s="34"/>
      <c r="V372" s="34"/>
      <c r="W372" s="35" t="s">
        <v>70</v>
      </c>
      <c r="X372" s="543">
        <v>0</v>
      </c>
      <c r="Y372" s="544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575</v>
      </c>
      <c r="AG372" s="64"/>
      <c r="AJ372" s="68"/>
      <c r="AK372" s="68">
        <v>0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573</v>
      </c>
      <c r="B373" s="54" t="s">
        <v>576</v>
      </c>
      <c r="C373" s="31">
        <v>4301031457</v>
      </c>
      <c r="D373" s="547">
        <v>4607091384802</v>
      </c>
      <c r="E373" s="548"/>
      <c r="F373" s="542">
        <v>0.7</v>
      </c>
      <c r="G373" s="32">
        <v>6</v>
      </c>
      <c r="H373" s="542">
        <v>4.2</v>
      </c>
      <c r="I373" s="542">
        <v>4.45</v>
      </c>
      <c r="J373" s="32">
        <v>132</v>
      </c>
      <c r="K373" s="32" t="s">
        <v>113</v>
      </c>
      <c r="L373" s="32"/>
      <c r="M373" s="33" t="s">
        <v>68</v>
      </c>
      <c r="N373" s="33"/>
      <c r="O373" s="32">
        <v>50</v>
      </c>
      <c r="P373" s="86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50"/>
      <c r="R373" s="550"/>
      <c r="S373" s="550"/>
      <c r="T373" s="551"/>
      <c r="U373" s="34"/>
      <c r="V373" s="34"/>
      <c r="W373" s="35" t="s">
        <v>70</v>
      </c>
      <c r="X373" s="543">
        <v>0</v>
      </c>
      <c r="Y373" s="544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577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x14ac:dyDescent="0.2">
      <c r="A374" s="567"/>
      <c r="B374" s="557"/>
      <c r="C374" s="557"/>
      <c r="D374" s="557"/>
      <c r="E374" s="557"/>
      <c r="F374" s="557"/>
      <c r="G374" s="557"/>
      <c r="H374" s="557"/>
      <c r="I374" s="557"/>
      <c r="J374" s="557"/>
      <c r="K374" s="557"/>
      <c r="L374" s="557"/>
      <c r="M374" s="557"/>
      <c r="N374" s="557"/>
      <c r="O374" s="568"/>
      <c r="P374" s="561" t="s">
        <v>76</v>
      </c>
      <c r="Q374" s="562"/>
      <c r="R374" s="562"/>
      <c r="S374" s="562"/>
      <c r="T374" s="562"/>
      <c r="U374" s="562"/>
      <c r="V374" s="563"/>
      <c r="W374" s="37" t="s">
        <v>77</v>
      </c>
      <c r="X374" s="545">
        <f>IFERROR(X372/H372,"0")+IFERROR(X373/H373,"0")</f>
        <v>0</v>
      </c>
      <c r="Y374" s="545">
        <f>IFERROR(Y372/H372,"0")+IFERROR(Y373/H373,"0")</f>
        <v>0</v>
      </c>
      <c r="Z374" s="545">
        <f>IFERROR(IF(Z372="",0,Z372),"0")+IFERROR(IF(Z373="",0,Z373),"0")</f>
        <v>0</v>
      </c>
      <c r="AA374" s="546"/>
      <c r="AB374" s="546"/>
      <c r="AC374" s="546"/>
    </row>
    <row r="375" spans="1:68" x14ac:dyDescent="0.2">
      <c r="A375" s="557"/>
      <c r="B375" s="557"/>
      <c r="C375" s="557"/>
      <c r="D375" s="557"/>
      <c r="E375" s="557"/>
      <c r="F375" s="557"/>
      <c r="G375" s="557"/>
      <c r="H375" s="557"/>
      <c r="I375" s="557"/>
      <c r="J375" s="557"/>
      <c r="K375" s="557"/>
      <c r="L375" s="557"/>
      <c r="M375" s="557"/>
      <c r="N375" s="557"/>
      <c r="O375" s="568"/>
      <c r="P375" s="561" t="s">
        <v>76</v>
      </c>
      <c r="Q375" s="562"/>
      <c r="R375" s="562"/>
      <c r="S375" s="562"/>
      <c r="T375" s="562"/>
      <c r="U375" s="562"/>
      <c r="V375" s="563"/>
      <c r="W375" s="37" t="s">
        <v>70</v>
      </c>
      <c r="X375" s="545">
        <f>IFERROR(SUM(X372:X373),"0")</f>
        <v>0</v>
      </c>
      <c r="Y375" s="545">
        <f>IFERROR(SUM(Y372:Y373),"0")</f>
        <v>0</v>
      </c>
      <c r="Z375" s="37"/>
      <c r="AA375" s="546"/>
      <c r="AB375" s="546"/>
      <c r="AC375" s="546"/>
    </row>
    <row r="376" spans="1:68" ht="14.25" customHeight="1" x14ac:dyDescent="0.25">
      <c r="A376" s="556" t="s">
        <v>78</v>
      </c>
      <c r="B376" s="557"/>
      <c r="C376" s="557"/>
      <c r="D376" s="557"/>
      <c r="E376" s="557"/>
      <c r="F376" s="557"/>
      <c r="G376" s="557"/>
      <c r="H376" s="557"/>
      <c r="I376" s="557"/>
      <c r="J376" s="557"/>
      <c r="K376" s="557"/>
      <c r="L376" s="557"/>
      <c r="M376" s="557"/>
      <c r="N376" s="557"/>
      <c r="O376" s="557"/>
      <c r="P376" s="557"/>
      <c r="Q376" s="557"/>
      <c r="R376" s="557"/>
      <c r="S376" s="557"/>
      <c r="T376" s="557"/>
      <c r="U376" s="557"/>
      <c r="V376" s="557"/>
      <c r="W376" s="557"/>
      <c r="X376" s="557"/>
      <c r="Y376" s="557"/>
      <c r="Z376" s="557"/>
      <c r="AA376" s="539"/>
      <c r="AB376" s="539"/>
      <c r="AC376" s="539"/>
    </row>
    <row r="377" spans="1:68" ht="27" customHeight="1" x14ac:dyDescent="0.25">
      <c r="A377" s="54" t="s">
        <v>578</v>
      </c>
      <c r="B377" s="54" t="s">
        <v>579</v>
      </c>
      <c r="C377" s="31">
        <v>4301051899</v>
      </c>
      <c r="D377" s="547">
        <v>4607091384246</v>
      </c>
      <c r="E377" s="548"/>
      <c r="F377" s="542">
        <v>1.5</v>
      </c>
      <c r="G377" s="32">
        <v>6</v>
      </c>
      <c r="H377" s="542">
        <v>9</v>
      </c>
      <c r="I377" s="542">
        <v>9.4939999999999998</v>
      </c>
      <c r="J377" s="32">
        <v>64</v>
      </c>
      <c r="K377" s="32" t="s">
        <v>106</v>
      </c>
      <c r="L377" s="32" t="s">
        <v>107</v>
      </c>
      <c r="M377" s="33" t="s">
        <v>81</v>
      </c>
      <c r="N377" s="33"/>
      <c r="O377" s="32">
        <v>40</v>
      </c>
      <c r="P377" s="74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50"/>
      <c r="R377" s="550"/>
      <c r="S377" s="550"/>
      <c r="T377" s="551"/>
      <c r="U377" s="34"/>
      <c r="V377" s="34"/>
      <c r="W377" s="35" t="s">
        <v>70</v>
      </c>
      <c r="X377" s="543">
        <v>40</v>
      </c>
      <c r="Y377" s="544">
        <f>IFERROR(IF(X377="",0,CEILING((X377/$H377),1)*$H377),"")</f>
        <v>45</v>
      </c>
      <c r="Z377" s="36">
        <f>IFERROR(IF(Y377=0,"",ROUNDUP(Y377/H377,0)*0.01898),"")</f>
        <v>9.4899999999999998E-2</v>
      </c>
      <c r="AA377" s="56"/>
      <c r="AB377" s="57"/>
      <c r="AC377" s="421" t="s">
        <v>580</v>
      </c>
      <c r="AG377" s="64"/>
      <c r="AJ377" s="68" t="s">
        <v>110</v>
      </c>
      <c r="AK377" s="68">
        <v>72</v>
      </c>
      <c r="BB377" s="422" t="s">
        <v>1</v>
      </c>
      <c r="BM377" s="64">
        <f>IFERROR(X377*I377/H377,"0")</f>
        <v>42.195555555555558</v>
      </c>
      <c r="BN377" s="64">
        <f>IFERROR(Y377*I377/H377,"0")</f>
        <v>47.47</v>
      </c>
      <c r="BO377" s="64">
        <f>IFERROR(1/J377*(X377/H377),"0")</f>
        <v>6.9444444444444448E-2</v>
      </c>
      <c r="BP377" s="64">
        <f>IFERROR(1/J377*(Y377/H377),"0")</f>
        <v>7.8125E-2</v>
      </c>
    </row>
    <row r="378" spans="1:68" ht="27" customHeight="1" x14ac:dyDescent="0.25">
      <c r="A378" s="54" t="s">
        <v>581</v>
      </c>
      <c r="B378" s="54" t="s">
        <v>582</v>
      </c>
      <c r="C378" s="31">
        <v>4301051660</v>
      </c>
      <c r="D378" s="547">
        <v>4607091384253</v>
      </c>
      <c r="E378" s="548"/>
      <c r="F378" s="542">
        <v>0.4</v>
      </c>
      <c r="G378" s="32">
        <v>6</v>
      </c>
      <c r="H378" s="542">
        <v>2.4</v>
      </c>
      <c r="I378" s="542">
        <v>2.6640000000000001</v>
      </c>
      <c r="J378" s="32">
        <v>182</v>
      </c>
      <c r="K378" s="32" t="s">
        <v>67</v>
      </c>
      <c r="L378" s="32"/>
      <c r="M378" s="33" t="s">
        <v>81</v>
      </c>
      <c r="N378" s="33"/>
      <c r="O378" s="32">
        <v>40</v>
      </c>
      <c r="P378" s="67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50"/>
      <c r="R378" s="550"/>
      <c r="S378" s="550"/>
      <c r="T378" s="551"/>
      <c r="U378" s="34"/>
      <c r="V378" s="34"/>
      <c r="W378" s="35" t="s">
        <v>70</v>
      </c>
      <c r="X378" s="543">
        <v>0</v>
      </c>
      <c r="Y378" s="544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580</v>
      </c>
      <c r="AG378" s="64"/>
      <c r="AJ378" s="68"/>
      <c r="AK378" s="68">
        <v>0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581</v>
      </c>
      <c r="B379" s="54" t="s">
        <v>583</v>
      </c>
      <c r="C379" s="31">
        <v>4301052069</v>
      </c>
      <c r="D379" s="547">
        <v>4607091384253</v>
      </c>
      <c r="E379" s="548"/>
      <c r="F379" s="542">
        <v>0.4</v>
      </c>
      <c r="G379" s="32">
        <v>6</v>
      </c>
      <c r="H379" s="542">
        <v>2.4</v>
      </c>
      <c r="I379" s="542">
        <v>2.6640000000000001</v>
      </c>
      <c r="J379" s="32">
        <v>182</v>
      </c>
      <c r="K379" s="32" t="s">
        <v>67</v>
      </c>
      <c r="L379" s="32"/>
      <c r="M379" s="33" t="s">
        <v>81</v>
      </c>
      <c r="N379" s="33"/>
      <c r="O379" s="32">
        <v>40</v>
      </c>
      <c r="P379" s="59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79" s="550"/>
      <c r="R379" s="550"/>
      <c r="S379" s="550"/>
      <c r="T379" s="551"/>
      <c r="U379" s="34"/>
      <c r="V379" s="34"/>
      <c r="W379" s="35" t="s">
        <v>70</v>
      </c>
      <c r="X379" s="543">
        <v>0</v>
      </c>
      <c r="Y379" s="544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584</v>
      </c>
      <c r="AG379" s="64"/>
      <c r="AJ379" s="68"/>
      <c r="AK379" s="68">
        <v>0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67"/>
      <c r="B380" s="557"/>
      <c r="C380" s="557"/>
      <c r="D380" s="557"/>
      <c r="E380" s="557"/>
      <c r="F380" s="557"/>
      <c r="G380" s="557"/>
      <c r="H380" s="557"/>
      <c r="I380" s="557"/>
      <c r="J380" s="557"/>
      <c r="K380" s="557"/>
      <c r="L380" s="557"/>
      <c r="M380" s="557"/>
      <c r="N380" s="557"/>
      <c r="O380" s="568"/>
      <c r="P380" s="561" t="s">
        <v>76</v>
      </c>
      <c r="Q380" s="562"/>
      <c r="R380" s="562"/>
      <c r="S380" s="562"/>
      <c r="T380" s="562"/>
      <c r="U380" s="562"/>
      <c r="V380" s="563"/>
      <c r="W380" s="37" t="s">
        <v>77</v>
      </c>
      <c r="X380" s="545">
        <f>IFERROR(X377/H377,"0")+IFERROR(X378/H378,"0")+IFERROR(X379/H379,"0")</f>
        <v>4.4444444444444446</v>
      </c>
      <c r="Y380" s="545">
        <f>IFERROR(Y377/H377,"0")+IFERROR(Y378/H378,"0")+IFERROR(Y379/H379,"0")</f>
        <v>5</v>
      </c>
      <c r="Z380" s="545">
        <f>IFERROR(IF(Z377="",0,Z377),"0")+IFERROR(IF(Z378="",0,Z378),"0")+IFERROR(IF(Z379="",0,Z379),"0")</f>
        <v>9.4899999999999998E-2</v>
      </c>
      <c r="AA380" s="546"/>
      <c r="AB380" s="546"/>
      <c r="AC380" s="546"/>
    </row>
    <row r="381" spans="1:68" x14ac:dyDescent="0.2">
      <c r="A381" s="557"/>
      <c r="B381" s="557"/>
      <c r="C381" s="557"/>
      <c r="D381" s="557"/>
      <c r="E381" s="557"/>
      <c r="F381" s="557"/>
      <c r="G381" s="557"/>
      <c r="H381" s="557"/>
      <c r="I381" s="557"/>
      <c r="J381" s="557"/>
      <c r="K381" s="557"/>
      <c r="L381" s="557"/>
      <c r="M381" s="557"/>
      <c r="N381" s="557"/>
      <c r="O381" s="568"/>
      <c r="P381" s="561" t="s">
        <v>76</v>
      </c>
      <c r="Q381" s="562"/>
      <c r="R381" s="562"/>
      <c r="S381" s="562"/>
      <c r="T381" s="562"/>
      <c r="U381" s="562"/>
      <c r="V381" s="563"/>
      <c r="W381" s="37" t="s">
        <v>70</v>
      </c>
      <c r="X381" s="545">
        <f>IFERROR(SUM(X377:X379),"0")</f>
        <v>40</v>
      </c>
      <c r="Y381" s="545">
        <f>IFERROR(SUM(Y377:Y379),"0")</f>
        <v>45</v>
      </c>
      <c r="Z381" s="37"/>
      <c r="AA381" s="546"/>
      <c r="AB381" s="546"/>
      <c r="AC381" s="546"/>
    </row>
    <row r="382" spans="1:68" ht="27.75" customHeight="1" x14ac:dyDescent="0.2">
      <c r="A382" s="650" t="s">
        <v>585</v>
      </c>
      <c r="B382" s="651"/>
      <c r="C382" s="651"/>
      <c r="D382" s="651"/>
      <c r="E382" s="651"/>
      <c r="F382" s="651"/>
      <c r="G382" s="651"/>
      <c r="H382" s="651"/>
      <c r="I382" s="651"/>
      <c r="J382" s="651"/>
      <c r="K382" s="651"/>
      <c r="L382" s="651"/>
      <c r="M382" s="651"/>
      <c r="N382" s="651"/>
      <c r="O382" s="651"/>
      <c r="P382" s="651"/>
      <c r="Q382" s="651"/>
      <c r="R382" s="651"/>
      <c r="S382" s="651"/>
      <c r="T382" s="651"/>
      <c r="U382" s="651"/>
      <c r="V382" s="651"/>
      <c r="W382" s="651"/>
      <c r="X382" s="651"/>
      <c r="Y382" s="651"/>
      <c r="Z382" s="651"/>
      <c r="AA382" s="48"/>
      <c r="AB382" s="48"/>
      <c r="AC382" s="48"/>
    </row>
    <row r="383" spans="1:68" ht="16.5" customHeight="1" x14ac:dyDescent="0.25">
      <c r="A383" s="558" t="s">
        <v>586</v>
      </c>
      <c r="B383" s="557"/>
      <c r="C383" s="557"/>
      <c r="D383" s="557"/>
      <c r="E383" s="557"/>
      <c r="F383" s="557"/>
      <c r="G383" s="557"/>
      <c r="H383" s="557"/>
      <c r="I383" s="557"/>
      <c r="J383" s="557"/>
      <c r="K383" s="557"/>
      <c r="L383" s="557"/>
      <c r="M383" s="557"/>
      <c r="N383" s="557"/>
      <c r="O383" s="557"/>
      <c r="P383" s="557"/>
      <c r="Q383" s="557"/>
      <c r="R383" s="557"/>
      <c r="S383" s="557"/>
      <c r="T383" s="557"/>
      <c r="U383" s="557"/>
      <c r="V383" s="557"/>
      <c r="W383" s="557"/>
      <c r="X383" s="557"/>
      <c r="Y383" s="557"/>
      <c r="Z383" s="557"/>
      <c r="AA383" s="538"/>
      <c r="AB383" s="538"/>
      <c r="AC383" s="538"/>
    </row>
    <row r="384" spans="1:68" ht="14.25" customHeight="1" x14ac:dyDescent="0.25">
      <c r="A384" s="556" t="s">
        <v>64</v>
      </c>
      <c r="B384" s="557"/>
      <c r="C384" s="557"/>
      <c r="D384" s="557"/>
      <c r="E384" s="557"/>
      <c r="F384" s="557"/>
      <c r="G384" s="557"/>
      <c r="H384" s="557"/>
      <c r="I384" s="557"/>
      <c r="J384" s="557"/>
      <c r="K384" s="557"/>
      <c r="L384" s="557"/>
      <c r="M384" s="557"/>
      <c r="N384" s="557"/>
      <c r="O384" s="557"/>
      <c r="P384" s="557"/>
      <c r="Q384" s="557"/>
      <c r="R384" s="557"/>
      <c r="S384" s="557"/>
      <c r="T384" s="557"/>
      <c r="U384" s="557"/>
      <c r="V384" s="557"/>
      <c r="W384" s="557"/>
      <c r="X384" s="557"/>
      <c r="Y384" s="557"/>
      <c r="Z384" s="557"/>
      <c r="AA384" s="539"/>
      <c r="AB384" s="539"/>
      <c r="AC384" s="539"/>
    </row>
    <row r="385" spans="1:68" ht="27" customHeight="1" x14ac:dyDescent="0.25">
      <c r="A385" s="54" t="s">
        <v>587</v>
      </c>
      <c r="B385" s="54" t="s">
        <v>588</v>
      </c>
      <c r="C385" s="31">
        <v>4301031405</v>
      </c>
      <c r="D385" s="547">
        <v>4680115886100</v>
      </c>
      <c r="E385" s="548"/>
      <c r="F385" s="542">
        <v>0.9</v>
      </c>
      <c r="G385" s="32">
        <v>6</v>
      </c>
      <c r="H385" s="542">
        <v>5.4</v>
      </c>
      <c r="I385" s="542">
        <v>5.59</v>
      </c>
      <c r="J385" s="32">
        <v>132</v>
      </c>
      <c r="K385" s="32" t="s">
        <v>113</v>
      </c>
      <c r="L385" s="32"/>
      <c r="M385" s="33" t="s">
        <v>68</v>
      </c>
      <c r="N385" s="33"/>
      <c r="O385" s="32">
        <v>50</v>
      </c>
      <c r="P385" s="86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50"/>
      <c r="R385" s="550"/>
      <c r="S385" s="550"/>
      <c r="T385" s="551"/>
      <c r="U385" s="34"/>
      <c r="V385" s="34"/>
      <c r="W385" s="35" t="s">
        <v>70</v>
      </c>
      <c r="X385" s="543">
        <v>0</v>
      </c>
      <c r="Y385" s="544">
        <f t="shared" ref="Y385:Y393" si="36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589</v>
      </c>
      <c r="AG385" s="64"/>
      <c r="AJ385" s="68"/>
      <c r="AK385" s="68">
        <v>0</v>
      </c>
      <c r="BB385" s="428" t="s">
        <v>1</v>
      </c>
      <c r="BM385" s="64">
        <f t="shared" ref="BM385:BM393" si="37">IFERROR(X385*I385/H385,"0")</f>
        <v>0</v>
      </c>
      <c r="BN385" s="64">
        <f t="shared" ref="BN385:BN393" si="38">IFERROR(Y385*I385/H385,"0")</f>
        <v>0</v>
      </c>
      <c r="BO385" s="64">
        <f t="shared" ref="BO385:BO393" si="39">IFERROR(1/J385*(X385/H385),"0")</f>
        <v>0</v>
      </c>
      <c r="BP385" s="64">
        <f t="shared" ref="BP385:BP393" si="40">IFERROR(1/J385*(Y385/H385),"0")</f>
        <v>0</v>
      </c>
    </row>
    <row r="386" spans="1:68" ht="27" customHeight="1" x14ac:dyDescent="0.25">
      <c r="A386" s="54" t="s">
        <v>590</v>
      </c>
      <c r="B386" s="54" t="s">
        <v>591</v>
      </c>
      <c r="C386" s="31">
        <v>4301031406</v>
      </c>
      <c r="D386" s="547">
        <v>4680115886117</v>
      </c>
      <c r="E386" s="548"/>
      <c r="F386" s="542">
        <v>0.9</v>
      </c>
      <c r="G386" s="32">
        <v>6</v>
      </c>
      <c r="H386" s="542">
        <v>5.4</v>
      </c>
      <c r="I386" s="542">
        <v>5.59</v>
      </c>
      <c r="J386" s="32">
        <v>132</v>
      </c>
      <c r="K386" s="32" t="s">
        <v>113</v>
      </c>
      <c r="L386" s="32"/>
      <c r="M386" s="33" t="s">
        <v>68</v>
      </c>
      <c r="N386" s="33"/>
      <c r="O386" s="32">
        <v>50</v>
      </c>
      <c r="P386" s="577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50"/>
      <c r="R386" s="550"/>
      <c r="S386" s="550"/>
      <c r="T386" s="551"/>
      <c r="U386" s="34"/>
      <c r="V386" s="34"/>
      <c r="W386" s="35" t="s">
        <v>70</v>
      </c>
      <c r="X386" s="543">
        <v>0</v>
      </c>
      <c r="Y386" s="544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593</v>
      </c>
      <c r="B387" s="54" t="s">
        <v>594</v>
      </c>
      <c r="C387" s="31">
        <v>4301031402</v>
      </c>
      <c r="D387" s="547">
        <v>4680115886124</v>
      </c>
      <c r="E387" s="548"/>
      <c r="F387" s="542">
        <v>0.9</v>
      </c>
      <c r="G387" s="32">
        <v>6</v>
      </c>
      <c r="H387" s="542">
        <v>5.4</v>
      </c>
      <c r="I387" s="542">
        <v>5.59</v>
      </c>
      <c r="J387" s="32">
        <v>132</v>
      </c>
      <c r="K387" s="32" t="s">
        <v>113</v>
      </c>
      <c r="L387" s="32"/>
      <c r="M387" s="33" t="s">
        <v>68</v>
      </c>
      <c r="N387" s="33"/>
      <c r="O387" s="32">
        <v>50</v>
      </c>
      <c r="P387" s="73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50"/>
      <c r="R387" s="550"/>
      <c r="S387" s="550"/>
      <c r="T387" s="551"/>
      <c r="U387" s="34"/>
      <c r="V387" s="34"/>
      <c r="W387" s="35" t="s">
        <v>70</v>
      </c>
      <c r="X387" s="543">
        <v>10</v>
      </c>
      <c r="Y387" s="544">
        <f t="shared" si="36"/>
        <v>10.8</v>
      </c>
      <c r="Z387" s="36">
        <f>IFERROR(IF(Y387=0,"",ROUNDUP(Y387/H387,0)*0.00902),"")</f>
        <v>1.804E-2</v>
      </c>
      <c r="AA387" s="56"/>
      <c r="AB387" s="57"/>
      <c r="AC387" s="431" t="s">
        <v>595</v>
      </c>
      <c r="AG387" s="64"/>
      <c r="AJ387" s="68"/>
      <c r="AK387" s="68">
        <v>0</v>
      </c>
      <c r="BB387" s="432" t="s">
        <v>1</v>
      </c>
      <c r="BM387" s="64">
        <f t="shared" si="37"/>
        <v>10.351851851851851</v>
      </c>
      <c r="BN387" s="64">
        <f t="shared" si="38"/>
        <v>11.18</v>
      </c>
      <c r="BO387" s="64">
        <f t="shared" si="39"/>
        <v>1.4029180695847361E-2</v>
      </c>
      <c r="BP387" s="64">
        <f t="shared" si="40"/>
        <v>1.5151515151515152E-2</v>
      </c>
    </row>
    <row r="388" spans="1:68" ht="27" customHeight="1" x14ac:dyDescent="0.25">
      <c r="A388" s="54" t="s">
        <v>596</v>
      </c>
      <c r="B388" s="54" t="s">
        <v>597</v>
      </c>
      <c r="C388" s="31">
        <v>4301031366</v>
      </c>
      <c r="D388" s="547">
        <v>4680115883147</v>
      </c>
      <c r="E388" s="548"/>
      <c r="F388" s="542">
        <v>0.28000000000000003</v>
      </c>
      <c r="G388" s="32">
        <v>6</v>
      </c>
      <c r="H388" s="542">
        <v>1.68</v>
      </c>
      <c r="I388" s="542">
        <v>1.81</v>
      </c>
      <c r="J388" s="32">
        <v>234</v>
      </c>
      <c r="K388" s="32" t="s">
        <v>74</v>
      </c>
      <c r="L388" s="32"/>
      <c r="M388" s="33" t="s">
        <v>68</v>
      </c>
      <c r="N388" s="33"/>
      <c r="O388" s="32">
        <v>50</v>
      </c>
      <c r="P388" s="75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50"/>
      <c r="R388" s="550"/>
      <c r="S388" s="550"/>
      <c r="T388" s="551"/>
      <c r="U388" s="34"/>
      <c r="V388" s="34"/>
      <c r="W388" s="35" t="s">
        <v>70</v>
      </c>
      <c r="X388" s="543">
        <v>0</v>
      </c>
      <c r="Y388" s="544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589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customHeight="1" x14ac:dyDescent="0.25">
      <c r="A389" s="54" t="s">
        <v>598</v>
      </c>
      <c r="B389" s="54" t="s">
        <v>599</v>
      </c>
      <c r="C389" s="31">
        <v>4301031362</v>
      </c>
      <c r="D389" s="547">
        <v>4607091384338</v>
      </c>
      <c r="E389" s="548"/>
      <c r="F389" s="542">
        <v>0.35</v>
      </c>
      <c r="G389" s="32">
        <v>6</v>
      </c>
      <c r="H389" s="542">
        <v>2.1</v>
      </c>
      <c r="I389" s="542">
        <v>2.23</v>
      </c>
      <c r="J389" s="32">
        <v>234</v>
      </c>
      <c r="K389" s="32" t="s">
        <v>74</v>
      </c>
      <c r="L389" s="32" t="s">
        <v>270</v>
      </c>
      <c r="M389" s="33" t="s">
        <v>68</v>
      </c>
      <c r="N389" s="33"/>
      <c r="O389" s="32">
        <v>50</v>
      </c>
      <c r="P389" s="56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50"/>
      <c r="R389" s="550"/>
      <c r="S389" s="550"/>
      <c r="T389" s="551"/>
      <c r="U389" s="34"/>
      <c r="V389" s="34"/>
      <c r="W389" s="35" t="s">
        <v>70</v>
      </c>
      <c r="X389" s="543">
        <v>35</v>
      </c>
      <c r="Y389" s="544">
        <f t="shared" si="36"/>
        <v>35.700000000000003</v>
      </c>
      <c r="Z389" s="36">
        <f t="shared" si="41"/>
        <v>8.5339999999999999E-2</v>
      </c>
      <c r="AA389" s="56"/>
      <c r="AB389" s="57"/>
      <c r="AC389" s="435" t="s">
        <v>589</v>
      </c>
      <c r="AG389" s="64"/>
      <c r="AJ389" s="68" t="s">
        <v>110</v>
      </c>
      <c r="AK389" s="68">
        <v>37.799999999999997</v>
      </c>
      <c r="BB389" s="436" t="s">
        <v>1</v>
      </c>
      <c r="BM389" s="64">
        <f t="shared" si="37"/>
        <v>37.166666666666664</v>
      </c>
      <c r="BN389" s="64">
        <f t="shared" si="38"/>
        <v>37.910000000000004</v>
      </c>
      <c r="BO389" s="64">
        <f t="shared" si="39"/>
        <v>7.1225071225071226E-2</v>
      </c>
      <c r="BP389" s="64">
        <f t="shared" si="40"/>
        <v>7.2649572649572655E-2</v>
      </c>
    </row>
    <row r="390" spans="1:68" ht="37.5" customHeight="1" x14ac:dyDescent="0.25">
      <c r="A390" s="54" t="s">
        <v>600</v>
      </c>
      <c r="B390" s="54" t="s">
        <v>601</v>
      </c>
      <c r="C390" s="31">
        <v>4301031361</v>
      </c>
      <c r="D390" s="547">
        <v>4607091389524</v>
      </c>
      <c r="E390" s="548"/>
      <c r="F390" s="542">
        <v>0.35</v>
      </c>
      <c r="G390" s="32">
        <v>6</v>
      </c>
      <c r="H390" s="542">
        <v>2.1</v>
      </c>
      <c r="I390" s="542">
        <v>2.23</v>
      </c>
      <c r="J390" s="32">
        <v>234</v>
      </c>
      <c r="K390" s="32" t="s">
        <v>74</v>
      </c>
      <c r="L390" s="32" t="s">
        <v>270</v>
      </c>
      <c r="M390" s="33" t="s">
        <v>68</v>
      </c>
      <c r="N390" s="33"/>
      <c r="O390" s="32">
        <v>50</v>
      </c>
      <c r="P390" s="75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50"/>
      <c r="R390" s="550"/>
      <c r="S390" s="550"/>
      <c r="T390" s="551"/>
      <c r="U390" s="34"/>
      <c r="V390" s="34"/>
      <c r="W390" s="35" t="s">
        <v>70</v>
      </c>
      <c r="X390" s="543">
        <v>17.5</v>
      </c>
      <c r="Y390" s="544">
        <f t="shared" si="36"/>
        <v>18.900000000000002</v>
      </c>
      <c r="Z390" s="36">
        <f t="shared" si="41"/>
        <v>4.5179999999999998E-2</v>
      </c>
      <c r="AA390" s="56"/>
      <c r="AB390" s="57"/>
      <c r="AC390" s="437" t="s">
        <v>602</v>
      </c>
      <c r="AG390" s="64"/>
      <c r="AJ390" s="68" t="s">
        <v>110</v>
      </c>
      <c r="AK390" s="68">
        <v>37.799999999999997</v>
      </c>
      <c r="BB390" s="438" t="s">
        <v>1</v>
      </c>
      <c r="BM390" s="64">
        <f t="shared" si="37"/>
        <v>18.583333333333332</v>
      </c>
      <c r="BN390" s="64">
        <f t="shared" si="38"/>
        <v>20.07</v>
      </c>
      <c r="BO390" s="64">
        <f t="shared" si="39"/>
        <v>3.5612535612535613E-2</v>
      </c>
      <c r="BP390" s="64">
        <f t="shared" si="40"/>
        <v>3.8461538461538464E-2</v>
      </c>
    </row>
    <row r="391" spans="1:68" ht="27" customHeight="1" x14ac:dyDescent="0.25">
      <c r="A391" s="54" t="s">
        <v>603</v>
      </c>
      <c r="B391" s="54" t="s">
        <v>604</v>
      </c>
      <c r="C391" s="31">
        <v>4301031364</v>
      </c>
      <c r="D391" s="547">
        <v>4680115883161</v>
      </c>
      <c r="E391" s="548"/>
      <c r="F391" s="542">
        <v>0.28000000000000003</v>
      </c>
      <c r="G391" s="32">
        <v>6</v>
      </c>
      <c r="H391" s="542">
        <v>1.68</v>
      </c>
      <c r="I391" s="542">
        <v>1.81</v>
      </c>
      <c r="J391" s="32">
        <v>234</v>
      </c>
      <c r="K391" s="32" t="s">
        <v>74</v>
      </c>
      <c r="L391" s="32"/>
      <c r="M391" s="33" t="s">
        <v>68</v>
      </c>
      <c r="N391" s="33"/>
      <c r="O391" s="32">
        <v>50</v>
      </c>
      <c r="P391" s="56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50"/>
      <c r="R391" s="550"/>
      <c r="S391" s="550"/>
      <c r="T391" s="551"/>
      <c r="U391" s="34"/>
      <c r="V391" s="34"/>
      <c r="W391" s="35" t="s">
        <v>70</v>
      </c>
      <c r="X391" s="543">
        <v>0</v>
      </c>
      <c r="Y391" s="544">
        <f t="shared" si="36"/>
        <v>0</v>
      </c>
      <c r="Z391" s="36" t="str">
        <f t="shared" si="41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606</v>
      </c>
      <c r="B392" s="54" t="s">
        <v>607</v>
      </c>
      <c r="C392" s="31">
        <v>4301031358</v>
      </c>
      <c r="D392" s="547">
        <v>4607091389531</v>
      </c>
      <c r="E392" s="548"/>
      <c r="F392" s="542">
        <v>0.35</v>
      </c>
      <c r="G392" s="32">
        <v>6</v>
      </c>
      <c r="H392" s="542">
        <v>2.1</v>
      </c>
      <c r="I392" s="542">
        <v>2.23</v>
      </c>
      <c r="J392" s="32">
        <v>234</v>
      </c>
      <c r="K392" s="32" t="s">
        <v>74</v>
      </c>
      <c r="L392" s="32" t="s">
        <v>270</v>
      </c>
      <c r="M392" s="33" t="s">
        <v>68</v>
      </c>
      <c r="N392" s="33"/>
      <c r="O392" s="32">
        <v>50</v>
      </c>
      <c r="P392" s="57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50"/>
      <c r="R392" s="550"/>
      <c r="S392" s="550"/>
      <c r="T392" s="551"/>
      <c r="U392" s="34"/>
      <c r="V392" s="34"/>
      <c r="W392" s="35" t="s">
        <v>70</v>
      </c>
      <c r="X392" s="543">
        <v>35</v>
      </c>
      <c r="Y392" s="544">
        <f t="shared" si="36"/>
        <v>35.700000000000003</v>
      </c>
      <c r="Z392" s="36">
        <f t="shared" si="41"/>
        <v>8.5339999999999999E-2</v>
      </c>
      <c r="AA392" s="56"/>
      <c r="AB392" s="57"/>
      <c r="AC392" s="441" t="s">
        <v>608</v>
      </c>
      <c r="AG392" s="64"/>
      <c r="AJ392" s="68" t="s">
        <v>110</v>
      </c>
      <c r="AK392" s="68">
        <v>37.799999999999997</v>
      </c>
      <c r="BB392" s="442" t="s">
        <v>1</v>
      </c>
      <c r="BM392" s="64">
        <f t="shared" si="37"/>
        <v>37.166666666666664</v>
      </c>
      <c r="BN392" s="64">
        <f t="shared" si="38"/>
        <v>37.910000000000004</v>
      </c>
      <c r="BO392" s="64">
        <f t="shared" si="39"/>
        <v>7.1225071225071226E-2</v>
      </c>
      <c r="BP392" s="64">
        <f t="shared" si="40"/>
        <v>7.2649572649572655E-2</v>
      </c>
    </row>
    <row r="393" spans="1:68" ht="37.5" customHeight="1" x14ac:dyDescent="0.25">
      <c r="A393" s="54" t="s">
        <v>609</v>
      </c>
      <c r="B393" s="54" t="s">
        <v>610</v>
      </c>
      <c r="C393" s="31">
        <v>4301031360</v>
      </c>
      <c r="D393" s="547">
        <v>4607091384345</v>
      </c>
      <c r="E393" s="548"/>
      <c r="F393" s="542">
        <v>0.35</v>
      </c>
      <c r="G393" s="32">
        <v>6</v>
      </c>
      <c r="H393" s="542">
        <v>2.1</v>
      </c>
      <c r="I393" s="542">
        <v>2.23</v>
      </c>
      <c r="J393" s="32">
        <v>234</v>
      </c>
      <c r="K393" s="32" t="s">
        <v>74</v>
      </c>
      <c r="L393" s="32"/>
      <c r="M393" s="33" t="s">
        <v>68</v>
      </c>
      <c r="N393" s="33"/>
      <c r="O393" s="32">
        <v>50</v>
      </c>
      <c r="P393" s="74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50"/>
      <c r="R393" s="550"/>
      <c r="S393" s="550"/>
      <c r="T393" s="551"/>
      <c r="U393" s="34"/>
      <c r="V393" s="34"/>
      <c r="W393" s="35" t="s">
        <v>70</v>
      </c>
      <c r="X393" s="543">
        <v>0</v>
      </c>
      <c r="Y393" s="544">
        <f t="shared" si="36"/>
        <v>0</v>
      </c>
      <c r="Z393" s="36" t="str">
        <f t="shared" si="41"/>
        <v/>
      </c>
      <c r="AA393" s="56"/>
      <c r="AB393" s="57"/>
      <c r="AC393" s="443" t="s">
        <v>605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x14ac:dyDescent="0.2">
      <c r="A394" s="567"/>
      <c r="B394" s="557"/>
      <c r="C394" s="557"/>
      <c r="D394" s="557"/>
      <c r="E394" s="557"/>
      <c r="F394" s="557"/>
      <c r="G394" s="557"/>
      <c r="H394" s="557"/>
      <c r="I394" s="557"/>
      <c r="J394" s="557"/>
      <c r="K394" s="557"/>
      <c r="L394" s="557"/>
      <c r="M394" s="557"/>
      <c r="N394" s="557"/>
      <c r="O394" s="568"/>
      <c r="P394" s="561" t="s">
        <v>76</v>
      </c>
      <c r="Q394" s="562"/>
      <c r="R394" s="562"/>
      <c r="S394" s="562"/>
      <c r="T394" s="562"/>
      <c r="U394" s="562"/>
      <c r="V394" s="563"/>
      <c r="W394" s="37" t="s">
        <v>77</v>
      </c>
      <c r="X394" s="545">
        <f>IFERROR(X385/H385,"0")+IFERROR(X386/H386,"0")+IFERROR(X387/H387,"0")+IFERROR(X388/H388,"0")+IFERROR(X389/H389,"0")+IFERROR(X390/H390,"0")+IFERROR(X391/H391,"0")+IFERROR(X392/H392,"0")+IFERROR(X393/H393,"0")</f>
        <v>43.518518518518512</v>
      </c>
      <c r="Y394" s="545">
        <f>IFERROR(Y385/H385,"0")+IFERROR(Y386/H386,"0")+IFERROR(Y387/H387,"0")+IFERROR(Y388/H388,"0")+IFERROR(Y389/H389,"0")+IFERROR(Y390/H390,"0")+IFERROR(Y391/H391,"0")+IFERROR(Y392/H392,"0")+IFERROR(Y393/H393,"0")</f>
        <v>45</v>
      </c>
      <c r="Z394" s="545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0.2339</v>
      </c>
      <c r="AA394" s="546"/>
      <c r="AB394" s="546"/>
      <c r="AC394" s="546"/>
    </row>
    <row r="395" spans="1:68" x14ac:dyDescent="0.2">
      <c r="A395" s="557"/>
      <c r="B395" s="557"/>
      <c r="C395" s="557"/>
      <c r="D395" s="557"/>
      <c r="E395" s="557"/>
      <c r="F395" s="557"/>
      <c r="G395" s="557"/>
      <c r="H395" s="557"/>
      <c r="I395" s="557"/>
      <c r="J395" s="557"/>
      <c r="K395" s="557"/>
      <c r="L395" s="557"/>
      <c r="M395" s="557"/>
      <c r="N395" s="557"/>
      <c r="O395" s="568"/>
      <c r="P395" s="561" t="s">
        <v>76</v>
      </c>
      <c r="Q395" s="562"/>
      <c r="R395" s="562"/>
      <c r="S395" s="562"/>
      <c r="T395" s="562"/>
      <c r="U395" s="562"/>
      <c r="V395" s="563"/>
      <c r="W395" s="37" t="s">
        <v>70</v>
      </c>
      <c r="X395" s="545">
        <f>IFERROR(SUM(X385:X393),"0")</f>
        <v>97.5</v>
      </c>
      <c r="Y395" s="545">
        <f>IFERROR(SUM(Y385:Y393),"0")</f>
        <v>101.10000000000001</v>
      </c>
      <c r="Z395" s="37"/>
      <c r="AA395" s="546"/>
      <c r="AB395" s="546"/>
      <c r="AC395" s="546"/>
    </row>
    <row r="396" spans="1:68" ht="14.25" customHeight="1" x14ac:dyDescent="0.25">
      <c r="A396" s="556" t="s">
        <v>78</v>
      </c>
      <c r="B396" s="557"/>
      <c r="C396" s="557"/>
      <c r="D396" s="557"/>
      <c r="E396" s="557"/>
      <c r="F396" s="557"/>
      <c r="G396" s="557"/>
      <c r="H396" s="557"/>
      <c r="I396" s="557"/>
      <c r="J396" s="557"/>
      <c r="K396" s="557"/>
      <c r="L396" s="557"/>
      <c r="M396" s="557"/>
      <c r="N396" s="557"/>
      <c r="O396" s="557"/>
      <c r="P396" s="557"/>
      <c r="Q396" s="557"/>
      <c r="R396" s="557"/>
      <c r="S396" s="557"/>
      <c r="T396" s="557"/>
      <c r="U396" s="557"/>
      <c r="V396" s="557"/>
      <c r="W396" s="557"/>
      <c r="X396" s="557"/>
      <c r="Y396" s="557"/>
      <c r="Z396" s="557"/>
      <c r="AA396" s="539"/>
      <c r="AB396" s="539"/>
      <c r="AC396" s="539"/>
    </row>
    <row r="397" spans="1:68" ht="27" customHeight="1" x14ac:dyDescent="0.25">
      <c r="A397" s="54" t="s">
        <v>611</v>
      </c>
      <c r="B397" s="54" t="s">
        <v>612</v>
      </c>
      <c r="C397" s="31">
        <v>4301051284</v>
      </c>
      <c r="D397" s="547">
        <v>4607091384352</v>
      </c>
      <c r="E397" s="548"/>
      <c r="F397" s="542">
        <v>0.6</v>
      </c>
      <c r="G397" s="32">
        <v>4</v>
      </c>
      <c r="H397" s="542">
        <v>2.4</v>
      </c>
      <c r="I397" s="542">
        <v>2.6259999999999999</v>
      </c>
      <c r="J397" s="32">
        <v>132</v>
      </c>
      <c r="K397" s="32" t="s">
        <v>113</v>
      </c>
      <c r="L397" s="32"/>
      <c r="M397" s="33" t="s">
        <v>81</v>
      </c>
      <c r="N397" s="33"/>
      <c r="O397" s="32">
        <v>45</v>
      </c>
      <c r="P397" s="71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50"/>
      <c r="R397" s="550"/>
      <c r="S397" s="550"/>
      <c r="T397" s="551"/>
      <c r="U397" s="34"/>
      <c r="V397" s="34"/>
      <c r="W397" s="35" t="s">
        <v>70</v>
      </c>
      <c r="X397" s="543">
        <v>0</v>
      </c>
      <c r="Y397" s="544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613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614</v>
      </c>
      <c r="B398" s="54" t="s">
        <v>615</v>
      </c>
      <c r="C398" s="31">
        <v>4301051431</v>
      </c>
      <c r="D398" s="547">
        <v>4607091389654</v>
      </c>
      <c r="E398" s="548"/>
      <c r="F398" s="542">
        <v>0.33</v>
      </c>
      <c r="G398" s="32">
        <v>6</v>
      </c>
      <c r="H398" s="542">
        <v>1.98</v>
      </c>
      <c r="I398" s="542">
        <v>2.238</v>
      </c>
      <c r="J398" s="32">
        <v>182</v>
      </c>
      <c r="K398" s="32" t="s">
        <v>67</v>
      </c>
      <c r="L398" s="32"/>
      <c r="M398" s="33" t="s">
        <v>81</v>
      </c>
      <c r="N398" s="33"/>
      <c r="O398" s="32">
        <v>45</v>
      </c>
      <c r="P398" s="78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50"/>
      <c r="R398" s="550"/>
      <c r="S398" s="550"/>
      <c r="T398" s="551"/>
      <c r="U398" s="34"/>
      <c r="V398" s="34"/>
      <c r="W398" s="35" t="s">
        <v>70</v>
      </c>
      <c r="X398" s="543">
        <v>0</v>
      </c>
      <c r="Y398" s="544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616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567"/>
      <c r="B399" s="557"/>
      <c r="C399" s="557"/>
      <c r="D399" s="557"/>
      <c r="E399" s="557"/>
      <c r="F399" s="557"/>
      <c r="G399" s="557"/>
      <c r="H399" s="557"/>
      <c r="I399" s="557"/>
      <c r="J399" s="557"/>
      <c r="K399" s="557"/>
      <c r="L399" s="557"/>
      <c r="M399" s="557"/>
      <c r="N399" s="557"/>
      <c r="O399" s="568"/>
      <c r="P399" s="561" t="s">
        <v>76</v>
      </c>
      <c r="Q399" s="562"/>
      <c r="R399" s="562"/>
      <c r="S399" s="562"/>
      <c r="T399" s="562"/>
      <c r="U399" s="562"/>
      <c r="V399" s="563"/>
      <c r="W399" s="37" t="s">
        <v>77</v>
      </c>
      <c r="X399" s="545">
        <f>IFERROR(X397/H397,"0")+IFERROR(X398/H398,"0")</f>
        <v>0</v>
      </c>
      <c r="Y399" s="545">
        <f>IFERROR(Y397/H397,"0")+IFERROR(Y398/H398,"0")</f>
        <v>0</v>
      </c>
      <c r="Z399" s="545">
        <f>IFERROR(IF(Z397="",0,Z397),"0")+IFERROR(IF(Z398="",0,Z398),"0")</f>
        <v>0</v>
      </c>
      <c r="AA399" s="546"/>
      <c r="AB399" s="546"/>
      <c r="AC399" s="546"/>
    </row>
    <row r="400" spans="1:68" x14ac:dyDescent="0.2">
      <c r="A400" s="557"/>
      <c r="B400" s="557"/>
      <c r="C400" s="557"/>
      <c r="D400" s="557"/>
      <c r="E400" s="557"/>
      <c r="F400" s="557"/>
      <c r="G400" s="557"/>
      <c r="H400" s="557"/>
      <c r="I400" s="557"/>
      <c r="J400" s="557"/>
      <c r="K400" s="557"/>
      <c r="L400" s="557"/>
      <c r="M400" s="557"/>
      <c r="N400" s="557"/>
      <c r="O400" s="568"/>
      <c r="P400" s="561" t="s">
        <v>76</v>
      </c>
      <c r="Q400" s="562"/>
      <c r="R400" s="562"/>
      <c r="S400" s="562"/>
      <c r="T400" s="562"/>
      <c r="U400" s="562"/>
      <c r="V400" s="563"/>
      <c r="W400" s="37" t="s">
        <v>70</v>
      </c>
      <c r="X400" s="545">
        <f>IFERROR(SUM(X397:X398),"0")</f>
        <v>0</v>
      </c>
      <c r="Y400" s="545">
        <f>IFERROR(SUM(Y397:Y398),"0")</f>
        <v>0</v>
      </c>
      <c r="Z400" s="37"/>
      <c r="AA400" s="546"/>
      <c r="AB400" s="546"/>
      <c r="AC400" s="546"/>
    </row>
    <row r="401" spans="1:68" ht="16.5" customHeight="1" x14ac:dyDescent="0.25">
      <c r="A401" s="558" t="s">
        <v>617</v>
      </c>
      <c r="B401" s="557"/>
      <c r="C401" s="557"/>
      <c r="D401" s="557"/>
      <c r="E401" s="557"/>
      <c r="F401" s="557"/>
      <c r="G401" s="557"/>
      <c r="H401" s="557"/>
      <c r="I401" s="557"/>
      <c r="J401" s="557"/>
      <c r="K401" s="557"/>
      <c r="L401" s="557"/>
      <c r="M401" s="557"/>
      <c r="N401" s="557"/>
      <c r="O401" s="557"/>
      <c r="P401" s="557"/>
      <c r="Q401" s="557"/>
      <c r="R401" s="557"/>
      <c r="S401" s="557"/>
      <c r="T401" s="557"/>
      <c r="U401" s="557"/>
      <c r="V401" s="557"/>
      <c r="W401" s="557"/>
      <c r="X401" s="557"/>
      <c r="Y401" s="557"/>
      <c r="Z401" s="557"/>
      <c r="AA401" s="538"/>
      <c r="AB401" s="538"/>
      <c r="AC401" s="538"/>
    </row>
    <row r="402" spans="1:68" ht="14.25" customHeight="1" x14ac:dyDescent="0.25">
      <c r="A402" s="556" t="s">
        <v>139</v>
      </c>
      <c r="B402" s="557"/>
      <c r="C402" s="557"/>
      <c r="D402" s="557"/>
      <c r="E402" s="557"/>
      <c r="F402" s="557"/>
      <c r="G402" s="557"/>
      <c r="H402" s="557"/>
      <c r="I402" s="557"/>
      <c r="J402" s="557"/>
      <c r="K402" s="557"/>
      <c r="L402" s="557"/>
      <c r="M402" s="557"/>
      <c r="N402" s="557"/>
      <c r="O402" s="557"/>
      <c r="P402" s="557"/>
      <c r="Q402" s="557"/>
      <c r="R402" s="557"/>
      <c r="S402" s="557"/>
      <c r="T402" s="557"/>
      <c r="U402" s="557"/>
      <c r="V402" s="557"/>
      <c r="W402" s="557"/>
      <c r="X402" s="557"/>
      <c r="Y402" s="557"/>
      <c r="Z402" s="557"/>
      <c r="AA402" s="539"/>
      <c r="AB402" s="539"/>
      <c r="AC402" s="539"/>
    </row>
    <row r="403" spans="1:68" ht="27" customHeight="1" x14ac:dyDescent="0.25">
      <c r="A403" s="54" t="s">
        <v>618</v>
      </c>
      <c r="B403" s="54" t="s">
        <v>619</v>
      </c>
      <c r="C403" s="31">
        <v>4301020319</v>
      </c>
      <c r="D403" s="547">
        <v>4680115885240</v>
      </c>
      <c r="E403" s="548"/>
      <c r="F403" s="542">
        <v>0.35</v>
      </c>
      <c r="G403" s="32">
        <v>6</v>
      </c>
      <c r="H403" s="542">
        <v>2.1</v>
      </c>
      <c r="I403" s="542">
        <v>2.31</v>
      </c>
      <c r="J403" s="32">
        <v>182</v>
      </c>
      <c r="K403" s="32" t="s">
        <v>67</v>
      </c>
      <c r="L403" s="32"/>
      <c r="M403" s="33" t="s">
        <v>68</v>
      </c>
      <c r="N403" s="33"/>
      <c r="O403" s="32">
        <v>40</v>
      </c>
      <c r="P403" s="67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50"/>
      <c r="R403" s="550"/>
      <c r="S403" s="550"/>
      <c r="T403" s="551"/>
      <c r="U403" s="34"/>
      <c r="V403" s="34"/>
      <c r="W403" s="35" t="s">
        <v>70</v>
      </c>
      <c r="X403" s="543">
        <v>0</v>
      </c>
      <c r="Y403" s="544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620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67"/>
      <c r="B404" s="557"/>
      <c r="C404" s="557"/>
      <c r="D404" s="557"/>
      <c r="E404" s="557"/>
      <c r="F404" s="557"/>
      <c r="G404" s="557"/>
      <c r="H404" s="557"/>
      <c r="I404" s="557"/>
      <c r="J404" s="557"/>
      <c r="K404" s="557"/>
      <c r="L404" s="557"/>
      <c r="M404" s="557"/>
      <c r="N404" s="557"/>
      <c r="O404" s="568"/>
      <c r="P404" s="561" t="s">
        <v>76</v>
      </c>
      <c r="Q404" s="562"/>
      <c r="R404" s="562"/>
      <c r="S404" s="562"/>
      <c r="T404" s="562"/>
      <c r="U404" s="562"/>
      <c r="V404" s="563"/>
      <c r="W404" s="37" t="s">
        <v>77</v>
      </c>
      <c r="X404" s="545">
        <f>IFERROR(X403/H403,"0")</f>
        <v>0</v>
      </c>
      <c r="Y404" s="545">
        <f>IFERROR(Y403/H403,"0")</f>
        <v>0</v>
      </c>
      <c r="Z404" s="545">
        <f>IFERROR(IF(Z403="",0,Z403),"0")</f>
        <v>0</v>
      </c>
      <c r="AA404" s="546"/>
      <c r="AB404" s="546"/>
      <c r="AC404" s="546"/>
    </row>
    <row r="405" spans="1:68" x14ac:dyDescent="0.2">
      <c r="A405" s="557"/>
      <c r="B405" s="557"/>
      <c r="C405" s="557"/>
      <c r="D405" s="557"/>
      <c r="E405" s="557"/>
      <c r="F405" s="557"/>
      <c r="G405" s="557"/>
      <c r="H405" s="557"/>
      <c r="I405" s="557"/>
      <c r="J405" s="557"/>
      <c r="K405" s="557"/>
      <c r="L405" s="557"/>
      <c r="M405" s="557"/>
      <c r="N405" s="557"/>
      <c r="O405" s="568"/>
      <c r="P405" s="561" t="s">
        <v>76</v>
      </c>
      <c r="Q405" s="562"/>
      <c r="R405" s="562"/>
      <c r="S405" s="562"/>
      <c r="T405" s="562"/>
      <c r="U405" s="562"/>
      <c r="V405" s="563"/>
      <c r="W405" s="37" t="s">
        <v>70</v>
      </c>
      <c r="X405" s="545">
        <f>IFERROR(SUM(X403:X403),"0")</f>
        <v>0</v>
      </c>
      <c r="Y405" s="545">
        <f>IFERROR(SUM(Y403:Y403),"0")</f>
        <v>0</v>
      </c>
      <c r="Z405" s="37"/>
      <c r="AA405" s="546"/>
      <c r="AB405" s="546"/>
      <c r="AC405" s="546"/>
    </row>
    <row r="406" spans="1:68" ht="14.25" customHeight="1" x14ac:dyDescent="0.25">
      <c r="A406" s="556" t="s">
        <v>64</v>
      </c>
      <c r="B406" s="557"/>
      <c r="C406" s="557"/>
      <c r="D406" s="557"/>
      <c r="E406" s="557"/>
      <c r="F406" s="557"/>
      <c r="G406" s="557"/>
      <c r="H406" s="557"/>
      <c r="I406" s="557"/>
      <c r="J406" s="557"/>
      <c r="K406" s="557"/>
      <c r="L406" s="557"/>
      <c r="M406" s="557"/>
      <c r="N406" s="557"/>
      <c r="O406" s="557"/>
      <c r="P406" s="557"/>
      <c r="Q406" s="557"/>
      <c r="R406" s="557"/>
      <c r="S406" s="557"/>
      <c r="T406" s="557"/>
      <c r="U406" s="557"/>
      <c r="V406" s="557"/>
      <c r="W406" s="557"/>
      <c r="X406" s="557"/>
      <c r="Y406" s="557"/>
      <c r="Z406" s="557"/>
      <c r="AA406" s="539"/>
      <c r="AB406" s="539"/>
      <c r="AC406" s="539"/>
    </row>
    <row r="407" spans="1:68" ht="27" customHeight="1" x14ac:dyDescent="0.25">
      <c r="A407" s="54" t="s">
        <v>621</v>
      </c>
      <c r="B407" s="54" t="s">
        <v>622</v>
      </c>
      <c r="C407" s="31">
        <v>4301031403</v>
      </c>
      <c r="D407" s="547">
        <v>4680115886094</v>
      </c>
      <c r="E407" s="548"/>
      <c r="F407" s="542">
        <v>0.9</v>
      </c>
      <c r="G407" s="32">
        <v>6</v>
      </c>
      <c r="H407" s="542">
        <v>5.4</v>
      </c>
      <c r="I407" s="542">
        <v>5.59</v>
      </c>
      <c r="J407" s="32">
        <v>132</v>
      </c>
      <c r="K407" s="32" t="s">
        <v>113</v>
      </c>
      <c r="L407" s="32"/>
      <c r="M407" s="33" t="s">
        <v>108</v>
      </c>
      <c r="N407" s="33"/>
      <c r="O407" s="32">
        <v>50</v>
      </c>
      <c r="P407" s="62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50"/>
      <c r="R407" s="550"/>
      <c r="S407" s="550"/>
      <c r="T407" s="551"/>
      <c r="U407" s="34"/>
      <c r="V407" s="34"/>
      <c r="W407" s="35" t="s">
        <v>70</v>
      </c>
      <c r="X407" s="543">
        <v>0</v>
      </c>
      <c r="Y407" s="54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623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624</v>
      </c>
      <c r="B408" s="54" t="s">
        <v>625</v>
      </c>
      <c r="C408" s="31">
        <v>4301031363</v>
      </c>
      <c r="D408" s="547">
        <v>4607091389425</v>
      </c>
      <c r="E408" s="548"/>
      <c r="F408" s="542">
        <v>0.35</v>
      </c>
      <c r="G408" s="32">
        <v>6</v>
      </c>
      <c r="H408" s="542">
        <v>2.1</v>
      </c>
      <c r="I408" s="542">
        <v>2.23</v>
      </c>
      <c r="J408" s="32">
        <v>234</v>
      </c>
      <c r="K408" s="32" t="s">
        <v>74</v>
      </c>
      <c r="L408" s="32"/>
      <c r="M408" s="33" t="s">
        <v>68</v>
      </c>
      <c r="N408" s="33"/>
      <c r="O408" s="32">
        <v>50</v>
      </c>
      <c r="P408" s="847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50"/>
      <c r="R408" s="550"/>
      <c r="S408" s="550"/>
      <c r="T408" s="551"/>
      <c r="U408" s="34"/>
      <c r="V408" s="34"/>
      <c r="W408" s="35" t="s">
        <v>70</v>
      </c>
      <c r="X408" s="543">
        <v>0</v>
      </c>
      <c r="Y408" s="544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626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627</v>
      </c>
      <c r="B409" s="54" t="s">
        <v>628</v>
      </c>
      <c r="C409" s="31">
        <v>4301031373</v>
      </c>
      <c r="D409" s="547">
        <v>4680115880771</v>
      </c>
      <c r="E409" s="548"/>
      <c r="F409" s="542">
        <v>0.28000000000000003</v>
      </c>
      <c r="G409" s="32">
        <v>6</v>
      </c>
      <c r="H409" s="542">
        <v>1.68</v>
      </c>
      <c r="I409" s="542">
        <v>1.81</v>
      </c>
      <c r="J409" s="32">
        <v>234</v>
      </c>
      <c r="K409" s="32" t="s">
        <v>74</v>
      </c>
      <c r="L409" s="32"/>
      <c r="M409" s="33" t="s">
        <v>68</v>
      </c>
      <c r="N409" s="33"/>
      <c r="O409" s="32">
        <v>50</v>
      </c>
      <c r="P409" s="79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50"/>
      <c r="R409" s="550"/>
      <c r="S409" s="550"/>
      <c r="T409" s="551"/>
      <c r="U409" s="34"/>
      <c r="V409" s="34"/>
      <c r="W409" s="35" t="s">
        <v>70</v>
      </c>
      <c r="X409" s="543">
        <v>0</v>
      </c>
      <c r="Y409" s="544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630</v>
      </c>
      <c r="B410" s="54" t="s">
        <v>631</v>
      </c>
      <c r="C410" s="31">
        <v>4301031359</v>
      </c>
      <c r="D410" s="547">
        <v>4607091389500</v>
      </c>
      <c r="E410" s="548"/>
      <c r="F410" s="542">
        <v>0.35</v>
      </c>
      <c r="G410" s="32">
        <v>6</v>
      </c>
      <c r="H410" s="542">
        <v>2.1</v>
      </c>
      <c r="I410" s="542">
        <v>2.23</v>
      </c>
      <c r="J410" s="32">
        <v>234</v>
      </c>
      <c r="K410" s="32" t="s">
        <v>74</v>
      </c>
      <c r="L410" s="32"/>
      <c r="M410" s="33" t="s">
        <v>68</v>
      </c>
      <c r="N410" s="33"/>
      <c r="O410" s="32">
        <v>50</v>
      </c>
      <c r="P410" s="86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50"/>
      <c r="R410" s="550"/>
      <c r="S410" s="550"/>
      <c r="T410" s="551"/>
      <c r="U410" s="34"/>
      <c r="V410" s="34"/>
      <c r="W410" s="35" t="s">
        <v>70</v>
      </c>
      <c r="X410" s="543">
        <v>10.5</v>
      </c>
      <c r="Y410" s="544">
        <f>IFERROR(IF(X410="",0,CEILING((X410/$H410),1)*$H410),"")</f>
        <v>10.5</v>
      </c>
      <c r="Z410" s="36">
        <f>IFERROR(IF(Y410=0,"",ROUNDUP(Y410/H410,0)*0.00502),"")</f>
        <v>2.5100000000000001E-2</v>
      </c>
      <c r="AA410" s="56"/>
      <c r="AB410" s="57"/>
      <c r="AC410" s="457" t="s">
        <v>629</v>
      </c>
      <c r="AG410" s="64"/>
      <c r="AJ410" s="68"/>
      <c r="AK410" s="68">
        <v>0</v>
      </c>
      <c r="BB410" s="458" t="s">
        <v>1</v>
      </c>
      <c r="BM410" s="64">
        <f>IFERROR(X410*I410/H410,"0")</f>
        <v>11.149999999999999</v>
      </c>
      <c r="BN410" s="64">
        <f>IFERROR(Y410*I410/H410,"0")</f>
        <v>11.149999999999999</v>
      </c>
      <c r="BO410" s="64">
        <f>IFERROR(1/J410*(X410/H410),"0")</f>
        <v>2.1367521367521368E-2</v>
      </c>
      <c r="BP410" s="64">
        <f>IFERROR(1/J410*(Y410/H410),"0")</f>
        <v>2.1367521367521368E-2</v>
      </c>
    </row>
    <row r="411" spans="1:68" x14ac:dyDescent="0.2">
      <c r="A411" s="567"/>
      <c r="B411" s="557"/>
      <c r="C411" s="557"/>
      <c r="D411" s="557"/>
      <c r="E411" s="557"/>
      <c r="F411" s="557"/>
      <c r="G411" s="557"/>
      <c r="H411" s="557"/>
      <c r="I411" s="557"/>
      <c r="J411" s="557"/>
      <c r="K411" s="557"/>
      <c r="L411" s="557"/>
      <c r="M411" s="557"/>
      <c r="N411" s="557"/>
      <c r="O411" s="568"/>
      <c r="P411" s="561" t="s">
        <v>76</v>
      </c>
      <c r="Q411" s="562"/>
      <c r="R411" s="562"/>
      <c r="S411" s="562"/>
      <c r="T411" s="562"/>
      <c r="U411" s="562"/>
      <c r="V411" s="563"/>
      <c r="W411" s="37" t="s">
        <v>77</v>
      </c>
      <c r="X411" s="545">
        <f>IFERROR(X407/H407,"0")+IFERROR(X408/H408,"0")+IFERROR(X409/H409,"0")+IFERROR(X410/H410,"0")</f>
        <v>5</v>
      </c>
      <c r="Y411" s="545">
        <f>IFERROR(Y407/H407,"0")+IFERROR(Y408/H408,"0")+IFERROR(Y409/H409,"0")+IFERROR(Y410/H410,"0")</f>
        <v>5</v>
      </c>
      <c r="Z411" s="545">
        <f>IFERROR(IF(Z407="",0,Z407),"0")+IFERROR(IF(Z408="",0,Z408),"0")+IFERROR(IF(Z409="",0,Z409),"0")+IFERROR(IF(Z410="",0,Z410),"0")</f>
        <v>2.5100000000000001E-2</v>
      </c>
      <c r="AA411" s="546"/>
      <c r="AB411" s="546"/>
      <c r="AC411" s="546"/>
    </row>
    <row r="412" spans="1:68" x14ac:dyDescent="0.2">
      <c r="A412" s="557"/>
      <c r="B412" s="557"/>
      <c r="C412" s="557"/>
      <c r="D412" s="557"/>
      <c r="E412" s="557"/>
      <c r="F412" s="557"/>
      <c r="G412" s="557"/>
      <c r="H412" s="557"/>
      <c r="I412" s="557"/>
      <c r="J412" s="557"/>
      <c r="K412" s="557"/>
      <c r="L412" s="557"/>
      <c r="M412" s="557"/>
      <c r="N412" s="557"/>
      <c r="O412" s="568"/>
      <c r="P412" s="561" t="s">
        <v>76</v>
      </c>
      <c r="Q412" s="562"/>
      <c r="R412" s="562"/>
      <c r="S412" s="562"/>
      <c r="T412" s="562"/>
      <c r="U412" s="562"/>
      <c r="V412" s="563"/>
      <c r="W412" s="37" t="s">
        <v>70</v>
      </c>
      <c r="X412" s="545">
        <f>IFERROR(SUM(X407:X410),"0")</f>
        <v>10.5</v>
      </c>
      <c r="Y412" s="545">
        <f>IFERROR(SUM(Y407:Y410),"0")</f>
        <v>10.5</v>
      </c>
      <c r="Z412" s="37"/>
      <c r="AA412" s="546"/>
      <c r="AB412" s="546"/>
      <c r="AC412" s="546"/>
    </row>
    <row r="413" spans="1:68" ht="16.5" customHeight="1" x14ac:dyDescent="0.25">
      <c r="A413" s="558" t="s">
        <v>632</v>
      </c>
      <c r="B413" s="557"/>
      <c r="C413" s="557"/>
      <c r="D413" s="557"/>
      <c r="E413" s="557"/>
      <c r="F413" s="557"/>
      <c r="G413" s="557"/>
      <c r="H413" s="557"/>
      <c r="I413" s="557"/>
      <c r="J413" s="557"/>
      <c r="K413" s="557"/>
      <c r="L413" s="557"/>
      <c r="M413" s="557"/>
      <c r="N413" s="557"/>
      <c r="O413" s="557"/>
      <c r="P413" s="557"/>
      <c r="Q413" s="557"/>
      <c r="R413" s="557"/>
      <c r="S413" s="557"/>
      <c r="T413" s="557"/>
      <c r="U413" s="557"/>
      <c r="V413" s="557"/>
      <c r="W413" s="557"/>
      <c r="X413" s="557"/>
      <c r="Y413" s="557"/>
      <c r="Z413" s="557"/>
      <c r="AA413" s="538"/>
      <c r="AB413" s="538"/>
      <c r="AC413" s="538"/>
    </row>
    <row r="414" spans="1:68" ht="14.25" customHeight="1" x14ac:dyDescent="0.25">
      <c r="A414" s="556" t="s">
        <v>64</v>
      </c>
      <c r="B414" s="557"/>
      <c r="C414" s="557"/>
      <c r="D414" s="557"/>
      <c r="E414" s="557"/>
      <c r="F414" s="557"/>
      <c r="G414" s="557"/>
      <c r="H414" s="557"/>
      <c r="I414" s="557"/>
      <c r="J414" s="557"/>
      <c r="K414" s="557"/>
      <c r="L414" s="557"/>
      <c r="M414" s="557"/>
      <c r="N414" s="557"/>
      <c r="O414" s="557"/>
      <c r="P414" s="557"/>
      <c r="Q414" s="557"/>
      <c r="R414" s="557"/>
      <c r="S414" s="557"/>
      <c r="T414" s="557"/>
      <c r="U414" s="557"/>
      <c r="V414" s="557"/>
      <c r="W414" s="557"/>
      <c r="X414" s="557"/>
      <c r="Y414" s="557"/>
      <c r="Z414" s="557"/>
      <c r="AA414" s="539"/>
      <c r="AB414" s="539"/>
      <c r="AC414" s="539"/>
    </row>
    <row r="415" spans="1:68" ht="27" customHeight="1" x14ac:dyDescent="0.25">
      <c r="A415" s="54" t="s">
        <v>633</v>
      </c>
      <c r="B415" s="54" t="s">
        <v>634</v>
      </c>
      <c r="C415" s="31">
        <v>4301031347</v>
      </c>
      <c r="D415" s="547">
        <v>4680115885110</v>
      </c>
      <c r="E415" s="548"/>
      <c r="F415" s="542">
        <v>0.2</v>
      </c>
      <c r="G415" s="32">
        <v>6</v>
      </c>
      <c r="H415" s="542">
        <v>1.2</v>
      </c>
      <c r="I415" s="542">
        <v>2.1</v>
      </c>
      <c r="J415" s="32">
        <v>182</v>
      </c>
      <c r="K415" s="32" t="s">
        <v>67</v>
      </c>
      <c r="L415" s="32" t="s">
        <v>217</v>
      </c>
      <c r="M415" s="33" t="s">
        <v>68</v>
      </c>
      <c r="N415" s="33"/>
      <c r="O415" s="32">
        <v>50</v>
      </c>
      <c r="P415" s="816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50"/>
      <c r="R415" s="550"/>
      <c r="S415" s="550"/>
      <c r="T415" s="551"/>
      <c r="U415" s="34"/>
      <c r="V415" s="34"/>
      <c r="W415" s="35" t="s">
        <v>70</v>
      </c>
      <c r="X415" s="543">
        <v>60</v>
      </c>
      <c r="Y415" s="544">
        <f>IFERROR(IF(X415="",0,CEILING((X415/$H415),1)*$H415),"")</f>
        <v>60</v>
      </c>
      <c r="Z415" s="36">
        <f>IFERROR(IF(Y415=0,"",ROUNDUP(Y415/H415,0)*0.00651),"")</f>
        <v>0.32550000000000001</v>
      </c>
      <c r="AA415" s="56"/>
      <c r="AB415" s="57"/>
      <c r="AC415" s="459" t="s">
        <v>635</v>
      </c>
      <c r="AG415" s="64"/>
      <c r="AJ415" s="68" t="s">
        <v>110</v>
      </c>
      <c r="AK415" s="68">
        <v>16.8</v>
      </c>
      <c r="BB415" s="460" t="s">
        <v>1</v>
      </c>
      <c r="BM415" s="64">
        <f>IFERROR(X415*I415/H415,"0")</f>
        <v>105</v>
      </c>
      <c r="BN415" s="64">
        <f>IFERROR(Y415*I415/H415,"0")</f>
        <v>105</v>
      </c>
      <c r="BO415" s="64">
        <f>IFERROR(1/J415*(X415/H415),"0")</f>
        <v>0.27472527472527475</v>
      </c>
      <c r="BP415" s="64">
        <f>IFERROR(1/J415*(Y415/H415),"0")</f>
        <v>0.27472527472527475</v>
      </c>
    </row>
    <row r="416" spans="1:68" x14ac:dyDescent="0.2">
      <c r="A416" s="567"/>
      <c r="B416" s="557"/>
      <c r="C416" s="557"/>
      <c r="D416" s="557"/>
      <c r="E416" s="557"/>
      <c r="F416" s="557"/>
      <c r="G416" s="557"/>
      <c r="H416" s="557"/>
      <c r="I416" s="557"/>
      <c r="J416" s="557"/>
      <c r="K416" s="557"/>
      <c r="L416" s="557"/>
      <c r="M416" s="557"/>
      <c r="N416" s="557"/>
      <c r="O416" s="568"/>
      <c r="P416" s="561" t="s">
        <v>76</v>
      </c>
      <c r="Q416" s="562"/>
      <c r="R416" s="562"/>
      <c r="S416" s="562"/>
      <c r="T416" s="562"/>
      <c r="U416" s="562"/>
      <c r="V416" s="563"/>
      <c r="W416" s="37" t="s">
        <v>77</v>
      </c>
      <c r="X416" s="545">
        <f>IFERROR(X415/H415,"0")</f>
        <v>50</v>
      </c>
      <c r="Y416" s="545">
        <f>IFERROR(Y415/H415,"0")</f>
        <v>50</v>
      </c>
      <c r="Z416" s="545">
        <f>IFERROR(IF(Z415="",0,Z415),"0")</f>
        <v>0.32550000000000001</v>
      </c>
      <c r="AA416" s="546"/>
      <c r="AB416" s="546"/>
      <c r="AC416" s="546"/>
    </row>
    <row r="417" spans="1:68" x14ac:dyDescent="0.2">
      <c r="A417" s="557"/>
      <c r="B417" s="557"/>
      <c r="C417" s="557"/>
      <c r="D417" s="557"/>
      <c r="E417" s="557"/>
      <c r="F417" s="557"/>
      <c r="G417" s="557"/>
      <c r="H417" s="557"/>
      <c r="I417" s="557"/>
      <c r="J417" s="557"/>
      <c r="K417" s="557"/>
      <c r="L417" s="557"/>
      <c r="M417" s="557"/>
      <c r="N417" s="557"/>
      <c r="O417" s="568"/>
      <c r="P417" s="561" t="s">
        <v>76</v>
      </c>
      <c r="Q417" s="562"/>
      <c r="R417" s="562"/>
      <c r="S417" s="562"/>
      <c r="T417" s="562"/>
      <c r="U417" s="562"/>
      <c r="V417" s="563"/>
      <c r="W417" s="37" t="s">
        <v>70</v>
      </c>
      <c r="X417" s="545">
        <f>IFERROR(SUM(X415:X415),"0")</f>
        <v>60</v>
      </c>
      <c r="Y417" s="545">
        <f>IFERROR(SUM(Y415:Y415),"0")</f>
        <v>60</v>
      </c>
      <c r="Z417" s="37"/>
      <c r="AA417" s="546"/>
      <c r="AB417" s="546"/>
      <c r="AC417" s="546"/>
    </row>
    <row r="418" spans="1:68" ht="27.75" customHeight="1" x14ac:dyDescent="0.2">
      <c r="A418" s="650" t="s">
        <v>636</v>
      </c>
      <c r="B418" s="651"/>
      <c r="C418" s="651"/>
      <c r="D418" s="651"/>
      <c r="E418" s="651"/>
      <c r="F418" s="651"/>
      <c r="G418" s="651"/>
      <c r="H418" s="651"/>
      <c r="I418" s="651"/>
      <c r="J418" s="651"/>
      <c r="K418" s="651"/>
      <c r="L418" s="651"/>
      <c r="M418" s="651"/>
      <c r="N418" s="651"/>
      <c r="O418" s="651"/>
      <c r="P418" s="651"/>
      <c r="Q418" s="651"/>
      <c r="R418" s="651"/>
      <c r="S418" s="651"/>
      <c r="T418" s="651"/>
      <c r="U418" s="651"/>
      <c r="V418" s="651"/>
      <c r="W418" s="651"/>
      <c r="X418" s="651"/>
      <c r="Y418" s="651"/>
      <c r="Z418" s="651"/>
      <c r="AA418" s="48"/>
      <c r="AB418" s="48"/>
      <c r="AC418" s="48"/>
    </row>
    <row r="419" spans="1:68" ht="16.5" customHeight="1" x14ac:dyDescent="0.25">
      <c r="A419" s="558" t="s">
        <v>636</v>
      </c>
      <c r="B419" s="557"/>
      <c r="C419" s="557"/>
      <c r="D419" s="557"/>
      <c r="E419" s="557"/>
      <c r="F419" s="557"/>
      <c r="G419" s="557"/>
      <c r="H419" s="557"/>
      <c r="I419" s="557"/>
      <c r="J419" s="557"/>
      <c r="K419" s="557"/>
      <c r="L419" s="557"/>
      <c r="M419" s="557"/>
      <c r="N419" s="557"/>
      <c r="O419" s="557"/>
      <c r="P419" s="557"/>
      <c r="Q419" s="557"/>
      <c r="R419" s="557"/>
      <c r="S419" s="557"/>
      <c r="T419" s="557"/>
      <c r="U419" s="557"/>
      <c r="V419" s="557"/>
      <c r="W419" s="557"/>
      <c r="X419" s="557"/>
      <c r="Y419" s="557"/>
      <c r="Z419" s="557"/>
      <c r="AA419" s="538"/>
      <c r="AB419" s="538"/>
      <c r="AC419" s="538"/>
    </row>
    <row r="420" spans="1:68" ht="14.25" customHeight="1" x14ac:dyDescent="0.25">
      <c r="A420" s="556" t="s">
        <v>103</v>
      </c>
      <c r="B420" s="557"/>
      <c r="C420" s="557"/>
      <c r="D420" s="557"/>
      <c r="E420" s="557"/>
      <c r="F420" s="557"/>
      <c r="G420" s="557"/>
      <c r="H420" s="557"/>
      <c r="I420" s="557"/>
      <c r="J420" s="557"/>
      <c r="K420" s="557"/>
      <c r="L420" s="557"/>
      <c r="M420" s="557"/>
      <c r="N420" s="557"/>
      <c r="O420" s="557"/>
      <c r="P420" s="557"/>
      <c r="Q420" s="557"/>
      <c r="R420" s="557"/>
      <c r="S420" s="557"/>
      <c r="T420" s="557"/>
      <c r="U420" s="557"/>
      <c r="V420" s="557"/>
      <c r="W420" s="557"/>
      <c r="X420" s="557"/>
      <c r="Y420" s="557"/>
      <c r="Z420" s="557"/>
      <c r="AA420" s="539"/>
      <c r="AB420" s="539"/>
      <c r="AC420" s="539"/>
    </row>
    <row r="421" spans="1:68" ht="27" customHeight="1" x14ac:dyDescent="0.25">
      <c r="A421" s="54" t="s">
        <v>637</v>
      </c>
      <c r="B421" s="54" t="s">
        <v>638</v>
      </c>
      <c r="C421" s="31">
        <v>4301011795</v>
      </c>
      <c r="D421" s="547">
        <v>4607091389067</v>
      </c>
      <c r="E421" s="548"/>
      <c r="F421" s="542">
        <v>0.88</v>
      </c>
      <c r="G421" s="32">
        <v>6</v>
      </c>
      <c r="H421" s="542">
        <v>5.28</v>
      </c>
      <c r="I421" s="542">
        <v>5.63</v>
      </c>
      <c r="J421" s="32">
        <v>104</v>
      </c>
      <c r="K421" s="32" t="s">
        <v>106</v>
      </c>
      <c r="L421" s="32" t="s">
        <v>107</v>
      </c>
      <c r="M421" s="33" t="s">
        <v>108</v>
      </c>
      <c r="N421" s="33"/>
      <c r="O421" s="32">
        <v>60</v>
      </c>
      <c r="P421" s="84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50"/>
      <c r="R421" s="550"/>
      <c r="S421" s="550"/>
      <c r="T421" s="551"/>
      <c r="U421" s="34"/>
      <c r="V421" s="34"/>
      <c r="W421" s="35" t="s">
        <v>70</v>
      </c>
      <c r="X421" s="543">
        <v>0</v>
      </c>
      <c r="Y421" s="544">
        <f t="shared" ref="Y421:Y432" si="42">IFERROR(IF(X421="",0,CEILING((X421/$H421),1)*$H421),"")</f>
        <v>0</v>
      </c>
      <c r="Z421" s="36" t="str">
        <f t="shared" ref="Z421:Z427" si="43">IFERROR(IF(Y421=0,"",ROUNDUP(Y421/H421,0)*0.01196),"")</f>
        <v/>
      </c>
      <c r="AA421" s="56"/>
      <c r="AB421" s="57"/>
      <c r="AC421" s="461" t="s">
        <v>109</v>
      </c>
      <c r="AG421" s="64"/>
      <c r="AJ421" s="68" t="s">
        <v>110</v>
      </c>
      <c r="AK421" s="68">
        <v>42.24</v>
      </c>
      <c r="BB421" s="462" t="s">
        <v>1</v>
      </c>
      <c r="BM421" s="64">
        <f t="shared" ref="BM421:BM432" si="44">IFERROR(X421*I421/H421,"0")</f>
        <v>0</v>
      </c>
      <c r="BN421" s="64">
        <f t="shared" ref="BN421:BN432" si="45">IFERROR(Y421*I421/H421,"0")</f>
        <v>0</v>
      </c>
      <c r="BO421" s="64">
        <f t="shared" ref="BO421:BO432" si="46">IFERROR(1/J421*(X421/H421),"0")</f>
        <v>0</v>
      </c>
      <c r="BP421" s="64">
        <f t="shared" ref="BP421:BP432" si="47">IFERROR(1/J421*(Y421/H421),"0")</f>
        <v>0</v>
      </c>
    </row>
    <row r="422" spans="1:68" ht="27" customHeight="1" x14ac:dyDescent="0.25">
      <c r="A422" s="54" t="s">
        <v>639</v>
      </c>
      <c r="B422" s="54" t="s">
        <v>640</v>
      </c>
      <c r="C422" s="31">
        <v>4301012145</v>
      </c>
      <c r="D422" s="547">
        <v>4607091383522</v>
      </c>
      <c r="E422" s="548"/>
      <c r="F422" s="542">
        <v>0.88</v>
      </c>
      <c r="G422" s="32">
        <v>6</v>
      </c>
      <c r="H422" s="542">
        <v>5.28</v>
      </c>
      <c r="I422" s="542">
        <v>5.63</v>
      </c>
      <c r="J422" s="32">
        <v>104</v>
      </c>
      <c r="K422" s="32" t="s">
        <v>106</v>
      </c>
      <c r="L422" s="32"/>
      <c r="M422" s="33" t="s">
        <v>108</v>
      </c>
      <c r="N422" s="33"/>
      <c r="O422" s="32">
        <v>60</v>
      </c>
      <c r="P422" s="69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550"/>
      <c r="R422" s="550"/>
      <c r="S422" s="550"/>
      <c r="T422" s="551"/>
      <c r="U422" s="34"/>
      <c r="V422" s="34"/>
      <c r="W422" s="35" t="s">
        <v>70</v>
      </c>
      <c r="X422" s="543">
        <v>0</v>
      </c>
      <c r="Y422" s="544">
        <f t="shared" si="42"/>
        <v>0</v>
      </c>
      <c r="Z422" s="36" t="str">
        <f t="shared" si="43"/>
        <v/>
      </c>
      <c r="AA422" s="56"/>
      <c r="AB422" s="57"/>
      <c r="AC422" s="463" t="s">
        <v>641</v>
      </c>
      <c r="AG422" s="64"/>
      <c r="AJ422" s="68"/>
      <c r="AK422" s="68">
        <v>0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639</v>
      </c>
      <c r="B423" s="54" t="s">
        <v>642</v>
      </c>
      <c r="C423" s="31">
        <v>4301012210</v>
      </c>
      <c r="D423" s="547">
        <v>4607091383522</v>
      </c>
      <c r="E423" s="548"/>
      <c r="F423" s="542">
        <v>0.88</v>
      </c>
      <c r="G423" s="32">
        <v>6</v>
      </c>
      <c r="H423" s="542">
        <v>5.28</v>
      </c>
      <c r="I423" s="542">
        <v>5.63</v>
      </c>
      <c r="J423" s="32">
        <v>104</v>
      </c>
      <c r="K423" s="32" t="s">
        <v>106</v>
      </c>
      <c r="L423" s="32"/>
      <c r="M423" s="33" t="s">
        <v>108</v>
      </c>
      <c r="N423" s="33"/>
      <c r="O423" s="32">
        <v>60</v>
      </c>
      <c r="P423" s="666" t="s">
        <v>643</v>
      </c>
      <c r="Q423" s="550"/>
      <c r="R423" s="550"/>
      <c r="S423" s="550"/>
      <c r="T423" s="551"/>
      <c r="U423" s="34"/>
      <c r="V423" s="34"/>
      <c r="W423" s="35" t="s">
        <v>70</v>
      </c>
      <c r="X423" s="543">
        <v>0</v>
      </c>
      <c r="Y423" s="544">
        <f t="shared" si="42"/>
        <v>0</v>
      </c>
      <c r="Z423" s="36" t="str">
        <f t="shared" si="43"/>
        <v/>
      </c>
      <c r="AA423" s="56"/>
      <c r="AB423" s="57"/>
      <c r="AC423" s="465" t="s">
        <v>641</v>
      </c>
      <c r="AG423" s="64"/>
      <c r="AJ423" s="68"/>
      <c r="AK423" s="68">
        <v>0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27" customHeight="1" x14ac:dyDescent="0.25">
      <c r="A424" s="54" t="s">
        <v>644</v>
      </c>
      <c r="B424" s="54" t="s">
        <v>645</v>
      </c>
      <c r="C424" s="31">
        <v>4301011961</v>
      </c>
      <c r="D424" s="547">
        <v>4680115885271</v>
      </c>
      <c r="E424" s="548"/>
      <c r="F424" s="542">
        <v>0.88</v>
      </c>
      <c r="G424" s="32">
        <v>6</v>
      </c>
      <c r="H424" s="542">
        <v>5.28</v>
      </c>
      <c r="I424" s="542">
        <v>5.63</v>
      </c>
      <c r="J424" s="32">
        <v>104</v>
      </c>
      <c r="K424" s="32" t="s">
        <v>106</v>
      </c>
      <c r="L424" s="32"/>
      <c r="M424" s="33" t="s">
        <v>108</v>
      </c>
      <c r="N424" s="33"/>
      <c r="O424" s="32">
        <v>60</v>
      </c>
      <c r="P424" s="71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4" s="550"/>
      <c r="R424" s="550"/>
      <c r="S424" s="550"/>
      <c r="T424" s="551"/>
      <c r="U424" s="34"/>
      <c r="V424" s="34"/>
      <c r="W424" s="35" t="s">
        <v>70</v>
      </c>
      <c r="X424" s="543">
        <v>0</v>
      </c>
      <c r="Y424" s="544">
        <f t="shared" si="42"/>
        <v>0</v>
      </c>
      <c r="Z424" s="36" t="str">
        <f t="shared" si="43"/>
        <v/>
      </c>
      <c r="AA424" s="56"/>
      <c r="AB424" s="57"/>
      <c r="AC424" s="467" t="s">
        <v>646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27" customHeight="1" x14ac:dyDescent="0.25">
      <c r="A425" s="54" t="s">
        <v>647</v>
      </c>
      <c r="B425" s="54" t="s">
        <v>648</v>
      </c>
      <c r="C425" s="31">
        <v>4301011376</v>
      </c>
      <c r="D425" s="547">
        <v>4680115885226</v>
      </c>
      <c r="E425" s="548"/>
      <c r="F425" s="542">
        <v>0.88</v>
      </c>
      <c r="G425" s="32">
        <v>6</v>
      </c>
      <c r="H425" s="542">
        <v>5.28</v>
      </c>
      <c r="I425" s="542">
        <v>5.63</v>
      </c>
      <c r="J425" s="32">
        <v>104</v>
      </c>
      <c r="K425" s="32" t="s">
        <v>106</v>
      </c>
      <c r="L425" s="32" t="s">
        <v>107</v>
      </c>
      <c r="M425" s="33" t="s">
        <v>81</v>
      </c>
      <c r="N425" s="33"/>
      <c r="O425" s="32">
        <v>60</v>
      </c>
      <c r="P425" s="72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5" s="550"/>
      <c r="R425" s="550"/>
      <c r="S425" s="550"/>
      <c r="T425" s="551"/>
      <c r="U425" s="34"/>
      <c r="V425" s="34"/>
      <c r="W425" s="35" t="s">
        <v>70</v>
      </c>
      <c r="X425" s="543">
        <v>100</v>
      </c>
      <c r="Y425" s="544">
        <f t="shared" si="42"/>
        <v>100.32000000000001</v>
      </c>
      <c r="Z425" s="36">
        <f t="shared" si="43"/>
        <v>0.22724</v>
      </c>
      <c r="AA425" s="56"/>
      <c r="AB425" s="57"/>
      <c r="AC425" s="469" t="s">
        <v>649</v>
      </c>
      <c r="AG425" s="64"/>
      <c r="AJ425" s="68" t="s">
        <v>110</v>
      </c>
      <c r="AK425" s="68">
        <v>42.24</v>
      </c>
      <c r="BB425" s="470" t="s">
        <v>1</v>
      </c>
      <c r="BM425" s="64">
        <f t="shared" si="44"/>
        <v>106.62878787878788</v>
      </c>
      <c r="BN425" s="64">
        <f t="shared" si="45"/>
        <v>106.97</v>
      </c>
      <c r="BO425" s="64">
        <f t="shared" si="46"/>
        <v>0.18210955710955709</v>
      </c>
      <c r="BP425" s="64">
        <f t="shared" si="47"/>
        <v>0.18269230769230771</v>
      </c>
    </row>
    <row r="426" spans="1:68" ht="16.5" customHeight="1" x14ac:dyDescent="0.25">
      <c r="A426" s="54" t="s">
        <v>650</v>
      </c>
      <c r="B426" s="54" t="s">
        <v>651</v>
      </c>
      <c r="C426" s="31">
        <v>4301011774</v>
      </c>
      <c r="D426" s="547">
        <v>4680115884502</v>
      </c>
      <c r="E426" s="548"/>
      <c r="F426" s="542">
        <v>0.88</v>
      </c>
      <c r="G426" s="32">
        <v>6</v>
      </c>
      <c r="H426" s="542">
        <v>5.28</v>
      </c>
      <c r="I426" s="542">
        <v>5.63</v>
      </c>
      <c r="J426" s="32">
        <v>104</v>
      </c>
      <c r="K426" s="32" t="s">
        <v>106</v>
      </c>
      <c r="L426" s="32"/>
      <c r="M426" s="33" t="s">
        <v>108</v>
      </c>
      <c r="N426" s="33"/>
      <c r="O426" s="32">
        <v>60</v>
      </c>
      <c r="P426" s="64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6" s="550"/>
      <c r="R426" s="550"/>
      <c r="S426" s="550"/>
      <c r="T426" s="551"/>
      <c r="U426" s="34"/>
      <c r="V426" s="34"/>
      <c r="W426" s="35" t="s">
        <v>70</v>
      </c>
      <c r="X426" s="543">
        <v>0</v>
      </c>
      <c r="Y426" s="544">
        <f t="shared" si="42"/>
        <v>0</v>
      </c>
      <c r="Z426" s="36" t="str">
        <f t="shared" si="43"/>
        <v/>
      </c>
      <c r="AA426" s="56"/>
      <c r="AB426" s="57"/>
      <c r="AC426" s="471" t="s">
        <v>652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653</v>
      </c>
      <c r="B427" s="54" t="s">
        <v>654</v>
      </c>
      <c r="C427" s="31">
        <v>4301011771</v>
      </c>
      <c r="D427" s="547">
        <v>4607091389104</v>
      </c>
      <c r="E427" s="548"/>
      <c r="F427" s="542">
        <v>0.88</v>
      </c>
      <c r="G427" s="32">
        <v>6</v>
      </c>
      <c r="H427" s="542">
        <v>5.28</v>
      </c>
      <c r="I427" s="542">
        <v>5.63</v>
      </c>
      <c r="J427" s="32">
        <v>104</v>
      </c>
      <c r="K427" s="32" t="s">
        <v>106</v>
      </c>
      <c r="L427" s="32" t="s">
        <v>107</v>
      </c>
      <c r="M427" s="33" t="s">
        <v>108</v>
      </c>
      <c r="N427" s="33"/>
      <c r="O427" s="32">
        <v>60</v>
      </c>
      <c r="P427" s="70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7" s="550"/>
      <c r="R427" s="550"/>
      <c r="S427" s="550"/>
      <c r="T427" s="551"/>
      <c r="U427" s="34"/>
      <c r="V427" s="34"/>
      <c r="W427" s="35" t="s">
        <v>70</v>
      </c>
      <c r="X427" s="543">
        <v>100</v>
      </c>
      <c r="Y427" s="544">
        <f t="shared" si="42"/>
        <v>100.32000000000001</v>
      </c>
      <c r="Z427" s="36">
        <f t="shared" si="43"/>
        <v>0.22724</v>
      </c>
      <c r="AA427" s="56"/>
      <c r="AB427" s="57"/>
      <c r="AC427" s="473" t="s">
        <v>655</v>
      </c>
      <c r="AG427" s="64"/>
      <c r="AJ427" s="68" t="s">
        <v>110</v>
      </c>
      <c r="AK427" s="68">
        <v>42.24</v>
      </c>
      <c r="BB427" s="474" t="s">
        <v>1</v>
      </c>
      <c r="BM427" s="64">
        <f t="shared" si="44"/>
        <v>106.62878787878788</v>
      </c>
      <c r="BN427" s="64">
        <f t="shared" si="45"/>
        <v>106.97</v>
      </c>
      <c r="BO427" s="64">
        <f t="shared" si="46"/>
        <v>0.18210955710955709</v>
      </c>
      <c r="BP427" s="64">
        <f t="shared" si="47"/>
        <v>0.18269230769230771</v>
      </c>
    </row>
    <row r="428" spans="1:68" ht="27" customHeight="1" x14ac:dyDescent="0.25">
      <c r="A428" s="54" t="s">
        <v>656</v>
      </c>
      <c r="B428" s="54" t="s">
        <v>657</v>
      </c>
      <c r="C428" s="31">
        <v>4301012125</v>
      </c>
      <c r="D428" s="547">
        <v>4680115886391</v>
      </c>
      <c r="E428" s="548"/>
      <c r="F428" s="542">
        <v>0.4</v>
      </c>
      <c r="G428" s="32">
        <v>6</v>
      </c>
      <c r="H428" s="542">
        <v>2.4</v>
      </c>
      <c r="I428" s="542">
        <v>2.58</v>
      </c>
      <c r="J428" s="32">
        <v>182</v>
      </c>
      <c r="K428" s="32" t="s">
        <v>67</v>
      </c>
      <c r="L428" s="32"/>
      <c r="M428" s="33" t="s">
        <v>81</v>
      </c>
      <c r="N428" s="33"/>
      <c r="O428" s="32">
        <v>60</v>
      </c>
      <c r="P428" s="65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8" s="550"/>
      <c r="R428" s="550"/>
      <c r="S428" s="550"/>
      <c r="T428" s="551"/>
      <c r="U428" s="34"/>
      <c r="V428" s="34"/>
      <c r="W428" s="35" t="s">
        <v>70</v>
      </c>
      <c r="X428" s="543">
        <v>0</v>
      </c>
      <c r="Y428" s="544">
        <f t="shared" si="42"/>
        <v>0</v>
      </c>
      <c r="Z428" s="36" t="str">
        <f>IFERROR(IF(Y428=0,"",ROUNDUP(Y428/H428,0)*0.00651),"")</f>
        <v/>
      </c>
      <c r="AA428" s="56"/>
      <c r="AB428" s="57"/>
      <c r="AC428" s="475" t="s">
        <v>109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658</v>
      </c>
      <c r="B429" s="54" t="s">
        <v>659</v>
      </c>
      <c r="C429" s="31">
        <v>4301012035</v>
      </c>
      <c r="D429" s="547">
        <v>4680115880603</v>
      </c>
      <c r="E429" s="548"/>
      <c r="F429" s="542">
        <v>0.6</v>
      </c>
      <c r="G429" s="32">
        <v>8</v>
      </c>
      <c r="H429" s="542">
        <v>4.8</v>
      </c>
      <c r="I429" s="542">
        <v>6.91</v>
      </c>
      <c r="J429" s="32">
        <v>132</v>
      </c>
      <c r="K429" s="32" t="s">
        <v>113</v>
      </c>
      <c r="L429" s="32"/>
      <c r="M429" s="33" t="s">
        <v>108</v>
      </c>
      <c r="N429" s="33"/>
      <c r="O429" s="32">
        <v>60</v>
      </c>
      <c r="P429" s="66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9" s="550"/>
      <c r="R429" s="550"/>
      <c r="S429" s="550"/>
      <c r="T429" s="551"/>
      <c r="U429" s="34"/>
      <c r="V429" s="34"/>
      <c r="W429" s="35" t="s">
        <v>70</v>
      </c>
      <c r="X429" s="543">
        <v>72</v>
      </c>
      <c r="Y429" s="544">
        <f t="shared" si="42"/>
        <v>72</v>
      </c>
      <c r="Z429" s="36">
        <f>IFERROR(IF(Y429=0,"",ROUNDUP(Y429/H429,0)*0.00902),"")</f>
        <v>0.1353</v>
      </c>
      <c r="AA429" s="56"/>
      <c r="AB429" s="57"/>
      <c r="AC429" s="477" t="s">
        <v>109</v>
      </c>
      <c r="AG429" s="64"/>
      <c r="AJ429" s="68"/>
      <c r="AK429" s="68">
        <v>0</v>
      </c>
      <c r="BB429" s="478" t="s">
        <v>1</v>
      </c>
      <c r="BM429" s="64">
        <f t="shared" si="44"/>
        <v>103.65</v>
      </c>
      <c r="BN429" s="64">
        <f t="shared" si="45"/>
        <v>103.65</v>
      </c>
      <c r="BO429" s="64">
        <f t="shared" si="46"/>
        <v>0.11363636363636365</v>
      </c>
      <c r="BP429" s="64">
        <f t="shared" si="47"/>
        <v>0.11363636363636365</v>
      </c>
    </row>
    <row r="430" spans="1:68" ht="27" customHeight="1" x14ac:dyDescent="0.25">
      <c r="A430" s="54" t="s">
        <v>660</v>
      </c>
      <c r="B430" s="54" t="s">
        <v>661</v>
      </c>
      <c r="C430" s="31">
        <v>4301012036</v>
      </c>
      <c r="D430" s="547">
        <v>4680115882782</v>
      </c>
      <c r="E430" s="548"/>
      <c r="F430" s="542">
        <v>0.6</v>
      </c>
      <c r="G430" s="32">
        <v>8</v>
      </c>
      <c r="H430" s="542">
        <v>4.8</v>
      </c>
      <c r="I430" s="542">
        <v>6.96</v>
      </c>
      <c r="J430" s="32">
        <v>120</v>
      </c>
      <c r="K430" s="32" t="s">
        <v>113</v>
      </c>
      <c r="L430" s="32"/>
      <c r="M430" s="33" t="s">
        <v>108</v>
      </c>
      <c r="N430" s="33"/>
      <c r="O430" s="32">
        <v>60</v>
      </c>
      <c r="P430" s="81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0" s="550"/>
      <c r="R430" s="550"/>
      <c r="S430" s="550"/>
      <c r="T430" s="551"/>
      <c r="U430" s="34"/>
      <c r="V430" s="34"/>
      <c r="W430" s="35" t="s">
        <v>70</v>
      </c>
      <c r="X430" s="543">
        <v>0</v>
      </c>
      <c r="Y430" s="544">
        <f t="shared" si="42"/>
        <v>0</v>
      </c>
      <c r="Z430" s="36" t="str">
        <f>IFERROR(IF(Y430=0,"",ROUNDUP(Y430/H430,0)*0.00937),"")</f>
        <v/>
      </c>
      <c r="AA430" s="56"/>
      <c r="AB430" s="57"/>
      <c r="AC430" s="479" t="s">
        <v>646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662</v>
      </c>
      <c r="B431" s="54" t="s">
        <v>663</v>
      </c>
      <c r="C431" s="31">
        <v>4301012050</v>
      </c>
      <c r="D431" s="547">
        <v>4680115885479</v>
      </c>
      <c r="E431" s="548"/>
      <c r="F431" s="542">
        <v>0.4</v>
      </c>
      <c r="G431" s="32">
        <v>6</v>
      </c>
      <c r="H431" s="542">
        <v>2.4</v>
      </c>
      <c r="I431" s="542">
        <v>2.58</v>
      </c>
      <c r="J431" s="32">
        <v>182</v>
      </c>
      <c r="K431" s="32" t="s">
        <v>67</v>
      </c>
      <c r="L431" s="32"/>
      <c r="M431" s="33" t="s">
        <v>108</v>
      </c>
      <c r="N431" s="33"/>
      <c r="O431" s="32">
        <v>60</v>
      </c>
      <c r="P431" s="688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1" s="550"/>
      <c r="R431" s="550"/>
      <c r="S431" s="550"/>
      <c r="T431" s="551"/>
      <c r="U431" s="34"/>
      <c r="V431" s="34"/>
      <c r="W431" s="35" t="s">
        <v>70</v>
      </c>
      <c r="X431" s="543">
        <v>0</v>
      </c>
      <c r="Y431" s="544">
        <f t="shared" si="42"/>
        <v>0</v>
      </c>
      <c r="Z431" s="36" t="str">
        <f>IFERROR(IF(Y431=0,"",ROUNDUP(Y431/H431,0)*0.00651),"")</f>
        <v/>
      </c>
      <c r="AA431" s="56"/>
      <c r="AB431" s="57"/>
      <c r="AC431" s="481" t="s">
        <v>664</v>
      </c>
      <c r="AG431" s="64"/>
      <c r="AJ431" s="68"/>
      <c r="AK431" s="68">
        <v>0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ht="27" customHeight="1" x14ac:dyDescent="0.25">
      <c r="A432" s="54" t="s">
        <v>665</v>
      </c>
      <c r="B432" s="54" t="s">
        <v>666</v>
      </c>
      <c r="C432" s="31">
        <v>4301012034</v>
      </c>
      <c r="D432" s="547">
        <v>4607091389982</v>
      </c>
      <c r="E432" s="548"/>
      <c r="F432" s="542">
        <v>0.6</v>
      </c>
      <c r="G432" s="32">
        <v>8</v>
      </c>
      <c r="H432" s="542">
        <v>4.8</v>
      </c>
      <c r="I432" s="542">
        <v>6.91</v>
      </c>
      <c r="J432" s="32">
        <v>132</v>
      </c>
      <c r="K432" s="32" t="s">
        <v>113</v>
      </c>
      <c r="L432" s="32"/>
      <c r="M432" s="33" t="s">
        <v>108</v>
      </c>
      <c r="N432" s="33"/>
      <c r="O432" s="32">
        <v>60</v>
      </c>
      <c r="P432" s="58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2" s="550"/>
      <c r="R432" s="550"/>
      <c r="S432" s="550"/>
      <c r="T432" s="551"/>
      <c r="U432" s="34"/>
      <c r="V432" s="34"/>
      <c r="W432" s="35" t="s">
        <v>70</v>
      </c>
      <c r="X432" s="543">
        <v>162</v>
      </c>
      <c r="Y432" s="544">
        <f t="shared" si="42"/>
        <v>163.19999999999999</v>
      </c>
      <c r="Z432" s="36">
        <f>IFERROR(IF(Y432=0,"",ROUNDUP(Y432/H432,0)*0.00902),"")</f>
        <v>0.30668000000000001</v>
      </c>
      <c r="AA432" s="56"/>
      <c r="AB432" s="57"/>
      <c r="AC432" s="483" t="s">
        <v>655</v>
      </c>
      <c r="AG432" s="64"/>
      <c r="AJ432" s="68"/>
      <c r="AK432" s="68">
        <v>0</v>
      </c>
      <c r="BB432" s="484" t="s">
        <v>1</v>
      </c>
      <c r="BM432" s="64">
        <f t="shared" si="44"/>
        <v>233.21250000000003</v>
      </c>
      <c r="BN432" s="64">
        <f t="shared" si="45"/>
        <v>234.94</v>
      </c>
      <c r="BO432" s="64">
        <f t="shared" si="46"/>
        <v>0.25568181818181818</v>
      </c>
      <c r="BP432" s="64">
        <f t="shared" si="47"/>
        <v>0.25757575757575757</v>
      </c>
    </row>
    <row r="433" spans="1:68" x14ac:dyDescent="0.2">
      <c r="A433" s="567"/>
      <c r="B433" s="557"/>
      <c r="C433" s="557"/>
      <c r="D433" s="557"/>
      <c r="E433" s="557"/>
      <c r="F433" s="557"/>
      <c r="G433" s="557"/>
      <c r="H433" s="557"/>
      <c r="I433" s="557"/>
      <c r="J433" s="557"/>
      <c r="K433" s="557"/>
      <c r="L433" s="557"/>
      <c r="M433" s="557"/>
      <c r="N433" s="557"/>
      <c r="O433" s="568"/>
      <c r="P433" s="561" t="s">
        <v>76</v>
      </c>
      <c r="Q433" s="562"/>
      <c r="R433" s="562"/>
      <c r="S433" s="562"/>
      <c r="T433" s="562"/>
      <c r="U433" s="562"/>
      <c r="V433" s="563"/>
      <c r="W433" s="37" t="s">
        <v>77</v>
      </c>
      <c r="X433" s="545">
        <f>IFERROR(X421/H421,"0")+IFERROR(X422/H422,"0")+IFERROR(X423/H423,"0")+IFERROR(X424/H424,"0")+IFERROR(X425/H425,"0")+IFERROR(X426/H426,"0")+IFERROR(X427/H427,"0")+IFERROR(X428/H428,"0")+IFERROR(X429/H429,"0")+IFERROR(X430/H430,"0")+IFERROR(X431/H431,"0")+IFERROR(X432/H432,"0")</f>
        <v>86.628787878787875</v>
      </c>
      <c r="Y433" s="545">
        <f>IFERROR(Y421/H421,"0")+IFERROR(Y422/H422,"0")+IFERROR(Y423/H423,"0")+IFERROR(Y424/H424,"0")+IFERROR(Y425/H425,"0")+IFERROR(Y426/H426,"0")+IFERROR(Y427/H427,"0")+IFERROR(Y428/H428,"0")+IFERROR(Y429/H429,"0")+IFERROR(Y430/H430,"0")+IFERROR(Y431/H431,"0")+IFERROR(Y432/H432,"0")</f>
        <v>87</v>
      </c>
      <c r="Z433" s="545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</f>
        <v>0.89646000000000003</v>
      </c>
      <c r="AA433" s="546"/>
      <c r="AB433" s="546"/>
      <c r="AC433" s="546"/>
    </row>
    <row r="434" spans="1:68" x14ac:dyDescent="0.2">
      <c r="A434" s="557"/>
      <c r="B434" s="557"/>
      <c r="C434" s="557"/>
      <c r="D434" s="557"/>
      <c r="E434" s="557"/>
      <c r="F434" s="557"/>
      <c r="G434" s="557"/>
      <c r="H434" s="557"/>
      <c r="I434" s="557"/>
      <c r="J434" s="557"/>
      <c r="K434" s="557"/>
      <c r="L434" s="557"/>
      <c r="M434" s="557"/>
      <c r="N434" s="557"/>
      <c r="O434" s="568"/>
      <c r="P434" s="561" t="s">
        <v>76</v>
      </c>
      <c r="Q434" s="562"/>
      <c r="R434" s="562"/>
      <c r="S434" s="562"/>
      <c r="T434" s="562"/>
      <c r="U434" s="562"/>
      <c r="V434" s="563"/>
      <c r="W434" s="37" t="s">
        <v>70</v>
      </c>
      <c r="X434" s="545">
        <f>IFERROR(SUM(X421:X432),"0")</f>
        <v>434</v>
      </c>
      <c r="Y434" s="545">
        <f>IFERROR(SUM(Y421:Y432),"0")</f>
        <v>435.84</v>
      </c>
      <c r="Z434" s="37"/>
      <c r="AA434" s="546"/>
      <c r="AB434" s="546"/>
      <c r="AC434" s="546"/>
    </row>
    <row r="435" spans="1:68" ht="14.25" customHeight="1" x14ac:dyDescent="0.25">
      <c r="A435" s="556" t="s">
        <v>139</v>
      </c>
      <c r="B435" s="557"/>
      <c r="C435" s="557"/>
      <c r="D435" s="557"/>
      <c r="E435" s="557"/>
      <c r="F435" s="557"/>
      <c r="G435" s="557"/>
      <c r="H435" s="557"/>
      <c r="I435" s="557"/>
      <c r="J435" s="557"/>
      <c r="K435" s="557"/>
      <c r="L435" s="557"/>
      <c r="M435" s="557"/>
      <c r="N435" s="557"/>
      <c r="O435" s="557"/>
      <c r="P435" s="557"/>
      <c r="Q435" s="557"/>
      <c r="R435" s="557"/>
      <c r="S435" s="557"/>
      <c r="T435" s="557"/>
      <c r="U435" s="557"/>
      <c r="V435" s="557"/>
      <c r="W435" s="557"/>
      <c r="X435" s="557"/>
      <c r="Y435" s="557"/>
      <c r="Z435" s="557"/>
      <c r="AA435" s="539"/>
      <c r="AB435" s="539"/>
      <c r="AC435" s="539"/>
    </row>
    <row r="436" spans="1:68" ht="16.5" customHeight="1" x14ac:dyDescent="0.25">
      <c r="A436" s="54" t="s">
        <v>667</v>
      </c>
      <c r="B436" s="54" t="s">
        <v>668</v>
      </c>
      <c r="C436" s="31">
        <v>4301020334</v>
      </c>
      <c r="D436" s="547">
        <v>4607091388930</v>
      </c>
      <c r="E436" s="548"/>
      <c r="F436" s="542">
        <v>0.88</v>
      </c>
      <c r="G436" s="32">
        <v>6</v>
      </c>
      <c r="H436" s="542">
        <v>5.28</v>
      </c>
      <c r="I436" s="542">
        <v>5.63</v>
      </c>
      <c r="J436" s="32">
        <v>104</v>
      </c>
      <c r="K436" s="32" t="s">
        <v>106</v>
      </c>
      <c r="L436" s="32" t="s">
        <v>107</v>
      </c>
      <c r="M436" s="33" t="s">
        <v>81</v>
      </c>
      <c r="N436" s="33"/>
      <c r="O436" s="32">
        <v>70</v>
      </c>
      <c r="P436" s="85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6" s="550"/>
      <c r="R436" s="550"/>
      <c r="S436" s="550"/>
      <c r="T436" s="551"/>
      <c r="U436" s="34"/>
      <c r="V436" s="34"/>
      <c r="W436" s="35" t="s">
        <v>70</v>
      </c>
      <c r="X436" s="543">
        <v>50</v>
      </c>
      <c r="Y436" s="544">
        <f>IFERROR(IF(X436="",0,CEILING((X436/$H436),1)*$H436),"")</f>
        <v>52.800000000000004</v>
      </c>
      <c r="Z436" s="36">
        <f>IFERROR(IF(Y436=0,"",ROUNDUP(Y436/H436,0)*0.01196),"")</f>
        <v>0.1196</v>
      </c>
      <c r="AA436" s="56"/>
      <c r="AB436" s="57"/>
      <c r="AC436" s="485" t="s">
        <v>669</v>
      </c>
      <c r="AG436" s="64"/>
      <c r="AJ436" s="68" t="s">
        <v>110</v>
      </c>
      <c r="AK436" s="68">
        <v>42.24</v>
      </c>
      <c r="BB436" s="486" t="s">
        <v>1</v>
      </c>
      <c r="BM436" s="64">
        <f>IFERROR(X436*I436/H436,"0")</f>
        <v>53.314393939393938</v>
      </c>
      <c r="BN436" s="64">
        <f>IFERROR(Y436*I436/H436,"0")</f>
        <v>56.3</v>
      </c>
      <c r="BO436" s="64">
        <f>IFERROR(1/J436*(X436/H436),"0")</f>
        <v>9.1054778554778545E-2</v>
      </c>
      <c r="BP436" s="64">
        <f>IFERROR(1/J436*(Y436/H436),"0")</f>
        <v>9.6153846153846159E-2</v>
      </c>
    </row>
    <row r="437" spans="1:68" ht="16.5" customHeight="1" x14ac:dyDescent="0.25">
      <c r="A437" s="54" t="s">
        <v>670</v>
      </c>
      <c r="B437" s="54" t="s">
        <v>671</v>
      </c>
      <c r="C437" s="31">
        <v>4301020384</v>
      </c>
      <c r="D437" s="547">
        <v>4680115886407</v>
      </c>
      <c r="E437" s="548"/>
      <c r="F437" s="542">
        <v>0.4</v>
      </c>
      <c r="G437" s="32">
        <v>6</v>
      </c>
      <c r="H437" s="542">
        <v>2.4</v>
      </c>
      <c r="I437" s="542">
        <v>2.58</v>
      </c>
      <c r="J437" s="32">
        <v>182</v>
      </c>
      <c r="K437" s="32" t="s">
        <v>67</v>
      </c>
      <c r="L437" s="32"/>
      <c r="M437" s="33" t="s">
        <v>81</v>
      </c>
      <c r="N437" s="33"/>
      <c r="O437" s="32">
        <v>70</v>
      </c>
      <c r="P437" s="55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7" s="550"/>
      <c r="R437" s="550"/>
      <c r="S437" s="550"/>
      <c r="T437" s="551"/>
      <c r="U437" s="34"/>
      <c r="V437" s="34"/>
      <c r="W437" s="35" t="s">
        <v>70</v>
      </c>
      <c r="X437" s="543">
        <v>0</v>
      </c>
      <c r="Y437" s="544">
        <f>IFERROR(IF(X437="",0,CEILING((X437/$H437),1)*$H437),"")</f>
        <v>0</v>
      </c>
      <c r="Z437" s="36" t="str">
        <f>IFERROR(IF(Y437=0,"",ROUNDUP(Y437/H437,0)*0.00651),"")</f>
        <v/>
      </c>
      <c r="AA437" s="56"/>
      <c r="AB437" s="57"/>
      <c r="AC437" s="487" t="s">
        <v>669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16.5" customHeight="1" x14ac:dyDescent="0.25">
      <c r="A438" s="54" t="s">
        <v>672</v>
      </c>
      <c r="B438" s="54" t="s">
        <v>673</v>
      </c>
      <c r="C438" s="31">
        <v>4301020385</v>
      </c>
      <c r="D438" s="547">
        <v>4680115880054</v>
      </c>
      <c r="E438" s="548"/>
      <c r="F438" s="542">
        <v>0.6</v>
      </c>
      <c r="G438" s="32">
        <v>8</v>
      </c>
      <c r="H438" s="542">
        <v>4.8</v>
      </c>
      <c r="I438" s="542">
        <v>6.91</v>
      </c>
      <c r="J438" s="32">
        <v>132</v>
      </c>
      <c r="K438" s="32" t="s">
        <v>113</v>
      </c>
      <c r="L438" s="32"/>
      <c r="M438" s="33" t="s">
        <v>108</v>
      </c>
      <c r="N438" s="33"/>
      <c r="O438" s="32">
        <v>70</v>
      </c>
      <c r="P438" s="72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8" s="550"/>
      <c r="R438" s="550"/>
      <c r="S438" s="550"/>
      <c r="T438" s="551"/>
      <c r="U438" s="34"/>
      <c r="V438" s="34"/>
      <c r="W438" s="35" t="s">
        <v>70</v>
      </c>
      <c r="X438" s="543">
        <v>0</v>
      </c>
      <c r="Y438" s="544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489" t="s">
        <v>669</v>
      </c>
      <c r="AG438" s="64"/>
      <c r="AJ438" s="68"/>
      <c r="AK438" s="68">
        <v>0</v>
      </c>
      <c r="BB438" s="49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x14ac:dyDescent="0.2">
      <c r="A439" s="567"/>
      <c r="B439" s="557"/>
      <c r="C439" s="557"/>
      <c r="D439" s="557"/>
      <c r="E439" s="557"/>
      <c r="F439" s="557"/>
      <c r="G439" s="557"/>
      <c r="H439" s="557"/>
      <c r="I439" s="557"/>
      <c r="J439" s="557"/>
      <c r="K439" s="557"/>
      <c r="L439" s="557"/>
      <c r="M439" s="557"/>
      <c r="N439" s="557"/>
      <c r="O439" s="568"/>
      <c r="P439" s="561" t="s">
        <v>76</v>
      </c>
      <c r="Q439" s="562"/>
      <c r="R439" s="562"/>
      <c r="S439" s="562"/>
      <c r="T439" s="562"/>
      <c r="U439" s="562"/>
      <c r="V439" s="563"/>
      <c r="W439" s="37" t="s">
        <v>77</v>
      </c>
      <c r="X439" s="545">
        <f>IFERROR(X436/H436,"0")+IFERROR(X437/H437,"0")+IFERROR(X438/H438,"0")</f>
        <v>9.4696969696969688</v>
      </c>
      <c r="Y439" s="545">
        <f>IFERROR(Y436/H436,"0")+IFERROR(Y437/H437,"0")+IFERROR(Y438/H438,"0")</f>
        <v>10</v>
      </c>
      <c r="Z439" s="545">
        <f>IFERROR(IF(Z436="",0,Z436),"0")+IFERROR(IF(Z437="",0,Z437),"0")+IFERROR(IF(Z438="",0,Z438),"0")</f>
        <v>0.1196</v>
      </c>
      <c r="AA439" s="546"/>
      <c r="AB439" s="546"/>
      <c r="AC439" s="546"/>
    </row>
    <row r="440" spans="1:68" x14ac:dyDescent="0.2">
      <c r="A440" s="557"/>
      <c r="B440" s="557"/>
      <c r="C440" s="557"/>
      <c r="D440" s="557"/>
      <c r="E440" s="557"/>
      <c r="F440" s="557"/>
      <c r="G440" s="557"/>
      <c r="H440" s="557"/>
      <c r="I440" s="557"/>
      <c r="J440" s="557"/>
      <c r="K440" s="557"/>
      <c r="L440" s="557"/>
      <c r="M440" s="557"/>
      <c r="N440" s="557"/>
      <c r="O440" s="568"/>
      <c r="P440" s="561" t="s">
        <v>76</v>
      </c>
      <c r="Q440" s="562"/>
      <c r="R440" s="562"/>
      <c r="S440" s="562"/>
      <c r="T440" s="562"/>
      <c r="U440" s="562"/>
      <c r="V440" s="563"/>
      <c r="W440" s="37" t="s">
        <v>70</v>
      </c>
      <c r="X440" s="545">
        <f>IFERROR(SUM(X436:X438),"0")</f>
        <v>50</v>
      </c>
      <c r="Y440" s="545">
        <f>IFERROR(SUM(Y436:Y438),"0")</f>
        <v>52.800000000000004</v>
      </c>
      <c r="Z440" s="37"/>
      <c r="AA440" s="546"/>
      <c r="AB440" s="546"/>
      <c r="AC440" s="546"/>
    </row>
    <row r="441" spans="1:68" ht="14.25" customHeight="1" x14ac:dyDescent="0.25">
      <c r="A441" s="556" t="s">
        <v>64</v>
      </c>
      <c r="B441" s="557"/>
      <c r="C441" s="557"/>
      <c r="D441" s="557"/>
      <c r="E441" s="557"/>
      <c r="F441" s="557"/>
      <c r="G441" s="557"/>
      <c r="H441" s="557"/>
      <c r="I441" s="557"/>
      <c r="J441" s="557"/>
      <c r="K441" s="557"/>
      <c r="L441" s="557"/>
      <c r="M441" s="557"/>
      <c r="N441" s="557"/>
      <c r="O441" s="557"/>
      <c r="P441" s="557"/>
      <c r="Q441" s="557"/>
      <c r="R441" s="557"/>
      <c r="S441" s="557"/>
      <c r="T441" s="557"/>
      <c r="U441" s="557"/>
      <c r="V441" s="557"/>
      <c r="W441" s="557"/>
      <c r="X441" s="557"/>
      <c r="Y441" s="557"/>
      <c r="Z441" s="557"/>
      <c r="AA441" s="539"/>
      <c r="AB441" s="539"/>
      <c r="AC441" s="539"/>
    </row>
    <row r="442" spans="1:68" ht="27" customHeight="1" x14ac:dyDescent="0.25">
      <c r="A442" s="54" t="s">
        <v>674</v>
      </c>
      <c r="B442" s="54" t="s">
        <v>675</v>
      </c>
      <c r="C442" s="31">
        <v>4301031349</v>
      </c>
      <c r="D442" s="547">
        <v>4680115883116</v>
      </c>
      <c r="E442" s="548"/>
      <c r="F442" s="542">
        <v>0.88</v>
      </c>
      <c r="G442" s="32">
        <v>6</v>
      </c>
      <c r="H442" s="542">
        <v>5.28</v>
      </c>
      <c r="I442" s="542">
        <v>5.63</v>
      </c>
      <c r="J442" s="32">
        <v>104</v>
      </c>
      <c r="K442" s="32" t="s">
        <v>106</v>
      </c>
      <c r="L442" s="32" t="s">
        <v>107</v>
      </c>
      <c r="M442" s="33" t="s">
        <v>108</v>
      </c>
      <c r="N442" s="33"/>
      <c r="O442" s="32">
        <v>70</v>
      </c>
      <c r="P442" s="68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2" s="550"/>
      <c r="R442" s="550"/>
      <c r="S442" s="550"/>
      <c r="T442" s="551"/>
      <c r="U442" s="34"/>
      <c r="V442" s="34"/>
      <c r="W442" s="35" t="s">
        <v>70</v>
      </c>
      <c r="X442" s="543">
        <v>30</v>
      </c>
      <c r="Y442" s="544">
        <f t="shared" ref="Y442:Y447" si="48">IFERROR(IF(X442="",0,CEILING((X442/$H442),1)*$H442),"")</f>
        <v>31.68</v>
      </c>
      <c r="Z442" s="36">
        <f>IFERROR(IF(Y442=0,"",ROUNDUP(Y442/H442,0)*0.01196),"")</f>
        <v>7.1760000000000004E-2</v>
      </c>
      <c r="AA442" s="56"/>
      <c r="AB442" s="57"/>
      <c r="AC442" s="491" t="s">
        <v>676</v>
      </c>
      <c r="AG442" s="64"/>
      <c r="AJ442" s="68" t="s">
        <v>110</v>
      </c>
      <c r="AK442" s="68">
        <v>42.24</v>
      </c>
      <c r="BB442" s="492" t="s">
        <v>1</v>
      </c>
      <c r="BM442" s="64">
        <f t="shared" ref="BM442:BM447" si="49">IFERROR(X442*I442/H442,"0")</f>
        <v>31.988636363636363</v>
      </c>
      <c r="BN442" s="64">
        <f t="shared" ref="BN442:BN447" si="50">IFERROR(Y442*I442/H442,"0")</f>
        <v>33.779999999999994</v>
      </c>
      <c r="BO442" s="64">
        <f t="shared" ref="BO442:BO447" si="51">IFERROR(1/J442*(X442/H442),"0")</f>
        <v>5.4632867132867136E-2</v>
      </c>
      <c r="BP442" s="64">
        <f t="shared" ref="BP442:BP447" si="52">IFERROR(1/J442*(Y442/H442),"0")</f>
        <v>5.7692307692307696E-2</v>
      </c>
    </row>
    <row r="443" spans="1:68" ht="27" customHeight="1" x14ac:dyDescent="0.25">
      <c r="A443" s="54" t="s">
        <v>677</v>
      </c>
      <c r="B443" s="54" t="s">
        <v>678</v>
      </c>
      <c r="C443" s="31">
        <v>4301031350</v>
      </c>
      <c r="D443" s="547">
        <v>4680115883093</v>
      </c>
      <c r="E443" s="548"/>
      <c r="F443" s="542">
        <v>0.88</v>
      </c>
      <c r="G443" s="32">
        <v>6</v>
      </c>
      <c r="H443" s="542">
        <v>5.28</v>
      </c>
      <c r="I443" s="542">
        <v>5.63</v>
      </c>
      <c r="J443" s="32">
        <v>104</v>
      </c>
      <c r="K443" s="32" t="s">
        <v>106</v>
      </c>
      <c r="L443" s="32" t="s">
        <v>107</v>
      </c>
      <c r="M443" s="33" t="s">
        <v>68</v>
      </c>
      <c r="N443" s="33"/>
      <c r="O443" s="32">
        <v>70</v>
      </c>
      <c r="P443" s="59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3" s="550"/>
      <c r="R443" s="550"/>
      <c r="S443" s="550"/>
      <c r="T443" s="551"/>
      <c r="U443" s="34"/>
      <c r="V443" s="34"/>
      <c r="W443" s="35" t="s">
        <v>70</v>
      </c>
      <c r="X443" s="543">
        <v>130</v>
      </c>
      <c r="Y443" s="544">
        <f t="shared" si="48"/>
        <v>132</v>
      </c>
      <c r="Z443" s="36">
        <f>IFERROR(IF(Y443=0,"",ROUNDUP(Y443/H443,0)*0.01196),"")</f>
        <v>0.29899999999999999</v>
      </c>
      <c r="AA443" s="56"/>
      <c r="AB443" s="57"/>
      <c r="AC443" s="493" t="s">
        <v>679</v>
      </c>
      <c r="AG443" s="64"/>
      <c r="AJ443" s="68" t="s">
        <v>110</v>
      </c>
      <c r="AK443" s="68">
        <v>42.24</v>
      </c>
      <c r="BB443" s="494" t="s">
        <v>1</v>
      </c>
      <c r="BM443" s="64">
        <f t="shared" si="49"/>
        <v>138.61742424242422</v>
      </c>
      <c r="BN443" s="64">
        <f t="shared" si="50"/>
        <v>140.75</v>
      </c>
      <c r="BO443" s="64">
        <f t="shared" si="51"/>
        <v>0.23674242424242425</v>
      </c>
      <c r="BP443" s="64">
        <f t="shared" si="52"/>
        <v>0.24038461538461539</v>
      </c>
    </row>
    <row r="444" spans="1:68" ht="27" customHeight="1" x14ac:dyDescent="0.25">
      <c r="A444" s="54" t="s">
        <v>680</v>
      </c>
      <c r="B444" s="54" t="s">
        <v>681</v>
      </c>
      <c r="C444" s="31">
        <v>4301031353</v>
      </c>
      <c r="D444" s="547">
        <v>4680115883109</v>
      </c>
      <c r="E444" s="548"/>
      <c r="F444" s="542">
        <v>0.88</v>
      </c>
      <c r="G444" s="32">
        <v>6</v>
      </c>
      <c r="H444" s="542">
        <v>5.28</v>
      </c>
      <c r="I444" s="542">
        <v>5.63</v>
      </c>
      <c r="J444" s="32">
        <v>104</v>
      </c>
      <c r="K444" s="32" t="s">
        <v>106</v>
      </c>
      <c r="L444" s="32" t="s">
        <v>107</v>
      </c>
      <c r="M444" s="33" t="s">
        <v>68</v>
      </c>
      <c r="N444" s="33"/>
      <c r="O444" s="32">
        <v>70</v>
      </c>
      <c r="P444" s="86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4" s="550"/>
      <c r="R444" s="550"/>
      <c r="S444" s="550"/>
      <c r="T444" s="551"/>
      <c r="U444" s="34"/>
      <c r="V444" s="34"/>
      <c r="W444" s="35" t="s">
        <v>70</v>
      </c>
      <c r="X444" s="543">
        <v>100</v>
      </c>
      <c r="Y444" s="544">
        <f t="shared" si="48"/>
        <v>100.32000000000001</v>
      </c>
      <c r="Z444" s="36">
        <f>IFERROR(IF(Y444=0,"",ROUNDUP(Y444/H444,0)*0.01196),"")</f>
        <v>0.22724</v>
      </c>
      <c r="AA444" s="56"/>
      <c r="AB444" s="57"/>
      <c r="AC444" s="495" t="s">
        <v>682</v>
      </c>
      <c r="AG444" s="64"/>
      <c r="AJ444" s="68" t="s">
        <v>110</v>
      </c>
      <c r="AK444" s="68">
        <v>42.24</v>
      </c>
      <c r="BB444" s="496" t="s">
        <v>1</v>
      </c>
      <c r="BM444" s="64">
        <f t="shared" si="49"/>
        <v>106.62878787878788</v>
      </c>
      <c r="BN444" s="64">
        <f t="shared" si="50"/>
        <v>106.97</v>
      </c>
      <c r="BO444" s="64">
        <f t="shared" si="51"/>
        <v>0.18210955710955709</v>
      </c>
      <c r="BP444" s="64">
        <f t="shared" si="52"/>
        <v>0.18269230769230771</v>
      </c>
    </row>
    <row r="445" spans="1:68" ht="27" customHeight="1" x14ac:dyDescent="0.25">
      <c r="A445" s="54" t="s">
        <v>683</v>
      </c>
      <c r="B445" s="54" t="s">
        <v>684</v>
      </c>
      <c r="C445" s="31">
        <v>4301031419</v>
      </c>
      <c r="D445" s="547">
        <v>4680115882072</v>
      </c>
      <c r="E445" s="548"/>
      <c r="F445" s="542">
        <v>0.6</v>
      </c>
      <c r="G445" s="32">
        <v>8</v>
      </c>
      <c r="H445" s="542">
        <v>4.8</v>
      </c>
      <c r="I445" s="542">
        <v>6.91</v>
      </c>
      <c r="J445" s="32">
        <v>132</v>
      </c>
      <c r="K445" s="32" t="s">
        <v>113</v>
      </c>
      <c r="L445" s="32" t="s">
        <v>114</v>
      </c>
      <c r="M445" s="33" t="s">
        <v>108</v>
      </c>
      <c r="N445" s="33"/>
      <c r="O445" s="32">
        <v>70</v>
      </c>
      <c r="P445" s="60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5" s="550"/>
      <c r="R445" s="550"/>
      <c r="S445" s="550"/>
      <c r="T445" s="551"/>
      <c r="U445" s="34"/>
      <c r="V445" s="34"/>
      <c r="W445" s="35" t="s">
        <v>70</v>
      </c>
      <c r="X445" s="543">
        <v>24</v>
      </c>
      <c r="Y445" s="544">
        <f t="shared" si="48"/>
        <v>24</v>
      </c>
      <c r="Z445" s="36">
        <f>IFERROR(IF(Y445=0,"",ROUNDUP(Y445/H445,0)*0.00902),"")</f>
        <v>4.5100000000000001E-2</v>
      </c>
      <c r="AA445" s="56"/>
      <c r="AB445" s="57"/>
      <c r="AC445" s="497" t="s">
        <v>676</v>
      </c>
      <c r="AG445" s="64"/>
      <c r="AJ445" s="68" t="s">
        <v>110</v>
      </c>
      <c r="AK445" s="68">
        <v>57.6</v>
      </c>
      <c r="BB445" s="498" t="s">
        <v>1</v>
      </c>
      <c r="BM445" s="64">
        <f t="shared" si="49"/>
        <v>34.550000000000004</v>
      </c>
      <c r="BN445" s="64">
        <f t="shared" si="50"/>
        <v>34.550000000000004</v>
      </c>
      <c r="BO445" s="64">
        <f t="shared" si="51"/>
        <v>3.787878787878788E-2</v>
      </c>
      <c r="BP445" s="64">
        <f t="shared" si="52"/>
        <v>3.787878787878788E-2</v>
      </c>
    </row>
    <row r="446" spans="1:68" ht="27" customHeight="1" x14ac:dyDescent="0.25">
      <c r="A446" s="54" t="s">
        <v>685</v>
      </c>
      <c r="B446" s="54" t="s">
        <v>686</v>
      </c>
      <c r="C446" s="31">
        <v>4301031418</v>
      </c>
      <c r="D446" s="547">
        <v>4680115882102</v>
      </c>
      <c r="E446" s="548"/>
      <c r="F446" s="542">
        <v>0.6</v>
      </c>
      <c r="G446" s="32">
        <v>8</v>
      </c>
      <c r="H446" s="542">
        <v>4.8</v>
      </c>
      <c r="I446" s="542">
        <v>6.67</v>
      </c>
      <c r="J446" s="32">
        <v>132</v>
      </c>
      <c r="K446" s="32" t="s">
        <v>113</v>
      </c>
      <c r="L446" s="32" t="s">
        <v>114</v>
      </c>
      <c r="M446" s="33" t="s">
        <v>68</v>
      </c>
      <c r="N446" s="33"/>
      <c r="O446" s="32">
        <v>70</v>
      </c>
      <c r="P446" s="74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6" s="550"/>
      <c r="R446" s="550"/>
      <c r="S446" s="550"/>
      <c r="T446" s="551"/>
      <c r="U446" s="34"/>
      <c r="V446" s="34"/>
      <c r="W446" s="35" t="s">
        <v>70</v>
      </c>
      <c r="X446" s="543">
        <v>30</v>
      </c>
      <c r="Y446" s="544">
        <f t="shared" si="48"/>
        <v>33.6</v>
      </c>
      <c r="Z446" s="36">
        <f>IFERROR(IF(Y446=0,"",ROUNDUP(Y446/H446,0)*0.00902),"")</f>
        <v>6.3140000000000002E-2</v>
      </c>
      <c r="AA446" s="56"/>
      <c r="AB446" s="57"/>
      <c r="AC446" s="499" t="s">
        <v>679</v>
      </c>
      <c r="AG446" s="64"/>
      <c r="AJ446" s="68" t="s">
        <v>110</v>
      </c>
      <c r="AK446" s="68">
        <v>57.6</v>
      </c>
      <c r="BB446" s="500" t="s">
        <v>1</v>
      </c>
      <c r="BM446" s="64">
        <f t="shared" si="49"/>
        <v>41.6875</v>
      </c>
      <c r="BN446" s="64">
        <f t="shared" si="50"/>
        <v>46.69</v>
      </c>
      <c r="BO446" s="64">
        <f t="shared" si="51"/>
        <v>4.7348484848484848E-2</v>
      </c>
      <c r="BP446" s="64">
        <f t="shared" si="52"/>
        <v>5.3030303030303039E-2</v>
      </c>
    </row>
    <row r="447" spans="1:68" ht="27" customHeight="1" x14ac:dyDescent="0.25">
      <c r="A447" s="54" t="s">
        <v>687</v>
      </c>
      <c r="B447" s="54" t="s">
        <v>688</v>
      </c>
      <c r="C447" s="31">
        <v>4301031417</v>
      </c>
      <c r="D447" s="547">
        <v>4680115882096</v>
      </c>
      <c r="E447" s="548"/>
      <c r="F447" s="542">
        <v>0.6</v>
      </c>
      <c r="G447" s="32">
        <v>8</v>
      </c>
      <c r="H447" s="542">
        <v>4.8</v>
      </c>
      <c r="I447" s="542">
        <v>6.67</v>
      </c>
      <c r="J447" s="32">
        <v>132</v>
      </c>
      <c r="K447" s="32" t="s">
        <v>113</v>
      </c>
      <c r="L447" s="32" t="s">
        <v>114</v>
      </c>
      <c r="M447" s="33" t="s">
        <v>68</v>
      </c>
      <c r="N447" s="33"/>
      <c r="O447" s="32">
        <v>70</v>
      </c>
      <c r="P447" s="86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7" s="550"/>
      <c r="R447" s="550"/>
      <c r="S447" s="550"/>
      <c r="T447" s="551"/>
      <c r="U447" s="34"/>
      <c r="V447" s="34"/>
      <c r="W447" s="35" t="s">
        <v>70</v>
      </c>
      <c r="X447" s="543">
        <v>84</v>
      </c>
      <c r="Y447" s="544">
        <f t="shared" si="48"/>
        <v>86.399999999999991</v>
      </c>
      <c r="Z447" s="36">
        <f>IFERROR(IF(Y447=0,"",ROUNDUP(Y447/H447,0)*0.00902),"")</f>
        <v>0.16236</v>
      </c>
      <c r="AA447" s="56"/>
      <c r="AB447" s="57"/>
      <c r="AC447" s="501" t="s">
        <v>682</v>
      </c>
      <c r="AG447" s="64"/>
      <c r="AJ447" s="68" t="s">
        <v>110</v>
      </c>
      <c r="AK447" s="68">
        <v>57.6</v>
      </c>
      <c r="BB447" s="502" t="s">
        <v>1</v>
      </c>
      <c r="BM447" s="64">
        <f t="shared" si="49"/>
        <v>116.72499999999999</v>
      </c>
      <c r="BN447" s="64">
        <f t="shared" si="50"/>
        <v>120.05999999999999</v>
      </c>
      <c r="BO447" s="64">
        <f t="shared" si="51"/>
        <v>0.13257575757575757</v>
      </c>
      <c r="BP447" s="64">
        <f t="shared" si="52"/>
        <v>0.13636363636363635</v>
      </c>
    </row>
    <row r="448" spans="1:68" x14ac:dyDescent="0.2">
      <c r="A448" s="567"/>
      <c r="B448" s="557"/>
      <c r="C448" s="557"/>
      <c r="D448" s="557"/>
      <c r="E448" s="557"/>
      <c r="F448" s="557"/>
      <c r="G448" s="557"/>
      <c r="H448" s="557"/>
      <c r="I448" s="557"/>
      <c r="J448" s="557"/>
      <c r="K448" s="557"/>
      <c r="L448" s="557"/>
      <c r="M448" s="557"/>
      <c r="N448" s="557"/>
      <c r="O448" s="568"/>
      <c r="P448" s="561" t="s">
        <v>76</v>
      </c>
      <c r="Q448" s="562"/>
      <c r="R448" s="562"/>
      <c r="S448" s="562"/>
      <c r="T448" s="562"/>
      <c r="U448" s="562"/>
      <c r="V448" s="563"/>
      <c r="W448" s="37" t="s">
        <v>77</v>
      </c>
      <c r="X448" s="545">
        <f>IFERROR(X442/H442,"0")+IFERROR(X443/H443,"0")+IFERROR(X444/H444,"0")+IFERROR(X445/H445,"0")+IFERROR(X446/H446,"0")+IFERROR(X447/H447,"0")</f>
        <v>77.992424242424249</v>
      </c>
      <c r="Y448" s="545">
        <f>IFERROR(Y442/H442,"0")+IFERROR(Y443/H443,"0")+IFERROR(Y444/H444,"0")+IFERROR(Y445/H445,"0")+IFERROR(Y446/H446,"0")+IFERROR(Y447/H447,"0")</f>
        <v>80</v>
      </c>
      <c r="Z448" s="545">
        <f>IFERROR(IF(Z442="",0,Z442),"0")+IFERROR(IF(Z443="",0,Z443),"0")+IFERROR(IF(Z444="",0,Z444),"0")+IFERROR(IF(Z445="",0,Z445),"0")+IFERROR(IF(Z446="",0,Z446),"0")+IFERROR(IF(Z447="",0,Z447),"0")</f>
        <v>0.86860000000000004</v>
      </c>
      <c r="AA448" s="546"/>
      <c r="AB448" s="546"/>
      <c r="AC448" s="546"/>
    </row>
    <row r="449" spans="1:68" x14ac:dyDescent="0.2">
      <c r="A449" s="557"/>
      <c r="B449" s="557"/>
      <c r="C449" s="557"/>
      <c r="D449" s="557"/>
      <c r="E449" s="557"/>
      <c r="F449" s="557"/>
      <c r="G449" s="557"/>
      <c r="H449" s="557"/>
      <c r="I449" s="557"/>
      <c r="J449" s="557"/>
      <c r="K449" s="557"/>
      <c r="L449" s="557"/>
      <c r="M449" s="557"/>
      <c r="N449" s="557"/>
      <c r="O449" s="568"/>
      <c r="P449" s="561" t="s">
        <v>76</v>
      </c>
      <c r="Q449" s="562"/>
      <c r="R449" s="562"/>
      <c r="S449" s="562"/>
      <c r="T449" s="562"/>
      <c r="U449" s="562"/>
      <c r="V449" s="563"/>
      <c r="W449" s="37" t="s">
        <v>70</v>
      </c>
      <c r="X449" s="545">
        <f>IFERROR(SUM(X442:X447),"0")</f>
        <v>398</v>
      </c>
      <c r="Y449" s="545">
        <f>IFERROR(SUM(Y442:Y447),"0")</f>
        <v>408</v>
      </c>
      <c r="Z449" s="37"/>
      <c r="AA449" s="546"/>
      <c r="AB449" s="546"/>
      <c r="AC449" s="546"/>
    </row>
    <row r="450" spans="1:68" ht="14.25" customHeight="1" x14ac:dyDescent="0.25">
      <c r="A450" s="556" t="s">
        <v>78</v>
      </c>
      <c r="B450" s="557"/>
      <c r="C450" s="557"/>
      <c r="D450" s="557"/>
      <c r="E450" s="557"/>
      <c r="F450" s="557"/>
      <c r="G450" s="557"/>
      <c r="H450" s="557"/>
      <c r="I450" s="557"/>
      <c r="J450" s="557"/>
      <c r="K450" s="557"/>
      <c r="L450" s="557"/>
      <c r="M450" s="557"/>
      <c r="N450" s="557"/>
      <c r="O450" s="557"/>
      <c r="P450" s="557"/>
      <c r="Q450" s="557"/>
      <c r="R450" s="557"/>
      <c r="S450" s="557"/>
      <c r="T450" s="557"/>
      <c r="U450" s="557"/>
      <c r="V450" s="557"/>
      <c r="W450" s="557"/>
      <c r="X450" s="557"/>
      <c r="Y450" s="557"/>
      <c r="Z450" s="557"/>
      <c r="AA450" s="539"/>
      <c r="AB450" s="539"/>
      <c r="AC450" s="539"/>
    </row>
    <row r="451" spans="1:68" ht="16.5" customHeight="1" x14ac:dyDescent="0.25">
      <c r="A451" s="54" t="s">
        <v>689</v>
      </c>
      <c r="B451" s="54" t="s">
        <v>690</v>
      </c>
      <c r="C451" s="31">
        <v>4301051232</v>
      </c>
      <c r="D451" s="547">
        <v>4607091383409</v>
      </c>
      <c r="E451" s="548"/>
      <c r="F451" s="542">
        <v>1.3</v>
      </c>
      <c r="G451" s="32">
        <v>6</v>
      </c>
      <c r="H451" s="542">
        <v>7.8</v>
      </c>
      <c r="I451" s="542">
        <v>8.2759999999999998</v>
      </c>
      <c r="J451" s="32">
        <v>64</v>
      </c>
      <c r="K451" s="32" t="s">
        <v>106</v>
      </c>
      <c r="L451" s="32"/>
      <c r="M451" s="33" t="s">
        <v>81</v>
      </c>
      <c r="N451" s="33"/>
      <c r="O451" s="32">
        <v>45</v>
      </c>
      <c r="P451" s="73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1" s="550"/>
      <c r="R451" s="550"/>
      <c r="S451" s="550"/>
      <c r="T451" s="551"/>
      <c r="U451" s="34"/>
      <c r="V451" s="34" t="s">
        <v>691</v>
      </c>
      <c r="W451" s="35" t="s">
        <v>70</v>
      </c>
      <c r="X451" s="543">
        <v>0</v>
      </c>
      <c r="Y451" s="544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16.5" customHeight="1" x14ac:dyDescent="0.25">
      <c r="A452" s="54" t="s">
        <v>693</v>
      </c>
      <c r="B452" s="54" t="s">
        <v>694</v>
      </c>
      <c r="C452" s="31">
        <v>4301051233</v>
      </c>
      <c r="D452" s="547">
        <v>4607091383416</v>
      </c>
      <c r="E452" s="548"/>
      <c r="F452" s="542">
        <v>1.3</v>
      </c>
      <c r="G452" s="32">
        <v>6</v>
      </c>
      <c r="H452" s="542">
        <v>7.8</v>
      </c>
      <c r="I452" s="542">
        <v>8.2759999999999998</v>
      </c>
      <c r="J452" s="32">
        <v>64</v>
      </c>
      <c r="K452" s="32" t="s">
        <v>106</v>
      </c>
      <c r="L452" s="32"/>
      <c r="M452" s="33" t="s">
        <v>81</v>
      </c>
      <c r="N452" s="33"/>
      <c r="O452" s="32">
        <v>45</v>
      </c>
      <c r="P452" s="58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2" s="550"/>
      <c r="R452" s="550"/>
      <c r="S452" s="550"/>
      <c r="T452" s="551"/>
      <c r="U452" s="34"/>
      <c r="V452" s="34" t="s">
        <v>691</v>
      </c>
      <c r="W452" s="35" t="s">
        <v>70</v>
      </c>
      <c r="X452" s="543">
        <v>0</v>
      </c>
      <c r="Y452" s="544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customHeight="1" x14ac:dyDescent="0.25">
      <c r="A453" s="54" t="s">
        <v>696</v>
      </c>
      <c r="B453" s="54" t="s">
        <v>697</v>
      </c>
      <c r="C453" s="31">
        <v>4301051064</v>
      </c>
      <c r="D453" s="547">
        <v>4680115883536</v>
      </c>
      <c r="E453" s="548"/>
      <c r="F453" s="542">
        <v>0.3</v>
      </c>
      <c r="G453" s="32">
        <v>6</v>
      </c>
      <c r="H453" s="542">
        <v>1.8</v>
      </c>
      <c r="I453" s="542">
        <v>2.0459999999999998</v>
      </c>
      <c r="J453" s="32">
        <v>182</v>
      </c>
      <c r="K453" s="32" t="s">
        <v>67</v>
      </c>
      <c r="L453" s="32"/>
      <c r="M453" s="33" t="s">
        <v>81</v>
      </c>
      <c r="N453" s="33"/>
      <c r="O453" s="32">
        <v>45</v>
      </c>
      <c r="P453" s="631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3" s="550"/>
      <c r="R453" s="550"/>
      <c r="S453" s="550"/>
      <c r="T453" s="551"/>
      <c r="U453" s="34"/>
      <c r="V453" s="34"/>
      <c r="W453" s="35" t="s">
        <v>70</v>
      </c>
      <c r="X453" s="543">
        <v>0</v>
      </c>
      <c r="Y453" s="544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7" t="s">
        <v>698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x14ac:dyDescent="0.2">
      <c r="A454" s="567"/>
      <c r="B454" s="557"/>
      <c r="C454" s="557"/>
      <c r="D454" s="557"/>
      <c r="E454" s="557"/>
      <c r="F454" s="557"/>
      <c r="G454" s="557"/>
      <c r="H454" s="557"/>
      <c r="I454" s="557"/>
      <c r="J454" s="557"/>
      <c r="K454" s="557"/>
      <c r="L454" s="557"/>
      <c r="M454" s="557"/>
      <c r="N454" s="557"/>
      <c r="O454" s="568"/>
      <c r="P454" s="561" t="s">
        <v>76</v>
      </c>
      <c r="Q454" s="562"/>
      <c r="R454" s="562"/>
      <c r="S454" s="562"/>
      <c r="T454" s="562"/>
      <c r="U454" s="562"/>
      <c r="V454" s="563"/>
      <c r="W454" s="37" t="s">
        <v>77</v>
      </c>
      <c r="X454" s="545">
        <f>IFERROR(X451/H451,"0")+IFERROR(X452/H452,"0")+IFERROR(X453/H453,"0")</f>
        <v>0</v>
      </c>
      <c r="Y454" s="545">
        <f>IFERROR(Y451/H451,"0")+IFERROR(Y452/H452,"0")+IFERROR(Y453/H453,"0")</f>
        <v>0</v>
      </c>
      <c r="Z454" s="545">
        <f>IFERROR(IF(Z451="",0,Z451),"0")+IFERROR(IF(Z452="",0,Z452),"0")+IFERROR(IF(Z453="",0,Z453),"0")</f>
        <v>0</v>
      </c>
      <c r="AA454" s="546"/>
      <c r="AB454" s="546"/>
      <c r="AC454" s="546"/>
    </row>
    <row r="455" spans="1:68" x14ac:dyDescent="0.2">
      <c r="A455" s="557"/>
      <c r="B455" s="557"/>
      <c r="C455" s="557"/>
      <c r="D455" s="557"/>
      <c r="E455" s="557"/>
      <c r="F455" s="557"/>
      <c r="G455" s="557"/>
      <c r="H455" s="557"/>
      <c r="I455" s="557"/>
      <c r="J455" s="557"/>
      <c r="K455" s="557"/>
      <c r="L455" s="557"/>
      <c r="M455" s="557"/>
      <c r="N455" s="557"/>
      <c r="O455" s="568"/>
      <c r="P455" s="561" t="s">
        <v>76</v>
      </c>
      <c r="Q455" s="562"/>
      <c r="R455" s="562"/>
      <c r="S455" s="562"/>
      <c r="T455" s="562"/>
      <c r="U455" s="562"/>
      <c r="V455" s="563"/>
      <c r="W455" s="37" t="s">
        <v>70</v>
      </c>
      <c r="X455" s="545">
        <f>IFERROR(SUM(X451:X453),"0")</f>
        <v>0</v>
      </c>
      <c r="Y455" s="545">
        <f>IFERROR(SUM(Y451:Y453),"0")</f>
        <v>0</v>
      </c>
      <c r="Z455" s="37"/>
      <c r="AA455" s="546"/>
      <c r="AB455" s="546"/>
      <c r="AC455" s="546"/>
    </row>
    <row r="456" spans="1:68" ht="27.75" customHeight="1" x14ac:dyDescent="0.2">
      <c r="A456" s="650" t="s">
        <v>699</v>
      </c>
      <c r="B456" s="651"/>
      <c r="C456" s="651"/>
      <c r="D456" s="651"/>
      <c r="E456" s="651"/>
      <c r="F456" s="651"/>
      <c r="G456" s="651"/>
      <c r="H456" s="651"/>
      <c r="I456" s="651"/>
      <c r="J456" s="651"/>
      <c r="K456" s="651"/>
      <c r="L456" s="651"/>
      <c r="M456" s="651"/>
      <c r="N456" s="651"/>
      <c r="O456" s="651"/>
      <c r="P456" s="651"/>
      <c r="Q456" s="651"/>
      <c r="R456" s="651"/>
      <c r="S456" s="651"/>
      <c r="T456" s="651"/>
      <c r="U456" s="651"/>
      <c r="V456" s="651"/>
      <c r="W456" s="651"/>
      <c r="X456" s="651"/>
      <c r="Y456" s="651"/>
      <c r="Z456" s="651"/>
      <c r="AA456" s="48"/>
      <c r="AB456" s="48"/>
      <c r="AC456" s="48"/>
    </row>
    <row r="457" spans="1:68" ht="16.5" customHeight="1" x14ac:dyDescent="0.25">
      <c r="A457" s="558" t="s">
        <v>699</v>
      </c>
      <c r="B457" s="557"/>
      <c r="C457" s="557"/>
      <c r="D457" s="557"/>
      <c r="E457" s="557"/>
      <c r="F457" s="557"/>
      <c r="G457" s="557"/>
      <c r="H457" s="557"/>
      <c r="I457" s="557"/>
      <c r="J457" s="557"/>
      <c r="K457" s="557"/>
      <c r="L457" s="557"/>
      <c r="M457" s="557"/>
      <c r="N457" s="557"/>
      <c r="O457" s="557"/>
      <c r="P457" s="557"/>
      <c r="Q457" s="557"/>
      <c r="R457" s="557"/>
      <c r="S457" s="557"/>
      <c r="T457" s="557"/>
      <c r="U457" s="557"/>
      <c r="V457" s="557"/>
      <c r="W457" s="557"/>
      <c r="X457" s="557"/>
      <c r="Y457" s="557"/>
      <c r="Z457" s="557"/>
      <c r="AA457" s="538"/>
      <c r="AB457" s="538"/>
      <c r="AC457" s="538"/>
    </row>
    <row r="458" spans="1:68" ht="14.25" customHeight="1" x14ac:dyDescent="0.25">
      <c r="A458" s="556" t="s">
        <v>103</v>
      </c>
      <c r="B458" s="557"/>
      <c r="C458" s="557"/>
      <c r="D458" s="557"/>
      <c r="E458" s="557"/>
      <c r="F458" s="557"/>
      <c r="G458" s="557"/>
      <c r="H458" s="557"/>
      <c r="I458" s="557"/>
      <c r="J458" s="557"/>
      <c r="K458" s="557"/>
      <c r="L458" s="557"/>
      <c r="M458" s="557"/>
      <c r="N458" s="557"/>
      <c r="O458" s="557"/>
      <c r="P458" s="557"/>
      <c r="Q458" s="557"/>
      <c r="R458" s="557"/>
      <c r="S458" s="557"/>
      <c r="T458" s="557"/>
      <c r="U458" s="557"/>
      <c r="V458" s="557"/>
      <c r="W458" s="557"/>
      <c r="X458" s="557"/>
      <c r="Y458" s="557"/>
      <c r="Z458" s="557"/>
      <c r="AA458" s="539"/>
      <c r="AB458" s="539"/>
      <c r="AC458" s="539"/>
    </row>
    <row r="459" spans="1:68" ht="27" customHeight="1" x14ac:dyDescent="0.25">
      <c r="A459" s="54" t="s">
        <v>700</v>
      </c>
      <c r="B459" s="54" t="s">
        <v>701</v>
      </c>
      <c r="C459" s="31">
        <v>4301011763</v>
      </c>
      <c r="D459" s="547">
        <v>4640242181011</v>
      </c>
      <c r="E459" s="548"/>
      <c r="F459" s="542">
        <v>1.35</v>
      </c>
      <c r="G459" s="32">
        <v>8</v>
      </c>
      <c r="H459" s="542">
        <v>10.8</v>
      </c>
      <c r="I459" s="542">
        <v>11.21</v>
      </c>
      <c r="J459" s="32">
        <v>64</v>
      </c>
      <c r="K459" s="32" t="s">
        <v>106</v>
      </c>
      <c r="L459" s="32"/>
      <c r="M459" s="33" t="s">
        <v>81</v>
      </c>
      <c r="N459" s="33"/>
      <c r="O459" s="32">
        <v>55</v>
      </c>
      <c r="P459" s="75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0"/>
      <c r="R459" s="550"/>
      <c r="S459" s="550"/>
      <c r="T459" s="551"/>
      <c r="U459" s="34"/>
      <c r="V459" s="34"/>
      <c r="W459" s="35" t="s">
        <v>70</v>
      </c>
      <c r="X459" s="543">
        <v>0</v>
      </c>
      <c r="Y459" s="544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703</v>
      </c>
      <c r="B460" s="54" t="s">
        <v>704</v>
      </c>
      <c r="C460" s="31">
        <v>4301011585</v>
      </c>
      <c r="D460" s="547">
        <v>4640242180441</v>
      </c>
      <c r="E460" s="548"/>
      <c r="F460" s="542">
        <v>1.5</v>
      </c>
      <c r="G460" s="32">
        <v>8</v>
      </c>
      <c r="H460" s="542">
        <v>12</v>
      </c>
      <c r="I460" s="542">
        <v>12.41</v>
      </c>
      <c r="J460" s="32">
        <v>64</v>
      </c>
      <c r="K460" s="32" t="s">
        <v>106</v>
      </c>
      <c r="L460" s="32"/>
      <c r="M460" s="33" t="s">
        <v>108</v>
      </c>
      <c r="N460" s="33"/>
      <c r="O460" s="32">
        <v>50</v>
      </c>
      <c r="P460" s="78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0"/>
      <c r="R460" s="550"/>
      <c r="S460" s="550"/>
      <c r="T460" s="551"/>
      <c r="U460" s="34"/>
      <c r="V460" s="34"/>
      <c r="W460" s="35" t="s">
        <v>70</v>
      </c>
      <c r="X460" s="543">
        <v>0</v>
      </c>
      <c r="Y460" s="5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706</v>
      </c>
      <c r="B461" s="54" t="s">
        <v>707</v>
      </c>
      <c r="C461" s="31">
        <v>4301011584</v>
      </c>
      <c r="D461" s="547">
        <v>4640242180564</v>
      </c>
      <c r="E461" s="548"/>
      <c r="F461" s="542">
        <v>1.5</v>
      </c>
      <c r="G461" s="32">
        <v>8</v>
      </c>
      <c r="H461" s="542">
        <v>12</v>
      </c>
      <c r="I461" s="542">
        <v>12.41</v>
      </c>
      <c r="J461" s="32">
        <v>64</v>
      </c>
      <c r="K461" s="32" t="s">
        <v>106</v>
      </c>
      <c r="L461" s="32"/>
      <c r="M461" s="33" t="s">
        <v>108</v>
      </c>
      <c r="N461" s="33"/>
      <c r="O461" s="32">
        <v>50</v>
      </c>
      <c r="P461" s="78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0"/>
      <c r="R461" s="550"/>
      <c r="S461" s="550"/>
      <c r="T461" s="551"/>
      <c r="U461" s="34"/>
      <c r="V461" s="34"/>
      <c r="W461" s="35" t="s">
        <v>70</v>
      </c>
      <c r="X461" s="543">
        <v>0</v>
      </c>
      <c r="Y461" s="544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708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709</v>
      </c>
      <c r="B462" s="54" t="s">
        <v>710</v>
      </c>
      <c r="C462" s="31">
        <v>4301011764</v>
      </c>
      <c r="D462" s="547">
        <v>4640242181189</v>
      </c>
      <c r="E462" s="548"/>
      <c r="F462" s="542">
        <v>0.4</v>
      </c>
      <c r="G462" s="32">
        <v>10</v>
      </c>
      <c r="H462" s="542">
        <v>4</v>
      </c>
      <c r="I462" s="542">
        <v>4.1900000000000004</v>
      </c>
      <c r="J462" s="32">
        <v>132</v>
      </c>
      <c r="K462" s="32" t="s">
        <v>113</v>
      </c>
      <c r="L462" s="32"/>
      <c r="M462" s="33" t="s">
        <v>81</v>
      </c>
      <c r="N462" s="33"/>
      <c r="O462" s="32">
        <v>55</v>
      </c>
      <c r="P462" s="794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0"/>
      <c r="R462" s="550"/>
      <c r="S462" s="550"/>
      <c r="T462" s="551"/>
      <c r="U462" s="34"/>
      <c r="V462" s="34"/>
      <c r="W462" s="35" t="s">
        <v>70</v>
      </c>
      <c r="X462" s="543">
        <v>0</v>
      </c>
      <c r="Y462" s="544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5" t="s">
        <v>702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567"/>
      <c r="B463" s="557"/>
      <c r="C463" s="557"/>
      <c r="D463" s="557"/>
      <c r="E463" s="557"/>
      <c r="F463" s="557"/>
      <c r="G463" s="557"/>
      <c r="H463" s="557"/>
      <c r="I463" s="557"/>
      <c r="J463" s="557"/>
      <c r="K463" s="557"/>
      <c r="L463" s="557"/>
      <c r="M463" s="557"/>
      <c r="N463" s="557"/>
      <c r="O463" s="568"/>
      <c r="P463" s="561" t="s">
        <v>76</v>
      </c>
      <c r="Q463" s="562"/>
      <c r="R463" s="562"/>
      <c r="S463" s="562"/>
      <c r="T463" s="562"/>
      <c r="U463" s="562"/>
      <c r="V463" s="563"/>
      <c r="W463" s="37" t="s">
        <v>77</v>
      </c>
      <c r="X463" s="545">
        <f>IFERROR(X459/H459,"0")+IFERROR(X460/H460,"0")+IFERROR(X461/H461,"0")+IFERROR(X462/H462,"0")</f>
        <v>0</v>
      </c>
      <c r="Y463" s="545">
        <f>IFERROR(Y459/H459,"0")+IFERROR(Y460/H460,"0")+IFERROR(Y461/H461,"0")+IFERROR(Y462/H462,"0")</f>
        <v>0</v>
      </c>
      <c r="Z463" s="545">
        <f>IFERROR(IF(Z459="",0,Z459),"0")+IFERROR(IF(Z460="",0,Z460),"0")+IFERROR(IF(Z461="",0,Z461),"0")+IFERROR(IF(Z462="",0,Z462),"0")</f>
        <v>0</v>
      </c>
      <c r="AA463" s="546"/>
      <c r="AB463" s="546"/>
      <c r="AC463" s="546"/>
    </row>
    <row r="464" spans="1:68" x14ac:dyDescent="0.2">
      <c r="A464" s="557"/>
      <c r="B464" s="557"/>
      <c r="C464" s="557"/>
      <c r="D464" s="557"/>
      <c r="E464" s="557"/>
      <c r="F464" s="557"/>
      <c r="G464" s="557"/>
      <c r="H464" s="557"/>
      <c r="I464" s="557"/>
      <c r="J464" s="557"/>
      <c r="K464" s="557"/>
      <c r="L464" s="557"/>
      <c r="M464" s="557"/>
      <c r="N464" s="557"/>
      <c r="O464" s="568"/>
      <c r="P464" s="561" t="s">
        <v>76</v>
      </c>
      <c r="Q464" s="562"/>
      <c r="R464" s="562"/>
      <c r="S464" s="562"/>
      <c r="T464" s="562"/>
      <c r="U464" s="562"/>
      <c r="V464" s="563"/>
      <c r="W464" s="37" t="s">
        <v>70</v>
      </c>
      <c r="X464" s="545">
        <f>IFERROR(SUM(X459:X462),"0")</f>
        <v>0</v>
      </c>
      <c r="Y464" s="545">
        <f>IFERROR(SUM(Y459:Y462),"0")</f>
        <v>0</v>
      </c>
      <c r="Z464" s="37"/>
      <c r="AA464" s="546"/>
      <c r="AB464" s="546"/>
      <c r="AC464" s="546"/>
    </row>
    <row r="465" spans="1:68" ht="14.25" customHeight="1" x14ac:dyDescent="0.25">
      <c r="A465" s="556" t="s">
        <v>139</v>
      </c>
      <c r="B465" s="557"/>
      <c r="C465" s="557"/>
      <c r="D465" s="557"/>
      <c r="E465" s="557"/>
      <c r="F465" s="557"/>
      <c r="G465" s="557"/>
      <c r="H465" s="557"/>
      <c r="I465" s="557"/>
      <c r="J465" s="557"/>
      <c r="K465" s="557"/>
      <c r="L465" s="557"/>
      <c r="M465" s="557"/>
      <c r="N465" s="557"/>
      <c r="O465" s="557"/>
      <c r="P465" s="557"/>
      <c r="Q465" s="557"/>
      <c r="R465" s="557"/>
      <c r="S465" s="557"/>
      <c r="T465" s="557"/>
      <c r="U465" s="557"/>
      <c r="V465" s="557"/>
      <c r="W465" s="557"/>
      <c r="X465" s="557"/>
      <c r="Y465" s="557"/>
      <c r="Z465" s="557"/>
      <c r="AA465" s="539"/>
      <c r="AB465" s="539"/>
      <c r="AC465" s="539"/>
    </row>
    <row r="466" spans="1:68" ht="27" customHeight="1" x14ac:dyDescent="0.25">
      <c r="A466" s="54" t="s">
        <v>711</v>
      </c>
      <c r="B466" s="54" t="s">
        <v>712</v>
      </c>
      <c r="C466" s="31">
        <v>4301020400</v>
      </c>
      <c r="D466" s="547">
        <v>4640242180519</v>
      </c>
      <c r="E466" s="548"/>
      <c r="F466" s="542">
        <v>1.5</v>
      </c>
      <c r="G466" s="32">
        <v>8</v>
      </c>
      <c r="H466" s="542">
        <v>12</v>
      </c>
      <c r="I466" s="542">
        <v>12.41</v>
      </c>
      <c r="J466" s="32">
        <v>64</v>
      </c>
      <c r="K466" s="32" t="s">
        <v>106</v>
      </c>
      <c r="L466" s="32"/>
      <c r="M466" s="33" t="s">
        <v>108</v>
      </c>
      <c r="N466" s="33"/>
      <c r="O466" s="32">
        <v>50</v>
      </c>
      <c r="P466" s="64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0"/>
      <c r="R466" s="550"/>
      <c r="S466" s="550"/>
      <c r="T466" s="551"/>
      <c r="U466" s="34"/>
      <c r="V466" s="34"/>
      <c r="W466" s="35" t="s">
        <v>70</v>
      </c>
      <c r="X466" s="543">
        <v>0</v>
      </c>
      <c r="Y466" s="54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714</v>
      </c>
      <c r="B467" s="54" t="s">
        <v>715</v>
      </c>
      <c r="C467" s="31">
        <v>4301020260</v>
      </c>
      <c r="D467" s="547">
        <v>4640242180526</v>
      </c>
      <c r="E467" s="548"/>
      <c r="F467" s="542">
        <v>1.8</v>
      </c>
      <c r="G467" s="32">
        <v>6</v>
      </c>
      <c r="H467" s="542">
        <v>10.8</v>
      </c>
      <c r="I467" s="542">
        <v>11.21</v>
      </c>
      <c r="J467" s="32">
        <v>64</v>
      </c>
      <c r="K467" s="32" t="s">
        <v>106</v>
      </c>
      <c r="L467" s="32"/>
      <c r="M467" s="33" t="s">
        <v>108</v>
      </c>
      <c r="N467" s="33"/>
      <c r="O467" s="32">
        <v>50</v>
      </c>
      <c r="P467" s="68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0"/>
      <c r="R467" s="550"/>
      <c r="S467" s="550"/>
      <c r="T467" s="551"/>
      <c r="U467" s="34"/>
      <c r="V467" s="34"/>
      <c r="W467" s="35" t="s">
        <v>70</v>
      </c>
      <c r="X467" s="543">
        <v>0</v>
      </c>
      <c r="Y467" s="54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717</v>
      </c>
      <c r="B468" s="54" t="s">
        <v>718</v>
      </c>
      <c r="C468" s="31">
        <v>4301020295</v>
      </c>
      <c r="D468" s="547">
        <v>4640242181363</v>
      </c>
      <c r="E468" s="548"/>
      <c r="F468" s="542">
        <v>0.4</v>
      </c>
      <c r="G468" s="32">
        <v>10</v>
      </c>
      <c r="H468" s="542">
        <v>4</v>
      </c>
      <c r="I468" s="542">
        <v>4.1900000000000004</v>
      </c>
      <c r="J468" s="32">
        <v>132</v>
      </c>
      <c r="K468" s="32" t="s">
        <v>113</v>
      </c>
      <c r="L468" s="32"/>
      <c r="M468" s="33" t="s">
        <v>108</v>
      </c>
      <c r="N468" s="33"/>
      <c r="O468" s="32">
        <v>50</v>
      </c>
      <c r="P468" s="593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8" s="550"/>
      <c r="R468" s="550"/>
      <c r="S468" s="550"/>
      <c r="T468" s="551"/>
      <c r="U468" s="34"/>
      <c r="V468" s="34"/>
      <c r="W468" s="35" t="s">
        <v>70</v>
      </c>
      <c r="X468" s="543">
        <v>0</v>
      </c>
      <c r="Y468" s="54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1" t="s">
        <v>719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67"/>
      <c r="B469" s="557"/>
      <c r="C469" s="557"/>
      <c r="D469" s="557"/>
      <c r="E469" s="557"/>
      <c r="F469" s="557"/>
      <c r="G469" s="557"/>
      <c r="H469" s="557"/>
      <c r="I469" s="557"/>
      <c r="J469" s="557"/>
      <c r="K469" s="557"/>
      <c r="L469" s="557"/>
      <c r="M469" s="557"/>
      <c r="N469" s="557"/>
      <c r="O469" s="568"/>
      <c r="P469" s="561" t="s">
        <v>76</v>
      </c>
      <c r="Q469" s="562"/>
      <c r="R469" s="562"/>
      <c r="S469" s="562"/>
      <c r="T469" s="562"/>
      <c r="U469" s="562"/>
      <c r="V469" s="563"/>
      <c r="W469" s="37" t="s">
        <v>77</v>
      </c>
      <c r="X469" s="545">
        <f>IFERROR(X466/H466,"0")+IFERROR(X467/H467,"0")+IFERROR(X468/H468,"0")</f>
        <v>0</v>
      </c>
      <c r="Y469" s="545">
        <f>IFERROR(Y466/H466,"0")+IFERROR(Y467/H467,"0")+IFERROR(Y468/H468,"0")</f>
        <v>0</v>
      </c>
      <c r="Z469" s="545">
        <f>IFERROR(IF(Z466="",0,Z466),"0")+IFERROR(IF(Z467="",0,Z467),"0")+IFERROR(IF(Z468="",0,Z468),"0")</f>
        <v>0</v>
      </c>
      <c r="AA469" s="546"/>
      <c r="AB469" s="546"/>
      <c r="AC469" s="546"/>
    </row>
    <row r="470" spans="1:68" x14ac:dyDescent="0.2">
      <c r="A470" s="557"/>
      <c r="B470" s="557"/>
      <c r="C470" s="557"/>
      <c r="D470" s="557"/>
      <c r="E470" s="557"/>
      <c r="F470" s="557"/>
      <c r="G470" s="557"/>
      <c r="H470" s="557"/>
      <c r="I470" s="557"/>
      <c r="J470" s="557"/>
      <c r="K470" s="557"/>
      <c r="L470" s="557"/>
      <c r="M470" s="557"/>
      <c r="N470" s="557"/>
      <c r="O470" s="568"/>
      <c r="P470" s="561" t="s">
        <v>76</v>
      </c>
      <c r="Q470" s="562"/>
      <c r="R470" s="562"/>
      <c r="S470" s="562"/>
      <c r="T470" s="562"/>
      <c r="U470" s="562"/>
      <c r="V470" s="563"/>
      <c r="W470" s="37" t="s">
        <v>70</v>
      </c>
      <c r="X470" s="545">
        <f>IFERROR(SUM(X466:X468),"0")</f>
        <v>0</v>
      </c>
      <c r="Y470" s="545">
        <f>IFERROR(SUM(Y466:Y468),"0")</f>
        <v>0</v>
      </c>
      <c r="Z470" s="37"/>
      <c r="AA470" s="546"/>
      <c r="AB470" s="546"/>
      <c r="AC470" s="546"/>
    </row>
    <row r="471" spans="1:68" ht="14.25" customHeight="1" x14ac:dyDescent="0.25">
      <c r="A471" s="556" t="s">
        <v>64</v>
      </c>
      <c r="B471" s="557"/>
      <c r="C471" s="557"/>
      <c r="D471" s="557"/>
      <c r="E471" s="557"/>
      <c r="F471" s="557"/>
      <c r="G471" s="557"/>
      <c r="H471" s="557"/>
      <c r="I471" s="557"/>
      <c r="J471" s="557"/>
      <c r="K471" s="557"/>
      <c r="L471" s="557"/>
      <c r="M471" s="557"/>
      <c r="N471" s="557"/>
      <c r="O471" s="557"/>
      <c r="P471" s="557"/>
      <c r="Q471" s="557"/>
      <c r="R471" s="557"/>
      <c r="S471" s="557"/>
      <c r="T471" s="557"/>
      <c r="U471" s="557"/>
      <c r="V471" s="557"/>
      <c r="W471" s="557"/>
      <c r="X471" s="557"/>
      <c r="Y471" s="557"/>
      <c r="Z471" s="557"/>
      <c r="AA471" s="539"/>
      <c r="AB471" s="539"/>
      <c r="AC471" s="539"/>
    </row>
    <row r="472" spans="1:68" ht="27" customHeight="1" x14ac:dyDescent="0.25">
      <c r="A472" s="54" t="s">
        <v>720</v>
      </c>
      <c r="B472" s="54" t="s">
        <v>721</v>
      </c>
      <c r="C472" s="31">
        <v>4301031280</v>
      </c>
      <c r="D472" s="547">
        <v>4640242180816</v>
      </c>
      <c r="E472" s="548"/>
      <c r="F472" s="542">
        <v>0.7</v>
      </c>
      <c r="G472" s="32">
        <v>6</v>
      </c>
      <c r="H472" s="542">
        <v>4.2</v>
      </c>
      <c r="I472" s="542">
        <v>4.45</v>
      </c>
      <c r="J472" s="32">
        <v>132</v>
      </c>
      <c r="K472" s="32" t="s">
        <v>113</v>
      </c>
      <c r="L472" s="32"/>
      <c r="M472" s="33" t="s">
        <v>68</v>
      </c>
      <c r="N472" s="33"/>
      <c r="O472" s="32">
        <v>40</v>
      </c>
      <c r="P472" s="761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2" s="550"/>
      <c r="R472" s="550"/>
      <c r="S472" s="550"/>
      <c r="T472" s="551"/>
      <c r="U472" s="34"/>
      <c r="V472" s="34"/>
      <c r="W472" s="35" t="s">
        <v>70</v>
      </c>
      <c r="X472" s="543">
        <v>0</v>
      </c>
      <c r="Y472" s="544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722</v>
      </c>
      <c r="AG472" s="64"/>
      <c r="AJ472" s="68"/>
      <c r="AK472" s="68">
        <v>0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723</v>
      </c>
      <c r="B473" s="54" t="s">
        <v>724</v>
      </c>
      <c r="C473" s="31">
        <v>4301031244</v>
      </c>
      <c r="D473" s="547">
        <v>4640242180595</v>
      </c>
      <c r="E473" s="548"/>
      <c r="F473" s="542">
        <v>0.7</v>
      </c>
      <c r="G473" s="32">
        <v>6</v>
      </c>
      <c r="H473" s="542">
        <v>4.2</v>
      </c>
      <c r="I473" s="542">
        <v>4.45</v>
      </c>
      <c r="J473" s="32">
        <v>132</v>
      </c>
      <c r="K473" s="32" t="s">
        <v>113</v>
      </c>
      <c r="L473" s="32"/>
      <c r="M473" s="33" t="s">
        <v>68</v>
      </c>
      <c r="N473" s="33"/>
      <c r="O473" s="32">
        <v>40</v>
      </c>
      <c r="P473" s="619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3" s="550"/>
      <c r="R473" s="550"/>
      <c r="S473" s="550"/>
      <c r="T473" s="551"/>
      <c r="U473" s="34"/>
      <c r="V473" s="34"/>
      <c r="W473" s="35" t="s">
        <v>70</v>
      </c>
      <c r="X473" s="543">
        <v>0</v>
      </c>
      <c r="Y473" s="544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725</v>
      </c>
      <c r="AG473" s="64"/>
      <c r="AJ473" s="68"/>
      <c r="AK473" s="68">
        <v>0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567"/>
      <c r="B474" s="557"/>
      <c r="C474" s="557"/>
      <c r="D474" s="557"/>
      <c r="E474" s="557"/>
      <c r="F474" s="557"/>
      <c r="G474" s="557"/>
      <c r="H474" s="557"/>
      <c r="I474" s="557"/>
      <c r="J474" s="557"/>
      <c r="K474" s="557"/>
      <c r="L474" s="557"/>
      <c r="M474" s="557"/>
      <c r="N474" s="557"/>
      <c r="O474" s="568"/>
      <c r="P474" s="561" t="s">
        <v>76</v>
      </c>
      <c r="Q474" s="562"/>
      <c r="R474" s="562"/>
      <c r="S474" s="562"/>
      <c r="T474" s="562"/>
      <c r="U474" s="562"/>
      <c r="V474" s="563"/>
      <c r="W474" s="37" t="s">
        <v>77</v>
      </c>
      <c r="X474" s="545">
        <f>IFERROR(X472/H472,"0")+IFERROR(X473/H473,"0")</f>
        <v>0</v>
      </c>
      <c r="Y474" s="545">
        <f>IFERROR(Y472/H472,"0")+IFERROR(Y473/H473,"0")</f>
        <v>0</v>
      </c>
      <c r="Z474" s="545">
        <f>IFERROR(IF(Z472="",0,Z472),"0")+IFERROR(IF(Z473="",0,Z473),"0")</f>
        <v>0</v>
      </c>
      <c r="AA474" s="546"/>
      <c r="AB474" s="546"/>
      <c r="AC474" s="546"/>
    </row>
    <row r="475" spans="1:68" x14ac:dyDescent="0.2">
      <c r="A475" s="557"/>
      <c r="B475" s="557"/>
      <c r="C475" s="557"/>
      <c r="D475" s="557"/>
      <c r="E475" s="557"/>
      <c r="F475" s="557"/>
      <c r="G475" s="557"/>
      <c r="H475" s="557"/>
      <c r="I475" s="557"/>
      <c r="J475" s="557"/>
      <c r="K475" s="557"/>
      <c r="L475" s="557"/>
      <c r="M475" s="557"/>
      <c r="N475" s="557"/>
      <c r="O475" s="568"/>
      <c r="P475" s="561" t="s">
        <v>76</v>
      </c>
      <c r="Q475" s="562"/>
      <c r="R475" s="562"/>
      <c r="S475" s="562"/>
      <c r="T475" s="562"/>
      <c r="U475" s="562"/>
      <c r="V475" s="563"/>
      <c r="W475" s="37" t="s">
        <v>70</v>
      </c>
      <c r="X475" s="545">
        <f>IFERROR(SUM(X472:X473),"0")</f>
        <v>0</v>
      </c>
      <c r="Y475" s="545">
        <f>IFERROR(SUM(Y472:Y473),"0")</f>
        <v>0</v>
      </c>
      <c r="Z475" s="37"/>
      <c r="AA475" s="546"/>
      <c r="AB475" s="546"/>
      <c r="AC475" s="546"/>
    </row>
    <row r="476" spans="1:68" ht="14.25" customHeight="1" x14ac:dyDescent="0.25">
      <c r="A476" s="556" t="s">
        <v>78</v>
      </c>
      <c r="B476" s="557"/>
      <c r="C476" s="557"/>
      <c r="D476" s="557"/>
      <c r="E476" s="557"/>
      <c r="F476" s="557"/>
      <c r="G476" s="557"/>
      <c r="H476" s="557"/>
      <c r="I476" s="557"/>
      <c r="J476" s="557"/>
      <c r="K476" s="557"/>
      <c r="L476" s="557"/>
      <c r="M476" s="557"/>
      <c r="N476" s="557"/>
      <c r="O476" s="557"/>
      <c r="P476" s="557"/>
      <c r="Q476" s="557"/>
      <c r="R476" s="557"/>
      <c r="S476" s="557"/>
      <c r="T476" s="557"/>
      <c r="U476" s="557"/>
      <c r="V476" s="557"/>
      <c r="W476" s="557"/>
      <c r="X476" s="557"/>
      <c r="Y476" s="557"/>
      <c r="Z476" s="557"/>
      <c r="AA476" s="539"/>
      <c r="AB476" s="539"/>
      <c r="AC476" s="539"/>
    </row>
    <row r="477" spans="1:68" ht="27" customHeight="1" x14ac:dyDescent="0.25">
      <c r="A477" s="54" t="s">
        <v>726</v>
      </c>
      <c r="B477" s="54" t="s">
        <v>727</v>
      </c>
      <c r="C477" s="31">
        <v>4301052046</v>
      </c>
      <c r="D477" s="547">
        <v>4640242180533</v>
      </c>
      <c r="E477" s="548"/>
      <c r="F477" s="542">
        <v>1.5</v>
      </c>
      <c r="G477" s="32">
        <v>6</v>
      </c>
      <c r="H477" s="542">
        <v>9</v>
      </c>
      <c r="I477" s="542">
        <v>9.4939999999999998</v>
      </c>
      <c r="J477" s="32">
        <v>64</v>
      </c>
      <c r="K477" s="32" t="s">
        <v>106</v>
      </c>
      <c r="L477" s="32" t="s">
        <v>107</v>
      </c>
      <c r="M477" s="33" t="s">
        <v>88</v>
      </c>
      <c r="N477" s="33"/>
      <c r="O477" s="32">
        <v>45</v>
      </c>
      <c r="P477" s="74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7" s="550"/>
      <c r="R477" s="550"/>
      <c r="S477" s="550"/>
      <c r="T477" s="551"/>
      <c r="U477" s="34"/>
      <c r="V477" s="34"/>
      <c r="W477" s="35" t="s">
        <v>70</v>
      </c>
      <c r="X477" s="543">
        <v>600</v>
      </c>
      <c r="Y477" s="544">
        <f>IFERROR(IF(X477="",0,CEILING((X477/$H477),1)*$H477),"")</f>
        <v>603</v>
      </c>
      <c r="Z477" s="36">
        <f>IFERROR(IF(Y477=0,"",ROUNDUP(Y477/H477,0)*0.01898),"")</f>
        <v>1.27166</v>
      </c>
      <c r="AA477" s="56"/>
      <c r="AB477" s="57"/>
      <c r="AC477" s="527" t="s">
        <v>728</v>
      </c>
      <c r="AG477" s="64"/>
      <c r="AJ477" s="68" t="s">
        <v>110</v>
      </c>
      <c r="AK477" s="68">
        <v>72</v>
      </c>
      <c r="BB477" s="528" t="s">
        <v>1</v>
      </c>
      <c r="BM477" s="64">
        <f>IFERROR(X477*I477/H477,"0")</f>
        <v>632.93333333333328</v>
      </c>
      <c r="BN477" s="64">
        <f>IFERROR(Y477*I477/H477,"0")</f>
        <v>636.09799999999996</v>
      </c>
      <c r="BO477" s="64">
        <f>IFERROR(1/J477*(X477/H477),"0")</f>
        <v>1.0416666666666667</v>
      </c>
      <c r="BP477" s="64">
        <f>IFERROR(1/J477*(Y477/H477),"0")</f>
        <v>1.046875</v>
      </c>
    </row>
    <row r="478" spans="1:68" x14ac:dyDescent="0.2">
      <c r="A478" s="567"/>
      <c r="B478" s="557"/>
      <c r="C478" s="557"/>
      <c r="D478" s="557"/>
      <c r="E478" s="557"/>
      <c r="F478" s="557"/>
      <c r="G478" s="557"/>
      <c r="H478" s="557"/>
      <c r="I478" s="557"/>
      <c r="J478" s="557"/>
      <c r="K478" s="557"/>
      <c r="L478" s="557"/>
      <c r="M478" s="557"/>
      <c r="N478" s="557"/>
      <c r="O478" s="568"/>
      <c r="P478" s="561" t="s">
        <v>76</v>
      </c>
      <c r="Q478" s="562"/>
      <c r="R478" s="562"/>
      <c r="S478" s="562"/>
      <c r="T478" s="562"/>
      <c r="U478" s="562"/>
      <c r="V478" s="563"/>
      <c r="W478" s="37" t="s">
        <v>77</v>
      </c>
      <c r="X478" s="545">
        <f>IFERROR(X477/H477,"0")</f>
        <v>66.666666666666671</v>
      </c>
      <c r="Y478" s="545">
        <f>IFERROR(Y477/H477,"0")</f>
        <v>67</v>
      </c>
      <c r="Z478" s="545">
        <f>IFERROR(IF(Z477="",0,Z477),"0")</f>
        <v>1.27166</v>
      </c>
      <c r="AA478" s="546"/>
      <c r="AB478" s="546"/>
      <c r="AC478" s="546"/>
    </row>
    <row r="479" spans="1:68" x14ac:dyDescent="0.2">
      <c r="A479" s="557"/>
      <c r="B479" s="557"/>
      <c r="C479" s="557"/>
      <c r="D479" s="557"/>
      <c r="E479" s="557"/>
      <c r="F479" s="557"/>
      <c r="G479" s="557"/>
      <c r="H479" s="557"/>
      <c r="I479" s="557"/>
      <c r="J479" s="557"/>
      <c r="K479" s="557"/>
      <c r="L479" s="557"/>
      <c r="M479" s="557"/>
      <c r="N479" s="557"/>
      <c r="O479" s="568"/>
      <c r="P479" s="561" t="s">
        <v>76</v>
      </c>
      <c r="Q479" s="562"/>
      <c r="R479" s="562"/>
      <c r="S479" s="562"/>
      <c r="T479" s="562"/>
      <c r="U479" s="562"/>
      <c r="V479" s="563"/>
      <c r="W479" s="37" t="s">
        <v>70</v>
      </c>
      <c r="X479" s="545">
        <f>IFERROR(SUM(X477:X477),"0")</f>
        <v>600</v>
      </c>
      <c r="Y479" s="545">
        <f>IFERROR(SUM(Y477:Y477),"0")</f>
        <v>603</v>
      </c>
      <c r="Z479" s="37"/>
      <c r="AA479" s="546"/>
      <c r="AB479" s="546"/>
      <c r="AC479" s="546"/>
    </row>
    <row r="480" spans="1:68" ht="14.25" customHeight="1" x14ac:dyDescent="0.25">
      <c r="A480" s="556" t="s">
        <v>167</v>
      </c>
      <c r="B480" s="557"/>
      <c r="C480" s="557"/>
      <c r="D480" s="557"/>
      <c r="E480" s="557"/>
      <c r="F480" s="557"/>
      <c r="G480" s="557"/>
      <c r="H480" s="557"/>
      <c r="I480" s="557"/>
      <c r="J480" s="557"/>
      <c r="K480" s="557"/>
      <c r="L480" s="557"/>
      <c r="M480" s="557"/>
      <c r="N480" s="557"/>
      <c r="O480" s="557"/>
      <c r="P480" s="557"/>
      <c r="Q480" s="557"/>
      <c r="R480" s="557"/>
      <c r="S480" s="557"/>
      <c r="T480" s="557"/>
      <c r="U480" s="557"/>
      <c r="V480" s="557"/>
      <c r="W480" s="557"/>
      <c r="X480" s="557"/>
      <c r="Y480" s="557"/>
      <c r="Z480" s="557"/>
      <c r="AA480" s="539"/>
      <c r="AB480" s="539"/>
      <c r="AC480" s="539"/>
    </row>
    <row r="481" spans="1:68" ht="27" customHeight="1" x14ac:dyDescent="0.25">
      <c r="A481" s="54" t="s">
        <v>729</v>
      </c>
      <c r="B481" s="54" t="s">
        <v>730</v>
      </c>
      <c r="C481" s="31">
        <v>4301060491</v>
      </c>
      <c r="D481" s="547">
        <v>4640242180120</v>
      </c>
      <c r="E481" s="548"/>
      <c r="F481" s="542">
        <v>1.5</v>
      </c>
      <c r="G481" s="32">
        <v>6</v>
      </c>
      <c r="H481" s="542">
        <v>9</v>
      </c>
      <c r="I481" s="542">
        <v>9.41</v>
      </c>
      <c r="J481" s="32">
        <v>64</v>
      </c>
      <c r="K481" s="32" t="s">
        <v>106</v>
      </c>
      <c r="L481" s="32"/>
      <c r="M481" s="33" t="s">
        <v>81</v>
      </c>
      <c r="N481" s="33"/>
      <c r="O481" s="32">
        <v>40</v>
      </c>
      <c r="P481" s="66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1" s="550"/>
      <c r="R481" s="550"/>
      <c r="S481" s="550"/>
      <c r="T481" s="551"/>
      <c r="U481" s="34"/>
      <c r="V481" s="34"/>
      <c r="W481" s="35" t="s">
        <v>70</v>
      </c>
      <c r="X481" s="543">
        <v>0</v>
      </c>
      <c r="Y481" s="544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731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customHeight="1" x14ac:dyDescent="0.25">
      <c r="A482" s="54" t="s">
        <v>732</v>
      </c>
      <c r="B482" s="54" t="s">
        <v>733</v>
      </c>
      <c r="C482" s="31">
        <v>4301060493</v>
      </c>
      <c r="D482" s="547">
        <v>4640242180137</v>
      </c>
      <c r="E482" s="548"/>
      <c r="F482" s="542">
        <v>1.5</v>
      </c>
      <c r="G482" s="32">
        <v>6</v>
      </c>
      <c r="H482" s="542">
        <v>9</v>
      </c>
      <c r="I482" s="542">
        <v>9.41</v>
      </c>
      <c r="J482" s="32">
        <v>64</v>
      </c>
      <c r="K482" s="32" t="s">
        <v>106</v>
      </c>
      <c r="L482" s="32"/>
      <c r="M482" s="33" t="s">
        <v>81</v>
      </c>
      <c r="N482" s="33"/>
      <c r="O482" s="32">
        <v>40</v>
      </c>
      <c r="P482" s="63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2" s="550"/>
      <c r="R482" s="550"/>
      <c r="S482" s="550"/>
      <c r="T482" s="551"/>
      <c r="U482" s="34"/>
      <c r="V482" s="34"/>
      <c r="W482" s="35" t="s">
        <v>70</v>
      </c>
      <c r="X482" s="543">
        <v>0</v>
      </c>
      <c r="Y482" s="54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734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x14ac:dyDescent="0.2">
      <c r="A483" s="567"/>
      <c r="B483" s="557"/>
      <c r="C483" s="557"/>
      <c r="D483" s="557"/>
      <c r="E483" s="557"/>
      <c r="F483" s="557"/>
      <c r="G483" s="557"/>
      <c r="H483" s="557"/>
      <c r="I483" s="557"/>
      <c r="J483" s="557"/>
      <c r="K483" s="557"/>
      <c r="L483" s="557"/>
      <c r="M483" s="557"/>
      <c r="N483" s="557"/>
      <c r="O483" s="568"/>
      <c r="P483" s="561" t="s">
        <v>76</v>
      </c>
      <c r="Q483" s="562"/>
      <c r="R483" s="562"/>
      <c r="S483" s="562"/>
      <c r="T483" s="562"/>
      <c r="U483" s="562"/>
      <c r="V483" s="563"/>
      <c r="W483" s="37" t="s">
        <v>77</v>
      </c>
      <c r="X483" s="545">
        <f>IFERROR(X481/H481,"0")+IFERROR(X482/H482,"0")</f>
        <v>0</v>
      </c>
      <c r="Y483" s="545">
        <f>IFERROR(Y481/H481,"0")+IFERROR(Y482/H482,"0")</f>
        <v>0</v>
      </c>
      <c r="Z483" s="545">
        <f>IFERROR(IF(Z481="",0,Z481),"0")+IFERROR(IF(Z482="",0,Z482),"0")</f>
        <v>0</v>
      </c>
      <c r="AA483" s="546"/>
      <c r="AB483" s="546"/>
      <c r="AC483" s="546"/>
    </row>
    <row r="484" spans="1:68" x14ac:dyDescent="0.2">
      <c r="A484" s="557"/>
      <c r="B484" s="557"/>
      <c r="C484" s="557"/>
      <c r="D484" s="557"/>
      <c r="E484" s="557"/>
      <c r="F484" s="557"/>
      <c r="G484" s="557"/>
      <c r="H484" s="557"/>
      <c r="I484" s="557"/>
      <c r="J484" s="557"/>
      <c r="K484" s="557"/>
      <c r="L484" s="557"/>
      <c r="M484" s="557"/>
      <c r="N484" s="557"/>
      <c r="O484" s="568"/>
      <c r="P484" s="561" t="s">
        <v>76</v>
      </c>
      <c r="Q484" s="562"/>
      <c r="R484" s="562"/>
      <c r="S484" s="562"/>
      <c r="T484" s="562"/>
      <c r="U484" s="562"/>
      <c r="V484" s="563"/>
      <c r="W484" s="37" t="s">
        <v>70</v>
      </c>
      <c r="X484" s="545">
        <f>IFERROR(SUM(X481:X482),"0")</f>
        <v>0</v>
      </c>
      <c r="Y484" s="545">
        <f>IFERROR(SUM(Y481:Y482),"0")</f>
        <v>0</v>
      </c>
      <c r="Z484" s="37"/>
      <c r="AA484" s="546"/>
      <c r="AB484" s="546"/>
      <c r="AC484" s="546"/>
    </row>
    <row r="485" spans="1:68" ht="16.5" customHeight="1" x14ac:dyDescent="0.25">
      <c r="A485" s="558" t="s">
        <v>735</v>
      </c>
      <c r="B485" s="557"/>
      <c r="C485" s="557"/>
      <c r="D485" s="557"/>
      <c r="E485" s="557"/>
      <c r="F485" s="557"/>
      <c r="G485" s="557"/>
      <c r="H485" s="557"/>
      <c r="I485" s="557"/>
      <c r="J485" s="557"/>
      <c r="K485" s="557"/>
      <c r="L485" s="557"/>
      <c r="M485" s="557"/>
      <c r="N485" s="557"/>
      <c r="O485" s="557"/>
      <c r="P485" s="557"/>
      <c r="Q485" s="557"/>
      <c r="R485" s="557"/>
      <c r="S485" s="557"/>
      <c r="T485" s="557"/>
      <c r="U485" s="557"/>
      <c r="V485" s="557"/>
      <c r="W485" s="557"/>
      <c r="X485" s="557"/>
      <c r="Y485" s="557"/>
      <c r="Z485" s="557"/>
      <c r="AA485" s="538"/>
      <c r="AB485" s="538"/>
      <c r="AC485" s="538"/>
    </row>
    <row r="486" spans="1:68" ht="14.25" customHeight="1" x14ac:dyDescent="0.25">
      <c r="A486" s="556" t="s">
        <v>139</v>
      </c>
      <c r="B486" s="557"/>
      <c r="C486" s="557"/>
      <c r="D486" s="557"/>
      <c r="E486" s="557"/>
      <c r="F486" s="557"/>
      <c r="G486" s="557"/>
      <c r="H486" s="557"/>
      <c r="I486" s="557"/>
      <c r="J486" s="557"/>
      <c r="K486" s="557"/>
      <c r="L486" s="557"/>
      <c r="M486" s="557"/>
      <c r="N486" s="557"/>
      <c r="O486" s="557"/>
      <c r="P486" s="557"/>
      <c r="Q486" s="557"/>
      <c r="R486" s="557"/>
      <c r="S486" s="557"/>
      <c r="T486" s="557"/>
      <c r="U486" s="557"/>
      <c r="V486" s="557"/>
      <c r="W486" s="557"/>
      <c r="X486" s="557"/>
      <c r="Y486" s="557"/>
      <c r="Z486" s="557"/>
      <c r="AA486" s="539"/>
      <c r="AB486" s="539"/>
      <c r="AC486" s="539"/>
    </row>
    <row r="487" spans="1:68" ht="27" customHeight="1" x14ac:dyDescent="0.25">
      <c r="A487" s="54" t="s">
        <v>736</v>
      </c>
      <c r="B487" s="54" t="s">
        <v>737</v>
      </c>
      <c r="C487" s="31">
        <v>4301020314</v>
      </c>
      <c r="D487" s="547">
        <v>4640242180090</v>
      </c>
      <c r="E487" s="548"/>
      <c r="F487" s="542">
        <v>1.5</v>
      </c>
      <c r="G487" s="32">
        <v>8</v>
      </c>
      <c r="H487" s="542">
        <v>12</v>
      </c>
      <c r="I487" s="542">
        <v>12.41</v>
      </c>
      <c r="J487" s="32">
        <v>64</v>
      </c>
      <c r="K487" s="32" t="s">
        <v>106</v>
      </c>
      <c r="L487" s="32"/>
      <c r="M487" s="33" t="s">
        <v>108</v>
      </c>
      <c r="N487" s="33"/>
      <c r="O487" s="32">
        <v>50</v>
      </c>
      <c r="P487" s="76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7" s="550"/>
      <c r="R487" s="550"/>
      <c r="S487" s="550"/>
      <c r="T487" s="551"/>
      <c r="U487" s="34"/>
      <c r="V487" s="34"/>
      <c r="W487" s="35" t="s">
        <v>70</v>
      </c>
      <c r="X487" s="543">
        <v>0</v>
      </c>
      <c r="Y487" s="54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33" t="s">
        <v>738</v>
      </c>
      <c r="AG487" s="64"/>
      <c r="AJ487" s="68"/>
      <c r="AK487" s="68">
        <v>0</v>
      </c>
      <c r="BB487" s="53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567"/>
      <c r="B488" s="557"/>
      <c r="C488" s="557"/>
      <c r="D488" s="557"/>
      <c r="E488" s="557"/>
      <c r="F488" s="557"/>
      <c r="G488" s="557"/>
      <c r="H488" s="557"/>
      <c r="I488" s="557"/>
      <c r="J488" s="557"/>
      <c r="K488" s="557"/>
      <c r="L488" s="557"/>
      <c r="M488" s="557"/>
      <c r="N488" s="557"/>
      <c r="O488" s="568"/>
      <c r="P488" s="561" t="s">
        <v>76</v>
      </c>
      <c r="Q488" s="562"/>
      <c r="R488" s="562"/>
      <c r="S488" s="562"/>
      <c r="T488" s="562"/>
      <c r="U488" s="562"/>
      <c r="V488" s="563"/>
      <c r="W488" s="37" t="s">
        <v>77</v>
      </c>
      <c r="X488" s="545">
        <f>IFERROR(X487/H487,"0")</f>
        <v>0</v>
      </c>
      <c r="Y488" s="545">
        <f>IFERROR(Y487/H487,"0")</f>
        <v>0</v>
      </c>
      <c r="Z488" s="545">
        <f>IFERROR(IF(Z487="",0,Z487),"0")</f>
        <v>0</v>
      </c>
      <c r="AA488" s="546"/>
      <c r="AB488" s="546"/>
      <c r="AC488" s="546"/>
    </row>
    <row r="489" spans="1:68" x14ac:dyDescent="0.2">
      <c r="A489" s="557"/>
      <c r="B489" s="557"/>
      <c r="C489" s="557"/>
      <c r="D489" s="557"/>
      <c r="E489" s="557"/>
      <c r="F489" s="557"/>
      <c r="G489" s="557"/>
      <c r="H489" s="557"/>
      <c r="I489" s="557"/>
      <c r="J489" s="557"/>
      <c r="K489" s="557"/>
      <c r="L489" s="557"/>
      <c r="M489" s="557"/>
      <c r="N489" s="557"/>
      <c r="O489" s="568"/>
      <c r="P489" s="561" t="s">
        <v>76</v>
      </c>
      <c r="Q489" s="562"/>
      <c r="R489" s="562"/>
      <c r="S489" s="562"/>
      <c r="T489" s="562"/>
      <c r="U489" s="562"/>
      <c r="V489" s="563"/>
      <c r="W489" s="37" t="s">
        <v>70</v>
      </c>
      <c r="X489" s="545">
        <f>IFERROR(SUM(X487:X487),"0")</f>
        <v>0</v>
      </c>
      <c r="Y489" s="545">
        <f>IFERROR(SUM(Y487:Y487),"0")</f>
        <v>0</v>
      </c>
      <c r="Z489" s="37"/>
      <c r="AA489" s="546"/>
      <c r="AB489" s="546"/>
      <c r="AC489" s="546"/>
    </row>
    <row r="490" spans="1:68" ht="15" customHeight="1" x14ac:dyDescent="0.2">
      <c r="A490" s="729"/>
      <c r="B490" s="557"/>
      <c r="C490" s="557"/>
      <c r="D490" s="557"/>
      <c r="E490" s="557"/>
      <c r="F490" s="557"/>
      <c r="G490" s="557"/>
      <c r="H490" s="557"/>
      <c r="I490" s="557"/>
      <c r="J490" s="557"/>
      <c r="K490" s="557"/>
      <c r="L490" s="557"/>
      <c r="M490" s="557"/>
      <c r="N490" s="557"/>
      <c r="O490" s="718"/>
      <c r="P490" s="644" t="s">
        <v>739</v>
      </c>
      <c r="Q490" s="645"/>
      <c r="R490" s="645"/>
      <c r="S490" s="645"/>
      <c r="T490" s="645"/>
      <c r="U490" s="645"/>
      <c r="V490" s="646"/>
      <c r="W490" s="37" t="s">
        <v>70</v>
      </c>
      <c r="X490" s="545">
        <f>IFERROR(X25+X33+X37+X45+X49+X59+X65+X71+X78+X83+X90+X97+X105+X111+X118+X122+X128+X133+X138+X144+X150+X154+X160+X173+X179+X183+X189+X194+X205+X217+X222+X236+X240+X244+X252+X261+X269+X276+X282+X287+X296+X305+X312+X318+X325+X331+X338+X350+X355+X360+X364+X370+X375+X381+X395+X400+X405+X412+X417+X434+X440+X449+X455+X464+X470+X475+X479+X484+X489,"0")</f>
        <v>16791</v>
      </c>
      <c r="Y490" s="545">
        <f>IFERROR(Y25+Y33+Y37+Y45+Y49+Y59+Y65+Y71+Y78+Y83+Y90+Y97+Y105+Y111+Y118+Y122+Y128+Y133+Y138+Y144+Y150+Y154+Y160+Y173+Y179+Y183+Y189+Y194+Y205+Y217+Y222+Y236+Y240+Y244+Y252+Y261+Y269+Y276+Y282+Y287+Y296+Y305+Y312+Y318+Y325+Y331+Y338+Y350+Y355+Y360+Y364+Y370+Y375+Y381+Y395+Y400+Y405+Y412+Y417+Y434+Y440+Y449+Y455+Y464+Y470+Y475+Y479+Y484+Y489,"0")</f>
        <v>16956.64</v>
      </c>
      <c r="Z490" s="37"/>
      <c r="AA490" s="546"/>
      <c r="AB490" s="546"/>
      <c r="AC490" s="546"/>
    </row>
    <row r="491" spans="1:68" x14ac:dyDescent="0.2">
      <c r="A491" s="557"/>
      <c r="B491" s="557"/>
      <c r="C491" s="557"/>
      <c r="D491" s="557"/>
      <c r="E491" s="557"/>
      <c r="F491" s="557"/>
      <c r="G491" s="557"/>
      <c r="H491" s="557"/>
      <c r="I491" s="557"/>
      <c r="J491" s="557"/>
      <c r="K491" s="557"/>
      <c r="L491" s="557"/>
      <c r="M491" s="557"/>
      <c r="N491" s="557"/>
      <c r="O491" s="718"/>
      <c r="P491" s="644" t="s">
        <v>740</v>
      </c>
      <c r="Q491" s="645"/>
      <c r="R491" s="645"/>
      <c r="S491" s="645"/>
      <c r="T491" s="645"/>
      <c r="U491" s="645"/>
      <c r="V491" s="646"/>
      <c r="W491" s="37" t="s">
        <v>70</v>
      </c>
      <c r="X491" s="545">
        <f>IFERROR(SUM(BM22:BM487),"0")</f>
        <v>17981.13754771835</v>
      </c>
      <c r="Y491" s="545">
        <f>IFERROR(SUM(BN22:BN487),"0")</f>
        <v>18158.328999999998</v>
      </c>
      <c r="Z491" s="37"/>
      <c r="AA491" s="546"/>
      <c r="AB491" s="546"/>
      <c r="AC491" s="546"/>
    </row>
    <row r="492" spans="1:68" x14ac:dyDescent="0.2">
      <c r="A492" s="557"/>
      <c r="B492" s="557"/>
      <c r="C492" s="557"/>
      <c r="D492" s="557"/>
      <c r="E492" s="557"/>
      <c r="F492" s="557"/>
      <c r="G492" s="557"/>
      <c r="H492" s="557"/>
      <c r="I492" s="557"/>
      <c r="J492" s="557"/>
      <c r="K492" s="557"/>
      <c r="L492" s="557"/>
      <c r="M492" s="557"/>
      <c r="N492" s="557"/>
      <c r="O492" s="718"/>
      <c r="P492" s="644" t="s">
        <v>741</v>
      </c>
      <c r="Q492" s="645"/>
      <c r="R492" s="645"/>
      <c r="S492" s="645"/>
      <c r="T492" s="645"/>
      <c r="U492" s="645"/>
      <c r="V492" s="646"/>
      <c r="W492" s="37" t="s">
        <v>742</v>
      </c>
      <c r="X492" s="38">
        <f>ROUNDUP(SUM(BO22:BO487),0)</f>
        <v>31</v>
      </c>
      <c r="Y492" s="38">
        <f>ROUNDUP(SUM(BP22:BP487),0)</f>
        <v>31</v>
      </c>
      <c r="Z492" s="37"/>
      <c r="AA492" s="546"/>
      <c r="AB492" s="546"/>
      <c r="AC492" s="546"/>
    </row>
    <row r="493" spans="1:68" x14ac:dyDescent="0.2">
      <c r="A493" s="557"/>
      <c r="B493" s="557"/>
      <c r="C493" s="557"/>
      <c r="D493" s="557"/>
      <c r="E493" s="557"/>
      <c r="F493" s="557"/>
      <c r="G493" s="557"/>
      <c r="H493" s="557"/>
      <c r="I493" s="557"/>
      <c r="J493" s="557"/>
      <c r="K493" s="557"/>
      <c r="L493" s="557"/>
      <c r="M493" s="557"/>
      <c r="N493" s="557"/>
      <c r="O493" s="718"/>
      <c r="P493" s="644" t="s">
        <v>743</v>
      </c>
      <c r="Q493" s="645"/>
      <c r="R493" s="645"/>
      <c r="S493" s="645"/>
      <c r="T493" s="645"/>
      <c r="U493" s="645"/>
      <c r="V493" s="646"/>
      <c r="W493" s="37" t="s">
        <v>70</v>
      </c>
      <c r="X493" s="545">
        <f>GrossWeightTotal+PalletQtyTotal*25</f>
        <v>18756.13754771835</v>
      </c>
      <c r="Y493" s="545">
        <f>GrossWeightTotalR+PalletQtyTotalR*25</f>
        <v>18933.328999999998</v>
      </c>
      <c r="Z493" s="37"/>
      <c r="AA493" s="546"/>
      <c r="AB493" s="546"/>
      <c r="AC493" s="546"/>
    </row>
    <row r="494" spans="1:68" x14ac:dyDescent="0.2">
      <c r="A494" s="557"/>
      <c r="B494" s="557"/>
      <c r="C494" s="557"/>
      <c r="D494" s="557"/>
      <c r="E494" s="557"/>
      <c r="F494" s="557"/>
      <c r="G494" s="557"/>
      <c r="H494" s="557"/>
      <c r="I494" s="557"/>
      <c r="J494" s="557"/>
      <c r="K494" s="557"/>
      <c r="L494" s="557"/>
      <c r="M494" s="557"/>
      <c r="N494" s="557"/>
      <c r="O494" s="718"/>
      <c r="P494" s="644" t="s">
        <v>744</v>
      </c>
      <c r="Q494" s="645"/>
      <c r="R494" s="645"/>
      <c r="S494" s="645"/>
      <c r="T494" s="645"/>
      <c r="U494" s="645"/>
      <c r="V494" s="646"/>
      <c r="W494" s="37" t="s">
        <v>742</v>
      </c>
      <c r="X494" s="545">
        <f>IFERROR(X24+X32+X36+X44+X48+X58+X64+X70+X77+X82+X89+X96+X104+X110+X117+X121+X127+X132+X137+X143+X149+X153+X159+X172+X178+X182+X188+X193+X204+X216+X221+X235+X239+X243+X251+X260+X268+X275+X281+X286+X295+X304+X311+X317+X324+X330+X337+X349+X354+X359+X363+X369+X374+X380+X394+X399+X404+X411+X416+X433+X439+X448+X454+X463+X469+X474+X478+X483+X488,"0")</f>
        <v>3941.2732218824171</v>
      </c>
      <c r="Y494" s="545">
        <f>IFERROR(Y24+Y32+Y36+Y44+Y48+Y58+Y64+Y70+Y77+Y82+Y89+Y96+Y104+Y110+Y117+Y121+Y127+Y132+Y137+Y143+Y149+Y153+Y159+Y172+Y178+Y182+Y188+Y193+Y204+Y216+Y221+Y235+Y239+Y243+Y251+Y260+Y268+Y275+Y281+Y286+Y295+Y304+Y311+Y317+Y324+Y330+Y337+Y349+Y354+Y359+Y363+Y369+Y374+Y380+Y394+Y399+Y404+Y411+Y416+Y433+Y439+Y448+Y454+Y463+Y469+Y474+Y478+Y483+Y488,"0")</f>
        <v>3973</v>
      </c>
      <c r="Z494" s="37"/>
      <c r="AA494" s="546"/>
      <c r="AB494" s="546"/>
      <c r="AC494" s="546"/>
    </row>
    <row r="495" spans="1:68" ht="14.25" customHeight="1" x14ac:dyDescent="0.2">
      <c r="A495" s="557"/>
      <c r="B495" s="557"/>
      <c r="C495" s="557"/>
      <c r="D495" s="557"/>
      <c r="E495" s="557"/>
      <c r="F495" s="557"/>
      <c r="G495" s="557"/>
      <c r="H495" s="557"/>
      <c r="I495" s="557"/>
      <c r="J495" s="557"/>
      <c r="K495" s="557"/>
      <c r="L495" s="557"/>
      <c r="M495" s="557"/>
      <c r="N495" s="557"/>
      <c r="O495" s="718"/>
      <c r="P495" s="644" t="s">
        <v>745</v>
      </c>
      <c r="Q495" s="645"/>
      <c r="R495" s="645"/>
      <c r="S495" s="645"/>
      <c r="T495" s="645"/>
      <c r="U495" s="645"/>
      <c r="V495" s="646"/>
      <c r="W495" s="39" t="s">
        <v>746</v>
      </c>
      <c r="X495" s="37"/>
      <c r="Y495" s="37"/>
      <c r="Z495" s="37">
        <f>IFERROR(Z24+Z32+Z36+Z44+Z48+Z58+Z64+Z70+Z77+Z82+Z89+Z96+Z104+Z110+Z117+Z121+Z127+Z132+Z137+Z143+Z149+Z153+Z159+Z172+Z178+Z182+Z188+Z193+Z204+Z216+Z221+Z235+Z239+Z243+Z251+Z260+Z268+Z275+Z281+Z286+Z295+Z304+Z311+Z317+Z324+Z330+Z337+Z349+Z354+Z359+Z363+Z369+Z374+Z380+Z394+Z399+Z404+Z411+Z416+Z433+Z439+Z448+Z454+Z463+Z469+Z474+Z478+Z483+Z488,"0")</f>
        <v>35.713419999999992</v>
      </c>
      <c r="AA495" s="546"/>
      <c r="AB495" s="546"/>
      <c r="AC495" s="546"/>
    </row>
    <row r="496" spans="1:68" ht="13.5" customHeight="1" thickBot="1" x14ac:dyDescent="0.25"/>
    <row r="497" spans="1:32" ht="27" customHeight="1" thickTop="1" thickBot="1" x14ac:dyDescent="0.25">
      <c r="A497" s="40" t="s">
        <v>747</v>
      </c>
      <c r="B497" s="540" t="s">
        <v>63</v>
      </c>
      <c r="C497" s="595" t="s">
        <v>101</v>
      </c>
      <c r="D497" s="598"/>
      <c r="E497" s="598"/>
      <c r="F497" s="598"/>
      <c r="G497" s="598"/>
      <c r="H497" s="599"/>
      <c r="I497" s="595" t="s">
        <v>254</v>
      </c>
      <c r="J497" s="598"/>
      <c r="K497" s="598"/>
      <c r="L497" s="598"/>
      <c r="M497" s="598"/>
      <c r="N497" s="598"/>
      <c r="O497" s="598"/>
      <c r="P497" s="598"/>
      <c r="Q497" s="598"/>
      <c r="R497" s="599"/>
      <c r="S497" s="595" t="s">
        <v>531</v>
      </c>
      <c r="T497" s="599"/>
      <c r="U497" s="595" t="s">
        <v>585</v>
      </c>
      <c r="V497" s="598"/>
      <c r="W497" s="599"/>
      <c r="X497" s="540" t="s">
        <v>636</v>
      </c>
      <c r="Y497" s="595" t="s">
        <v>699</v>
      </c>
      <c r="Z497" s="599"/>
      <c r="AB497" s="52"/>
      <c r="AC497" s="52"/>
      <c r="AF497" s="541"/>
    </row>
    <row r="498" spans="1:32" ht="14.25" customHeight="1" thickTop="1" x14ac:dyDescent="0.2">
      <c r="A498" s="611" t="s">
        <v>748</v>
      </c>
      <c r="B498" s="595" t="s">
        <v>63</v>
      </c>
      <c r="C498" s="595" t="s">
        <v>102</v>
      </c>
      <c r="D498" s="595" t="s">
        <v>120</v>
      </c>
      <c r="E498" s="595" t="s">
        <v>174</v>
      </c>
      <c r="F498" s="595" t="s">
        <v>193</v>
      </c>
      <c r="G498" s="595" t="s">
        <v>224</v>
      </c>
      <c r="H498" s="595" t="s">
        <v>101</v>
      </c>
      <c r="I498" s="595" t="s">
        <v>255</v>
      </c>
      <c r="J498" s="595" t="s">
        <v>299</v>
      </c>
      <c r="K498" s="595" t="s">
        <v>358</v>
      </c>
      <c r="L498" s="595" t="s">
        <v>400</v>
      </c>
      <c r="M498" s="595" t="s">
        <v>416</v>
      </c>
      <c r="N498" s="541"/>
      <c r="O498" s="595" t="s">
        <v>427</v>
      </c>
      <c r="P498" s="595" t="s">
        <v>436</v>
      </c>
      <c r="Q498" s="595" t="s">
        <v>449</v>
      </c>
      <c r="R498" s="595" t="s">
        <v>521</v>
      </c>
      <c r="S498" s="595" t="s">
        <v>532</v>
      </c>
      <c r="T498" s="595" t="s">
        <v>567</v>
      </c>
      <c r="U498" s="595" t="s">
        <v>586</v>
      </c>
      <c r="V498" s="595" t="s">
        <v>617</v>
      </c>
      <c r="W498" s="595" t="s">
        <v>632</v>
      </c>
      <c r="X498" s="595" t="s">
        <v>636</v>
      </c>
      <c r="Y498" s="595" t="s">
        <v>699</v>
      </c>
      <c r="Z498" s="595" t="s">
        <v>735</v>
      </c>
      <c r="AB498" s="52"/>
      <c r="AC498" s="52"/>
      <c r="AF498" s="541"/>
    </row>
    <row r="499" spans="1:32" ht="13.5" customHeight="1" thickBot="1" x14ac:dyDescent="0.25">
      <c r="A499" s="612"/>
      <c r="B499" s="596"/>
      <c r="C499" s="596"/>
      <c r="D499" s="596"/>
      <c r="E499" s="596"/>
      <c r="F499" s="596"/>
      <c r="G499" s="596"/>
      <c r="H499" s="596"/>
      <c r="I499" s="596"/>
      <c r="J499" s="596"/>
      <c r="K499" s="596"/>
      <c r="L499" s="596"/>
      <c r="M499" s="596"/>
      <c r="N499" s="541"/>
      <c r="O499" s="596"/>
      <c r="P499" s="596"/>
      <c r="Q499" s="596"/>
      <c r="R499" s="596"/>
      <c r="S499" s="596"/>
      <c r="T499" s="596"/>
      <c r="U499" s="596"/>
      <c r="V499" s="596"/>
      <c r="W499" s="596"/>
      <c r="X499" s="596"/>
      <c r="Y499" s="596"/>
      <c r="Z499" s="596"/>
      <c r="AB499" s="52"/>
      <c r="AC499" s="52"/>
      <c r="AF499" s="541"/>
    </row>
    <row r="500" spans="1:32" ht="18" customHeight="1" thickTop="1" thickBot="1" x14ac:dyDescent="0.25">
      <c r="A500" s="40" t="s">
        <v>749</v>
      </c>
      <c r="B500" s="46">
        <f>IFERROR(Y22*1,"0")+IFERROR(Y23*1,"0")+IFERROR(Y27*1,"0")+IFERROR(Y28*1,"0")+IFERROR(Y29*1,"0")+IFERROR(Y30*1,"0")+IFERROR(Y31*1,"0")+IFERROR(Y35*1,"0")</f>
        <v>0</v>
      </c>
      <c r="C500" s="46">
        <f>IFERROR(Y41*1,"0")+IFERROR(Y42*1,"0")+IFERROR(Y43*1,"0")+IFERROR(Y47*1,"0")</f>
        <v>348</v>
      </c>
      <c r="D500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919.80000000000007</v>
      </c>
      <c r="E500" s="46">
        <f>IFERROR(Y86*1,"0")+IFERROR(Y87*1,"0")+IFERROR(Y88*1,"0")+IFERROR(Y92*1,"0")+IFERROR(Y93*1,"0")+IFERROR(Y94*1,"0")+IFERROR(Y95*1,"0")</f>
        <v>1512</v>
      </c>
      <c r="F500" s="46">
        <f>IFERROR(Y100*1,"0")+IFERROR(Y101*1,"0")+IFERROR(Y102*1,"0")+IFERROR(Y103*1,"0")+IFERROR(Y107*1,"0")+IFERROR(Y108*1,"0")+IFERROR(Y109*1,"0")+IFERROR(Y113*1,"0")+IFERROR(Y114*1,"0")+IFERROR(Y115*1,"0")+IFERROR(Y116*1,"0")+IFERROR(Y120*1,"0")</f>
        <v>776.7</v>
      </c>
      <c r="G500" s="46">
        <f>IFERROR(Y125*1,"0")+IFERROR(Y126*1,"0")+IFERROR(Y130*1,"0")+IFERROR(Y131*1,"0")+IFERROR(Y135*1,"0")+IFERROR(Y136*1,"0")</f>
        <v>192</v>
      </c>
      <c r="H500" s="46">
        <f>IFERROR(Y141*1,"0")+IFERROR(Y142*1,"0")+IFERROR(Y146*1,"0")+IFERROR(Y147*1,"0")+IFERROR(Y148*1,"0")+IFERROR(Y152*1,"0")</f>
        <v>0</v>
      </c>
      <c r="I500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829.5</v>
      </c>
      <c r="J500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2606.4</v>
      </c>
      <c r="K500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187.7</v>
      </c>
      <c r="L500" s="46">
        <f>IFERROR(Y255*1,"0")+IFERROR(Y256*1,"0")+IFERROR(Y257*1,"0")+IFERROR(Y258*1,"0")+IFERROR(Y259*1,"0")</f>
        <v>0</v>
      </c>
      <c r="M500" s="46">
        <f>IFERROR(Y264*1,"0")+IFERROR(Y265*1,"0")+IFERROR(Y266*1,"0")+IFERROR(Y267*1,"0")</f>
        <v>0</v>
      </c>
      <c r="N500" s="541"/>
      <c r="O500" s="46">
        <f>IFERROR(Y272*1,"0")+IFERROR(Y273*1,"0")+IFERROR(Y274*1,"0")</f>
        <v>362.4</v>
      </c>
      <c r="P500" s="46">
        <f>IFERROR(Y279*1,"0")+IFERROR(Y280*1,"0")+IFERROR(Y284*1,"0")+IFERROR(Y285*1,"0")</f>
        <v>0</v>
      </c>
      <c r="Q500" s="46">
        <f>IFERROR(Y290*1,"0")+IFERROR(Y291*1,"0")+IFERROR(Y292*1,"0")+IFERROR(Y293*1,"0")+IFERROR(Y294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1215.5</v>
      </c>
      <c r="R500" s="46">
        <f>IFERROR(Y334*1,"0")+IFERROR(Y335*1,"0")+IFERROR(Y336*1,"0")</f>
        <v>1226.4000000000001</v>
      </c>
      <c r="S500" s="46">
        <f>IFERROR(Y342*1,"0")+IFERROR(Y343*1,"0")+IFERROR(Y344*1,"0")+IFERROR(Y345*1,"0")+IFERROR(Y346*1,"0")+IFERROR(Y347*1,"0")+IFERROR(Y348*1,"0")+IFERROR(Y352*1,"0")+IFERROR(Y353*1,"0")+IFERROR(Y357*1,"0")+IFERROR(Y358*1,"0")+IFERROR(Y362*1,"0")</f>
        <v>5064</v>
      </c>
      <c r="T500" s="46">
        <f>IFERROR(Y367*1,"0")+IFERROR(Y368*1,"0")+IFERROR(Y372*1,"0")+IFERROR(Y373*1,"0")+IFERROR(Y377*1,"0")+IFERROR(Y378*1,"0")+IFERROR(Y379*1,"0")</f>
        <v>45</v>
      </c>
      <c r="U500" s="46">
        <f>IFERROR(Y385*1,"0")+IFERROR(Y386*1,"0")+IFERROR(Y387*1,"0")+IFERROR(Y388*1,"0")+IFERROR(Y389*1,"0")+IFERROR(Y390*1,"0")+IFERROR(Y391*1,"0")+IFERROR(Y392*1,"0")+IFERROR(Y393*1,"0")+IFERROR(Y397*1,"0")+IFERROR(Y398*1,"0")</f>
        <v>101.10000000000001</v>
      </c>
      <c r="V500" s="46">
        <f>IFERROR(Y403*1,"0")+IFERROR(Y407*1,"0")+IFERROR(Y408*1,"0")+IFERROR(Y409*1,"0")+IFERROR(Y410*1,"0")</f>
        <v>10.5</v>
      </c>
      <c r="W500" s="46">
        <f>IFERROR(Y415*1,"0")</f>
        <v>60</v>
      </c>
      <c r="X500" s="46">
        <f>IFERROR(Y421*1,"0")+IFERROR(Y422*1,"0")+IFERROR(Y423*1,"0")+IFERROR(Y424*1,"0")+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445*1,"0")+IFERROR(Y446*1,"0")+IFERROR(Y447*1,"0")+IFERROR(Y451*1,"0")+IFERROR(Y452*1,"0")+IFERROR(Y453*1,"0")</f>
        <v>896.64</v>
      </c>
      <c r="Y500" s="46">
        <f>IFERROR(Y459*1,"0")+IFERROR(Y460*1,"0")+IFERROR(Y461*1,"0")+IFERROR(Y462*1,"0")+IFERROR(Y466*1,"0")+IFERROR(Y467*1,"0")+IFERROR(Y468*1,"0")+IFERROR(Y472*1,"0")+IFERROR(Y473*1,"0")+IFERROR(Y477*1,"0")+IFERROR(Y481*1,"0")+IFERROR(Y482*1,"0")</f>
        <v>603</v>
      </c>
      <c r="Z500" s="46">
        <f>IFERROR(Y487*1,"0")</f>
        <v>0</v>
      </c>
      <c r="AB500" s="52"/>
      <c r="AC500" s="52"/>
      <c r="AF500" s="541"/>
    </row>
  </sheetData>
  <sheetProtection algorithmName="SHA-512" hashValue="Uwtm5+Pv/LNydHzhcePfCVc1g591WR62yFLVXHqljS65RPvf4uAo/7ci9pxmLtcEnzJ0lOcQQ1ftF5ahhJv0/w==" saltValue="NEaMHzryQYppNKE7v7IkI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6">
    <mergeCell ref="L498:L499"/>
    <mergeCell ref="P444:T444"/>
    <mergeCell ref="D250:E250"/>
    <mergeCell ref="P307:T307"/>
    <mergeCell ref="P202:T202"/>
    <mergeCell ref="A188:O189"/>
    <mergeCell ref="X17:X18"/>
    <mergeCell ref="D408:E408"/>
    <mergeCell ref="P216:V216"/>
    <mergeCell ref="Y17:Y18"/>
    <mergeCell ref="A260:O261"/>
    <mergeCell ref="U17:V17"/>
    <mergeCell ref="A8:C8"/>
    <mergeCell ref="D293:E293"/>
    <mergeCell ref="P138:V138"/>
    <mergeCell ref="A137:O138"/>
    <mergeCell ref="P374:V374"/>
    <mergeCell ref="A268:O269"/>
    <mergeCell ref="A10:C10"/>
    <mergeCell ref="P126:T126"/>
    <mergeCell ref="P311:V311"/>
    <mergeCell ref="A21:Z21"/>
    <mergeCell ref="A129:Z129"/>
    <mergeCell ref="D192:E192"/>
    <mergeCell ref="P296:V296"/>
    <mergeCell ref="D42:E42"/>
    <mergeCell ref="D344:E344"/>
    <mergeCell ref="D17:E18"/>
    <mergeCell ref="P373:T373"/>
    <mergeCell ref="Q5:R5"/>
    <mergeCell ref="D242:E242"/>
    <mergeCell ref="P199:T199"/>
    <mergeCell ref="D120:E120"/>
    <mergeCell ref="F17:F18"/>
    <mergeCell ref="D107:E107"/>
    <mergeCell ref="P291:T291"/>
    <mergeCell ref="D163:E163"/>
    <mergeCell ref="D234:E234"/>
    <mergeCell ref="A24:O25"/>
    <mergeCell ref="P136:T136"/>
    <mergeCell ref="P228:T228"/>
    <mergeCell ref="D171:E171"/>
    <mergeCell ref="A149:O150"/>
    <mergeCell ref="Q6:R6"/>
    <mergeCell ref="P200:T200"/>
    <mergeCell ref="A251:O252"/>
    <mergeCell ref="D102:E102"/>
    <mergeCell ref="D196:E196"/>
    <mergeCell ref="A206:Z206"/>
    <mergeCell ref="A262:Z262"/>
    <mergeCell ref="D54:E54"/>
    <mergeCell ref="P160:V160"/>
    <mergeCell ref="V12:W12"/>
    <mergeCell ref="M498:M499"/>
    <mergeCell ref="O498:O499"/>
    <mergeCell ref="D249:E249"/>
    <mergeCell ref="A51:Z51"/>
    <mergeCell ref="A476:Z476"/>
    <mergeCell ref="D170:E170"/>
    <mergeCell ref="D468:E468"/>
    <mergeCell ref="P132:V132"/>
    <mergeCell ref="N17:N18"/>
    <mergeCell ref="A58:O59"/>
    <mergeCell ref="P305:V305"/>
    <mergeCell ref="D342:E342"/>
    <mergeCell ref="D336:E336"/>
    <mergeCell ref="P293:T293"/>
    <mergeCell ref="D407:E407"/>
    <mergeCell ref="P436:T436"/>
    <mergeCell ref="P292:T292"/>
    <mergeCell ref="P294:T294"/>
    <mergeCell ref="U497:W497"/>
    <mergeCell ref="P381:V381"/>
    <mergeCell ref="A333:Z333"/>
    <mergeCell ref="D191:E191"/>
    <mergeCell ref="P122:V122"/>
    <mergeCell ref="P368:T368"/>
    <mergeCell ref="P493:V493"/>
    <mergeCell ref="D452:E452"/>
    <mergeCell ref="A112:Z112"/>
    <mergeCell ref="P421:T421"/>
    <mergeCell ref="A411:O412"/>
    <mergeCell ref="P408:T408"/>
    <mergeCell ref="P137:V137"/>
    <mergeCell ref="D247:E247"/>
    <mergeCell ref="P495:V495"/>
    <mergeCell ref="P239:V239"/>
    <mergeCell ref="A245:Z245"/>
    <mergeCell ref="D291:E291"/>
    <mergeCell ref="D266:E266"/>
    <mergeCell ref="A339:Z339"/>
    <mergeCell ref="P447:T447"/>
    <mergeCell ref="P410:T410"/>
    <mergeCell ref="P385:T385"/>
    <mergeCell ref="A413:Z413"/>
    <mergeCell ref="D279:E279"/>
    <mergeCell ref="A254:Z254"/>
    <mergeCell ref="P181:T181"/>
    <mergeCell ref="P357:T357"/>
    <mergeCell ref="D29:E29"/>
    <mergeCell ref="D23:E23"/>
    <mergeCell ref="P344:T344"/>
    <mergeCell ref="D265:E265"/>
    <mergeCell ref="A20:Z20"/>
    <mergeCell ref="A39:Z39"/>
    <mergeCell ref="A44:O45"/>
    <mergeCell ref="D95:E95"/>
    <mergeCell ref="D57:E57"/>
    <mergeCell ref="Z498:Z499"/>
    <mergeCell ref="D397:E397"/>
    <mergeCell ref="P205:V205"/>
    <mergeCell ref="P363:V363"/>
    <mergeCell ref="D310:E310"/>
    <mergeCell ref="AD17:AF18"/>
    <mergeCell ref="D101:E101"/>
    <mergeCell ref="A337:O338"/>
    <mergeCell ref="P117:V117"/>
    <mergeCell ref="D76:E76"/>
    <mergeCell ref="P144:V144"/>
    <mergeCell ref="P411:V411"/>
    <mergeCell ref="P67:T67"/>
    <mergeCell ref="D430:E430"/>
    <mergeCell ref="D175:E175"/>
    <mergeCell ref="P186:T186"/>
    <mergeCell ref="A36:O37"/>
    <mergeCell ref="D392:E392"/>
    <mergeCell ref="P469:V469"/>
    <mergeCell ref="A465:Z465"/>
    <mergeCell ref="A223:Z223"/>
    <mergeCell ref="P57:T57"/>
    <mergeCell ref="P367:T367"/>
    <mergeCell ref="D165:E165"/>
    <mergeCell ref="P2:W3"/>
    <mergeCell ref="P298:T298"/>
    <mergeCell ref="D437:E437"/>
    <mergeCell ref="P198:T198"/>
    <mergeCell ref="P347:T347"/>
    <mergeCell ref="P54:T54"/>
    <mergeCell ref="D35:E35"/>
    <mergeCell ref="D228:E228"/>
    <mergeCell ref="P312:V312"/>
    <mergeCell ref="A289:Z289"/>
    <mergeCell ref="D10:E10"/>
    <mergeCell ref="P135:T135"/>
    <mergeCell ref="P362:T362"/>
    <mergeCell ref="P191:T191"/>
    <mergeCell ref="A121:O122"/>
    <mergeCell ref="F10:G10"/>
    <mergeCell ref="P78:V78"/>
    <mergeCell ref="F5:G5"/>
    <mergeCell ref="V11:W11"/>
    <mergeCell ref="P75:T75"/>
    <mergeCell ref="P342:T342"/>
    <mergeCell ref="P146:T146"/>
    <mergeCell ref="D323:E323"/>
    <mergeCell ref="D152:E152"/>
    <mergeCell ref="P492:V492"/>
    <mergeCell ref="P415:T415"/>
    <mergeCell ref="P286:V286"/>
    <mergeCell ref="P479:V479"/>
    <mergeCell ref="M17:M18"/>
    <mergeCell ref="O17:O18"/>
    <mergeCell ref="C498:C499"/>
    <mergeCell ref="P336:T336"/>
    <mergeCell ref="E498:E499"/>
    <mergeCell ref="P494:V494"/>
    <mergeCell ref="P430:T430"/>
    <mergeCell ref="P350:V350"/>
    <mergeCell ref="A297:Z297"/>
    <mergeCell ref="P102:T102"/>
    <mergeCell ref="P189:V189"/>
    <mergeCell ref="A185:Z185"/>
    <mergeCell ref="P196:T196"/>
    <mergeCell ref="P287:V287"/>
    <mergeCell ref="D177:E177"/>
    <mergeCell ref="P281:V281"/>
    <mergeCell ref="D226:E226"/>
    <mergeCell ref="A106:Z106"/>
    <mergeCell ref="D164:E164"/>
    <mergeCell ref="D462:E462"/>
    <mergeCell ref="X498:X499"/>
    <mergeCell ref="P474:V474"/>
    <mergeCell ref="A155:Z155"/>
    <mergeCell ref="P268:V268"/>
    <mergeCell ref="P97:V97"/>
    <mergeCell ref="Q13:R13"/>
    <mergeCell ref="P201:T201"/>
    <mergeCell ref="D389:E389"/>
    <mergeCell ref="P176:T176"/>
    <mergeCell ref="P247:T247"/>
    <mergeCell ref="P114:T114"/>
    <mergeCell ref="P41:T41"/>
    <mergeCell ref="A157:Z157"/>
    <mergeCell ref="D22:E22"/>
    <mergeCell ref="D320:E320"/>
    <mergeCell ref="D447:E447"/>
    <mergeCell ref="A127:O128"/>
    <mergeCell ref="D385:E385"/>
    <mergeCell ref="P301:T301"/>
    <mergeCell ref="D257:E257"/>
    <mergeCell ref="P214:T214"/>
    <mergeCell ref="D86:E86"/>
    <mergeCell ref="D213:E213"/>
    <mergeCell ref="A64:O65"/>
    <mergeCell ref="A9:C9"/>
    <mergeCell ref="D373:E373"/>
    <mergeCell ref="D202:E202"/>
    <mergeCell ref="A478:O479"/>
    <mergeCell ref="P348:T348"/>
    <mergeCell ref="D294:E294"/>
    <mergeCell ref="P323:T323"/>
    <mergeCell ref="A414:Z414"/>
    <mergeCell ref="D231:E231"/>
    <mergeCell ref="D358:E358"/>
    <mergeCell ref="A91:Z91"/>
    <mergeCell ref="P337:V337"/>
    <mergeCell ref="P70:V70"/>
    <mergeCell ref="A156:Z156"/>
    <mergeCell ref="P32:V32"/>
    <mergeCell ref="A457:Z457"/>
    <mergeCell ref="A110:O111"/>
    <mergeCell ref="D321:E321"/>
    <mergeCell ref="P107:T107"/>
    <mergeCell ref="P101:T101"/>
    <mergeCell ref="D386:E386"/>
    <mergeCell ref="D215:E215"/>
    <mergeCell ref="P194:V194"/>
    <mergeCell ref="P62:T62"/>
    <mergeCell ref="D498:D499"/>
    <mergeCell ref="D481:E481"/>
    <mergeCell ref="P226:T226"/>
    <mergeCell ref="F498:F499"/>
    <mergeCell ref="P335:T335"/>
    <mergeCell ref="D256:E256"/>
    <mergeCell ref="P462:T462"/>
    <mergeCell ref="D207:E207"/>
    <mergeCell ref="P164:T164"/>
    <mergeCell ref="D299:E299"/>
    <mergeCell ref="P405:V405"/>
    <mergeCell ref="A401:Z401"/>
    <mergeCell ref="D314:E314"/>
    <mergeCell ref="D459:E459"/>
    <mergeCell ref="A271:Z271"/>
    <mergeCell ref="P240:V240"/>
    <mergeCell ref="Y498:Y499"/>
    <mergeCell ref="D225:E225"/>
    <mergeCell ref="P409:T409"/>
    <mergeCell ref="A399:O400"/>
    <mergeCell ref="D461:E461"/>
    <mergeCell ref="D200:E200"/>
    <mergeCell ref="A178:O179"/>
    <mergeCell ref="D436:E436"/>
    <mergeCell ref="P498:P499"/>
    <mergeCell ref="AB17:AB18"/>
    <mergeCell ref="I497:R497"/>
    <mergeCell ref="A283:Z283"/>
    <mergeCell ref="D446:E446"/>
    <mergeCell ref="A277:Z277"/>
    <mergeCell ref="P44:V44"/>
    <mergeCell ref="D367:E367"/>
    <mergeCell ref="H5:M5"/>
    <mergeCell ref="D212:E212"/>
    <mergeCell ref="P225:T225"/>
    <mergeCell ref="A456:Z456"/>
    <mergeCell ref="Y497:Z497"/>
    <mergeCell ref="A341:Z341"/>
    <mergeCell ref="D146:E146"/>
    <mergeCell ref="P461:T461"/>
    <mergeCell ref="A317:O318"/>
    <mergeCell ref="A306:Z306"/>
    <mergeCell ref="D6:M6"/>
    <mergeCell ref="P175:T175"/>
    <mergeCell ref="P162:T162"/>
    <mergeCell ref="P331:V331"/>
    <mergeCell ref="A278:Z278"/>
    <mergeCell ref="P460:T460"/>
    <mergeCell ref="P487:T487"/>
    <mergeCell ref="A235:O236"/>
    <mergeCell ref="P343:T343"/>
    <mergeCell ref="A288:Z288"/>
    <mergeCell ref="P256:T256"/>
    <mergeCell ref="V6:W9"/>
    <mergeCell ref="D199:E199"/>
    <mergeCell ref="P109:T109"/>
    <mergeCell ref="A404:O405"/>
    <mergeCell ref="P274:T274"/>
    <mergeCell ref="D186:E186"/>
    <mergeCell ref="P345:T345"/>
    <mergeCell ref="P22:T22"/>
    <mergeCell ref="P320:T320"/>
    <mergeCell ref="P314:T314"/>
    <mergeCell ref="D428:E428"/>
    <mergeCell ref="P236:V236"/>
    <mergeCell ref="D415:E415"/>
    <mergeCell ref="P394:V394"/>
    <mergeCell ref="P257:T257"/>
    <mergeCell ref="P80:T80"/>
    <mergeCell ref="Z17:Z18"/>
    <mergeCell ref="P173:V173"/>
    <mergeCell ref="A172:O173"/>
    <mergeCell ref="AA17:AA18"/>
    <mergeCell ref="H10:M10"/>
    <mergeCell ref="AC17:AC18"/>
    <mergeCell ref="P279:T279"/>
    <mergeCell ref="A420:Z420"/>
    <mergeCell ref="P472:T472"/>
    <mergeCell ref="D393:E393"/>
    <mergeCell ref="A224:Z224"/>
    <mergeCell ref="P108:T108"/>
    <mergeCell ref="A72:Z72"/>
    <mergeCell ref="A104:O105"/>
    <mergeCell ref="A435:Z435"/>
    <mergeCell ref="A85:Z85"/>
    <mergeCell ref="P398:T398"/>
    <mergeCell ref="P227:T227"/>
    <mergeCell ref="D368:E368"/>
    <mergeCell ref="P177:T177"/>
    <mergeCell ref="P93:T93"/>
    <mergeCell ref="P35:T35"/>
    <mergeCell ref="G17:G18"/>
    <mergeCell ref="P121:V121"/>
    <mergeCell ref="D80:E80"/>
    <mergeCell ref="P130:T130"/>
    <mergeCell ref="D136:E136"/>
    <mergeCell ref="A486:Z486"/>
    <mergeCell ref="H17:H18"/>
    <mergeCell ref="P388:T388"/>
    <mergeCell ref="P459:T459"/>
    <mergeCell ref="D198:E198"/>
    <mergeCell ref="P275:V275"/>
    <mergeCell ref="P104:V104"/>
    <mergeCell ref="D427:E427"/>
    <mergeCell ref="P27:T27"/>
    <mergeCell ref="D75:E75"/>
    <mergeCell ref="P390:T390"/>
    <mergeCell ref="A66:Z66"/>
    <mergeCell ref="P483:V483"/>
    <mergeCell ref="D298:E298"/>
    <mergeCell ref="D181:E181"/>
    <mergeCell ref="A221:O222"/>
    <mergeCell ref="P404:V404"/>
    <mergeCell ref="A351:Z351"/>
    <mergeCell ref="A286:O287"/>
    <mergeCell ref="P327:T327"/>
    <mergeCell ref="D273:E273"/>
    <mergeCell ref="P252:V252"/>
    <mergeCell ref="P105:V105"/>
    <mergeCell ref="P212:T212"/>
    <mergeCell ref="J9:M9"/>
    <mergeCell ref="A418:Z418"/>
    <mergeCell ref="A356:Z356"/>
    <mergeCell ref="D348:E348"/>
    <mergeCell ref="P141:T141"/>
    <mergeCell ref="P454:V454"/>
    <mergeCell ref="D62:E62"/>
    <mergeCell ref="D56:E56"/>
    <mergeCell ref="P377:T377"/>
    <mergeCell ref="A363:O364"/>
    <mergeCell ref="P233:T233"/>
    <mergeCell ref="D347:E347"/>
    <mergeCell ref="D285:E285"/>
    <mergeCell ref="D176:E176"/>
    <mergeCell ref="D114:E114"/>
    <mergeCell ref="P248:T248"/>
    <mergeCell ref="D362:E362"/>
    <mergeCell ref="A38:Z38"/>
    <mergeCell ref="A454:O455"/>
    <mergeCell ref="P207:T207"/>
    <mergeCell ref="P299:T299"/>
    <mergeCell ref="P172:V172"/>
    <mergeCell ref="P150:V150"/>
    <mergeCell ref="P221:V221"/>
    <mergeCell ref="R498:R499"/>
    <mergeCell ref="P338:V338"/>
    <mergeCell ref="P71:V71"/>
    <mergeCell ref="P58:V58"/>
    <mergeCell ref="A13:M13"/>
    <mergeCell ref="A119:Z119"/>
    <mergeCell ref="P244:V244"/>
    <mergeCell ref="D61:E61"/>
    <mergeCell ref="P115:T115"/>
    <mergeCell ref="A15:M15"/>
    <mergeCell ref="P238:T238"/>
    <mergeCell ref="A359:O360"/>
    <mergeCell ref="D346:E346"/>
    <mergeCell ref="A419:Z419"/>
    <mergeCell ref="P229:T229"/>
    <mergeCell ref="D477:E477"/>
    <mergeCell ref="A153:O154"/>
    <mergeCell ref="D125:E125"/>
    <mergeCell ref="P446:T446"/>
    <mergeCell ref="Q498:Q499"/>
    <mergeCell ref="S498:S499"/>
    <mergeCell ref="P477:T477"/>
    <mergeCell ref="P455:V455"/>
    <mergeCell ref="A40:Z40"/>
    <mergeCell ref="Q10:R10"/>
    <mergeCell ref="D41:E41"/>
    <mergeCell ref="A490:O495"/>
    <mergeCell ref="P318:V318"/>
    <mergeCell ref="P25:V25"/>
    <mergeCell ref="D43:E43"/>
    <mergeCell ref="P149:V149"/>
    <mergeCell ref="A145:Z145"/>
    <mergeCell ref="P387:T387"/>
    <mergeCell ref="A406:Z406"/>
    <mergeCell ref="A139:Z139"/>
    <mergeCell ref="D422:E422"/>
    <mergeCell ref="P360:V360"/>
    <mergeCell ref="D74:E74"/>
    <mergeCell ref="D130:E130"/>
    <mergeCell ref="P87:T87"/>
    <mergeCell ref="P451:T451"/>
    <mergeCell ref="P449:V449"/>
    <mergeCell ref="D372:E372"/>
    <mergeCell ref="D335:E335"/>
    <mergeCell ref="A204:O205"/>
    <mergeCell ref="D201:E201"/>
    <mergeCell ref="D68:E68"/>
    <mergeCell ref="D424:E424"/>
    <mergeCell ref="T5:U5"/>
    <mergeCell ref="P76:T76"/>
    <mergeCell ref="G498:G499"/>
    <mergeCell ref="V5:W5"/>
    <mergeCell ref="D246:E246"/>
    <mergeCell ref="I498:I499"/>
    <mergeCell ref="A319:Z319"/>
    <mergeCell ref="P203:T203"/>
    <mergeCell ref="A295:O296"/>
    <mergeCell ref="D233:E233"/>
    <mergeCell ref="D409:E409"/>
    <mergeCell ref="Q8:R8"/>
    <mergeCell ref="P69:T69"/>
    <mergeCell ref="P438:T438"/>
    <mergeCell ref="D444:E444"/>
    <mergeCell ref="P267:T267"/>
    <mergeCell ref="D248:E248"/>
    <mergeCell ref="D219:E219"/>
    <mergeCell ref="P425:T425"/>
    <mergeCell ref="A79:Z79"/>
    <mergeCell ref="A82:O83"/>
    <mergeCell ref="A349:O350"/>
    <mergeCell ref="P83:V83"/>
    <mergeCell ref="T6:U9"/>
    <mergeCell ref="D487:E487"/>
    <mergeCell ref="D343:E343"/>
    <mergeCell ref="P397:T397"/>
    <mergeCell ref="P74:T74"/>
    <mergeCell ref="P243:V243"/>
    <mergeCell ref="A190:Z190"/>
    <mergeCell ref="P372:T372"/>
    <mergeCell ref="A19:Z19"/>
    <mergeCell ref="P310:T310"/>
    <mergeCell ref="D280:E280"/>
    <mergeCell ref="P163:T163"/>
    <mergeCell ref="D109:E109"/>
    <mergeCell ref="A480:Z480"/>
    <mergeCell ref="D467:E467"/>
    <mergeCell ref="P424:T424"/>
    <mergeCell ref="D345:E345"/>
    <mergeCell ref="P322:T322"/>
    <mergeCell ref="P211:T211"/>
    <mergeCell ref="A439:O440"/>
    <mergeCell ref="P309:T309"/>
    <mergeCell ref="P88:T88"/>
    <mergeCell ref="A143:O144"/>
    <mergeCell ref="P393:T393"/>
    <mergeCell ref="D203:E203"/>
    <mergeCell ref="P484:V484"/>
    <mergeCell ref="P43:T43"/>
    <mergeCell ref="D328:E328"/>
    <mergeCell ref="P285:T285"/>
    <mergeCell ref="P65:V65"/>
    <mergeCell ref="P434:V434"/>
    <mergeCell ref="A433:O434"/>
    <mergeCell ref="A253:Z253"/>
    <mergeCell ref="A12:M12"/>
    <mergeCell ref="P355:V355"/>
    <mergeCell ref="A180:Z180"/>
    <mergeCell ref="A14:M14"/>
    <mergeCell ref="P232:T232"/>
    <mergeCell ref="D438:E438"/>
    <mergeCell ref="D267:E267"/>
    <mergeCell ref="A340:Z340"/>
    <mergeCell ref="D425:E425"/>
    <mergeCell ref="P61:T61"/>
    <mergeCell ref="D292:E292"/>
    <mergeCell ref="P346:T346"/>
    <mergeCell ref="A243:O244"/>
    <mergeCell ref="D227:E227"/>
    <mergeCell ref="A463:O464"/>
    <mergeCell ref="P321:T321"/>
    <mergeCell ref="A483:O484"/>
    <mergeCell ref="P353:T353"/>
    <mergeCell ref="D169:E169"/>
    <mergeCell ref="P204:V204"/>
    <mergeCell ref="P82:V82"/>
    <mergeCell ref="A134:Z134"/>
    <mergeCell ref="P440:V440"/>
    <mergeCell ref="P303:T303"/>
    <mergeCell ref="P317:V317"/>
    <mergeCell ref="P304:V304"/>
    <mergeCell ref="A98:Z98"/>
    <mergeCell ref="A396:Z396"/>
    <mergeCell ref="P110:V110"/>
    <mergeCell ref="P208:T208"/>
    <mergeCell ref="A132:O133"/>
    <mergeCell ref="D116:E116"/>
    <mergeCell ref="D352:E352"/>
    <mergeCell ref="A275:O276"/>
    <mergeCell ref="P219:T219"/>
    <mergeCell ref="D162:E162"/>
    <mergeCell ref="P272:T272"/>
    <mergeCell ref="D460:E460"/>
    <mergeCell ref="D327:E327"/>
    <mergeCell ref="P439:V439"/>
    <mergeCell ref="A5:C5"/>
    <mergeCell ref="P412:V412"/>
    <mergeCell ref="A237:Z237"/>
    <mergeCell ref="P64:V64"/>
    <mergeCell ref="H498:H499"/>
    <mergeCell ref="J498:J499"/>
    <mergeCell ref="A485:Z485"/>
    <mergeCell ref="P349:V349"/>
    <mergeCell ref="A174:Z174"/>
    <mergeCell ref="D166:E166"/>
    <mergeCell ref="P128:V128"/>
    <mergeCell ref="A17:A18"/>
    <mergeCell ref="P364:V364"/>
    <mergeCell ref="P300:T300"/>
    <mergeCell ref="C17:C18"/>
    <mergeCell ref="K17:K18"/>
    <mergeCell ref="P431:T431"/>
    <mergeCell ref="D103:E103"/>
    <mergeCell ref="A488:O489"/>
    <mergeCell ref="P358:T358"/>
    <mergeCell ref="D230:E230"/>
    <mergeCell ref="P380:V380"/>
    <mergeCell ref="D168:E168"/>
    <mergeCell ref="D466:E466"/>
    <mergeCell ref="A6:C6"/>
    <mergeCell ref="D309:E309"/>
    <mergeCell ref="D113:E113"/>
    <mergeCell ref="P167:T167"/>
    <mergeCell ref="P142:T142"/>
    <mergeCell ref="A332:Z332"/>
    <mergeCell ref="A161:Z161"/>
    <mergeCell ref="D148:E148"/>
    <mergeCell ref="P403:T403"/>
    <mergeCell ref="P378:T378"/>
    <mergeCell ref="D88:E88"/>
    <mergeCell ref="A324:O325"/>
    <mergeCell ref="D115:E115"/>
    <mergeCell ref="P55:T55"/>
    <mergeCell ref="P280:T280"/>
    <mergeCell ref="Q12:R12"/>
    <mergeCell ref="P169:T169"/>
    <mergeCell ref="D388:E388"/>
    <mergeCell ref="P354:V354"/>
    <mergeCell ref="P246:T246"/>
    <mergeCell ref="P183:V183"/>
    <mergeCell ref="P133:V133"/>
    <mergeCell ref="D390:E390"/>
    <mergeCell ref="P127:V127"/>
    <mergeCell ref="Q9:R9"/>
    <mergeCell ref="D451:E451"/>
    <mergeCell ref="D255:E255"/>
    <mergeCell ref="P49:V49"/>
    <mergeCell ref="P36:V36"/>
    <mergeCell ref="P478:V478"/>
    <mergeCell ref="D322:E322"/>
    <mergeCell ref="Q11:R11"/>
    <mergeCell ref="K498:K499"/>
    <mergeCell ref="D453:E453"/>
    <mergeCell ref="P417:V417"/>
    <mergeCell ref="P467:T467"/>
    <mergeCell ref="P442:T442"/>
    <mergeCell ref="P489:V489"/>
    <mergeCell ref="P491:V491"/>
    <mergeCell ref="P369:V369"/>
    <mergeCell ref="A123:Z123"/>
    <mergeCell ref="D9:E9"/>
    <mergeCell ref="P197:T197"/>
    <mergeCell ref="A354:O355"/>
    <mergeCell ref="P53:T53"/>
    <mergeCell ref="F9:G9"/>
    <mergeCell ref="D167:E167"/>
    <mergeCell ref="P422:T422"/>
    <mergeCell ref="P481:T481"/>
    <mergeCell ref="I17:I18"/>
    <mergeCell ref="D141:E141"/>
    <mergeCell ref="A48:O49"/>
    <mergeCell ref="D135:E135"/>
    <mergeCell ref="D377:E377"/>
    <mergeCell ref="P352:T352"/>
    <mergeCell ref="P470:V470"/>
    <mergeCell ref="A326:Z326"/>
    <mergeCell ref="P295:V295"/>
    <mergeCell ref="P178:V178"/>
    <mergeCell ref="P276:V276"/>
    <mergeCell ref="D421:E421"/>
    <mergeCell ref="P463:V463"/>
    <mergeCell ref="D403:E403"/>
    <mergeCell ref="D232:E232"/>
    <mergeCell ref="A263:Z263"/>
    <mergeCell ref="P264:T264"/>
    <mergeCell ref="P68:T68"/>
    <mergeCell ref="D63:E63"/>
    <mergeCell ref="D52:E52"/>
    <mergeCell ref="D27:E27"/>
    <mergeCell ref="P23:T23"/>
    <mergeCell ref="D398:E398"/>
    <mergeCell ref="D1:F1"/>
    <mergeCell ref="P488:V488"/>
    <mergeCell ref="A313:Z313"/>
    <mergeCell ref="P47:T47"/>
    <mergeCell ref="P282:V282"/>
    <mergeCell ref="P111:V111"/>
    <mergeCell ref="J17:J18"/>
    <mergeCell ref="L17:L18"/>
    <mergeCell ref="P359:V359"/>
    <mergeCell ref="A184:Z184"/>
    <mergeCell ref="P48:V48"/>
    <mergeCell ref="P426:T426"/>
    <mergeCell ref="A371:Z371"/>
    <mergeCell ref="P255:T255"/>
    <mergeCell ref="D334:E334"/>
    <mergeCell ref="P192:T192"/>
    <mergeCell ref="A382:Z382"/>
    <mergeCell ref="P428:T428"/>
    <mergeCell ref="D100:E100"/>
    <mergeCell ref="P284:T284"/>
    <mergeCell ref="P113:T113"/>
    <mergeCell ref="P17:T18"/>
    <mergeCell ref="A471:Z471"/>
    <mergeCell ref="P63:T63"/>
    <mergeCell ref="U498:U499"/>
    <mergeCell ref="P475:V475"/>
    <mergeCell ref="W498:W499"/>
    <mergeCell ref="P269:V269"/>
    <mergeCell ref="A458:Z458"/>
    <mergeCell ref="P399:V399"/>
    <mergeCell ref="D316:E316"/>
    <mergeCell ref="P273:T273"/>
    <mergeCell ref="D387:E387"/>
    <mergeCell ref="D443:E443"/>
    <mergeCell ref="D272:E272"/>
    <mergeCell ref="D308:E308"/>
    <mergeCell ref="D445:E445"/>
    <mergeCell ref="D274:E274"/>
    <mergeCell ref="D301:E301"/>
    <mergeCell ref="A376:Z376"/>
    <mergeCell ref="A469:O470"/>
    <mergeCell ref="P466:T466"/>
    <mergeCell ref="B498:B499"/>
    <mergeCell ref="P490:V490"/>
    <mergeCell ref="A416:O417"/>
    <mergeCell ref="D329:E329"/>
    <mergeCell ref="A402:Z402"/>
    <mergeCell ref="P429:T429"/>
    <mergeCell ref="A474:O475"/>
    <mergeCell ref="D290:E290"/>
    <mergeCell ref="D94:E94"/>
    <mergeCell ref="P259:T259"/>
    <mergeCell ref="P148:T148"/>
    <mergeCell ref="D69:E69"/>
    <mergeCell ref="A96:O97"/>
    <mergeCell ref="P482:T482"/>
    <mergeCell ref="P33:V33"/>
    <mergeCell ref="A218:Z218"/>
    <mergeCell ref="D210:E210"/>
    <mergeCell ref="A46:Z46"/>
    <mergeCell ref="D209:E209"/>
    <mergeCell ref="P166:T166"/>
    <mergeCell ref="P188:V188"/>
    <mergeCell ref="D147:E147"/>
    <mergeCell ref="D87:E87"/>
    <mergeCell ref="P116:T116"/>
    <mergeCell ref="P103:T103"/>
    <mergeCell ref="P230:T230"/>
    <mergeCell ref="D211:E211"/>
    <mergeCell ref="P168:T168"/>
    <mergeCell ref="P59:V59"/>
    <mergeCell ref="P250:T250"/>
    <mergeCell ref="H1:Q1"/>
    <mergeCell ref="A448:O449"/>
    <mergeCell ref="A99:Z99"/>
    <mergeCell ref="A366:Z366"/>
    <mergeCell ref="D214:E214"/>
    <mergeCell ref="D284:E284"/>
    <mergeCell ref="P222:V222"/>
    <mergeCell ref="P193:V193"/>
    <mergeCell ref="P120:T120"/>
    <mergeCell ref="D259:E259"/>
    <mergeCell ref="D28:E28"/>
    <mergeCell ref="D432:E432"/>
    <mergeCell ref="P171:T171"/>
    <mergeCell ref="A361:Z361"/>
    <mergeCell ref="A239:O240"/>
    <mergeCell ref="P242:T242"/>
    <mergeCell ref="D353:E353"/>
    <mergeCell ref="P407:T407"/>
    <mergeCell ref="D92:E92"/>
    <mergeCell ref="D55:E55"/>
    <mergeCell ref="D67:E67"/>
    <mergeCell ref="D30:E30"/>
    <mergeCell ref="A140:Z140"/>
    <mergeCell ref="D5:E5"/>
    <mergeCell ref="A498:A499"/>
    <mergeCell ref="P265:T265"/>
    <mergeCell ref="P94:T94"/>
    <mergeCell ref="D379:E379"/>
    <mergeCell ref="D208:E208"/>
    <mergeCell ref="D81:E81"/>
    <mergeCell ref="D8:M8"/>
    <mergeCell ref="D300:E300"/>
    <mergeCell ref="P31:T31"/>
    <mergeCell ref="P473:T473"/>
    <mergeCell ref="P329:T329"/>
    <mergeCell ref="P158:T158"/>
    <mergeCell ref="P251:V251"/>
    <mergeCell ref="P118:V118"/>
    <mergeCell ref="P416:V416"/>
    <mergeCell ref="A241:Z241"/>
    <mergeCell ref="P45:V45"/>
    <mergeCell ref="P266:T266"/>
    <mergeCell ref="P95:T95"/>
    <mergeCell ref="P182:V182"/>
    <mergeCell ref="S497:T497"/>
    <mergeCell ref="V498:V499"/>
    <mergeCell ref="D303:E303"/>
    <mergeCell ref="P453:T453"/>
    <mergeCell ref="D7:M7"/>
    <mergeCell ref="P92:T92"/>
    <mergeCell ref="P334:T334"/>
    <mergeCell ref="A450:Z450"/>
    <mergeCell ref="A380:O381"/>
    <mergeCell ref="D315:E315"/>
    <mergeCell ref="D442:E442"/>
    <mergeCell ref="D302:E302"/>
    <mergeCell ref="D429:E429"/>
    <mergeCell ref="A159:O160"/>
    <mergeCell ref="P29:T29"/>
    <mergeCell ref="P100:T100"/>
    <mergeCell ref="P42:T42"/>
    <mergeCell ref="A32:O33"/>
    <mergeCell ref="A26:Z26"/>
    <mergeCell ref="D31:E31"/>
    <mergeCell ref="D158:E158"/>
    <mergeCell ref="D229:E229"/>
    <mergeCell ref="P131:T131"/>
    <mergeCell ref="P187:T187"/>
    <mergeCell ref="A117:O118"/>
    <mergeCell ref="P258:T258"/>
    <mergeCell ref="D108:E108"/>
    <mergeCell ref="P423:T423"/>
    <mergeCell ref="T498:T499"/>
    <mergeCell ref="P443:T443"/>
    <mergeCell ref="D197:E197"/>
    <mergeCell ref="D53:E53"/>
    <mergeCell ref="D47:E47"/>
    <mergeCell ref="A84:Z84"/>
    <mergeCell ref="P330:V330"/>
    <mergeCell ref="P159:V159"/>
    <mergeCell ref="D482:E482"/>
    <mergeCell ref="P395:V395"/>
    <mergeCell ref="C497:H497"/>
    <mergeCell ref="P209:T209"/>
    <mergeCell ref="P147:T147"/>
    <mergeCell ref="P445:T445"/>
    <mergeCell ref="A193:O194"/>
    <mergeCell ref="A50:Z50"/>
    <mergeCell ref="P96:V96"/>
    <mergeCell ref="P261:V261"/>
    <mergeCell ref="P90:V90"/>
    <mergeCell ref="P217:V217"/>
    <mergeCell ref="A384:Z384"/>
    <mergeCell ref="A151:Z151"/>
    <mergeCell ref="P234:T234"/>
    <mergeCell ref="P325:V325"/>
    <mergeCell ref="A60:Z60"/>
    <mergeCell ref="P81:T81"/>
    <mergeCell ref="P56:T56"/>
    <mergeCell ref="V10:W10"/>
    <mergeCell ref="P379:T379"/>
    <mergeCell ref="A124:Z124"/>
    <mergeCell ref="D431:E431"/>
    <mergeCell ref="P170:T170"/>
    <mergeCell ref="P468:T468"/>
    <mergeCell ref="P316:T316"/>
    <mergeCell ref="D126:E126"/>
    <mergeCell ref="W17:W18"/>
    <mergeCell ref="P154:V154"/>
    <mergeCell ref="D142:E142"/>
    <mergeCell ref="D378:E378"/>
    <mergeCell ref="A304:O305"/>
    <mergeCell ref="A182:O183"/>
    <mergeCell ref="P52:T52"/>
    <mergeCell ref="P15:T16"/>
    <mergeCell ref="P210:T210"/>
    <mergeCell ref="P433:V433"/>
    <mergeCell ref="P308:T308"/>
    <mergeCell ref="P427:T427"/>
    <mergeCell ref="D264:E264"/>
    <mergeCell ref="R1:T1"/>
    <mergeCell ref="P28:T28"/>
    <mergeCell ref="P392:T392"/>
    <mergeCell ref="P386:T386"/>
    <mergeCell ref="D307:E307"/>
    <mergeCell ref="P215:T215"/>
    <mergeCell ref="P165:T165"/>
    <mergeCell ref="P432:T432"/>
    <mergeCell ref="P400:V400"/>
    <mergeCell ref="A89:O90"/>
    <mergeCell ref="P152:T152"/>
    <mergeCell ref="P77:V77"/>
    <mergeCell ref="D73:E73"/>
    <mergeCell ref="P30:T30"/>
    <mergeCell ref="P375:V375"/>
    <mergeCell ref="P179:V179"/>
    <mergeCell ref="A374:O375"/>
    <mergeCell ref="P290:T290"/>
    <mergeCell ref="A311:O312"/>
    <mergeCell ref="P37:V37"/>
    <mergeCell ref="B17:B18"/>
    <mergeCell ref="A77:O78"/>
    <mergeCell ref="P143:V143"/>
    <mergeCell ref="D131:E131"/>
    <mergeCell ref="A34:Z34"/>
    <mergeCell ref="D410:E410"/>
    <mergeCell ref="A441:Z441"/>
    <mergeCell ref="A270:Z270"/>
    <mergeCell ref="H9:I9"/>
    <mergeCell ref="P24:V24"/>
    <mergeCell ref="P260:V260"/>
    <mergeCell ref="P89:V89"/>
    <mergeCell ref="P389:T389"/>
    <mergeCell ref="A383:Z383"/>
    <mergeCell ref="P324:V324"/>
    <mergeCell ref="P153:V153"/>
    <mergeCell ref="P391:T391"/>
    <mergeCell ref="P220:T220"/>
    <mergeCell ref="A70:O71"/>
    <mergeCell ref="D238:E238"/>
    <mergeCell ref="D426:E426"/>
    <mergeCell ref="A216:O217"/>
    <mergeCell ref="P86:T86"/>
    <mergeCell ref="P328:T328"/>
    <mergeCell ref="P213:T213"/>
    <mergeCell ref="A281:O282"/>
    <mergeCell ref="A330:O331"/>
    <mergeCell ref="P249:T249"/>
    <mergeCell ref="D473:E473"/>
    <mergeCell ref="P73:T73"/>
    <mergeCell ref="D187:E187"/>
    <mergeCell ref="P437:T437"/>
    <mergeCell ref="P315:T315"/>
    <mergeCell ref="P231:T231"/>
    <mergeCell ref="D423:E423"/>
    <mergeCell ref="P302:T302"/>
    <mergeCell ref="D472:E472"/>
    <mergeCell ref="A365:Z365"/>
    <mergeCell ref="D357:E357"/>
    <mergeCell ref="P464:V464"/>
    <mergeCell ref="P452:T452"/>
    <mergeCell ref="P448:V448"/>
    <mergeCell ref="D258:E258"/>
    <mergeCell ref="P235:V235"/>
    <mergeCell ref="D93:E93"/>
    <mergeCell ref="D391:E391"/>
    <mergeCell ref="D220:E220"/>
    <mergeCell ref="P370:V370"/>
    <mergeCell ref="A394:O395"/>
    <mergeCell ref="A369:O370"/>
    <mergeCell ref="A195:Z195"/>
    <mergeCell ref="P125:T125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:X42 X61 X80 X86 X92 X100 X102 X107 X113 X115:X116 X120 X125 X131 X136 X162:X165 X167 X169 X196:X203 X209:X210 X212 X214:X215 X219:X220 X225 X227:X228 X233 X273 X301:X303 X314:X316 X322:X323 X327 X329 X335:X336 X358 X367 X377 X389:X390 X392 X415 X421 X425 X427 X436 X442:X447 X477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750</v>
      </c>
      <c r="H1" s="52"/>
    </row>
    <row r="3" spans="2:8" x14ac:dyDescent="0.2">
      <c r="B3" s="47" t="s">
        <v>751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752</v>
      </c>
      <c r="D6" s="47" t="s">
        <v>753</v>
      </c>
      <c r="E6" s="47"/>
    </row>
    <row r="8" spans="2:8" x14ac:dyDescent="0.2">
      <c r="B8" s="47" t="s">
        <v>19</v>
      </c>
      <c r="C8" s="47" t="s">
        <v>752</v>
      </c>
      <c r="D8" s="47"/>
      <c r="E8" s="47"/>
    </row>
    <row r="10" spans="2:8" x14ac:dyDescent="0.2">
      <c r="B10" s="47" t="s">
        <v>754</v>
      </c>
      <c r="C10" s="47"/>
      <c r="D10" s="47"/>
      <c r="E10" s="47"/>
    </row>
    <row r="11" spans="2:8" x14ac:dyDescent="0.2">
      <c r="B11" s="47" t="s">
        <v>755</v>
      </c>
      <c r="C11" s="47"/>
      <c r="D11" s="47"/>
      <c r="E11" s="47"/>
    </row>
    <row r="12" spans="2:8" x14ac:dyDescent="0.2">
      <c r="B12" s="47" t="s">
        <v>756</v>
      </c>
      <c r="C12" s="47"/>
      <c r="D12" s="47"/>
      <c r="E12" s="47"/>
    </row>
    <row r="13" spans="2:8" x14ac:dyDescent="0.2">
      <c r="B13" s="47" t="s">
        <v>757</v>
      </c>
      <c r="C13" s="47"/>
      <c r="D13" s="47"/>
      <c r="E13" s="47"/>
    </row>
    <row r="14" spans="2:8" x14ac:dyDescent="0.2">
      <c r="B14" s="47" t="s">
        <v>758</v>
      </c>
      <c r="C14" s="47"/>
      <c r="D14" s="47"/>
      <c r="E14" s="47"/>
    </row>
    <row r="15" spans="2:8" x14ac:dyDescent="0.2">
      <c r="B15" s="47" t="s">
        <v>759</v>
      </c>
      <c r="C15" s="47"/>
      <c r="D15" s="47"/>
      <c r="E15" s="47"/>
    </row>
    <row r="16" spans="2:8" x14ac:dyDescent="0.2">
      <c r="B16" s="47" t="s">
        <v>760</v>
      </c>
      <c r="C16" s="47"/>
      <c r="D16" s="47"/>
      <c r="E16" s="47"/>
    </row>
    <row r="17" spans="2:5" x14ac:dyDescent="0.2">
      <c r="B17" s="47" t="s">
        <v>761</v>
      </c>
      <c r="C17" s="47"/>
      <c r="D17" s="47"/>
      <c r="E17" s="47"/>
    </row>
    <row r="18" spans="2:5" x14ac:dyDescent="0.2">
      <c r="B18" s="47" t="s">
        <v>762</v>
      </c>
      <c r="C18" s="47"/>
      <c r="D18" s="47"/>
      <c r="E18" s="47"/>
    </row>
    <row r="19" spans="2:5" x14ac:dyDescent="0.2">
      <c r="B19" s="47" t="s">
        <v>763</v>
      </c>
      <c r="C19" s="47"/>
      <c r="D19" s="47"/>
      <c r="E19" s="47"/>
    </row>
    <row r="20" spans="2:5" x14ac:dyDescent="0.2">
      <c r="B20" s="47" t="s">
        <v>764</v>
      </c>
      <c r="C20" s="47"/>
      <c r="D20" s="47"/>
      <c r="E20" s="47"/>
    </row>
  </sheetData>
  <sheetProtection algorithmName="SHA-512" hashValue="xLDnVJxu7Wk8q1sGRf2n6k5a0ZuXAXovsjMEN+DsL2N0f4cV7AciLO1g97dFtGaWm2eMykumQOdGw3lFZTF14w==" saltValue="e45c5JcTla4bMQtfDBzoy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973</vt:i4>
      </vt:variant>
    </vt:vector>
  </HeadingPairs>
  <TitlesOfParts>
    <vt:vector size="97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2025-12-04T09:46:46Z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