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910DBD09-79E6-47E1-BEB3-6F8137A8E3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Y270" i="1"/>
  <c r="X270" i="1"/>
  <c r="Z269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Y269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6" i="1"/>
  <c r="X245" i="1"/>
  <c r="BO244" i="1"/>
  <c r="BM244" i="1"/>
  <c r="Z244" i="1"/>
  <c r="Y244" i="1"/>
  <c r="P244" i="1"/>
  <c r="BP243" i="1"/>
  <c r="BO243" i="1"/>
  <c r="BN243" i="1"/>
  <c r="BM243" i="1"/>
  <c r="Z243" i="1"/>
  <c r="Z245" i="1" s="1"/>
  <c r="Y243" i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Y212" i="1"/>
  <c r="X212" i="1"/>
  <c r="Z211" i="1"/>
  <c r="X211" i="1"/>
  <c r="BO210" i="1"/>
  <c r="BM210" i="1"/>
  <c r="Z210" i="1"/>
  <c r="Y210" i="1"/>
  <c r="P210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4" i="1"/>
  <c r="Z193" i="1"/>
  <c r="X193" i="1"/>
  <c r="BO192" i="1"/>
  <c r="BM192" i="1"/>
  <c r="Z192" i="1"/>
  <c r="Y192" i="1"/>
  <c r="P192" i="1"/>
  <c r="Y188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Y143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2" i="1" s="1"/>
  <c r="Y113" i="1"/>
  <c r="Y123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3" i="1" s="1"/>
  <c r="BM22" i="1"/>
  <c r="X272" i="1" s="1"/>
  <c r="X274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71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Z276" i="1" s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3" i="1" l="1"/>
  <c r="Y272" i="1"/>
  <c r="Y275" i="1"/>
  <c r="Y274" i="1" l="1"/>
  <c r="A284" i="1" s="1"/>
  <c r="B284" i="1"/>
  <c r="C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<sst xmlns="http://schemas.openxmlformats.org/spreadsheetml/2006/main" count="1231" uniqueCount="397">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</sst>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60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4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4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2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7" t="str">
        <f>IFERROR(VLOOKUP($D$10,Proxy,2,FALSE),"")</f>
        <v/>
      </c>
      <c r="I10" s="288"/>
      <c r="J10" s="288"/>
      <c r="K10" s="288"/>
      <c r="L10" s="288"/>
      <c r="M10" s="288"/>
      <c r="N10" s="263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4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6"/>
      <c r="AB18" s="396"/>
      <c r="AC18" s="396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24</v>
      </c>
      <c r="Y24" s="271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24</v>
      </c>
      <c r="Y28" s="272">
        <f>IFERROR(SUM(Y22:Y27),"0")</f>
        <v>24</v>
      </c>
      <c r="Z28" s="272">
        <f>IFERROR(IF(Z22="",0,Z22),"0")+IFERROR(IF(Z23="",0,Z23),"0")+IFERROR(IF(Z24="",0,Z24),"0")+IFERROR(IF(Z25="",0,Z25),"0")+IFERROR(IF(Z26="",0,Z26),"0")+IFERROR(IF(Z27="",0,Z27),"0")</f>
        <v>0.372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172.8</v>
      </c>
      <c r="Y29" s="272">
        <f>IFERROR(SUMPRODUCT(Y22:Y27*H22:H27),"0")</f>
        <v>172.8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12</v>
      </c>
      <c r="Y33" s="271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12</v>
      </c>
      <c r="Y34" s="272">
        <f>IFERROR(SUM(Y32:Y33),"0")</f>
        <v>12</v>
      </c>
      <c r="Z34" s="272">
        <f>IFERROR(IF(Z32="",0,Z32),"0")+IFERROR(IF(Z33="",0,Z33),"0")</f>
        <v>0.186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76.800000000000011</v>
      </c>
      <c r="Y35" s="272">
        <f>IFERROR(SUMPRODUCT(Y32:Y33*H32:H33),"0")</f>
        <v>76.800000000000011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140</v>
      </c>
      <c r="Y39" s="271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140</v>
      </c>
      <c r="Y41" s="272">
        <f>IFERROR(SUM(Y39:Y40),"0")</f>
        <v>140</v>
      </c>
      <c r="Z41" s="272">
        <f>IFERROR(IF(Z39="",0,Z39),"0")+IFERROR(IF(Z40="",0,Z40),"0")</f>
        <v>1.3173999999999999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210</v>
      </c>
      <c r="Y42" s="272">
        <f>IFERROR(SUMPRODUCT(Y39:Y40*H39:H40),"0")</f>
        <v>210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24</v>
      </c>
      <c r="Y46" s="271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24</v>
      </c>
      <c r="Y48" s="272">
        <f>IFERROR(SUM(Y45:Y47),"0")</f>
        <v>24</v>
      </c>
      <c r="Z48" s="272">
        <f>IFERROR(IF(Z45="",0,Z45),"0")+IFERROR(IF(Z46="",0,Z46),"0")+IFERROR(IF(Z47="",0,Z47),"0")</f>
        <v>0.372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134.39999999999998</v>
      </c>
      <c r="Y49" s="272">
        <f>IFERROR(SUMPRODUCT(Y45:Y47*H45:H47),"0")</f>
        <v>134.39999999999998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24</v>
      </c>
      <c r="Y52" s="271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24</v>
      </c>
      <c r="Y53" s="271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96</v>
      </c>
      <c r="Y55" s="271">
        <f>IFERROR(IF(X55="","",X55),"")</f>
        <v>96</v>
      </c>
      <c r="Z55" s="36">
        <f>IFERROR(IF(X55="","",X55*0.0155),"")</f>
        <v>1.488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700.8</v>
      </c>
      <c r="BN55" s="67">
        <f>IFERROR(Y55*I55,"0")</f>
        <v>700.8</v>
      </c>
      <c r="BO55" s="67">
        <f>IFERROR(X55/J55,"0")</f>
        <v>1.1428571428571428</v>
      </c>
      <c r="BP55" s="67">
        <f>IFERROR(Y55/J55,"0")</f>
        <v>1.1428571428571428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144</v>
      </c>
      <c r="Y56" s="272">
        <f>IFERROR(SUM(Y52:Y55),"0")</f>
        <v>144</v>
      </c>
      <c r="Z56" s="272">
        <f>IFERROR(IF(Z52="",0,Z52),"0")+IFERROR(IF(Z53="",0,Z53),"0")+IFERROR(IF(Z54="",0,Z54),"0")+IFERROR(IF(Z55="",0,Z55),"0")</f>
        <v>2.2320000000000002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1008</v>
      </c>
      <c r="Y57" s="272">
        <f>IFERROR(SUMPRODUCT(Y52:Y55*H52:H55),"0")</f>
        <v>1008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28</v>
      </c>
      <c r="Y75" s="271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28</v>
      </c>
      <c r="Y76" s="272">
        <f>IFERROR(SUM(Y73:Y75),"0")</f>
        <v>28</v>
      </c>
      <c r="Z76" s="272">
        <f>IFERROR(IF(Z73="",0,Z73),"0")+IFERROR(IF(Z74="",0,Z74),"0")+IFERROR(IF(Z75="",0,Z75),"0")</f>
        <v>0.26347999999999999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33.6</v>
      </c>
      <c r="Y77" s="272">
        <f>IFERROR(SUMPRODUCT(Y73:Y75*H73:H75),"0")</f>
        <v>33.6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0</v>
      </c>
      <c r="Y81" s="271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28</v>
      </c>
      <c r="Y86" s="271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28</v>
      </c>
      <c r="Y87" s="272">
        <f>IFERROR(SUM(Y86:Y86),"0")</f>
        <v>28</v>
      </c>
      <c r="Z87" s="272">
        <f>IFERROR(IF(Z86="",0,Z86),"0")</f>
        <v>0.50063999999999997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100.8</v>
      </c>
      <c r="Y88" s="272">
        <f>IFERROR(SUMPRODUCT(Y86:Y86*H86:H86),"0")</f>
        <v>100.8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28</v>
      </c>
      <c r="Y91" s="271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56</v>
      </c>
      <c r="Y93" s="272">
        <f>IFERROR(SUM(Y91:Y92),"0")</f>
        <v>56</v>
      </c>
      <c r="Z93" s="272">
        <f>IFERROR(IF(Z91="",0,Z91),"0")+IFERROR(IF(Z92="",0,Z92),"0")</f>
        <v>1.0012799999999999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201.6</v>
      </c>
      <c r="Y94" s="272">
        <f>IFERROR(SUMPRODUCT(Y91:Y92*H91:H92),"0")</f>
        <v>201.6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112</v>
      </c>
      <c r="Y98" s="271">
        <f t="shared" si="6"/>
        <v>112</v>
      </c>
      <c r="Z98" s="36">
        <f t="shared" si="7"/>
        <v>2.0025599999999999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98</v>
      </c>
      <c r="Y100" s="271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238</v>
      </c>
      <c r="Y103" s="272">
        <f>IFERROR(SUM(Y97:Y102),"0")</f>
        <v>238</v>
      </c>
      <c r="Z103" s="272">
        <f>IFERROR(IF(Z97="",0,Z97),"0")+IFERROR(IF(Z98="",0,Z98),"0")+IFERROR(IF(Z99="",0,Z99),"0")+IFERROR(IF(Z100="",0,Z100),"0")+IFERROR(IF(Z101="",0,Z101),"0")+IFERROR(IF(Z102="",0,Z102),"0")</f>
        <v>4.2554400000000001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703.92</v>
      </c>
      <c r="Y104" s="272">
        <f>IFERROR(SUMPRODUCT(Y97:Y102*H97:H102),"0")</f>
        <v>703.92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36</v>
      </c>
      <c r="Y114" s="271">
        <f t="shared" si="12"/>
        <v>36</v>
      </c>
      <c r="Z114" s="36">
        <f t="shared" si="13"/>
        <v>0.55800000000000005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262.08</v>
      </c>
      <c r="BN114" s="67">
        <f t="shared" si="15"/>
        <v>262.08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120</v>
      </c>
      <c r="Y116" s="271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24</v>
      </c>
      <c r="Y118" s="271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264</v>
      </c>
      <c r="Y119" s="271">
        <f t="shared" si="12"/>
        <v>264</v>
      </c>
      <c r="Z119" s="36">
        <f t="shared" si="13"/>
        <v>4.0919999999999996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1927.2</v>
      </c>
      <c r="BN119" s="67">
        <f t="shared" si="15"/>
        <v>1927.2</v>
      </c>
      <c r="BO119" s="67">
        <f t="shared" si="16"/>
        <v>3.1428571428571428</v>
      </c>
      <c r="BP119" s="67">
        <f t="shared" si="17"/>
        <v>3.1428571428571428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24</v>
      </c>
      <c r="Y121" s="271">
        <f t="shared" si="12"/>
        <v>24</v>
      </c>
      <c r="Z121" s="36">
        <f t="shared" si="13"/>
        <v>0.372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173.52</v>
      </c>
      <c r="BN121" s="67">
        <f t="shared" si="15"/>
        <v>173.52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504</v>
      </c>
      <c r="Y122" s="272">
        <f>IFERROR(SUM(Y113:Y121),"0")</f>
        <v>504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7.8119999999999994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3492</v>
      </c>
      <c r="Y123" s="272">
        <f>IFERROR(SUMPRODUCT(Y113:Y121*H113:H121),"0")</f>
        <v>3492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6"/>
      <c r="AB124" s="266"/>
      <c r="AC124" s="266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14</v>
      </c>
      <c r="Y125" s="271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14</v>
      </c>
      <c r="Y126" s="272">
        <f>IFERROR(SUM(Y125:Y125),"0")</f>
        <v>14</v>
      </c>
      <c r="Z126" s="272">
        <f>IFERROR(IF(Z125="",0,Z125),"0")</f>
        <v>0.25031999999999999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36.96</v>
      </c>
      <c r="Y127" s="272">
        <f>IFERROR(SUMPRODUCT(Y125:Y125*H125:H125),"0")</f>
        <v>36.96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6"/>
      <c r="AB128" s="266"/>
      <c r="AC128" s="266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196</v>
      </c>
      <c r="Y134" s="271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238</v>
      </c>
      <c r="Y135" s="271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434</v>
      </c>
      <c r="Y136" s="272">
        <f>IFERROR(SUM(Y134:Y135),"0")</f>
        <v>434</v>
      </c>
      <c r="Z136" s="272">
        <f>IFERROR(IF(Z134="",0,Z134),"0")+IFERROR(IF(Z135="",0,Z135),"0")</f>
        <v>7.7599200000000002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1302</v>
      </c>
      <c r="Y137" s="272">
        <f>IFERROR(SUMPRODUCT(Y134:Y135*H134:H135),"0")</f>
        <v>1302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126</v>
      </c>
      <c r="Y141" s="271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140</v>
      </c>
      <c r="Y142" s="272">
        <f>IFERROR(SUM(Y140:Y141),"0")</f>
        <v>140</v>
      </c>
      <c r="Z142" s="272">
        <f>IFERROR(IF(Z140="",0,Z140),"0")+IFERROR(IF(Z141="",0,Z141),"0")</f>
        <v>2.5032000000000001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420</v>
      </c>
      <c r="Y143" s="272">
        <f>IFERROR(SUMPRODUCT(Y140:Y141*H140:H141),"0")</f>
        <v>420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14</v>
      </c>
      <c r="Y146" s="271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112</v>
      </c>
      <c r="Y147" s="271">
        <f>IFERROR(IF(X147="","",X147),"")</f>
        <v>112</v>
      </c>
      <c r="Z147" s="36">
        <f>IFERROR(IF(X147="","",X147*0.01788),"")</f>
        <v>2.0025599999999999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300.16000000000003</v>
      </c>
      <c r="BN147" s="67">
        <f>IFERROR(Y147*I147,"0")</f>
        <v>300.16000000000003</v>
      </c>
      <c r="BO147" s="67">
        <f>IFERROR(X147/J147,"0")</f>
        <v>1.6</v>
      </c>
      <c r="BP147" s="67">
        <f>IFERROR(Y147/J147,"0")</f>
        <v>1.6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126</v>
      </c>
      <c r="Y148" s="272">
        <f>IFERROR(SUM(Y146:Y147),"0")</f>
        <v>126</v>
      </c>
      <c r="Z148" s="272">
        <f>IFERROR(IF(Z146="",0,Z146),"0")+IFERROR(IF(Z147="",0,Z147),"0")</f>
        <v>2.2528799999999998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302.40000000000003</v>
      </c>
      <c r="Y149" s="272">
        <f>IFERROR(SUMPRODUCT(Y146:Y147*H146:H147),"0")</f>
        <v>302.40000000000003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28</v>
      </c>
      <c r="Y152" s="271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28</v>
      </c>
      <c r="Y153" s="272">
        <f>IFERROR(SUM(Y152:Y152),"0")</f>
        <v>28</v>
      </c>
      <c r="Z153" s="272">
        <f>IFERROR(IF(Z152="",0,Z152),"0")</f>
        <v>0.50063999999999997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84</v>
      </c>
      <c r="Y154" s="272">
        <f>IFERROR(SUMPRODUCT(Y152:Y152*H152:H152),"0")</f>
        <v>84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6"/>
      <c r="AB156" s="266"/>
      <c r="AC156" s="266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6"/>
      <c r="AB161" s="266"/>
      <c r="AC161" s="266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6"/>
      <c r="AB166" s="266"/>
      <c r="AC166" s="266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6"/>
      <c r="AB172" s="266"/>
      <c r="AC172" s="266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0</v>
      </c>
      <c r="Y174" s="271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0</v>
      </c>
      <c r="Y175" s="272">
        <f>IFERROR(SUM(Y173:Y174),"0")</f>
        <v>0</v>
      </c>
      <c r="Z175" s="272">
        <f>IFERROR(IF(Z173="",0,Z173),"0")+IFERROR(IF(Z174="",0,Z174),"0")</f>
        <v>0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0</v>
      </c>
      <c r="Y176" s="272">
        <f>IFERROR(SUMPRODUCT(Y173:Y174*H173:H174),"0")</f>
        <v>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98</v>
      </c>
      <c r="Y180" s="271">
        <f>IFERROR(IF(X180="","",X180),"")</f>
        <v>98</v>
      </c>
      <c r="Z180" s="36">
        <f>IFERROR(IF(X180="","",X180*0.01788),"")</f>
        <v>1.75224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332.024</v>
      </c>
      <c r="BN180" s="67">
        <f>IFERROR(Y180*I180,"0")</f>
        <v>332.024</v>
      </c>
      <c r="BO180" s="67">
        <f>IFERROR(X180/J180,"0")</f>
        <v>1.4</v>
      </c>
      <c r="BP180" s="67">
        <f>IFERROR(Y180/J180,"0")</f>
        <v>1.4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84</v>
      </c>
      <c r="Y181" s="271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140</v>
      </c>
      <c r="Y182" s="271">
        <f>IFERROR(IF(X182="","",X182),"")</f>
        <v>140</v>
      </c>
      <c r="Z182" s="36">
        <f>IFERROR(IF(X182="","",X182*0.01788),"")</f>
        <v>2.5032000000000001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523.04000000000008</v>
      </c>
      <c r="BN182" s="67">
        <f>IFERROR(Y182*I182,"0")</f>
        <v>523.04000000000008</v>
      </c>
      <c r="BO182" s="67">
        <f>IFERROR(X182/J182,"0")</f>
        <v>2</v>
      </c>
      <c r="BP182" s="67">
        <f>IFERROR(Y182/J182,"0")</f>
        <v>2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322</v>
      </c>
      <c r="Y183" s="272">
        <f>IFERROR(SUM(Y180:Y182),"0")</f>
        <v>322</v>
      </c>
      <c r="Z183" s="272">
        <f>IFERROR(IF(Z180="",0,Z180),"0")+IFERROR(IF(Z181="",0,Z181),"0")+IFERROR(IF(Z182="",0,Z182),"0")</f>
        <v>5.7573600000000003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966</v>
      </c>
      <c r="Y184" s="272">
        <f>IFERROR(SUMPRODUCT(Y180:Y182*H180:H182),"0")</f>
        <v>966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6"/>
      <c r="AB185" s="266"/>
      <c r="AC185" s="266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6"/>
      <c r="AB191" s="266"/>
      <c r="AC191" s="266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0</v>
      </c>
      <c r="Y192" s="271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0</v>
      </c>
      <c r="Y193" s="272">
        <f>IFERROR(SUM(Y192:Y192),"0")</f>
        <v>0</v>
      </c>
      <c r="Z193" s="272">
        <f>IFERROR(IF(Z192="",0,Z192),"0")</f>
        <v>0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0</v>
      </c>
      <c r="Y194" s="272">
        <f>IFERROR(SUMPRODUCT(Y192:Y192*H192:H192),"0")</f>
        <v>0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6"/>
      <c r="AB195" s="266"/>
      <c r="AC195" s="266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24</v>
      </c>
      <c r="Y205" s="271">
        <f>IFERROR(IF(X205="","",X205),"")</f>
        <v>24</v>
      </c>
      <c r="Z205" s="36">
        <f>IFERROR(IF(X205="","",X205*0.0155),"")</f>
        <v>0.372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125.52000000000001</v>
      </c>
      <c r="BN205" s="67">
        <f>IFERROR(Y205*I205,"0")</f>
        <v>125.52000000000001</v>
      </c>
      <c r="BO205" s="67">
        <f>IFERROR(X205/J205,"0")</f>
        <v>0.2857142857142857</v>
      </c>
      <c r="BP205" s="67">
        <f>IFERROR(Y205/J205,"0")</f>
        <v>0.2857142857142857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24</v>
      </c>
      <c r="Y206" s="272">
        <f>IFERROR(SUM(Y205:Y205),"0")</f>
        <v>24</v>
      </c>
      <c r="Z206" s="272">
        <f>IFERROR(IF(Z205="",0,Z205),"0")</f>
        <v>0.372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120</v>
      </c>
      <c r="Y207" s="272">
        <f>IFERROR(SUMPRODUCT(Y205:Y205*H205:H205),"0")</f>
        <v>120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6"/>
      <c r="AB209" s="266"/>
      <c r="AC209" s="266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6"/>
      <c r="AB213" s="266"/>
      <c r="AC213" s="266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6"/>
      <c r="AB220" s="266"/>
      <c r="AC220" s="266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6"/>
      <c r="AB226" s="266"/>
      <c r="AC226" s="266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0</v>
      </c>
      <c r="Y227" s="271">
        <f>IFERROR(IF(X227="","",X227),"")</f>
        <v>0</v>
      </c>
      <c r="Z227" s="36">
        <f>IFERROR(IF(X227="","",X227*0.0155),"")</f>
        <v>0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0</v>
      </c>
      <c r="Y228" s="272">
        <f>IFERROR(SUM(Y227:Y227),"0")</f>
        <v>0</v>
      </c>
      <c r="Z228" s="272">
        <f>IFERROR(IF(Z227="",0,Z227),"0")</f>
        <v>0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0</v>
      </c>
      <c r="Y229" s="272">
        <f>IFERROR(SUMPRODUCT(Y227:Y227*H227:H227),"0")</f>
        <v>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6"/>
      <c r="AB232" s="266"/>
      <c r="AC232" s="266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6"/>
      <c r="AB236" s="266"/>
      <c r="AC236" s="266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6"/>
      <c r="AB242" s="266"/>
      <c r="AC242" s="266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48</v>
      </c>
      <c r="Y248" s="271">
        <f>IFERROR(IF(X248="","",X248),"")</f>
        <v>48</v>
      </c>
      <c r="Z248" s="36">
        <f>IFERROR(IF(X248="","",X248*0.0155),"")</f>
        <v>0.74399999999999999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300.48</v>
      </c>
      <c r="BN248" s="67">
        <f>IFERROR(Y248*I248,"0")</f>
        <v>300.48</v>
      </c>
      <c r="BO248" s="67">
        <f>IFERROR(X248/J248,"0")</f>
        <v>0.5714285714285714</v>
      </c>
      <c r="BP248" s="67">
        <f>IFERROR(Y248/J248,"0")</f>
        <v>0.5714285714285714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48</v>
      </c>
      <c r="Y250" s="272">
        <f>IFERROR(SUM(Y248:Y249),"0")</f>
        <v>48</v>
      </c>
      <c r="Z250" s="272">
        <f>IFERROR(IF(Z248="",0,Z248),"0")+IFERROR(IF(Z249="",0,Z249),"0")</f>
        <v>0.74399999999999999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288</v>
      </c>
      <c r="Y251" s="272">
        <f>IFERROR(SUMPRODUCT(Y248:Y249*H248:H249),"0")</f>
        <v>288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6"/>
      <c r="AB252" s="266"/>
      <c r="AC252" s="266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96</v>
      </c>
      <c r="Y254" s="271">
        <f>IFERROR(IF(X254="","",X254),"")</f>
        <v>96</v>
      </c>
      <c r="Z254" s="36">
        <f>IFERROR(IF(X254="","",X254*0.0155),"")</f>
        <v>1.488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502.56000000000006</v>
      </c>
      <c r="BN254" s="67">
        <f>IFERROR(Y254*I254,"0")</f>
        <v>502.56000000000006</v>
      </c>
      <c r="BO254" s="67">
        <f>IFERROR(X254/J254,"0")</f>
        <v>1.1428571428571428</v>
      </c>
      <c r="BP254" s="67">
        <f>IFERROR(Y254/J254,"0")</f>
        <v>1.1428571428571428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0</v>
      </c>
      <c r="Y255" s="271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96</v>
      </c>
      <c r="Y256" s="272">
        <f>IFERROR(SUM(Y253:Y255),"0")</f>
        <v>96</v>
      </c>
      <c r="Z256" s="272">
        <f>IFERROR(IF(Z253="",0,Z253),"0")+IFERROR(IF(Z254="",0,Z254),"0")+IFERROR(IF(Z255="",0,Z255),"0")</f>
        <v>1.488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480</v>
      </c>
      <c r="Y257" s="272">
        <f>IFERROR(SUMPRODUCT(Y253:Y255*H253:H255),"0")</f>
        <v>480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6"/>
      <c r="AB258" s="266"/>
      <c r="AC258" s="266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42</v>
      </c>
      <c r="Y259" s="271">
        <f t="shared" ref="Y259:Y268" si="18">IFERROR(IF(X259="","",X259),"")</f>
        <v>42</v>
      </c>
      <c r="Z259" s="36">
        <f>IFERROR(IF(X259="","",X259*0.00936),"")</f>
        <v>0.39312000000000002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134.06400000000002</v>
      </c>
      <c r="BN259" s="67">
        <f t="shared" ref="BN259:BN268" si="20">IFERROR(Y259*I259,"0")</f>
        <v>134.06400000000002</v>
      </c>
      <c r="BO259" s="67">
        <f t="shared" ref="BO259:BO268" si="21">IFERROR(X259/J259,"0")</f>
        <v>0.33333333333333331</v>
      </c>
      <c r="BP259" s="67">
        <f t="shared" ref="BP259:BP268" si="22">IFERROR(Y259/J259,"0")</f>
        <v>0.33333333333333331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140</v>
      </c>
      <c r="Y260" s="271">
        <f t="shared" si="18"/>
        <v>140</v>
      </c>
      <c r="Z260" s="36">
        <f>IFERROR(IF(X260="","",X260*0.00936),"")</f>
        <v>1.3104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544.88</v>
      </c>
      <c r="BN260" s="67">
        <f t="shared" si="20"/>
        <v>544.88</v>
      </c>
      <c r="BO260" s="67">
        <f t="shared" si="21"/>
        <v>1.1111111111111112</v>
      </c>
      <c r="BP260" s="67">
        <f t="shared" si="22"/>
        <v>1.1111111111111112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154</v>
      </c>
      <c r="Y262" s="271">
        <f t="shared" si="18"/>
        <v>154</v>
      </c>
      <c r="Z262" s="36">
        <f t="shared" ref="Z262:Z267" si="23">IFERROR(IF(X262="","",X262*0.00936),"")</f>
        <v>1.4414400000000001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491.56800000000004</v>
      </c>
      <c r="BN262" s="67">
        <f t="shared" si="20"/>
        <v>491.56800000000004</v>
      </c>
      <c r="BO262" s="67">
        <f t="shared" si="21"/>
        <v>1.2222222222222223</v>
      </c>
      <c r="BP262" s="67">
        <f t="shared" si="22"/>
        <v>1.2222222222222223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336</v>
      </c>
      <c r="Y269" s="272">
        <f>IFERROR(SUM(Y259:Y268),"0")</f>
        <v>336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3.1449600000000002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1106</v>
      </c>
      <c r="Y270" s="272">
        <f>IFERROR(SUMPRODUCT(Y259:Y268*H259:H268),"0")</f>
        <v>1106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11303.12</v>
      </c>
      <c r="Y271" s="272">
        <f>IFERROR(Y29+Y35+Y42+Y49+Y57+Y62+Y66+Y71+Y77+Y83+Y88+Y94+Y104+Y110+Y123+Y127+Y131+Y137+Y143+Y149+Y154+Y159+Y164+Y169+Y176+Y184+Y188+Y194+Y202+Y207+Y212+Y217+Y223+Y229+Y235+Y239+Y246+Y251+Y257+Y270,"0")</f>
        <v>11303.12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12565.144</v>
      </c>
      <c r="Y272" s="272">
        <f>IFERROR(SUM(BN22:BN268),"0")</f>
        <v>12565.144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35</v>
      </c>
      <c r="Y273" s="38">
        <f>ROUNDUP(SUM(BP22:BP268),0)</f>
        <v>35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13440.144</v>
      </c>
      <c r="Y274" s="272">
        <f>GrossWeightTotalR+PalletQtyTotalR*25</f>
        <v>13440.144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2794</v>
      </c>
      <c r="Y275" s="272">
        <f>IFERROR(Y28+Y34+Y41+Y48+Y56+Y61+Y65+Y70+Y76+Y82+Y87+Y93+Y103+Y109+Y122+Y126+Y130+Y136+Y142+Y148+Y153+Y158+Y163+Y168+Y175+Y183+Y187+Y193+Y201+Y206+Y211+Y216+Y222+Y228+Y234+Y238+Y245+Y250+Y256+Y269,"0")</f>
        <v>2794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43.466880000000003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7" t="s">
        <v>252</v>
      </c>
      <c r="W278" s="267" t="s">
        <v>260</v>
      </c>
      <c r="X278" s="290" t="s">
        <v>279</v>
      </c>
      <c r="Y278" s="368"/>
      <c r="Z278" s="369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8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8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8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172.8</v>
      </c>
      <c r="C281" s="46">
        <f>IFERROR(X32*H32,"0")+IFERROR(X33*H33,"0")</f>
        <v>76.800000000000011</v>
      </c>
      <c r="D281" s="46">
        <f>IFERROR(X39*H39,"0")+IFERROR(X40*H40,"0")</f>
        <v>210</v>
      </c>
      <c r="E281" s="46">
        <f>IFERROR(X45*H45,"0")+IFERROR(X46*H46,"0")+IFERROR(X47*H47,"0")</f>
        <v>134.39999999999998</v>
      </c>
      <c r="F281" s="46">
        <f>IFERROR(X52*H52,"0")+IFERROR(X53*H53,"0")+IFERROR(X54*H54,"0")+IFERROR(X55*H55,"0")</f>
        <v>1008</v>
      </c>
      <c r="G281" s="46">
        <f>IFERROR(X60*H60,"0")+IFERROR(X64*H64,"0")+IFERROR(X68*H68,"0")+IFERROR(X69*H69,"0")+IFERROR(X73*H73,"0")+IFERROR(X74*H74,"0")+IFERROR(X75*H75,"0")</f>
        <v>33.6</v>
      </c>
      <c r="H281" s="46">
        <f>IFERROR(X80*H80,"0")+IFERROR(X81*H81,"0")</f>
        <v>0</v>
      </c>
      <c r="I281" s="46">
        <f>IFERROR(X86*H86,"0")</f>
        <v>100.8</v>
      </c>
      <c r="J281" s="46">
        <f>IFERROR(X91*H91,"0")+IFERROR(X92*H92,"0")</f>
        <v>201.6</v>
      </c>
      <c r="K281" s="46">
        <f>IFERROR(X97*H97,"0")+IFERROR(X98*H98,"0")+IFERROR(X99*H99,"0")+IFERROR(X100*H100,"0")+IFERROR(X101*H101,"0")+IFERROR(X102*H102,"0")</f>
        <v>703.92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3528.96</v>
      </c>
      <c r="N281" s="268"/>
      <c r="O281" s="46">
        <f>IFERROR(X134*H134,"0")+IFERROR(X135*H135,"0")</f>
        <v>1302</v>
      </c>
      <c r="P281" s="46">
        <f>IFERROR(X140*H140,"0")+IFERROR(X141*H141,"0")</f>
        <v>420</v>
      </c>
      <c r="Q281" s="46">
        <f>IFERROR(X146*H146,"0")+IFERROR(X147*H147,"0")</f>
        <v>302.40000000000003</v>
      </c>
      <c r="R281" s="46">
        <f>IFERROR(X152*H152,"0")</f>
        <v>84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0</v>
      </c>
      <c r="W281" s="46">
        <f>IFERROR(X180*H180,"0")+IFERROR(X181*H181,"0")+IFERROR(X182*H182,"0")+IFERROR(X186*H186,"0")</f>
        <v>966</v>
      </c>
      <c r="X281" s="46">
        <f>IFERROR(X192*H192,"0")+IFERROR(X196*H196,"0")+IFERROR(X197*H197,"0")+IFERROR(X198*H198,"0")+IFERROR(X199*H199,"0")+IFERROR(X200*H200,"0")</f>
        <v>33.6</v>
      </c>
      <c r="Y281" s="46">
        <f>IFERROR(X205*H205,"0")</f>
        <v>120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1874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5004</v>
      </c>
      <c r="B284" s="60">
        <f>SUMPRODUCT(--(BB:BB="ПГП"),--(W:W="кор"),H:H,Y:Y)+SUMPRODUCT(--(BB:BB="ПГП"),--(W:W="кг"),Y:Y)</f>
        <v>6299.1200000000008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P187:V187"/>
    <mergeCell ref="P223:V223"/>
    <mergeCell ref="P102:T102"/>
    <mergeCell ref="A247:Z247"/>
    <mergeCell ref="A185:Z185"/>
    <mergeCell ref="P196:T196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Y279:Y280"/>
    <mergeCell ref="D140:E140"/>
    <mergeCell ref="D267:E267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F279:F280"/>
    <mergeCell ref="E279:E280"/>
    <mergeCell ref="P271:V271"/>
    <mergeCell ref="P98:T98"/>
    <mergeCell ref="D146:E146"/>
    <mergeCell ref="P162:T162"/>
    <mergeCell ref="Q279:Q280"/>
    <mergeCell ref="S279:S280"/>
    <mergeCell ref="P149:V149"/>
    <mergeCell ref="A145:Z145"/>
    <mergeCell ref="A139:Z139"/>
    <mergeCell ref="D74:E74"/>
    <mergeCell ref="A203:Z203"/>
    <mergeCell ref="D68:E68"/>
    <mergeCell ref="P126:V126"/>
    <mergeCell ref="P260:T260"/>
    <mergeCell ref="A206:O207"/>
    <mergeCell ref="P71:V71"/>
    <mergeCell ref="A138:Z138"/>
    <mergeCell ref="P202:V202"/>
    <mergeCell ref="P115:T115"/>
    <mergeCell ref="D254:E254"/>
    <mergeCell ref="A153:O154"/>
    <mergeCell ref="A133:Z133"/>
    <mergeCell ref="D125:E125"/>
    <mergeCell ref="D279:D280"/>
    <mergeCell ref="P141:T141"/>
    <mergeCell ref="P233:T233"/>
    <mergeCell ref="D114:E11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P28:V28"/>
    <mergeCell ref="A67:Z67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A232:Z232"/>
    <mergeCell ref="D80:E80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P136:V136"/>
    <mergeCell ref="L279:L280"/>
    <mergeCell ref="P62:V62"/>
    <mergeCell ref="P127:V127"/>
    <mergeCell ref="A5:C5"/>
    <mergeCell ref="A17:A18"/>
    <mergeCell ref="K17:K18"/>
    <mergeCell ref="A189:Z189"/>
    <mergeCell ref="C17:C18"/>
    <mergeCell ref="D180:E180"/>
    <mergeCell ref="D9:E9"/>
    <mergeCell ref="P197:T197"/>
    <mergeCell ref="A183:O184"/>
    <mergeCell ref="D118:E118"/>
    <mergeCell ref="P53:T53"/>
    <mergeCell ref="D167:E167"/>
    <mergeCell ref="F9:G9"/>
    <mergeCell ref="P238:V238"/>
    <mergeCell ref="P264:T264"/>
    <mergeCell ref="P68:T68"/>
    <mergeCell ref="Z279:Z280"/>
    <mergeCell ref="D27:E27"/>
    <mergeCell ref="P15:T16"/>
    <mergeCell ref="P23:T23"/>
    <mergeCell ref="P228:V228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A12:M12"/>
    <mergeCell ref="A240:Z240"/>
    <mergeCell ref="P74:T74"/>
    <mergeCell ref="A190:Z190"/>
    <mergeCell ref="A19:Z19"/>
    <mergeCell ref="D182:E182"/>
    <mergeCell ref="A14:M14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P268:T268"/>
    <mergeCell ref="P97:T97"/>
    <mergeCell ref="P130:V13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B279:B280"/>
    <mergeCell ref="P274:V274"/>
    <mergeCell ref="D214:E214"/>
    <mergeCell ref="P222:V222"/>
    <mergeCell ref="P193:V193"/>
    <mergeCell ref="P246:V246"/>
    <mergeCell ref="P120:T120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244:T244"/>
    <mergeCell ref="P73:T73"/>
    <mergeCell ref="D174:E174"/>
    <mergeCell ref="P87:V87"/>
    <mergeCell ref="P245:V245"/>
    <mergeCell ref="H9:I9"/>
    <mergeCell ref="D45:E45"/>
    <mergeCell ref="P211:V211"/>
    <mergeCell ref="A36:Z36"/>
    <mergeCell ref="D53:E53"/>
    <mergeCell ref="D47:E47"/>
    <mergeCell ref="A50:Z50"/>
    <mergeCell ref="W17:W18"/>
    <mergeCell ref="P154:V154"/>
    <mergeCell ref="A150:Z150"/>
    <mergeCell ref="A144:Z144"/>
    <mergeCell ref="D129:E129"/>
    <mergeCell ref="D147:E147"/>
    <mergeCell ref="A187:O188"/>
    <mergeCell ref="P116:T116"/>
    <mergeCell ref="A105:Z105"/>
    <mergeCell ref="P32:T32"/>
    <mergeCell ref="D26:E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