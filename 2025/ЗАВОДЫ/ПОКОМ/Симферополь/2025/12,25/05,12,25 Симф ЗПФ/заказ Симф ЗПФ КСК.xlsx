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982467CD-DC3D-4B88-A99D-463C0FE1C0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Y270" i="1" s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Z245" i="1" s="1"/>
  <c r="Y244" i="1"/>
  <c r="P244" i="1"/>
  <c r="BO243" i="1"/>
  <c r="BM243" i="1"/>
  <c r="Z243" i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P181" i="1"/>
  <c r="BO180" i="1"/>
  <c r="BM180" i="1"/>
  <c r="Z180" i="1"/>
  <c r="Y180" i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Y136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Z122" i="1" s="1"/>
  <c r="Y113" i="1"/>
  <c r="BP113" i="1" s="1"/>
  <c r="P113" i="1"/>
  <c r="X110" i="1"/>
  <c r="X109" i="1"/>
  <c r="BO108" i="1"/>
  <c r="BM108" i="1"/>
  <c r="Z108" i="1"/>
  <c r="Y108" i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P97" i="1"/>
  <c r="X94" i="1"/>
  <c r="X93" i="1"/>
  <c r="BO92" i="1"/>
  <c r="BM92" i="1"/>
  <c r="Z92" i="1"/>
  <c r="Y92" i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BN52" i="1" s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X271" i="1" l="1"/>
  <c r="Y34" i="1"/>
  <c r="BN33" i="1"/>
  <c r="Z56" i="1"/>
  <c r="Y71" i="1"/>
  <c r="BN69" i="1"/>
  <c r="Z82" i="1"/>
  <c r="BN80" i="1"/>
  <c r="Z201" i="1"/>
  <c r="BN113" i="1"/>
  <c r="Y29" i="1"/>
  <c r="BP22" i="1"/>
  <c r="BN22" i="1"/>
  <c r="BP24" i="1"/>
  <c r="BN24" i="1"/>
  <c r="BP26" i="1"/>
  <c r="BN26" i="1"/>
  <c r="Y41" i="1"/>
  <c r="BN39" i="1"/>
  <c r="Y49" i="1"/>
  <c r="BP45" i="1"/>
  <c r="BN45" i="1"/>
  <c r="BP47" i="1"/>
  <c r="BN47" i="1"/>
  <c r="BP54" i="1"/>
  <c r="BN54" i="1"/>
  <c r="Y77" i="1"/>
  <c r="BP73" i="1"/>
  <c r="BN73" i="1"/>
  <c r="BP75" i="1"/>
  <c r="BN75" i="1"/>
  <c r="BP92" i="1"/>
  <c r="BN92" i="1"/>
  <c r="BP108" i="1"/>
  <c r="BN108" i="1"/>
  <c r="Y127" i="1"/>
  <c r="BP125" i="1"/>
  <c r="BN125" i="1"/>
  <c r="Y148" i="1"/>
  <c r="BP146" i="1"/>
  <c r="BN146" i="1"/>
  <c r="Y184" i="1"/>
  <c r="BP180" i="1"/>
  <c r="BN180" i="1"/>
  <c r="BP182" i="1"/>
  <c r="BN182" i="1"/>
  <c r="BP197" i="1"/>
  <c r="BN197" i="1"/>
  <c r="BP199" i="1"/>
  <c r="BN199" i="1"/>
  <c r="BP40" i="1"/>
  <c r="BN40" i="1"/>
  <c r="Y246" i="1"/>
  <c r="Z28" i="1"/>
  <c r="X275" i="1"/>
  <c r="Z34" i="1"/>
  <c r="Z48" i="1"/>
  <c r="Y56" i="1"/>
  <c r="Z70" i="1"/>
  <c r="Z76" i="1"/>
  <c r="Y82" i="1"/>
  <c r="Y94" i="1"/>
  <c r="Y103" i="1"/>
  <c r="Y110" i="1"/>
  <c r="Y123" i="1"/>
  <c r="Z136" i="1"/>
  <c r="Z142" i="1"/>
  <c r="Z148" i="1"/>
  <c r="Z175" i="1"/>
  <c r="Z183" i="1"/>
  <c r="Y202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BN243" i="1"/>
  <c r="BP243" i="1"/>
  <c r="Z256" i="1"/>
  <c r="BN253" i="1"/>
  <c r="BP253" i="1"/>
  <c r="BN255" i="1"/>
  <c r="Y269" i="1"/>
  <c r="H9" i="1"/>
  <c r="A10" i="1"/>
  <c r="X272" i="1"/>
  <c r="X273" i="1"/>
  <c r="BN23" i="1"/>
  <c r="BN25" i="1"/>
  <c r="BN27" i="1"/>
  <c r="Y28" i="1"/>
  <c r="BN32" i="1"/>
  <c r="BP32" i="1"/>
  <c r="Y35" i="1"/>
  <c r="Y42" i="1"/>
  <c r="BP39" i="1"/>
  <c r="F9" i="1"/>
  <c r="J9" i="1"/>
  <c r="Y48" i="1"/>
  <c r="BP52" i="1"/>
  <c r="Y57" i="1"/>
  <c r="Y62" i="1"/>
  <c r="Y66" i="1"/>
  <c r="Y70" i="1"/>
  <c r="Y76" i="1"/>
  <c r="Y83" i="1"/>
  <c r="Y88" i="1"/>
  <c r="Y93" i="1"/>
  <c r="Y104" i="1"/>
  <c r="Y109" i="1"/>
  <c r="Y122" i="1"/>
  <c r="Y126" i="1"/>
  <c r="BN129" i="1"/>
  <c r="BP129" i="1"/>
  <c r="Y130" i="1"/>
  <c r="BN134" i="1"/>
  <c r="BP134" i="1"/>
  <c r="Y137" i="1"/>
  <c r="BN141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Z250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BN140" i="1"/>
  <c r="BP140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Z276" i="1" l="1"/>
  <c r="Y272" i="1"/>
  <c r="Y271" i="1"/>
  <c r="Y273" i="1"/>
  <c r="Y275" i="1"/>
  <c r="X274" i="1"/>
  <c r="C284" i="1" l="1"/>
  <c r="Y274" i="1"/>
  <c r="A284" i="1" s="1"/>
  <c r="B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<sst xmlns="http://schemas.openxmlformats.org/spreadsheetml/2006/main" count="1231" uniqueCount="397">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</sst>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57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4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4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2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7" t="str">
        <f>IFERROR(VLOOKUP($D$10,Proxy,2,FALSE),"")</f>
        <v/>
      </c>
      <c r="I10" s="288"/>
      <c r="J10" s="288"/>
      <c r="K10" s="288"/>
      <c r="L10" s="288"/>
      <c r="M10" s="288"/>
      <c r="N10" s="263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4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6"/>
      <c r="AB18" s="396"/>
      <c r="AC18" s="396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36</v>
      </c>
      <c r="Y24" s="271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36</v>
      </c>
      <c r="Y28" s="272">
        <f>IFERROR(SUM(Y22:Y27),"0")</f>
        <v>36</v>
      </c>
      <c r="Z28" s="272">
        <f>IFERROR(IF(Z22="",0,Z22),"0")+IFERROR(IF(Z23="",0,Z23),"0")+IFERROR(IF(Z24="",0,Z24),"0")+IFERROR(IF(Z25="",0,Z25),"0")+IFERROR(IF(Z26="",0,Z26),"0")+IFERROR(IF(Z27="",0,Z27),"0")</f>
        <v>0.55800000000000005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259.2</v>
      </c>
      <c r="Y29" s="272">
        <f>IFERROR(SUMPRODUCT(Y22:Y27*H22:H27),"0")</f>
        <v>259.2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48</v>
      </c>
      <c r="Y52" s="271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72</v>
      </c>
      <c r="Y53" s="271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524.59199999999998</v>
      </c>
      <c r="BN53" s="67">
        <f>IFERROR(Y53*I53,"0")</f>
        <v>524.59199999999998</v>
      </c>
      <c r="BO53" s="67">
        <f>IFERROR(X53/J53,"0")</f>
        <v>0.8571428571428571</v>
      </c>
      <c r="BP53" s="67">
        <f>IFERROR(Y53/J53,"0")</f>
        <v>0.8571428571428571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48</v>
      </c>
      <c r="Y55" s="271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168</v>
      </c>
      <c r="Y56" s="272">
        <f>IFERROR(SUM(Y52:Y55),"0")</f>
        <v>168</v>
      </c>
      <c r="Z56" s="272">
        <f>IFERROR(IF(Z52="",0,Z52),"0")+IFERROR(IF(Z53="",0,Z53),"0")+IFERROR(IF(Z54="",0,Z54),"0")+IFERROR(IF(Z55="",0,Z55),"0")</f>
        <v>2.6040000000000001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1176</v>
      </c>
      <c r="Y57" s="272">
        <f>IFERROR(SUMPRODUCT(Y52:Y55*H52:H55),"0")</f>
        <v>1176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14</v>
      </c>
      <c r="Y75" s="271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144</v>
      </c>
      <c r="Y81" s="271">
        <f>IFERROR(IF(X81="","",X81),"")</f>
        <v>144</v>
      </c>
      <c r="Z81" s="36">
        <f>IFERROR(IF(X81="","",X81*0.00866),"")</f>
        <v>1.2470399999999999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750.70079999999996</v>
      </c>
      <c r="BN81" s="67">
        <f>IFERROR(Y81*I81,"0")</f>
        <v>750.70079999999996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144</v>
      </c>
      <c r="Y82" s="272">
        <f>IFERROR(SUM(Y80:Y81),"0")</f>
        <v>144</v>
      </c>
      <c r="Z82" s="272">
        <f>IFERROR(IF(Z80="",0,Z80),"0")+IFERROR(IF(Z81="",0,Z81),"0")</f>
        <v>1.2470399999999999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720</v>
      </c>
      <c r="Y83" s="272">
        <f>IFERROR(SUMPRODUCT(Y80:Y81*H80:H81),"0")</f>
        <v>720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0</v>
      </c>
      <c r="Y91" s="271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28</v>
      </c>
      <c r="Y93" s="272">
        <f>IFERROR(SUM(Y91:Y92),"0")</f>
        <v>28</v>
      </c>
      <c r="Z93" s="272">
        <f>IFERROR(IF(Z91="",0,Z91),"0")+IFERROR(IF(Z92="",0,Z92),"0")</f>
        <v>0.50063999999999997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100.8</v>
      </c>
      <c r="Y94" s="272">
        <f>IFERROR(SUMPRODUCT(Y91:Y92*H91:H92),"0")</f>
        <v>100.8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70</v>
      </c>
      <c r="Y100" s="271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168</v>
      </c>
      <c r="Y103" s="272">
        <f>IFERROR(SUM(Y97:Y102),"0")</f>
        <v>168</v>
      </c>
      <c r="Z103" s="272">
        <f>IFERROR(IF(Z97="",0,Z97),"0")+IFERROR(IF(Z98="",0,Z98),"0")+IFERROR(IF(Z99="",0,Z99),"0")+IFERROR(IF(Z100="",0,Z100),"0")+IFERROR(IF(Z101="",0,Z101),"0")+IFERROR(IF(Z102="",0,Z102),"0")</f>
        <v>3.0038399999999998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502.32</v>
      </c>
      <c r="Y104" s="272">
        <f>IFERROR(SUMPRODUCT(Y97:Y102*H97:H102),"0")</f>
        <v>502.32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0</v>
      </c>
      <c r="Y107" s="271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0</v>
      </c>
      <c r="Y109" s="272">
        <f>IFERROR(SUM(Y107:Y108),"0")</f>
        <v>0</v>
      </c>
      <c r="Z109" s="272">
        <f>IFERROR(IF(Z107="",0,Z107),"0")+IFERROR(IF(Z108="",0,Z108),"0")</f>
        <v>0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0</v>
      </c>
      <c r="Y110" s="272">
        <f>IFERROR(SUMPRODUCT(Y107:Y108*H107:H108),"0")</f>
        <v>0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24</v>
      </c>
      <c r="Y113" s="271">
        <f t="shared" ref="Y113:Y121" si="12">IFERROR(IF(X113="","",X113),"")</f>
        <v>24</v>
      </c>
      <c r="Z113" s="36">
        <f t="shared" ref="Z113:Z121" si="13">IFERROR(IF(X113="","",X113*0.0155),"")</f>
        <v>0.372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161.04</v>
      </c>
      <c r="BN113" s="67">
        <f t="shared" ref="BN113:BN121" si="15">IFERROR(Y113*I113,"0")</f>
        <v>161.04</v>
      </c>
      <c r="BO113" s="67">
        <f t="shared" ref="BO113:BO121" si="16">IFERROR(X113/J113,"0")</f>
        <v>0.2857142857142857</v>
      </c>
      <c r="BP113" s="67">
        <f t="shared" ref="BP113:BP121" si="17">IFERROR(Y113/J113,"0")</f>
        <v>0.2857142857142857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24</v>
      </c>
      <c r="Y114" s="271">
        <f t="shared" si="12"/>
        <v>24</v>
      </c>
      <c r="Z114" s="36">
        <f t="shared" si="13"/>
        <v>0.372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144</v>
      </c>
      <c r="Y116" s="271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48</v>
      </c>
      <c r="Y118" s="271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204</v>
      </c>
      <c r="Y119" s="271">
        <f t="shared" si="12"/>
        <v>204</v>
      </c>
      <c r="Z119" s="36">
        <f t="shared" si="13"/>
        <v>3.1619999999999999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24</v>
      </c>
      <c r="Y121" s="271">
        <f t="shared" si="12"/>
        <v>24</v>
      </c>
      <c r="Z121" s="36">
        <f t="shared" si="13"/>
        <v>0.372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173.52</v>
      </c>
      <c r="BN121" s="67">
        <f t="shared" si="15"/>
        <v>173.52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504</v>
      </c>
      <c r="Y122" s="272">
        <f>IFERROR(SUM(Y113:Y121),"0")</f>
        <v>504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7.8120000000000003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3463.2</v>
      </c>
      <c r="Y123" s="272">
        <f>IFERROR(SUMPRODUCT(Y113:Y121*H113:H121),"0")</f>
        <v>3463.2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6"/>
      <c r="AB124" s="266"/>
      <c r="AC124" s="266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6"/>
      <c r="AB128" s="266"/>
      <c r="AC128" s="266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112</v>
      </c>
      <c r="Y134" s="271">
        <f>IFERROR(IF(X134="","",X134),"")</f>
        <v>112</v>
      </c>
      <c r="Z134" s="36">
        <f>IFERROR(IF(X134="","",X134*0.01788),"")</f>
        <v>2.0025599999999999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414.80319999999995</v>
      </c>
      <c r="BN134" s="67">
        <f>IFERROR(Y134*I134,"0")</f>
        <v>414.80319999999995</v>
      </c>
      <c r="BO134" s="67">
        <f>IFERROR(X134/J134,"0")</f>
        <v>1.6</v>
      </c>
      <c r="BP134" s="67">
        <f>IFERROR(Y134/J134,"0")</f>
        <v>1.6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210</v>
      </c>
      <c r="Y135" s="271">
        <f>IFERROR(IF(X135="","",X135),"")</f>
        <v>210</v>
      </c>
      <c r="Z135" s="36">
        <f>IFERROR(IF(X135="","",X135*0.01788),"")</f>
        <v>3.7547999999999999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777.75599999999997</v>
      </c>
      <c r="BN135" s="67">
        <f>IFERROR(Y135*I135,"0")</f>
        <v>777.75599999999997</v>
      </c>
      <c r="BO135" s="67">
        <f>IFERROR(X135/J135,"0")</f>
        <v>3</v>
      </c>
      <c r="BP135" s="67">
        <f>IFERROR(Y135/J135,"0")</f>
        <v>3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322</v>
      </c>
      <c r="Y136" s="272">
        <f>IFERROR(SUM(Y134:Y135),"0")</f>
        <v>322</v>
      </c>
      <c r="Z136" s="272">
        <f>IFERROR(IF(Z134="",0,Z134),"0")+IFERROR(IF(Z135="",0,Z135),"0")</f>
        <v>5.7573600000000003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966</v>
      </c>
      <c r="Y137" s="272">
        <f>IFERROR(SUMPRODUCT(Y134:Y135*H134:H135),"0")</f>
        <v>966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56</v>
      </c>
      <c r="Y147" s="271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201.60000000000002</v>
      </c>
      <c r="Y149" s="272">
        <f>IFERROR(SUMPRODUCT(Y146:Y147*H146:H147),"0")</f>
        <v>201.60000000000002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6"/>
      <c r="AB156" s="266"/>
      <c r="AC156" s="266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14</v>
      </c>
      <c r="Y157" s="271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14</v>
      </c>
      <c r="Y158" s="272">
        <f>IFERROR(SUM(Y157:Y157),"0")</f>
        <v>14</v>
      </c>
      <c r="Z158" s="272">
        <f>IFERROR(IF(Z157="",0,Z157),"0")</f>
        <v>0.13103999999999999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37.800000000000004</v>
      </c>
      <c r="Y159" s="272">
        <f>IFERROR(SUMPRODUCT(Y157:Y157*H157:H157),"0")</f>
        <v>37.800000000000004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6"/>
      <c r="AB161" s="266"/>
      <c r="AC161" s="266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6"/>
      <c r="AB166" s="266"/>
      <c r="AC166" s="266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6"/>
      <c r="AB172" s="266"/>
      <c r="AC172" s="266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108</v>
      </c>
      <c r="Y174" s="271">
        <f>IFERROR(IF(X174="","",X174),"")</f>
        <v>108</v>
      </c>
      <c r="Z174" s="36">
        <f>IFERROR(IF(X174="","",X174*0.00866),"")</f>
        <v>0.93527999999999989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563.02559999999994</v>
      </c>
      <c r="BN174" s="67">
        <f>IFERROR(Y174*I174,"0")</f>
        <v>563.02559999999994</v>
      </c>
      <c r="BO174" s="67">
        <f>IFERROR(X174/J174,"0")</f>
        <v>0.75</v>
      </c>
      <c r="BP174" s="67">
        <f>IFERROR(Y174/J174,"0")</f>
        <v>0.75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108</v>
      </c>
      <c r="Y175" s="272">
        <f>IFERROR(SUM(Y173:Y174),"0")</f>
        <v>108</v>
      </c>
      <c r="Z175" s="272">
        <f>IFERROR(IF(Z173="",0,Z173),"0")+IFERROR(IF(Z174="",0,Z174),"0")</f>
        <v>0.93527999999999989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540</v>
      </c>
      <c r="Y176" s="272">
        <f>IFERROR(SUMPRODUCT(Y173:Y174*H173:H174),"0")</f>
        <v>540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126</v>
      </c>
      <c r="Y180" s="271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98</v>
      </c>
      <c r="Y181" s="271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70</v>
      </c>
      <c r="Y182" s="271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294</v>
      </c>
      <c r="Y183" s="272">
        <f>IFERROR(SUM(Y180:Y182),"0")</f>
        <v>294</v>
      </c>
      <c r="Z183" s="272">
        <f>IFERROR(IF(Z180="",0,Z180),"0")+IFERROR(IF(Z181="",0,Z181),"0")+IFERROR(IF(Z182="",0,Z182),"0")</f>
        <v>5.2567199999999996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882</v>
      </c>
      <c r="Y184" s="272">
        <f>IFERROR(SUMPRODUCT(Y180:Y182*H180:H182),"0")</f>
        <v>882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6"/>
      <c r="AB185" s="266"/>
      <c r="AC185" s="266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6"/>
      <c r="AB191" s="266"/>
      <c r="AC191" s="266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72</v>
      </c>
      <c r="Y205" s="271">
        <f>IFERROR(IF(X205="","",X205),"")</f>
        <v>72</v>
      </c>
      <c r="Z205" s="36">
        <f>IFERROR(IF(X205="","",X205*0.0155),"")</f>
        <v>1.1160000000000001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376.56000000000006</v>
      </c>
      <c r="BN205" s="67">
        <f>IFERROR(Y205*I205,"0")</f>
        <v>376.56000000000006</v>
      </c>
      <c r="BO205" s="67">
        <f>IFERROR(X205/J205,"0")</f>
        <v>0.8571428571428571</v>
      </c>
      <c r="BP205" s="67">
        <f>IFERROR(Y205/J205,"0")</f>
        <v>0.8571428571428571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72</v>
      </c>
      <c r="Y206" s="272">
        <f>IFERROR(SUM(Y205:Y205),"0")</f>
        <v>72</v>
      </c>
      <c r="Z206" s="272">
        <f>IFERROR(IF(Z205="",0,Z205),"0")</f>
        <v>1.1160000000000001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360</v>
      </c>
      <c r="Y207" s="272">
        <f>IFERROR(SUMPRODUCT(Y205:Y205*H205:H205),"0")</f>
        <v>360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6"/>
      <c r="AB209" s="266"/>
      <c r="AC209" s="266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6"/>
      <c r="AB213" s="266"/>
      <c r="AC213" s="266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6"/>
      <c r="AB220" s="266"/>
      <c r="AC220" s="266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6"/>
      <c r="AB226" s="266"/>
      <c r="AC226" s="266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6"/>
      <c r="AB232" s="266"/>
      <c r="AC232" s="266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6"/>
      <c r="AB236" s="266"/>
      <c r="AC236" s="266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6"/>
      <c r="AB242" s="266"/>
      <c r="AC242" s="266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180</v>
      </c>
      <c r="Y248" s="271">
        <f>IFERROR(IF(X248="","",X248),"")</f>
        <v>180</v>
      </c>
      <c r="Z248" s="36">
        <f>IFERROR(IF(X248="","",X248*0.0155),"")</f>
        <v>2.79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1126.8</v>
      </c>
      <c r="BN248" s="67">
        <f>IFERROR(Y248*I248,"0")</f>
        <v>1126.8</v>
      </c>
      <c r="BO248" s="67">
        <f>IFERROR(X248/J248,"0")</f>
        <v>2.1428571428571428</v>
      </c>
      <c r="BP248" s="67">
        <f>IFERROR(Y248/J248,"0")</f>
        <v>2.1428571428571428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180</v>
      </c>
      <c r="Y250" s="272">
        <f>IFERROR(SUM(Y248:Y249),"0")</f>
        <v>180</v>
      </c>
      <c r="Z250" s="272">
        <f>IFERROR(IF(Z248="",0,Z248),"0")+IFERROR(IF(Z249="",0,Z249),"0")</f>
        <v>2.79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1080</v>
      </c>
      <c r="Y251" s="272">
        <f>IFERROR(SUMPRODUCT(Y248:Y249*H248:H249),"0")</f>
        <v>1080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6"/>
      <c r="AB252" s="266"/>
      <c r="AC252" s="266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252</v>
      </c>
      <c r="Y254" s="271">
        <f>IFERROR(IF(X254="","",X254),"")</f>
        <v>252</v>
      </c>
      <c r="Z254" s="36">
        <f>IFERROR(IF(X254="","",X254*0.0155),"")</f>
        <v>3.9060000000000001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1319.22</v>
      </c>
      <c r="BN254" s="67">
        <f>IFERROR(Y254*I254,"0")</f>
        <v>1319.22</v>
      </c>
      <c r="BO254" s="67">
        <f>IFERROR(X254/J254,"0")</f>
        <v>3</v>
      </c>
      <c r="BP254" s="67">
        <f>IFERROR(Y254/J254,"0")</f>
        <v>3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28</v>
      </c>
      <c r="Y255" s="271">
        <f>IFERROR(IF(X255="","",X255),"")</f>
        <v>28</v>
      </c>
      <c r="Z255" s="36">
        <f>IFERROR(IF(X255="","",X255*0.00936),"")</f>
        <v>0.26207999999999998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68.096000000000004</v>
      </c>
      <c r="BN255" s="67">
        <f>IFERROR(Y255*I255,"0")</f>
        <v>68.096000000000004</v>
      </c>
      <c r="BO255" s="67">
        <f>IFERROR(X255/J255,"0")</f>
        <v>0.22222222222222221</v>
      </c>
      <c r="BP255" s="67">
        <f>IFERROR(Y255/J255,"0")</f>
        <v>0.22222222222222221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280</v>
      </c>
      <c r="Y256" s="272">
        <f>IFERROR(SUM(Y253:Y255),"0")</f>
        <v>280</v>
      </c>
      <c r="Z256" s="272">
        <f>IFERROR(IF(Z253="",0,Z253),"0")+IFERROR(IF(Z254="",0,Z254),"0")+IFERROR(IF(Z255="",0,Z255),"0")</f>
        <v>4.1680799999999998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1322.72</v>
      </c>
      <c r="Y257" s="272">
        <f>IFERROR(SUMPRODUCT(Y253:Y255*H253:H255),"0")</f>
        <v>1322.72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6"/>
      <c r="AB258" s="266"/>
      <c r="AC258" s="266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0</v>
      </c>
      <c r="Y269" s="272">
        <f>IFERROR(SUM(Y259:Y268),"0")</f>
        <v>0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0</v>
      </c>
      <c r="Y270" s="272">
        <f>IFERROR(SUMPRODUCT(Y259:Y268*H259:H268),"0")</f>
        <v>0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12532.88</v>
      </c>
      <c r="Y271" s="272">
        <f>IFERROR(Y29+Y35+Y42+Y49+Y57+Y62+Y66+Y71+Y77+Y83+Y88+Y94+Y104+Y110+Y123+Y127+Y131+Y137+Y143+Y149+Y154+Y159+Y164+Y169+Y176+Y184+Y188+Y194+Y202+Y207+Y212+Y217+Y223+Y229+Y235+Y239+Y246+Y251+Y257+Y270,"0")</f>
        <v>12532.88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13649.739599999994</v>
      </c>
      <c r="Y272" s="272">
        <f>IFERROR(SUM(BN22:BN268),"0")</f>
        <v>13649.739599999994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34</v>
      </c>
      <c r="Y273" s="38">
        <f>ROUNDUP(SUM(BP22:BP268),0)</f>
        <v>34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14499.739599999994</v>
      </c>
      <c r="Y274" s="272">
        <f>GrossWeightTotalR+PalletQtyTotalR*25</f>
        <v>14499.739599999994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2776</v>
      </c>
      <c r="Y275" s="272">
        <f>IFERROR(Y28+Y34+Y41+Y48+Y56+Y61+Y65+Y70+Y76+Y82+Y87+Y93+Y103+Y109+Y122+Y126+Y130+Y136+Y142+Y148+Y153+Y158+Y163+Y168+Y175+Y183+Y187+Y193+Y201+Y206+Y211+Y216+Y222+Y228+Y234+Y238+Y245+Y250+Y256+Y269,"0")</f>
        <v>2776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42.58896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7" t="s">
        <v>252</v>
      </c>
      <c r="W278" s="267" t="s">
        <v>260</v>
      </c>
      <c r="X278" s="290" t="s">
        <v>279</v>
      </c>
      <c r="Y278" s="368"/>
      <c r="Z278" s="369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8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8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8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259.2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1176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720</v>
      </c>
      <c r="I281" s="46">
        <f>IFERROR(X86*H86,"0")</f>
        <v>50.4</v>
      </c>
      <c r="J281" s="46">
        <f>IFERROR(X91*H91,"0")+IFERROR(X92*H92,"0")</f>
        <v>100.8</v>
      </c>
      <c r="K281" s="46">
        <f>IFERROR(X97*H97,"0")+IFERROR(X98*H98,"0")+IFERROR(X99*H99,"0")+IFERROR(X100*H100,"0")+IFERROR(X101*H101,"0")+IFERROR(X102*H102,"0")</f>
        <v>502.32</v>
      </c>
      <c r="L281" s="46">
        <f>IFERROR(X107*H107,"0")+IFERROR(X108*H108,"0")</f>
        <v>0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3535.2</v>
      </c>
      <c r="N281" s="268"/>
      <c r="O281" s="46">
        <f>IFERROR(X134*H134,"0")+IFERROR(X135*H135,"0")</f>
        <v>966</v>
      </c>
      <c r="P281" s="46">
        <f>IFERROR(X140*H140,"0")+IFERROR(X141*H141,"0")</f>
        <v>336</v>
      </c>
      <c r="Q281" s="46">
        <f>IFERROR(X146*H146,"0")+IFERROR(X147*H147,"0")</f>
        <v>201.60000000000002</v>
      </c>
      <c r="R281" s="46">
        <f>IFERROR(X152*H152,"0")</f>
        <v>42</v>
      </c>
      <c r="S281" s="46">
        <f>IFERROR(X157*H157,"0")</f>
        <v>37.800000000000004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540</v>
      </c>
      <c r="W281" s="46">
        <f>IFERROR(X180*H180,"0")+IFERROR(X181*H181,"0")+IFERROR(X182*H182,"0")+IFERROR(X186*H186,"0")</f>
        <v>882</v>
      </c>
      <c r="X281" s="46">
        <f>IFERROR(X192*H192,"0")+IFERROR(X196*H196,"0")+IFERROR(X197*H197,"0")+IFERROR(X198*H198,"0")+IFERROR(X199*H199,"0")+IFERROR(X200*H200,"0")</f>
        <v>105.84</v>
      </c>
      <c r="Y281" s="46">
        <f>IFERROR(X205*H205,"0")</f>
        <v>360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2402.7199999999998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6585.6</v>
      </c>
      <c r="B284" s="60">
        <f>SUMPRODUCT(--(BB:BB="ПГП"),--(W:W="кор"),H:H,Y:Y)+SUMPRODUCT(--(BB:BB="ПГП"),--(W:W="кг"),Y:Y)</f>
        <v>5947.28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P187:V187"/>
    <mergeCell ref="P223:V223"/>
    <mergeCell ref="P102:T102"/>
    <mergeCell ref="A247:Z247"/>
    <mergeCell ref="A185:Z185"/>
    <mergeCell ref="P196:T196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Y279:Y280"/>
    <mergeCell ref="D140:E140"/>
    <mergeCell ref="D267:E267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F279:F280"/>
    <mergeCell ref="E279:E280"/>
    <mergeCell ref="P271:V271"/>
    <mergeCell ref="P98:T98"/>
    <mergeCell ref="D146:E146"/>
    <mergeCell ref="P162:T162"/>
    <mergeCell ref="Q279:Q280"/>
    <mergeCell ref="S279:S280"/>
    <mergeCell ref="P149:V149"/>
    <mergeCell ref="A145:Z145"/>
    <mergeCell ref="A139:Z139"/>
    <mergeCell ref="D74:E74"/>
    <mergeCell ref="A203:Z203"/>
    <mergeCell ref="D68:E68"/>
    <mergeCell ref="P126:V126"/>
    <mergeCell ref="P260:T260"/>
    <mergeCell ref="A206:O207"/>
    <mergeCell ref="P71:V71"/>
    <mergeCell ref="A138:Z138"/>
    <mergeCell ref="P202:V202"/>
    <mergeCell ref="P115:T115"/>
    <mergeCell ref="D254:E254"/>
    <mergeCell ref="A153:O154"/>
    <mergeCell ref="A133:Z133"/>
    <mergeCell ref="D125:E125"/>
    <mergeCell ref="D279:D280"/>
    <mergeCell ref="P141:T141"/>
    <mergeCell ref="P233:T233"/>
    <mergeCell ref="D114:E11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P28:V28"/>
    <mergeCell ref="A67:Z67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A232:Z232"/>
    <mergeCell ref="D80:E80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P136:V136"/>
    <mergeCell ref="L279:L280"/>
    <mergeCell ref="P62:V62"/>
    <mergeCell ref="P127:V127"/>
    <mergeCell ref="A5:C5"/>
    <mergeCell ref="A17:A18"/>
    <mergeCell ref="K17:K18"/>
    <mergeCell ref="A189:Z189"/>
    <mergeCell ref="C17:C18"/>
    <mergeCell ref="D180:E180"/>
    <mergeCell ref="D9:E9"/>
    <mergeCell ref="P197:T197"/>
    <mergeCell ref="A183:O184"/>
    <mergeCell ref="D118:E118"/>
    <mergeCell ref="P53:T53"/>
    <mergeCell ref="D167:E167"/>
    <mergeCell ref="F9:G9"/>
    <mergeCell ref="P238:V238"/>
    <mergeCell ref="P264:T264"/>
    <mergeCell ref="P68:T68"/>
    <mergeCell ref="Z279:Z280"/>
    <mergeCell ref="D27:E27"/>
    <mergeCell ref="P15:T16"/>
    <mergeCell ref="P23:T23"/>
    <mergeCell ref="P228:V228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A12:M12"/>
    <mergeCell ref="A240:Z240"/>
    <mergeCell ref="P74:T74"/>
    <mergeCell ref="A190:Z190"/>
    <mergeCell ref="A19:Z19"/>
    <mergeCell ref="D182:E182"/>
    <mergeCell ref="A14:M14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P268:T268"/>
    <mergeCell ref="P97:T97"/>
    <mergeCell ref="P130:V13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B279:B280"/>
    <mergeCell ref="P274:V274"/>
    <mergeCell ref="D214:E214"/>
    <mergeCell ref="P222:V222"/>
    <mergeCell ref="P193:V193"/>
    <mergeCell ref="P246:V246"/>
    <mergeCell ref="P120:T120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244:T244"/>
    <mergeCell ref="P73:T73"/>
    <mergeCell ref="D174:E174"/>
    <mergeCell ref="P87:V87"/>
    <mergeCell ref="P245:V245"/>
    <mergeCell ref="H9:I9"/>
    <mergeCell ref="D45:E45"/>
    <mergeCell ref="P211:V211"/>
    <mergeCell ref="A36:Z36"/>
    <mergeCell ref="D53:E53"/>
    <mergeCell ref="D47:E47"/>
    <mergeCell ref="A50:Z50"/>
    <mergeCell ref="W17:W18"/>
    <mergeCell ref="P154:V154"/>
    <mergeCell ref="A150:Z150"/>
    <mergeCell ref="A144:Z144"/>
    <mergeCell ref="D129:E129"/>
    <mergeCell ref="D147:E147"/>
    <mergeCell ref="A187:O188"/>
    <mergeCell ref="P116:T116"/>
    <mergeCell ref="A105:Z105"/>
    <mergeCell ref="P32:T32"/>
    <mergeCell ref="D26:E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