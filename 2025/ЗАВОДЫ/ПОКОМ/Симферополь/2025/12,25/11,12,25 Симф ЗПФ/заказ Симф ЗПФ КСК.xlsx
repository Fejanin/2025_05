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D648C210-62F4-4B1A-B585-C4300CD038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Y246" i="1"/>
  <c r="X246" i="1"/>
  <c r="Z245" i="1"/>
  <c r="X245" i="1"/>
  <c r="BO244" i="1"/>
  <c r="BM244" i="1"/>
  <c r="Z244" i="1"/>
  <c r="Y244" i="1"/>
  <c r="P244" i="1"/>
  <c r="BP243" i="1"/>
  <c r="BO243" i="1"/>
  <c r="BN243" i="1"/>
  <c r="BM243" i="1"/>
  <c r="Z243" i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Z216" i="1" s="1"/>
  <c r="Y214" i="1"/>
  <c r="P214" i="1"/>
  <c r="X212" i="1"/>
  <c r="Z211" i="1"/>
  <c r="X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1" i="1" s="1"/>
  <c r="Y197" i="1"/>
  <c r="P197" i="1"/>
  <c r="BO196" i="1"/>
  <c r="BM196" i="1"/>
  <c r="Z196" i="1"/>
  <c r="Y196" i="1"/>
  <c r="P196" i="1"/>
  <c r="Y194" i="1"/>
  <c r="X194" i="1"/>
  <c r="Z193" i="1"/>
  <c r="X193" i="1"/>
  <c r="BO192" i="1"/>
  <c r="BM192" i="1"/>
  <c r="Z192" i="1"/>
  <c r="Y192" i="1"/>
  <c r="P192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Y173" i="1"/>
  <c r="P173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X154" i="1"/>
  <c r="Z153" i="1"/>
  <c r="X153" i="1"/>
  <c r="BO152" i="1"/>
  <c r="BM152" i="1"/>
  <c r="Z152" i="1"/>
  <c r="Y152" i="1"/>
  <c r="P152" i="1"/>
  <c r="Y149" i="1"/>
  <c r="X149" i="1"/>
  <c r="Z148" i="1"/>
  <c r="X148" i="1"/>
  <c r="BO147" i="1"/>
  <c r="BM147" i="1"/>
  <c r="Z147" i="1"/>
  <c r="Y147" i="1"/>
  <c r="P147" i="1"/>
  <c r="BP146" i="1"/>
  <c r="BO146" i="1"/>
  <c r="BN146" i="1"/>
  <c r="BM146" i="1"/>
  <c r="Z146" i="1"/>
  <c r="Y146" i="1"/>
  <c r="Y148" i="1" s="1"/>
  <c r="P146" i="1"/>
  <c r="X143" i="1"/>
  <c r="X142" i="1"/>
  <c r="BO141" i="1"/>
  <c r="BM141" i="1"/>
  <c r="Z141" i="1"/>
  <c r="Y141" i="1"/>
  <c r="BP141" i="1" s="1"/>
  <c r="P141" i="1"/>
  <c r="BP140" i="1"/>
  <c r="BO140" i="1"/>
  <c r="BN140" i="1"/>
  <c r="BM140" i="1"/>
  <c r="Z140" i="1"/>
  <c r="Z142" i="1" s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Z126" i="1"/>
  <c r="X126" i="1"/>
  <c r="BO125" i="1"/>
  <c r="BM125" i="1"/>
  <c r="Z125" i="1"/>
  <c r="Y125" i="1"/>
  <c r="Y126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5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5" i="1" s="1"/>
  <c r="Y42" i="1"/>
  <c r="Y49" i="1"/>
  <c r="Y56" i="1"/>
  <c r="Y71" i="1"/>
  <c r="Y77" i="1"/>
  <c r="Y82" i="1"/>
  <c r="Y94" i="1"/>
  <c r="Y103" i="1"/>
  <c r="Y110" i="1"/>
  <c r="Y123" i="1"/>
  <c r="Y127" i="1"/>
  <c r="Y131" i="1"/>
  <c r="Y136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Y183" i="1"/>
  <c r="Y187" i="1"/>
  <c r="BP186" i="1"/>
  <c r="BN186" i="1"/>
  <c r="Y201" i="1"/>
  <c r="BP196" i="1"/>
  <c r="BN196" i="1"/>
  <c r="BP198" i="1"/>
  <c r="BN198" i="1"/>
  <c r="BP200" i="1"/>
  <c r="BN200" i="1"/>
  <c r="Y211" i="1"/>
  <c r="BP210" i="1"/>
  <c r="BN210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H9" i="1"/>
  <c r="X272" i="1"/>
  <c r="X273" i="1"/>
  <c r="BN23" i="1"/>
  <c r="Y272" i="1" s="1"/>
  <c r="Y274" i="1" s="1"/>
  <c r="BN25" i="1"/>
  <c r="BN27" i="1"/>
  <c r="X271" i="1"/>
  <c r="BN32" i="1"/>
  <c r="BP32" i="1"/>
  <c r="Y273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1" i="1"/>
  <c r="BN125" i="1"/>
  <c r="BP125" i="1"/>
  <c r="BN129" i="1"/>
  <c r="BP129" i="1"/>
  <c r="BN134" i="1"/>
  <c r="BP134" i="1"/>
  <c r="Y143" i="1"/>
  <c r="BN141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Z276" i="1" s="1"/>
  <c r="Y184" i="1"/>
  <c r="Y188" i="1"/>
  <c r="Y193" i="1"/>
  <c r="BP192" i="1"/>
  <c r="BN192" i="1"/>
  <c r="Y202" i="1"/>
  <c r="Y206" i="1"/>
  <c r="BP205" i="1"/>
  <c r="BN205" i="1"/>
  <c r="Y212" i="1"/>
  <c r="Y217" i="1"/>
  <c r="BP214" i="1"/>
  <c r="BN214" i="1"/>
  <c r="Y216" i="1"/>
  <c r="BP244" i="1"/>
  <c r="BN244" i="1"/>
  <c r="Z250" i="1"/>
  <c r="Y257" i="1"/>
  <c r="Y269" i="1"/>
  <c r="Y270" i="1"/>
  <c r="X274" i="1" l="1"/>
  <c r="Y271" i="1"/>
  <c r="C284" i="1" l="1"/>
  <c r="B284" i="1"/>
  <c r="A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<sst xmlns="http://schemas.openxmlformats.org/spreadsheetml/2006/main" count="1231" uniqueCount="397">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</sst>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57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7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7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7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8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5" t="str">
        <f>IFERROR(VLOOKUP($D$10,Proxy,2,FALSE),"")</f>
        <v/>
      </c>
      <c r="I10" s="288"/>
      <c r="J10" s="288"/>
      <c r="K10" s="288"/>
      <c r="L10" s="288"/>
      <c r="M10" s="288"/>
      <c r="N10" s="266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7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6" t="s">
        <v>55</v>
      </c>
      <c r="AB17" s="396" t="s">
        <v>56</v>
      </c>
      <c r="AC17" s="396" t="s">
        <v>57</v>
      </c>
      <c r="AD17" s="396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7"/>
      <c r="AB18" s="397"/>
      <c r="AC18" s="397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84</v>
      </c>
      <c r="Y24" s="271">
        <f t="shared" si="0"/>
        <v>84</v>
      </c>
      <c r="Z24" s="36">
        <f t="shared" si="1"/>
        <v>1.302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627.48</v>
      </c>
      <c r="BN24" s="67">
        <f t="shared" si="3"/>
        <v>627.48</v>
      </c>
      <c r="BO24" s="67">
        <f t="shared" si="4"/>
        <v>1</v>
      </c>
      <c r="BP24" s="67">
        <f t="shared" si="5"/>
        <v>1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84</v>
      </c>
      <c r="Y28" s="272">
        <f>IFERROR(SUM(Y22:Y27),"0")</f>
        <v>84</v>
      </c>
      <c r="Z28" s="272">
        <f>IFERROR(IF(Z22="",0,Z22),"0")+IFERROR(IF(Z23="",0,Z23),"0")+IFERROR(IF(Z24="",0,Z24),"0")+IFERROR(IF(Z25="",0,Z25),"0")+IFERROR(IF(Z26="",0,Z26),"0")+IFERROR(IF(Z27="",0,Z27),"0")</f>
        <v>1.302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604.80000000000007</v>
      </c>
      <c r="Y29" s="272">
        <f>IFERROR(SUMPRODUCT(Y22:Y27*H22:H27),"0")</f>
        <v>604.80000000000007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154</v>
      </c>
      <c r="Y39" s="271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154</v>
      </c>
      <c r="Y41" s="272">
        <f>IFERROR(SUM(Y39:Y40),"0")</f>
        <v>154</v>
      </c>
      <c r="Z41" s="272">
        <f>IFERROR(IF(Z39="",0,Z39),"0")+IFERROR(IF(Z40="",0,Z40),"0")</f>
        <v>1.4491400000000001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231</v>
      </c>
      <c r="Y42" s="272">
        <f>IFERROR(SUMPRODUCT(Y39:Y40*H39:H40),"0")</f>
        <v>231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36</v>
      </c>
      <c r="Y52" s="271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84</v>
      </c>
      <c r="Y53" s="271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12</v>
      </c>
      <c r="Y54" s="271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48</v>
      </c>
      <c r="Y55" s="271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180</v>
      </c>
      <c r="Y56" s="272">
        <f>IFERROR(SUM(Y52:Y55),"0")</f>
        <v>180</v>
      </c>
      <c r="Z56" s="272">
        <f>IFERROR(IF(Z52="",0,Z52),"0")+IFERROR(IF(Z53="",0,Z53),"0")+IFERROR(IF(Z54="",0,Z54),"0")+IFERROR(IF(Z55="",0,Z55),"0")</f>
        <v>2.79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1252.8</v>
      </c>
      <c r="Y57" s="272">
        <f>IFERROR(SUMPRODUCT(Y52:Y55*H52:H55),"0")</f>
        <v>1252.8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4"/>
      <c r="AB59" s="264"/>
      <c r="AC59" s="264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4"/>
      <c r="AB63" s="264"/>
      <c r="AC63" s="264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4"/>
      <c r="AB67" s="264"/>
      <c r="AC67" s="264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4"/>
      <c r="AB72" s="264"/>
      <c r="AC72" s="264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42</v>
      </c>
      <c r="Y74" s="271">
        <f>IFERROR(IF(X74="","",X74),"")</f>
        <v>42</v>
      </c>
      <c r="Z74" s="36">
        <f>IFERROR(IF(X74="","",X74*0.00941),"")</f>
        <v>0.39522000000000002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65.52</v>
      </c>
      <c r="BN74" s="67">
        <f>IFERROR(Y74*I74,"0")</f>
        <v>65.52</v>
      </c>
      <c r="BO74" s="67">
        <f>IFERROR(X74/J74,"0")</f>
        <v>0.3</v>
      </c>
      <c r="BP74" s="67">
        <f>IFERROR(Y74/J74,"0")</f>
        <v>0.3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42</v>
      </c>
      <c r="Y75" s="271">
        <f>IFERROR(IF(X75="","",X75),"")</f>
        <v>42</v>
      </c>
      <c r="Z75" s="36">
        <f>IFERROR(IF(X75="","",X75*0.00941),"")</f>
        <v>0.39522000000000002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65.52</v>
      </c>
      <c r="BN75" s="67">
        <f>IFERROR(Y75*I75,"0")</f>
        <v>65.52</v>
      </c>
      <c r="BO75" s="67">
        <f>IFERROR(X75/J75,"0")</f>
        <v>0.3</v>
      </c>
      <c r="BP75" s="67">
        <f>IFERROR(Y75/J75,"0")</f>
        <v>0.3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84</v>
      </c>
      <c r="Y76" s="272">
        <f>IFERROR(SUM(Y73:Y75),"0")</f>
        <v>84</v>
      </c>
      <c r="Z76" s="272">
        <f>IFERROR(IF(Z73="",0,Z73),"0")+IFERROR(IF(Z74="",0,Z74),"0")+IFERROR(IF(Z75="",0,Z75),"0")</f>
        <v>0.79044000000000003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100.8</v>
      </c>
      <c r="Y77" s="272">
        <f>IFERROR(SUMPRODUCT(Y73:Y75*H73:H75),"0")</f>
        <v>100.8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264</v>
      </c>
      <c r="Y81" s="271">
        <f>IFERROR(IF(X81="","",X81),"")</f>
        <v>264</v>
      </c>
      <c r="Z81" s="36">
        <f>IFERROR(IF(X81="","",X81*0.00866),"")</f>
        <v>2.2862399999999998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1376.2847999999999</v>
      </c>
      <c r="BN81" s="67">
        <f>IFERROR(Y81*I81,"0")</f>
        <v>1376.2847999999999</v>
      </c>
      <c r="BO81" s="67">
        <f>IFERROR(X81/J81,"0")</f>
        <v>1.8333333333333333</v>
      </c>
      <c r="BP81" s="67">
        <f>IFERROR(Y81/J81,"0")</f>
        <v>1.8333333333333333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264</v>
      </c>
      <c r="Y82" s="272">
        <f>IFERROR(SUM(Y80:Y81),"0")</f>
        <v>264</v>
      </c>
      <c r="Z82" s="272">
        <f>IFERROR(IF(Z80="",0,Z80),"0")+IFERROR(IF(Z81="",0,Z81),"0")</f>
        <v>2.2862399999999998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1320</v>
      </c>
      <c r="Y83" s="272">
        <f>IFERROR(SUMPRODUCT(Y80:Y81*H80:H81),"0")</f>
        <v>1320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28</v>
      </c>
      <c r="Y86" s="271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28</v>
      </c>
      <c r="Y87" s="272">
        <f>IFERROR(SUM(Y86:Y86),"0")</f>
        <v>28</v>
      </c>
      <c r="Z87" s="272">
        <f>IFERROR(IF(Z86="",0,Z86),"0")</f>
        <v>0.50063999999999997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100.8</v>
      </c>
      <c r="Y88" s="272">
        <f>IFERROR(SUMPRODUCT(Y86:Y86*H86:H86),"0")</f>
        <v>100.8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56</v>
      </c>
      <c r="Y91" s="271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84</v>
      </c>
      <c r="Y93" s="272">
        <f>IFERROR(SUM(Y91:Y92),"0")</f>
        <v>84</v>
      </c>
      <c r="Z93" s="272">
        <f>IFERROR(IF(Z91="",0,Z91),"0")+IFERROR(IF(Z92="",0,Z92),"0")</f>
        <v>1.5019199999999999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302.39999999999998</v>
      </c>
      <c r="Y94" s="272">
        <f>IFERROR(SUMPRODUCT(Y91:Y92*H91:H92),"0")</f>
        <v>302.39999999999998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42</v>
      </c>
      <c r="Y97" s="271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70</v>
      </c>
      <c r="Y98" s="271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98</v>
      </c>
      <c r="Y100" s="271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224</v>
      </c>
      <c r="Y103" s="272">
        <f>IFERROR(SUM(Y97:Y102),"0")</f>
        <v>224</v>
      </c>
      <c r="Z103" s="272">
        <f>IFERROR(IF(Z97="",0,Z97),"0")+IFERROR(IF(Z98="",0,Z98),"0")+IFERROR(IF(Z99="",0,Z99),"0")+IFERROR(IF(Z100="",0,Z100),"0")+IFERROR(IF(Z101="",0,Z101),"0")+IFERROR(IF(Z102="",0,Z102),"0")</f>
        <v>4.0051199999999998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663.59999999999991</v>
      </c>
      <c r="Y104" s="272">
        <f>IFERROR(SUMPRODUCT(Y97:Y102*H97:H102),"0")</f>
        <v>663.59999999999991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36</v>
      </c>
      <c r="Y114" s="271">
        <f t="shared" si="12"/>
        <v>36</v>
      </c>
      <c r="Z114" s="36">
        <f t="shared" si="13"/>
        <v>0.55800000000000005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262.08</v>
      </c>
      <c r="BN114" s="67">
        <f t="shared" si="15"/>
        <v>262.08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120</v>
      </c>
      <c r="Y116" s="271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60</v>
      </c>
      <c r="Y118" s="271">
        <f t="shared" si="12"/>
        <v>60</v>
      </c>
      <c r="Z118" s="36">
        <f t="shared" si="13"/>
        <v>0.92999999999999994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403.17599999999999</v>
      </c>
      <c r="BN118" s="67">
        <f t="shared" si="15"/>
        <v>403.17599999999999</v>
      </c>
      <c r="BO118" s="67">
        <f t="shared" si="16"/>
        <v>0.7142857142857143</v>
      </c>
      <c r="BP118" s="67">
        <f t="shared" si="17"/>
        <v>0.7142857142857143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144</v>
      </c>
      <c r="Y119" s="271">
        <f t="shared" si="12"/>
        <v>144</v>
      </c>
      <c r="Z119" s="36">
        <f t="shared" si="13"/>
        <v>2.2320000000000002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0</v>
      </c>
      <c r="Y121" s="271">
        <f t="shared" si="12"/>
        <v>0</v>
      </c>
      <c r="Z121" s="36">
        <f t="shared" si="13"/>
        <v>0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396</v>
      </c>
      <c r="Y122" s="272">
        <f>IFERROR(SUM(Y113:Y121),"0")</f>
        <v>396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6.1379999999999999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2714.4</v>
      </c>
      <c r="Y123" s="272">
        <f>IFERROR(SUMPRODUCT(Y113:Y121*H113:H121),"0")</f>
        <v>2714.4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4"/>
      <c r="AB124" s="264"/>
      <c r="AC124" s="264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14</v>
      </c>
      <c r="Y125" s="271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14</v>
      </c>
      <c r="Y126" s="272">
        <f>IFERROR(SUM(Y125:Y125),"0")</f>
        <v>14</v>
      </c>
      <c r="Z126" s="272">
        <f>IFERROR(IF(Z125="",0,Z125),"0")</f>
        <v>0.25031999999999999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36.96</v>
      </c>
      <c r="Y127" s="272">
        <f>IFERROR(SUMPRODUCT(Y125:Y125*H125:H125),"0")</f>
        <v>36.96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140</v>
      </c>
      <c r="Y134" s="271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168</v>
      </c>
      <c r="Y135" s="271">
        <f>IFERROR(IF(X135="","",X135),"")</f>
        <v>168</v>
      </c>
      <c r="Z135" s="36">
        <f>IFERROR(IF(X135="","",X135*0.01788),"")</f>
        <v>3.0038399999999998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622.20479999999998</v>
      </c>
      <c r="BN135" s="67">
        <f>IFERROR(Y135*I135,"0")</f>
        <v>622.20479999999998</v>
      </c>
      <c r="BO135" s="67">
        <f>IFERROR(X135/J135,"0")</f>
        <v>2.4</v>
      </c>
      <c r="BP135" s="67">
        <f>IFERROR(Y135/J135,"0")</f>
        <v>2.4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308</v>
      </c>
      <c r="Y136" s="272">
        <f>IFERROR(SUM(Y134:Y135),"0")</f>
        <v>308</v>
      </c>
      <c r="Z136" s="272">
        <f>IFERROR(IF(Z134="",0,Z134),"0")+IFERROR(IF(Z135="",0,Z135),"0")</f>
        <v>5.5070399999999999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924</v>
      </c>
      <c r="Y137" s="272">
        <f>IFERROR(SUMPRODUCT(Y134:Y135*H134:H135),"0")</f>
        <v>924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42</v>
      </c>
      <c r="Y140" s="271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140</v>
      </c>
      <c r="Y142" s="272">
        <f>IFERROR(SUM(Y140:Y141),"0")</f>
        <v>140</v>
      </c>
      <c r="Z142" s="272">
        <f>IFERROR(IF(Z140="",0,Z140),"0")+IFERROR(IF(Z141="",0,Z141),"0")</f>
        <v>2.5032000000000001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420</v>
      </c>
      <c r="Y143" s="272">
        <f>IFERROR(SUMPRODUCT(Y140:Y141*H140:H141),"0")</f>
        <v>420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42</v>
      </c>
      <c r="Y146" s="271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28</v>
      </c>
      <c r="Y147" s="271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70</v>
      </c>
      <c r="Y148" s="272">
        <f>IFERROR(SUM(Y146:Y147),"0")</f>
        <v>70</v>
      </c>
      <c r="Z148" s="272">
        <f>IFERROR(IF(Z146="",0,Z146),"0")+IFERROR(IF(Z147="",0,Z147),"0")</f>
        <v>1.2515999999999998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168</v>
      </c>
      <c r="Y149" s="272">
        <f>IFERROR(SUMPRODUCT(Y146:Y147*H146:H147),"0")</f>
        <v>168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28</v>
      </c>
      <c r="Y152" s="271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28</v>
      </c>
      <c r="Y153" s="272">
        <f>IFERROR(SUM(Y152:Y152),"0")</f>
        <v>28</v>
      </c>
      <c r="Z153" s="272">
        <f>IFERROR(IF(Z152="",0,Z152),"0")</f>
        <v>0.50063999999999997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84</v>
      </c>
      <c r="Y154" s="272">
        <f>IFERROR(SUMPRODUCT(Y152:Y152*H152:H152),"0")</f>
        <v>84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4"/>
      <c r="AB156" s="264"/>
      <c r="AC156" s="264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4"/>
      <c r="AB161" s="264"/>
      <c r="AC161" s="264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4"/>
      <c r="AB166" s="264"/>
      <c r="AC166" s="264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4"/>
      <c r="AB172" s="264"/>
      <c r="AC172" s="264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72</v>
      </c>
      <c r="Y174" s="271">
        <f>IFERROR(IF(X174="","",X174),"")</f>
        <v>72</v>
      </c>
      <c r="Z174" s="36">
        <f>IFERROR(IF(X174="","",X174*0.00866),"")</f>
        <v>0.62351999999999996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375.35039999999998</v>
      </c>
      <c r="BN174" s="67">
        <f>IFERROR(Y174*I174,"0")</f>
        <v>375.35039999999998</v>
      </c>
      <c r="BO174" s="67">
        <f>IFERROR(X174/J174,"0")</f>
        <v>0.5</v>
      </c>
      <c r="BP174" s="67">
        <f>IFERROR(Y174/J174,"0")</f>
        <v>0.5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72</v>
      </c>
      <c r="Y175" s="272">
        <f>IFERROR(SUM(Y173:Y174),"0")</f>
        <v>72</v>
      </c>
      <c r="Z175" s="272">
        <f>IFERROR(IF(Z173="",0,Z173),"0")+IFERROR(IF(Z174="",0,Z174),"0")</f>
        <v>0.62351999999999996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360</v>
      </c>
      <c r="Y176" s="272">
        <f>IFERROR(SUMPRODUCT(Y173:Y174*H173:H174),"0")</f>
        <v>360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84</v>
      </c>
      <c r="Y180" s="271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84</v>
      </c>
      <c r="Y181" s="271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84</v>
      </c>
      <c r="Y182" s="271">
        <f>IFERROR(IF(X182="","",X182),"")</f>
        <v>84</v>
      </c>
      <c r="Z182" s="36">
        <f>IFERROR(IF(X182="","",X182*0.01788),"")</f>
        <v>1.5019199999999999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313.82400000000001</v>
      </c>
      <c r="BN182" s="67">
        <f>IFERROR(Y182*I182,"0")</f>
        <v>313.82400000000001</v>
      </c>
      <c r="BO182" s="67">
        <f>IFERROR(X182/J182,"0")</f>
        <v>1.2</v>
      </c>
      <c r="BP182" s="67">
        <f>IFERROR(Y182/J182,"0")</f>
        <v>1.2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252</v>
      </c>
      <c r="Y183" s="272">
        <f>IFERROR(SUM(Y180:Y182),"0")</f>
        <v>252</v>
      </c>
      <c r="Z183" s="272">
        <f>IFERROR(IF(Z180="",0,Z180),"0")+IFERROR(IF(Z181="",0,Z181),"0")+IFERROR(IF(Z182="",0,Z182),"0")</f>
        <v>4.5057599999999995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756</v>
      </c>
      <c r="Y184" s="272">
        <f>IFERROR(SUMPRODUCT(Y180:Y182*H180:H182),"0")</f>
        <v>756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4"/>
      <c r="AB185" s="264"/>
      <c r="AC185" s="264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4"/>
      <c r="AB195" s="264"/>
      <c r="AC195" s="264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84</v>
      </c>
      <c r="Y205" s="271">
        <f>IFERROR(IF(X205="","",X205),"")</f>
        <v>84</v>
      </c>
      <c r="Z205" s="36">
        <f>IFERROR(IF(X205="","",X205*0.0155),"")</f>
        <v>1.302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439.32000000000005</v>
      </c>
      <c r="BN205" s="67">
        <f>IFERROR(Y205*I205,"0")</f>
        <v>439.32000000000005</v>
      </c>
      <c r="BO205" s="67">
        <f>IFERROR(X205/J205,"0")</f>
        <v>1</v>
      </c>
      <c r="BP205" s="67">
        <f>IFERROR(Y205/J205,"0")</f>
        <v>1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84</v>
      </c>
      <c r="Y206" s="272">
        <f>IFERROR(SUM(Y205:Y205),"0")</f>
        <v>84</v>
      </c>
      <c r="Z206" s="272">
        <f>IFERROR(IF(Z205="",0,Z205),"0")</f>
        <v>1.302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420</v>
      </c>
      <c r="Y207" s="272">
        <f>IFERROR(SUMPRODUCT(Y205:Y205*H205:H205),"0")</f>
        <v>420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4"/>
      <c r="AB209" s="264"/>
      <c r="AC209" s="264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4"/>
      <c r="AB213" s="264"/>
      <c r="AC213" s="264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4"/>
      <c r="AB220" s="264"/>
      <c r="AC220" s="264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96</v>
      </c>
      <c r="Y227" s="271">
        <f>IFERROR(IF(X227="","",X227),"")</f>
        <v>96</v>
      </c>
      <c r="Z227" s="36">
        <f>IFERROR(IF(X227="","",X227*0.0155),"")</f>
        <v>1.488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505.15199999999993</v>
      </c>
      <c r="BN227" s="67">
        <f>IFERROR(Y227*I227,"0")</f>
        <v>505.15199999999993</v>
      </c>
      <c r="BO227" s="67">
        <f>IFERROR(X227/J227,"0")</f>
        <v>1.1428571428571428</v>
      </c>
      <c r="BP227" s="67">
        <f>IFERROR(Y227/J227,"0")</f>
        <v>1.1428571428571428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96</v>
      </c>
      <c r="Y228" s="272">
        <f>IFERROR(SUM(Y227:Y227),"0")</f>
        <v>96</v>
      </c>
      <c r="Z228" s="272">
        <f>IFERROR(IF(Z227="",0,Z227),"0")</f>
        <v>1.488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480</v>
      </c>
      <c r="Y229" s="272">
        <f>IFERROR(SUMPRODUCT(Y227:Y227*H227:H227),"0")</f>
        <v>480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4"/>
      <c r="AB232" s="264"/>
      <c r="AC232" s="264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4"/>
      <c r="AB236" s="264"/>
      <c r="AC236" s="264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4"/>
      <c r="AB242" s="264"/>
      <c r="AC242" s="264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120</v>
      </c>
      <c r="Y248" s="271">
        <f>IFERROR(IF(X248="","",X248),"")</f>
        <v>120</v>
      </c>
      <c r="Z248" s="36">
        <f>IFERROR(IF(X248="","",X248*0.0155),"")</f>
        <v>1.8599999999999999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751.19999999999993</v>
      </c>
      <c r="BN248" s="67">
        <f>IFERROR(Y248*I248,"0")</f>
        <v>751.19999999999993</v>
      </c>
      <c r="BO248" s="67">
        <f>IFERROR(X248/J248,"0")</f>
        <v>1.4285714285714286</v>
      </c>
      <c r="BP248" s="67">
        <f>IFERROR(Y248/J248,"0")</f>
        <v>1.4285714285714286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120</v>
      </c>
      <c r="Y250" s="272">
        <f>IFERROR(SUM(Y248:Y249),"0")</f>
        <v>120</v>
      </c>
      <c r="Z250" s="272">
        <f>IFERROR(IF(Z248="",0,Z248),"0")+IFERROR(IF(Z249="",0,Z249),"0")</f>
        <v>1.8599999999999999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720</v>
      </c>
      <c r="Y251" s="272">
        <f>IFERROR(SUMPRODUCT(Y248:Y249*H248:H249),"0")</f>
        <v>720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4"/>
      <c r="AB252" s="264"/>
      <c r="AC252" s="264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168</v>
      </c>
      <c r="Y254" s="271">
        <f>IFERROR(IF(X254="","",X254),"")</f>
        <v>168</v>
      </c>
      <c r="Z254" s="36">
        <f>IFERROR(IF(X254="","",X254*0.0155),"")</f>
        <v>2.6040000000000001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879.48</v>
      </c>
      <c r="BN254" s="67">
        <f>IFERROR(Y254*I254,"0")</f>
        <v>879.48</v>
      </c>
      <c r="BO254" s="67">
        <f>IFERROR(X254/J254,"0")</f>
        <v>2</v>
      </c>
      <c r="BP254" s="67">
        <f>IFERROR(Y254/J254,"0")</f>
        <v>2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56</v>
      </c>
      <c r="Y255" s="271">
        <f>IFERROR(IF(X255="","",X255),"")</f>
        <v>56</v>
      </c>
      <c r="Z255" s="36">
        <f>IFERROR(IF(X255="","",X255*0.00936),"")</f>
        <v>0.52415999999999996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136.19200000000001</v>
      </c>
      <c r="BN255" s="67">
        <f>IFERROR(Y255*I255,"0")</f>
        <v>136.19200000000001</v>
      </c>
      <c r="BO255" s="67">
        <f>IFERROR(X255/J255,"0")</f>
        <v>0.44444444444444442</v>
      </c>
      <c r="BP255" s="67">
        <f>IFERROR(Y255/J255,"0")</f>
        <v>0.44444444444444442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224</v>
      </c>
      <c r="Y256" s="272">
        <f>IFERROR(SUM(Y253:Y255),"0")</f>
        <v>224</v>
      </c>
      <c r="Z256" s="272">
        <f>IFERROR(IF(Z253="",0,Z253),"0")+IFERROR(IF(Z254="",0,Z254),"0")+IFERROR(IF(Z255="",0,Z255),"0")</f>
        <v>3.1281600000000003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965.44</v>
      </c>
      <c r="Y257" s="272">
        <f>IFERROR(SUMPRODUCT(Y253:Y255*H253:H255),"0")</f>
        <v>965.44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4"/>
      <c r="AB258" s="264"/>
      <c r="AC258" s="264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28</v>
      </c>
      <c r="Y263" s="271">
        <f t="shared" si="18"/>
        <v>28</v>
      </c>
      <c r="Z263" s="36">
        <f t="shared" si="23"/>
        <v>0.26207999999999998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108.976</v>
      </c>
      <c r="BN263" s="67">
        <f t="shared" si="20"/>
        <v>108.976</v>
      </c>
      <c r="BO263" s="67">
        <f t="shared" si="21"/>
        <v>0.22222222222222221</v>
      </c>
      <c r="BP263" s="67">
        <f t="shared" si="22"/>
        <v>0.22222222222222221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28</v>
      </c>
      <c r="Y269" s="272">
        <f>IFERROR(SUM(Y259:Y268),"0")</f>
        <v>28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0.26207999999999998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103.60000000000001</v>
      </c>
      <c r="Y270" s="272">
        <f>IFERROR(SUMPRODUCT(Y259:Y268*H259:H268),"0")</f>
        <v>103.60000000000001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12970.28</v>
      </c>
      <c r="Y271" s="272">
        <f>IFERROR(Y29+Y35+Y42+Y49+Y57+Y62+Y66+Y71+Y77+Y83+Y88+Y94+Y104+Y110+Y123+Y127+Y131+Y137+Y143+Y149+Y154+Y159+Y164+Y169+Y176+Y184+Y188+Y194+Y202+Y207+Y212+Y217+Y223+Y229+Y235+Y239+Y246+Y251+Y257+Y270,"0")</f>
        <v>12970.28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14212.665199999998</v>
      </c>
      <c r="Y272" s="272">
        <f>IFERROR(SUM(BN22:BN268),"0")</f>
        <v>14212.665199999998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36</v>
      </c>
      <c r="Y273" s="38">
        <f>ROUNDUP(SUM(BP22:BP268),0)</f>
        <v>36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15112.665199999998</v>
      </c>
      <c r="Y274" s="272">
        <f>GrossWeightTotalR+PalletQtyTotalR*25</f>
        <v>15112.665199999998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3000</v>
      </c>
      <c r="Y275" s="272">
        <f>IFERROR(Y28+Y34+Y41+Y48+Y56+Y61+Y65+Y70+Y76+Y82+Y87+Y93+Y103+Y109+Y122+Y126+Y130+Y136+Y142+Y148+Y153+Y158+Y163+Y168+Y175+Y183+Y187+Y193+Y201+Y206+Y211+Y216+Y222+Y228+Y234+Y238+Y245+Y250+Y256+Y269,"0")</f>
        <v>3000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44.9495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2" t="s">
        <v>252</v>
      </c>
      <c r="W278" s="262" t="s">
        <v>260</v>
      </c>
      <c r="X278" s="290" t="s">
        <v>279</v>
      </c>
      <c r="Y278" s="368"/>
      <c r="Z278" s="369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3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3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3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604.80000000000007</v>
      </c>
      <c r="C281" s="46">
        <f>IFERROR(X32*H32,"0")+IFERROR(X33*H33,"0")</f>
        <v>0</v>
      </c>
      <c r="D281" s="46">
        <f>IFERROR(X39*H39,"0")+IFERROR(X40*H40,"0")</f>
        <v>231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1252.8</v>
      </c>
      <c r="G281" s="46">
        <f>IFERROR(X60*H60,"0")+IFERROR(X64*H64,"0")+IFERROR(X68*H68,"0")+IFERROR(X69*H69,"0")+IFERROR(X73*H73,"0")+IFERROR(X74*H74,"0")+IFERROR(X75*H75,"0")</f>
        <v>100.8</v>
      </c>
      <c r="H281" s="46">
        <f>IFERROR(X80*H80,"0")+IFERROR(X81*H81,"0")</f>
        <v>1320</v>
      </c>
      <c r="I281" s="46">
        <f>IFERROR(X86*H86,"0")</f>
        <v>100.8</v>
      </c>
      <c r="J281" s="46">
        <f>IFERROR(X91*H91,"0")+IFERROR(X92*H92,"0")</f>
        <v>302.39999999999998</v>
      </c>
      <c r="K281" s="46">
        <f>IFERROR(X97*H97,"0")+IFERROR(X98*H98,"0")+IFERROR(X99*H99,"0")+IFERROR(X100*H100,"0")+IFERROR(X101*H101,"0")+IFERROR(X102*H102,"0")</f>
        <v>663.59999999999991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2823.36</v>
      </c>
      <c r="N281" s="263"/>
      <c r="O281" s="46">
        <f>IFERROR(X134*H134,"0")+IFERROR(X135*H135,"0")</f>
        <v>924</v>
      </c>
      <c r="P281" s="46">
        <f>IFERROR(X140*H140,"0")+IFERROR(X141*H141,"0")</f>
        <v>420</v>
      </c>
      <c r="Q281" s="46">
        <f>IFERROR(X146*H146,"0")+IFERROR(X147*H147,"0")</f>
        <v>168</v>
      </c>
      <c r="R281" s="46">
        <f>IFERROR(X152*H152,"0")</f>
        <v>84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360</v>
      </c>
      <c r="W281" s="46">
        <f>IFERROR(X180*H180,"0")+IFERROR(X181*H181,"0")+IFERROR(X182*H182,"0")+IFERROR(X186*H186,"0")</f>
        <v>756</v>
      </c>
      <c r="X281" s="46">
        <f>IFERROR(X192*H192,"0")+IFERROR(X196*H196,"0")+IFERROR(X197*H197,"0")+IFERROR(X198*H198,"0")+IFERROR(X199*H199,"0")+IFERROR(X200*H200,"0")</f>
        <v>72.240000000000009</v>
      </c>
      <c r="Y281" s="46">
        <f>IFERROR(X205*H205,"0")</f>
        <v>420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480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1789.04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7219.2000000000007</v>
      </c>
      <c r="B284" s="60">
        <f>SUMPRODUCT(--(BB:BB="ПГП"),--(W:W="кор"),H:H,Y:Y)+SUMPRODUCT(--(BB:BB="ПГП"),--(W:W="кг"),Y:Y)</f>
        <v>5751.08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Y17:Y18"/>
    <mergeCell ref="A8:C8"/>
    <mergeCell ref="P163:V163"/>
    <mergeCell ref="D32:E32"/>
    <mergeCell ref="D97:E97"/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Q5:R5"/>
    <mergeCell ref="F17:F18"/>
    <mergeCell ref="D120:E120"/>
    <mergeCell ref="P199:T199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N17:N18"/>
    <mergeCell ref="V12:W12"/>
    <mergeCell ref="U17:V17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P169:V169"/>
    <mergeCell ref="P186:T186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P125:T125"/>
    <mergeCell ref="A179:Z179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D22:E22"/>
    <mergeCell ref="D86:E86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223:V223"/>
    <mergeCell ref="P102:T102"/>
    <mergeCell ref="J9:M9"/>
    <mergeCell ref="D279:D280"/>
    <mergeCell ref="P141:T141"/>
    <mergeCell ref="A65:O66"/>
    <mergeCell ref="P233:T233"/>
    <mergeCell ref="A56:O57"/>
    <mergeCell ref="D114:E114"/>
    <mergeCell ref="D64:E64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P27:T27"/>
    <mergeCell ref="D75:E75"/>
    <mergeCell ref="Q10:R10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4:T24"/>
    <mergeCell ref="P260:T260"/>
    <mergeCell ref="A206:O207"/>
    <mergeCell ref="A63:Z63"/>
    <mergeCell ref="P26:T26"/>
    <mergeCell ref="P71:V71"/>
    <mergeCell ref="A138:Z138"/>
    <mergeCell ref="P202:V202"/>
    <mergeCell ref="A13:M13"/>
    <mergeCell ref="P115:T115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P68:T68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L279:L280"/>
    <mergeCell ref="P62:V62"/>
    <mergeCell ref="P127:V127"/>
    <mergeCell ref="A17:A18"/>
    <mergeCell ref="K17:K18"/>
    <mergeCell ref="A189:Z189"/>
    <mergeCell ref="C17:C18"/>
    <mergeCell ref="D180:E180"/>
    <mergeCell ref="D118:E118"/>
    <mergeCell ref="P53:T53"/>
    <mergeCell ref="A183:O184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73:T73"/>
    <mergeCell ref="P244:T244"/>
    <mergeCell ref="D174:E174"/>
    <mergeCell ref="P87:V87"/>
    <mergeCell ref="P245:V245"/>
    <mergeCell ref="D45:E45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