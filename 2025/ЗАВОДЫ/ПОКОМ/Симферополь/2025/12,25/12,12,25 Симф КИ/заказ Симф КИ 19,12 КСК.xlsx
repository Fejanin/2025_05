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50FAEBF2-95C6-4156-ACDC-61C1210635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Y403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4" i="1"/>
  <c r="Y373" i="1"/>
  <c r="X373" i="1"/>
  <c r="BP372" i="1"/>
  <c r="BO372" i="1"/>
  <c r="BN372" i="1"/>
  <c r="BM372" i="1"/>
  <c r="Z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2" i="1"/>
  <c r="Y321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Y322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Y308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Q501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Y279" i="1"/>
  <c r="X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Y280" i="1" s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L501" i="1" s="1"/>
  <c r="P259" i="1"/>
  <c r="X256" i="1"/>
  <c r="X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Y255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5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Y91" i="1" s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Y44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Y22" i="1"/>
  <c r="P22" i="1"/>
  <c r="H10" i="1"/>
  <c r="H9" i="1"/>
  <c r="A9" i="1"/>
  <c r="D7" i="1"/>
  <c r="Q6" i="1"/>
  <c r="P2" i="1"/>
  <c r="Y25" i="1" l="1"/>
  <c r="BP22" i="1"/>
  <c r="BN22" i="1"/>
  <c r="Z22" i="1"/>
  <c r="Z24" i="1" s="1"/>
  <c r="B501" i="1"/>
  <c r="BP30" i="1"/>
  <c r="BN30" i="1"/>
  <c r="Z30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BP81" i="1"/>
  <c r="BN81" i="1"/>
  <c r="Z81" i="1"/>
  <c r="Z82" i="1" s="1"/>
  <c r="Y83" i="1"/>
  <c r="BP89" i="1"/>
  <c r="BN89" i="1"/>
  <c r="Z89" i="1"/>
  <c r="BP118" i="1"/>
  <c r="BN118" i="1"/>
  <c r="Z118" i="1"/>
  <c r="BP139" i="1"/>
  <c r="BN139" i="1"/>
  <c r="Z139" i="1"/>
  <c r="Z140" i="1" s="1"/>
  <c r="H501" i="1"/>
  <c r="Y147" i="1"/>
  <c r="BP144" i="1"/>
  <c r="BN144" i="1"/>
  <c r="Z144" i="1"/>
  <c r="Z146" i="1" s="1"/>
  <c r="Y77" i="1"/>
  <c r="E501" i="1"/>
  <c r="Y90" i="1"/>
  <c r="BP86" i="1"/>
  <c r="BN86" i="1"/>
  <c r="Z86" i="1"/>
  <c r="Y98" i="1"/>
  <c r="BP93" i="1"/>
  <c r="BN93" i="1"/>
  <c r="Z93" i="1"/>
  <c r="Y97" i="1"/>
  <c r="BP103" i="1"/>
  <c r="BN103" i="1"/>
  <c r="Z103" i="1"/>
  <c r="Z106" i="1" s="1"/>
  <c r="BP110" i="1"/>
  <c r="BN110" i="1"/>
  <c r="Z110" i="1"/>
  <c r="Y141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Y194" i="1"/>
  <c r="BP191" i="1"/>
  <c r="BN191" i="1"/>
  <c r="Z191" i="1"/>
  <c r="Z193" i="1" s="1"/>
  <c r="J501" i="1"/>
  <c r="F10" i="1"/>
  <c r="J9" i="1"/>
  <c r="F9" i="1"/>
  <c r="A10" i="1"/>
  <c r="X492" i="1"/>
  <c r="X494" i="1" s="1"/>
  <c r="Y24" i="1"/>
  <c r="BP28" i="1"/>
  <c r="BN28" i="1"/>
  <c r="Z28" i="1"/>
  <c r="Z32" i="1" s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F501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197" i="1"/>
  <c r="BN197" i="1"/>
  <c r="Z197" i="1"/>
  <c r="Z198" i="1" s="1"/>
  <c r="Y199" i="1"/>
  <c r="Y209" i="1"/>
  <c r="Y221" i="1"/>
  <c r="Y227" i="1"/>
  <c r="Y240" i="1"/>
  <c r="Y244" i="1"/>
  <c r="Y248" i="1"/>
  <c r="Y256" i="1"/>
  <c r="Y265" i="1"/>
  <c r="M501" i="1"/>
  <c r="Y273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BP305" i="1"/>
  <c r="BN305" i="1"/>
  <c r="Z305" i="1"/>
  <c r="BP313" i="1"/>
  <c r="BN313" i="1"/>
  <c r="Z313" i="1"/>
  <c r="BP325" i="1"/>
  <c r="BN325" i="1"/>
  <c r="Z325" i="1"/>
  <c r="Z328" i="1" s="1"/>
  <c r="BP333" i="1"/>
  <c r="BN333" i="1"/>
  <c r="Z333" i="1"/>
  <c r="Y335" i="1"/>
  <c r="R501" i="1"/>
  <c r="Y341" i="1"/>
  <c r="BP338" i="1"/>
  <c r="BN338" i="1"/>
  <c r="Z338" i="1"/>
  <c r="BP348" i="1"/>
  <c r="BN348" i="1"/>
  <c r="Z348" i="1"/>
  <c r="BP352" i="1"/>
  <c r="BN352" i="1"/>
  <c r="Z352" i="1"/>
  <c r="Y354" i="1"/>
  <c r="Y359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Z415" i="1" s="1"/>
  <c r="BP449" i="1"/>
  <c r="BN449" i="1"/>
  <c r="Z449" i="1"/>
  <c r="BP463" i="1"/>
  <c r="BN463" i="1"/>
  <c r="Z463" i="1"/>
  <c r="S501" i="1"/>
  <c r="X495" i="1"/>
  <c r="C501" i="1"/>
  <c r="Y45" i="1"/>
  <c r="D501" i="1"/>
  <c r="Y58" i="1"/>
  <c r="Y106" i="1"/>
  <c r="G501" i="1"/>
  <c r="Y130" i="1"/>
  <c r="I501" i="1"/>
  <c r="Y163" i="1"/>
  <c r="Z201" i="1"/>
  <c r="Z209" i="1" s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Z246" i="1"/>
  <c r="Z247" i="1" s="1"/>
  <c r="BN246" i="1"/>
  <c r="BP246" i="1"/>
  <c r="Z250" i="1"/>
  <c r="BN250" i="1"/>
  <c r="BP250" i="1"/>
  <c r="Z252" i="1"/>
  <c r="BN252" i="1"/>
  <c r="Z254" i="1"/>
  <c r="BN254" i="1"/>
  <c r="Z259" i="1"/>
  <c r="Z264" i="1" s="1"/>
  <c r="BN259" i="1"/>
  <c r="BP259" i="1"/>
  <c r="Z261" i="1"/>
  <c r="BN261" i="1"/>
  <c r="Z263" i="1"/>
  <c r="BN263" i="1"/>
  <c r="Y264" i="1"/>
  <c r="Z268" i="1"/>
  <c r="Z272" i="1" s="1"/>
  <c r="BN268" i="1"/>
  <c r="BP268" i="1"/>
  <c r="Z270" i="1"/>
  <c r="BN270" i="1"/>
  <c r="Y272" i="1"/>
  <c r="Z279" i="1"/>
  <c r="BP277" i="1"/>
  <c r="BN277" i="1"/>
  <c r="Z277" i="1"/>
  <c r="Y290" i="1"/>
  <c r="BP295" i="1"/>
  <c r="BN295" i="1"/>
  <c r="Z295" i="1"/>
  <c r="Z299" i="1" s="1"/>
  <c r="Y299" i="1"/>
  <c r="BP303" i="1"/>
  <c r="BN303" i="1"/>
  <c r="Z303" i="1"/>
  <c r="Z308" i="1" s="1"/>
  <c r="BP307" i="1"/>
  <c r="BN307" i="1"/>
  <c r="Z307" i="1"/>
  <c r="Y309" i="1"/>
  <c r="Y316" i="1"/>
  <c r="BP311" i="1"/>
  <c r="BN311" i="1"/>
  <c r="Z311" i="1"/>
  <c r="Z315" i="1" s="1"/>
  <c r="Y315" i="1"/>
  <c r="Z321" i="1"/>
  <c r="BP319" i="1"/>
  <c r="BN319" i="1"/>
  <c r="Z319" i="1"/>
  <c r="Y328" i="1"/>
  <c r="BP327" i="1"/>
  <c r="BN327" i="1"/>
  <c r="Z327" i="1"/>
  <c r="Y329" i="1"/>
  <c r="Y334" i="1"/>
  <c r="BP331" i="1"/>
  <c r="BN331" i="1"/>
  <c r="Z331" i="1"/>
  <c r="Z334" i="1" s="1"/>
  <c r="BP340" i="1"/>
  <c r="BN340" i="1"/>
  <c r="Z340" i="1"/>
  <c r="Y342" i="1"/>
  <c r="Y353" i="1"/>
  <c r="BP346" i="1"/>
  <c r="BN346" i="1"/>
  <c r="Z346" i="1"/>
  <c r="Z353" i="1" s="1"/>
  <c r="BP350" i="1"/>
  <c r="BN350" i="1"/>
  <c r="Z350" i="1"/>
  <c r="Y358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Z373" i="1" s="1"/>
  <c r="Y378" i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Y416" i="1"/>
  <c r="Y421" i="1"/>
  <c r="Y420" i="1"/>
  <c r="BP419" i="1"/>
  <c r="BN419" i="1"/>
  <c r="Z419" i="1"/>
  <c r="Z420" i="1" s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4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W501" i="1"/>
  <c r="P501" i="1"/>
  <c r="Y285" i="1"/>
  <c r="Y300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BP451" i="1"/>
  <c r="BN451" i="1"/>
  <c r="Z451" i="1"/>
  <c r="Z452" i="1" s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Z255" i="1" l="1"/>
  <c r="Z239" i="1"/>
  <c r="Z341" i="1"/>
  <c r="Y493" i="1"/>
  <c r="Z398" i="1"/>
  <c r="Z384" i="1"/>
  <c r="Y495" i="1"/>
  <c r="Z177" i="1"/>
  <c r="Z97" i="1"/>
  <c r="Z90" i="1"/>
  <c r="Z77" i="1"/>
  <c r="Z64" i="1"/>
  <c r="Z496" i="1" s="1"/>
  <c r="Y492" i="1"/>
  <c r="Y494" i="1" s="1"/>
  <c r="Y491" i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<sst xmlns="http://schemas.openxmlformats.org/spreadsheetml/2006/main" count="2293" uniqueCount="775">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</sst>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7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200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440</v>
      </c>
      <c r="Y42" s="546">
        <f>IFERROR(IF(X42="",0,CEILING((X42/$H42),1)*$H42),"")</f>
        <v>440</v>
      </c>
      <c r="Z42" s="36">
        <f>IFERROR(IF(Y42=0,"",ROUNDUP(Y42/H42,0)*0.00902),"")</f>
        <v>0.99219999999999997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460.90000000000003</v>
      </c>
      <c r="BN42" s="64">
        <f>IFERROR(Y42*I42/H42,"0")</f>
        <v>460.90000000000003</v>
      </c>
      <c r="BO42" s="64">
        <f>IFERROR(1/J42*(X42/H42),"0")</f>
        <v>0.83333333333333337</v>
      </c>
      <c r="BP42" s="64">
        <f>IFERROR(1/J42*(Y42/H42),"0")</f>
        <v>0.83333333333333337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128.51851851851853</v>
      </c>
      <c r="Y44" s="547">
        <f>IFERROR(Y41/H41,"0")+IFERROR(Y42/H42,"0")+IFERROR(Y43/H43,"0")</f>
        <v>129</v>
      </c>
      <c r="Z44" s="547">
        <f>IFERROR(IF(Z41="",0,Z41),"0")+IFERROR(IF(Z42="",0,Z42),"0")+IFERROR(IF(Z43="",0,Z43),"0")</f>
        <v>1.3528199999999999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640</v>
      </c>
      <c r="Y45" s="547">
        <f>IFERROR(SUM(Y41:Y43),"0")</f>
        <v>645.20000000000005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360</v>
      </c>
      <c r="Y57" s="546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103.14814814814815</v>
      </c>
      <c r="Y58" s="547">
        <f>IFERROR(Y52/H52,"0")+IFERROR(Y53/H53,"0")+IFERROR(Y54/H54,"0")+IFERROR(Y55/H55,"0")+IFERROR(Y56/H56,"0")+IFERROR(Y57/H57,"0")</f>
        <v>104</v>
      </c>
      <c r="Z58" s="547">
        <f>IFERROR(IF(Z52="",0,Z52),"0")+IFERROR(IF(Z53="",0,Z53),"0")+IFERROR(IF(Z54="",0,Z54),"0")+IFERROR(IF(Z55="",0,Z55),"0")+IFERROR(IF(Z56="",0,Z56),"0")+IFERROR(IF(Z57="",0,Z57),"0")</f>
        <v>1.1771199999999999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610</v>
      </c>
      <c r="Y59" s="547">
        <f>IFERROR(SUM(Y52:Y57),"0")</f>
        <v>619.20000000000005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180</v>
      </c>
      <c r="Y63" s="546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85.185185185185176</v>
      </c>
      <c r="Y64" s="547">
        <f>IFERROR(Y61/H61,"0")+IFERROR(Y62/H62,"0")+IFERROR(Y63/H63,"0")</f>
        <v>86</v>
      </c>
      <c r="Z64" s="547">
        <f>IFERROR(IF(Z61="",0,Z61),"0")+IFERROR(IF(Z62="",0,Z62),"0")+IFERROR(IF(Z63="",0,Z63),"0")</f>
        <v>0.79679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380</v>
      </c>
      <c r="Y65" s="547">
        <f>IFERROR(SUM(Y61:Y63),"0")</f>
        <v>386.1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405</v>
      </c>
      <c r="Y89" s="546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422.1</v>
      </c>
      <c r="BN89" s="64">
        <f>IFERROR(Y89*I89/H89,"0")</f>
        <v>422.1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103.88888888888889</v>
      </c>
      <c r="Y90" s="547">
        <f>IFERROR(Y86/H86,"0")+IFERROR(Y87/H87,"0")+IFERROR(Y88/H88,"0")+IFERROR(Y89/H89,"0")</f>
        <v>104</v>
      </c>
      <c r="Z90" s="547">
        <f>IFERROR(IF(Z86="",0,Z86),"0")+IFERROR(IF(Z87="",0,Z87),"0")+IFERROR(IF(Z88="",0,Z88),"0")+IFERROR(IF(Z89="",0,Z89),"0")</f>
        <v>1.07752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555</v>
      </c>
      <c r="Y91" s="547">
        <f>IFERROR(SUM(Y86:Y89),"0")</f>
        <v>556.20000000000005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405</v>
      </c>
      <c r="Y95" s="546">
        <f>IFERROR(IF(X95="",0,CEILING((X95/$H95),1)*$H95),"")</f>
        <v>405</v>
      </c>
      <c r="Z95" s="36">
        <f>IFERROR(IF(Y95=0,"",ROUNDUP(Y95/H95,0)*0.00651),"")</f>
        <v>0.97650000000000003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442.79999999999995</v>
      </c>
      <c r="BN95" s="64">
        <f>IFERROR(Y95*I95/H95,"0")</f>
        <v>442.79999999999995</v>
      </c>
      <c r="BO95" s="64">
        <f>IFERROR(1/J95*(X95/H95),"0")</f>
        <v>0.82417582417582425</v>
      </c>
      <c r="BP95" s="64">
        <f>IFERROR(1/J95*(Y95/H95),"0")</f>
        <v>0.82417582417582425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187.03703703703704</v>
      </c>
      <c r="Y97" s="547">
        <f>IFERROR(Y93/H93,"0")+IFERROR(Y94/H94,"0")+IFERROR(Y95/H95,"0")+IFERROR(Y96/H96,"0")</f>
        <v>188</v>
      </c>
      <c r="Z97" s="547">
        <f>IFERROR(IF(Z93="",0,Z93),"0")+IFERROR(IF(Z94="",0,Z94),"0")+IFERROR(IF(Z95="",0,Z95),"0")+IFERROR(IF(Z96="",0,Z96),"0")</f>
        <v>1.69774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705</v>
      </c>
      <c r="Y98" s="547">
        <f>IFERROR(SUM(Y93:Y96),"0")</f>
        <v>712.8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70</v>
      </c>
      <c r="Y101" s="546">
        <f>IFERROR(IF(X101="",0,CEILING((X101/$H101),1)*$H101),"")</f>
        <v>75.600000000000009</v>
      </c>
      <c r="Z101" s="36">
        <f>IFERROR(IF(Y101=0,"",ROUNDUP(Y101/H101,0)*0.01898),"")</f>
        <v>0.13286000000000001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72.657407407407405</v>
      </c>
      <c r="BN101" s="64">
        <f>IFERROR(Y101*I101/H101,"0")</f>
        <v>78.47</v>
      </c>
      <c r="BO101" s="64">
        <f>IFERROR(1/J101*(X101/H101),"0")</f>
        <v>0.10127314814814814</v>
      </c>
      <c r="BP101" s="64">
        <f>IFERROR(1/J101*(Y101/H101),"0")</f>
        <v>0.109375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315</v>
      </c>
      <c r="Y104" s="546">
        <f>IFERROR(IF(X104="",0,CEILING((X104/$H104),1)*$H104),"")</f>
        <v>315</v>
      </c>
      <c r="Z104" s="36">
        <f>IFERROR(IF(Y104=0,"",ROUNDUP(Y104/H104,0)*0.00902),"")</f>
        <v>0.63139999999999996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328.3</v>
      </c>
      <c r="BN104" s="64">
        <f>IFERROR(Y104*I104/H104,"0")</f>
        <v>328.3</v>
      </c>
      <c r="BO104" s="64">
        <f>IFERROR(1/J104*(X104/H104),"0")</f>
        <v>0.53030303030303028</v>
      </c>
      <c r="BP104" s="64">
        <f>IFERROR(1/J104*(Y104/H104),"0")</f>
        <v>0.53030303030303028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76.481481481481481</v>
      </c>
      <c r="Y106" s="547">
        <f>IFERROR(Y101/H101,"0")+IFERROR(Y102/H102,"0")+IFERROR(Y103/H103,"0")+IFERROR(Y104/H104,"0")+IFERROR(Y105/H105,"0")</f>
        <v>77</v>
      </c>
      <c r="Z106" s="547">
        <f>IFERROR(IF(Z101="",0,Z101),"0")+IFERROR(IF(Z102="",0,Z102),"0")+IFERROR(IF(Z103="",0,Z103),"0")+IFERROR(IF(Z104="",0,Z104),"0")+IFERROR(IF(Z105="",0,Z105),"0")</f>
        <v>0.76425999999999994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385</v>
      </c>
      <c r="Y107" s="547">
        <f>IFERROR(SUM(Y101:Y105),"0")</f>
        <v>390.6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400</v>
      </c>
      <c r="Y116" s="546">
        <f>IFERROR(IF(X116="",0,CEILING((X116/$H116),1)*$H116),"")</f>
        <v>405</v>
      </c>
      <c r="Z116" s="36">
        <f>IFERROR(IF(Y116=0,"",ROUNDUP(Y116/H116,0)*0.01898),"")</f>
        <v>0.94900000000000007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424.09876543209879</v>
      </c>
      <c r="BN116" s="64">
        <f>IFERROR(Y116*I116/H116,"0")</f>
        <v>429.4</v>
      </c>
      <c r="BO116" s="64">
        <f>IFERROR(1/J116*(X116/H116),"0")</f>
        <v>0.77160493827160492</v>
      </c>
      <c r="BP116" s="64">
        <f>IFERROR(1/J116*(Y116/H116),"0")</f>
        <v>0.78125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21</v>
      </c>
      <c r="Y119" s="546">
        <f>IFERROR(IF(X119="",0,CEILING((X119/$H119),1)*$H119),"")</f>
        <v>21.6</v>
      </c>
      <c r="Z119" s="36">
        <f>IFERROR(IF(Y119=0,"",ROUNDUP(Y119/H119,0)*0.00651),"")</f>
        <v>7.8119999999999995E-2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23.099999999999998</v>
      </c>
      <c r="BN119" s="64">
        <f>IFERROR(Y119*I119/H119,"0")</f>
        <v>23.76</v>
      </c>
      <c r="BO119" s="64">
        <f>IFERROR(1/J119*(X119/H119),"0")</f>
        <v>6.4102564102564111E-2</v>
      </c>
      <c r="BP119" s="64">
        <f>IFERROR(1/J119*(Y119/H119),"0")</f>
        <v>6.5934065934065936E-2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177.71604938271602</v>
      </c>
      <c r="Y120" s="547">
        <f>IFERROR(Y116/H116,"0")+IFERROR(Y117/H117,"0")+IFERROR(Y118/H118,"0")+IFERROR(Y119/H119,"0")</f>
        <v>179</v>
      </c>
      <c r="Z120" s="547">
        <f>IFERROR(IF(Z116="",0,Z116),"0")+IFERROR(IF(Z117="",0,Z117),"0")+IFERROR(IF(Z118="",0,Z118),"0")+IFERROR(IF(Z119="",0,Z119),"0")</f>
        <v>1.7887900000000001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736</v>
      </c>
      <c r="Y121" s="547">
        <f>IFERROR(SUM(Y116:Y119),"0")</f>
        <v>742.50000000000011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33</v>
      </c>
      <c r="Y123" s="546">
        <f>IFERROR(IF(X123="",0,CEILING((X123/$H123),1)*$H123),"")</f>
        <v>33.659999999999997</v>
      </c>
      <c r="Z123" s="36">
        <f>IFERROR(IF(Y123=0,"",ROUNDUP(Y123/H123,0)*0.00651),"")</f>
        <v>0.11067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37.299999999999997</v>
      </c>
      <c r="BN123" s="64">
        <f>IFERROR(Y123*I123/H123,"0")</f>
        <v>38.045999999999992</v>
      </c>
      <c r="BO123" s="64">
        <f>IFERROR(1/J123*(X123/H123),"0")</f>
        <v>9.1575091575091583E-2</v>
      </c>
      <c r="BP123" s="64">
        <f>IFERROR(1/J123*(Y123/H123),"0")</f>
        <v>9.3406593406593408E-2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16.666666666666668</v>
      </c>
      <c r="Y124" s="547">
        <f>IFERROR(Y123/H123,"0")</f>
        <v>17</v>
      </c>
      <c r="Z124" s="547">
        <f>IFERROR(IF(Z123="",0,Z123),"0")</f>
        <v>0.11067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33</v>
      </c>
      <c r="Y125" s="547">
        <f>IFERROR(SUM(Y123:Y123),"0")</f>
        <v>33.659999999999997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56</v>
      </c>
      <c r="Y128" s="546">
        <f>IFERROR(IF(X128="",0,CEILING((X128/$H128),1)*$H128),"")</f>
        <v>57.6</v>
      </c>
      <c r="Z128" s="36">
        <f>IFERROR(IF(Y128=0,"",ROUNDUP(Y128/H128,0)*0.00651),"")</f>
        <v>0.11718000000000001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59.15</v>
      </c>
      <c r="BN128" s="64">
        <f>IFERROR(Y128*I128/H128,"0")</f>
        <v>60.839999999999996</v>
      </c>
      <c r="BO128" s="64">
        <f>IFERROR(1/J128*(X128/H128),"0")</f>
        <v>9.6153846153846159E-2</v>
      </c>
      <c r="BP128" s="64">
        <f>IFERROR(1/J128*(Y128/H128),"0")</f>
        <v>9.8901098901098911E-2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17.5</v>
      </c>
      <c r="Y130" s="547">
        <f>IFERROR(Y128/H128,"0")+IFERROR(Y129/H129,"0")</f>
        <v>18</v>
      </c>
      <c r="Z130" s="547">
        <f>IFERROR(IF(Z128="",0,Z128),"0")+IFERROR(IF(Z129="",0,Z129),"0")</f>
        <v>0.11718000000000001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56</v>
      </c>
      <c r="Y131" s="547">
        <f>IFERROR(SUM(Y128:Y129),"0")</f>
        <v>57.6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52.5</v>
      </c>
      <c r="Y134" s="546">
        <f>IFERROR(IF(X134="",0,CEILING((X134/$H134),1)*$H134),"")</f>
        <v>53.199999999999996</v>
      </c>
      <c r="Z134" s="36">
        <f>IFERROR(IF(Y134=0,"",ROUNDUP(Y134/H134,0)*0.00651),"")</f>
        <v>0.12369000000000001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57.524999999999999</v>
      </c>
      <c r="BN134" s="64">
        <f>IFERROR(Y134*I134/H134,"0")</f>
        <v>58.291999999999994</v>
      </c>
      <c r="BO134" s="64">
        <f>IFERROR(1/J134*(X134/H134),"0")</f>
        <v>0.10302197802197803</v>
      </c>
      <c r="BP134" s="64">
        <f>IFERROR(1/J134*(Y134/H134),"0")</f>
        <v>0.1043956043956044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18.75</v>
      </c>
      <c r="Y135" s="547">
        <f>IFERROR(Y133/H133,"0")+IFERROR(Y134/H134,"0")</f>
        <v>19</v>
      </c>
      <c r="Z135" s="547">
        <f>IFERROR(IF(Z133="",0,Z133),"0")+IFERROR(IF(Z134="",0,Z134),"0")</f>
        <v>0.12369000000000001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52.5</v>
      </c>
      <c r="Y136" s="547">
        <f>IFERROR(SUM(Y133:Y134),"0")</f>
        <v>53.199999999999996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52.8</v>
      </c>
      <c r="Y139" s="546">
        <f>IFERROR(IF(X139="",0,CEILING((X139/$H139),1)*$H139),"")</f>
        <v>52.800000000000004</v>
      </c>
      <c r="Z139" s="36">
        <f>IFERROR(IF(Y139=0,"",ROUNDUP(Y139/H139,0)*0.00651),"")</f>
        <v>0.13020000000000001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58.159999999999989</v>
      </c>
      <c r="BN139" s="64">
        <f>IFERROR(Y139*I139/H139,"0")</f>
        <v>58.160000000000004</v>
      </c>
      <c r="BO139" s="64">
        <f>IFERROR(1/J139*(X139/H139),"0")</f>
        <v>0.10989010989010987</v>
      </c>
      <c r="BP139" s="64">
        <f>IFERROR(1/J139*(Y139/H139),"0")</f>
        <v>0.1098901098901099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19.999999999999996</v>
      </c>
      <c r="Y140" s="547">
        <f>IFERROR(Y138/H138,"0")+IFERROR(Y139/H139,"0")</f>
        <v>20</v>
      </c>
      <c r="Z140" s="547">
        <f>IFERROR(IF(Z138="",0,Z138),"0")+IFERROR(IF(Z139="",0,Z139),"0")</f>
        <v>0.13020000000000001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52.8</v>
      </c>
      <c r="Y141" s="547">
        <f>IFERROR(SUM(Y138:Y139),"0")</f>
        <v>52.800000000000004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50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30</v>
      </c>
      <c r="Y167" s="546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31.785714285714285</v>
      </c>
      <c r="BN167" s="64">
        <f t="shared" si="7"/>
        <v>35.6</v>
      </c>
      <c r="BO167" s="64">
        <f t="shared" si="8"/>
        <v>5.4112554112554112E-2</v>
      </c>
      <c r="BP167" s="64">
        <f t="shared" si="9"/>
        <v>6.0606060606060608E-2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90</v>
      </c>
      <c r="Y168" s="546">
        <f t="shared" si="5"/>
        <v>92.4</v>
      </c>
      <c r="Z168" s="36">
        <f>IFERROR(IF(Y168=0,"",ROUNDUP(Y168/H168,0)*0.00902),"")</f>
        <v>0.19844000000000001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94.071428571428555</v>
      </c>
      <c r="BN168" s="64">
        <f t="shared" si="7"/>
        <v>96.579999999999984</v>
      </c>
      <c r="BO168" s="64">
        <f t="shared" si="8"/>
        <v>0.16233766233766234</v>
      </c>
      <c r="BP168" s="64">
        <f t="shared" si="9"/>
        <v>0.16666666666666669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98</v>
      </c>
      <c r="Y171" s="546">
        <f t="shared" si="5"/>
        <v>98.7</v>
      </c>
      <c r="Z171" s="36">
        <f>IFERROR(IF(Y171=0,"",ROUNDUP(Y171/H171,0)*0.00502),"")</f>
        <v>0.23594000000000001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104.06666666666666</v>
      </c>
      <c r="BN171" s="64">
        <f t="shared" si="7"/>
        <v>104.80999999999999</v>
      </c>
      <c r="BO171" s="64">
        <f t="shared" si="8"/>
        <v>0.19943019943019943</v>
      </c>
      <c r="BP171" s="64">
        <f t="shared" si="9"/>
        <v>0.20085470085470086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175</v>
      </c>
      <c r="Y174" s="546">
        <f t="shared" si="5"/>
        <v>176.4</v>
      </c>
      <c r="Z174" s="36">
        <f>IFERROR(IF(Y174=0,"",ROUNDUP(Y174/H174,0)*0.00502),"")</f>
        <v>0.42168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183.33333333333334</v>
      </c>
      <c r="BN174" s="64">
        <f t="shared" si="7"/>
        <v>184.8</v>
      </c>
      <c r="BO174" s="64">
        <f t="shared" si="8"/>
        <v>0.35612535612535612</v>
      </c>
      <c r="BP174" s="64">
        <f t="shared" si="9"/>
        <v>0.35897435897435903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212.14285714285711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215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1.2473000000000001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530.5</v>
      </c>
      <c r="Y178" s="547">
        <f>IFERROR(SUM(Y165:Y176),"0")</f>
        <v>539.70000000000005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7.0000000000000009</v>
      </c>
      <c r="Y180" s="546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7.0000000000000009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16.666666666666668</v>
      </c>
      <c r="Y183" s="547">
        <f>IFERROR(Y180/H180,"0")+IFERROR(Y181/H181,"0")+IFERROR(Y182/H182,"0")</f>
        <v>18</v>
      </c>
      <c r="Z183" s="547">
        <f>IFERROR(IF(Z180="",0,Z180),"0")+IFERROR(IF(Z181="",0,Z181),"0")+IFERROR(IF(Z182="",0,Z182),"0")</f>
        <v>0.1062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21.000000000000004</v>
      </c>
      <c r="Y184" s="547">
        <f>IFERROR(SUM(Y180:Y182),"0")</f>
        <v>22.68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30</v>
      </c>
      <c r="Y202" s="546">
        <f t="shared" si="10"/>
        <v>32.400000000000006</v>
      </c>
      <c r="Z202" s="36">
        <f>IFERROR(IF(Y202=0,"",ROUNDUP(Y202/H202,0)*0.00902),"")</f>
        <v>5.4120000000000001E-2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31.05555555555555</v>
      </c>
      <c r="BN202" s="64">
        <f t="shared" si="12"/>
        <v>33.54</v>
      </c>
      <c r="BO202" s="64">
        <f t="shared" si="13"/>
        <v>4.208754208754209E-2</v>
      </c>
      <c r="BP202" s="64">
        <f t="shared" si="14"/>
        <v>4.5454545454545463E-2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430</v>
      </c>
      <c r="Y203" s="546">
        <f t="shared" si="10"/>
        <v>432</v>
      </c>
      <c r="Z203" s="36">
        <f>IFERROR(IF(Y203=0,"",ROUNDUP(Y203/H203,0)*0.00902),"")</f>
        <v>0.72160000000000002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445.12962962962956</v>
      </c>
      <c r="BN203" s="64">
        <f t="shared" si="12"/>
        <v>447.2</v>
      </c>
      <c r="BO203" s="64">
        <f t="shared" si="13"/>
        <v>0.60325476992143656</v>
      </c>
      <c r="BP203" s="64">
        <f t="shared" si="14"/>
        <v>0.60606060606060608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70</v>
      </c>
      <c r="Y204" s="546">
        <f t="shared" si="10"/>
        <v>70.2</v>
      </c>
      <c r="Z204" s="36">
        <f>IFERROR(IF(Y204=0,"",ROUNDUP(Y204/H204,0)*0.00902),"")</f>
        <v>0.11726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72.462962962962962</v>
      </c>
      <c r="BN204" s="64">
        <f t="shared" si="12"/>
        <v>72.67</v>
      </c>
      <c r="BO204" s="64">
        <f t="shared" si="13"/>
        <v>9.8204264870931535E-2</v>
      </c>
      <c r="BP204" s="64">
        <f t="shared" si="14"/>
        <v>9.8484848484848481E-2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96</v>
      </c>
      <c r="Y205" s="546">
        <f t="shared" si="10"/>
        <v>97.2</v>
      </c>
      <c r="Z205" s="36">
        <f>IFERROR(IF(Y205=0,"",ROUNDUP(Y205/H205,0)*0.00502),"")</f>
        <v>0.27107999999999999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102.93333333333334</v>
      </c>
      <c r="BN205" s="64">
        <f t="shared" si="12"/>
        <v>104.22</v>
      </c>
      <c r="BO205" s="64">
        <f t="shared" si="13"/>
        <v>0.22792022792022792</v>
      </c>
      <c r="BP205" s="64">
        <f t="shared" si="14"/>
        <v>0.23076923076923078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45</v>
      </c>
      <c r="Y206" s="546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75</v>
      </c>
      <c r="Y207" s="546">
        <f t="shared" si="10"/>
        <v>75.600000000000009</v>
      </c>
      <c r="Z207" s="36">
        <f>IFERROR(IF(Y207=0,"",ROUNDUP(Y207/H207,0)*0.00502),"")</f>
        <v>0.21084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79.166666666666671</v>
      </c>
      <c r="BN207" s="64">
        <f t="shared" si="12"/>
        <v>79.800000000000011</v>
      </c>
      <c r="BO207" s="64">
        <f t="shared" si="13"/>
        <v>0.17806267806267806</v>
      </c>
      <c r="BP207" s="64">
        <f t="shared" si="14"/>
        <v>0.17948717948717954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54</v>
      </c>
      <c r="Y208" s="546">
        <f t="shared" si="10"/>
        <v>54</v>
      </c>
      <c r="Z208" s="36">
        <f>IFERROR(IF(Y208=0,"",ROUNDUP(Y208/H208,0)*0.00502),"")</f>
        <v>0.15060000000000001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56.999999999999993</v>
      </c>
      <c r="BN208" s="64">
        <f t="shared" si="12"/>
        <v>56.999999999999993</v>
      </c>
      <c r="BO208" s="64">
        <f t="shared" si="13"/>
        <v>0.12820512820512822</v>
      </c>
      <c r="BP208" s="64">
        <f t="shared" si="14"/>
        <v>0.12820512820512822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266.66666666666663</v>
      </c>
      <c r="Y209" s="547">
        <f>IFERROR(Y201/H201,"0")+IFERROR(Y202/H202,"0")+IFERROR(Y203/H203,"0")+IFERROR(Y204/H204,"0")+IFERROR(Y205/H205,"0")+IFERROR(Y206/H206,"0")+IFERROR(Y207/H207,"0")+IFERROR(Y208/H208,"0")</f>
        <v>269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1.8223799999999999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900</v>
      </c>
      <c r="Y210" s="547">
        <f>IFERROR(SUM(Y201:Y208),"0")</f>
        <v>909.00000000000011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120</v>
      </c>
      <c r="Y214" s="546">
        <f t="shared" si="15"/>
        <v>121.79999999999998</v>
      </c>
      <c r="Z214" s="36">
        <f>IFERROR(IF(Y214=0,"",ROUNDUP(Y214/H214,0)*0.01898),"")</f>
        <v>0.26572000000000001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126.8137931034483</v>
      </c>
      <c r="BN214" s="64">
        <f t="shared" si="17"/>
        <v>128.71600000000001</v>
      </c>
      <c r="BO214" s="64">
        <f t="shared" si="18"/>
        <v>0.21551724137931036</v>
      </c>
      <c r="BP214" s="64">
        <f t="shared" si="19"/>
        <v>0.21875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240</v>
      </c>
      <c r="Y215" s="546">
        <f t="shared" si="15"/>
        <v>240</v>
      </c>
      <c r="Z215" s="36">
        <f t="shared" ref="Z215:Z220" si="20">IFERROR(IF(Y215=0,"",ROUNDUP(Y215/H215,0)*0.00651),"")</f>
        <v>0.65100000000000002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267</v>
      </c>
      <c r="BN215" s="64">
        <f t="shared" si="17"/>
        <v>267</v>
      </c>
      <c r="BO215" s="64">
        <f t="shared" si="18"/>
        <v>0.5494505494505495</v>
      </c>
      <c r="BP215" s="64">
        <f t="shared" si="19"/>
        <v>0.5494505494505495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280</v>
      </c>
      <c r="Y217" s="546">
        <f t="shared" si="15"/>
        <v>280.8</v>
      </c>
      <c r="Z217" s="36">
        <f t="shared" si="20"/>
        <v>0.76167000000000007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309.40000000000003</v>
      </c>
      <c r="BN217" s="64">
        <f t="shared" si="17"/>
        <v>310.28400000000005</v>
      </c>
      <c r="BO217" s="64">
        <f t="shared" si="18"/>
        <v>0.64102564102564108</v>
      </c>
      <c r="BP217" s="64">
        <f t="shared" si="19"/>
        <v>0.64285714285714302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200</v>
      </c>
      <c r="Y220" s="546">
        <f t="shared" si="15"/>
        <v>201.6</v>
      </c>
      <c r="Z220" s="36">
        <f t="shared" si="20"/>
        <v>0.54683999999999999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221.50000000000003</v>
      </c>
      <c r="BN220" s="64">
        <f t="shared" si="17"/>
        <v>223.27200000000002</v>
      </c>
      <c r="BO220" s="64">
        <f t="shared" si="18"/>
        <v>0.45787545787545797</v>
      </c>
      <c r="BP220" s="64">
        <f t="shared" si="19"/>
        <v>0.46153846153846156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355.45977011494256</v>
      </c>
      <c r="Y221" s="547">
        <f>IFERROR(Y212/H212,"0")+IFERROR(Y213/H213,"0")+IFERROR(Y214/H214,"0")+IFERROR(Y215/H215,"0")+IFERROR(Y216/H216,"0")+IFERROR(Y217/H217,"0")+IFERROR(Y218/H218,"0")+IFERROR(Y219/H219,"0")+IFERROR(Y220/H220,"0")</f>
        <v>357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2.49865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940</v>
      </c>
      <c r="Y222" s="547">
        <f>IFERROR(SUM(Y212:Y220),"0")</f>
        <v>944.99999999999989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24</v>
      </c>
      <c r="Y224" s="54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28</v>
      </c>
      <c r="Y225" s="546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30.94</v>
      </c>
      <c r="BN225" s="64">
        <f>IFERROR(Y225*I225/H225,"0")</f>
        <v>31.824000000000002</v>
      </c>
      <c r="BO225" s="64">
        <f>IFERROR(1/J225*(X225/H225),"0")</f>
        <v>6.4102564102564111E-2</v>
      </c>
      <c r="BP225" s="64">
        <f>IFERROR(1/J225*(Y225/H225),"0")</f>
        <v>6.5934065934065936E-2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21.666666666666668</v>
      </c>
      <c r="Y226" s="547">
        <f>IFERROR(Y224/H224,"0")+IFERROR(Y225/H225,"0")</f>
        <v>22</v>
      </c>
      <c r="Z226" s="547">
        <f>IFERROR(IF(Z224="",0,Z224),"0")+IFERROR(IF(Z225="",0,Z225),"0")</f>
        <v>0.14322000000000001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52</v>
      </c>
      <c r="Y227" s="547">
        <f>IFERROR(SUM(Y224:Y225),"0")</f>
        <v>52.8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50</v>
      </c>
      <c r="Y232" s="546">
        <f t="shared" si="21"/>
        <v>58</v>
      </c>
      <c r="Z232" s="36">
        <f>IFERROR(IF(Y232=0,"",ROUNDUP(Y232/H232,0)*0.01898),"")</f>
        <v>9.4899999999999998E-2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51.767241379310349</v>
      </c>
      <c r="BN232" s="64">
        <f t="shared" si="23"/>
        <v>60.050000000000004</v>
      </c>
      <c r="BO232" s="64">
        <f t="shared" si="24"/>
        <v>6.7349137931034489E-2</v>
      </c>
      <c r="BP232" s="64">
        <f t="shared" si="25"/>
        <v>7.8125E-2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36</v>
      </c>
      <c r="Y233" s="546">
        <f t="shared" si="21"/>
        <v>36</v>
      </c>
      <c r="Z233" s="36">
        <f>IFERROR(IF(Y233=0,"",ROUNDUP(Y233/H233,0)*0.00902),"")</f>
        <v>8.1180000000000002E-2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37.71</v>
      </c>
      <c r="BN233" s="64">
        <f t="shared" si="23"/>
        <v>37.71</v>
      </c>
      <c r="BO233" s="64">
        <f t="shared" si="24"/>
        <v>6.8181818181818177E-2</v>
      </c>
      <c r="BP233" s="64">
        <f t="shared" si="25"/>
        <v>6.8181818181818177E-2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40</v>
      </c>
      <c r="Y237" s="546">
        <f t="shared" si="21"/>
        <v>40</v>
      </c>
      <c r="Z237" s="36">
        <f>IFERROR(IF(Y237=0,"",ROUNDUP(Y237/H237,0)*0.00902),"")</f>
        <v>9.0200000000000002E-2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41.900000000000006</v>
      </c>
      <c r="BN237" s="64">
        <f t="shared" si="23"/>
        <v>41.900000000000006</v>
      </c>
      <c r="BO237" s="64">
        <f t="shared" si="24"/>
        <v>7.575757575757576E-2</v>
      </c>
      <c r="BP237" s="64">
        <f t="shared" si="25"/>
        <v>7.575757575757576E-2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23.310344827586206</v>
      </c>
      <c r="Y239" s="547">
        <f>IFERROR(Y230/H230,"0")+IFERROR(Y231/H231,"0")+IFERROR(Y232/H232,"0")+IFERROR(Y233/H233,"0")+IFERROR(Y234/H234,"0")+IFERROR(Y235/H235,"0")+IFERROR(Y236/H236,"0")+IFERROR(Y237/H237,"0")+IFERROR(Y238/H238,"0")</f>
        <v>24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0.26628000000000002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126</v>
      </c>
      <c r="Y240" s="547">
        <f>IFERROR(SUM(Y230:Y238),"0")</f>
        <v>134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6</v>
      </c>
      <c r="Y251" s="546">
        <f>IFERROR(IF(X251="",0,CEILING((X251/$H251),1)*$H251),"")</f>
        <v>7.2</v>
      </c>
      <c r="Z251" s="36">
        <f>IFERROR(IF(Y251=0,"",ROUNDUP(Y251/H251,0)*0.0059),"")</f>
        <v>2.3599999999999999E-2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6.5833333333333339</v>
      </c>
      <c r="BN251" s="64">
        <f>IFERROR(Y251*I251/H251,"0")</f>
        <v>7.9</v>
      </c>
      <c r="BO251" s="64">
        <f>IFERROR(1/J251*(X251/H251),"0")</f>
        <v>1.5432098765432096E-2</v>
      </c>
      <c r="BP251" s="64">
        <f>IFERROR(1/J251*(Y251/H251),"0")</f>
        <v>1.8518518518518517E-2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2.5</v>
      </c>
      <c r="Y252" s="546">
        <f>IFERROR(IF(X252="",0,CEILING((X252/$H252),1)*$H252),"")</f>
        <v>2.7</v>
      </c>
      <c r="Z252" s="36">
        <f>IFERROR(IF(Y252=0,"",ROUNDUP(Y252/H252,0)*0.0059),"")</f>
        <v>1.77E-2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3.0277777777777777</v>
      </c>
      <c r="BN252" s="64">
        <f>IFERROR(Y252*I252/H252,"0")</f>
        <v>3.2700000000000005</v>
      </c>
      <c r="BO252" s="64">
        <f>IFERROR(1/J252*(X252/H252),"0")</f>
        <v>1.2860082304526748E-2</v>
      </c>
      <c r="BP252" s="64">
        <f>IFERROR(1/J252*(Y252/H252),"0")</f>
        <v>1.3888888888888888E-2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6.1111111111111107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4.1300000000000003E-2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8.5</v>
      </c>
      <c r="Y256" s="547">
        <f>IFERROR(SUM(Y250:Y254),"0")</f>
        <v>9.9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100</v>
      </c>
      <c r="Y277" s="546">
        <f>IFERROR(IF(X277="",0,CEILING((X277/$H277),1)*$H277),"")</f>
        <v>100.8</v>
      </c>
      <c r="Z277" s="36">
        <f>IFERROR(IF(Y277=0,"",ROUNDUP(Y277/H277,0)*0.00651),"")</f>
        <v>0.27342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110.5</v>
      </c>
      <c r="BN277" s="64">
        <f>IFERROR(Y277*I277/H277,"0")</f>
        <v>111.384</v>
      </c>
      <c r="BO277" s="64">
        <f>IFERROR(1/J277*(X277/H277),"0")</f>
        <v>0.22893772893772898</v>
      </c>
      <c r="BP277" s="64">
        <f>IFERROR(1/J277*(Y277/H277),"0")</f>
        <v>0.23076923076923078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160</v>
      </c>
      <c r="Y278" s="546">
        <f>IFERROR(IF(X278="",0,CEILING((X278/$H278),1)*$H278),"")</f>
        <v>160.79999999999998</v>
      </c>
      <c r="Z278" s="36">
        <f>IFERROR(IF(Y278=0,"",ROUNDUP(Y278/H278,0)*0.00651),"")</f>
        <v>0.43617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172</v>
      </c>
      <c r="BN278" s="64">
        <f>IFERROR(Y278*I278/H278,"0")</f>
        <v>172.85999999999999</v>
      </c>
      <c r="BO278" s="64">
        <f>IFERROR(1/J278*(X278/H278),"0")</f>
        <v>0.36630036630036633</v>
      </c>
      <c r="BP278" s="64">
        <f>IFERROR(1/J278*(Y278/H278),"0")</f>
        <v>0.36813186813186816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108.33333333333334</v>
      </c>
      <c r="Y279" s="547">
        <f>IFERROR(Y276/H276,"0")+IFERROR(Y277/H277,"0")+IFERROR(Y278/H278,"0")</f>
        <v>109</v>
      </c>
      <c r="Z279" s="547">
        <f>IFERROR(IF(Z276="",0,Z276),"0")+IFERROR(IF(Z277="",0,Z277),"0")+IFERROR(IF(Z278="",0,Z278),"0")</f>
        <v>0.70958999999999994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260</v>
      </c>
      <c r="Y280" s="547">
        <f>IFERROR(SUM(Y276:Y278),"0")</f>
        <v>261.59999999999997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8</v>
      </c>
      <c r="Y284" s="546">
        <f>IFERROR(IF(X284="",0,CEILING((X284/$H284),1)*$H284),"")</f>
        <v>9.6</v>
      </c>
      <c r="Z284" s="36">
        <f>IFERROR(IF(Y284=0,"",ROUNDUP(Y284/H284,0)*0.00651),"")</f>
        <v>2.6040000000000001E-2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8.6000000000000014</v>
      </c>
      <c r="BN284" s="64">
        <f>IFERROR(Y284*I284/H284,"0")</f>
        <v>10.32</v>
      </c>
      <c r="BO284" s="64">
        <f>IFERROR(1/J284*(X284/H284),"0")</f>
        <v>1.8315018315018316E-2</v>
      </c>
      <c r="BP284" s="64">
        <f>IFERROR(1/J284*(Y284/H284),"0")</f>
        <v>2.197802197802198E-2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3.3333333333333335</v>
      </c>
      <c r="Y285" s="547">
        <f>IFERROR(Y283/H283,"0")+IFERROR(Y284/H284,"0")</f>
        <v>4</v>
      </c>
      <c r="Z285" s="547">
        <f>IFERROR(IF(Z283="",0,Z283),"0")+IFERROR(IF(Z284="",0,Z284),"0")</f>
        <v>2.6040000000000001E-2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8</v>
      </c>
      <c r="Y286" s="547">
        <f>IFERROR(SUM(Y283:Y284),"0")</f>
        <v>9.6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140</v>
      </c>
      <c r="Y306" s="546">
        <f t="shared" si="26"/>
        <v>140.70000000000002</v>
      </c>
      <c r="Z306" s="36">
        <f>IFERROR(IF(Y306=0,"",ROUNDUP(Y306/H306,0)*0.00502),"")</f>
        <v>0.33634000000000003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146.66666666666666</v>
      </c>
      <c r="BN306" s="64">
        <f t="shared" si="28"/>
        <v>147.40000000000003</v>
      </c>
      <c r="BO306" s="64">
        <f t="shared" si="29"/>
        <v>0.28490028490028491</v>
      </c>
      <c r="BP306" s="64">
        <f t="shared" si="30"/>
        <v>0.28632478632478636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21</v>
      </c>
      <c r="Y307" s="546">
        <f t="shared" si="26"/>
        <v>21.6</v>
      </c>
      <c r="Z307" s="36">
        <f>IFERROR(IF(Y307=0,"",ROUNDUP(Y307/H307,0)*0.00651),"")</f>
        <v>7.8119999999999995E-2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23.66</v>
      </c>
      <c r="BN307" s="64">
        <f t="shared" si="28"/>
        <v>24.335999999999999</v>
      </c>
      <c r="BO307" s="64">
        <f t="shared" si="29"/>
        <v>6.4102564102564111E-2</v>
      </c>
      <c r="BP307" s="64">
        <f t="shared" si="30"/>
        <v>6.5934065934065936E-2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78.333333333333329</v>
      </c>
      <c r="Y308" s="547">
        <f>IFERROR(Y302/H302,"0")+IFERROR(Y303/H303,"0")+IFERROR(Y304/H304,"0")+IFERROR(Y305/H305,"0")+IFERROR(Y306/H306,"0")+IFERROR(Y307/H307,"0")</f>
        <v>79</v>
      </c>
      <c r="Z308" s="547">
        <f>IFERROR(IF(Z302="",0,Z302),"0")+IFERROR(IF(Z303="",0,Z303),"0")+IFERROR(IF(Z304="",0,Z304),"0")+IFERROR(IF(Z305="",0,Z305),"0")+IFERROR(IF(Z306="",0,Z306),"0")+IFERROR(IF(Z307="",0,Z307),"0")</f>
        <v>0.41446000000000005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161</v>
      </c>
      <c r="Y309" s="547">
        <f>IFERROR(SUM(Y302:Y307),"0")</f>
        <v>162.30000000000001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20</v>
      </c>
      <c r="Y318" s="546">
        <f>IFERROR(IF(X318="",0,CEILING((X318/$H318),1)*$H318),"")</f>
        <v>25.200000000000003</v>
      </c>
      <c r="Z318" s="36">
        <f>IFERROR(IF(Y318=0,"",ROUNDUP(Y318/H318,0)*0.01898),"")</f>
        <v>5.6940000000000004E-2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21.176190476190474</v>
      </c>
      <c r="BN318" s="64">
        <f>IFERROR(Y318*I318/H318,"0")</f>
        <v>26.682000000000002</v>
      </c>
      <c r="BO318" s="64">
        <f>IFERROR(1/J318*(X318/H318),"0")</f>
        <v>3.7202380952380952E-2</v>
      </c>
      <c r="BP318" s="64">
        <f>IFERROR(1/J318*(Y318/H318),"0")</f>
        <v>4.6875E-2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300</v>
      </c>
      <c r="Y319" s="546">
        <f>IFERROR(IF(X319="",0,CEILING((X319/$H319),1)*$H319),"")</f>
        <v>304.2</v>
      </c>
      <c r="Z319" s="36">
        <f>IFERROR(IF(Y319=0,"",ROUNDUP(Y319/H319,0)*0.01898),"")</f>
        <v>0.74021999999999999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319.00000000000006</v>
      </c>
      <c r="BN319" s="64">
        <f>IFERROR(Y319*I319/H319,"0")</f>
        <v>323.46600000000001</v>
      </c>
      <c r="BO319" s="64">
        <f>IFERROR(1/J319*(X319/H319),"0")</f>
        <v>0.60096153846153844</v>
      </c>
      <c r="BP319" s="64">
        <f>IFERROR(1/J319*(Y319/H319),"0")</f>
        <v>0.609375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220</v>
      </c>
      <c r="Y320" s="546">
        <f>IFERROR(IF(X320="",0,CEILING((X320/$H320),1)*$H320),"")</f>
        <v>226.8</v>
      </c>
      <c r="Z320" s="36">
        <f>IFERROR(IF(Y320=0,"",ROUNDUP(Y320/H320,0)*0.01898),"")</f>
        <v>0.51246000000000003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232.93809523809523</v>
      </c>
      <c r="BN320" s="64">
        <f>IFERROR(Y320*I320/H320,"0")</f>
        <v>240.13800000000001</v>
      </c>
      <c r="BO320" s="64">
        <f>IFERROR(1/J320*(X320/H320),"0")</f>
        <v>0.40922619047619047</v>
      </c>
      <c r="BP320" s="64">
        <f>IFERROR(1/J320*(Y320/H320),"0")</f>
        <v>0.421875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67.032967032967036</v>
      </c>
      <c r="Y321" s="547">
        <f>IFERROR(Y318/H318,"0")+IFERROR(Y319/H319,"0")+IFERROR(Y320/H320,"0")</f>
        <v>69</v>
      </c>
      <c r="Z321" s="547">
        <f>IFERROR(IF(Z318="",0,Z318),"0")+IFERROR(IF(Z319="",0,Z319),"0")+IFERROR(IF(Z320="",0,Z320),"0")</f>
        <v>1.30962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540</v>
      </c>
      <c r="Y322" s="547">
        <f>IFERROR(SUM(Y318:Y320),"0")</f>
        <v>556.20000000000005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51.000000000000007</v>
      </c>
      <c r="Y326" s="546">
        <f>IFERROR(IF(X326="",0,CEILING((X326/$H326),1)*$H326),"")</f>
        <v>51</v>
      </c>
      <c r="Z326" s="36">
        <f>IFERROR(IF(Y326=0,"",ROUNDUP(Y326/H326,0)*0.00651),"")</f>
        <v>0.13020000000000001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59.100000000000009</v>
      </c>
      <c r="BN326" s="64">
        <f>IFERROR(Y326*I326/H326,"0")</f>
        <v>59.100000000000009</v>
      </c>
      <c r="BO326" s="64">
        <f>IFERROR(1/J326*(X326/H326),"0")</f>
        <v>0.10989010989010992</v>
      </c>
      <c r="BP326" s="64">
        <f>IFERROR(1/J326*(Y326/H326),"0")</f>
        <v>0.1098901098901099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255</v>
      </c>
      <c r="Y327" s="546">
        <f>IFERROR(IF(X327="",0,CEILING((X327/$H327),1)*$H327),"")</f>
        <v>254.99999999999997</v>
      </c>
      <c r="Z327" s="36">
        <f>IFERROR(IF(Y327=0,"",ROUNDUP(Y327/H327,0)*0.00651),"")</f>
        <v>0.65100000000000002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288</v>
      </c>
      <c r="BN327" s="64">
        <f>IFERROR(Y327*I327/H327,"0")</f>
        <v>287.99999999999994</v>
      </c>
      <c r="BO327" s="64">
        <f>IFERROR(1/J327*(X327/H327),"0")</f>
        <v>0.5494505494505495</v>
      </c>
      <c r="BP327" s="64">
        <f>IFERROR(1/J327*(Y327/H327),"0")</f>
        <v>0.5494505494505495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120</v>
      </c>
      <c r="Y328" s="547">
        <f>IFERROR(Y324/H324,"0")+IFERROR(Y325/H325,"0")+IFERROR(Y326/H326,"0")+IFERROR(Y327/H327,"0")</f>
        <v>120</v>
      </c>
      <c r="Z328" s="547">
        <f>IFERROR(IF(Z324="",0,Z324),"0")+IFERROR(IF(Z325="",0,Z325),"0")+IFERROR(IF(Z326="",0,Z326),"0")+IFERROR(IF(Z327="",0,Z327),"0")</f>
        <v>0.78120000000000001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306</v>
      </c>
      <c r="Y329" s="547">
        <f>IFERROR(SUM(Y324:Y327),"0")</f>
        <v>306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560</v>
      </c>
      <c r="Y339" s="546">
        <f>IFERROR(IF(X339="",0,CEILING((X339/$H339),1)*$H339),"")</f>
        <v>560.70000000000005</v>
      </c>
      <c r="Z339" s="36">
        <f>IFERROR(IF(Y339=0,"",ROUNDUP(Y339/H339,0)*0.00651),"")</f>
        <v>1.73817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627.19999999999993</v>
      </c>
      <c r="BN339" s="64">
        <f>IFERROR(Y339*I339/H339,"0")</f>
        <v>627.98399999999992</v>
      </c>
      <c r="BO339" s="64">
        <f>IFERROR(1/J339*(X339/H339),"0")</f>
        <v>1.4652014652014651</v>
      </c>
      <c r="BP339" s="64">
        <f>IFERROR(1/J339*(Y339/H339),"0")</f>
        <v>1.4670329670329672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525</v>
      </c>
      <c r="Y340" s="546">
        <f>IFERROR(IF(X340="",0,CEILING((X340/$H340),1)*$H340),"")</f>
        <v>525</v>
      </c>
      <c r="Z340" s="36">
        <f>IFERROR(IF(Y340=0,"",ROUNDUP(Y340/H340,0)*0.00651),"")</f>
        <v>1.6274999999999999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585</v>
      </c>
      <c r="BN340" s="64">
        <f>IFERROR(Y340*I340/H340,"0")</f>
        <v>585</v>
      </c>
      <c r="BO340" s="64">
        <f>IFERROR(1/J340*(X340/H340),"0")</f>
        <v>1.3736263736263736</v>
      </c>
      <c r="BP340" s="64">
        <f>IFERROR(1/J340*(Y340/H340),"0")</f>
        <v>1.3736263736263736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516.66666666666663</v>
      </c>
      <c r="Y341" s="547">
        <f>IFERROR(Y338/H338,"0")+IFERROR(Y339/H339,"0")+IFERROR(Y340/H340,"0")</f>
        <v>517</v>
      </c>
      <c r="Z341" s="547">
        <f>IFERROR(IF(Z338="",0,Z338),"0")+IFERROR(IF(Z339="",0,Z339),"0")+IFERROR(IF(Z340="",0,Z340),"0")</f>
        <v>3.3656699999999997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1085</v>
      </c>
      <c r="Y342" s="547">
        <f>IFERROR(SUM(Y338:Y340),"0")</f>
        <v>1085.7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1300</v>
      </c>
      <c r="Y346" s="546">
        <f t="shared" ref="Y346:Y352" si="31">IFERROR(IF(X346="",0,CEILING((X346/$H346),1)*$H346),"")</f>
        <v>1305</v>
      </c>
      <c r="Z346" s="36">
        <f>IFERROR(IF(Y346=0,"",ROUNDUP(Y346/H346,0)*0.02175),"")</f>
        <v>1.8922499999999998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1340.7333333333333</v>
      </c>
      <c r="BN346" s="64">
        <f t="shared" ref="BN346:BN352" si="33">IFERROR(Y346*I346/H346,"0")</f>
        <v>1345.89</v>
      </c>
      <c r="BO346" s="64">
        <f t="shared" ref="BO346:BO352" si="34">IFERROR(1/J346*(X346/H346),"0")</f>
        <v>1.8055555555555556</v>
      </c>
      <c r="BP346" s="64">
        <f t="shared" ref="BP346:BP352" si="35">IFERROR(1/J346*(Y346/H346),"0")</f>
        <v>1.8125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1000</v>
      </c>
      <c r="Y347" s="546">
        <f t="shared" si="31"/>
        <v>1005</v>
      </c>
      <c r="Z347" s="36">
        <f>IFERROR(IF(Y347=0,"",ROUNDUP(Y347/H347,0)*0.02175),"")</f>
        <v>1.4572499999999999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1031.3333333333333</v>
      </c>
      <c r="BN347" s="64">
        <f t="shared" si="33"/>
        <v>1036.49</v>
      </c>
      <c r="BO347" s="64">
        <f t="shared" si="34"/>
        <v>1.3888888888888888</v>
      </c>
      <c r="BP347" s="64">
        <f t="shared" si="35"/>
        <v>1.3958333333333333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1500</v>
      </c>
      <c r="Y348" s="546">
        <f t="shared" si="31"/>
        <v>1500</v>
      </c>
      <c r="Z348" s="36">
        <f>IFERROR(IF(Y348=0,"",ROUNDUP(Y348/H348,0)*0.02175),"")</f>
        <v>2.1749999999999998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1547</v>
      </c>
      <c r="BN348" s="64">
        <f t="shared" si="33"/>
        <v>1547</v>
      </c>
      <c r="BO348" s="64">
        <f t="shared" si="34"/>
        <v>2.083333333333333</v>
      </c>
      <c r="BP348" s="64">
        <f t="shared" si="35"/>
        <v>2.083333333333333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600</v>
      </c>
      <c r="Y349" s="546">
        <f t="shared" si="31"/>
        <v>600</v>
      </c>
      <c r="Z349" s="36">
        <f>IFERROR(IF(Y349=0,"",ROUNDUP(Y349/H349,0)*0.02175),"")</f>
        <v>0.86999999999999988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618.79999999999995</v>
      </c>
      <c r="BN349" s="64">
        <f t="shared" si="33"/>
        <v>618.79999999999995</v>
      </c>
      <c r="BO349" s="64">
        <f t="shared" si="34"/>
        <v>0.83333333333333326</v>
      </c>
      <c r="BP349" s="64">
        <f t="shared" si="35"/>
        <v>0.83333333333333326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20</v>
      </c>
      <c r="Y352" s="546">
        <f t="shared" si="31"/>
        <v>20</v>
      </c>
      <c r="Z352" s="36">
        <f>IFERROR(IF(Y352=0,"",ROUNDUP(Y352/H352,0)*0.00902),"")</f>
        <v>3.6080000000000001E-2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20.76</v>
      </c>
      <c r="BN352" s="64">
        <f t="shared" si="33"/>
        <v>20.76</v>
      </c>
      <c r="BO352" s="64">
        <f t="shared" si="34"/>
        <v>3.0303030303030304E-2</v>
      </c>
      <c r="BP352" s="64">
        <f t="shared" si="35"/>
        <v>3.0303030303030304E-2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297.33333333333337</v>
      </c>
      <c r="Y353" s="547">
        <f>IFERROR(Y346/H346,"0")+IFERROR(Y347/H347,"0")+IFERROR(Y348/H348,"0")+IFERROR(Y349/H349,"0")+IFERROR(Y350/H350,"0")+IFERROR(Y351/H351,"0")+IFERROR(Y352/H352,"0")</f>
        <v>298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6.43058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4420</v>
      </c>
      <c r="Y354" s="547">
        <f>IFERROR(SUM(Y346:Y352),"0")</f>
        <v>4430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1100</v>
      </c>
      <c r="Y356" s="546">
        <f>IFERROR(IF(X356="",0,CEILING((X356/$H356),1)*$H356),"")</f>
        <v>1110</v>
      </c>
      <c r="Z356" s="36">
        <f>IFERROR(IF(Y356=0,"",ROUNDUP(Y356/H356,0)*0.02175),"")</f>
        <v>1.6094999999999999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1134.4666666666667</v>
      </c>
      <c r="BN356" s="64">
        <f>IFERROR(Y356*I356/H356,"0")</f>
        <v>1144.78</v>
      </c>
      <c r="BO356" s="64">
        <f>IFERROR(1/J356*(X356/H356),"0")</f>
        <v>1.5277777777777777</v>
      </c>
      <c r="BP356" s="64">
        <f>IFERROR(1/J356*(Y356/H356),"0")</f>
        <v>1.5416666666666665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73.333333333333329</v>
      </c>
      <c r="Y358" s="547">
        <f>IFERROR(Y356/H356,"0")+IFERROR(Y357/H357,"0")</f>
        <v>74</v>
      </c>
      <c r="Z358" s="547">
        <f>IFERROR(IF(Z356="",0,Z356),"0")+IFERROR(IF(Z357="",0,Z357),"0")</f>
        <v>1.6094999999999999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1100</v>
      </c>
      <c r="Y359" s="547">
        <f>IFERROR(SUM(Y356:Y357),"0")</f>
        <v>1110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30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3.3333333333333335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30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40</v>
      </c>
      <c r="Y371" s="546">
        <f>IFERROR(IF(X371="",0,CEILING((X371/$H371),1)*$H371),"")</f>
        <v>48</v>
      </c>
      <c r="Z371" s="36">
        <f>IFERROR(IF(Y371=0,"",ROUNDUP(Y371/H371,0)*0.01898),"")</f>
        <v>7.5920000000000001E-2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41.366666666666667</v>
      </c>
      <c r="BN371" s="64">
        <f>IFERROR(Y371*I371/H371,"0")</f>
        <v>49.640000000000008</v>
      </c>
      <c r="BO371" s="64">
        <f>IFERROR(1/J371*(X371/H371),"0")</f>
        <v>5.2083333333333336E-2</v>
      </c>
      <c r="BP371" s="64">
        <f>IFERROR(1/J371*(Y371/H371),"0")</f>
        <v>6.25E-2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3.3333333333333335</v>
      </c>
      <c r="Y373" s="547">
        <f>IFERROR(Y371/H371,"0")+IFERROR(Y372/H372,"0")</f>
        <v>4</v>
      </c>
      <c r="Z373" s="547">
        <f>IFERROR(IF(Z371="",0,Z371),"0")+IFERROR(IF(Z372="",0,Z372),"0")</f>
        <v>7.5920000000000001E-2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40</v>
      </c>
      <c r="Y374" s="547">
        <f>IFERROR(SUM(Y371:Y372),"0")</f>
        <v>48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20</v>
      </c>
      <c r="Y381" s="546">
        <f>IFERROR(IF(X381="",0,CEILING((X381/$H381),1)*$H381),"")</f>
        <v>27</v>
      </c>
      <c r="Z381" s="36">
        <f>IFERROR(IF(Y381=0,"",ROUNDUP(Y381/H381,0)*0.01898),"")</f>
        <v>5.6940000000000004E-2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21.097777777777779</v>
      </c>
      <c r="BN381" s="64">
        <f>IFERROR(Y381*I381/H381,"0")</f>
        <v>28.481999999999996</v>
      </c>
      <c r="BO381" s="64">
        <f>IFERROR(1/J381*(X381/H381),"0")</f>
        <v>3.4722222222222224E-2</v>
      </c>
      <c r="BP381" s="64">
        <f>IFERROR(1/J381*(Y381/H381),"0")</f>
        <v>4.6875E-2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2.2222222222222223</v>
      </c>
      <c r="Y384" s="547">
        <f>IFERROR(Y381/H381,"0")+IFERROR(Y382/H382,"0")+IFERROR(Y383/H383,"0")</f>
        <v>3</v>
      </c>
      <c r="Z384" s="547">
        <f>IFERROR(IF(Z381="",0,Z381),"0")+IFERROR(IF(Z382="",0,Z382),"0")+IFERROR(IF(Z383="",0,Z383),"0")</f>
        <v>5.6940000000000004E-2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20</v>
      </c>
      <c r="Y385" s="547">
        <f>IFERROR(SUM(Y381:Y383),"0")</f>
        <v>27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28</v>
      </c>
      <c r="Y393" s="546">
        <f t="shared" si="36"/>
        <v>29.400000000000002</v>
      </c>
      <c r="Z393" s="36">
        <f t="shared" si="41"/>
        <v>7.0280000000000009E-2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29.733333333333331</v>
      </c>
      <c r="BN393" s="64">
        <f t="shared" si="38"/>
        <v>31.22</v>
      </c>
      <c r="BO393" s="64">
        <f t="shared" si="39"/>
        <v>5.6980056980056981E-2</v>
      </c>
      <c r="BP393" s="64">
        <f t="shared" si="40"/>
        <v>5.9829059829059839E-2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70</v>
      </c>
      <c r="Y396" s="546">
        <f t="shared" si="36"/>
        <v>71.400000000000006</v>
      </c>
      <c r="Z396" s="36">
        <f t="shared" si="41"/>
        <v>0.17068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74.333333333333329</v>
      </c>
      <c r="BN396" s="64">
        <f t="shared" si="38"/>
        <v>75.820000000000007</v>
      </c>
      <c r="BO396" s="64">
        <f t="shared" si="39"/>
        <v>0.14245014245014245</v>
      </c>
      <c r="BP396" s="64">
        <f t="shared" si="40"/>
        <v>0.14529914529914531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46.666666666666657</v>
      </c>
      <c r="Y398" s="547">
        <f>IFERROR(Y389/H389,"0")+IFERROR(Y390/H390,"0")+IFERROR(Y391/H391,"0")+IFERROR(Y392/H392,"0")+IFERROR(Y393/H393,"0")+IFERROR(Y394/H394,"0")+IFERROR(Y395/H395,"0")+IFERROR(Y396/H396,"0")+IFERROR(Y397/H397,"0")</f>
        <v>48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0.24096000000000001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98</v>
      </c>
      <c r="Y399" s="547">
        <f>IFERROR(SUM(Y389:Y397),"0")</f>
        <v>100.80000000000001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24</v>
      </c>
      <c r="Y419" s="546">
        <f>IFERROR(IF(X419="",0,CEILING((X419/$H419),1)*$H419),"")</f>
        <v>24</v>
      </c>
      <c r="Z419" s="36">
        <f>IFERROR(IF(Y419=0,"",ROUNDUP(Y419/H419,0)*0.00651),"")</f>
        <v>0.13020000000000001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42.000000000000007</v>
      </c>
      <c r="BN419" s="64">
        <f>IFERROR(Y419*I419/H419,"0")</f>
        <v>42.000000000000007</v>
      </c>
      <c r="BO419" s="64">
        <f>IFERROR(1/J419*(X419/H419),"0")</f>
        <v>0.1098901098901099</v>
      </c>
      <c r="BP419" s="64">
        <f>IFERROR(1/J419*(Y419/H419),"0")</f>
        <v>0.1098901098901099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20</v>
      </c>
      <c r="Y420" s="547">
        <f>IFERROR(Y419/H419,"0")</f>
        <v>20</v>
      </c>
      <c r="Z420" s="547">
        <f>IFERROR(IF(Z419="",0,Z419),"0")</f>
        <v>0.13020000000000001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24</v>
      </c>
      <c r="Y421" s="547">
        <f>IFERROR(SUM(Y419:Y419),"0")</f>
        <v>24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150</v>
      </c>
      <c r="Y429" s="546">
        <f t="shared" si="42"/>
        <v>153.12</v>
      </c>
      <c r="Z429" s="36">
        <f t="shared" si="43"/>
        <v>0.34683999999999998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159.94318181818181</v>
      </c>
      <c r="BN429" s="64">
        <f t="shared" si="45"/>
        <v>163.26999999999998</v>
      </c>
      <c r="BO429" s="64">
        <f t="shared" si="46"/>
        <v>0.27316433566433568</v>
      </c>
      <c r="BP429" s="64">
        <f t="shared" si="47"/>
        <v>0.27884615384615385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132</v>
      </c>
      <c r="Y436" s="546">
        <f t="shared" si="42"/>
        <v>134.4</v>
      </c>
      <c r="Z436" s="36">
        <f>IFERROR(IF(Y436=0,"",ROUNDUP(Y436/H436,0)*0.00902),"")</f>
        <v>0.25256000000000001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190.02500000000001</v>
      </c>
      <c r="BN436" s="64">
        <f t="shared" si="45"/>
        <v>193.48000000000002</v>
      </c>
      <c r="BO436" s="64">
        <f t="shared" si="46"/>
        <v>0.20833333333333334</v>
      </c>
      <c r="BP436" s="64">
        <f t="shared" si="47"/>
        <v>0.21212121212121215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147.19696969696969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149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1.62622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752</v>
      </c>
      <c r="Y438" s="547">
        <f>IFERROR(SUM(Y425:Y436),"0")</f>
        <v>761.28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200</v>
      </c>
      <c r="Y440" s="546">
        <f>IFERROR(IF(X440="",0,CEILING((X440/$H440),1)*$H440),"")</f>
        <v>200.64000000000001</v>
      </c>
      <c r="Z440" s="36">
        <f>IFERROR(IF(Y440=0,"",ROUNDUP(Y440/H440,0)*0.01196),"")</f>
        <v>0.45448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213.25757575757575</v>
      </c>
      <c r="BN440" s="64">
        <f>IFERROR(Y440*I440/H440,"0")</f>
        <v>213.94</v>
      </c>
      <c r="BO440" s="64">
        <f>IFERROR(1/J440*(X440/H440),"0")</f>
        <v>0.36421911421911418</v>
      </c>
      <c r="BP440" s="64">
        <f>IFERROR(1/J440*(Y440/H440),"0")</f>
        <v>0.36538461538461542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37.878787878787875</v>
      </c>
      <c r="Y443" s="547">
        <f>IFERROR(Y440/H440,"0")+IFERROR(Y441/H441,"0")+IFERROR(Y442/H442,"0")</f>
        <v>38</v>
      </c>
      <c r="Z443" s="547">
        <f>IFERROR(IF(Z440="",0,Z440),"0")+IFERROR(IF(Z441="",0,Z441),"0")+IFERROR(IF(Z442="",0,Z442),"0")</f>
        <v>0.45448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200</v>
      </c>
      <c r="Y444" s="547">
        <f>IFERROR(SUM(Y440:Y442),"0")</f>
        <v>200.64000000000001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60</v>
      </c>
      <c r="Y446" s="546">
        <f t="shared" ref="Y446:Y451" si="48">IFERROR(IF(X446="",0,CEILING((X446/$H446),1)*$H446),"")</f>
        <v>63.36</v>
      </c>
      <c r="Z446" s="36">
        <f>IFERROR(IF(Y446=0,"",ROUNDUP(Y446/H446,0)*0.01196),"")</f>
        <v>0.14352000000000001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63.977272727272727</v>
      </c>
      <c r="BN446" s="64">
        <f t="shared" ref="BN446:BN451" si="50">IFERROR(Y446*I446/H446,"0")</f>
        <v>67.559999999999988</v>
      </c>
      <c r="BO446" s="64">
        <f t="shared" ref="BO446:BO451" si="51">IFERROR(1/J446*(X446/H446),"0")</f>
        <v>0.10926573426573427</v>
      </c>
      <c r="BP446" s="64">
        <f t="shared" ref="BP446:BP451" si="52">IFERROR(1/J446*(Y446/H446),"0")</f>
        <v>0.11538461538461539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42</v>
      </c>
      <c r="Y449" s="546">
        <f t="shared" si="48"/>
        <v>43.199999999999996</v>
      </c>
      <c r="Z449" s="36">
        <f>IFERROR(IF(Y449=0,"",ROUNDUP(Y449/H449,0)*0.00902),"")</f>
        <v>8.1180000000000002E-2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60.462500000000006</v>
      </c>
      <c r="BN449" s="64">
        <f t="shared" si="50"/>
        <v>62.190000000000005</v>
      </c>
      <c r="BO449" s="64">
        <f t="shared" si="51"/>
        <v>6.6287878787878785E-2</v>
      </c>
      <c r="BP449" s="64">
        <f t="shared" si="52"/>
        <v>6.8181818181818177E-2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12</v>
      </c>
      <c r="Y450" s="546">
        <f t="shared" si="48"/>
        <v>14.399999999999999</v>
      </c>
      <c r="Z450" s="36">
        <f>IFERROR(IF(Y450=0,"",ROUNDUP(Y450/H450,0)*0.00902),"")</f>
        <v>2.7060000000000001E-2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16.675000000000001</v>
      </c>
      <c r="BN450" s="64">
        <f t="shared" si="50"/>
        <v>20.009999999999998</v>
      </c>
      <c r="BO450" s="64">
        <f t="shared" si="51"/>
        <v>1.893939393939394E-2</v>
      </c>
      <c r="BP450" s="64">
        <f t="shared" si="52"/>
        <v>2.2727272727272728E-2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84</v>
      </c>
      <c r="Y451" s="546">
        <f t="shared" si="48"/>
        <v>86.399999999999991</v>
      </c>
      <c r="Z451" s="36">
        <f>IFERROR(IF(Y451=0,"",ROUNDUP(Y451/H451,0)*0.00902),"")</f>
        <v>0.16236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116.72499999999999</v>
      </c>
      <c r="BN451" s="64">
        <f t="shared" si="50"/>
        <v>120.05999999999999</v>
      </c>
      <c r="BO451" s="64">
        <f t="shared" si="51"/>
        <v>0.13257575757575757</v>
      </c>
      <c r="BP451" s="64">
        <f t="shared" si="52"/>
        <v>0.13636363636363635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77.992424242424235</v>
      </c>
      <c r="Y452" s="547">
        <f>IFERROR(Y446/H446,"0")+IFERROR(Y447/H447,"0")+IFERROR(Y448/H448,"0")+IFERROR(Y449/H449,"0")+IFERROR(Y450/H450,"0")+IFERROR(Y451/H451,"0")</f>
        <v>80</v>
      </c>
      <c r="Z452" s="547">
        <f>IFERROR(IF(Z446="",0,Z446),"0")+IFERROR(IF(Z447="",0,Z447),"0")+IFERROR(IF(Z448="",0,Z448),"0")+IFERROR(IF(Z449="",0,Z449),"0")+IFERROR(IF(Z450="",0,Z450),"0")+IFERROR(IF(Z451="",0,Z451),"0")</f>
        <v>0.86860000000000004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398</v>
      </c>
      <c r="Y453" s="547">
        <f>IFERROR(SUM(Y446:Y451),"0")</f>
        <v>407.99999999999994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1200</v>
      </c>
      <c r="Y478" s="546">
        <f>IFERROR(IF(X478="",0,CEILING((X478/$H478),1)*$H478),"")</f>
        <v>1206</v>
      </c>
      <c r="Z478" s="36">
        <f>IFERROR(IF(Y478=0,"",ROUNDUP(Y478/H478,0)*0.01898),"")</f>
        <v>2.54332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1265.8666666666666</v>
      </c>
      <c r="BN478" s="64">
        <f>IFERROR(Y478*I478/H478,"0")</f>
        <v>1272.1959999999999</v>
      </c>
      <c r="BO478" s="64">
        <f>IFERROR(1/J478*(X478/H478),"0")</f>
        <v>2.0833333333333335</v>
      </c>
      <c r="BP478" s="64">
        <f>IFERROR(1/J478*(Y478/H478),"0")</f>
        <v>2.09375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133.33333333333334</v>
      </c>
      <c r="Y479" s="547">
        <f>IFERROR(Y478/H478,"0")</f>
        <v>134</v>
      </c>
      <c r="Z479" s="547">
        <f>IFERROR(IF(Z478="",0,Z478),"0")</f>
        <v>2.54332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1200</v>
      </c>
      <c r="Y480" s="547">
        <f>IFERROR(SUM(Y478:Y478),"0")</f>
        <v>1206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17492.3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17678.260000000002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18645.989587442145</v>
      </c>
      <c r="Y492" s="547">
        <f>IFERROR(SUM(BN22:BN488),"0")</f>
        <v>18844.86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31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19420.989587442145</v>
      </c>
      <c r="Y494" s="547">
        <f>GrossWeightTotalR+PalletQtyTotalR*25</f>
        <v>19644.86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3583.923190262271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3616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36.172229999999999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645.20000000000005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1052.1000000000001</v>
      </c>
      <c r="E501" s="46">
        <f>IFERROR(Y86*1,"0")+IFERROR(Y87*1,"0")+IFERROR(Y88*1,"0")+IFERROR(Y89*1,"0")+IFERROR(Y93*1,"0")+IFERROR(Y94*1,"0")+IFERROR(Y95*1,"0")+IFERROR(Y96*1,"0")</f>
        <v>1269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1166.76</v>
      </c>
      <c r="G501" s="46">
        <f>IFERROR(Y128*1,"0")+IFERROR(Y129*1,"0")+IFERROR(Y133*1,"0")+IFERROR(Y134*1,"0")+IFERROR(Y138*1,"0")+IFERROR(Y139*1,"0")</f>
        <v>163.6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562.37999999999988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1906.8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143.89999999999998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261.59999999999997</v>
      </c>
      <c r="P501" s="46">
        <f>IFERROR(Y283*1,"0")+IFERROR(Y284*1,"0")+IFERROR(Y288*1,"0")+IFERROR(Y289*1,"0")</f>
        <v>9.6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1024.5</v>
      </c>
      <c r="R501" s="46">
        <f>IFERROR(Y338*1,"0")+IFERROR(Y339*1,"0")+IFERROR(Y340*1,"0")</f>
        <v>1085.7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5603</v>
      </c>
      <c r="T501" s="46">
        <f>IFERROR(Y371*1,"0")+IFERROR(Y372*1,"0")+IFERROR(Y376*1,"0")+IFERROR(Y377*1,"0")+IFERROR(Y381*1,"0")+IFERROR(Y382*1,"0")+IFERROR(Y383*1,"0")</f>
        <v>75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100.80000000000001</v>
      </c>
      <c r="V501" s="46">
        <f>IFERROR(Y407*1,"0")+IFERROR(Y411*1,"0")+IFERROR(Y412*1,"0")+IFERROR(Y413*1,"0")+IFERROR(Y414*1,"0")</f>
        <v>8.4</v>
      </c>
      <c r="W501" s="46">
        <f>IFERROR(Y419*1,"0")</f>
        <v>24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1369.92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1206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