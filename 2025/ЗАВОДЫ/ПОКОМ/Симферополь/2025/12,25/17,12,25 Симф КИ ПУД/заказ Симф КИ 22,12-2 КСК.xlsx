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6D3A2BA-7705-40F0-B86B-BF1E7804D1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Y421" i="1" s="1"/>
  <c r="P419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Y415" i="1" s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Y404" i="1" s="1"/>
  <c r="P401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U501" i="1" s="1"/>
  <c r="P389" i="1"/>
  <c r="X385" i="1"/>
  <c r="X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4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Y378" i="1" s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T501" i="1" s="1"/>
  <c r="P371" i="1"/>
  <c r="X368" i="1"/>
  <c r="X367" i="1"/>
  <c r="BO366" i="1"/>
  <c r="BM366" i="1"/>
  <c r="Y366" i="1"/>
  <c r="Y367" i="1" s="1"/>
  <c r="P366" i="1"/>
  <c r="X364" i="1"/>
  <c r="X363" i="1"/>
  <c r="BO362" i="1"/>
  <c r="BM362" i="1"/>
  <c r="Y362" i="1"/>
  <c r="BP362" i="1" s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Y353" i="1" s="1"/>
  <c r="P346" i="1"/>
  <c r="X342" i="1"/>
  <c r="X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BO338" i="1"/>
  <c r="BM338" i="1"/>
  <c r="Y338" i="1"/>
  <c r="R501" i="1" s="1"/>
  <c r="P338" i="1"/>
  <c r="X335" i="1"/>
  <c r="X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P324" i="1"/>
  <c r="BO324" i="1"/>
  <c r="BN324" i="1"/>
  <c r="BM324" i="1"/>
  <c r="Z324" i="1"/>
  <c r="Y324" i="1"/>
  <c r="Y328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Y322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Y316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Y308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Q501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Y290" i="1" s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Y279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0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Y272" i="1" s="1"/>
  <c r="P268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L501" i="1" s="1"/>
  <c r="P259" i="1"/>
  <c r="X256" i="1"/>
  <c r="X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Y256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5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501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Y107" i="1" s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E50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Y44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1" i="1" s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4" i="1" s="1"/>
  <c r="X493" i="1"/>
  <c r="Z23" i="1"/>
  <c r="Z24" i="1" s="1"/>
  <c r="BN23" i="1"/>
  <c r="Y24" i="1"/>
  <c r="Z27" i="1"/>
  <c r="BN27" i="1"/>
  <c r="Y492" i="1" s="1"/>
  <c r="BP27" i="1"/>
  <c r="Z29" i="1"/>
  <c r="BN29" i="1"/>
  <c r="Z31" i="1"/>
  <c r="BN31" i="1"/>
  <c r="Y32" i="1"/>
  <c r="BP42" i="1"/>
  <c r="BN42" i="1"/>
  <c r="Z42" i="1"/>
  <c r="Z44" i="1" s="1"/>
  <c r="BP55" i="1"/>
  <c r="BN55" i="1"/>
  <c r="Z55" i="1"/>
  <c r="BP63" i="1"/>
  <c r="BN63" i="1"/>
  <c r="Z63" i="1"/>
  <c r="Y71" i="1"/>
  <c r="Y70" i="1"/>
  <c r="BP67" i="1"/>
  <c r="BN67" i="1"/>
  <c r="Z67" i="1"/>
  <c r="F9" i="1"/>
  <c r="J9" i="1"/>
  <c r="Y25" i="1"/>
  <c r="BP53" i="1"/>
  <c r="Y493" i="1" s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Z130" i="1"/>
  <c r="C501" i="1"/>
  <c r="Y45" i="1"/>
  <c r="D501" i="1"/>
  <c r="Y58" i="1"/>
  <c r="Z69" i="1"/>
  <c r="BN69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1" i="1"/>
  <c r="Z103" i="1"/>
  <c r="Z106" i="1" s="1"/>
  <c r="BN103" i="1"/>
  <c r="BP103" i="1"/>
  <c r="Z105" i="1"/>
  <c r="BN105" i="1"/>
  <c r="Y106" i="1"/>
  <c r="Z109" i="1"/>
  <c r="Z113" i="1" s="1"/>
  <c r="BN109" i="1"/>
  <c r="BP109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G501" i="1"/>
  <c r="Z129" i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1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BP205" i="1"/>
  <c r="BN205" i="1"/>
  <c r="Z205" i="1"/>
  <c r="Y209" i="1"/>
  <c r="Y221" i="1"/>
  <c r="BP213" i="1"/>
  <c r="BN213" i="1"/>
  <c r="Z213" i="1"/>
  <c r="Z221" i="1" s="1"/>
  <c r="Y91" i="1"/>
  <c r="Y146" i="1"/>
  <c r="Y193" i="1"/>
  <c r="BP207" i="1"/>
  <c r="BN207" i="1"/>
  <c r="Z207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BP250" i="1"/>
  <c r="Z252" i="1"/>
  <c r="BN252" i="1"/>
  <c r="Z254" i="1"/>
  <c r="BN254" i="1"/>
  <c r="Y255" i="1"/>
  <c r="Z259" i="1"/>
  <c r="BN259" i="1"/>
  <c r="BP259" i="1"/>
  <c r="Z261" i="1"/>
  <c r="BN261" i="1"/>
  <c r="Z263" i="1"/>
  <c r="BN263" i="1"/>
  <c r="Y264" i="1"/>
  <c r="Z268" i="1"/>
  <c r="BN268" i="1"/>
  <c r="BP268" i="1"/>
  <c r="Z270" i="1"/>
  <c r="BN270" i="1"/>
  <c r="Z279" i="1"/>
  <c r="BP277" i="1"/>
  <c r="BN277" i="1"/>
  <c r="Z277" i="1"/>
  <c r="BP295" i="1"/>
  <c r="BN295" i="1"/>
  <c r="Z295" i="1"/>
  <c r="Y299" i="1"/>
  <c r="BP303" i="1"/>
  <c r="BN303" i="1"/>
  <c r="Z303" i="1"/>
  <c r="Z308" i="1" s="1"/>
  <c r="Y309" i="1"/>
  <c r="Y240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Z299" i="1" s="1"/>
  <c r="Z484" i="1"/>
  <c r="Y315" i="1"/>
  <c r="Y321" i="1"/>
  <c r="Y329" i="1"/>
  <c r="Y335" i="1"/>
  <c r="Y342" i="1"/>
  <c r="Y354" i="1"/>
  <c r="Y358" i="1"/>
  <c r="Y364" i="1"/>
  <c r="Y368" i="1"/>
  <c r="Y373" i="1"/>
  <c r="Y379" i="1"/>
  <c r="Y385" i="1"/>
  <c r="Y399" i="1"/>
  <c r="Y403" i="1"/>
  <c r="Y416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Y485" i="1"/>
  <c r="Z501" i="1"/>
  <c r="Y489" i="1"/>
  <c r="BP488" i="1"/>
  <c r="BN488" i="1"/>
  <c r="Z488" i="1"/>
  <c r="Z489" i="1" s="1"/>
  <c r="Y490" i="1"/>
  <c r="O501" i="1"/>
  <c r="S501" i="1"/>
  <c r="W501" i="1"/>
  <c r="P501" i="1"/>
  <c r="Y285" i="1"/>
  <c r="Y300" i="1"/>
  <c r="Z305" i="1"/>
  <c r="BN305" i="1"/>
  <c r="Z307" i="1"/>
  <c r="BN307" i="1"/>
  <c r="Z311" i="1"/>
  <c r="BN311" i="1"/>
  <c r="BP311" i="1"/>
  <c r="Z313" i="1"/>
  <c r="BN313" i="1"/>
  <c r="Z319" i="1"/>
  <c r="Z321" i="1" s="1"/>
  <c r="BN319" i="1"/>
  <c r="Z325" i="1"/>
  <c r="Z328" i="1" s="1"/>
  <c r="BN325" i="1"/>
  <c r="Z327" i="1"/>
  <c r="BN327" i="1"/>
  <c r="Z331" i="1"/>
  <c r="Z334" i="1" s="1"/>
  <c r="BN331" i="1"/>
  <c r="BP331" i="1"/>
  <c r="Z333" i="1"/>
  <c r="BN333" i="1"/>
  <c r="Z338" i="1"/>
  <c r="BN338" i="1"/>
  <c r="BP338" i="1"/>
  <c r="Z340" i="1"/>
  <c r="BN340" i="1"/>
  <c r="Y341" i="1"/>
  <c r="Z346" i="1"/>
  <c r="BN346" i="1"/>
  <c r="BP346" i="1"/>
  <c r="Z348" i="1"/>
  <c r="BN348" i="1"/>
  <c r="Z350" i="1"/>
  <c r="BN350" i="1"/>
  <c r="Z352" i="1"/>
  <c r="BN352" i="1"/>
  <c r="Z356" i="1"/>
  <c r="Z358" i="1" s="1"/>
  <c r="BN356" i="1"/>
  <c r="BP356" i="1"/>
  <c r="Z362" i="1"/>
  <c r="Z363" i="1" s="1"/>
  <c r="BN362" i="1"/>
  <c r="Z366" i="1"/>
  <c r="Z367" i="1" s="1"/>
  <c r="BN366" i="1"/>
  <c r="BP366" i="1"/>
  <c r="Z371" i="1"/>
  <c r="Z373" i="1" s="1"/>
  <c r="BN371" i="1"/>
  <c r="BP371" i="1"/>
  <c r="Y374" i="1"/>
  <c r="Z377" i="1"/>
  <c r="Z378" i="1" s="1"/>
  <c r="BN377" i="1"/>
  <c r="Z381" i="1"/>
  <c r="Z384" i="1" s="1"/>
  <c r="BN381" i="1"/>
  <c r="BP381" i="1"/>
  <c r="Z383" i="1"/>
  <c r="BN383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Z403" i="1" s="1"/>
  <c r="BN401" i="1"/>
  <c r="BP401" i="1"/>
  <c r="V501" i="1"/>
  <c r="Y409" i="1"/>
  <c r="Z412" i="1"/>
  <c r="Z415" i="1" s="1"/>
  <c r="BN412" i="1"/>
  <c r="Z414" i="1"/>
  <c r="BN414" i="1"/>
  <c r="Z419" i="1"/>
  <c r="Z420" i="1" s="1"/>
  <c r="BN419" i="1"/>
  <c r="BP419" i="1"/>
  <c r="Y420" i="1"/>
  <c r="X501" i="1"/>
  <c r="BP427" i="1"/>
  <c r="BN427" i="1"/>
  <c r="Z427" i="1"/>
  <c r="BP431" i="1"/>
  <c r="BN431" i="1"/>
  <c r="Z431" i="1"/>
  <c r="BP435" i="1"/>
  <c r="BN435" i="1"/>
  <c r="Z435" i="1"/>
  <c r="Y444" i="1"/>
  <c r="Y443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Y494" i="1" l="1"/>
  <c r="Y495" i="1"/>
  <c r="Z465" i="1"/>
  <c r="Z398" i="1"/>
  <c r="Z353" i="1"/>
  <c r="Z341" i="1"/>
  <c r="Z315" i="1"/>
  <c r="Z272" i="1"/>
  <c r="Z264" i="1"/>
  <c r="Z255" i="1"/>
  <c r="Z239" i="1"/>
  <c r="Z183" i="1"/>
  <c r="Z177" i="1"/>
  <c r="Z97" i="1"/>
  <c r="Z90" i="1"/>
  <c r="Y491" i="1"/>
  <c r="Z70" i="1"/>
  <c r="Z496" i="1" s="1"/>
  <c r="Z32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<sst xmlns="http://schemas.openxmlformats.org/spreadsheetml/2006/main" count="2293" uniqueCount="775">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</sst>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300</v>
      </c>
      <c r="Y41" s="546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320</v>
      </c>
      <c r="Y42" s="546">
        <f>IFERROR(IF(X42="",0,CEILING((X42/$H42),1)*$H42),"")</f>
        <v>320</v>
      </c>
      <c r="Z42" s="36">
        <f>IFERROR(IF(Y42=0,"",ROUNDUP(Y42/H42,0)*0.00902),"")</f>
        <v>0.72160000000000002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335.20000000000005</v>
      </c>
      <c r="BN42" s="64">
        <f>IFERROR(Y42*I42/H42,"0")</f>
        <v>335.20000000000005</v>
      </c>
      <c r="BO42" s="64">
        <f>IFERROR(1/J42*(X42/H42),"0")</f>
        <v>0.60606060606060608</v>
      </c>
      <c r="BP42" s="64">
        <f>IFERROR(1/J42*(Y42/H42),"0")</f>
        <v>0.60606060606060608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107.77777777777777</v>
      </c>
      <c r="Y44" s="547">
        <f>IFERROR(Y41/H41,"0")+IFERROR(Y42/H42,"0")+IFERROR(Y43/H43,"0")</f>
        <v>108</v>
      </c>
      <c r="Z44" s="547">
        <f>IFERROR(IF(Z41="",0,Z41),"0")+IFERROR(IF(Z42="",0,Z42),"0")+IFERROR(IF(Z43="",0,Z43),"0")</f>
        <v>1.2530399999999999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620</v>
      </c>
      <c r="Y45" s="547">
        <f>IFERROR(SUM(Y41:Y43),"0")</f>
        <v>622.40000000000009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495</v>
      </c>
      <c r="Y57" s="546">
        <f t="shared" si="0"/>
        <v>495</v>
      </c>
      <c r="Z57" s="36">
        <f>IFERROR(IF(Y57=0,"",ROUNDUP(Y57/H57,0)*0.00902),"")</f>
        <v>0.99219999999999997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515.90000000000009</v>
      </c>
      <c r="BN57" s="64">
        <f t="shared" si="2"/>
        <v>515.90000000000009</v>
      </c>
      <c r="BO57" s="64">
        <f t="shared" si="3"/>
        <v>0.83333333333333337</v>
      </c>
      <c r="BP57" s="64">
        <f t="shared" si="4"/>
        <v>0.83333333333333337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137.77777777777777</v>
      </c>
      <c r="Y58" s="547">
        <f>IFERROR(Y52/H52,"0")+IFERROR(Y53/H53,"0")+IFERROR(Y54/H54,"0")+IFERROR(Y55/H55,"0")+IFERROR(Y56/H56,"0")+IFERROR(Y57/H57,"0")</f>
        <v>138</v>
      </c>
      <c r="Z58" s="547">
        <f>IFERROR(IF(Z52="",0,Z52),"0")+IFERROR(IF(Z53="",0,Z53),"0")+IFERROR(IF(Z54="",0,Z54),"0")+IFERROR(IF(Z55="",0,Z55),"0")+IFERROR(IF(Z56="",0,Z56),"0")+IFERROR(IF(Z57="",0,Z57),"0")</f>
        <v>1.5236399999999999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795</v>
      </c>
      <c r="Y59" s="547">
        <f>IFERROR(SUM(Y52:Y57),"0")</f>
        <v>797.40000000000009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135</v>
      </c>
      <c r="Y63" s="546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77.777777777777771</v>
      </c>
      <c r="Y64" s="547">
        <f>IFERROR(Y61/H61,"0")+IFERROR(Y62/H62,"0")+IFERROR(Y63/H63,"0")</f>
        <v>78</v>
      </c>
      <c r="Z64" s="547">
        <f>IFERROR(IF(Z61="",0,Z61),"0")+IFERROR(IF(Z62="",0,Z62),"0")+IFERROR(IF(Z63="",0,Z63),"0")</f>
        <v>0.85694000000000004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435</v>
      </c>
      <c r="Y65" s="547">
        <f>IFERROR(SUM(Y61:Y63),"0")</f>
        <v>437.40000000000003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200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207.59259259259258</v>
      </c>
      <c r="BN86" s="64">
        <f>IFERROR(Y86*I86/H86,"0")</f>
        <v>212.99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540</v>
      </c>
      <c r="Y89" s="546">
        <f>IFERROR(IF(X89="",0,CEILING((X89/$H89),1)*$H89),"")</f>
        <v>540</v>
      </c>
      <c r="Z89" s="36">
        <f>IFERROR(IF(Y89=0,"",ROUNDUP(Y89/H89,0)*0.00902),"")</f>
        <v>1.0824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562.80000000000007</v>
      </c>
      <c r="BN89" s="64">
        <f>IFERROR(Y89*I89/H89,"0")</f>
        <v>562.80000000000007</v>
      </c>
      <c r="BO89" s="64">
        <f>IFERROR(1/J89*(X89/H89),"0")</f>
        <v>0.90909090909090917</v>
      </c>
      <c r="BP89" s="64">
        <f>IFERROR(1/J89*(Y89/H89),"0")</f>
        <v>0.90909090909090917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138.51851851851853</v>
      </c>
      <c r="Y90" s="547">
        <f>IFERROR(Y86/H86,"0")+IFERROR(Y87/H87,"0")+IFERROR(Y88/H88,"0")+IFERROR(Y89/H89,"0")</f>
        <v>139</v>
      </c>
      <c r="Z90" s="547">
        <f>IFERROR(IF(Z86="",0,Z86),"0")+IFERROR(IF(Z87="",0,Z87),"0")+IFERROR(IF(Z88="",0,Z88),"0")+IFERROR(IF(Z89="",0,Z89),"0")</f>
        <v>1.44302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740</v>
      </c>
      <c r="Y91" s="547">
        <f>IFERROR(SUM(Y86:Y89),"0")</f>
        <v>745.2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585</v>
      </c>
      <c r="Y95" s="546">
        <f>IFERROR(IF(X95="",0,CEILING((X95/$H95),1)*$H95),"")</f>
        <v>585.90000000000009</v>
      </c>
      <c r="Z95" s="36">
        <f>IFERROR(IF(Y95=0,"",ROUNDUP(Y95/H95,0)*0.00651),"")</f>
        <v>1.4126700000000001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639.6</v>
      </c>
      <c r="BN95" s="64">
        <f>IFERROR(Y95*I95/H95,"0")</f>
        <v>640.58400000000006</v>
      </c>
      <c r="BO95" s="64">
        <f>IFERROR(1/J95*(X95/H95),"0")</f>
        <v>1.1904761904761905</v>
      </c>
      <c r="BP95" s="64">
        <f>IFERROR(1/J95*(Y95/H95),"0")</f>
        <v>1.1923076923076925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253.7037037037037</v>
      </c>
      <c r="Y97" s="547">
        <f>IFERROR(Y93/H93,"0")+IFERROR(Y94/H94,"0")+IFERROR(Y95/H95,"0")+IFERROR(Y96/H96,"0")</f>
        <v>255.00000000000003</v>
      </c>
      <c r="Z97" s="547">
        <f>IFERROR(IF(Z93="",0,Z93),"0")+IFERROR(IF(Z94="",0,Z94),"0")+IFERROR(IF(Z95="",0,Z95),"0")+IFERROR(IF(Z96="",0,Z96),"0")</f>
        <v>2.1339100000000002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885</v>
      </c>
      <c r="Y98" s="547">
        <f>IFERROR(SUM(Y93:Y96),"0")</f>
        <v>893.7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79.259259259259267</v>
      </c>
      <c r="Y106" s="547">
        <f>IFERROR(Y101/H101,"0")+IFERROR(Y102/H102,"0")+IFERROR(Y103/H103,"0")+IFERROR(Y104/H104,"0")+IFERROR(Y105/H105,"0")</f>
        <v>80</v>
      </c>
      <c r="Z106" s="547">
        <f>IFERROR(IF(Z101="",0,Z101),"0")+IFERROR(IF(Z102="",0,Z102),"0")+IFERROR(IF(Z103="",0,Z103),"0")+IFERROR(IF(Z104="",0,Z104),"0")+IFERROR(IF(Z105="",0,Z105),"0")</f>
        <v>0.82119999999999993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415</v>
      </c>
      <c r="Y107" s="547">
        <f>IFERROR(SUM(Y101:Y105),"0")</f>
        <v>423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500</v>
      </c>
      <c r="Y116" s="546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270</v>
      </c>
      <c r="Y118" s="546">
        <f>IFERROR(IF(X118="",0,CEILING((X118/$H118),1)*$H118),"")</f>
        <v>270</v>
      </c>
      <c r="Z118" s="36">
        <f>IFERROR(IF(Y118=0,"",ROUNDUP(Y118/H118,0)*0.00651),"")</f>
        <v>0.65100000000000002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295.2</v>
      </c>
      <c r="BN118" s="64">
        <f>IFERROR(Y118*I118/H118,"0")</f>
        <v>295.2</v>
      </c>
      <c r="BO118" s="64">
        <f>IFERROR(1/J118*(X118/H118),"0")</f>
        <v>0.5494505494505495</v>
      </c>
      <c r="BP118" s="64">
        <f>IFERROR(1/J118*(Y118/H118),"0")</f>
        <v>0.5494505494505495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30</v>
      </c>
      <c r="Y119" s="546">
        <f>IFERROR(IF(X119="",0,CEILING((X119/$H119),1)*$H119),"")</f>
        <v>30.6</v>
      </c>
      <c r="Z119" s="36">
        <f>IFERROR(IF(Y119=0,"",ROUNDUP(Y119/H119,0)*0.00651),"")</f>
        <v>0.11067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33</v>
      </c>
      <c r="BN119" s="64">
        <f>IFERROR(Y119*I119/H119,"0")</f>
        <v>33.659999999999997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178.39506172839506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1.9384300000000001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800</v>
      </c>
      <c r="Y121" s="547">
        <f>IFERROR(SUM(Y116:Y119),"0")</f>
        <v>802.80000000000007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16.5</v>
      </c>
      <c r="Y123" s="546">
        <f>IFERROR(IF(X123="",0,CEILING((X123/$H123),1)*$H123),"")</f>
        <v>17.82</v>
      </c>
      <c r="Z123" s="36">
        <f>IFERROR(IF(Y123=0,"",ROUNDUP(Y123/H123,0)*0.00651),"")</f>
        <v>5.8590000000000003E-2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18.649999999999999</v>
      </c>
      <c r="BN123" s="64">
        <f>IFERROR(Y123*I123/H123,"0")</f>
        <v>20.141999999999999</v>
      </c>
      <c r="BO123" s="64">
        <f>IFERROR(1/J123*(X123/H123),"0")</f>
        <v>4.5787545787545791E-2</v>
      </c>
      <c r="BP123" s="64">
        <f>IFERROR(1/J123*(Y123/H123),"0")</f>
        <v>4.9450549450549455E-2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8.3333333333333339</v>
      </c>
      <c r="Y124" s="547">
        <f>IFERROR(Y123/H123,"0")</f>
        <v>9</v>
      </c>
      <c r="Z124" s="547">
        <f>IFERROR(IF(Z123="",0,Z123),"0")</f>
        <v>5.8590000000000003E-2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16.5</v>
      </c>
      <c r="Y125" s="547">
        <f>IFERROR(SUM(Y123:Y123),"0")</f>
        <v>17.82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80</v>
      </c>
      <c r="Y128" s="546">
        <f>IFERROR(IF(X128="",0,CEILING((X128/$H128),1)*$H128),"")</f>
        <v>80</v>
      </c>
      <c r="Z128" s="36">
        <f>IFERROR(IF(Y128=0,"",ROUNDUP(Y128/H128,0)*0.00651),"")</f>
        <v>0.16275000000000001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84.499999999999986</v>
      </c>
      <c r="BN128" s="64">
        <f>IFERROR(Y128*I128/H128,"0")</f>
        <v>84.499999999999986</v>
      </c>
      <c r="BO128" s="64">
        <f>IFERROR(1/J128*(X128/H128),"0")</f>
        <v>0.13736263736263737</v>
      </c>
      <c r="BP128" s="64">
        <f>IFERROR(1/J128*(Y128/H128),"0")</f>
        <v>0.13736263736263737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25</v>
      </c>
      <c r="Y130" s="547">
        <f>IFERROR(Y128/H128,"0")+IFERROR(Y129/H129,"0")</f>
        <v>25</v>
      </c>
      <c r="Z130" s="547">
        <f>IFERROR(IF(Z128="",0,Z128),"0")+IFERROR(IF(Z129="",0,Z129),"0")</f>
        <v>0.16275000000000001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80</v>
      </c>
      <c r="Y131" s="547">
        <f>IFERROR(SUM(Y128:Y129),"0")</f>
        <v>80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35</v>
      </c>
      <c r="Y134" s="546">
        <f>IFERROR(IF(X134="",0,CEILING((X134/$H134),1)*$H134),"")</f>
        <v>36.4</v>
      </c>
      <c r="Z134" s="36">
        <f>IFERROR(IF(Y134=0,"",ROUNDUP(Y134/H134,0)*0.00651),"")</f>
        <v>8.4629999999999997E-2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38.35</v>
      </c>
      <c r="BN134" s="64">
        <f>IFERROR(Y134*I134/H134,"0")</f>
        <v>39.884</v>
      </c>
      <c r="BO134" s="64">
        <f>IFERROR(1/J134*(X134/H134),"0")</f>
        <v>6.8681318681318687E-2</v>
      </c>
      <c r="BP134" s="64">
        <f>IFERROR(1/J134*(Y134/H134),"0")</f>
        <v>7.1428571428571438E-2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12.5</v>
      </c>
      <c r="Y135" s="547">
        <f>IFERROR(Y133/H133,"0")+IFERROR(Y134/H134,"0")</f>
        <v>13</v>
      </c>
      <c r="Z135" s="547">
        <f>IFERROR(IF(Z133="",0,Z133),"0")+IFERROR(IF(Z134="",0,Z134),"0")</f>
        <v>8.4629999999999997E-2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35</v>
      </c>
      <c r="Y136" s="547">
        <f>IFERROR(SUM(Y133:Y134),"0")</f>
        <v>36.4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33</v>
      </c>
      <c r="Y139" s="546">
        <f>IFERROR(IF(X139="",0,CEILING((X139/$H139),1)*$H139),"")</f>
        <v>34.32</v>
      </c>
      <c r="Z139" s="36">
        <f>IFERROR(IF(Y139=0,"",ROUNDUP(Y139/H139,0)*0.00651),"")</f>
        <v>8.4629999999999997E-2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36.349999999999994</v>
      </c>
      <c r="BN139" s="64">
        <f>IFERROR(Y139*I139/H139,"0")</f>
        <v>37.803999999999995</v>
      </c>
      <c r="BO139" s="64">
        <f>IFERROR(1/J139*(X139/H139),"0")</f>
        <v>6.8681318681318687E-2</v>
      </c>
      <c r="BP139" s="64">
        <f>IFERROR(1/J139*(Y139/H139),"0")</f>
        <v>7.1428571428571438E-2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12.5</v>
      </c>
      <c r="Y140" s="547">
        <f>IFERROR(Y138/H138,"0")+IFERROR(Y139/H139,"0")</f>
        <v>13</v>
      </c>
      <c r="Z140" s="547">
        <f>IFERROR(IF(Z138="",0,Z138),"0")+IFERROR(IF(Z139="",0,Z139),"0")</f>
        <v>8.4629999999999997E-2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33</v>
      </c>
      <c r="Y141" s="547">
        <f>IFERROR(SUM(Y138:Y139),"0")</f>
        <v>34.32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100</v>
      </c>
      <c r="Y168" s="546">
        <f t="shared" si="5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104.5238095238095</v>
      </c>
      <c r="BN168" s="64">
        <f t="shared" si="7"/>
        <v>105.36</v>
      </c>
      <c r="BO168" s="64">
        <f t="shared" si="8"/>
        <v>0.18037518037518038</v>
      </c>
      <c r="BP168" s="64">
        <f t="shared" si="9"/>
        <v>0.18181818181818182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140</v>
      </c>
      <c r="Y174" s="546">
        <f t="shared" si="5"/>
        <v>140.70000000000002</v>
      </c>
      <c r="Z174" s="36">
        <f>IFERROR(IF(Y174=0,"",ROUNDUP(Y174/H174,0)*0.00502),"")</f>
        <v>0.33634000000000003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146.66666666666666</v>
      </c>
      <c r="BN174" s="64">
        <f t="shared" si="7"/>
        <v>147.40000000000003</v>
      </c>
      <c r="BO174" s="64">
        <f t="shared" si="8"/>
        <v>0.28490028490028491</v>
      </c>
      <c r="BP174" s="64">
        <f t="shared" si="9"/>
        <v>0.28632478632478636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197.61904761904762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199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1.1909799999999999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515</v>
      </c>
      <c r="Y178" s="547">
        <f>IFERROR(SUM(Y165:Y176),"0")</f>
        <v>518.70000000000005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17.5</v>
      </c>
      <c r="Y182" s="546">
        <f>IFERROR(IF(X182="",0,CEILING((X182/$H182),1)*$H182),"")</f>
        <v>17.64</v>
      </c>
      <c r="Z182" s="36">
        <f>IFERROR(IF(Y182=0,"",ROUNDUP(Y182/H182,0)*0.0059),"")</f>
        <v>8.2599999999999993E-2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20.138888888888889</v>
      </c>
      <c r="BN182" s="64">
        <f>IFERROR(Y182*I182/H182,"0")</f>
        <v>20.3</v>
      </c>
      <c r="BO182" s="64">
        <f>IFERROR(1/J182*(X182/H182),"0")</f>
        <v>6.4300411522633744E-2</v>
      </c>
      <c r="BP182" s="64">
        <f>IFERROR(1/J182*(Y182/H182),"0")</f>
        <v>6.4814814814814811E-2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25</v>
      </c>
      <c r="Y183" s="547">
        <f>IFERROR(Y180/H180,"0")+IFERROR(Y181/H181,"0")+IFERROR(Y182/H182,"0")</f>
        <v>26</v>
      </c>
      <c r="Z183" s="547">
        <f>IFERROR(IF(Z180="",0,Z180),"0")+IFERROR(IF(Z181="",0,Z181),"0")+IFERROR(IF(Z182="",0,Z182),"0")</f>
        <v>0.15339999999999998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31.5</v>
      </c>
      <c r="Y184" s="547">
        <f>IFERROR(SUM(Y180:Y182),"0")</f>
        <v>32.760000000000005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3.5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4.0277777777777777</v>
      </c>
      <c r="BN186" s="64">
        <f>IFERROR(Y186*I186/H186,"0")</f>
        <v>4.3499999999999996</v>
      </c>
      <c r="BO186" s="64">
        <f>IFERROR(1/J186*(X186/H186),"0")</f>
        <v>1.2860082304526748E-2</v>
      </c>
      <c r="BP186" s="64">
        <f>IFERROR(1/J186*(Y186/H186),"0")</f>
        <v>1.3888888888888888E-2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2.7777777777777777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3.5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150</v>
      </c>
      <c r="Y201" s="546">
        <f t="shared" ref="Y201:Y208" si="10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155.27777777777777</v>
      </c>
      <c r="BN201" s="64">
        <f t="shared" ref="BN201:BN208" si="12">IFERROR(Y201*I201/H201,"0")</f>
        <v>156.52000000000001</v>
      </c>
      <c r="BO201" s="64">
        <f t="shared" ref="BO201:BO208" si="13">IFERROR(1/J201*(X201/H201),"0")</f>
        <v>0.21043771043771042</v>
      </c>
      <c r="BP201" s="64">
        <f t="shared" ref="BP201:BP208" si="14">IFERROR(1/J201*(Y201/H201),"0")</f>
        <v>0.21212121212121213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700</v>
      </c>
      <c r="Y203" s="546">
        <f t="shared" si="10"/>
        <v>702</v>
      </c>
      <c r="Z203" s="36">
        <f>IFERROR(IF(Y203=0,"",ROUNDUP(Y203/H203,0)*0.00902),"")</f>
        <v>1.1726000000000001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724.62962962962956</v>
      </c>
      <c r="BN203" s="64">
        <f t="shared" si="12"/>
        <v>726.69999999999993</v>
      </c>
      <c r="BO203" s="64">
        <f t="shared" si="13"/>
        <v>0.98204264870931535</v>
      </c>
      <c r="BP203" s="64">
        <f t="shared" si="14"/>
        <v>0.98484848484848486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293.51851851851848</v>
      </c>
      <c r="Y209" s="547">
        <f>IFERROR(Y201/H201,"0")+IFERROR(Y202/H202,"0")+IFERROR(Y203/H203,"0")+IFERROR(Y204/H204,"0")+IFERROR(Y205/H205,"0")+IFERROR(Y206/H206,"0")+IFERROR(Y207/H207,"0")+IFERROR(Y208/H208,"0")</f>
        <v>297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2.2389400000000004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1195</v>
      </c>
      <c r="Y210" s="547">
        <f>IFERROR(SUM(Y201:Y208),"0")</f>
        <v>1207.8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90</v>
      </c>
      <c r="Y214" s="546">
        <f t="shared" si="15"/>
        <v>95.699999999999989</v>
      </c>
      <c r="Z214" s="36">
        <f>IFERROR(IF(Y214=0,"",ROUNDUP(Y214/H214,0)*0.01898),"")</f>
        <v>0.20877999999999999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95.110344827586218</v>
      </c>
      <c r="BN214" s="64">
        <f t="shared" si="17"/>
        <v>101.134</v>
      </c>
      <c r="BO214" s="64">
        <f t="shared" si="18"/>
        <v>0.16163793103448276</v>
      </c>
      <c r="BP214" s="64">
        <f t="shared" si="19"/>
        <v>0.171875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260</v>
      </c>
      <c r="Y215" s="546">
        <f t="shared" si="15"/>
        <v>261.59999999999997</v>
      </c>
      <c r="Z215" s="36">
        <f t="shared" ref="Z215:Z220" si="20">IFERROR(IF(Y215=0,"",ROUNDUP(Y215/H215,0)*0.00651),"")</f>
        <v>0.70959000000000005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289.25</v>
      </c>
      <c r="BN215" s="64">
        <f t="shared" si="17"/>
        <v>291.02999999999997</v>
      </c>
      <c r="BO215" s="64">
        <f t="shared" si="18"/>
        <v>0.59523809523809534</v>
      </c>
      <c r="BP215" s="64">
        <f t="shared" si="19"/>
        <v>0.59890109890109888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320</v>
      </c>
      <c r="Y217" s="546">
        <f t="shared" si="15"/>
        <v>321.59999999999997</v>
      </c>
      <c r="Z217" s="36">
        <f t="shared" si="20"/>
        <v>0.87234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353.60000000000008</v>
      </c>
      <c r="BN217" s="64">
        <f t="shared" si="17"/>
        <v>355.36799999999999</v>
      </c>
      <c r="BO217" s="64">
        <f t="shared" si="18"/>
        <v>0.73260073260073266</v>
      </c>
      <c r="BP217" s="64">
        <f t="shared" si="19"/>
        <v>0.73626373626373631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40</v>
      </c>
      <c r="Y219" s="546">
        <f t="shared" si="15"/>
        <v>40.799999999999997</v>
      </c>
      <c r="Z219" s="36">
        <f t="shared" si="20"/>
        <v>0.11067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44.20000000000001</v>
      </c>
      <c r="BN219" s="64">
        <f t="shared" si="17"/>
        <v>45.084000000000003</v>
      </c>
      <c r="BO219" s="64">
        <f t="shared" si="18"/>
        <v>9.1575091575091583E-2</v>
      </c>
      <c r="BP219" s="64">
        <f t="shared" si="19"/>
        <v>9.3406593406593408E-2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243.65</v>
      </c>
      <c r="BN220" s="64">
        <f t="shared" si="17"/>
        <v>244.536</v>
      </c>
      <c r="BO220" s="64">
        <f t="shared" si="18"/>
        <v>0.50366300366300376</v>
      </c>
      <c r="BP220" s="64">
        <f t="shared" si="19"/>
        <v>0.50549450549450559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360.34482758620692</v>
      </c>
      <c r="Y221" s="547">
        <f>IFERROR(Y212/H212,"0")+IFERROR(Y213/H213,"0")+IFERROR(Y214/H214,"0")+IFERROR(Y215/H215,"0")+IFERROR(Y216/H216,"0")+IFERROR(Y217/H217,"0")+IFERROR(Y218/H218,"0")+IFERROR(Y219/H219,"0")+IFERROR(Y220/H220,"0")</f>
        <v>363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2.5003000000000002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930</v>
      </c>
      <c r="Y222" s="547">
        <f>IFERROR(SUM(Y212:Y220),"0")</f>
        <v>940.49999999999977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40</v>
      </c>
      <c r="Y224" s="54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44</v>
      </c>
      <c r="Y225" s="546">
        <f>IFERROR(IF(X225="",0,CEILING((X225/$H225),1)*$H225),"")</f>
        <v>45.6</v>
      </c>
      <c r="Z225" s="36">
        <f>IFERROR(IF(Y225=0,"",ROUNDUP(Y225/H225,0)*0.00651),"")</f>
        <v>0.12369000000000001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48.620000000000005</v>
      </c>
      <c r="BN225" s="64">
        <f>IFERROR(Y225*I225/H225,"0")</f>
        <v>50.388000000000005</v>
      </c>
      <c r="BO225" s="64">
        <f>IFERROR(1/J225*(X225/H225),"0")</f>
        <v>0.10073260073260075</v>
      </c>
      <c r="BP225" s="64">
        <f>IFERROR(1/J225*(Y225/H225),"0")</f>
        <v>0.1043956043956044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35</v>
      </c>
      <c r="Y226" s="547">
        <f>IFERROR(Y224/H224,"0")+IFERROR(Y225/H225,"0")</f>
        <v>36</v>
      </c>
      <c r="Z226" s="547">
        <f>IFERROR(IF(Z224="",0,Z224),"0")+IFERROR(IF(Z225="",0,Z225),"0")</f>
        <v>0.23436000000000001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84</v>
      </c>
      <c r="Y227" s="547">
        <f>IFERROR(SUM(Y224:Y225),"0")</f>
        <v>86.4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50</v>
      </c>
      <c r="Y230" s="546">
        <f t="shared" ref="Y230:Y238" si="21">IFERROR(IF(X230="",0,CEILING((X230/$H230),1)*$H230),"")</f>
        <v>58</v>
      </c>
      <c r="Z230" s="36">
        <f>IFERROR(IF(Y230=0,"",ROUNDUP(Y230/H230,0)*0.01898),"")</f>
        <v>9.4899999999999998E-2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51.767241379310349</v>
      </c>
      <c r="BN230" s="64">
        <f t="shared" ref="BN230:BN238" si="23">IFERROR(Y230*I230/H230,"0")</f>
        <v>60.050000000000004</v>
      </c>
      <c r="BO230" s="64">
        <f t="shared" ref="BO230:BO238" si="24">IFERROR(1/J230*(X230/H230),"0")</f>
        <v>6.7349137931034489E-2</v>
      </c>
      <c r="BP230" s="64">
        <f t="shared" ref="BP230:BP238" si="25">IFERROR(1/J230*(Y230/H230),"0")</f>
        <v>7.8125E-2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200</v>
      </c>
      <c r="Y232" s="546">
        <f t="shared" si="21"/>
        <v>208.79999999999998</v>
      </c>
      <c r="Z232" s="36">
        <f>IFERROR(IF(Y232=0,"",ROUNDUP(Y232/H232,0)*0.01898),"")</f>
        <v>0.34164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207.06896551724139</v>
      </c>
      <c r="BN232" s="64">
        <f t="shared" si="23"/>
        <v>216.17999999999998</v>
      </c>
      <c r="BO232" s="64">
        <f t="shared" si="24"/>
        <v>0.26939655172413796</v>
      </c>
      <c r="BP232" s="64">
        <f t="shared" si="25"/>
        <v>0.28125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20</v>
      </c>
      <c r="Y233" s="546">
        <f t="shared" si="21"/>
        <v>20</v>
      </c>
      <c r="Z233" s="36">
        <f>IFERROR(IF(Y233=0,"",ROUNDUP(Y233/H233,0)*0.00902),"")</f>
        <v>4.5100000000000001E-2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20.950000000000003</v>
      </c>
      <c r="BN233" s="64">
        <f t="shared" si="23"/>
        <v>20.950000000000003</v>
      </c>
      <c r="BO233" s="64">
        <f t="shared" si="24"/>
        <v>3.787878787878788E-2</v>
      </c>
      <c r="BP233" s="64">
        <f t="shared" si="25"/>
        <v>3.787878787878788E-2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60</v>
      </c>
      <c r="Y237" s="546">
        <f t="shared" si="21"/>
        <v>60</v>
      </c>
      <c r="Z237" s="36">
        <f>IFERROR(IF(Y237=0,"",ROUNDUP(Y237/H237,0)*0.00902),"")</f>
        <v>0.1353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62.850000000000009</v>
      </c>
      <c r="BN237" s="64">
        <f t="shared" si="23"/>
        <v>62.850000000000009</v>
      </c>
      <c r="BO237" s="64">
        <f t="shared" si="24"/>
        <v>0.11363636363636365</v>
      </c>
      <c r="BP237" s="64">
        <f t="shared" si="25"/>
        <v>0.11363636363636365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41.551724137931032</v>
      </c>
      <c r="Y239" s="547">
        <f>IFERROR(Y230/H230,"0")+IFERROR(Y231/H231,"0")+IFERROR(Y232/H232,"0")+IFERROR(Y233/H233,"0")+IFERROR(Y234/H234,"0")+IFERROR(Y235/H235,"0")+IFERROR(Y236/H236,"0")+IFERROR(Y237/H237,"0")+IFERROR(Y238/H238,"0")</f>
        <v>43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0.61693999999999993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330</v>
      </c>
      <c r="Y240" s="547">
        <f>IFERROR(SUM(Y230:Y238),"0")</f>
        <v>346.79999999999995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6.6666666666666661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12</v>
      </c>
      <c r="Y256" s="547">
        <f>IFERROR(SUM(Y250:Y254),"0")</f>
        <v>12.6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40</v>
      </c>
      <c r="Y277" s="546">
        <f>IFERROR(IF(X277="",0,CEILING((X277/$H277),1)*$H277),"")</f>
        <v>40.799999999999997</v>
      </c>
      <c r="Z277" s="36">
        <f>IFERROR(IF(Y277=0,"",ROUNDUP(Y277/H277,0)*0.00651),"")</f>
        <v>0.11067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44.20000000000001</v>
      </c>
      <c r="BN277" s="64">
        <f>IFERROR(Y277*I277/H277,"0")</f>
        <v>45.084000000000003</v>
      </c>
      <c r="BO277" s="64">
        <f>IFERROR(1/J277*(X277/H277),"0")</f>
        <v>9.1575091575091583E-2</v>
      </c>
      <c r="BP277" s="64">
        <f>IFERROR(1/J277*(Y277/H277),"0")</f>
        <v>9.3406593406593408E-2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66.666666666666671</v>
      </c>
      <c r="Y279" s="547">
        <f>IFERROR(Y276/H276,"0")+IFERROR(Y277/H277,"0")+IFERROR(Y278/H278,"0")</f>
        <v>67</v>
      </c>
      <c r="Z279" s="547">
        <f>IFERROR(IF(Z276="",0,Z276),"0")+IFERROR(IF(Z277="",0,Z277),"0")+IFERROR(IF(Z278="",0,Z278),"0")</f>
        <v>0.43617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160</v>
      </c>
      <c r="Y280" s="547">
        <f>IFERROR(SUM(Y276:Y278),"0")</f>
        <v>160.80000000000001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16</v>
      </c>
      <c r="Y284" s="546">
        <f>IFERROR(IF(X284="",0,CEILING((X284/$H284),1)*$H284),"")</f>
        <v>16.8</v>
      </c>
      <c r="Z284" s="36">
        <f>IFERROR(IF(Y284=0,"",ROUNDUP(Y284/H284,0)*0.00651),"")</f>
        <v>4.5569999999999999E-2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17.200000000000003</v>
      </c>
      <c r="BN284" s="64">
        <f>IFERROR(Y284*I284/H284,"0")</f>
        <v>18.060000000000002</v>
      </c>
      <c r="BO284" s="64">
        <f>IFERROR(1/J284*(X284/H284),"0")</f>
        <v>3.6630036630036632E-2</v>
      </c>
      <c r="BP284" s="64">
        <f>IFERROR(1/J284*(Y284/H284),"0")</f>
        <v>3.8461538461538471E-2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6.666666666666667</v>
      </c>
      <c r="Y285" s="547">
        <f>IFERROR(Y283/H283,"0")+IFERROR(Y284/H284,"0")</f>
        <v>7.0000000000000009</v>
      </c>
      <c r="Z285" s="547">
        <f>IFERROR(IF(Z283="",0,Z283),"0")+IFERROR(IF(Z284="",0,Z284),"0")</f>
        <v>4.5569999999999999E-2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16</v>
      </c>
      <c r="Y286" s="547">
        <f>IFERROR(SUM(Y283:Y284),"0")</f>
        <v>16.8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42</v>
      </c>
      <c r="Y307" s="546">
        <f t="shared" si="26"/>
        <v>43.2</v>
      </c>
      <c r="Z307" s="36">
        <f>IFERROR(IF(Y307=0,"",ROUNDUP(Y307/H307,0)*0.00651),"")</f>
        <v>0.15623999999999999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47.32</v>
      </c>
      <c r="BN307" s="64">
        <f t="shared" si="28"/>
        <v>48.671999999999997</v>
      </c>
      <c r="BO307" s="64">
        <f t="shared" si="29"/>
        <v>0.12820512820512822</v>
      </c>
      <c r="BP307" s="64">
        <f t="shared" si="30"/>
        <v>0.13186813186813187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73.333333333333329</v>
      </c>
      <c r="Y308" s="547">
        <f>IFERROR(Y302/H302,"0")+IFERROR(Y303/H303,"0")+IFERROR(Y304/H304,"0")+IFERROR(Y305/H305,"0")+IFERROR(Y306/H306,"0")+IFERROR(Y307/H307,"0")</f>
        <v>74</v>
      </c>
      <c r="Z308" s="547">
        <f>IFERROR(IF(Z302="",0,Z302),"0")+IFERROR(IF(Z303="",0,Z303),"0")+IFERROR(IF(Z304="",0,Z304),"0")+IFERROR(IF(Z305="",0,Z305),"0")+IFERROR(IF(Z306="",0,Z306),"0")+IFERROR(IF(Z307="",0,Z307),"0")</f>
        <v>0.40723999999999999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147</v>
      </c>
      <c r="Y309" s="547">
        <f>IFERROR(SUM(Y302:Y307),"0")</f>
        <v>148.19999999999999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100</v>
      </c>
      <c r="Y319" s="546">
        <f>IFERROR(IF(X319="",0,CEILING((X319/$H319),1)*$H319),"")</f>
        <v>101.39999999999999</v>
      </c>
      <c r="Z319" s="36">
        <f>IFERROR(IF(Y319=0,"",ROUNDUP(Y319/H319,0)*0.01898),"")</f>
        <v>0.24674000000000001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106.33333333333334</v>
      </c>
      <c r="BN319" s="64">
        <f>IFERROR(Y319*I319/H319,"0")</f>
        <v>107.82199999999999</v>
      </c>
      <c r="BO319" s="64">
        <f>IFERROR(1/J319*(X319/H319),"0")</f>
        <v>0.20032051282051283</v>
      </c>
      <c r="BP319" s="64">
        <f>IFERROR(1/J319*(Y319/H319),"0")</f>
        <v>0.203125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28.296703296703299</v>
      </c>
      <c r="Y321" s="547">
        <f>IFERROR(Y318/H318,"0")+IFERROR(Y319/H319,"0")+IFERROR(Y320/H320,"0")</f>
        <v>29</v>
      </c>
      <c r="Z321" s="547">
        <f>IFERROR(IF(Z318="",0,Z318),"0")+IFERROR(IF(Z319="",0,Z319),"0")+IFERROR(IF(Z320="",0,Z320),"0")</f>
        <v>0.55042000000000002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230</v>
      </c>
      <c r="Y322" s="547">
        <f>IFERROR(SUM(Y318:Y320),"0")</f>
        <v>235.8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85</v>
      </c>
      <c r="Y326" s="546">
        <f>IFERROR(IF(X326="",0,CEILING((X326/$H326),1)*$H326),"")</f>
        <v>86.699999999999989</v>
      </c>
      <c r="Z326" s="36">
        <f>IFERROR(IF(Y326=0,"",ROUNDUP(Y326/H326,0)*0.00651),"")</f>
        <v>0.22134000000000001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98.500000000000014</v>
      </c>
      <c r="BN326" s="64">
        <f>IFERROR(Y326*I326/H326,"0")</f>
        <v>100.47</v>
      </c>
      <c r="BO326" s="64">
        <f>IFERROR(1/J326*(X326/H326),"0")</f>
        <v>0.18315018315018317</v>
      </c>
      <c r="BP326" s="64">
        <f>IFERROR(1/J326*(Y326/H326),"0")</f>
        <v>0.18681318681318682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170</v>
      </c>
      <c r="Y327" s="546">
        <f>IFERROR(IF(X327="",0,CEILING((X327/$H327),1)*$H327),"")</f>
        <v>170.85</v>
      </c>
      <c r="Z327" s="36">
        <f>IFERROR(IF(Y327=0,"",ROUNDUP(Y327/H327,0)*0.00651),"")</f>
        <v>0.43617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192</v>
      </c>
      <c r="BN327" s="64">
        <f>IFERROR(Y327*I327/H327,"0")</f>
        <v>192.95999999999998</v>
      </c>
      <c r="BO327" s="64">
        <f>IFERROR(1/J327*(X327/H327),"0")</f>
        <v>0.36630036630036633</v>
      </c>
      <c r="BP327" s="64">
        <f>IFERROR(1/J327*(Y327/H327),"0")</f>
        <v>0.36813186813186816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100</v>
      </c>
      <c r="Y328" s="547">
        <f>IFERROR(Y324/H324,"0")+IFERROR(Y325/H325,"0")+IFERROR(Y326/H326,"0")+IFERROR(Y327/H327,"0")</f>
        <v>101</v>
      </c>
      <c r="Z328" s="547">
        <f>IFERROR(IF(Z324="",0,Z324),"0")+IFERROR(IF(Z325="",0,Z325),"0")+IFERROR(IF(Z326="",0,Z326),"0")+IFERROR(IF(Z327="",0,Z327),"0")</f>
        <v>0.65751000000000004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255</v>
      </c>
      <c r="Y329" s="547">
        <f>IFERROR(SUM(Y324:Y327),"0")</f>
        <v>257.54999999999995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100</v>
      </c>
      <c r="Y333" s="546">
        <f>IFERROR(IF(X333="",0,CEILING((X333/$H333),1)*$H333),"")</f>
        <v>100</v>
      </c>
      <c r="Z333" s="36">
        <f>IFERROR(IF(Y333=0,"",ROUNDUP(Y333/H333,0)*0.00474),"")</f>
        <v>0.23700000000000002</v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112.00000000000001</v>
      </c>
      <c r="BN333" s="64">
        <f>IFERROR(Y333*I333/H333,"0")</f>
        <v>112.00000000000001</v>
      </c>
      <c r="BO333" s="64">
        <f>IFERROR(1/J333*(X333/H333),"0")</f>
        <v>0.21008403361344538</v>
      </c>
      <c r="BP333" s="64">
        <f>IFERROR(1/J333*(Y333/H333),"0")</f>
        <v>0.21008403361344538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50</v>
      </c>
      <c r="Y334" s="547">
        <f>IFERROR(Y331/H331,"0")+IFERROR(Y332/H332,"0")+IFERROR(Y333/H333,"0")</f>
        <v>50</v>
      </c>
      <c r="Z334" s="547">
        <f>IFERROR(IF(Z331="",0,Z331),"0")+IFERROR(IF(Z332="",0,Z332),"0")+IFERROR(IF(Z333="",0,Z333),"0")</f>
        <v>0.23700000000000002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100</v>
      </c>
      <c r="Y335" s="547">
        <f>IFERROR(SUM(Y331:Y333),"0")</f>
        <v>100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735</v>
      </c>
      <c r="Y340" s="546">
        <f>IFERROR(IF(X340="",0,CEILING((X340/$H340),1)*$H340),"")</f>
        <v>735</v>
      </c>
      <c r="Z340" s="36">
        <f>IFERROR(IF(Y340=0,"",ROUNDUP(Y340/H340,0)*0.00651),"")</f>
        <v>2.2785000000000002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818.99999999999989</v>
      </c>
      <c r="BN340" s="64">
        <f>IFERROR(Y340*I340/H340,"0")</f>
        <v>818.99999999999989</v>
      </c>
      <c r="BO340" s="64">
        <f>IFERROR(1/J340*(X340/H340),"0")</f>
        <v>1.9230769230769231</v>
      </c>
      <c r="BP340" s="64">
        <f>IFERROR(1/J340*(Y340/H340),"0")</f>
        <v>1.9230769230769231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433.33333333333331</v>
      </c>
      <c r="Y341" s="547">
        <f>IFERROR(Y338/H338,"0")+IFERROR(Y339/H339,"0")+IFERROR(Y340/H340,"0")</f>
        <v>434</v>
      </c>
      <c r="Z341" s="547">
        <f>IFERROR(IF(Z338="",0,Z338),"0")+IFERROR(IF(Z339="",0,Z339),"0")+IFERROR(IF(Z340="",0,Z340),"0")</f>
        <v>2.8253400000000002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910</v>
      </c>
      <c r="Y342" s="547">
        <f>IFERROR(SUM(Y338:Y340),"0")</f>
        <v>911.4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1100</v>
      </c>
      <c r="Y346" s="546">
        <f t="shared" ref="Y346:Y352" si="31">IFERROR(IF(X346="",0,CEILING((X346/$H346),1)*$H346),"")</f>
        <v>1110</v>
      </c>
      <c r="Z346" s="36">
        <f>IFERROR(IF(Y346=0,"",ROUNDUP(Y346/H346,0)*0.02175),"")</f>
        <v>1.6094999999999999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1134.4666666666667</v>
      </c>
      <c r="BN346" s="64">
        <f t="shared" ref="BN346:BN352" si="33">IFERROR(Y346*I346/H346,"0")</f>
        <v>1144.78</v>
      </c>
      <c r="BO346" s="64">
        <f t="shared" ref="BO346:BO352" si="34">IFERROR(1/J346*(X346/H346),"0")</f>
        <v>1.5277777777777777</v>
      </c>
      <c r="BP346" s="64">
        <f t="shared" ref="BP346:BP352" si="35">IFERROR(1/J346*(Y346/H346),"0")</f>
        <v>1.5416666666666665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1800</v>
      </c>
      <c r="Y348" s="546">
        <f t="shared" si="31"/>
        <v>1800</v>
      </c>
      <c r="Z348" s="36">
        <f>IFERROR(IF(Y348=0,"",ROUNDUP(Y348/H348,0)*0.02175),"")</f>
        <v>2.61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1856.4</v>
      </c>
      <c r="BN348" s="64">
        <f t="shared" si="33"/>
        <v>1856.4</v>
      </c>
      <c r="BO348" s="64">
        <f t="shared" si="34"/>
        <v>2.5</v>
      </c>
      <c r="BP348" s="64">
        <f t="shared" si="35"/>
        <v>2.5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35</v>
      </c>
      <c r="Y352" s="546">
        <f t="shared" si="31"/>
        <v>35</v>
      </c>
      <c r="Z352" s="36">
        <f>IFERROR(IF(Y352=0,"",ROUNDUP(Y352/H352,0)*0.00902),"")</f>
        <v>6.3140000000000002E-2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36.33</v>
      </c>
      <c r="BN352" s="64">
        <f t="shared" si="33"/>
        <v>36.33</v>
      </c>
      <c r="BO352" s="64">
        <f t="shared" si="34"/>
        <v>5.3030303030303032E-2</v>
      </c>
      <c r="BP352" s="64">
        <f t="shared" si="35"/>
        <v>5.3030303030303032E-2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260.33333333333331</v>
      </c>
      <c r="Y353" s="547">
        <f>IFERROR(Y346/H346,"0")+IFERROR(Y347/H347,"0")+IFERROR(Y348/H348,"0")+IFERROR(Y349/H349,"0")+IFERROR(Y350/H350,"0")+IFERROR(Y351/H351,"0")+IFERROR(Y352/H352,"0")</f>
        <v>262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5.6093899999999994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3835</v>
      </c>
      <c r="Y354" s="547">
        <f>IFERROR(SUM(Y346:Y352),"0")</f>
        <v>3860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8</v>
      </c>
      <c r="Y357" s="546">
        <f>IFERROR(IF(X357="",0,CEILING((X357/$H357),1)*$H357),"")</f>
        <v>8</v>
      </c>
      <c r="Z357" s="36">
        <f>IFERROR(IF(Y357=0,"",ROUNDUP(Y357/H357,0)*0.00902),"")</f>
        <v>1.804E-2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8.3800000000000008</v>
      </c>
      <c r="BN357" s="64">
        <f>IFERROR(Y357*I357/H357,"0")</f>
        <v>8.3800000000000008</v>
      </c>
      <c r="BO357" s="64">
        <f>IFERROR(1/J357*(X357/H357),"0")</f>
        <v>1.5151515151515152E-2</v>
      </c>
      <c r="BP357" s="64">
        <f>IFERROR(1/J357*(Y357/H357),"0")</f>
        <v>1.5151515151515152E-2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68.666666666666671</v>
      </c>
      <c r="Y358" s="547">
        <f>IFERROR(Y356/H356,"0")+IFERROR(Y357/H357,"0")</f>
        <v>69</v>
      </c>
      <c r="Z358" s="547">
        <f>IFERROR(IF(Z356="",0,Z356),"0")+IFERROR(IF(Z357="",0,Z357),"0")</f>
        <v>1.47529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1008</v>
      </c>
      <c r="Y359" s="547">
        <f>IFERROR(SUM(Y356:Y357),"0")</f>
        <v>1013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90</v>
      </c>
      <c r="Y362" s="546">
        <f>IFERROR(IF(X362="",0,CEILING((X362/$H362),1)*$H362),"")</f>
        <v>90</v>
      </c>
      <c r="Z362" s="36">
        <f>IFERROR(IF(Y362=0,"",ROUNDUP(Y362/H362,0)*0.01898),"")</f>
        <v>0.1898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94.94</v>
      </c>
      <c r="BN362" s="64">
        <f>IFERROR(Y362*I362/H362,"0")</f>
        <v>94.94</v>
      </c>
      <c r="BO362" s="64">
        <f>IFERROR(1/J362*(X362/H362),"0")</f>
        <v>0.15625</v>
      </c>
      <c r="BP362" s="64">
        <f>IFERROR(1/J362*(Y362/H362),"0")</f>
        <v>0.15625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10</v>
      </c>
      <c r="Y363" s="547">
        <f>IFERROR(Y361/H361,"0")+IFERROR(Y362/H362,"0")</f>
        <v>10</v>
      </c>
      <c r="Z363" s="547">
        <f>IFERROR(IF(Z361="",0,Z361),"0")+IFERROR(IF(Z362="",0,Z362),"0")</f>
        <v>0.1898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90</v>
      </c>
      <c r="Y364" s="547">
        <f>IFERROR(SUM(Y361:Y362),"0")</f>
        <v>90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60</v>
      </c>
      <c r="Y366" s="546">
        <f>IFERROR(IF(X366="",0,CEILING((X366/$H366),1)*$H366),"")</f>
        <v>63</v>
      </c>
      <c r="Z366" s="36">
        <f>IFERROR(IF(Y366=0,"",ROUNDUP(Y366/H366,0)*0.01898),"")</f>
        <v>0.13286000000000001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63.293333333333329</v>
      </c>
      <c r="BN366" s="64">
        <f>IFERROR(Y366*I366/H366,"0")</f>
        <v>66.457999999999998</v>
      </c>
      <c r="BO366" s="64">
        <f>IFERROR(1/J366*(X366/H366),"0")</f>
        <v>0.10416666666666667</v>
      </c>
      <c r="BP366" s="64">
        <f>IFERROR(1/J366*(Y366/H366),"0")</f>
        <v>0.109375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6.666666666666667</v>
      </c>
      <c r="Y367" s="547">
        <f>IFERROR(Y366/H366,"0")</f>
        <v>7</v>
      </c>
      <c r="Z367" s="547">
        <f>IFERROR(IF(Z366="",0,Z366),"0")</f>
        <v>0.13286000000000001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60</v>
      </c>
      <c r="Y368" s="547">
        <f>IFERROR(SUM(Y366:Y366),"0")</f>
        <v>63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60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62.050000000000004</v>
      </c>
      <c r="BN371" s="64">
        <f>IFERROR(Y371*I371/H371,"0")</f>
        <v>62.050000000000004</v>
      </c>
      <c r="BO371" s="64">
        <f>IFERROR(1/J371*(X371/H371),"0")</f>
        <v>7.8125E-2</v>
      </c>
      <c r="BP371" s="64">
        <f>IFERROR(1/J371*(Y371/H371),"0")</f>
        <v>7.8125E-2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5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60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52.5</v>
      </c>
      <c r="Y393" s="546">
        <f t="shared" si="36"/>
        <v>52.5</v>
      </c>
      <c r="Z393" s="36">
        <f t="shared" si="41"/>
        <v>0.1255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55.75</v>
      </c>
      <c r="BN393" s="64">
        <f t="shared" si="38"/>
        <v>55.75</v>
      </c>
      <c r="BO393" s="64">
        <f t="shared" si="39"/>
        <v>0.10683760683760685</v>
      </c>
      <c r="BP393" s="64">
        <f t="shared" si="40"/>
        <v>0.10683760683760685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53.333333333333329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54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0.27107999999999999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112</v>
      </c>
      <c r="Y399" s="547">
        <f>IFERROR(SUM(Y389:Y397),"0")</f>
        <v>113.4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10.5</v>
      </c>
      <c r="Y414" s="546">
        <f>IFERROR(IF(X414="",0,CEILING((X414/$H414),1)*$H414),"")</f>
        <v>10.5</v>
      </c>
      <c r="Z414" s="36">
        <f>IFERROR(IF(Y414=0,"",ROUNDUP(Y414/H414,0)*0.00502),"")</f>
        <v>2.5100000000000001E-2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11.149999999999999</v>
      </c>
      <c r="BN414" s="64">
        <f>IFERROR(Y414*I414/H414,"0")</f>
        <v>11.149999999999999</v>
      </c>
      <c r="BO414" s="64">
        <f>IFERROR(1/J414*(X414/H414),"0")</f>
        <v>2.1367521367521368E-2</v>
      </c>
      <c r="BP414" s="64">
        <f>IFERROR(1/J414*(Y414/H414),"0")</f>
        <v>2.1367521367521368E-2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5</v>
      </c>
      <c r="Y415" s="547">
        <f>IFERROR(Y411/H411,"0")+IFERROR(Y412/H412,"0")+IFERROR(Y413/H413,"0")+IFERROR(Y414/H414,"0")</f>
        <v>5</v>
      </c>
      <c r="Z415" s="547">
        <f>IFERROR(IF(Z411="",0,Z411),"0")+IFERROR(IF(Z412="",0,Z412),"0")+IFERROR(IF(Z413="",0,Z413),"0")+IFERROR(IF(Z414="",0,Z414),"0")</f>
        <v>2.5100000000000001E-2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10.5</v>
      </c>
      <c r="Y416" s="547">
        <f>IFERROR(SUM(Y411:Y414),"0")</f>
        <v>10.5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40</v>
      </c>
      <c r="Y419" s="546">
        <f>IFERROR(IF(X419="",0,CEILING((X419/$H419),1)*$H419),"")</f>
        <v>40.799999999999997</v>
      </c>
      <c r="Z419" s="36">
        <f>IFERROR(IF(Y419=0,"",ROUNDUP(Y419/H419,0)*0.00651),"")</f>
        <v>0.22134000000000001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70</v>
      </c>
      <c r="BN419" s="64">
        <f>IFERROR(Y419*I419/H419,"0")</f>
        <v>71.399999999999991</v>
      </c>
      <c r="BO419" s="64">
        <f>IFERROR(1/J419*(X419/H419),"0")</f>
        <v>0.18315018315018317</v>
      </c>
      <c r="BP419" s="64">
        <f>IFERROR(1/J419*(Y419/H419),"0")</f>
        <v>0.18681318681318682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33.333333333333336</v>
      </c>
      <c r="Y420" s="547">
        <f>IFERROR(Y419/H419,"0")</f>
        <v>34</v>
      </c>
      <c r="Z420" s="547">
        <f>IFERROR(IF(Z419="",0,Z419),"0")</f>
        <v>0.22134000000000001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40</v>
      </c>
      <c r="Y421" s="547">
        <f>IFERROR(SUM(Y419:Y419),"0")</f>
        <v>40.799999999999997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100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106.62878787878788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0.18210955710955709</v>
      </c>
      <c r="BP425" s="64">
        <f t="shared" ref="BP425:BP436" si="47">IFERROR(1/J425*(Y425/H425),"0")</f>
        <v>0.18269230769230771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200</v>
      </c>
      <c r="Y429" s="546">
        <f t="shared" si="42"/>
        <v>200.64000000000001</v>
      </c>
      <c r="Z429" s="36">
        <f t="shared" si="43"/>
        <v>0.45448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213.25757575757575</v>
      </c>
      <c r="BN429" s="64">
        <f t="shared" si="45"/>
        <v>213.94</v>
      </c>
      <c r="BO429" s="64">
        <f t="shared" si="46"/>
        <v>0.36421911421911418</v>
      </c>
      <c r="BP429" s="64">
        <f t="shared" si="47"/>
        <v>0.36538461538461542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90</v>
      </c>
      <c r="Y433" s="546">
        <f t="shared" si="42"/>
        <v>91.2</v>
      </c>
      <c r="Z433" s="36">
        <f>IFERROR(IF(Y433=0,"",ROUNDUP(Y433/H433,0)*0.00902),"")</f>
        <v>0.17138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129.5625</v>
      </c>
      <c r="BN433" s="64">
        <f t="shared" si="45"/>
        <v>131.29000000000002</v>
      </c>
      <c r="BO433" s="64">
        <f t="shared" si="46"/>
        <v>0.14204545454545456</v>
      </c>
      <c r="BP433" s="64">
        <f t="shared" si="47"/>
        <v>0.14393939393939395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132.00757575757575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133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1.4231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670</v>
      </c>
      <c r="Y438" s="547">
        <f>IFERROR(SUM(Y425:Y436),"0")</f>
        <v>674.88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150</v>
      </c>
      <c r="Y440" s="546">
        <f>IFERROR(IF(X440="",0,CEILING((X440/$H440),1)*$H440),"")</f>
        <v>153.12</v>
      </c>
      <c r="Z440" s="36">
        <f>IFERROR(IF(Y440=0,"",ROUNDUP(Y440/H440,0)*0.01196),"")</f>
        <v>0.34683999999999998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159.94318181818181</v>
      </c>
      <c r="BN440" s="64">
        <f>IFERROR(Y440*I440/H440,"0")</f>
        <v>163.26999999999998</v>
      </c>
      <c r="BO440" s="64">
        <f>IFERROR(1/J440*(X440/H440),"0")</f>
        <v>0.27316433566433568</v>
      </c>
      <c r="BP440" s="64">
        <f>IFERROR(1/J440*(Y440/H440),"0")</f>
        <v>0.27884615384615385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28.409090909090907</v>
      </c>
      <c r="Y443" s="547">
        <f>IFERROR(Y440/H440,"0")+IFERROR(Y441/H441,"0")+IFERROR(Y442/H442,"0")</f>
        <v>29</v>
      </c>
      <c r="Z443" s="547">
        <f>IFERROR(IF(Z440="",0,Z440),"0")+IFERROR(IF(Z441="",0,Z441),"0")+IFERROR(IF(Z442="",0,Z442),"0")</f>
        <v>0.34683999999999998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150</v>
      </c>
      <c r="Y444" s="547">
        <f>IFERROR(SUM(Y440:Y442),"0")</f>
        <v>153.12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120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127.95454545454545</v>
      </c>
      <c r="BN448" s="64">
        <f t="shared" si="50"/>
        <v>129.49</v>
      </c>
      <c r="BO448" s="64">
        <f t="shared" si="51"/>
        <v>0.21853146853146854</v>
      </c>
      <c r="BP448" s="64">
        <f t="shared" si="52"/>
        <v>0.22115384615384617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72</v>
      </c>
      <c r="Y449" s="546">
        <f t="shared" si="48"/>
        <v>72</v>
      </c>
      <c r="Z449" s="36">
        <f>IFERROR(IF(Y449=0,"",ROUNDUP(Y449/H449,0)*0.00902),"")</f>
        <v>0.1353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103.65</v>
      </c>
      <c r="BN449" s="64">
        <f t="shared" si="50"/>
        <v>103.65</v>
      </c>
      <c r="BO449" s="64">
        <f t="shared" si="51"/>
        <v>0.11363636363636365</v>
      </c>
      <c r="BP449" s="64">
        <f t="shared" si="52"/>
        <v>0.11363636363636365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66.666666666666657</v>
      </c>
      <c r="Y452" s="547">
        <f>IFERROR(Y446/H446,"0")+IFERROR(Y447/H447,"0")+IFERROR(Y448/H448,"0")+IFERROR(Y449/H449,"0")+IFERROR(Y450/H450,"0")+IFERROR(Y451/H451,"0")</f>
        <v>68</v>
      </c>
      <c r="Z452" s="547">
        <f>IFERROR(IF(Z446="",0,Z446),"0")+IFERROR(IF(Z447="",0,Z447),"0")+IFERROR(IF(Z448="",0,Z448),"0")+IFERROR(IF(Z449="",0,Z449),"0")+IFERROR(IF(Z450="",0,Z450),"0")+IFERROR(IF(Z451="",0,Z451),"0")</f>
        <v>0.73683999999999994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340</v>
      </c>
      <c r="Y453" s="547">
        <f>IFERROR(SUM(Y446:Y451),"0")</f>
        <v>346.56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1300</v>
      </c>
      <c r="Y478" s="546">
        <f>IFERROR(IF(X478="",0,CEILING((X478/$H478),1)*$H478),"")</f>
        <v>1305</v>
      </c>
      <c r="Z478" s="36">
        <f>IFERROR(IF(Y478=0,"",ROUNDUP(Y478/H478,0)*0.01898),"")</f>
        <v>2.7521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1371.3555555555554</v>
      </c>
      <c r="BN478" s="64">
        <f>IFERROR(Y478*I478/H478,"0")</f>
        <v>1376.63</v>
      </c>
      <c r="BO478" s="64">
        <f>IFERROR(1/J478*(X478/H478),"0")</f>
        <v>2.2569444444444446</v>
      </c>
      <c r="BP478" s="64">
        <f>IFERROR(1/J478*(Y478/H478),"0")</f>
        <v>2.265625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144.44444444444446</v>
      </c>
      <c r="Y479" s="547">
        <f>IFERROR(Y478/H478,"0")</f>
        <v>145</v>
      </c>
      <c r="Z479" s="547">
        <f>IFERROR(IF(Z478="",0,Z478),"0")</f>
        <v>2.7521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1300</v>
      </c>
      <c r="Y480" s="547">
        <f>IFERROR(SUM(Y478:Y478),"0")</f>
        <v>1305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17481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17640.189999999995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18635.905418567167</v>
      </c>
      <c r="Y492" s="547">
        <f>IFERROR(SUM(BN22:BN488),"0")</f>
        <v>18807.336000000003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31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19410.905418567167</v>
      </c>
      <c r="Y494" s="547">
        <f>GrossWeightTotalR+PalletQtyTotalR*25</f>
        <v>19582.336000000003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3575.0684754793951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3604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35.890830000000001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622.40000000000009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1234.8000000000002</v>
      </c>
      <c r="E501" s="46">
        <f>IFERROR(Y86*1,"0")+IFERROR(Y87*1,"0")+IFERROR(Y88*1,"0")+IFERROR(Y89*1,"0")+IFERROR(Y93*1,"0")+IFERROR(Y94*1,"0")+IFERROR(Y95*1,"0")+IFERROR(Y96*1,"0")</f>
        <v>1638.9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1243.6199999999999</v>
      </c>
      <c r="G501" s="46">
        <f>IFERROR(Y128*1,"0")+IFERROR(Y129*1,"0")+IFERROR(Y133*1,"0")+IFERROR(Y134*1,"0")+IFERROR(Y138*1,"0")+IFERROR(Y139*1,"0")</f>
        <v>150.72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555.2399999999999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2234.6999999999998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372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160.80000000000001</v>
      </c>
      <c r="P501" s="46">
        <f>IFERROR(Y283*1,"0")+IFERROR(Y284*1,"0")+IFERROR(Y288*1,"0")+IFERROR(Y289*1,"0")</f>
        <v>16.8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741.55</v>
      </c>
      <c r="R501" s="46">
        <f>IFERROR(Y338*1,"0")+IFERROR(Y339*1,"0")+IFERROR(Y340*1,"0")</f>
        <v>911.4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5026</v>
      </c>
      <c r="T501" s="46">
        <f>IFERROR(Y371*1,"0")+IFERROR(Y372*1,"0")+IFERROR(Y376*1,"0")+IFERROR(Y377*1,"0")+IFERROR(Y381*1,"0")+IFERROR(Y382*1,"0")+IFERROR(Y383*1,"0")</f>
        <v>87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113.4</v>
      </c>
      <c r="V501" s="46">
        <f>IFERROR(Y407*1,"0")+IFERROR(Y411*1,"0")+IFERROR(Y412*1,"0")+IFERROR(Y413*1,"0")+IFERROR(Y414*1,"0")</f>
        <v>10.5</v>
      </c>
      <c r="W501" s="46">
        <f>IFERROR(Y419*1,"0")</f>
        <v>40.799999999999997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1174.56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1305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