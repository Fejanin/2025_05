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4931ED1C-1AC5-4E0A-9B74-CC988F3E376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Y444" i="1" s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P371" i="1"/>
  <c r="BO371" i="1"/>
  <c r="BN371" i="1"/>
  <c r="BM371" i="1"/>
  <c r="Z371" i="1"/>
  <c r="Y371" i="1"/>
  <c r="P371" i="1"/>
  <c r="X368" i="1"/>
  <c r="Y367" i="1"/>
  <c r="X367" i="1"/>
  <c r="BP366" i="1"/>
  <c r="BO366" i="1"/>
  <c r="BN366" i="1"/>
  <c r="BM366" i="1"/>
  <c r="Z366" i="1"/>
  <c r="Z367" i="1" s="1"/>
  <c r="Y366" i="1"/>
  <c r="Y368" i="1" s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Y358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Y334" i="1" s="1"/>
  <c r="P332" i="1"/>
  <c r="BP331" i="1"/>
  <c r="BO331" i="1"/>
  <c r="BN331" i="1"/>
  <c r="BM331" i="1"/>
  <c r="Z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Y316" i="1" s="1"/>
  <c r="P312" i="1"/>
  <c r="BP311" i="1"/>
  <c r="BO311" i="1"/>
  <c r="BN311" i="1"/>
  <c r="BM311" i="1"/>
  <c r="Z311" i="1"/>
  <c r="Y311" i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Y290" i="1" s="1"/>
  <c r="P288" i="1"/>
  <c r="X286" i="1"/>
  <c r="X285" i="1"/>
  <c r="BP284" i="1"/>
  <c r="BO284" i="1"/>
  <c r="BN284" i="1"/>
  <c r="BM284" i="1"/>
  <c r="Z284" i="1"/>
  <c r="Y284" i="1"/>
  <c r="P284" i="1"/>
  <c r="BO283" i="1"/>
  <c r="BM283" i="1"/>
  <c r="Y283" i="1"/>
  <c r="Y285" i="1" s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Y273" i="1" s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L501" i="1" s="1"/>
  <c r="P260" i="1"/>
  <c r="BP259" i="1"/>
  <c r="BO259" i="1"/>
  <c r="BN259" i="1"/>
  <c r="BM259" i="1"/>
  <c r="Z259" i="1"/>
  <c r="Y259" i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Y184" i="1" s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Y152" i="1" s="1"/>
  <c r="P150" i="1"/>
  <c r="BP149" i="1"/>
  <c r="BO149" i="1"/>
  <c r="BN149" i="1"/>
  <c r="BM149" i="1"/>
  <c r="Z149" i="1"/>
  <c r="Y149" i="1"/>
  <c r="P149" i="1"/>
  <c r="X147" i="1"/>
  <c r="Y146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Y140" i="1" s="1"/>
  <c r="P138" i="1"/>
  <c r="X136" i="1"/>
  <c r="X135" i="1"/>
  <c r="BP134" i="1"/>
  <c r="BO134" i="1"/>
  <c r="BN134" i="1"/>
  <c r="BM134" i="1"/>
  <c r="Z134" i="1"/>
  <c r="Y134" i="1"/>
  <c r="P134" i="1"/>
  <c r="BO133" i="1"/>
  <c r="BM133" i="1"/>
  <c r="Y133" i="1"/>
  <c r="Y135" i="1" s="1"/>
  <c r="P133" i="1"/>
  <c r="X131" i="1"/>
  <c r="X130" i="1"/>
  <c r="BO129" i="1"/>
  <c r="BM129" i="1"/>
  <c r="Y129" i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Y71" i="1" s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N57" i="1"/>
  <c r="BM57" i="1"/>
  <c r="Z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491" i="1" s="1"/>
  <c r="X24" i="1"/>
  <c r="X495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Z82" i="1" l="1"/>
  <c r="H9" i="1"/>
  <c r="A10" i="1"/>
  <c r="B501" i="1"/>
  <c r="X492" i="1"/>
  <c r="X494" i="1" s="1"/>
  <c r="X493" i="1"/>
  <c r="Z23" i="1"/>
  <c r="Z24" i="1" s="1"/>
  <c r="BN23" i="1"/>
  <c r="BP23" i="1"/>
  <c r="Y24" i="1"/>
  <c r="Z27" i="1"/>
  <c r="Z32" i="1" s="1"/>
  <c r="BN27" i="1"/>
  <c r="BP27" i="1"/>
  <c r="Z29" i="1"/>
  <c r="BN29" i="1"/>
  <c r="Y492" i="1" s="1"/>
  <c r="Z31" i="1"/>
  <c r="BN31" i="1"/>
  <c r="Y32" i="1"/>
  <c r="Z35" i="1"/>
  <c r="Z36" i="1" s="1"/>
  <c r="BN35" i="1"/>
  <c r="BP35" i="1"/>
  <c r="Y36" i="1"/>
  <c r="Z41" i="1"/>
  <c r="Z44" i="1" s="1"/>
  <c r="BN41" i="1"/>
  <c r="BP41" i="1"/>
  <c r="Z43" i="1"/>
  <c r="BN43" i="1"/>
  <c r="Y44" i="1"/>
  <c r="Z47" i="1"/>
  <c r="Z48" i="1" s="1"/>
  <c r="BN47" i="1"/>
  <c r="BP47" i="1"/>
  <c r="Y48" i="1"/>
  <c r="Z52" i="1"/>
  <c r="Z58" i="1" s="1"/>
  <c r="BN52" i="1"/>
  <c r="BP52" i="1"/>
  <c r="Z54" i="1"/>
  <c r="BN54" i="1"/>
  <c r="Z56" i="1"/>
  <c r="BN56" i="1"/>
  <c r="Y64" i="1"/>
  <c r="BP61" i="1"/>
  <c r="BN61" i="1"/>
  <c r="Z61" i="1"/>
  <c r="BP69" i="1"/>
  <c r="BN69" i="1"/>
  <c r="Z69" i="1"/>
  <c r="Y78" i="1"/>
  <c r="BP73" i="1"/>
  <c r="BN73" i="1"/>
  <c r="Z73" i="1"/>
  <c r="Y77" i="1"/>
  <c r="BP81" i="1"/>
  <c r="BN81" i="1"/>
  <c r="Z81" i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53" i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F9" i="1"/>
  <c r="J9" i="1"/>
  <c r="Y45" i="1"/>
  <c r="Y491" i="1" s="1"/>
  <c r="D501" i="1"/>
  <c r="Y58" i="1"/>
  <c r="BP63" i="1"/>
  <c r="Y493" i="1" s="1"/>
  <c r="BN63" i="1"/>
  <c r="Z63" i="1"/>
  <c r="Y65" i="1"/>
  <c r="Y70" i="1"/>
  <c r="BP67" i="1"/>
  <c r="BN67" i="1"/>
  <c r="Z67" i="1"/>
  <c r="Z70" i="1" s="1"/>
  <c r="BP75" i="1"/>
  <c r="BN75" i="1"/>
  <c r="Z75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Z113" i="1" s="1"/>
  <c r="BP112" i="1"/>
  <c r="BN112" i="1"/>
  <c r="Z112" i="1"/>
  <c r="Y114" i="1"/>
  <c r="Y121" i="1"/>
  <c r="BP116" i="1"/>
  <c r="BN116" i="1"/>
  <c r="Z116" i="1"/>
  <c r="Z120" i="1" s="1"/>
  <c r="Y120" i="1"/>
  <c r="BP129" i="1"/>
  <c r="BN129" i="1"/>
  <c r="Z129" i="1"/>
  <c r="Z130" i="1" s="1"/>
  <c r="Y131" i="1"/>
  <c r="Y136" i="1"/>
  <c r="BP133" i="1"/>
  <c r="BN133" i="1"/>
  <c r="Z133" i="1"/>
  <c r="Z135" i="1" s="1"/>
  <c r="Z152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BP202" i="1"/>
  <c r="BN202" i="1"/>
  <c r="Z202" i="1"/>
  <c r="Y210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Y265" i="1"/>
  <c r="BP262" i="1"/>
  <c r="BN262" i="1"/>
  <c r="Z262" i="1"/>
  <c r="BP271" i="1"/>
  <c r="BN271" i="1"/>
  <c r="Z271" i="1"/>
  <c r="O501" i="1"/>
  <c r="Y279" i="1"/>
  <c r="BP276" i="1"/>
  <c r="BN276" i="1"/>
  <c r="Z276" i="1"/>
  <c r="BP289" i="1"/>
  <c r="BN289" i="1"/>
  <c r="Z289" i="1"/>
  <c r="Z290" i="1" s="1"/>
  <c r="Y291" i="1"/>
  <c r="Q501" i="1"/>
  <c r="Y299" i="1"/>
  <c r="BP294" i="1"/>
  <c r="BN294" i="1"/>
  <c r="Z294" i="1"/>
  <c r="Z299" i="1" s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Y321" i="1"/>
  <c r="BP318" i="1"/>
  <c r="BN318" i="1"/>
  <c r="Z318" i="1"/>
  <c r="BP326" i="1"/>
  <c r="BN326" i="1"/>
  <c r="Z326" i="1"/>
  <c r="Y335" i="1"/>
  <c r="Z341" i="1"/>
  <c r="BP339" i="1"/>
  <c r="BN339" i="1"/>
  <c r="Z339" i="1"/>
  <c r="BP349" i="1"/>
  <c r="BN349" i="1"/>
  <c r="Z349" i="1"/>
  <c r="BP372" i="1"/>
  <c r="BN372" i="1"/>
  <c r="Z372" i="1"/>
  <c r="Z373" i="1" s="1"/>
  <c r="Y374" i="1"/>
  <c r="Y379" i="1"/>
  <c r="BP376" i="1"/>
  <c r="BN376" i="1"/>
  <c r="Z376" i="1"/>
  <c r="Z378" i="1" s="1"/>
  <c r="Y378" i="1"/>
  <c r="BP206" i="1"/>
  <c r="BN206" i="1"/>
  <c r="Z206" i="1"/>
  <c r="Z209" i="1" s="1"/>
  <c r="BP214" i="1"/>
  <c r="BN214" i="1"/>
  <c r="Z214" i="1"/>
  <c r="BP218" i="1"/>
  <c r="BN218" i="1"/>
  <c r="Z218" i="1"/>
  <c r="BP231" i="1"/>
  <c r="BN231" i="1"/>
  <c r="Z231" i="1"/>
  <c r="Z239" i="1" s="1"/>
  <c r="BP235" i="1"/>
  <c r="BN235" i="1"/>
  <c r="Z235" i="1"/>
  <c r="Y239" i="1"/>
  <c r="BP251" i="1"/>
  <c r="BN251" i="1"/>
  <c r="Z251" i="1"/>
  <c r="Z255" i="1" s="1"/>
  <c r="Y255" i="1"/>
  <c r="Z264" i="1"/>
  <c r="BP260" i="1"/>
  <c r="BN260" i="1"/>
  <c r="Z260" i="1"/>
  <c r="Y264" i="1"/>
  <c r="BP269" i="1"/>
  <c r="BN269" i="1"/>
  <c r="Z269" i="1"/>
  <c r="Z272" i="1" s="1"/>
  <c r="BP278" i="1"/>
  <c r="BN278" i="1"/>
  <c r="Z278" i="1"/>
  <c r="Y280" i="1"/>
  <c r="P501" i="1"/>
  <c r="Y286" i="1"/>
  <c r="BP283" i="1"/>
  <c r="BN283" i="1"/>
  <c r="Z283" i="1"/>
  <c r="Z285" i="1" s="1"/>
  <c r="BP296" i="1"/>
  <c r="BN296" i="1"/>
  <c r="Z296" i="1"/>
  <c r="BP304" i="1"/>
  <c r="BN304" i="1"/>
  <c r="Z304" i="1"/>
  <c r="Y308" i="1"/>
  <c r="BP312" i="1"/>
  <c r="BN312" i="1"/>
  <c r="Z312" i="1"/>
  <c r="Z315" i="1" s="1"/>
  <c r="BP320" i="1"/>
  <c r="BN320" i="1"/>
  <c r="Z320" i="1"/>
  <c r="Y322" i="1"/>
  <c r="Y329" i="1"/>
  <c r="BP324" i="1"/>
  <c r="BN324" i="1"/>
  <c r="Z324" i="1"/>
  <c r="Z328" i="1" s="1"/>
  <c r="Y328" i="1"/>
  <c r="Z334" i="1"/>
  <c r="BP332" i="1"/>
  <c r="BN332" i="1"/>
  <c r="Z332" i="1"/>
  <c r="BP347" i="1"/>
  <c r="BN347" i="1"/>
  <c r="Z347" i="1"/>
  <c r="BP351" i="1"/>
  <c r="BN351" i="1"/>
  <c r="Z351" i="1"/>
  <c r="Z353" i="1" s="1"/>
  <c r="BP390" i="1"/>
  <c r="BN390" i="1"/>
  <c r="Z390" i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Z465" i="1" s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Z484" i="1"/>
  <c r="U501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BP382" i="1"/>
  <c r="BN382" i="1"/>
  <c r="Z382" i="1"/>
  <c r="Z384" i="1" s="1"/>
  <c r="Y399" i="1"/>
  <c r="BP392" i="1"/>
  <c r="BN392" i="1"/>
  <c r="Z392" i="1"/>
  <c r="Z398" i="1" s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Z437" i="1" s="1"/>
  <c r="BP433" i="1"/>
  <c r="BN433" i="1"/>
  <c r="Z433" i="1"/>
  <c r="Y437" i="1"/>
  <c r="BP441" i="1"/>
  <c r="BN441" i="1"/>
  <c r="Z441" i="1"/>
  <c r="Z443" i="1" s="1"/>
  <c r="Y452" i="1"/>
  <c r="BP449" i="1"/>
  <c r="BN449" i="1"/>
  <c r="Z449" i="1"/>
  <c r="Z452" i="1" s="1"/>
  <c r="BP463" i="1"/>
  <c r="BN463" i="1"/>
  <c r="Z463" i="1"/>
  <c r="Y470" i="1"/>
  <c r="BP483" i="1"/>
  <c r="BN483" i="1"/>
  <c r="Z483" i="1"/>
  <c r="Y485" i="1"/>
  <c r="Z501" i="1"/>
  <c r="Y489" i="1"/>
  <c r="BP488" i="1"/>
  <c r="BN488" i="1"/>
  <c r="Z488" i="1"/>
  <c r="Z489" i="1" s="1"/>
  <c r="Y490" i="1"/>
  <c r="W501" i="1"/>
  <c r="Y438" i="1"/>
  <c r="Y494" i="1" l="1"/>
  <c r="Z308" i="1"/>
  <c r="Z221" i="1"/>
  <c r="Z64" i="1"/>
  <c r="Z496" i="1" s="1"/>
  <c r="Z415" i="1"/>
  <c r="Z321" i="1"/>
  <c r="Z279" i="1"/>
  <c r="Z183" i="1"/>
  <c r="Z177" i="1"/>
  <c r="Z106" i="1"/>
  <c r="Z97" i="1"/>
  <c r="Z90" i="1"/>
  <c r="Z77" i="1"/>
  <c r="Y495" i="1"/>
</calcChain>
</file>

<file path=xl/sharedStrings.xml><?xml version="1.0" encoding="utf-8"?>
<sst xmlns="http://schemas.openxmlformats.org/spreadsheetml/2006/main" count="2293" uniqueCount="775">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</sst>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81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46003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Пятница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0.375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 t="s">
        <v>113</v>
      </c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5">
        <v>200</v>
      </c>
      <c r="Y42" s="546">
        <f>IFERROR(IF(X42="",0,CEILING((X42/$H42),1)*$H42),"")</f>
        <v>200</v>
      </c>
      <c r="Z42" s="36">
        <f>IFERROR(IF(Y42=0,"",ROUNDUP(Y42/H42,0)*0.00902),"")</f>
        <v>0.45100000000000001</v>
      </c>
      <c r="AA42" s="56"/>
      <c r="AB42" s="57"/>
      <c r="AC42" s="87" t="s">
        <v>108</v>
      </c>
      <c r="AG42" s="64"/>
      <c r="AJ42" s="68" t="s">
        <v>109</v>
      </c>
      <c r="AK42" s="68">
        <v>48</v>
      </c>
      <c r="BB42" s="88" t="s">
        <v>1</v>
      </c>
      <c r="BM42" s="64">
        <f>IFERROR(X42*I42/H42,"0")</f>
        <v>209.50000000000003</v>
      </c>
      <c r="BN42" s="64">
        <f>IFERROR(Y42*I42/H42,"0")</f>
        <v>209.50000000000003</v>
      </c>
      <c r="BO42" s="64">
        <f>IFERROR(1/J42*(X42/H42),"0")</f>
        <v>0.37878787878787878</v>
      </c>
      <c r="BP42" s="64">
        <f>IFERROR(1/J42*(Y42/H42),"0")</f>
        <v>0.37878787878787878</v>
      </c>
    </row>
    <row r="43" spans="1:68" ht="27" customHeight="1" x14ac:dyDescent="0.25">
      <c r="A43" s="54" t="s">
        <v>114</v>
      </c>
      <c r="B43" s="54" t="s">
        <v>115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/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50</v>
      </c>
      <c r="Y44" s="547">
        <f>IFERROR(Y41/H41,"0")+IFERROR(Y42/H42,"0")+IFERROR(Y43/H43,"0")</f>
        <v>50</v>
      </c>
      <c r="Z44" s="547">
        <f>IFERROR(IF(Z41="",0,Z41),"0")+IFERROR(IF(Z42="",0,Z42),"0")+IFERROR(IF(Z43="",0,Z43),"0")</f>
        <v>0.45100000000000001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200</v>
      </c>
      <c r="Y45" s="547">
        <f>IFERROR(SUM(Y41:Y43),"0")</f>
        <v>200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119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/>
      <c r="M53" s="33" t="s">
        <v>107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300</v>
      </c>
      <c r="Y53" s="546">
        <f t="shared" si="0"/>
        <v>302.40000000000003</v>
      </c>
      <c r="Z53" s="36">
        <f>IFERROR(IF(Y53=0,"",ROUNDUP(Y53/H53,0)*0.01898),"")</f>
        <v>0.53144000000000002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311.38888888888891</v>
      </c>
      <c r="BN53" s="64">
        <f t="shared" si="2"/>
        <v>313.88</v>
      </c>
      <c r="BO53" s="64">
        <f t="shared" si="3"/>
        <v>0.43402777777777773</v>
      </c>
      <c r="BP53" s="64">
        <f t="shared" si="4"/>
        <v>0.4375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/>
      <c r="M55" s="33" t="s">
        <v>107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450</v>
      </c>
      <c r="Y57" s="546">
        <f t="shared" si="0"/>
        <v>450</v>
      </c>
      <c r="Z57" s="36">
        <f>IFERROR(IF(Y57=0,"",ROUNDUP(Y57/H57,0)*0.00902),"")</f>
        <v>0.90200000000000002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469</v>
      </c>
      <c r="BN57" s="64">
        <f t="shared" si="2"/>
        <v>469</v>
      </c>
      <c r="BO57" s="64">
        <f t="shared" si="3"/>
        <v>0.75757575757575757</v>
      </c>
      <c r="BP57" s="64">
        <f t="shared" si="4"/>
        <v>0.75757575757575757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127.77777777777777</v>
      </c>
      <c r="Y58" s="547">
        <f>IFERROR(Y52/H52,"0")+IFERROR(Y53/H53,"0")+IFERROR(Y54/H54,"0")+IFERROR(Y55/H55,"0")+IFERROR(Y56/H56,"0")+IFERROR(Y57/H57,"0")</f>
        <v>128</v>
      </c>
      <c r="Z58" s="547">
        <f>IFERROR(IF(Z52="",0,Z52),"0")+IFERROR(IF(Z53="",0,Z53),"0")+IFERROR(IF(Z54="",0,Z54),"0")+IFERROR(IF(Z55="",0,Z55),"0")+IFERROR(IF(Z56="",0,Z56),"0")+IFERROR(IF(Z57="",0,Z57),"0")</f>
        <v>1.43344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750</v>
      </c>
      <c r="Y59" s="547">
        <f>IFERROR(SUM(Y52:Y57),"0")</f>
        <v>752.40000000000009</v>
      </c>
      <c r="Z59" s="37"/>
      <c r="AA59" s="548"/>
      <c r="AB59" s="548"/>
      <c r="AC59" s="548"/>
    </row>
    <row r="60" spans="1:68" ht="14.25" customHeight="1" x14ac:dyDescent="0.25">
      <c r="A60" s="557" t="s">
        <v>138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100</v>
      </c>
      <c r="Y61" s="546">
        <f>IFERROR(IF(X61="",0,CEILING((X61/$H61),1)*$H61),"")</f>
        <v>108</v>
      </c>
      <c r="Z61" s="36">
        <f>IFERROR(IF(Y61=0,"",ROUNDUP(Y61/H61,0)*0.01898),"")</f>
        <v>0.1898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103.79629629629629</v>
      </c>
      <c r="BN61" s="64">
        <f>IFERROR(Y61*I61/H61,"0")</f>
        <v>112.1</v>
      </c>
      <c r="BO61" s="64">
        <f>IFERROR(1/J61*(X61/H61),"0")</f>
        <v>0.14467592592592593</v>
      </c>
      <c r="BP61" s="64">
        <f>IFERROR(1/J61*(Y61/H61),"0")</f>
        <v>0.15625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45</v>
      </c>
      <c r="Y63" s="546">
        <f>IFERROR(IF(X63="",0,CEILING((X63/$H63),1)*$H63),"")</f>
        <v>45.900000000000006</v>
      </c>
      <c r="Z63" s="36">
        <f>IFERROR(IF(Y63=0,"",ROUNDUP(Y63/H63,0)*0.00651),"")</f>
        <v>0.11067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47.999999999999993</v>
      </c>
      <c r="BN63" s="64">
        <f>IFERROR(Y63*I63/H63,"0")</f>
        <v>48.96</v>
      </c>
      <c r="BO63" s="64">
        <f>IFERROR(1/J63*(X63/H63),"0")</f>
        <v>9.1575091575091569E-2</v>
      </c>
      <c r="BP63" s="64">
        <f>IFERROR(1/J63*(Y63/H63),"0")</f>
        <v>9.3406593406593408E-2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25.925925925925924</v>
      </c>
      <c r="Y64" s="547">
        <f>IFERROR(Y61/H61,"0")+IFERROR(Y62/H62,"0")+IFERROR(Y63/H63,"0")</f>
        <v>27</v>
      </c>
      <c r="Z64" s="547">
        <f>IFERROR(IF(Z61="",0,Z61),"0")+IFERROR(IF(Z62="",0,Z62),"0")+IFERROR(IF(Z63="",0,Z63),"0")</f>
        <v>0.30047000000000001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145</v>
      </c>
      <c r="Y65" s="547">
        <f>IFERROR(SUM(Y61:Y63),"0")</f>
        <v>153.9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152</v>
      </c>
      <c r="B69" s="54" t="s">
        <v>153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166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91" t="s">
        <v>173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200</v>
      </c>
      <c r="Y86" s="546">
        <f>IFERROR(IF(X86="",0,CEILING((X86/$H86),1)*$H86),"")</f>
        <v>205.20000000000002</v>
      </c>
      <c r="Z86" s="36">
        <f>IFERROR(IF(Y86=0,"",ROUNDUP(Y86/H86,0)*0.01898),"")</f>
        <v>0.36062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207.59259259259258</v>
      </c>
      <c r="BN86" s="64">
        <f>IFERROR(Y86*I86/H86,"0")</f>
        <v>212.99</v>
      </c>
      <c r="BO86" s="64">
        <f>IFERROR(1/J86*(X86/H86),"0")</f>
        <v>0.28935185185185186</v>
      </c>
      <c r="BP86" s="64">
        <f>IFERROR(1/J86*(Y86/H86),"0")</f>
        <v>0.296875</v>
      </c>
    </row>
    <row r="87" spans="1:68" ht="27" customHeight="1" x14ac:dyDescent="0.25">
      <c r="A87" s="54" t="s">
        <v>177</v>
      </c>
      <c r="B87" s="54" t="s">
        <v>178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30" t="s">
        <v>180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/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540</v>
      </c>
      <c r="Y89" s="546">
        <f>IFERROR(IF(X89="",0,CEILING((X89/$H89),1)*$H89),"")</f>
        <v>540</v>
      </c>
      <c r="Z89" s="36">
        <f>IFERROR(IF(Y89=0,"",ROUNDUP(Y89/H89,0)*0.00902),"")</f>
        <v>1.0824</v>
      </c>
      <c r="AA89" s="56"/>
      <c r="AB89" s="57"/>
      <c r="AC89" s="135" t="s">
        <v>176</v>
      </c>
      <c r="AG89" s="64"/>
      <c r="AJ89" s="68"/>
      <c r="AK89" s="68">
        <v>0</v>
      </c>
      <c r="BB89" s="136" t="s">
        <v>1</v>
      </c>
      <c r="BM89" s="64">
        <f>IFERROR(X89*I89/H89,"0")</f>
        <v>562.80000000000007</v>
      </c>
      <c r="BN89" s="64">
        <f>IFERROR(Y89*I89/H89,"0")</f>
        <v>562.80000000000007</v>
      </c>
      <c r="BO89" s="64">
        <f>IFERROR(1/J89*(X89/H89),"0")</f>
        <v>0.90909090909090917</v>
      </c>
      <c r="BP89" s="64">
        <f>IFERROR(1/J89*(Y89/H89),"0")</f>
        <v>0.90909090909090917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138.51851851851853</v>
      </c>
      <c r="Y90" s="547">
        <f>IFERROR(Y86/H86,"0")+IFERROR(Y87/H87,"0")+IFERROR(Y88/H88,"0")+IFERROR(Y89/H89,"0")</f>
        <v>139</v>
      </c>
      <c r="Z90" s="547">
        <f>IFERROR(IF(Z86="",0,Z86),"0")+IFERROR(IF(Z87="",0,Z87),"0")+IFERROR(IF(Z88="",0,Z88),"0")+IFERROR(IF(Z89="",0,Z89),"0")</f>
        <v>1.44302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740</v>
      </c>
      <c r="Y91" s="547">
        <f>IFERROR(SUM(Y86:Y89),"0")</f>
        <v>745.2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189</v>
      </c>
      <c r="B94" s="54" t="s">
        <v>190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315</v>
      </c>
      <c r="Y95" s="546">
        <f>IFERROR(IF(X95="",0,CEILING((X95/$H95),1)*$H95),"")</f>
        <v>315.90000000000003</v>
      </c>
      <c r="Z95" s="36">
        <f>IFERROR(IF(Y95=0,"",ROUNDUP(Y95/H95,0)*0.00651),"")</f>
        <v>0.76167000000000007</v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344.4</v>
      </c>
      <c r="BN95" s="64">
        <f>IFERROR(Y95*I95/H95,"0")</f>
        <v>345.38400000000001</v>
      </c>
      <c r="BO95" s="64">
        <f>IFERROR(1/J95*(X95/H95),"0")</f>
        <v>0.64102564102564097</v>
      </c>
      <c r="BP95" s="64">
        <f>IFERROR(1/J95*(Y95/H95),"0")</f>
        <v>0.6428571428571429</v>
      </c>
    </row>
    <row r="96" spans="1:68" ht="16.5" customHeight="1" x14ac:dyDescent="0.25">
      <c r="A96" s="54" t="s">
        <v>194</v>
      </c>
      <c r="B96" s="54" t="s">
        <v>195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116.66666666666666</v>
      </c>
      <c r="Y97" s="547">
        <f>IFERROR(Y93/H93,"0")+IFERROR(Y94/H94,"0")+IFERROR(Y95/H95,"0")+IFERROR(Y96/H96,"0")</f>
        <v>117</v>
      </c>
      <c r="Z97" s="547">
        <f>IFERROR(IF(Z93="",0,Z93),"0")+IFERROR(IF(Z94="",0,Z94),"0")+IFERROR(IF(Z95="",0,Z95),"0")+IFERROR(IF(Z96="",0,Z96),"0")</f>
        <v>0.76167000000000007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315</v>
      </c>
      <c r="Y98" s="547">
        <f>IFERROR(SUM(Y93:Y96),"0")</f>
        <v>315.90000000000003</v>
      </c>
      <c r="Z98" s="37"/>
      <c r="AA98" s="548"/>
      <c r="AB98" s="548"/>
      <c r="AC98" s="548"/>
    </row>
    <row r="99" spans="1:68" ht="16.5" customHeight="1" x14ac:dyDescent="0.25">
      <c r="A99" s="591" t="s">
        <v>197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198</v>
      </c>
      <c r="B101" s="54" t="s">
        <v>199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customHeight="1" x14ac:dyDescent="0.25">
      <c r="A102" s="54" t="s">
        <v>201</v>
      </c>
      <c r="B102" s="54" t="s">
        <v>202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6" t="s">
        <v>203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205</v>
      </c>
      <c r="B103" s="54" t="s">
        <v>206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207</v>
      </c>
      <c r="B104" s="54" t="s">
        <v>208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113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315</v>
      </c>
      <c r="Y104" s="546">
        <f>IFERROR(IF(X104="",0,CEILING((X104/$H104),1)*$H104),"")</f>
        <v>315</v>
      </c>
      <c r="Z104" s="36">
        <f>IFERROR(IF(Y104=0,"",ROUNDUP(Y104/H104,0)*0.00902),"")</f>
        <v>0.63139999999999996</v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328.3</v>
      </c>
      <c r="BN104" s="64">
        <f>IFERROR(Y104*I104/H104,"0")</f>
        <v>328.3</v>
      </c>
      <c r="BO104" s="64">
        <f>IFERROR(1/J104*(X104/H104),"0")</f>
        <v>0.53030303030303028</v>
      </c>
      <c r="BP104" s="64">
        <f>IFERROR(1/J104*(Y104/H104),"0")</f>
        <v>0.53030303030303028</v>
      </c>
    </row>
    <row r="105" spans="1:68" ht="37.5" customHeight="1" x14ac:dyDescent="0.25">
      <c r="A105" s="54" t="s">
        <v>209</v>
      </c>
      <c r="B105" s="54" t="s">
        <v>210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70</v>
      </c>
      <c r="Y106" s="547">
        <f>IFERROR(Y101/H101,"0")+IFERROR(Y102/H102,"0")+IFERROR(Y103/H103,"0")+IFERROR(Y104/H104,"0")+IFERROR(Y105/H105,"0")</f>
        <v>70</v>
      </c>
      <c r="Z106" s="547">
        <f>IFERROR(IF(Z101="",0,Z101),"0")+IFERROR(IF(Z102="",0,Z102),"0")+IFERROR(IF(Z103="",0,Z103),"0")+IFERROR(IF(Z104="",0,Z104),"0")+IFERROR(IF(Z105="",0,Z105),"0")</f>
        <v>0.63139999999999996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315</v>
      </c>
      <c r="Y107" s="547">
        <f>IFERROR(SUM(Y101:Y105),"0")</f>
        <v>315</v>
      </c>
      <c r="Z107" s="37"/>
      <c r="AA107" s="548"/>
      <c r="AB107" s="548"/>
      <c r="AC107" s="548"/>
    </row>
    <row r="108" spans="1:68" ht="14.25" customHeight="1" x14ac:dyDescent="0.25">
      <c r="A108" s="557" t="s">
        <v>138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211</v>
      </c>
      <c r="B109" s="54" t="s">
        <v>212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214</v>
      </c>
      <c r="B110" s="54" t="s">
        <v>215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43" t="s">
        <v>217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219</v>
      </c>
      <c r="B111" s="54" t="s">
        <v>220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221</v>
      </c>
      <c r="B112" s="54" t="s">
        <v>222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213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223</v>
      </c>
      <c r="B116" s="54" t="s">
        <v>224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300</v>
      </c>
      <c r="Y116" s="546">
        <f>IFERROR(IF(X116="",0,CEILING((X116/$H116),1)*$H116),"")</f>
        <v>307.8</v>
      </c>
      <c r="Z116" s="36">
        <f>IFERROR(IF(Y116=0,"",ROUNDUP(Y116/H116,0)*0.01898),"")</f>
        <v>0.72123999999999999</v>
      </c>
      <c r="AA116" s="56"/>
      <c r="AB116" s="57"/>
      <c r="AC116" s="163" t="s">
        <v>225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318.07407407407402</v>
      </c>
      <c r="BN116" s="64">
        <f>IFERROR(Y116*I116/H116,"0")</f>
        <v>326.34399999999999</v>
      </c>
      <c r="BO116" s="64">
        <f>IFERROR(1/J116*(X116/H116),"0")</f>
        <v>0.57870370370370372</v>
      </c>
      <c r="BP116" s="64">
        <f>IFERROR(1/J116*(Y116/H116),"0")</f>
        <v>0.59375</v>
      </c>
    </row>
    <row r="117" spans="1:68" ht="27" customHeight="1" x14ac:dyDescent="0.25">
      <c r="A117" s="54" t="s">
        <v>226</v>
      </c>
      <c r="B117" s="54" t="s">
        <v>227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225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228</v>
      </c>
      <c r="B118" s="54" t="s">
        <v>229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230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225</v>
      </c>
      <c r="Y118" s="546">
        <f>IFERROR(IF(X118="",0,CEILING((X118/$H118),1)*$H118),"")</f>
        <v>226.8</v>
      </c>
      <c r="Z118" s="36">
        <f>IFERROR(IF(Y118=0,"",ROUNDUP(Y118/H118,0)*0.00651),"")</f>
        <v>0.54683999999999999</v>
      </c>
      <c r="AA118" s="56"/>
      <c r="AB118" s="57"/>
      <c r="AC118" s="167" t="s">
        <v>225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246</v>
      </c>
      <c r="BN118" s="64">
        <f>IFERROR(Y118*I118/H118,"0")</f>
        <v>247.96799999999999</v>
      </c>
      <c r="BO118" s="64">
        <f>IFERROR(1/J118*(X118/H118),"0")</f>
        <v>0.45787545787545786</v>
      </c>
      <c r="BP118" s="64">
        <f>IFERROR(1/J118*(Y118/H118),"0")</f>
        <v>0.46153846153846156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 t="s">
        <v>230</v>
      </c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24</v>
      </c>
      <c r="Y119" s="546">
        <f>IFERROR(IF(X119="",0,CEILING((X119/$H119),1)*$H119),"")</f>
        <v>25.2</v>
      </c>
      <c r="Z119" s="36">
        <f>IFERROR(IF(Y119=0,"",ROUNDUP(Y119/H119,0)*0.00651),"")</f>
        <v>9.1139999999999999E-2</v>
      </c>
      <c r="AA119" s="56"/>
      <c r="AB119" s="57"/>
      <c r="AC119" s="169" t="s">
        <v>233</v>
      </c>
      <c r="AG119" s="64"/>
      <c r="AJ119" s="68" t="s">
        <v>109</v>
      </c>
      <c r="AK119" s="68">
        <v>25.2</v>
      </c>
      <c r="BB119" s="170" t="s">
        <v>1</v>
      </c>
      <c r="BM119" s="64">
        <f>IFERROR(X119*I119/H119,"0")</f>
        <v>26.4</v>
      </c>
      <c r="BN119" s="64">
        <f>IFERROR(Y119*I119/H119,"0")</f>
        <v>27.72</v>
      </c>
      <c r="BO119" s="64">
        <f>IFERROR(1/J119*(X119/H119),"0")</f>
        <v>7.3260073260073263E-2</v>
      </c>
      <c r="BP119" s="64">
        <f>IFERROR(1/J119*(Y119/H119),"0")</f>
        <v>7.6923076923076927E-2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133.7037037037037</v>
      </c>
      <c r="Y120" s="547">
        <f>IFERROR(Y116/H116,"0")+IFERROR(Y117/H117,"0")+IFERROR(Y118/H118,"0")+IFERROR(Y119/H119,"0")</f>
        <v>136</v>
      </c>
      <c r="Z120" s="547">
        <f>IFERROR(IF(Z116="",0,Z116),"0")+IFERROR(IF(Z117="",0,Z117),"0")+IFERROR(IF(Z118="",0,Z118),"0")+IFERROR(IF(Z119="",0,Z119),"0")</f>
        <v>1.3592199999999999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549</v>
      </c>
      <c r="Y121" s="547">
        <f>IFERROR(SUM(Y116:Y119),"0")</f>
        <v>559.80000000000007</v>
      </c>
      <c r="Z121" s="37"/>
      <c r="AA121" s="548"/>
      <c r="AB121" s="548"/>
      <c r="AC121" s="548"/>
    </row>
    <row r="122" spans="1:68" ht="14.25" customHeight="1" x14ac:dyDescent="0.25">
      <c r="A122" s="557" t="s">
        <v>166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 t="s">
        <v>230</v>
      </c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 t="s">
        <v>109</v>
      </c>
      <c r="AK123" s="68">
        <v>27.72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customHeight="1" x14ac:dyDescent="0.25">
      <c r="A126" s="591" t="s">
        <v>237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230</v>
      </c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40</v>
      </c>
      <c r="Y128" s="546">
        <f>IFERROR(IF(X128="",0,CEILING((X128/$H128),1)*$H128),"")</f>
        <v>41.6</v>
      </c>
      <c r="Z128" s="36">
        <f>IFERROR(IF(Y128=0,"",ROUNDUP(Y128/H128,0)*0.00651),"")</f>
        <v>8.4629999999999997E-2</v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42.249999999999993</v>
      </c>
      <c r="BN128" s="64">
        <f>IFERROR(Y128*I128/H128,"0")</f>
        <v>43.94</v>
      </c>
      <c r="BO128" s="64">
        <f>IFERROR(1/J128*(X128/H128),"0")</f>
        <v>6.8681318681318687E-2</v>
      </c>
      <c r="BP128" s="64">
        <f>IFERROR(1/J128*(Y128/H128),"0")</f>
        <v>7.1428571428571438E-2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12.5</v>
      </c>
      <c r="Y130" s="547">
        <f>IFERROR(Y128/H128,"0")+IFERROR(Y129/H129,"0")</f>
        <v>13</v>
      </c>
      <c r="Z130" s="547">
        <f>IFERROR(IF(Z128="",0,Z128),"0")+IFERROR(IF(Z129="",0,Z129),"0")</f>
        <v>8.4629999999999997E-2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40</v>
      </c>
      <c r="Y131" s="547">
        <f>IFERROR(SUM(Y128:Y129),"0")</f>
        <v>41.6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230</v>
      </c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 t="s">
        <v>230</v>
      </c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 t="s">
        <v>109</v>
      </c>
      <c r="AK139" s="68">
        <v>36.96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267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268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138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113</v>
      </c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50</v>
      </c>
      <c r="Y166" s="546">
        <f t="shared" si="5"/>
        <v>50.400000000000006</v>
      </c>
      <c r="Z166" s="36">
        <f>IFERROR(IF(Y166=0,"",ROUNDUP(Y166/H166,0)*0.00902),"")</f>
        <v>0.10824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52.976190476190474</v>
      </c>
      <c r="BN166" s="64">
        <f t="shared" si="7"/>
        <v>53.400000000000006</v>
      </c>
      <c r="BO166" s="64">
        <f t="shared" si="8"/>
        <v>9.0187590187590191E-2</v>
      </c>
      <c r="BP166" s="64">
        <f t="shared" si="9"/>
        <v>9.0909090909090912E-2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 t="s">
        <v>113</v>
      </c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50</v>
      </c>
      <c r="Y167" s="546">
        <f t="shared" si="5"/>
        <v>50.400000000000006</v>
      </c>
      <c r="Z167" s="36">
        <f>IFERROR(IF(Y167=0,"",ROUNDUP(Y167/H167,0)*0.00902),"")</f>
        <v>0.10824</v>
      </c>
      <c r="AA167" s="56"/>
      <c r="AB167" s="57"/>
      <c r="AC167" s="203" t="s">
        <v>282</v>
      </c>
      <c r="AG167" s="64"/>
      <c r="AJ167" s="68" t="s">
        <v>109</v>
      </c>
      <c r="AK167" s="68">
        <v>50.4</v>
      </c>
      <c r="BB167" s="204" t="s">
        <v>1</v>
      </c>
      <c r="BM167" s="64">
        <f t="shared" si="6"/>
        <v>52.976190476190474</v>
      </c>
      <c r="BN167" s="64">
        <f t="shared" si="7"/>
        <v>53.400000000000006</v>
      </c>
      <c r="BO167" s="64">
        <f t="shared" si="8"/>
        <v>9.0187590187590191E-2</v>
      </c>
      <c r="BP167" s="64">
        <f t="shared" si="9"/>
        <v>9.0909090909090912E-2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113</v>
      </c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100</v>
      </c>
      <c r="Y168" s="546">
        <f t="shared" si="5"/>
        <v>100.80000000000001</v>
      </c>
      <c r="Z168" s="36">
        <f>IFERROR(IF(Y168=0,"",ROUNDUP(Y168/H168,0)*0.00902),"")</f>
        <v>0.21648000000000001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104.5238095238095</v>
      </c>
      <c r="BN168" s="64">
        <f t="shared" si="7"/>
        <v>105.36</v>
      </c>
      <c r="BO168" s="64">
        <f t="shared" si="8"/>
        <v>0.18037518037518038</v>
      </c>
      <c r="BP168" s="64">
        <f t="shared" si="9"/>
        <v>0.18181818181818182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35</v>
      </c>
      <c r="Y169" s="546">
        <f t="shared" si="5"/>
        <v>35.700000000000003</v>
      </c>
      <c r="Z169" s="36">
        <f>IFERROR(IF(Y169=0,"",ROUNDUP(Y169/H169,0)*0.00502),"")</f>
        <v>8.5339999999999999E-2</v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37.166666666666664</v>
      </c>
      <c r="BN169" s="64">
        <f t="shared" si="7"/>
        <v>37.910000000000004</v>
      </c>
      <c r="BO169" s="64">
        <f t="shared" si="8"/>
        <v>7.1225071225071226E-2</v>
      </c>
      <c r="BP169" s="64">
        <f t="shared" si="9"/>
        <v>7.2649572649572655E-2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70</v>
      </c>
      <c r="Y171" s="546">
        <f t="shared" si="5"/>
        <v>71.400000000000006</v>
      </c>
      <c r="Z171" s="36">
        <f>IFERROR(IF(Y171=0,"",ROUNDUP(Y171/H171,0)*0.00502),"")</f>
        <v>0.17068</v>
      </c>
      <c r="AA171" s="56"/>
      <c r="AB171" s="57"/>
      <c r="AC171" s="211" t="s">
        <v>282</v>
      </c>
      <c r="AG171" s="64"/>
      <c r="AJ171" s="68" t="s">
        <v>109</v>
      </c>
      <c r="AK171" s="68">
        <v>37.799999999999997</v>
      </c>
      <c r="BB171" s="212" t="s">
        <v>1</v>
      </c>
      <c r="BM171" s="64">
        <f t="shared" si="6"/>
        <v>74.333333333333329</v>
      </c>
      <c r="BN171" s="64">
        <f t="shared" si="7"/>
        <v>75.820000000000007</v>
      </c>
      <c r="BO171" s="64">
        <f t="shared" si="8"/>
        <v>0.14245014245014245</v>
      </c>
      <c r="BP171" s="64">
        <f t="shared" si="9"/>
        <v>0.14529914529914531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10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70</v>
      </c>
      <c r="Y174" s="546">
        <f t="shared" si="5"/>
        <v>71.400000000000006</v>
      </c>
      <c r="Z174" s="36">
        <f>IFERROR(IF(Y174=0,"",ROUNDUP(Y174/H174,0)*0.00502),"")</f>
        <v>0.17068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73.333333333333329</v>
      </c>
      <c r="BN174" s="64">
        <f t="shared" si="7"/>
        <v>74.8</v>
      </c>
      <c r="BO174" s="64">
        <f t="shared" si="8"/>
        <v>0.14245014245014245</v>
      </c>
      <c r="BP174" s="64">
        <f t="shared" si="9"/>
        <v>0.14529914529914531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130.95238095238093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133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0.85965999999999987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375</v>
      </c>
      <c r="Y178" s="547">
        <f>IFERROR(SUM(Y165:Y176),"0")</f>
        <v>380.1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3.5</v>
      </c>
      <c r="Y180" s="546">
        <f>IFERROR(IF(X180="",0,CEILING((X180/$H180),1)*$H180),"")</f>
        <v>3.7800000000000002</v>
      </c>
      <c r="Z180" s="36">
        <f>IFERROR(IF(Y180=0,"",ROUNDUP(Y180/H180,0)*0.0059),"")</f>
        <v>1.77E-2</v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4.0277777777777777</v>
      </c>
      <c r="BN180" s="64">
        <f>IFERROR(Y180*I180/H180,"0")</f>
        <v>4.3499999999999996</v>
      </c>
      <c r="BO180" s="64">
        <f>IFERROR(1/J180*(X180/H180),"0")</f>
        <v>1.2860082304526748E-2</v>
      </c>
      <c r="BP180" s="64">
        <f>IFERROR(1/J180*(Y180/H180),"0")</f>
        <v>1.3888888888888888E-2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7.0000000000000009</v>
      </c>
      <c r="Y182" s="546">
        <f>IFERROR(IF(X182="",0,CEILING((X182/$H182),1)*$H182),"")</f>
        <v>7.5600000000000005</v>
      </c>
      <c r="Z182" s="36">
        <f>IFERROR(IF(Y182=0,"",ROUNDUP(Y182/H182,0)*0.0059),"")</f>
        <v>3.5400000000000001E-2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8.0555555555555554</v>
      </c>
      <c r="BN182" s="64">
        <f>IFERROR(Y182*I182/H182,"0")</f>
        <v>8.6999999999999993</v>
      </c>
      <c r="BO182" s="64">
        <f>IFERROR(1/J182*(X182/H182),"0")</f>
        <v>2.5720164609053499E-2</v>
      </c>
      <c r="BP182" s="64">
        <f>IFERROR(1/J182*(Y182/H182),"0")</f>
        <v>2.7777777777777776E-2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8.3333333333333339</v>
      </c>
      <c r="Y183" s="547">
        <f>IFERROR(Y180/H180,"0")+IFERROR(Y181/H181,"0")+IFERROR(Y182/H182,"0")</f>
        <v>9</v>
      </c>
      <c r="Z183" s="547">
        <f>IFERROR(IF(Z180="",0,Z180),"0")+IFERROR(IF(Z181="",0,Z181),"0")+IFERROR(IF(Z182="",0,Z182),"0")</f>
        <v>5.3100000000000001E-2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10.5</v>
      </c>
      <c r="Y184" s="547">
        <f>IFERROR(SUM(Y180:Y182),"0")</f>
        <v>11.34</v>
      </c>
      <c r="Z184" s="37"/>
      <c r="AA184" s="548"/>
      <c r="AB184" s="548"/>
      <c r="AC184" s="548"/>
    </row>
    <row r="185" spans="1:68" ht="14.25" customHeight="1" x14ac:dyDescent="0.25">
      <c r="A185" s="557" t="s">
        <v>318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customHeight="1" x14ac:dyDescent="0.25">
      <c r="A189" s="591" t="s">
        <v>321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138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113</v>
      </c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100</v>
      </c>
      <c r="Y201" s="546">
        <f t="shared" ref="Y201:Y208" si="10">IFERROR(IF(X201="",0,CEILING((X201/$H201),1)*$H201),"")</f>
        <v>102.60000000000001</v>
      </c>
      <c r="Z201" s="36">
        <f>IFERROR(IF(Y201=0,"",ROUNDUP(Y201/H201,0)*0.00902),"")</f>
        <v>0.17138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103.5185185185185</v>
      </c>
      <c r="BN201" s="64">
        <f t="shared" ref="BN201:BN208" si="12">IFERROR(Y201*I201/H201,"0")</f>
        <v>106.21</v>
      </c>
      <c r="BO201" s="64">
        <f t="shared" ref="BO201:BO208" si="13">IFERROR(1/J201*(X201/H201),"0")</f>
        <v>0.14029180695847362</v>
      </c>
      <c r="BP201" s="64">
        <f t="shared" ref="BP201:BP208" si="14">IFERROR(1/J201*(Y201/H201),"0")</f>
        <v>0.14393939393939395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113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50</v>
      </c>
      <c r="Y202" s="546">
        <f t="shared" si="10"/>
        <v>54</v>
      </c>
      <c r="Z202" s="36">
        <f>IFERROR(IF(Y202=0,"",ROUNDUP(Y202/H202,0)*0.00902),"")</f>
        <v>9.0200000000000002E-2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51.759259259259252</v>
      </c>
      <c r="BN202" s="64">
        <f t="shared" si="12"/>
        <v>55.9</v>
      </c>
      <c r="BO202" s="64">
        <f t="shared" si="13"/>
        <v>7.0145903479236812E-2</v>
      </c>
      <c r="BP202" s="64">
        <f t="shared" si="14"/>
        <v>7.575757575757576E-2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113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600</v>
      </c>
      <c r="Y203" s="546">
        <f t="shared" si="10"/>
        <v>604.80000000000007</v>
      </c>
      <c r="Z203" s="36">
        <f>IFERROR(IF(Y203=0,"",ROUNDUP(Y203/H203,0)*0.00902),"")</f>
        <v>1.01024</v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621.11111111111109</v>
      </c>
      <c r="BN203" s="64">
        <f t="shared" si="12"/>
        <v>626.08000000000004</v>
      </c>
      <c r="BO203" s="64">
        <f t="shared" si="13"/>
        <v>0.84175084175084169</v>
      </c>
      <c r="BP203" s="64">
        <f t="shared" si="14"/>
        <v>0.84848484848484851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113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100</v>
      </c>
      <c r="Y204" s="546">
        <f t="shared" si="10"/>
        <v>102.60000000000001</v>
      </c>
      <c r="Z204" s="36">
        <f>IFERROR(IF(Y204=0,"",ROUNDUP(Y204/H204,0)*0.00902),"")</f>
        <v>0.17138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103.5185185185185</v>
      </c>
      <c r="BN204" s="64">
        <f t="shared" si="12"/>
        <v>106.21</v>
      </c>
      <c r="BO204" s="64">
        <f t="shared" si="13"/>
        <v>0.14029180695847362</v>
      </c>
      <c r="BP204" s="64">
        <f t="shared" si="14"/>
        <v>0.14393939393939395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60</v>
      </c>
      <c r="Y205" s="546">
        <f t="shared" si="10"/>
        <v>61.2</v>
      </c>
      <c r="Z205" s="36">
        <f>IFERROR(IF(Y205=0,"",ROUNDUP(Y205/H205,0)*0.00502),"")</f>
        <v>0.17068</v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64.333333333333329</v>
      </c>
      <c r="BN205" s="64">
        <f t="shared" si="12"/>
        <v>65.62</v>
      </c>
      <c r="BO205" s="64">
        <f t="shared" si="13"/>
        <v>0.14245014245014248</v>
      </c>
      <c r="BP205" s="64">
        <f t="shared" si="14"/>
        <v>0.14529914529914531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30</v>
      </c>
      <c r="Y206" s="546">
        <f t="shared" si="10"/>
        <v>30.6</v>
      </c>
      <c r="Z206" s="36">
        <f>IFERROR(IF(Y206=0,"",ROUNDUP(Y206/H206,0)*0.00502),"")</f>
        <v>8.5339999999999999E-2</v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31.666666666666664</v>
      </c>
      <c r="BN206" s="64">
        <f t="shared" si="12"/>
        <v>32.299999999999997</v>
      </c>
      <c r="BO206" s="64">
        <f t="shared" si="13"/>
        <v>7.122507122507124E-2</v>
      </c>
      <c r="BP206" s="64">
        <f t="shared" si="14"/>
        <v>7.2649572649572655E-2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 t="s">
        <v>288</v>
      </c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60</v>
      </c>
      <c r="Y207" s="546">
        <f t="shared" si="10"/>
        <v>61.2</v>
      </c>
      <c r="Z207" s="36">
        <f>IFERROR(IF(Y207=0,"",ROUNDUP(Y207/H207,0)*0.00502),"")</f>
        <v>0.17068</v>
      </c>
      <c r="AA207" s="56"/>
      <c r="AB207" s="57"/>
      <c r="AC207" s="251" t="s">
        <v>340</v>
      </c>
      <c r="AG207" s="64"/>
      <c r="AJ207" s="68" t="s">
        <v>109</v>
      </c>
      <c r="AK207" s="68">
        <v>32.4</v>
      </c>
      <c r="BB207" s="252" t="s">
        <v>1</v>
      </c>
      <c r="BM207" s="64">
        <f t="shared" si="11"/>
        <v>63.333333333333329</v>
      </c>
      <c r="BN207" s="64">
        <f t="shared" si="12"/>
        <v>64.599999999999994</v>
      </c>
      <c r="BO207" s="64">
        <f t="shared" si="13"/>
        <v>0.14245014245014248</v>
      </c>
      <c r="BP207" s="64">
        <f t="shared" si="14"/>
        <v>0.14529914529914531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45</v>
      </c>
      <c r="Y208" s="546">
        <f t="shared" si="10"/>
        <v>45</v>
      </c>
      <c r="Z208" s="36">
        <f>IFERROR(IF(Y208=0,"",ROUNDUP(Y208/H208,0)*0.00502),"")</f>
        <v>0.1255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47.5</v>
      </c>
      <c r="BN208" s="64">
        <f t="shared" si="12"/>
        <v>47.5</v>
      </c>
      <c r="BO208" s="64">
        <f t="shared" si="13"/>
        <v>0.10683760683760685</v>
      </c>
      <c r="BP208" s="64">
        <f t="shared" si="14"/>
        <v>0.10683760683760685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265.74074074074076</v>
      </c>
      <c r="Y209" s="547">
        <f>IFERROR(Y201/H201,"0")+IFERROR(Y202/H202,"0")+IFERROR(Y203/H203,"0")+IFERROR(Y204/H204,"0")+IFERROR(Y205/H205,"0")+IFERROR(Y206/H206,"0")+IFERROR(Y207/H207,"0")+IFERROR(Y208/H208,"0")</f>
        <v>270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1.9953999999999998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1045</v>
      </c>
      <c r="Y210" s="547">
        <f>IFERROR(SUM(Y201:Y208),"0")</f>
        <v>1062.0000000000002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230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240</v>
      </c>
      <c r="Y215" s="546">
        <f t="shared" si="15"/>
        <v>240</v>
      </c>
      <c r="Z215" s="36">
        <f t="shared" ref="Z215:Z220" si="20">IFERROR(IF(Y215=0,"",ROUNDUP(Y215/H215,0)*0.00651),"")</f>
        <v>0.65100000000000002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267</v>
      </c>
      <c r="BN215" s="64">
        <f t="shared" si="17"/>
        <v>267</v>
      </c>
      <c r="BO215" s="64">
        <f t="shared" si="18"/>
        <v>0.5494505494505495</v>
      </c>
      <c r="BP215" s="64">
        <f t="shared" si="19"/>
        <v>0.5494505494505495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230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/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230</v>
      </c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40</v>
      </c>
      <c r="Y219" s="546">
        <f t="shared" si="15"/>
        <v>40.799999999999997</v>
      </c>
      <c r="Z219" s="36">
        <f t="shared" si="20"/>
        <v>0.11067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44.20000000000001</v>
      </c>
      <c r="BN219" s="64">
        <f t="shared" si="17"/>
        <v>45.084000000000003</v>
      </c>
      <c r="BO219" s="64">
        <f t="shared" si="18"/>
        <v>9.1575091575091583E-2</v>
      </c>
      <c r="BP219" s="64">
        <f t="shared" si="19"/>
        <v>9.3406593406593408E-2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230</v>
      </c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240</v>
      </c>
      <c r="Y220" s="546">
        <f t="shared" si="15"/>
        <v>240</v>
      </c>
      <c r="Z220" s="36">
        <f t="shared" si="20"/>
        <v>0.65100000000000002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265.8</v>
      </c>
      <c r="BN220" s="64">
        <f t="shared" si="17"/>
        <v>265.8</v>
      </c>
      <c r="BO220" s="64">
        <f t="shared" si="18"/>
        <v>0.5494505494505495</v>
      </c>
      <c r="BP220" s="64">
        <f t="shared" si="19"/>
        <v>0.5494505494505495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216.66666666666669</v>
      </c>
      <c r="Y221" s="547">
        <f>IFERROR(Y212/H212,"0")+IFERROR(Y213/H213,"0")+IFERROR(Y214/H214,"0")+IFERROR(Y215/H215,"0")+IFERROR(Y216/H216,"0")+IFERROR(Y217/H217,"0")+IFERROR(Y218/H218,"0")+IFERROR(Y219/H219,"0")+IFERROR(Y220/H220,"0")</f>
        <v>217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1.4126700000000001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520</v>
      </c>
      <c r="Y222" s="547">
        <f>IFERROR(SUM(Y212:Y220),"0")</f>
        <v>520.79999999999995</v>
      </c>
      <c r="Z222" s="37"/>
      <c r="AA222" s="548"/>
      <c r="AB222" s="548"/>
      <c r="AC222" s="548"/>
    </row>
    <row r="223" spans="1:68" ht="14.25" customHeight="1" x14ac:dyDescent="0.25">
      <c r="A223" s="557" t="s">
        <v>166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 t="s">
        <v>230</v>
      </c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32</v>
      </c>
      <c r="Y224" s="546">
        <f>IFERROR(IF(X224="",0,CEILING((X224/$H224),1)*$H224),"")</f>
        <v>33.6</v>
      </c>
      <c r="Z224" s="36">
        <f>IFERROR(IF(Y224=0,"",ROUNDUP(Y224/H224,0)*0.00651),"")</f>
        <v>9.1139999999999999E-2</v>
      </c>
      <c r="AA224" s="56"/>
      <c r="AB224" s="57"/>
      <c r="AC224" s="273" t="s">
        <v>376</v>
      </c>
      <c r="AG224" s="64"/>
      <c r="AJ224" s="68" t="s">
        <v>109</v>
      </c>
      <c r="AK224" s="68">
        <v>33.6</v>
      </c>
      <c r="BB224" s="274" t="s">
        <v>1</v>
      </c>
      <c r="BM224" s="64">
        <f>IFERROR(X224*I224/H224,"0")</f>
        <v>35.360000000000007</v>
      </c>
      <c r="BN224" s="64">
        <f>IFERROR(Y224*I224/H224,"0")</f>
        <v>37.128000000000007</v>
      </c>
      <c r="BO224" s="64">
        <f>IFERROR(1/J224*(X224/H224),"0")</f>
        <v>7.3260073260073263E-2</v>
      </c>
      <c r="BP224" s="64">
        <f>IFERROR(1/J224*(Y224/H224),"0")</f>
        <v>7.6923076923076941E-2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230</v>
      </c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32</v>
      </c>
      <c r="Y225" s="546">
        <f>IFERROR(IF(X225="",0,CEILING((X225/$H225),1)*$H225),"")</f>
        <v>33.6</v>
      </c>
      <c r="Z225" s="36">
        <f>IFERROR(IF(Y225=0,"",ROUNDUP(Y225/H225,0)*0.00651),"")</f>
        <v>9.1139999999999999E-2</v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35.360000000000007</v>
      </c>
      <c r="BN225" s="64">
        <f>IFERROR(Y225*I225/H225,"0")</f>
        <v>37.128000000000007</v>
      </c>
      <c r="BO225" s="64">
        <f>IFERROR(1/J225*(X225/H225),"0")</f>
        <v>7.3260073260073263E-2</v>
      </c>
      <c r="BP225" s="64">
        <f>IFERROR(1/J225*(Y225/H225),"0")</f>
        <v>7.6923076923076941E-2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26.666666666666668</v>
      </c>
      <c r="Y226" s="547">
        <f>IFERROR(Y224/H224,"0")+IFERROR(Y225/H225,"0")</f>
        <v>28.000000000000004</v>
      </c>
      <c r="Z226" s="547">
        <f>IFERROR(IF(Z224="",0,Z224),"0")+IFERROR(IF(Z225="",0,Z225),"0")</f>
        <v>0.18228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64</v>
      </c>
      <c r="Y227" s="547">
        <f>IFERROR(SUM(Y224:Y225),"0")</f>
        <v>67.2</v>
      </c>
      <c r="Z227" s="37"/>
      <c r="AA227" s="548"/>
      <c r="AB227" s="548"/>
      <c r="AC227" s="548"/>
    </row>
    <row r="228" spans="1:68" ht="16.5" customHeight="1" x14ac:dyDescent="0.25">
      <c r="A228" s="591" t="s">
        <v>380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 t="s">
        <v>106</v>
      </c>
      <c r="M232" s="33" t="s">
        <v>107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100</v>
      </c>
      <c r="Y232" s="546">
        <f t="shared" si="21"/>
        <v>104.39999999999999</v>
      </c>
      <c r="Z232" s="36">
        <f>IFERROR(IF(Y232=0,"",ROUNDUP(Y232/H232,0)*0.01898),"")</f>
        <v>0.17082</v>
      </c>
      <c r="AA232" s="56"/>
      <c r="AB232" s="57"/>
      <c r="AC232" s="281" t="s">
        <v>389</v>
      </c>
      <c r="AG232" s="64"/>
      <c r="AJ232" s="68" t="s">
        <v>109</v>
      </c>
      <c r="AK232" s="68">
        <v>92.8</v>
      </c>
      <c r="BB232" s="282" t="s">
        <v>1</v>
      </c>
      <c r="BM232" s="64">
        <f t="shared" si="22"/>
        <v>103.5344827586207</v>
      </c>
      <c r="BN232" s="64">
        <f t="shared" si="23"/>
        <v>108.08999999999999</v>
      </c>
      <c r="BO232" s="64">
        <f t="shared" si="24"/>
        <v>0.13469827586206898</v>
      </c>
      <c r="BP232" s="64">
        <f t="shared" si="25"/>
        <v>0.140625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 t="s">
        <v>113</v>
      </c>
      <c r="M233" s="33" t="s">
        <v>107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 t="s">
        <v>109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 t="s">
        <v>113</v>
      </c>
      <c r="M237" s="33" t="s">
        <v>107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109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8.6206896551724146</v>
      </c>
      <c r="Y239" s="547">
        <f>IFERROR(Y230/H230,"0")+IFERROR(Y231/H231,"0")+IFERROR(Y232/H232,"0")+IFERROR(Y233/H233,"0")+IFERROR(Y234/H234,"0")+IFERROR(Y235/H235,"0")+IFERROR(Y236/H236,"0")+IFERROR(Y237/H237,"0")+IFERROR(Y238/H238,"0")</f>
        <v>9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0.17082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100</v>
      </c>
      <c r="Y240" s="547">
        <f>IFERROR(SUM(Y230:Y238),"0")</f>
        <v>104.39999999999999</v>
      </c>
      <c r="Z240" s="37"/>
      <c r="AA240" s="548"/>
      <c r="AB240" s="548"/>
      <c r="AC240" s="548"/>
    </row>
    <row r="241" spans="1:68" ht="14.25" customHeight="1" x14ac:dyDescent="0.25">
      <c r="A241" s="557" t="s">
        <v>138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7" t="s">
        <v>404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12</v>
      </c>
      <c r="Y246" s="546">
        <f>IFERROR(IF(X246="",0,CEILING((X246/$H246),1)*$H246),"")</f>
        <v>12.6</v>
      </c>
      <c r="Z246" s="36">
        <f>IFERROR(IF(Y246=0,"",ROUNDUP(Y246/H246,0)*0.0059),"")</f>
        <v>4.1299999999999996E-2</v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13.166666666666668</v>
      </c>
      <c r="BN246" s="64">
        <f>IFERROR(Y246*I246/H246,"0")</f>
        <v>13.825000000000001</v>
      </c>
      <c r="BO246" s="64">
        <f>IFERROR(1/J246*(X246/H246),"0")</f>
        <v>3.0864197530864192E-2</v>
      </c>
      <c r="BP246" s="64">
        <f>IFERROR(1/J246*(Y246/H246),"0")</f>
        <v>3.2407407407407406E-2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6.6666666666666661</v>
      </c>
      <c r="Y247" s="547">
        <f>IFERROR(Y246/H246,"0")</f>
        <v>7</v>
      </c>
      <c r="Z247" s="547">
        <f>IFERROR(IF(Z246="",0,Z246),"0")</f>
        <v>4.1299999999999996E-2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12</v>
      </c>
      <c r="Y248" s="547">
        <f>IFERROR(SUM(Y246:Y246),"0")</f>
        <v>12.6</v>
      </c>
      <c r="Z248" s="37"/>
      <c r="AA248" s="548"/>
      <c r="AB248" s="548"/>
      <c r="AC248" s="548"/>
    </row>
    <row r="249" spans="1:68" ht="14.25" customHeight="1" x14ac:dyDescent="0.25">
      <c r="A249" s="557" t="s">
        <v>408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customHeight="1" x14ac:dyDescent="0.25">
      <c r="A257" s="591" t="s">
        <v>420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436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447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230</v>
      </c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40</v>
      </c>
      <c r="Y277" s="546">
        <f>IFERROR(IF(X277="",0,CEILING((X277/$H277),1)*$H277),"")</f>
        <v>40.799999999999997</v>
      </c>
      <c r="Z277" s="36">
        <f>IFERROR(IF(Y277=0,"",ROUNDUP(Y277/H277,0)*0.00651),"")</f>
        <v>0.11067</v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44.20000000000001</v>
      </c>
      <c r="BN277" s="64">
        <f>IFERROR(Y277*I277/H277,"0")</f>
        <v>45.084000000000003</v>
      </c>
      <c r="BO277" s="64">
        <f>IFERROR(1/J277*(X277/H277),"0")</f>
        <v>9.1575091575091583E-2</v>
      </c>
      <c r="BP277" s="64">
        <f>IFERROR(1/J277*(Y277/H277),"0")</f>
        <v>9.3406593406593408E-2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16.666666666666668</v>
      </c>
      <c r="Y279" s="547">
        <f>IFERROR(Y276/H276,"0")+IFERROR(Y277/H277,"0")+IFERROR(Y278/H278,"0")</f>
        <v>17</v>
      </c>
      <c r="Z279" s="547">
        <f>IFERROR(IF(Z276="",0,Z276),"0")+IFERROR(IF(Z277="",0,Z277),"0")+IFERROR(IF(Z278="",0,Z278),"0")</f>
        <v>0.11067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40</v>
      </c>
      <c r="Y280" s="547">
        <f>IFERROR(SUM(Y276:Y278),"0")</f>
        <v>40.799999999999997</v>
      </c>
      <c r="Z280" s="37"/>
      <c r="AA280" s="548"/>
      <c r="AB280" s="548"/>
      <c r="AC280" s="548"/>
    </row>
    <row r="281" spans="1:68" ht="16.5" customHeight="1" x14ac:dyDescent="0.25">
      <c r="A281" s="591" t="s">
        <v>456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469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 t="s">
        <v>288</v>
      </c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 t="s">
        <v>109</v>
      </c>
      <c r="AK305" s="68">
        <v>37.799999999999997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105</v>
      </c>
      <c r="Y306" s="546">
        <f t="shared" si="26"/>
        <v>105</v>
      </c>
      <c r="Z306" s="36">
        <f>IFERROR(IF(Y306=0,"",ROUNDUP(Y306/H306,0)*0.00502),"")</f>
        <v>0.251</v>
      </c>
      <c r="AA306" s="56"/>
      <c r="AB306" s="57"/>
      <c r="AC306" s="359" t="s">
        <v>497</v>
      </c>
      <c r="AG306" s="64"/>
      <c r="AJ306" s="68" t="s">
        <v>109</v>
      </c>
      <c r="AK306" s="68">
        <v>37.799999999999997</v>
      </c>
      <c r="BB306" s="360" t="s">
        <v>1</v>
      </c>
      <c r="BM306" s="64">
        <f t="shared" si="27"/>
        <v>110.00000000000001</v>
      </c>
      <c r="BN306" s="64">
        <f t="shared" si="28"/>
        <v>110.00000000000001</v>
      </c>
      <c r="BO306" s="64">
        <f t="shared" si="29"/>
        <v>0.21367521367521369</v>
      </c>
      <c r="BP306" s="64">
        <f t="shared" si="30"/>
        <v>0.21367521367521369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 t="s">
        <v>230</v>
      </c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 t="s">
        <v>109</v>
      </c>
      <c r="AK307" s="68">
        <v>25.2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50</v>
      </c>
      <c r="Y308" s="547">
        <f>IFERROR(Y302/H302,"0")+IFERROR(Y303/H303,"0")+IFERROR(Y304/H304,"0")+IFERROR(Y305/H305,"0")+IFERROR(Y306/H306,"0")+IFERROR(Y307/H307,"0")</f>
        <v>50</v>
      </c>
      <c r="Z308" s="547">
        <f>IFERROR(IF(Z302="",0,Z302),"0")+IFERROR(IF(Z303="",0,Z303),"0")+IFERROR(IF(Z304="",0,Z304),"0")+IFERROR(IF(Z305="",0,Z305),"0")+IFERROR(IF(Z306="",0,Z306),"0")+IFERROR(IF(Z307="",0,Z307),"0")</f>
        <v>0.251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105</v>
      </c>
      <c r="Y309" s="547">
        <f>IFERROR(SUM(Y302:Y307),"0")</f>
        <v>105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166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30</v>
      </c>
      <c r="Y318" s="546">
        <f>IFERROR(IF(X318="",0,CEILING((X318/$H318),1)*$H318),"")</f>
        <v>33.6</v>
      </c>
      <c r="Z318" s="36">
        <f>IFERROR(IF(Y318=0,"",ROUNDUP(Y318/H318,0)*0.01898),"")</f>
        <v>7.5920000000000001E-2</v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31.764285714285712</v>
      </c>
      <c r="BN318" s="64">
        <f>IFERROR(Y318*I318/H318,"0")</f>
        <v>35.576000000000001</v>
      </c>
      <c r="BO318" s="64">
        <f>IFERROR(1/J318*(X318/H318),"0")</f>
        <v>5.5803571428571425E-2</v>
      </c>
      <c r="BP318" s="64">
        <f>IFERROR(1/J318*(Y318/H318),"0")</f>
        <v>6.25E-2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100</v>
      </c>
      <c r="Y319" s="546">
        <f>IFERROR(IF(X319="",0,CEILING((X319/$H319),1)*$H319),"")</f>
        <v>101.39999999999999</v>
      </c>
      <c r="Z319" s="36">
        <f>IFERROR(IF(Y319=0,"",ROUNDUP(Y319/H319,0)*0.01898),"")</f>
        <v>0.24674000000000001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106.33333333333334</v>
      </c>
      <c r="BN319" s="64">
        <f>IFERROR(Y319*I319/H319,"0")</f>
        <v>107.82199999999999</v>
      </c>
      <c r="BO319" s="64">
        <f>IFERROR(1/J319*(X319/H319),"0")</f>
        <v>0.20032051282051283</v>
      </c>
      <c r="BP319" s="64">
        <f>IFERROR(1/J319*(Y319/H319),"0")</f>
        <v>0.203125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100</v>
      </c>
      <c r="Y320" s="546">
        <f>IFERROR(IF(X320="",0,CEILING((X320/$H320),1)*$H320),"")</f>
        <v>100.80000000000001</v>
      </c>
      <c r="Z320" s="36">
        <f>IFERROR(IF(Y320=0,"",ROUNDUP(Y320/H320,0)*0.01898),"")</f>
        <v>0.22776000000000002</v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105.88095238095238</v>
      </c>
      <c r="BN320" s="64">
        <f>IFERROR(Y320*I320/H320,"0")</f>
        <v>106.72800000000001</v>
      </c>
      <c r="BO320" s="64">
        <f>IFERROR(1/J320*(X320/H320),"0")</f>
        <v>0.18601190476190477</v>
      </c>
      <c r="BP320" s="64">
        <f>IFERROR(1/J320*(Y320/H320),"0")</f>
        <v>0.1875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28.296703296703299</v>
      </c>
      <c r="Y321" s="547">
        <f>IFERROR(Y318/H318,"0")+IFERROR(Y319/H319,"0")+IFERROR(Y320/H320,"0")</f>
        <v>29</v>
      </c>
      <c r="Z321" s="547">
        <f>IFERROR(IF(Z318="",0,Z318),"0")+IFERROR(IF(Z319="",0,Z319),"0")+IFERROR(IF(Z320="",0,Z320),"0")</f>
        <v>0.55042000000000002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230</v>
      </c>
      <c r="Y322" s="547">
        <f>IFERROR(SUM(Y318:Y320),"0")</f>
        <v>235.8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230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230</v>
      </c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customHeight="1" x14ac:dyDescent="0.25">
      <c r="A330" s="557" t="s">
        <v>532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 t="s">
        <v>230</v>
      </c>
      <c r="M331" s="33" t="s">
        <v>535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 t="s">
        <v>109</v>
      </c>
      <c r="AK331" s="68">
        <v>28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230</v>
      </c>
      <c r="M333" s="33" t="s">
        <v>535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 t="s">
        <v>109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customHeight="1" x14ac:dyDescent="0.25">
      <c r="A336" s="591" t="s">
        <v>541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230</v>
      </c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175</v>
      </c>
      <c r="Y339" s="546">
        <f>IFERROR(IF(X339="",0,CEILING((X339/$H339),1)*$H339),"")</f>
        <v>176.4</v>
      </c>
      <c r="Z339" s="36">
        <f>IFERROR(IF(Y339=0,"",ROUNDUP(Y339/H339,0)*0.00651),"")</f>
        <v>0.54683999999999999</v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195.99999999999997</v>
      </c>
      <c r="BN339" s="64">
        <f>IFERROR(Y339*I339/H339,"0")</f>
        <v>197.56799999999998</v>
      </c>
      <c r="BO339" s="64">
        <f>IFERROR(1/J339*(X339/H339),"0")</f>
        <v>0.45787545787545786</v>
      </c>
      <c r="BP339" s="64">
        <f>IFERROR(1/J339*(Y339/H339),"0")</f>
        <v>0.46153846153846156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230</v>
      </c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700</v>
      </c>
      <c r="Y340" s="546">
        <f>IFERROR(IF(X340="",0,CEILING((X340/$H340),1)*$H340),"")</f>
        <v>701.4</v>
      </c>
      <c r="Z340" s="36">
        <f>IFERROR(IF(Y340=0,"",ROUNDUP(Y340/H340,0)*0.00651),"")</f>
        <v>2.1743399999999999</v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780</v>
      </c>
      <c r="BN340" s="64">
        <f>IFERROR(Y340*I340/H340,"0")</f>
        <v>781.56</v>
      </c>
      <c r="BO340" s="64">
        <f>IFERROR(1/J340*(X340/H340),"0")</f>
        <v>1.8315018315018314</v>
      </c>
      <c r="BP340" s="64">
        <f>IFERROR(1/J340*(Y340/H340),"0")</f>
        <v>1.8351648351648353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416.66666666666663</v>
      </c>
      <c r="Y341" s="547">
        <f>IFERROR(Y338/H338,"0")+IFERROR(Y339/H339,"0")+IFERROR(Y340/H340,"0")</f>
        <v>418</v>
      </c>
      <c r="Z341" s="547">
        <f>IFERROR(IF(Z338="",0,Z338),"0")+IFERROR(IF(Z339="",0,Z339),"0")+IFERROR(IF(Z340="",0,Z340),"0")</f>
        <v>2.7211799999999999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875</v>
      </c>
      <c r="Y342" s="547">
        <f>IFERROR(SUM(Y338:Y340),"0")</f>
        <v>877.8</v>
      </c>
      <c r="Z342" s="37"/>
      <c r="AA342" s="548"/>
      <c r="AB342" s="548"/>
      <c r="AC342" s="548"/>
    </row>
    <row r="343" spans="1:68" ht="27.75" customHeight="1" x14ac:dyDescent="0.2">
      <c r="A343" s="597" t="s">
        <v>551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552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/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1500</v>
      </c>
      <c r="Y346" s="546">
        <f t="shared" ref="Y346:Y352" si="31">IFERROR(IF(X346="",0,CEILING((X346/$H346),1)*$H346),"")</f>
        <v>1500</v>
      </c>
      <c r="Z346" s="36">
        <f>IFERROR(IF(Y346=0,"",ROUNDUP(Y346/H346,0)*0.02175),"")</f>
        <v>2.1749999999999998</v>
      </c>
      <c r="AA346" s="56"/>
      <c r="AB346" s="57"/>
      <c r="AC346" s="397" t="s">
        <v>555</v>
      </c>
      <c r="AG346" s="64"/>
      <c r="AJ346" s="68"/>
      <c r="AK346" s="68">
        <v>0</v>
      </c>
      <c r="BB346" s="398" t="s">
        <v>1</v>
      </c>
      <c r="BM346" s="64">
        <f t="shared" ref="BM346:BM352" si="32">IFERROR(X346*I346/H346,"0")</f>
        <v>1547</v>
      </c>
      <c r="BN346" s="64">
        <f t="shared" ref="BN346:BN352" si="33">IFERROR(Y346*I346/H346,"0")</f>
        <v>1547</v>
      </c>
      <c r="BO346" s="64">
        <f t="shared" ref="BO346:BO352" si="34">IFERROR(1/J346*(X346/H346),"0")</f>
        <v>2.083333333333333</v>
      </c>
      <c r="BP346" s="64">
        <f t="shared" ref="BP346:BP352" si="35">IFERROR(1/J346*(Y346/H346),"0")</f>
        <v>2.083333333333333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/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500</v>
      </c>
      <c r="Y347" s="546">
        <f t="shared" si="31"/>
        <v>510</v>
      </c>
      <c r="Z347" s="36">
        <f>IFERROR(IF(Y347=0,"",ROUNDUP(Y347/H347,0)*0.02175),"")</f>
        <v>0.73949999999999994</v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si="32"/>
        <v>515.66666666666663</v>
      </c>
      <c r="BN347" s="64">
        <f t="shared" si="33"/>
        <v>525.98</v>
      </c>
      <c r="BO347" s="64">
        <f t="shared" si="34"/>
        <v>0.69444444444444442</v>
      </c>
      <c r="BP347" s="64">
        <f t="shared" si="35"/>
        <v>0.70833333333333326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49">
        <v>4680115884830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68</v>
      </c>
      <c r="N348" s="33"/>
      <c r="O348" s="32">
        <v>60</v>
      </c>
      <c r="P348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1700</v>
      </c>
      <c r="Y348" s="546">
        <f t="shared" si="31"/>
        <v>1710</v>
      </c>
      <c r="Z348" s="36">
        <f>IFERROR(IF(Y348=0,"",ROUNDUP(Y348/H348,0)*0.02175),"")</f>
        <v>2.4794999999999998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1753.2666666666667</v>
      </c>
      <c r="BN348" s="64">
        <f t="shared" si="33"/>
        <v>1763.5800000000002</v>
      </c>
      <c r="BO348" s="64">
        <f t="shared" si="34"/>
        <v>2.3611111111111107</v>
      </c>
      <c r="BP348" s="64">
        <f t="shared" si="35"/>
        <v>2.375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49">
        <v>4680115887046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300</v>
      </c>
      <c r="Y349" s="546">
        <f t="shared" si="31"/>
        <v>300</v>
      </c>
      <c r="Z349" s="36">
        <f>IFERROR(IF(Y349=0,"",ROUNDUP(Y349/H349,0)*0.02175),"")</f>
        <v>0.43499999999999994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309.39999999999998</v>
      </c>
      <c r="BN349" s="64">
        <f t="shared" si="33"/>
        <v>309.39999999999998</v>
      </c>
      <c r="BO349" s="64">
        <f t="shared" si="34"/>
        <v>0.41666666666666663</v>
      </c>
      <c r="BP349" s="64">
        <f t="shared" si="35"/>
        <v>0.41666666666666663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266.66666666666669</v>
      </c>
      <c r="Y353" s="547">
        <f>IFERROR(Y346/H346,"0")+IFERROR(Y347/H347,"0")+IFERROR(Y348/H348,"0")+IFERROR(Y349/H349,"0")+IFERROR(Y350/H350,"0")+IFERROR(Y351/H351,"0")+IFERROR(Y352/H352,"0")</f>
        <v>268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5.8289999999999997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4000</v>
      </c>
      <c r="Y354" s="547">
        <f>IFERROR(SUM(Y346:Y352),"0")</f>
        <v>4020</v>
      </c>
      <c r="Z354" s="37"/>
      <c r="AA354" s="548"/>
      <c r="AB354" s="548"/>
      <c r="AC354" s="548"/>
    </row>
    <row r="355" spans="1:68" ht="14.25" customHeight="1" x14ac:dyDescent="0.25">
      <c r="A355" s="557" t="s">
        <v>138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/>
      <c r="M356" s="33" t="s">
        <v>107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1000</v>
      </c>
      <c r="Y356" s="546">
        <f>IFERROR(IF(X356="",0,CEILING((X356/$H356),1)*$H356),"")</f>
        <v>1005</v>
      </c>
      <c r="Z356" s="36">
        <f>IFERROR(IF(Y356=0,"",ROUNDUP(Y356/H356,0)*0.02175),"")</f>
        <v>1.4572499999999999</v>
      </c>
      <c r="AA356" s="56"/>
      <c r="AB356" s="57"/>
      <c r="AC356" s="411" t="s">
        <v>574</v>
      </c>
      <c r="AG356" s="64"/>
      <c r="AJ356" s="68"/>
      <c r="AK356" s="68">
        <v>0</v>
      </c>
      <c r="BB356" s="412" t="s">
        <v>1</v>
      </c>
      <c r="BM356" s="64">
        <f>IFERROR(X356*I356/H356,"0")</f>
        <v>1031.3333333333333</v>
      </c>
      <c r="BN356" s="64">
        <f>IFERROR(Y356*I356/H356,"0")</f>
        <v>1036.49</v>
      </c>
      <c r="BO356" s="64">
        <f>IFERROR(1/J356*(X356/H356),"0")</f>
        <v>1.3888888888888888</v>
      </c>
      <c r="BP356" s="64">
        <f>IFERROR(1/J356*(Y356/H356),"0")</f>
        <v>1.3958333333333333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66.666666666666671</v>
      </c>
      <c r="Y358" s="547">
        <f>IFERROR(Y356/H356,"0")+IFERROR(Y357/H357,"0")</f>
        <v>67</v>
      </c>
      <c r="Z358" s="547">
        <f>IFERROR(IF(Z356="",0,Z356),"0")+IFERROR(IF(Z357="",0,Z357),"0")</f>
        <v>1.4572499999999999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1000</v>
      </c>
      <c r="Y359" s="547">
        <f>IFERROR(SUM(Y356:Y357),"0")</f>
        <v>1005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 t="s">
        <v>106</v>
      </c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30</v>
      </c>
      <c r="Y362" s="546">
        <f>IFERROR(IF(X362="",0,CEILING((X362/$H362),1)*$H362),"")</f>
        <v>36</v>
      </c>
      <c r="Z362" s="36">
        <f>IFERROR(IF(Y362=0,"",ROUNDUP(Y362/H362,0)*0.01898),"")</f>
        <v>7.5920000000000001E-2</v>
      </c>
      <c r="AA362" s="56"/>
      <c r="AB362" s="57"/>
      <c r="AC362" s="417" t="s">
        <v>583</v>
      </c>
      <c r="AG362" s="64"/>
      <c r="AJ362" s="68" t="s">
        <v>109</v>
      </c>
      <c r="AK362" s="68">
        <v>72</v>
      </c>
      <c r="BB362" s="418" t="s">
        <v>1</v>
      </c>
      <c r="BM362" s="64">
        <f>IFERROR(X362*I362/H362,"0")</f>
        <v>31.646666666666665</v>
      </c>
      <c r="BN362" s="64">
        <f>IFERROR(Y362*I362/H362,"0")</f>
        <v>37.975999999999999</v>
      </c>
      <c r="BO362" s="64">
        <f>IFERROR(1/J362*(X362/H362),"0")</f>
        <v>5.2083333333333336E-2</v>
      </c>
      <c r="BP362" s="64">
        <f>IFERROR(1/J362*(Y362/H362),"0")</f>
        <v>6.25E-2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3.3333333333333335</v>
      </c>
      <c r="Y363" s="547">
        <f>IFERROR(Y361/H361,"0")+IFERROR(Y362/H362,"0")</f>
        <v>4</v>
      </c>
      <c r="Z363" s="547">
        <f>IFERROR(IF(Z361="",0,Z361),"0")+IFERROR(IF(Z362="",0,Z362),"0")</f>
        <v>7.5920000000000001E-2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30</v>
      </c>
      <c r="Y364" s="547">
        <f>IFERROR(SUM(Y361:Y362),"0")</f>
        <v>36</v>
      </c>
      <c r="Z364" s="37"/>
      <c r="AA364" s="548"/>
      <c r="AB364" s="548"/>
      <c r="AC364" s="548"/>
    </row>
    <row r="365" spans="1:68" ht="14.25" customHeight="1" x14ac:dyDescent="0.25">
      <c r="A365" s="557" t="s">
        <v>166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30</v>
      </c>
      <c r="Y366" s="546">
        <f>IFERROR(IF(X366="",0,CEILING((X366/$H366),1)*$H366),"")</f>
        <v>36</v>
      </c>
      <c r="Z366" s="36">
        <f>IFERROR(IF(Y366=0,"",ROUNDUP(Y366/H366,0)*0.01898),"")</f>
        <v>7.5920000000000001E-2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31.646666666666665</v>
      </c>
      <c r="BN366" s="64">
        <f>IFERROR(Y366*I366/H366,"0")</f>
        <v>37.975999999999999</v>
      </c>
      <c r="BO366" s="64">
        <f>IFERROR(1/J366*(X366/H366),"0")</f>
        <v>5.2083333333333336E-2</v>
      </c>
      <c r="BP366" s="64">
        <f>IFERROR(1/J366*(Y366/H366),"0")</f>
        <v>6.25E-2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3.3333333333333335</v>
      </c>
      <c r="Y367" s="547">
        <f>IFERROR(Y366/H366,"0")</f>
        <v>4</v>
      </c>
      <c r="Z367" s="547">
        <f>IFERROR(IF(Z366="",0,Z366),"0")</f>
        <v>7.5920000000000001E-2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30</v>
      </c>
      <c r="Y368" s="547">
        <f>IFERROR(SUM(Y366:Y366),"0")</f>
        <v>36</v>
      </c>
      <c r="Z368" s="37"/>
      <c r="AA368" s="548"/>
      <c r="AB368" s="548"/>
      <c r="AC368" s="548"/>
    </row>
    <row r="369" spans="1:68" ht="16.5" customHeight="1" x14ac:dyDescent="0.25">
      <c r="A369" s="591" t="s">
        <v>587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4301031303</v>
      </c>
      <c r="D376" s="549">
        <v>4607091384802</v>
      </c>
      <c r="E376" s="550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4301031457</v>
      </c>
      <c r="D377" s="549">
        <v>4607091384802</v>
      </c>
      <c r="E377" s="550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0</v>
      </c>
      <c r="Y381" s="546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/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601</v>
      </c>
      <c r="B383" s="54" t="s">
        <v>603</v>
      </c>
      <c r="C383" s="31">
        <v>4301052069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0</v>
      </c>
      <c r="Y384" s="547">
        <f>IFERROR(Y381/H381,"0")+IFERROR(Y382/H382,"0")+IFERROR(Y383/H383,"0")</f>
        <v>0</v>
      </c>
      <c r="Z384" s="547">
        <f>IFERROR(IF(Z381="",0,Z381),"0")+IFERROR(IF(Z382="",0,Z382),"0")+IFERROR(IF(Z383="",0,Z383),"0")</f>
        <v>0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0</v>
      </c>
      <c r="Y385" s="547">
        <f>IFERROR(SUM(Y381:Y383),"0")</f>
        <v>0</v>
      </c>
      <c r="Z385" s="37"/>
      <c r="AA385" s="548"/>
      <c r="AB385" s="548"/>
      <c r="AC385" s="548"/>
    </row>
    <row r="386" spans="1:68" ht="27.75" customHeight="1" x14ac:dyDescent="0.2">
      <c r="A386" s="597" t="s">
        <v>605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606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 t="s">
        <v>288</v>
      </c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35</v>
      </c>
      <c r="Y393" s="546">
        <f t="shared" si="36"/>
        <v>35.700000000000003</v>
      </c>
      <c r="Z393" s="36">
        <f t="shared" si="41"/>
        <v>8.5339999999999999E-2</v>
      </c>
      <c r="AA393" s="56"/>
      <c r="AB393" s="57"/>
      <c r="AC393" s="443" t="s">
        <v>609</v>
      </c>
      <c r="AG393" s="64"/>
      <c r="AJ393" s="68" t="s">
        <v>109</v>
      </c>
      <c r="AK393" s="68">
        <v>37.799999999999997</v>
      </c>
      <c r="BB393" s="444" t="s">
        <v>1</v>
      </c>
      <c r="BM393" s="64">
        <f t="shared" si="37"/>
        <v>37.166666666666664</v>
      </c>
      <c r="BN393" s="64">
        <f t="shared" si="38"/>
        <v>37.910000000000004</v>
      </c>
      <c r="BO393" s="64">
        <f t="shared" si="39"/>
        <v>7.1225071225071226E-2</v>
      </c>
      <c r="BP393" s="64">
        <f t="shared" si="40"/>
        <v>7.2649572649572655E-2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 t="s">
        <v>288</v>
      </c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 t="s">
        <v>109</v>
      </c>
      <c r="AK394" s="68">
        <v>37.799999999999997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288</v>
      </c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52.5</v>
      </c>
      <c r="Y396" s="546">
        <f t="shared" si="36"/>
        <v>52.5</v>
      </c>
      <c r="Z396" s="36">
        <f t="shared" si="41"/>
        <v>0.1255</v>
      </c>
      <c r="AA396" s="56"/>
      <c r="AB396" s="57"/>
      <c r="AC396" s="449" t="s">
        <v>628</v>
      </c>
      <c r="AG396" s="64"/>
      <c r="AJ396" s="68" t="s">
        <v>109</v>
      </c>
      <c r="AK396" s="68">
        <v>37.799999999999997</v>
      </c>
      <c r="BB396" s="450" t="s">
        <v>1</v>
      </c>
      <c r="BM396" s="64">
        <f t="shared" si="37"/>
        <v>55.75</v>
      </c>
      <c r="BN396" s="64">
        <f t="shared" si="38"/>
        <v>55.75</v>
      </c>
      <c r="BO396" s="64">
        <f t="shared" si="39"/>
        <v>0.10683760683760685</v>
      </c>
      <c r="BP396" s="64">
        <f t="shared" si="40"/>
        <v>0.10683760683760685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41.666666666666664</v>
      </c>
      <c r="Y398" s="547">
        <f>IFERROR(Y389/H389,"0")+IFERROR(Y390/H390,"0")+IFERROR(Y391/H391,"0")+IFERROR(Y392/H392,"0")+IFERROR(Y393/H393,"0")+IFERROR(Y394/H394,"0")+IFERROR(Y395/H395,"0")+IFERROR(Y396/H396,"0")+IFERROR(Y397/H397,"0")</f>
        <v>42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0.21084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87.5</v>
      </c>
      <c r="Y399" s="547">
        <f>IFERROR(SUM(Y389:Y397),"0")</f>
        <v>88.2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637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138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7</v>
      </c>
      <c r="Y414" s="546">
        <f>IFERROR(IF(X414="",0,CEILING((X414/$H414),1)*$H414),"")</f>
        <v>8.4</v>
      </c>
      <c r="Z414" s="36">
        <f>IFERROR(IF(Y414=0,"",ROUNDUP(Y414/H414,0)*0.00502),"")</f>
        <v>2.0080000000000001E-2</v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7.4333333333333327</v>
      </c>
      <c r="BN414" s="64">
        <f>IFERROR(Y414*I414/H414,"0")</f>
        <v>8.92</v>
      </c>
      <c r="BO414" s="64">
        <f>IFERROR(1/J414*(X414/H414),"0")</f>
        <v>1.4245014245014245E-2</v>
      </c>
      <c r="BP414" s="64">
        <f>IFERROR(1/J414*(Y414/H414),"0")</f>
        <v>1.7094017094017096E-2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3.333333333333333</v>
      </c>
      <c r="Y415" s="547">
        <f>IFERROR(Y411/H411,"0")+IFERROR(Y412/H412,"0")+IFERROR(Y413/H413,"0")+IFERROR(Y414/H414,"0")</f>
        <v>4</v>
      </c>
      <c r="Z415" s="547">
        <f>IFERROR(IF(Z411="",0,Z411),"0")+IFERROR(IF(Z412="",0,Z412),"0")+IFERROR(IF(Z413="",0,Z413),"0")+IFERROR(IF(Z414="",0,Z414),"0")</f>
        <v>2.0080000000000001E-2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7</v>
      </c>
      <c r="Y416" s="547">
        <f>IFERROR(SUM(Y411:Y414),"0")</f>
        <v>8.4</v>
      </c>
      <c r="Z416" s="37"/>
      <c r="AA416" s="548"/>
      <c r="AB416" s="548"/>
      <c r="AC416" s="548"/>
    </row>
    <row r="417" spans="1:68" ht="16.5" customHeight="1" x14ac:dyDescent="0.25">
      <c r="A417" s="591" t="s">
        <v>652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 t="s">
        <v>230</v>
      </c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20</v>
      </c>
      <c r="Y419" s="546">
        <f>IFERROR(IF(X419="",0,CEILING((X419/$H419),1)*$H419),"")</f>
        <v>20.399999999999999</v>
      </c>
      <c r="Z419" s="36">
        <f>IFERROR(IF(Y419=0,"",ROUNDUP(Y419/H419,0)*0.00651),"")</f>
        <v>0.11067</v>
      </c>
      <c r="AA419" s="56"/>
      <c r="AB419" s="57"/>
      <c r="AC419" s="467" t="s">
        <v>655</v>
      </c>
      <c r="AG419" s="64"/>
      <c r="AJ419" s="68" t="s">
        <v>109</v>
      </c>
      <c r="AK419" s="68">
        <v>16.8</v>
      </c>
      <c r="BB419" s="468" t="s">
        <v>1</v>
      </c>
      <c r="BM419" s="64">
        <f>IFERROR(X419*I419/H419,"0")</f>
        <v>35</v>
      </c>
      <c r="BN419" s="64">
        <f>IFERROR(Y419*I419/H419,"0")</f>
        <v>35.699999999999996</v>
      </c>
      <c r="BO419" s="64">
        <f>IFERROR(1/J419*(X419/H419),"0")</f>
        <v>9.1575091575091583E-2</v>
      </c>
      <c r="BP419" s="64">
        <f>IFERROR(1/J419*(Y419/H419),"0")</f>
        <v>9.3406593406593408E-2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16.666666666666668</v>
      </c>
      <c r="Y420" s="547">
        <f>IFERROR(Y419/H419,"0")</f>
        <v>17</v>
      </c>
      <c r="Z420" s="547">
        <f>IFERROR(IF(Z419="",0,Z419),"0")</f>
        <v>0.11067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20</v>
      </c>
      <c r="Y421" s="547">
        <f>IFERROR(SUM(Y419:Y419),"0")</f>
        <v>20.399999999999999</v>
      </c>
      <c r="Z421" s="37"/>
      <c r="AA421" s="548"/>
      <c r="AB421" s="548"/>
      <c r="AC421" s="548"/>
    </row>
    <row r="422" spans="1:68" ht="27.75" customHeight="1" x14ac:dyDescent="0.2">
      <c r="A422" s="597" t="s">
        <v>656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656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06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/>
      <c r="M428" s="33" t="s">
        <v>107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100</v>
      </c>
      <c r="Y429" s="546">
        <f t="shared" si="42"/>
        <v>100.32000000000001</v>
      </c>
      <c r="Z429" s="36">
        <f t="shared" si="43"/>
        <v>0.22724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106.62878787878788</v>
      </c>
      <c r="BN429" s="64">
        <f t="shared" si="45"/>
        <v>106.97</v>
      </c>
      <c r="BO429" s="64">
        <f t="shared" si="46"/>
        <v>0.18210955710955709</v>
      </c>
      <c r="BP429" s="64">
        <f t="shared" si="47"/>
        <v>0.18269230769230771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60</v>
      </c>
      <c r="Y433" s="546">
        <f t="shared" si="42"/>
        <v>62.4</v>
      </c>
      <c r="Z433" s="36">
        <f>IFERROR(IF(Y433=0,"",ROUNDUP(Y433/H433,0)*0.00902),"")</f>
        <v>0.11726</v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86.375000000000014</v>
      </c>
      <c r="BN433" s="64">
        <f t="shared" si="45"/>
        <v>89.830000000000013</v>
      </c>
      <c r="BO433" s="64">
        <f t="shared" si="46"/>
        <v>9.4696969696969696E-2</v>
      </c>
      <c r="BP433" s="64">
        <f t="shared" si="47"/>
        <v>9.8484848484848481E-2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180</v>
      </c>
      <c r="Y436" s="546">
        <f t="shared" si="42"/>
        <v>182.4</v>
      </c>
      <c r="Z436" s="36">
        <f>IFERROR(IF(Y436=0,"",ROUNDUP(Y436/H436,0)*0.00902),"")</f>
        <v>0.34276000000000001</v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259.125</v>
      </c>
      <c r="BN436" s="64">
        <f t="shared" si="45"/>
        <v>262.58000000000004</v>
      </c>
      <c r="BO436" s="64">
        <f t="shared" si="46"/>
        <v>0.28409090909090912</v>
      </c>
      <c r="BP436" s="64">
        <f t="shared" si="47"/>
        <v>0.2878787878787879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68.939393939393938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70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0.68725999999999998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340</v>
      </c>
      <c r="Y438" s="547">
        <f>IFERROR(SUM(Y425:Y436),"0")</f>
        <v>345.12</v>
      </c>
      <c r="Z438" s="37"/>
      <c r="AA438" s="548"/>
      <c r="AB438" s="548"/>
      <c r="AC438" s="548"/>
    </row>
    <row r="439" spans="1:68" ht="14.25" customHeight="1" x14ac:dyDescent="0.25">
      <c r="A439" s="557" t="s">
        <v>138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0</v>
      </c>
      <c r="Y440" s="546">
        <f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/>
      <c r="M442" s="33" t="s">
        <v>107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0</v>
      </c>
      <c r="Y443" s="547">
        <f>IFERROR(Y440/H440,"0")+IFERROR(Y441/H441,"0")+IFERROR(Y442/H442,"0")</f>
        <v>0</v>
      </c>
      <c r="Z443" s="547">
        <f>IFERROR(IF(Z440="",0,Z440),"0")+IFERROR(IF(Z441="",0,Z441),"0")+IFERROR(IF(Z442="",0,Z442),"0")</f>
        <v>0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0</v>
      </c>
      <c r="Y444" s="547">
        <f>IFERROR(SUM(Y440:Y442),"0")</f>
        <v>0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0</v>
      </c>
      <c r="Y446" s="546">
        <f t="shared" ref="Y446:Y451" si="48">IFERROR(IF(X446="",0,CEILING((X446/$H446),1)*$H446),"")</f>
        <v>0</v>
      </c>
      <c r="Z446" s="36" t="str">
        <f>IFERROR(IF(Y446=0,"",ROUNDUP(Y446/H446,0)*0.01196),"")</f>
        <v/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0</v>
      </c>
      <c r="BN446" s="64">
        <f t="shared" ref="BN446:BN451" si="50">IFERROR(Y446*I446/H446,"0")</f>
        <v>0</v>
      </c>
      <c r="BO446" s="64">
        <f t="shared" ref="BO446:BO451" si="51">IFERROR(1/J446*(X446/H446),"0")</f>
        <v>0</v>
      </c>
      <c r="BP446" s="64">
        <f t="shared" ref="BP446:BP451" si="52">IFERROR(1/J446*(Y446/H446),"0")</f>
        <v>0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0</v>
      </c>
      <c r="Y447" s="546">
        <f t="shared" si="48"/>
        <v>0</v>
      </c>
      <c r="Z447" s="36" t="str">
        <f>IFERROR(IF(Y447=0,"",ROUNDUP(Y447/H447,0)*0.01196),"")</f>
        <v/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0</v>
      </c>
      <c r="BN447" s="64">
        <f t="shared" si="50"/>
        <v>0</v>
      </c>
      <c r="BO447" s="64">
        <f t="shared" si="51"/>
        <v>0</v>
      </c>
      <c r="BP447" s="64">
        <f t="shared" si="52"/>
        <v>0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0</v>
      </c>
      <c r="Y448" s="546">
        <f t="shared" si="48"/>
        <v>0</v>
      </c>
      <c r="Z448" s="36" t="str">
        <f>IFERROR(IF(Y448=0,"",ROUNDUP(Y448/H448,0)*0.01196),"")</f>
        <v/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0</v>
      </c>
      <c r="BN448" s="64">
        <f t="shared" si="50"/>
        <v>0</v>
      </c>
      <c r="BO448" s="64">
        <f t="shared" si="51"/>
        <v>0</v>
      </c>
      <c r="BP448" s="64">
        <f t="shared" si="52"/>
        <v>0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 t="s">
        <v>113</v>
      </c>
      <c r="M449" s="33" t="s">
        <v>107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72</v>
      </c>
      <c r="Y449" s="546">
        <f t="shared" si="48"/>
        <v>72</v>
      </c>
      <c r="Z449" s="36">
        <f>IFERROR(IF(Y449=0,"",ROUNDUP(Y449/H449,0)*0.00902),"")</f>
        <v>0.1353</v>
      </c>
      <c r="AA449" s="56"/>
      <c r="AB449" s="57"/>
      <c r="AC449" s="505" t="s">
        <v>696</v>
      </c>
      <c r="AG449" s="64"/>
      <c r="AJ449" s="68" t="s">
        <v>109</v>
      </c>
      <c r="AK449" s="68">
        <v>57.6</v>
      </c>
      <c r="BB449" s="506" t="s">
        <v>1</v>
      </c>
      <c r="BM449" s="64">
        <f t="shared" si="49"/>
        <v>103.65</v>
      </c>
      <c r="BN449" s="64">
        <f t="shared" si="50"/>
        <v>103.65</v>
      </c>
      <c r="BO449" s="64">
        <f t="shared" si="51"/>
        <v>0.11363636363636365</v>
      </c>
      <c r="BP449" s="64">
        <f t="shared" si="52"/>
        <v>0.11363636363636365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 t="s">
        <v>113</v>
      </c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18</v>
      </c>
      <c r="Y450" s="546">
        <f t="shared" si="48"/>
        <v>19.2</v>
      </c>
      <c r="Z450" s="36">
        <f>IFERROR(IF(Y450=0,"",ROUNDUP(Y450/H450,0)*0.00902),"")</f>
        <v>3.6080000000000001E-2</v>
      </c>
      <c r="AA450" s="56"/>
      <c r="AB450" s="57"/>
      <c r="AC450" s="507" t="s">
        <v>699</v>
      </c>
      <c r="AG450" s="64"/>
      <c r="AJ450" s="68" t="s">
        <v>109</v>
      </c>
      <c r="AK450" s="68">
        <v>57.6</v>
      </c>
      <c r="BB450" s="508" t="s">
        <v>1</v>
      </c>
      <c r="BM450" s="64">
        <f t="shared" si="49"/>
        <v>25.012500000000003</v>
      </c>
      <c r="BN450" s="64">
        <f t="shared" si="50"/>
        <v>26.68</v>
      </c>
      <c r="BO450" s="64">
        <f t="shared" si="51"/>
        <v>2.8409090909090912E-2</v>
      </c>
      <c r="BP450" s="64">
        <f t="shared" si="52"/>
        <v>3.0303030303030304E-2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 t="s">
        <v>113</v>
      </c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30</v>
      </c>
      <c r="Y451" s="546">
        <f t="shared" si="48"/>
        <v>33.6</v>
      </c>
      <c r="Z451" s="36">
        <f>IFERROR(IF(Y451=0,"",ROUNDUP(Y451/H451,0)*0.00902),"")</f>
        <v>6.3140000000000002E-2</v>
      </c>
      <c r="AA451" s="56"/>
      <c r="AB451" s="57"/>
      <c r="AC451" s="509" t="s">
        <v>702</v>
      </c>
      <c r="AG451" s="64"/>
      <c r="AJ451" s="68" t="s">
        <v>109</v>
      </c>
      <c r="AK451" s="68">
        <v>57.6</v>
      </c>
      <c r="BB451" s="510" t="s">
        <v>1</v>
      </c>
      <c r="BM451" s="64">
        <f t="shared" si="49"/>
        <v>41.6875</v>
      </c>
      <c r="BN451" s="64">
        <f t="shared" si="50"/>
        <v>46.69</v>
      </c>
      <c r="BO451" s="64">
        <f t="shared" si="51"/>
        <v>4.7348484848484848E-2</v>
      </c>
      <c r="BP451" s="64">
        <f t="shared" si="52"/>
        <v>5.3030303030303039E-2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25</v>
      </c>
      <c r="Y452" s="547">
        <f>IFERROR(Y446/H446,"0")+IFERROR(Y447/H447,"0")+IFERROR(Y448/H448,"0")+IFERROR(Y449/H449,"0")+IFERROR(Y450/H450,"0")+IFERROR(Y451/H451,"0")</f>
        <v>26</v>
      </c>
      <c r="Z452" s="547">
        <f>IFERROR(IF(Z446="",0,Z446),"0")+IFERROR(IF(Z447="",0,Z447),"0")+IFERROR(IF(Z448="",0,Z448),"0")+IFERROR(IF(Z449="",0,Z449),"0")+IFERROR(IF(Z450="",0,Z450),"0")+IFERROR(IF(Z451="",0,Z451),"0")</f>
        <v>0.23452000000000001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120</v>
      </c>
      <c r="Y453" s="547">
        <f>IFERROR(SUM(Y446:Y451),"0")</f>
        <v>124.80000000000001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712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712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57" t="s">
        <v>138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1000</v>
      </c>
      <c r="Y478" s="546">
        <f>IFERROR(IF(X478="",0,CEILING((X478/$H478),1)*$H478),"")</f>
        <v>1008</v>
      </c>
      <c r="Z478" s="36">
        <f>IFERROR(IF(Y478=0,"",ROUNDUP(Y478/H478,0)*0.01898),"")</f>
        <v>2.1257600000000001</v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1054.8888888888889</v>
      </c>
      <c r="BN478" s="64">
        <f>IFERROR(Y478*I478/H478,"0")</f>
        <v>1063.328</v>
      </c>
      <c r="BO478" s="64">
        <f>IFERROR(1/J478*(X478/H478),"0")</f>
        <v>1.7361111111111112</v>
      </c>
      <c r="BP478" s="64">
        <f>IFERROR(1/J478*(Y478/H478),"0")</f>
        <v>1.75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111.11111111111111</v>
      </c>
      <c r="Y479" s="547">
        <f>IFERROR(Y478/H478,"0")</f>
        <v>112</v>
      </c>
      <c r="Z479" s="547">
        <f>IFERROR(IF(Z478="",0,Z478),"0")</f>
        <v>2.1257600000000001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1000</v>
      </c>
      <c r="Y480" s="547">
        <f>IFERROR(SUM(Y478:Y478),"0")</f>
        <v>1008</v>
      </c>
      <c r="Z480" s="37"/>
      <c r="AA480" s="548"/>
      <c r="AB480" s="548"/>
      <c r="AC480" s="548"/>
    </row>
    <row r="481" spans="1:68" ht="14.25" customHeight="1" x14ac:dyDescent="0.25">
      <c r="A481" s="557" t="s">
        <v>166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745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138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749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13065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13193.560000000001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750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13882.912847356984</v>
      </c>
      <c r="Y492" s="547">
        <f>IFERROR(SUM(BN22:BN488),"0")</f>
        <v>14021.849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751</v>
      </c>
      <c r="Q493" s="670"/>
      <c r="R493" s="670"/>
      <c r="S493" s="670"/>
      <c r="T493" s="670"/>
      <c r="U493" s="670"/>
      <c r="V493" s="671"/>
      <c r="W493" s="37" t="s">
        <v>752</v>
      </c>
      <c r="X493" s="38">
        <f>ROUNDUP(SUM(BO22:BO488),0)</f>
        <v>23</v>
      </c>
      <c r="Y493" s="38">
        <f>ROUNDUP(SUM(BP22:BP488),0)</f>
        <v>23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753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14457.912847356984</v>
      </c>
      <c r="Y494" s="547">
        <f>GrossWeightTotalR+PalletQtyTotalR*25</f>
        <v>14596.849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754</v>
      </c>
      <c r="Q495" s="670"/>
      <c r="R495" s="670"/>
      <c r="S495" s="670"/>
      <c r="T495" s="670"/>
      <c r="U495" s="670"/>
      <c r="V495" s="67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2457.0869456214286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2481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755</v>
      </c>
      <c r="Q496" s="670"/>
      <c r="R496" s="670"/>
      <c r="S496" s="670"/>
      <c r="T496" s="670"/>
      <c r="U496" s="670"/>
      <c r="V496" s="67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25.640569999999997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267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551</v>
      </c>
      <c r="T498" s="575"/>
      <c r="U498" s="573" t="s">
        <v>605</v>
      </c>
      <c r="V498" s="574"/>
      <c r="W498" s="575"/>
      <c r="X498" s="542" t="s">
        <v>656</v>
      </c>
      <c r="Y498" s="573" t="s">
        <v>712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758</v>
      </c>
      <c r="B499" s="573" t="s">
        <v>63</v>
      </c>
      <c r="C499" s="573" t="s">
        <v>101</v>
      </c>
      <c r="D499" s="573" t="s">
        <v>119</v>
      </c>
      <c r="E499" s="573" t="s">
        <v>173</v>
      </c>
      <c r="F499" s="573" t="s">
        <v>197</v>
      </c>
      <c r="G499" s="573" t="s">
        <v>237</v>
      </c>
      <c r="H499" s="573" t="s">
        <v>100</v>
      </c>
      <c r="I499" s="573" t="s">
        <v>268</v>
      </c>
      <c r="J499" s="573" t="s">
        <v>321</v>
      </c>
      <c r="K499" s="573" t="s">
        <v>380</v>
      </c>
      <c r="L499" s="573" t="s">
        <v>420</v>
      </c>
      <c r="M499" s="573" t="s">
        <v>436</v>
      </c>
      <c r="N499" s="543"/>
      <c r="O499" s="573" t="s">
        <v>447</v>
      </c>
      <c r="P499" s="573" t="s">
        <v>456</v>
      </c>
      <c r="Q499" s="573" t="s">
        <v>469</v>
      </c>
      <c r="R499" s="573" t="s">
        <v>541</v>
      </c>
      <c r="S499" s="573" t="s">
        <v>552</v>
      </c>
      <c r="T499" s="573" t="s">
        <v>587</v>
      </c>
      <c r="U499" s="573" t="s">
        <v>606</v>
      </c>
      <c r="V499" s="573" t="s">
        <v>637</v>
      </c>
      <c r="W499" s="573" t="s">
        <v>652</v>
      </c>
      <c r="X499" s="573" t="s">
        <v>656</v>
      </c>
      <c r="Y499" s="573" t="s">
        <v>712</v>
      </c>
      <c r="Z499" s="573" t="s">
        <v>745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200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906.30000000000007</v>
      </c>
      <c r="E501" s="46">
        <f>IFERROR(Y86*1,"0")+IFERROR(Y87*1,"0")+IFERROR(Y88*1,"0")+IFERROR(Y89*1,"0")+IFERROR(Y93*1,"0")+IFERROR(Y94*1,"0")+IFERROR(Y95*1,"0")+IFERROR(Y96*1,"0")</f>
        <v>1061.1000000000001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874.8</v>
      </c>
      <c r="G501" s="46">
        <f>IFERROR(Y128*1,"0")+IFERROR(Y129*1,"0")+IFERROR(Y133*1,"0")+IFERROR(Y134*1,"0")+IFERROR(Y138*1,"0")+IFERROR(Y139*1,"0")</f>
        <v>41.6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391.44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1650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116.99999999999999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40.799999999999997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340.8</v>
      </c>
      <c r="R501" s="46">
        <f>IFERROR(Y338*1,"0")+IFERROR(Y339*1,"0")+IFERROR(Y340*1,"0")</f>
        <v>877.8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5097</v>
      </c>
      <c r="T501" s="46">
        <f>IFERROR(Y371*1,"0")+IFERROR(Y372*1,"0")+IFERROR(Y376*1,"0")+IFERROR(Y377*1,"0")+IFERROR(Y381*1,"0")+IFERROR(Y382*1,"0")+IFERROR(Y383*1,"0")</f>
        <v>0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88.2</v>
      </c>
      <c r="V501" s="46">
        <f>IFERROR(Y407*1,"0")+IFERROR(Y411*1,"0")+IFERROR(Y412*1,"0")+IFERROR(Y413*1,"0")+IFERROR(Y414*1,"0")</f>
        <v>8.4</v>
      </c>
      <c r="W501" s="46">
        <f>IFERROR(Y419*1,"0")</f>
        <v>20.399999999999999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469.92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1008</v>
      </c>
      <c r="Z501" s="46">
        <f>IFERROR(Y488*1,"0")</f>
        <v>0</v>
      </c>
      <c r="AB501" s="52"/>
      <c r="AC501" s="52"/>
      <c r="AF501" s="543"/>
    </row>
  </sheetData>
  <sheetProtection algorithmName="SHA-512" hashValue="HV8aZzellHAep5X7QvSososHBwGWpNYe+ZpxVuo1OCWNlU/MXqxyVnTemVppGf1qSL57mtocJCtq9FAjiRcfaQ==" saltValue="V82hLtDFG8wTSbWIpXMEJ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61 X80 X86 X93 X101 X104 X109 X116 X118:X119 X123 X128 X134 X139 X166:X169 X171 X174 X201:X208 X214:X215 X217 X219:X220 X224:X225 X230 X232:X233 X237 X277 X305:X307 X318:X320 X326:X327 X331 X333 X339:X340 X362 X371 X381 X393:X394 X396 X419 X425 X429 X431 X440 X446:X451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PVcIzHLnw3xxfHiElQTn/jbdIXSyxh5j5SrfLgp9wfPdZabLTmhY9YjAKTbm0MfZzqZ+RKDx2G7OoXqTSt8G1w==" saltValue="faGGbrUtG9Ze44rXWc17L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2025-12-17T08:46:58Z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