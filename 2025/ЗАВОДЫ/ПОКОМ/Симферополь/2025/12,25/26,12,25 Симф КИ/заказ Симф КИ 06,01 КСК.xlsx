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CF9A7D7B-A83F-4C28-9DEF-364BA77FBC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19" i="1" l="1"/>
  <c r="Z145" i="1"/>
  <c r="Z474" i="1"/>
  <c r="Z81" i="1"/>
  <c r="Z367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Z32" i="1" s="1"/>
  <c r="BN27" i="1"/>
  <c r="BP27" i="1"/>
  <c r="Y497" i="1" s="1"/>
  <c r="Z29" i="1"/>
  <c r="BN29" i="1"/>
  <c r="Y496" i="1" s="1"/>
  <c r="Y498" i="1" s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Z154" i="1" s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Z325" i="1" s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1" i="1" l="1"/>
  <c r="Z469" i="1"/>
  <c r="Y499" i="1"/>
  <c r="Y495" i="1"/>
  <c r="Z388" i="1"/>
  <c r="Z402" i="1"/>
  <c r="Z332" i="1"/>
  <c r="Z213" i="1"/>
  <c r="Z89" i="1"/>
  <c r="Z58" i="1"/>
  <c r="Z500" i="1" s="1"/>
  <c r="Z312" i="1"/>
  <c r="Z303" i="1"/>
  <c r="Z283" i="1"/>
  <c r="Z225" i="1"/>
  <c r="Z181" i="1"/>
  <c r="Z112" i="1"/>
  <c r="Z105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<sst xmlns="http://schemas.openxmlformats.org/spreadsheetml/2006/main" count="2318" uniqueCount="781">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</sst>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200</v>
      </c>
      <c r="Y41" s="554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220</v>
      </c>
      <c r="Y43" s="554">
        <f>IFERROR(IF(X43="",0,CEILING((X43/$H43),1)*$H43),"")</f>
        <v>220</v>
      </c>
      <c r="Z43" s="36">
        <f>IFERROR(IF(Y43=0,"",ROUNDUP(Y43/H43,0)*0.00902),"")</f>
        <v>0.49609999999999999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230.45000000000002</v>
      </c>
      <c r="BN43" s="64">
        <f>IFERROR(Y43*I43/H43,"0")</f>
        <v>230.45000000000002</v>
      </c>
      <c r="BO43" s="64">
        <f>IFERROR(1/J43*(X43/H43),"0")</f>
        <v>0.41666666666666669</v>
      </c>
      <c r="BP43" s="64">
        <f>IFERROR(1/J43*(Y43/H43),"0")</f>
        <v>0.41666666666666669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73.518518518518519</v>
      </c>
      <c r="Y44" s="555">
        <f>IFERROR(Y41/H41,"0")+IFERROR(Y42/H42,"0")+IFERROR(Y43/H43,"0")</f>
        <v>74</v>
      </c>
      <c r="Z44" s="555">
        <f>IFERROR(IF(Z41="",0,Z41),"0")+IFERROR(IF(Z42="",0,Z42),"0")+IFERROR(IF(Z43="",0,Z43),"0")</f>
        <v>0.85671999999999993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420</v>
      </c>
      <c r="Y45" s="555">
        <f>IFERROR(SUM(Y41:Y43),"0")</f>
        <v>425.20000000000005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123.14814814814815</v>
      </c>
      <c r="Y58" s="555">
        <f>IFERROR(Y52/H52,"0")+IFERROR(Y53/H53,"0")+IFERROR(Y54/H54,"0")+IFERROR(Y55/H55,"0")+IFERROR(Y56/H56,"0")+IFERROR(Y57/H57,"0")</f>
        <v>124</v>
      </c>
      <c r="Z58" s="555">
        <f>IFERROR(IF(Z52="",0,Z52),"0")+IFERROR(IF(Z53="",0,Z53),"0")+IFERROR(IF(Z54="",0,Z54),"0")+IFERROR(IF(Z55="",0,Z55),"0")+IFERROR(IF(Z56="",0,Z56),"0")+IFERROR(IF(Z57="",0,Z57),"0")</f>
        <v>1.3575200000000001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700</v>
      </c>
      <c r="Y59" s="555">
        <f>IFERROR(SUM(Y52:Y57),"0")</f>
        <v>709.2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157.5</v>
      </c>
      <c r="Y63" s="554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69.444444444444443</v>
      </c>
      <c r="Y64" s="555">
        <f>IFERROR(Y61/H61,"0")+IFERROR(Y62/H62,"0")+IFERROR(Y63/H63,"0")</f>
        <v>71</v>
      </c>
      <c r="Z64" s="555">
        <f>IFERROR(IF(Z61="",0,Z61),"0")+IFERROR(IF(Z62="",0,Z62),"0")+IFERROR(IF(Z63="",0,Z63),"0")</f>
        <v>0.61185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277.5</v>
      </c>
      <c r="Y65" s="555">
        <f>IFERROR(SUM(Y61:Y63),"0")</f>
        <v>288.90000000000003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250</v>
      </c>
      <c r="Y92" s="554">
        <f>IFERROR(IF(X92="",0,CEILING((X92/$H92),1)*$H92),"")</f>
        <v>251.1</v>
      </c>
      <c r="Z92" s="36">
        <f>IFERROR(IF(Y92=0,"",ROUNDUP(Y92/H92,0)*0.01898),"")</f>
        <v>0.58838000000000001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265.24691358024694</v>
      </c>
      <c r="BN92" s="64">
        <f>IFERROR(Y92*I92/H92,"0")</f>
        <v>266.41399999999999</v>
      </c>
      <c r="BO92" s="64">
        <f>IFERROR(1/J92*(X92/H92),"0")</f>
        <v>0.48225308641975312</v>
      </c>
      <c r="BP92" s="64">
        <f>IFERROR(1/J92*(Y92/H92),"0")</f>
        <v>0.484375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164.19753086419752</v>
      </c>
      <c r="Y96" s="555">
        <f>IFERROR(Y92/H92,"0")+IFERROR(Y93/H93,"0")+IFERROR(Y94/H94,"0")+IFERROR(Y95/H95,"0")</f>
        <v>165</v>
      </c>
      <c r="Z96" s="555">
        <f>IFERROR(IF(Z92="",0,Z92),"0")+IFERROR(IF(Z93="",0,Z93),"0")+IFERROR(IF(Z94="",0,Z94),"0")+IFERROR(IF(Z95="",0,Z95),"0")</f>
        <v>1.46072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610</v>
      </c>
      <c r="Y97" s="555">
        <f>IFERROR(SUM(Y92:Y95),"0")</f>
        <v>612.9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360</v>
      </c>
      <c r="Y103" s="554">
        <f>IFERROR(IF(X103="",0,CEILING((X103/$H103),1)*$H103),"")</f>
        <v>360</v>
      </c>
      <c r="Z103" s="36">
        <f>IFERROR(IF(Y103=0,"",ROUNDUP(Y103/H103,0)*0.00902),"")</f>
        <v>0.72160000000000002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375.20000000000005</v>
      </c>
      <c r="BN103" s="64">
        <f>IFERROR(Y103*I103/H103,"0")</f>
        <v>375.20000000000005</v>
      </c>
      <c r="BO103" s="64">
        <f>IFERROR(1/J103*(X103/H103),"0")</f>
        <v>0.60606060606060608</v>
      </c>
      <c r="BP103" s="64">
        <f>IFERROR(1/J103*(Y103/H103),"0")</f>
        <v>0.60606060606060608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84.629629629629633</v>
      </c>
      <c r="Y105" s="555">
        <f>IFERROR(Y100/H100,"0")+IFERROR(Y101/H101,"0")+IFERROR(Y102/H102,"0")+IFERROR(Y103/H103,"0")+IFERROR(Y104/H104,"0")</f>
        <v>85</v>
      </c>
      <c r="Z105" s="555">
        <f>IFERROR(IF(Z100="",0,Z100),"0")+IFERROR(IF(Z101="",0,Z101),"0")+IFERROR(IF(Z102="",0,Z102),"0")+IFERROR(IF(Z103="",0,Z103),"0")+IFERROR(IF(Z104="",0,Z104),"0")</f>
        <v>0.8165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410</v>
      </c>
      <c r="Y106" s="555">
        <f>IFERROR(SUM(Y100:Y104),"0")</f>
        <v>414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400</v>
      </c>
      <c r="Y115" s="554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187.71604938271602</v>
      </c>
      <c r="Y119" s="555">
        <f>IFERROR(Y115/H115,"0")+IFERROR(Y116/H116,"0")+IFERROR(Y117/H117,"0")+IFERROR(Y118/H118,"0")</f>
        <v>189</v>
      </c>
      <c r="Z119" s="555">
        <f>IFERROR(IF(Z115="",0,Z115),"0")+IFERROR(IF(Z116="",0,Z116),"0")+IFERROR(IF(Z117="",0,Z117),"0")+IFERROR(IF(Z118="",0,Z118),"0")</f>
        <v>1.8538900000000003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769</v>
      </c>
      <c r="Y120" s="555">
        <f>IFERROR(SUM(Y115:Y118),"0")</f>
        <v>775.8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26.4</v>
      </c>
      <c r="Y138" s="554">
        <f>IFERROR(IF(X138="",0,CEILING((X138/$H138),1)*$H138),"")</f>
        <v>26.400000000000002</v>
      </c>
      <c r="Z138" s="36">
        <f>IFERROR(IF(Y138=0,"",ROUNDUP(Y138/H138,0)*0.00651),"")</f>
        <v>6.5100000000000005E-2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29.079999999999995</v>
      </c>
      <c r="BN138" s="64">
        <f>IFERROR(Y138*I138/H138,"0")</f>
        <v>29.080000000000002</v>
      </c>
      <c r="BO138" s="64">
        <f>IFERROR(1/J138*(X138/H138),"0")</f>
        <v>5.4945054945054937E-2</v>
      </c>
      <c r="BP138" s="64">
        <f>IFERROR(1/J138*(Y138/H138),"0")</f>
        <v>5.4945054945054951E-2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9.9999999999999982</v>
      </c>
      <c r="Y139" s="555">
        <f>IFERROR(Y137/H137,"0")+IFERROR(Y138/H138,"0")</f>
        <v>10</v>
      </c>
      <c r="Z139" s="555">
        <f>IFERROR(IF(Z137="",0,Z137),"0")+IFERROR(IF(Z138="",0,Z138),"0")</f>
        <v>6.5100000000000005E-2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26.4</v>
      </c>
      <c r="Y140" s="555">
        <f>IFERROR(SUM(Y137:Y138),"0")</f>
        <v>26.400000000000002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122.5</v>
      </c>
      <c r="Y178" s="554">
        <f t="shared" si="10"/>
        <v>123.9</v>
      </c>
      <c r="Z178" s="36">
        <f>IFERROR(IF(Y178=0,"",ROUNDUP(Y178/H178,0)*0.00502),"")</f>
        <v>0.29618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128.33333333333331</v>
      </c>
      <c r="BN178" s="64">
        <f t="shared" si="12"/>
        <v>129.80000000000001</v>
      </c>
      <c r="BO178" s="64">
        <f t="shared" si="13"/>
        <v>0.2492877492877493</v>
      </c>
      <c r="BP178" s="64">
        <f t="shared" si="14"/>
        <v>0.25213675213675218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178.57142857142856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181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1.0926200000000001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470</v>
      </c>
      <c r="Y182" s="555">
        <f>IFERROR(SUM(Y167:Y180),"0")</f>
        <v>476.70000000000005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8.4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9.6666666666666661</v>
      </c>
      <c r="BN185" s="64">
        <f>IFERROR(Y185*I185/H185,"0")</f>
        <v>10.15</v>
      </c>
      <c r="BO185" s="64">
        <f>IFERROR(1/J185*(X185/H185),"0")</f>
        <v>3.0864197530864196E-2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8.4</v>
      </c>
      <c r="Y186" s="554">
        <f>IFERROR(IF(X186="",0,CEILING((X186/$H186),1)*$H186),"")</f>
        <v>8.82</v>
      </c>
      <c r="Z186" s="36">
        <f>IFERROR(IF(Y186=0,"",ROUNDUP(Y186/H186,0)*0.0059),"")</f>
        <v>4.1299999999999996E-2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9.6666666666666661</v>
      </c>
      <c r="BN186" s="64">
        <f>IFERROR(Y186*I186/H186,"0")</f>
        <v>10.15</v>
      </c>
      <c r="BO186" s="64">
        <f>IFERROR(1/J186*(X186/H186),"0")</f>
        <v>3.0864197530864196E-2</v>
      </c>
      <c r="BP186" s="64">
        <f>IFERROR(1/J186*(Y186/H186),"0")</f>
        <v>3.2407407407407406E-2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18.888888888888889</v>
      </c>
      <c r="Y187" s="555">
        <f>IFERROR(Y184/H184,"0")+IFERROR(Y185/H185,"0")+IFERROR(Y186/H186,"0")</f>
        <v>20</v>
      </c>
      <c r="Z187" s="555">
        <f>IFERROR(IF(Z184="",0,Z184),"0")+IFERROR(IF(Z185="",0,Z185),"0")+IFERROR(IF(Z186="",0,Z186),"0")</f>
        <v>0.11799999999999999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23.800000000000004</v>
      </c>
      <c r="Y188" s="555">
        <f>IFERROR(SUM(Y184:Y186),"0")</f>
        <v>25.200000000000003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4.9000000000000004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5.6388888888888893</v>
      </c>
      <c r="BN190" s="64">
        <f>IFERROR(Y190*I190/H190,"0")</f>
        <v>5.8</v>
      </c>
      <c r="BO190" s="64">
        <f>IFERROR(1/J190*(X190/H190),"0")</f>
        <v>1.800411522633745E-2</v>
      </c>
      <c r="BP190" s="64">
        <f>IFERROR(1/J190*(Y190/H190),"0")</f>
        <v>1.8518518518518517E-2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3.8888888888888893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4.9000000000000004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110</v>
      </c>
      <c r="Y205" s="554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54</v>
      </c>
      <c r="Y212" s="554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245.74074074074073</v>
      </c>
      <c r="Y213" s="555">
        <f>IFERROR(Y205/H205,"0")+IFERROR(Y206/H206,"0")+IFERROR(Y207/H207,"0")+IFERROR(Y208/H208,"0")+IFERROR(Y209/H209,"0")+IFERROR(Y210/H210,"0")+IFERROR(Y211/H211,"0")+IFERROR(Y212/H212,"0")</f>
        <v>249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1.68998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829</v>
      </c>
      <c r="Y214" s="555">
        <f>IFERROR(SUM(Y205:Y212),"0")</f>
        <v>844.2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60</v>
      </c>
      <c r="Y223" s="554">
        <f t="shared" si="20"/>
        <v>60</v>
      </c>
      <c r="Z223" s="36">
        <f t="shared" si="25"/>
        <v>0.16275000000000001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66.300000000000011</v>
      </c>
      <c r="BN223" s="64">
        <f t="shared" si="22"/>
        <v>66.300000000000011</v>
      </c>
      <c r="BO223" s="64">
        <f t="shared" si="23"/>
        <v>0.13736263736263737</v>
      </c>
      <c r="BP223" s="64">
        <f t="shared" si="24"/>
        <v>0.13736263736263737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247.41379310344831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249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1.6958099999999998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630</v>
      </c>
      <c r="Y226" s="555">
        <f>IFERROR(SUM(Y216:Y224),"0")</f>
        <v>635.4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36</v>
      </c>
      <c r="Y228" s="554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39.780000000000008</v>
      </c>
      <c r="BN228" s="64">
        <f>IFERROR(Y228*I228/H228,"0")</f>
        <v>39.780000000000008</v>
      </c>
      <c r="BO228" s="64">
        <f>IFERROR(1/J228*(X228/H228),"0")</f>
        <v>8.241758241758243E-2</v>
      </c>
      <c r="BP228" s="64">
        <f>IFERROR(1/J228*(Y228/H228),"0")</f>
        <v>8.241758241758243E-2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30</v>
      </c>
      <c r="Y230" s="555">
        <f>IFERROR(Y228/H228,"0")+IFERROR(Y229/H229,"0")</f>
        <v>30</v>
      </c>
      <c r="Z230" s="555">
        <f>IFERROR(IF(Z228="",0,Z228),"0")+IFERROR(IF(Z229="",0,Z229),"0")</f>
        <v>0.1953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72</v>
      </c>
      <c r="Y231" s="555">
        <f>IFERROR(SUM(Y228:Y229),"0")</f>
        <v>72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10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10.353448275862069</v>
      </c>
      <c r="BN234" s="64">
        <f t="shared" ref="BN234:BN242" si="28">IFERROR(Y234*I234/H234,"0")</f>
        <v>12.01</v>
      </c>
      <c r="BO234" s="64">
        <f t="shared" ref="BO234:BO242" si="29">IFERROR(1/J234*(X234/H234),"0")</f>
        <v>1.3469827586206897E-2</v>
      </c>
      <c r="BP234" s="64">
        <f t="shared" ref="BP234:BP242" si="30">IFERROR(1/J234*(Y234/H234),"0")</f>
        <v>1.5625E-2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50</v>
      </c>
      <c r="Y236" s="554">
        <f t="shared" si="26"/>
        <v>58</v>
      </c>
      <c r="Z236" s="36">
        <f>IFERROR(IF(Y236=0,"",ROUNDUP(Y236/H236,0)*0.01898),"")</f>
        <v>9.4899999999999998E-2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51.767241379310349</v>
      </c>
      <c r="BN236" s="64">
        <f t="shared" si="28"/>
        <v>60.050000000000004</v>
      </c>
      <c r="BO236" s="64">
        <f t="shared" si="29"/>
        <v>6.7349137931034489E-2</v>
      </c>
      <c r="BP236" s="64">
        <f t="shared" si="30"/>
        <v>7.8125E-2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28</v>
      </c>
      <c r="Y241" s="554">
        <f t="shared" si="26"/>
        <v>28</v>
      </c>
      <c r="Z241" s="36">
        <f>IFERROR(IF(Y241=0,"",ROUNDUP(Y241/H241,0)*0.00902),"")</f>
        <v>6.3140000000000002E-2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29.330000000000002</v>
      </c>
      <c r="BN241" s="64">
        <f t="shared" si="28"/>
        <v>29.330000000000002</v>
      </c>
      <c r="BO241" s="64">
        <f t="shared" si="29"/>
        <v>5.3030303030303032E-2</v>
      </c>
      <c r="BP241" s="64">
        <f t="shared" si="30"/>
        <v>5.3030303030303032E-2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18.172413793103448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19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0.23113999999999998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112</v>
      </c>
      <c r="Y244" s="555">
        <f>IFERROR(SUM(Y234:Y242),"0")</f>
        <v>121.6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60</v>
      </c>
      <c r="Y281" s="554">
        <f>IFERROR(IF(X281="",0,CEILING((X281/$H281),1)*$H281),"")</f>
        <v>60</v>
      </c>
      <c r="Z281" s="36">
        <f>IFERROR(IF(Y281=0,"",ROUNDUP(Y281/H281,0)*0.00651),"")</f>
        <v>0.16275000000000001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66.300000000000011</v>
      </c>
      <c r="BN281" s="64">
        <f>IFERROR(Y281*I281/H281,"0")</f>
        <v>66.300000000000011</v>
      </c>
      <c r="BO281" s="64">
        <f>IFERROR(1/J281*(X281/H281),"0")</f>
        <v>0.13736263736263737</v>
      </c>
      <c r="BP281" s="64">
        <f>IFERROR(1/J281*(Y281/H281),"0")</f>
        <v>0.13736263736263737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122.5</v>
      </c>
      <c r="Y310" s="554">
        <f t="shared" si="31"/>
        <v>123.9</v>
      </c>
      <c r="Z310" s="36">
        <f>IFERROR(IF(Y310=0,"",ROUNDUP(Y310/H310,0)*0.00502),"")</f>
        <v>0.29618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128.33333333333331</v>
      </c>
      <c r="BN310" s="64">
        <f t="shared" si="33"/>
        <v>129.80000000000001</v>
      </c>
      <c r="BO310" s="64">
        <f t="shared" si="34"/>
        <v>0.2492877492877493</v>
      </c>
      <c r="BP310" s="64">
        <f t="shared" si="35"/>
        <v>0.25213675213675218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68.333333333333329</v>
      </c>
      <c r="Y312" s="555">
        <f>IFERROR(Y306/H306,"0")+IFERROR(Y307/H307,"0")+IFERROR(Y308/H308,"0")+IFERROR(Y309/H309,"0")+IFERROR(Y310/H310,"0")+IFERROR(Y311/H311,"0")</f>
        <v>69</v>
      </c>
      <c r="Z312" s="555">
        <f>IFERROR(IF(Z306="",0,Z306),"0")+IFERROR(IF(Z307="",0,Z307),"0")+IFERROR(IF(Z308="",0,Z308),"0")+IFERROR(IF(Z309="",0,Z309),"0")+IFERROR(IF(Z310="",0,Z310),"0")+IFERROR(IF(Z311="",0,Z311),"0")</f>
        <v>0.36127999999999999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140.5</v>
      </c>
      <c r="Y313" s="555">
        <f>IFERROR(SUM(Y306:Y311),"0")</f>
        <v>141.9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</v>
      </c>
      <c r="Y322" s="554">
        <f>IFERROR(IF(X322="",0,CEILING((X322/$H322),1)*$H322),"")</f>
        <v>16.8</v>
      </c>
      <c r="Z322" s="36">
        <f>IFERROR(IF(Y322=0,"",ROUNDUP(Y322/H322,0)*0.01898),"")</f>
        <v>3.7960000000000001E-2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10.588095238095237</v>
      </c>
      <c r="BN322" s="64">
        <f>IFERROR(Y322*I322/H322,"0")</f>
        <v>17.788</v>
      </c>
      <c r="BO322" s="64">
        <f>IFERROR(1/J322*(X322/H322),"0")</f>
        <v>1.8601190476190476E-2</v>
      </c>
      <c r="BP322" s="64">
        <f>IFERROR(1/J322*(Y322/H322),"0")</f>
        <v>3.125E-2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150</v>
      </c>
      <c r="Y324" s="554">
        <f>IFERROR(IF(X324="",0,CEILING((X324/$H324),1)*$H324),"")</f>
        <v>151.20000000000002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158.82142857142856</v>
      </c>
      <c r="BN324" s="64">
        <f>IFERROR(Y324*I324/H324,"0")</f>
        <v>160.09200000000001</v>
      </c>
      <c r="BO324" s="64">
        <f>IFERROR(1/J324*(X324/H324),"0")</f>
        <v>0.27901785714285715</v>
      </c>
      <c r="BP324" s="64">
        <f>IFERROR(1/J324*(Y324/H324),"0")</f>
        <v>0.28125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57.509157509157504</v>
      </c>
      <c r="Y325" s="555">
        <f>IFERROR(Y322/H322,"0")+IFERROR(Y323/H323,"0")+IFERROR(Y324/H324,"0")</f>
        <v>59</v>
      </c>
      <c r="Z325" s="555">
        <f>IFERROR(IF(Z322="",0,Z322),"0")+IFERROR(IF(Z323="",0,Z323),"0")+IFERROR(IF(Z324="",0,Z324),"0")</f>
        <v>1.11982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460</v>
      </c>
      <c r="Y326" s="555">
        <f>IFERROR(SUM(Y322:Y324),"0")</f>
        <v>472.20000000000005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51.000000000000007</v>
      </c>
      <c r="Y331" s="554">
        <f>IFERROR(IF(X331="",0,CEILING((X331/$H331),1)*$H331),"")</f>
        <v>51</v>
      </c>
      <c r="Z331" s="36">
        <f>IFERROR(IF(Y331=0,"",ROUNDUP(Y331/H331,0)*0.00651),"")</f>
        <v>0.13020000000000001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57.600000000000016</v>
      </c>
      <c r="BN331" s="64">
        <f>IFERROR(Y331*I331/H331,"0")</f>
        <v>57.6</v>
      </c>
      <c r="BO331" s="64">
        <f>IFERROR(1/J331*(X331/H331),"0")</f>
        <v>0.10989010989010992</v>
      </c>
      <c r="BP331" s="64">
        <f>IFERROR(1/J331*(Y331/H331),"0")</f>
        <v>0.1098901098901099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20.000000000000004</v>
      </c>
      <c r="Y332" s="555">
        <f>IFERROR(Y328/H328,"0")+IFERROR(Y329/H329,"0")+IFERROR(Y330/H330,"0")+IFERROR(Y331/H331,"0")</f>
        <v>20</v>
      </c>
      <c r="Z332" s="555">
        <f>IFERROR(IF(Z328="",0,Z328),"0")+IFERROR(IF(Z329="",0,Z329),"0")+IFERROR(IF(Z330="",0,Z330),"0")+IFERROR(IF(Z331="",0,Z331),"0")</f>
        <v>0.13020000000000001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51.000000000000007</v>
      </c>
      <c r="Y333" s="555">
        <f>IFERROR(SUM(Y328:Y331),"0")</f>
        <v>51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454.99999999999989</v>
      </c>
      <c r="Y343" s="554">
        <f>IFERROR(IF(X343="",0,CEILING((X343/$H343),1)*$H343),"")</f>
        <v>455.70000000000005</v>
      </c>
      <c r="Z343" s="36">
        <f>IFERROR(IF(Y343=0,"",ROUNDUP(Y343/H343,0)*0.00651),"")</f>
        <v>1.4126700000000001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509.5999999999998</v>
      </c>
      <c r="BN343" s="64">
        <f>IFERROR(Y343*I343/H343,"0")</f>
        <v>510.38399999999996</v>
      </c>
      <c r="BO343" s="64">
        <f>IFERROR(1/J343*(X343/H343),"0")</f>
        <v>1.1904761904761902</v>
      </c>
      <c r="BP343" s="64">
        <f>IFERROR(1/J343*(Y343/H343),"0")</f>
        <v>1.1923076923076923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385</v>
      </c>
      <c r="Y344" s="554">
        <f>IFERROR(IF(X344="",0,CEILING((X344/$H344),1)*$H344),"")</f>
        <v>386.40000000000003</v>
      </c>
      <c r="Z344" s="36">
        <f>IFERROR(IF(Y344=0,"",ROUNDUP(Y344/H344,0)*0.00651),"")</f>
        <v>1.19784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428.99999999999994</v>
      </c>
      <c r="BN344" s="64">
        <f>IFERROR(Y344*I344/H344,"0")</f>
        <v>430.56</v>
      </c>
      <c r="BO344" s="64">
        <f>IFERROR(1/J344*(X344/H344),"0")</f>
        <v>1.0073260073260073</v>
      </c>
      <c r="BP344" s="64">
        <f>IFERROR(1/J344*(Y344/H344),"0")</f>
        <v>1.0109890109890112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399.99999999999989</v>
      </c>
      <c r="Y345" s="555">
        <f>IFERROR(Y342/H342,"0")+IFERROR(Y343/H343,"0")+IFERROR(Y344/H344,"0")</f>
        <v>401</v>
      </c>
      <c r="Z345" s="555">
        <f>IFERROR(IF(Z342="",0,Z342),"0")+IFERROR(IF(Z343="",0,Z343),"0")+IFERROR(IF(Z344="",0,Z344),"0")</f>
        <v>2.6105100000000001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839.99999999999989</v>
      </c>
      <c r="Y346" s="555">
        <f>IFERROR(SUM(Y342:Y344),"0")</f>
        <v>842.10000000000014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2000</v>
      </c>
      <c r="Y350" s="554">
        <f t="shared" ref="Y350:Y356" si="36">IFERROR(IF(X350="",0,CEILING((X350/$H350),1)*$H350),"")</f>
        <v>2010</v>
      </c>
      <c r="Z350" s="36">
        <f>IFERROR(IF(Y350=0,"",ROUNDUP(Y350/H350,0)*0.02175),"")</f>
        <v>2.9144999999999999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2062.6666666666665</v>
      </c>
      <c r="BN350" s="64">
        <f t="shared" ref="BN350:BN356" si="38">IFERROR(Y350*I350/H350,"0")</f>
        <v>2072.98</v>
      </c>
      <c r="BO350" s="64">
        <f t="shared" ref="BO350:BO356" si="39">IFERROR(1/J350*(X350/H350),"0")</f>
        <v>2.7777777777777777</v>
      </c>
      <c r="BP350" s="64">
        <f t="shared" ref="BP350:BP356" si="40">IFERROR(1/J350*(Y350/H350),"0")</f>
        <v>2.7916666666666665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900</v>
      </c>
      <c r="Y351" s="554">
        <f t="shared" si="36"/>
        <v>900</v>
      </c>
      <c r="Z351" s="36">
        <f>IFERROR(IF(Y351=0,"",ROUNDUP(Y351/H351,0)*0.02175),"")</f>
        <v>1.3049999999999999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928.2</v>
      </c>
      <c r="BN351" s="64">
        <f t="shared" si="38"/>
        <v>928.2</v>
      </c>
      <c r="BO351" s="64">
        <f t="shared" si="39"/>
        <v>1.25</v>
      </c>
      <c r="BP351" s="64">
        <f t="shared" si="40"/>
        <v>1.25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2200</v>
      </c>
      <c r="Y352" s="554">
        <f t="shared" si="36"/>
        <v>2205</v>
      </c>
      <c r="Z352" s="36">
        <f>IFERROR(IF(Y352=0,"",ROUNDUP(Y352/H352,0)*0.02175),"")</f>
        <v>3.1972499999999999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2268.9333333333334</v>
      </c>
      <c r="BN352" s="64">
        <f t="shared" si="38"/>
        <v>2274.0899999999997</v>
      </c>
      <c r="BO352" s="64">
        <f t="shared" si="39"/>
        <v>3.0555555555555554</v>
      </c>
      <c r="BP352" s="64">
        <f t="shared" si="40"/>
        <v>3.0625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386.33333333333331</v>
      </c>
      <c r="Y357" s="555">
        <f>IFERROR(Y350/H350,"0")+IFERROR(Y351/H351,"0")+IFERROR(Y352/H352,"0")+IFERROR(Y353/H353,"0")+IFERROR(Y354/H354,"0")+IFERROR(Y355/H355,"0")+IFERROR(Y356/H356,"0")</f>
        <v>388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8.4008100000000017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5765</v>
      </c>
      <c r="Y358" s="555">
        <f>IFERROR(SUM(Y350:Y356),"0")</f>
        <v>5790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1800</v>
      </c>
      <c r="Y360" s="554">
        <f>IFERROR(IF(X360="",0,CEILING((X360/$H360),1)*$H360),"")</f>
        <v>1800</v>
      </c>
      <c r="Z360" s="36">
        <f>IFERROR(IF(Y360=0,"",ROUNDUP(Y360/H360,0)*0.02175),"")</f>
        <v>2.61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1856.4</v>
      </c>
      <c r="BN360" s="64">
        <f>IFERROR(Y360*I360/H360,"0")</f>
        <v>1856.4</v>
      </c>
      <c r="BO360" s="64">
        <f>IFERROR(1/J360*(X360/H360),"0")</f>
        <v>2.5</v>
      </c>
      <c r="BP360" s="64">
        <f>IFERROR(1/J360*(Y360/H360),"0")</f>
        <v>2.5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122</v>
      </c>
      <c r="Y362" s="555">
        <f>IFERROR(Y360/H360,"0")+IFERROR(Y361/H361,"0")</f>
        <v>122</v>
      </c>
      <c r="Z362" s="555">
        <f>IFERROR(IF(Z360="",0,Z360),"0")+IFERROR(IF(Z361="",0,Z361),"0")</f>
        <v>2.6280399999999999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1808</v>
      </c>
      <c r="Y363" s="555">
        <f>IFERROR(SUM(Y360:Y361),"0")</f>
        <v>1808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40</v>
      </c>
      <c r="Y375" s="554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3.3333333333333335</v>
      </c>
      <c r="Y377" s="555">
        <f>IFERROR(Y375/H375,"0")+IFERROR(Y376/H376,"0")</f>
        <v>4</v>
      </c>
      <c r="Z377" s="555">
        <f>IFERROR(IF(Z375="",0,Z375),"0")+IFERROR(IF(Z376="",0,Z376),"0")</f>
        <v>7.5920000000000001E-2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40</v>
      </c>
      <c r="Y378" s="555">
        <f>IFERROR(SUM(Y375:Y376),"0")</f>
        <v>48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10.548888888888889</v>
      </c>
      <c r="BN385" s="64">
        <f>IFERROR(Y385*I385/H385,"0")</f>
        <v>18.988</v>
      </c>
      <c r="BO385" s="64">
        <f>IFERROR(1/J385*(X385/H385),"0")</f>
        <v>1.7361111111111112E-2</v>
      </c>
      <c r="BP385" s="64">
        <f>IFERROR(1/J385*(Y385/H385),"0")</f>
        <v>3.125E-2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1.1111111111111112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35</v>
      </c>
      <c r="Y397" s="554">
        <f t="shared" si="41"/>
        <v>35.700000000000003</v>
      </c>
      <c r="Z397" s="36">
        <f t="shared" si="46"/>
        <v>8.5339999999999999E-2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37.166666666666664</v>
      </c>
      <c r="BN397" s="64">
        <f t="shared" si="43"/>
        <v>37.910000000000004</v>
      </c>
      <c r="BO397" s="64">
        <f t="shared" si="44"/>
        <v>7.1225071225071226E-2</v>
      </c>
      <c r="BP397" s="64">
        <f t="shared" si="45"/>
        <v>7.2649572649572655E-2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46.666666666666664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47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0.23593999999999998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98</v>
      </c>
      <c r="Y403" s="555">
        <f>IFERROR(SUM(Y393:Y401),"0")</f>
        <v>98.7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24</v>
      </c>
      <c r="Y423" s="554">
        <f>IFERROR(IF(X423="",0,CEILING((X423/$H423),1)*$H423),"")</f>
        <v>24</v>
      </c>
      <c r="Z423" s="36">
        <f>IFERROR(IF(Y423=0,"",ROUNDUP(Y423/H423,0)*0.00651),"")</f>
        <v>0.13020000000000001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42.000000000000007</v>
      </c>
      <c r="BN423" s="64">
        <f>IFERROR(Y423*I423/H423,"0")</f>
        <v>42.000000000000007</v>
      </c>
      <c r="BO423" s="64">
        <f>IFERROR(1/J423*(X423/H423),"0")</f>
        <v>0.1098901098901099</v>
      </c>
      <c r="BP423" s="64">
        <f>IFERROR(1/J423*(Y423/H423),"0")</f>
        <v>0.1098901098901099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20</v>
      </c>
      <c r="Y424" s="555">
        <f>IFERROR(Y423/H423,"0")</f>
        <v>20</v>
      </c>
      <c r="Z424" s="555">
        <f>IFERROR(IF(Z423="",0,Z423),"0")</f>
        <v>0.13020000000000001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24</v>
      </c>
      <c r="Y425" s="555">
        <f>IFERROR(SUM(Y423:Y423),"0")</f>
        <v>24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70</v>
      </c>
      <c r="Y429" s="554">
        <f t="shared" ref="Y429:Y440" si="47">IFERROR(IF(X429="",0,CEILING((X429/$H429),1)*$H429),"")</f>
        <v>73.92</v>
      </c>
      <c r="Z429" s="36">
        <f t="shared" ref="Z429:Z435" si="48">IFERROR(IF(Y429=0,"",ROUNDUP(Y429/H429,0)*0.01196),"")</f>
        <v>0.16744000000000001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74.640151515151501</v>
      </c>
      <c r="BN429" s="64">
        <f t="shared" ref="BN429:BN440" si="50">IFERROR(Y429*I429/H429,"0")</f>
        <v>78.819999999999993</v>
      </c>
      <c r="BO429" s="64">
        <f t="shared" ref="BO429:BO440" si="51">IFERROR(1/J429*(X429/H429),"0")</f>
        <v>0.12747668997668998</v>
      </c>
      <c r="BP429" s="64">
        <f t="shared" ref="BP429:BP440" si="52">IFERROR(1/J429*(Y429/H429),"0")</f>
        <v>0.13461538461538464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102</v>
      </c>
      <c r="Y437" s="554">
        <f t="shared" si="47"/>
        <v>105.6</v>
      </c>
      <c r="Z437" s="36">
        <f>IFERROR(IF(Y437=0,"",ROUNDUP(Y437/H437,0)*0.00902),"")</f>
        <v>0.19844000000000001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146.83750000000001</v>
      </c>
      <c r="BN437" s="64">
        <f t="shared" si="50"/>
        <v>152.02000000000001</v>
      </c>
      <c r="BO437" s="64">
        <f t="shared" si="51"/>
        <v>0.16098484848484848</v>
      </c>
      <c r="BP437" s="64">
        <f t="shared" si="52"/>
        <v>0.16666666666666669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108</v>
      </c>
      <c r="Y440" s="554">
        <f t="shared" si="47"/>
        <v>110.39999999999999</v>
      </c>
      <c r="Z440" s="36">
        <f>IFERROR(IF(Y440=0,"",ROUNDUP(Y440/H440,0)*0.00902),"")</f>
        <v>0.20746000000000001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155.47499999999999</v>
      </c>
      <c r="BN440" s="64">
        <f t="shared" si="50"/>
        <v>158.92999999999998</v>
      </c>
      <c r="BO440" s="64">
        <f t="shared" si="51"/>
        <v>0.17045454545454547</v>
      </c>
      <c r="BP440" s="64">
        <f t="shared" si="52"/>
        <v>0.17424242424242425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102.46212121212122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1.1234999999999999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520</v>
      </c>
      <c r="Y442" s="555">
        <f>IFERROR(SUM(Y429:Y440),"0")</f>
        <v>532.79999999999995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</v>
      </c>
      <c r="Y452" s="554">
        <f t="shared" si="53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74.640151515151501</v>
      </c>
      <c r="BN452" s="64">
        <f t="shared" si="55"/>
        <v>78.819999999999993</v>
      </c>
      <c r="BO452" s="64">
        <f t="shared" si="56"/>
        <v>0.12747668997668998</v>
      </c>
      <c r="BP452" s="64">
        <f t="shared" si="57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42</v>
      </c>
      <c r="Y453" s="554">
        <f t="shared" si="53"/>
        <v>43.199999999999996</v>
      </c>
      <c r="Z453" s="36">
        <f>IFERROR(IF(Y453=0,"",ROUNDUP(Y453/H453,0)*0.00902),"")</f>
        <v>8.1180000000000002E-2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60.462500000000006</v>
      </c>
      <c r="BN453" s="64">
        <f t="shared" si="55"/>
        <v>62.190000000000005</v>
      </c>
      <c r="BO453" s="64">
        <f t="shared" si="56"/>
        <v>6.6287878787878785E-2</v>
      </c>
      <c r="BP453" s="64">
        <f t="shared" si="57"/>
        <v>6.8181818181818177E-2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57.196969696969695</v>
      </c>
      <c r="Y456" s="555">
        <f>IFERROR(Y450/H450,"0")+IFERROR(Y451/H451,"0")+IFERROR(Y452/H452,"0")+IFERROR(Y453/H453,"0")+IFERROR(Y454/H454,"0")+IFERROR(Y455/H455,"0")</f>
        <v>60</v>
      </c>
      <c r="Z456" s="555">
        <f>IFERROR(IF(Z450="",0,Z450),"0")+IFERROR(IF(Z451="",0,Z451),"0")+IFERROR(IF(Z452="",0,Z452),"0")+IFERROR(IF(Z453="",0,Z453),"0")+IFERROR(IF(Z454="",0,Z454),"0")+IFERROR(IF(Z455="",0,Z455),"0")</f>
        <v>0.64116000000000006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290</v>
      </c>
      <c r="Y457" s="555">
        <f>IFERROR(SUM(Y450:Y455),"0")</f>
        <v>304.31999999999994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1000</v>
      </c>
      <c r="Y482" s="554">
        <f>IFERROR(IF(X482="",0,CEILING((X482/$H482),1)*$H482),"")</f>
        <v>1008</v>
      </c>
      <c r="Z482" s="36">
        <f>IFERROR(IF(Y482=0,"",ROUNDUP(Y482/H482,0)*0.01898),"")</f>
        <v>2.1257600000000001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1054.8888888888889</v>
      </c>
      <c r="BN482" s="64">
        <f>IFERROR(Y482*I482/H482,"0")</f>
        <v>1063.328</v>
      </c>
      <c r="BO482" s="64">
        <f>IFERROR(1/J482*(X482/H482),"0")</f>
        <v>1.7361111111111112</v>
      </c>
      <c r="BP482" s="64">
        <f>IFERROR(1/J482*(Y482/H482),"0")</f>
        <v>1.75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111.11111111111111</v>
      </c>
      <c r="Y483" s="555">
        <f>IFERROR(Y482/H482,"0")</f>
        <v>112</v>
      </c>
      <c r="Z483" s="555">
        <f>IFERROR(IF(Z482="",0,Z482),"0")</f>
        <v>2.1257600000000001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1000</v>
      </c>
      <c r="Y484" s="555">
        <f>IFERROR(SUM(Y482:Y482),"0")</f>
        <v>1008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17484.900000000001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17677.400000000001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18511.905853445191</v>
      </c>
      <c r="Y496" s="555">
        <f>IFERROR(SUM(BN22:BN492),"0")</f>
        <v>18718.333000000006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19261.905853445191</v>
      </c>
      <c r="Y498" s="555">
        <f>GrossWeightTotalR+PalletQtyTotalR*25</f>
        <v>19468.333000000006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3118.2388166324954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3150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34.113700000000001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425.20000000000005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1029.3000000000002</v>
      </c>
      <c r="E505" s="46">
        <f>IFERROR(Y85*1,"0")+IFERROR(Y86*1,"0")+IFERROR(Y87*1,"0")+IFERROR(Y88*1,"0")+IFERROR(Y92*1,"0")+IFERROR(Y93*1,"0")+IFERROR(Y94*1,"0")+IFERROR(Y95*1,"0")</f>
        <v>1214.1000000000001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1209.5999999999999</v>
      </c>
      <c r="G505" s="46">
        <f>IFERROR(Y127*1,"0")+IFERROR(Y128*1,"0")+IFERROR(Y132*1,"0")+IFERROR(Y133*1,"0")+IFERROR(Y137*1,"0")+IFERROR(Y138*1,"0")</f>
        <v>110.80000000000001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506.94000000000005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1551.6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144.09999999999997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665.1</v>
      </c>
      <c r="R505" s="46">
        <f>IFERROR(Y342*1,"0")+IFERROR(Y343*1,"0")+IFERROR(Y344*1,"0")</f>
        <v>842.10000000000014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7652</v>
      </c>
      <c r="T505" s="46">
        <f>IFERROR(Y375*1,"0")+IFERROR(Y376*1,"0")+IFERROR(Y380*1,"0")+IFERROR(Y381*1,"0")+IFERROR(Y385*1,"0")+IFERROR(Y386*1,"0")+IFERROR(Y387*1,"0")</f>
        <v>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98.7</v>
      </c>
      <c r="V505" s="46">
        <f>IFERROR(Y411*1,"0")+IFERROR(Y415*1,"0")+IFERROR(Y416*1,"0")+IFERROR(Y417*1,"0")+IFERROR(Y418*1,"0")</f>
        <v>10.5</v>
      </c>
      <c r="W505" s="46">
        <f>IFERROR(Y423*1,"0")</f>
        <v>24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958.56000000000006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1008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