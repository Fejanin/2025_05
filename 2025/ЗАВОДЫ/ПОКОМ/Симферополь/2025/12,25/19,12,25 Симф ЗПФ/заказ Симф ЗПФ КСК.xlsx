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4F1E049D-7EF2-48C2-901E-49EEF3300B9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1" l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Y270" i="1"/>
  <c r="X270" i="1"/>
  <c r="Z269" i="1"/>
  <c r="X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Y269" i="1" s="1"/>
  <c r="P259" i="1"/>
  <c r="X257" i="1"/>
  <c r="X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BP253" i="1"/>
  <c r="BO253" i="1"/>
  <c r="BN253" i="1"/>
  <c r="BM253" i="1"/>
  <c r="Z253" i="1"/>
  <c r="Z256" i="1" s="1"/>
  <c r="Y253" i="1"/>
  <c r="Y257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Z250" i="1" s="1"/>
  <c r="Y248" i="1"/>
  <c r="P248" i="1"/>
  <c r="X246" i="1"/>
  <c r="X245" i="1"/>
  <c r="BO244" i="1"/>
  <c r="BM244" i="1"/>
  <c r="Z244" i="1"/>
  <c r="Y244" i="1"/>
  <c r="P244" i="1"/>
  <c r="BP243" i="1"/>
  <c r="BO243" i="1"/>
  <c r="BN243" i="1"/>
  <c r="BM243" i="1"/>
  <c r="Z243" i="1"/>
  <c r="Z245" i="1" s="1"/>
  <c r="Y243" i="1"/>
  <c r="P243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P227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7" i="1"/>
  <c r="X216" i="1"/>
  <c r="BP215" i="1"/>
  <c r="BO215" i="1"/>
  <c r="BN215" i="1"/>
  <c r="BM215" i="1"/>
  <c r="Z215" i="1"/>
  <c r="Y215" i="1"/>
  <c r="P215" i="1"/>
  <c r="BO214" i="1"/>
  <c r="BM214" i="1"/>
  <c r="Z214" i="1"/>
  <c r="Y214" i="1"/>
  <c r="P214" i="1"/>
  <c r="Y212" i="1"/>
  <c r="X212" i="1"/>
  <c r="Z211" i="1"/>
  <c r="X211" i="1"/>
  <c r="BO210" i="1"/>
  <c r="BM210" i="1"/>
  <c r="Z210" i="1"/>
  <c r="Y210" i="1"/>
  <c r="P210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X194" i="1"/>
  <c r="Z193" i="1"/>
  <c r="X193" i="1"/>
  <c r="BO192" i="1"/>
  <c r="BM192" i="1"/>
  <c r="Z192" i="1"/>
  <c r="Y192" i="1"/>
  <c r="P192" i="1"/>
  <c r="Y188" i="1"/>
  <c r="X188" i="1"/>
  <c r="Z187" i="1"/>
  <c r="X187" i="1"/>
  <c r="BO186" i="1"/>
  <c r="BM186" i="1"/>
  <c r="Z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Z183" i="1" s="1"/>
  <c r="Y180" i="1"/>
  <c r="Y184" i="1" s="1"/>
  <c r="P180" i="1"/>
  <c r="X176" i="1"/>
  <c r="X175" i="1"/>
  <c r="BP174" i="1"/>
  <c r="BO174" i="1"/>
  <c r="BN174" i="1"/>
  <c r="BM174" i="1"/>
  <c r="Z174" i="1"/>
  <c r="Y174" i="1"/>
  <c r="P174" i="1"/>
  <c r="BO173" i="1"/>
  <c r="BM173" i="1"/>
  <c r="Z173" i="1"/>
  <c r="Z175" i="1" s="1"/>
  <c r="Y173" i="1"/>
  <c r="P173" i="1"/>
  <c r="X169" i="1"/>
  <c r="Z168" i="1"/>
  <c r="X168" i="1"/>
  <c r="BO167" i="1"/>
  <c r="BM167" i="1"/>
  <c r="Z167" i="1"/>
  <c r="Y167" i="1"/>
  <c r="P167" i="1"/>
  <c r="Y164" i="1"/>
  <c r="X164" i="1"/>
  <c r="Z163" i="1"/>
  <c r="X163" i="1"/>
  <c r="BO162" i="1"/>
  <c r="BM162" i="1"/>
  <c r="Z162" i="1"/>
  <c r="Y162" i="1"/>
  <c r="P162" i="1"/>
  <c r="X159" i="1"/>
  <c r="Z158" i="1"/>
  <c r="X158" i="1"/>
  <c r="BO157" i="1"/>
  <c r="BM157" i="1"/>
  <c r="Z157" i="1"/>
  <c r="Y157" i="1"/>
  <c r="P157" i="1"/>
  <c r="Y154" i="1"/>
  <c r="X154" i="1"/>
  <c r="Z153" i="1"/>
  <c r="X153" i="1"/>
  <c r="BO152" i="1"/>
  <c r="BM152" i="1"/>
  <c r="Z152" i="1"/>
  <c r="Y152" i="1"/>
  <c r="P152" i="1"/>
  <c r="X149" i="1"/>
  <c r="X148" i="1"/>
  <c r="BO147" i="1"/>
  <c r="BM147" i="1"/>
  <c r="Z147" i="1"/>
  <c r="Y147" i="1"/>
  <c r="P147" i="1"/>
  <c r="BP146" i="1"/>
  <c r="BO146" i="1"/>
  <c r="BN146" i="1"/>
  <c r="BM146" i="1"/>
  <c r="Z146" i="1"/>
  <c r="Z148" i="1" s="1"/>
  <c r="Y146" i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Y143" i="1" s="1"/>
  <c r="P140" i="1"/>
  <c r="X137" i="1"/>
  <c r="X136" i="1"/>
  <c r="BO135" i="1"/>
  <c r="BM135" i="1"/>
  <c r="Z135" i="1"/>
  <c r="Y135" i="1"/>
  <c r="BP135" i="1" s="1"/>
  <c r="P135" i="1"/>
  <c r="BP134" i="1"/>
  <c r="BO134" i="1"/>
  <c r="BN134" i="1"/>
  <c r="BM134" i="1"/>
  <c r="Z134" i="1"/>
  <c r="Z136" i="1" s="1"/>
  <c r="Y134" i="1"/>
  <c r="Y136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2" i="1" s="1"/>
  <c r="Y113" i="1"/>
  <c r="Y123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71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73" i="1" s="1"/>
  <c r="BM22" i="1"/>
  <c r="X272" i="1" s="1"/>
  <c r="X274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Y28" i="1"/>
  <c r="Y35" i="1"/>
  <c r="Y271" i="1" s="1"/>
  <c r="Y41" i="1"/>
  <c r="Y48" i="1"/>
  <c r="Y57" i="1"/>
  <c r="Y62" i="1"/>
  <c r="Y66" i="1"/>
  <c r="Y70" i="1"/>
  <c r="Y76" i="1"/>
  <c r="Y83" i="1"/>
  <c r="Y88" i="1"/>
  <c r="Y93" i="1"/>
  <c r="Y104" i="1"/>
  <c r="Y109" i="1"/>
  <c r="Y122" i="1"/>
  <c r="Y137" i="1"/>
  <c r="Y142" i="1"/>
  <c r="BP147" i="1"/>
  <c r="BN147" i="1"/>
  <c r="Y158" i="1"/>
  <c r="BP157" i="1"/>
  <c r="BN157" i="1"/>
  <c r="Y168" i="1"/>
  <c r="BP167" i="1"/>
  <c r="BN167" i="1"/>
  <c r="Y193" i="1"/>
  <c r="BP192" i="1"/>
  <c r="BN192" i="1"/>
  <c r="Y206" i="1"/>
  <c r="BP205" i="1"/>
  <c r="BN205" i="1"/>
  <c r="Y217" i="1"/>
  <c r="BP214" i="1"/>
  <c r="BN214" i="1"/>
  <c r="Y216" i="1"/>
  <c r="BP244" i="1"/>
  <c r="BN244" i="1"/>
  <c r="F9" i="1"/>
  <c r="J9" i="1"/>
  <c r="BN22" i="1"/>
  <c r="BP22" i="1"/>
  <c r="BN24" i="1"/>
  <c r="BN26" i="1"/>
  <c r="X275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35" i="1"/>
  <c r="Z142" i="1"/>
  <c r="Z276" i="1" s="1"/>
  <c r="BN140" i="1"/>
  <c r="BP140" i="1"/>
  <c r="Y148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Y183" i="1"/>
  <c r="Y187" i="1"/>
  <c r="BP186" i="1"/>
  <c r="BN186" i="1"/>
  <c r="Y194" i="1"/>
  <c r="Y201" i="1"/>
  <c r="BP196" i="1"/>
  <c r="BN196" i="1"/>
  <c r="BP198" i="1"/>
  <c r="BN198" i="1"/>
  <c r="BP200" i="1"/>
  <c r="BN200" i="1"/>
  <c r="Y207" i="1"/>
  <c r="Y211" i="1"/>
  <c r="BP210" i="1"/>
  <c r="BN210" i="1"/>
  <c r="Z216" i="1"/>
  <c r="Y245" i="1"/>
  <c r="Y246" i="1"/>
  <c r="Y251" i="1"/>
  <c r="BP248" i="1"/>
  <c r="BN248" i="1"/>
  <c r="Y250" i="1"/>
  <c r="BP254" i="1"/>
  <c r="BN254" i="1"/>
  <c r="Y256" i="1"/>
  <c r="BP260" i="1"/>
  <c r="BN260" i="1"/>
  <c r="BP262" i="1"/>
  <c r="BN262" i="1"/>
  <c r="BP264" i="1"/>
  <c r="BN264" i="1"/>
  <c r="BP266" i="1"/>
  <c r="BN266" i="1"/>
  <c r="BP268" i="1"/>
  <c r="BN268" i="1"/>
  <c r="Y273" i="1" l="1"/>
  <c r="Y272" i="1"/>
  <c r="Y274" i="1" s="1"/>
  <c r="Y275" i="1"/>
  <c r="A284" i="1"/>
  <c r="B284" i="1" l="1"/>
  <c r="C284" i="1"/>
</calcChain>
</file>

<file path=xl/sharedStrings.xml><?xml version="1.0" encoding="utf-8"?>
<sst xmlns="http://schemas.openxmlformats.org/spreadsheetml/2006/main" count="1231" uniqueCount="397">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</sst>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98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92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4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topLeftCell="A263" zoomScaleNormal="100" zoomScaleSheetLayoutView="100" workbookViewId="0">
      <selection activeCell="AA277" sqref="AA277"/>
    </sheetView>
  </sheetViews>
  <sheetFormatPr defaultColWidth="9.140625" defaultRowHeight="12.75" x14ac:dyDescent="0.2"/>
  <cols>
    <col min="1" max="1" width="9.140625" style="2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3" customWidth="1"/>
    <col min="19" max="19" width="6.140625" style="2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3" customWidth="1"/>
    <col min="25" max="25" width="11" style="263" customWidth="1"/>
    <col min="26" max="26" width="10" style="263" customWidth="1"/>
    <col min="27" max="27" width="11.5703125" style="263" customWidth="1"/>
    <col min="28" max="28" width="10.42578125" style="263" customWidth="1"/>
    <col min="29" max="29" width="30" style="2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3" customWidth="1"/>
    <col min="34" max="34" width="9.140625" style="263" customWidth="1"/>
    <col min="35" max="16384" width="9.140625" style="263"/>
  </cols>
  <sheetData>
    <row r="1" spans="1:32" s="267" customFormat="1" ht="45" customHeight="1" x14ac:dyDescent="0.2">
      <c r="A1" s="41"/>
      <c r="B1" s="41"/>
      <c r="C1" s="41"/>
      <c r="D1" s="323" t="s">
        <v>0</v>
      </c>
      <c r="E1" s="297"/>
      <c r="F1" s="297"/>
      <c r="G1" s="12" t="s">
        <v>1</v>
      </c>
      <c r="H1" s="323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296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7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6"/>
      <c r="Y2" s="16"/>
      <c r="Z2" s="16"/>
      <c r="AA2" s="16"/>
      <c r="AB2" s="51"/>
      <c r="AC2" s="51"/>
      <c r="AD2" s="51"/>
      <c r="AE2" s="51"/>
    </row>
    <row r="3" spans="1:32" s="267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8"/>
      <c r="Q3" s="288"/>
      <c r="R3" s="288"/>
      <c r="S3" s="288"/>
      <c r="T3" s="288"/>
      <c r="U3" s="288"/>
      <c r="V3" s="288"/>
      <c r="W3" s="288"/>
      <c r="X3" s="16"/>
      <c r="Y3" s="16"/>
      <c r="Z3" s="16"/>
      <c r="AA3" s="16"/>
      <c r="AB3" s="51"/>
      <c r="AC3" s="51"/>
      <c r="AD3" s="51"/>
      <c r="AE3" s="51"/>
    </row>
    <row r="4" spans="1:32" s="26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7" customFormat="1" ht="23.45" customHeight="1" x14ac:dyDescent="0.2">
      <c r="A5" s="352" t="s">
        <v>7</v>
      </c>
      <c r="B5" s="325"/>
      <c r="C5" s="326"/>
      <c r="D5" s="328"/>
      <c r="E5" s="329"/>
      <c r="F5" s="437" t="s">
        <v>8</v>
      </c>
      <c r="G5" s="326"/>
      <c r="H5" s="328"/>
      <c r="I5" s="411"/>
      <c r="J5" s="411"/>
      <c r="K5" s="411"/>
      <c r="L5" s="411"/>
      <c r="M5" s="329"/>
      <c r="N5" s="61"/>
      <c r="P5" s="24" t="s">
        <v>9</v>
      </c>
      <c r="Q5" s="445">
        <v>45996</v>
      </c>
      <c r="R5" s="350"/>
      <c r="T5" s="376" t="s">
        <v>10</v>
      </c>
      <c r="U5" s="301"/>
      <c r="V5" s="377" t="s">
        <v>11</v>
      </c>
      <c r="W5" s="350"/>
      <c r="AB5" s="51"/>
      <c r="AC5" s="51"/>
      <c r="AD5" s="51"/>
      <c r="AE5" s="51"/>
    </row>
    <row r="6" spans="1:32" s="267" customFormat="1" ht="24" customHeight="1" x14ac:dyDescent="0.2">
      <c r="A6" s="352" t="s">
        <v>12</v>
      </c>
      <c r="B6" s="325"/>
      <c r="C6" s="326"/>
      <c r="D6" s="413" t="s">
        <v>13</v>
      </c>
      <c r="E6" s="414"/>
      <c r="F6" s="414"/>
      <c r="G6" s="414"/>
      <c r="H6" s="414"/>
      <c r="I6" s="414"/>
      <c r="J6" s="414"/>
      <c r="K6" s="414"/>
      <c r="L6" s="414"/>
      <c r="M6" s="350"/>
      <c r="N6" s="62"/>
      <c r="P6" s="24" t="s">
        <v>14</v>
      </c>
      <c r="Q6" s="448" t="str">
        <f>IF(Q5=0," ",CHOOSE(WEEKDAY(Q5,2),"Понедельник","Вторник","Среда","Четверг","Пятница","Суббота","Воскресенье"))</f>
        <v>Пятница</v>
      </c>
      <c r="R6" s="275"/>
      <c r="T6" s="381" t="s">
        <v>15</v>
      </c>
      <c r="U6" s="301"/>
      <c r="V6" s="401" t="s">
        <v>16</v>
      </c>
      <c r="W6" s="308"/>
      <c r="AB6" s="51"/>
      <c r="AC6" s="51"/>
      <c r="AD6" s="51"/>
      <c r="AE6" s="51"/>
    </row>
    <row r="7" spans="1:32" s="267" customFormat="1" ht="21.75" hidden="1" customHeight="1" x14ac:dyDescent="0.2">
      <c r="A7" s="55"/>
      <c r="B7" s="55"/>
      <c r="C7" s="55"/>
      <c r="D7" s="311" t="str">
        <f>IFERROR(VLOOKUP(DeliveryAddress,Table,3,0),1)</f>
        <v>1</v>
      </c>
      <c r="E7" s="312"/>
      <c r="F7" s="312"/>
      <c r="G7" s="312"/>
      <c r="H7" s="312"/>
      <c r="I7" s="312"/>
      <c r="J7" s="312"/>
      <c r="K7" s="312"/>
      <c r="L7" s="312"/>
      <c r="M7" s="313"/>
      <c r="N7" s="63"/>
      <c r="P7" s="24"/>
      <c r="Q7" s="42"/>
      <c r="R7" s="42"/>
      <c r="T7" s="288"/>
      <c r="U7" s="301"/>
      <c r="V7" s="402"/>
      <c r="W7" s="403"/>
      <c r="AB7" s="51"/>
      <c r="AC7" s="51"/>
      <c r="AD7" s="51"/>
      <c r="AE7" s="51"/>
    </row>
    <row r="8" spans="1:32" s="267" customFormat="1" ht="25.5" customHeight="1" x14ac:dyDescent="0.2">
      <c r="A8" s="458" t="s">
        <v>17</v>
      </c>
      <c r="B8" s="281"/>
      <c r="C8" s="282"/>
      <c r="D8" s="318" t="s">
        <v>18</v>
      </c>
      <c r="E8" s="319"/>
      <c r="F8" s="319"/>
      <c r="G8" s="319"/>
      <c r="H8" s="319"/>
      <c r="I8" s="319"/>
      <c r="J8" s="319"/>
      <c r="K8" s="319"/>
      <c r="L8" s="319"/>
      <c r="M8" s="320"/>
      <c r="N8" s="64"/>
      <c r="P8" s="24" t="s">
        <v>19</v>
      </c>
      <c r="Q8" s="359">
        <v>0.375</v>
      </c>
      <c r="R8" s="313"/>
      <c r="T8" s="288"/>
      <c r="U8" s="301"/>
      <c r="V8" s="402"/>
      <c r="W8" s="403"/>
      <c r="AB8" s="51"/>
      <c r="AC8" s="51"/>
      <c r="AD8" s="51"/>
      <c r="AE8" s="51"/>
    </row>
    <row r="9" spans="1:32" s="267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8"/>
      <c r="C9" s="288"/>
      <c r="D9" s="362"/>
      <c r="E9" s="284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8"/>
      <c r="H9" s="283" t="str">
        <f>IF(AND($A$9="Тип доверенности/получателя при получении в адресе перегруза:",$D$9="Разовая доверенность"),"Введите ФИО","")</f>
        <v/>
      </c>
      <c r="I9" s="284"/>
      <c r="J9" s="2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4"/>
      <c r="L9" s="284"/>
      <c r="M9" s="284"/>
      <c r="N9" s="268"/>
      <c r="P9" s="26" t="s">
        <v>20</v>
      </c>
      <c r="Q9" s="347"/>
      <c r="R9" s="348"/>
      <c r="T9" s="288"/>
      <c r="U9" s="301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67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8"/>
      <c r="C10" s="288"/>
      <c r="D10" s="362"/>
      <c r="E10" s="284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8"/>
      <c r="H10" s="395" t="str">
        <f>IFERROR(VLOOKUP($D$10,Proxy,2,FALSE),"")</f>
        <v/>
      </c>
      <c r="I10" s="288"/>
      <c r="J10" s="288"/>
      <c r="K10" s="288"/>
      <c r="L10" s="288"/>
      <c r="M10" s="288"/>
      <c r="N10" s="266"/>
      <c r="P10" s="26" t="s">
        <v>21</v>
      </c>
      <c r="Q10" s="382"/>
      <c r="R10" s="383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6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9"/>
      <c r="R11" s="350"/>
      <c r="U11" s="24" t="s">
        <v>26</v>
      </c>
      <c r="V11" s="420" t="s">
        <v>27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7" customFormat="1" ht="18.600000000000001" customHeight="1" x14ac:dyDescent="0.2">
      <c r="A12" s="374" t="s">
        <v>28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  <c r="N12" s="65"/>
      <c r="P12" s="24" t="s">
        <v>29</v>
      </c>
      <c r="Q12" s="359"/>
      <c r="R12" s="313"/>
      <c r="S12" s="23"/>
      <c r="U12" s="24"/>
      <c r="V12" s="297"/>
      <c r="W12" s="288"/>
      <c r="AB12" s="51"/>
      <c r="AC12" s="51"/>
      <c r="AD12" s="51"/>
      <c r="AE12" s="51"/>
    </row>
    <row r="13" spans="1:32" s="267" customFormat="1" ht="23.25" customHeight="1" x14ac:dyDescent="0.2">
      <c r="A13" s="374" t="s">
        <v>30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  <c r="N13" s="65"/>
      <c r="O13" s="26"/>
      <c r="P13" s="26" t="s">
        <v>31</v>
      </c>
      <c r="Q13" s="420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7" customFormat="1" ht="18.600000000000001" customHeight="1" x14ac:dyDescent="0.2">
      <c r="A14" s="374" t="s">
        <v>32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7" customFormat="1" ht="22.5" customHeight="1" x14ac:dyDescent="0.2">
      <c r="A15" s="388" t="s">
        <v>33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  <c r="N15" s="66"/>
      <c r="P15" s="370" t="s">
        <v>34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1" t="s">
        <v>37</v>
      </c>
      <c r="D17" s="304" t="s">
        <v>38</v>
      </c>
      <c r="E17" s="341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0"/>
      <c r="R17" s="340"/>
      <c r="S17" s="340"/>
      <c r="T17" s="341"/>
      <c r="U17" s="455" t="s">
        <v>50</v>
      </c>
      <c r="V17" s="326"/>
      <c r="W17" s="304" t="s">
        <v>51</v>
      </c>
      <c r="X17" s="304" t="s">
        <v>52</v>
      </c>
      <c r="Y17" s="456" t="s">
        <v>53</v>
      </c>
      <c r="Z17" s="409" t="s">
        <v>54</v>
      </c>
      <c r="AA17" s="396" t="s">
        <v>55</v>
      </c>
      <c r="AB17" s="396" t="s">
        <v>56</v>
      </c>
      <c r="AC17" s="396" t="s">
        <v>57</v>
      </c>
      <c r="AD17" s="396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2"/>
      <c r="E18" s="344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2"/>
      <c r="Q18" s="343"/>
      <c r="R18" s="343"/>
      <c r="S18" s="343"/>
      <c r="T18" s="344"/>
      <c r="U18" s="70" t="s">
        <v>60</v>
      </c>
      <c r="V18" s="70" t="s">
        <v>61</v>
      </c>
      <c r="W18" s="305"/>
      <c r="X18" s="305"/>
      <c r="Y18" s="457"/>
      <c r="Z18" s="410"/>
      <c r="AA18" s="397"/>
      <c r="AB18" s="397"/>
      <c r="AC18" s="397"/>
      <c r="AD18" s="434"/>
      <c r="AE18" s="435"/>
      <c r="AF18" s="436"/>
      <c r="AG18" s="69"/>
      <c r="BD18" s="68"/>
    </row>
    <row r="19" spans="1:68" ht="27.75" customHeight="1" x14ac:dyDescent="0.2">
      <c r="A19" s="285" t="s">
        <v>62</v>
      </c>
      <c r="B19" s="286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48"/>
      <c r="AB19" s="48"/>
      <c r="AC19" s="48"/>
    </row>
    <row r="20" spans="1:68" ht="16.5" customHeight="1" x14ac:dyDescent="0.25">
      <c r="A20" s="292" t="s">
        <v>62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65"/>
      <c r="AB20" s="265"/>
      <c r="AC20" s="265"/>
    </row>
    <row r="21" spans="1:68" ht="14.25" customHeight="1" x14ac:dyDescent="0.25">
      <c r="A21" s="303" t="s">
        <v>63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4">
        <v>4607111035912</v>
      </c>
      <c r="E22" s="275"/>
      <c r="F22" s="269">
        <v>0.43</v>
      </c>
      <c r="G22" s="32">
        <v>16</v>
      </c>
      <c r="H22" s="269">
        <v>6.88</v>
      </c>
      <c r="I22" s="269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7"/>
      <c r="R22" s="277"/>
      <c r="S22" s="277"/>
      <c r="T22" s="278"/>
      <c r="U22" s="34"/>
      <c r="V22" s="34"/>
      <c r="W22" s="35" t="s">
        <v>69</v>
      </c>
      <c r="X22" s="270">
        <v>0</v>
      </c>
      <c r="Y22" s="271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4">
        <v>4607111035103</v>
      </c>
      <c r="E23" s="275"/>
      <c r="F23" s="269">
        <v>0.43</v>
      </c>
      <c r="G23" s="32">
        <v>16</v>
      </c>
      <c r="H23" s="269">
        <v>6.88</v>
      </c>
      <c r="I23" s="269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7"/>
      <c r="R23" s="277"/>
      <c r="S23" s="277"/>
      <c r="T23" s="278"/>
      <c r="U23" s="34"/>
      <c r="V23" s="34"/>
      <c r="W23" s="35" t="s">
        <v>69</v>
      </c>
      <c r="X23" s="270">
        <v>0</v>
      </c>
      <c r="Y23" s="271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4">
        <v>4607111035929</v>
      </c>
      <c r="E24" s="275"/>
      <c r="F24" s="269">
        <v>0.9</v>
      </c>
      <c r="G24" s="32">
        <v>8</v>
      </c>
      <c r="H24" s="269">
        <v>7.2</v>
      </c>
      <c r="I24" s="269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7"/>
      <c r="R24" s="277"/>
      <c r="S24" s="277"/>
      <c r="T24" s="278"/>
      <c r="U24" s="34"/>
      <c r="V24" s="34"/>
      <c r="W24" s="35" t="s">
        <v>69</v>
      </c>
      <c r="X24" s="270">
        <v>48</v>
      </c>
      <c r="Y24" s="271">
        <f t="shared" si="0"/>
        <v>48</v>
      </c>
      <c r="Z24" s="36">
        <f t="shared" si="1"/>
        <v>0.74399999999999999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358.56</v>
      </c>
      <c r="BN24" s="67">
        <f t="shared" si="3"/>
        <v>358.56</v>
      </c>
      <c r="BO24" s="67">
        <f t="shared" si="4"/>
        <v>0.5714285714285714</v>
      </c>
      <c r="BP24" s="67">
        <f t="shared" si="5"/>
        <v>0.5714285714285714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4">
        <v>4607111035882</v>
      </c>
      <c r="E25" s="275"/>
      <c r="F25" s="269">
        <v>0.43</v>
      </c>
      <c r="G25" s="32">
        <v>16</v>
      </c>
      <c r="H25" s="269">
        <v>6.88</v>
      </c>
      <c r="I25" s="269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7"/>
      <c r="R25" s="277"/>
      <c r="S25" s="277"/>
      <c r="T25" s="278"/>
      <c r="U25" s="34"/>
      <c r="V25" s="34"/>
      <c r="W25" s="35" t="s">
        <v>69</v>
      </c>
      <c r="X25" s="270">
        <v>0</v>
      </c>
      <c r="Y25" s="271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4">
        <v>4607111035110</v>
      </c>
      <c r="E26" s="275"/>
      <c r="F26" s="269">
        <v>0.9</v>
      </c>
      <c r="G26" s="32">
        <v>8</v>
      </c>
      <c r="H26" s="269">
        <v>7.2</v>
      </c>
      <c r="I26" s="269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6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7"/>
      <c r="R26" s="277"/>
      <c r="S26" s="277"/>
      <c r="T26" s="278"/>
      <c r="U26" s="34"/>
      <c r="V26" s="34"/>
      <c r="W26" s="35" t="s">
        <v>69</v>
      </c>
      <c r="X26" s="270">
        <v>0</v>
      </c>
      <c r="Y26" s="271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4">
        <v>4607111035905</v>
      </c>
      <c r="E27" s="275"/>
      <c r="F27" s="269">
        <v>0.9</v>
      </c>
      <c r="G27" s="32">
        <v>8</v>
      </c>
      <c r="H27" s="269">
        <v>7.2</v>
      </c>
      <c r="I27" s="269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7"/>
      <c r="R27" s="277"/>
      <c r="S27" s="277"/>
      <c r="T27" s="278"/>
      <c r="U27" s="34"/>
      <c r="V27" s="34"/>
      <c r="W27" s="35" t="s">
        <v>69</v>
      </c>
      <c r="X27" s="270">
        <v>0</v>
      </c>
      <c r="Y27" s="271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8"/>
      <c r="C28" s="288"/>
      <c r="D28" s="288"/>
      <c r="E28" s="288"/>
      <c r="F28" s="288"/>
      <c r="G28" s="288"/>
      <c r="H28" s="288"/>
      <c r="I28" s="288"/>
      <c r="J28" s="288"/>
      <c r="K28" s="288"/>
      <c r="L28" s="288"/>
      <c r="M28" s="288"/>
      <c r="N28" s="288"/>
      <c r="O28" s="289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2">
        <f>IFERROR(SUM(X22:X27),"0")</f>
        <v>48</v>
      </c>
      <c r="Y28" s="272">
        <f>IFERROR(SUM(Y22:Y27),"0")</f>
        <v>48</v>
      </c>
      <c r="Z28" s="272">
        <f>IFERROR(IF(Z22="",0,Z22),"0")+IFERROR(IF(Z23="",0,Z23),"0")+IFERROR(IF(Z24="",0,Z24),"0")+IFERROR(IF(Z25="",0,Z25),"0")+IFERROR(IF(Z26="",0,Z26),"0")+IFERROR(IF(Z27="",0,Z27),"0")</f>
        <v>0.74399999999999999</v>
      </c>
      <c r="AA28" s="273"/>
      <c r="AB28" s="273"/>
      <c r="AC28" s="273"/>
    </row>
    <row r="29" spans="1:68" x14ac:dyDescent="0.2">
      <c r="A29" s="288"/>
      <c r="B29" s="288"/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288"/>
      <c r="O29" s="289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2">
        <f>IFERROR(SUMPRODUCT(X22:X27*H22:H27),"0")</f>
        <v>345.6</v>
      </c>
      <c r="Y29" s="272">
        <f>IFERROR(SUMPRODUCT(Y22:Y27*H22:H27),"0")</f>
        <v>345.6</v>
      </c>
      <c r="Z29" s="37"/>
      <c r="AA29" s="273"/>
      <c r="AB29" s="273"/>
      <c r="AC29" s="273"/>
    </row>
    <row r="30" spans="1:68" ht="16.5" customHeight="1" x14ac:dyDescent="0.25">
      <c r="A30" s="292" t="s">
        <v>84</v>
      </c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8"/>
      <c r="U30" s="288"/>
      <c r="V30" s="288"/>
      <c r="W30" s="288"/>
      <c r="X30" s="288"/>
      <c r="Y30" s="288"/>
      <c r="Z30" s="288"/>
      <c r="AA30" s="265"/>
      <c r="AB30" s="265"/>
      <c r="AC30" s="265"/>
    </row>
    <row r="31" spans="1:68" ht="14.25" customHeight="1" x14ac:dyDescent="0.25">
      <c r="A31" s="303" t="s">
        <v>63</v>
      </c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88"/>
      <c r="P31" s="288"/>
      <c r="Q31" s="288"/>
      <c r="R31" s="288"/>
      <c r="S31" s="288"/>
      <c r="T31" s="288"/>
      <c r="U31" s="288"/>
      <c r="V31" s="288"/>
      <c r="W31" s="288"/>
      <c r="X31" s="288"/>
      <c r="Y31" s="288"/>
      <c r="Z31" s="288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4">
        <v>4607111039019</v>
      </c>
      <c r="E32" s="275"/>
      <c r="F32" s="269">
        <v>0.43</v>
      </c>
      <c r="G32" s="32">
        <v>16</v>
      </c>
      <c r="H32" s="269">
        <v>6.88</v>
      </c>
      <c r="I32" s="269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7"/>
      <c r="R32" s="277"/>
      <c r="S32" s="277"/>
      <c r="T32" s="278"/>
      <c r="U32" s="34"/>
      <c r="V32" s="34"/>
      <c r="W32" s="35" t="s">
        <v>69</v>
      </c>
      <c r="X32" s="270">
        <v>0</v>
      </c>
      <c r="Y32" s="271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4">
        <v>4607111038708</v>
      </c>
      <c r="E33" s="275"/>
      <c r="F33" s="269">
        <v>0.8</v>
      </c>
      <c r="G33" s="32">
        <v>8</v>
      </c>
      <c r="H33" s="269">
        <v>6.4</v>
      </c>
      <c r="I33" s="269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7"/>
      <c r="R33" s="277"/>
      <c r="S33" s="277"/>
      <c r="T33" s="278"/>
      <c r="U33" s="34"/>
      <c r="V33" s="34"/>
      <c r="W33" s="35" t="s">
        <v>69</v>
      </c>
      <c r="X33" s="270">
        <v>0</v>
      </c>
      <c r="Y33" s="271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89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2">
        <f>IFERROR(SUM(X32:X33),"0")</f>
        <v>0</v>
      </c>
      <c r="Y34" s="272">
        <f>IFERROR(SUM(Y32:Y33),"0")</f>
        <v>0</v>
      </c>
      <c r="Z34" s="272">
        <f>IFERROR(IF(Z32="",0,Z32),"0")+IFERROR(IF(Z33="",0,Z33),"0")</f>
        <v>0</v>
      </c>
      <c r="AA34" s="273"/>
      <c r="AB34" s="273"/>
      <c r="AC34" s="273"/>
    </row>
    <row r="35" spans="1:68" x14ac:dyDescent="0.2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89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2">
        <f>IFERROR(SUMPRODUCT(X32:X33*H32:H33),"0")</f>
        <v>0</v>
      </c>
      <c r="Y35" s="272">
        <f>IFERROR(SUMPRODUCT(Y32:Y33*H32:H33),"0")</f>
        <v>0</v>
      </c>
      <c r="Z35" s="37"/>
      <c r="AA35" s="273"/>
      <c r="AB35" s="273"/>
      <c r="AC35" s="273"/>
    </row>
    <row r="36" spans="1:68" ht="27.75" customHeight="1" x14ac:dyDescent="0.2">
      <c r="A36" s="285" t="s">
        <v>90</v>
      </c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286"/>
      <c r="U36" s="286"/>
      <c r="V36" s="286"/>
      <c r="W36" s="286"/>
      <c r="X36" s="286"/>
      <c r="Y36" s="286"/>
      <c r="Z36" s="286"/>
      <c r="AA36" s="48"/>
      <c r="AB36" s="48"/>
      <c r="AC36" s="48"/>
    </row>
    <row r="37" spans="1:68" ht="16.5" customHeight="1" x14ac:dyDescent="0.25">
      <c r="A37" s="292" t="s">
        <v>91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65"/>
      <c r="AB37" s="265"/>
      <c r="AC37" s="265"/>
    </row>
    <row r="38" spans="1:68" ht="14.25" customHeight="1" x14ac:dyDescent="0.25">
      <c r="A38" s="303" t="s">
        <v>92</v>
      </c>
      <c r="B38" s="288"/>
      <c r="C38" s="288"/>
      <c r="D38" s="288"/>
      <c r="E38" s="288"/>
      <c r="F38" s="288"/>
      <c r="G38" s="288"/>
      <c r="H38" s="288"/>
      <c r="I38" s="288"/>
      <c r="J38" s="288"/>
      <c r="K38" s="288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4">
        <v>4607111036537</v>
      </c>
      <c r="E39" s="275"/>
      <c r="F39" s="269">
        <v>0.25</v>
      </c>
      <c r="G39" s="32">
        <v>6</v>
      </c>
      <c r="H39" s="269">
        <v>1.5</v>
      </c>
      <c r="I39" s="269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7"/>
      <c r="R39" s="277"/>
      <c r="S39" s="277"/>
      <c r="T39" s="278"/>
      <c r="U39" s="34"/>
      <c r="V39" s="34"/>
      <c r="W39" s="35" t="s">
        <v>69</v>
      </c>
      <c r="X39" s="270">
        <v>154</v>
      </c>
      <c r="Y39" s="271">
        <f>IFERROR(IF(X39="","",X39),"")</f>
        <v>154</v>
      </c>
      <c r="Z39" s="36">
        <f>IFERROR(IF(X39="","",X39*0.00941),"")</f>
        <v>1.4491400000000001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295.9572</v>
      </c>
      <c r="BN39" s="67">
        <f>IFERROR(Y39*I39,"0")</f>
        <v>295.9572</v>
      </c>
      <c r="BO39" s="67">
        <f>IFERROR(X39/J39,"0")</f>
        <v>1.1000000000000001</v>
      </c>
      <c r="BP39" s="67">
        <f>IFERROR(Y39/J39,"0")</f>
        <v>1.1000000000000001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4">
        <v>4607111036605</v>
      </c>
      <c r="E40" s="275"/>
      <c r="F40" s="269">
        <v>0.25</v>
      </c>
      <c r="G40" s="32">
        <v>6</v>
      </c>
      <c r="H40" s="269">
        <v>1.5</v>
      </c>
      <c r="I40" s="269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0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7"/>
      <c r="R40" s="277"/>
      <c r="S40" s="277"/>
      <c r="T40" s="278"/>
      <c r="U40" s="34"/>
      <c r="V40" s="34"/>
      <c r="W40" s="35" t="s">
        <v>69</v>
      </c>
      <c r="X40" s="270">
        <v>0</v>
      </c>
      <c r="Y40" s="271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7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89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2">
        <f>IFERROR(SUM(X39:X40),"0")</f>
        <v>154</v>
      </c>
      <c r="Y41" s="272">
        <f>IFERROR(SUM(Y39:Y40),"0")</f>
        <v>154</v>
      </c>
      <c r="Z41" s="272">
        <f>IFERROR(IF(Z39="",0,Z39),"0")+IFERROR(IF(Z40="",0,Z40),"0")</f>
        <v>1.4491400000000001</v>
      </c>
      <c r="AA41" s="273"/>
      <c r="AB41" s="273"/>
      <c r="AC41" s="273"/>
    </row>
    <row r="42" spans="1:68" x14ac:dyDescent="0.2">
      <c r="A42" s="288"/>
      <c r="B42" s="288"/>
      <c r="C42" s="288"/>
      <c r="D42" s="288"/>
      <c r="E42" s="288"/>
      <c r="F42" s="288"/>
      <c r="G42" s="288"/>
      <c r="H42" s="288"/>
      <c r="I42" s="288"/>
      <c r="J42" s="288"/>
      <c r="K42" s="288"/>
      <c r="L42" s="288"/>
      <c r="M42" s="288"/>
      <c r="N42" s="288"/>
      <c r="O42" s="289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2">
        <f>IFERROR(SUMPRODUCT(X39:X40*H39:H40),"0")</f>
        <v>231</v>
      </c>
      <c r="Y42" s="272">
        <f>IFERROR(SUMPRODUCT(Y39:Y40*H39:H40),"0")</f>
        <v>231</v>
      </c>
      <c r="Z42" s="37"/>
      <c r="AA42" s="273"/>
      <c r="AB42" s="273"/>
      <c r="AC42" s="273"/>
    </row>
    <row r="43" spans="1:68" ht="16.5" customHeight="1" x14ac:dyDescent="0.25">
      <c r="A43" s="292" t="s">
        <v>102</v>
      </c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65"/>
      <c r="AB43" s="265"/>
      <c r="AC43" s="265"/>
    </row>
    <row r="44" spans="1:68" ht="14.25" customHeight="1" x14ac:dyDescent="0.25">
      <c r="A44" s="303" t="s">
        <v>63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4">
        <v>4620207490075</v>
      </c>
      <c r="E45" s="275"/>
      <c r="F45" s="269">
        <v>0.7</v>
      </c>
      <c r="G45" s="32">
        <v>8</v>
      </c>
      <c r="H45" s="269">
        <v>5.6</v>
      </c>
      <c r="I45" s="269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7"/>
      <c r="R45" s="277"/>
      <c r="S45" s="277"/>
      <c r="T45" s="278"/>
      <c r="U45" s="34"/>
      <c r="V45" s="34"/>
      <c r="W45" s="35" t="s">
        <v>69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4">
        <v>4620207490174</v>
      </c>
      <c r="E46" s="275"/>
      <c r="F46" s="269">
        <v>0.7</v>
      </c>
      <c r="G46" s="32">
        <v>8</v>
      </c>
      <c r="H46" s="269">
        <v>5.6</v>
      </c>
      <c r="I46" s="269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7"/>
      <c r="R46" s="277"/>
      <c r="S46" s="277"/>
      <c r="T46" s="278"/>
      <c r="U46" s="34"/>
      <c r="V46" s="34"/>
      <c r="W46" s="35" t="s">
        <v>69</v>
      </c>
      <c r="X46" s="270">
        <v>12</v>
      </c>
      <c r="Y46" s="271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111</v>
      </c>
      <c r="B47" s="54" t="s">
        <v>112</v>
      </c>
      <c r="C47" s="31">
        <v>4301071091</v>
      </c>
      <c r="D47" s="274">
        <v>4620207490044</v>
      </c>
      <c r="E47" s="275"/>
      <c r="F47" s="269">
        <v>0.7</v>
      </c>
      <c r="G47" s="32">
        <v>8</v>
      </c>
      <c r="H47" s="269">
        <v>5.6</v>
      </c>
      <c r="I47" s="269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7"/>
      <c r="R47" s="277"/>
      <c r="S47" s="277"/>
      <c r="T47" s="278"/>
      <c r="U47" s="34"/>
      <c r="V47" s="34"/>
      <c r="W47" s="35" t="s">
        <v>69</v>
      </c>
      <c r="X47" s="270">
        <v>0</v>
      </c>
      <c r="Y47" s="271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7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89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2">
        <f>IFERROR(SUM(X45:X47),"0")</f>
        <v>12</v>
      </c>
      <c r="Y48" s="272">
        <f>IFERROR(SUM(Y45:Y47),"0")</f>
        <v>12</v>
      </c>
      <c r="Z48" s="272">
        <f>IFERROR(IF(Z45="",0,Z45),"0")+IFERROR(IF(Z46="",0,Z46),"0")+IFERROR(IF(Z47="",0,Z47),"0")</f>
        <v>0.186</v>
      </c>
      <c r="AA48" s="273"/>
      <c r="AB48" s="273"/>
      <c r="AC48" s="273"/>
    </row>
    <row r="49" spans="1:68" x14ac:dyDescent="0.2">
      <c r="A49" s="288"/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9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2">
        <f>IFERROR(SUMPRODUCT(X45:X47*H45:H47),"0")</f>
        <v>67.199999999999989</v>
      </c>
      <c r="Y49" s="272">
        <f>IFERROR(SUMPRODUCT(Y45:Y47*H45:H47),"0")</f>
        <v>67.199999999999989</v>
      </c>
      <c r="Z49" s="37"/>
      <c r="AA49" s="273"/>
      <c r="AB49" s="273"/>
      <c r="AC49" s="273"/>
    </row>
    <row r="50" spans="1:68" ht="16.5" customHeight="1" x14ac:dyDescent="0.25">
      <c r="A50" s="292" t="s">
        <v>114</v>
      </c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65"/>
      <c r="AB50" s="265"/>
      <c r="AC50" s="265"/>
    </row>
    <row r="51" spans="1:68" ht="14.25" customHeight="1" x14ac:dyDescent="0.25">
      <c r="A51" s="303" t="s">
        <v>63</v>
      </c>
      <c r="B51" s="288"/>
      <c r="C51" s="288"/>
      <c r="D51" s="288"/>
      <c r="E51" s="288"/>
      <c r="F51" s="288"/>
      <c r="G51" s="288"/>
      <c r="H51" s="288"/>
      <c r="I51" s="288"/>
      <c r="J51" s="288"/>
      <c r="K51" s="288"/>
      <c r="L51" s="288"/>
      <c r="M51" s="288"/>
      <c r="N51" s="288"/>
      <c r="O51" s="288"/>
      <c r="P51" s="288"/>
      <c r="Q51" s="288"/>
      <c r="R51" s="288"/>
      <c r="S51" s="288"/>
      <c r="T51" s="288"/>
      <c r="U51" s="288"/>
      <c r="V51" s="288"/>
      <c r="W51" s="288"/>
      <c r="X51" s="288"/>
      <c r="Y51" s="288"/>
      <c r="Z51" s="288"/>
      <c r="AA51" s="264"/>
      <c r="AB51" s="264"/>
      <c r="AC51" s="264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4">
        <v>4607111039385</v>
      </c>
      <c r="E52" s="275"/>
      <c r="F52" s="269">
        <v>0.7</v>
      </c>
      <c r="G52" s="32">
        <v>10</v>
      </c>
      <c r="H52" s="269">
        <v>7</v>
      </c>
      <c r="I52" s="269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7"/>
      <c r="R52" s="277"/>
      <c r="S52" s="277"/>
      <c r="T52" s="278"/>
      <c r="U52" s="34"/>
      <c r="V52" s="34"/>
      <c r="W52" s="35" t="s">
        <v>69</v>
      </c>
      <c r="X52" s="270">
        <v>36</v>
      </c>
      <c r="Y52" s="271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4">
        <v>4607111038982</v>
      </c>
      <c r="E53" s="275"/>
      <c r="F53" s="269">
        <v>0.7</v>
      </c>
      <c r="G53" s="32">
        <v>10</v>
      </c>
      <c r="H53" s="269">
        <v>7</v>
      </c>
      <c r="I53" s="269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7"/>
      <c r="R53" s="277"/>
      <c r="S53" s="277"/>
      <c r="T53" s="278"/>
      <c r="U53" s="34"/>
      <c r="V53" s="34"/>
      <c r="W53" s="35" t="s">
        <v>69</v>
      </c>
      <c r="X53" s="270">
        <v>84</v>
      </c>
      <c r="Y53" s="271">
        <f>IFERROR(IF(X53="","",X53),"")</f>
        <v>84</v>
      </c>
      <c r="Z53" s="36">
        <f>IFERROR(IF(X53="","",X53*0.0155),"")</f>
        <v>1.302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612.024</v>
      </c>
      <c r="BN53" s="67">
        <f>IFERROR(Y53*I53,"0")</f>
        <v>612.024</v>
      </c>
      <c r="BO53" s="67">
        <f>IFERROR(X53/J53,"0")</f>
        <v>1</v>
      </c>
      <c r="BP53" s="67">
        <f>IFERROR(Y53/J53,"0")</f>
        <v>1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74">
        <v>4607111039354</v>
      </c>
      <c r="E54" s="275"/>
      <c r="F54" s="269">
        <v>0.4</v>
      </c>
      <c r="G54" s="32">
        <v>16</v>
      </c>
      <c r="H54" s="269">
        <v>6.4</v>
      </c>
      <c r="I54" s="269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2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7"/>
      <c r="R54" s="277"/>
      <c r="S54" s="277"/>
      <c r="T54" s="278"/>
      <c r="U54" s="34"/>
      <c r="V54" s="34"/>
      <c r="W54" s="35" t="s">
        <v>69</v>
      </c>
      <c r="X54" s="270">
        <v>12</v>
      </c>
      <c r="Y54" s="271">
        <f>IFERROR(IF(X54="","",X54),"")</f>
        <v>12</v>
      </c>
      <c r="Z54" s="36">
        <f>IFERROR(IF(X54="","",X54*0.0155),"")</f>
        <v>0.186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80.635199999999998</v>
      </c>
      <c r="BN54" s="67">
        <f>IFERROR(Y54*I54,"0")</f>
        <v>80.635199999999998</v>
      </c>
      <c r="BO54" s="67">
        <f>IFERROR(X54/J54,"0")</f>
        <v>0.14285714285714285</v>
      </c>
      <c r="BP54" s="67">
        <f>IFERROR(Y54/J54,"0")</f>
        <v>0.14285714285714285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4">
        <v>4607111039330</v>
      </c>
      <c r="E55" s="275"/>
      <c r="F55" s="269">
        <v>0.7</v>
      </c>
      <c r="G55" s="32">
        <v>10</v>
      </c>
      <c r="H55" s="269">
        <v>7</v>
      </c>
      <c r="I55" s="269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7"/>
      <c r="R55" s="277"/>
      <c r="S55" s="277"/>
      <c r="T55" s="278"/>
      <c r="U55" s="34"/>
      <c r="V55" s="34"/>
      <c r="W55" s="35" t="s">
        <v>69</v>
      </c>
      <c r="X55" s="270">
        <v>60</v>
      </c>
      <c r="Y55" s="271">
        <f>IFERROR(IF(X55="","",X55),"")</f>
        <v>60</v>
      </c>
      <c r="Z55" s="36">
        <f>IFERROR(IF(X55="","",X55*0.0155),"")</f>
        <v>0.92999999999999994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438</v>
      </c>
      <c r="BN55" s="67">
        <f>IFERROR(Y55*I55,"0")</f>
        <v>438</v>
      </c>
      <c r="BO55" s="67">
        <f>IFERROR(X55/J55,"0")</f>
        <v>0.7142857142857143</v>
      </c>
      <c r="BP55" s="67">
        <f>IFERROR(Y55/J55,"0")</f>
        <v>0.7142857142857143</v>
      </c>
    </row>
    <row r="56" spans="1:68" x14ac:dyDescent="0.2">
      <c r="A56" s="287"/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9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2">
        <f>IFERROR(SUM(X52:X55),"0")</f>
        <v>192</v>
      </c>
      <c r="Y56" s="272">
        <f>IFERROR(SUM(Y52:Y55),"0")</f>
        <v>192</v>
      </c>
      <c r="Z56" s="272">
        <f>IFERROR(IF(Z52="",0,Z52),"0")+IFERROR(IF(Z53="",0,Z53),"0")+IFERROR(IF(Z54="",0,Z54),"0")+IFERROR(IF(Z55="",0,Z55),"0")</f>
        <v>2.976</v>
      </c>
      <c r="AA56" s="273"/>
      <c r="AB56" s="273"/>
      <c r="AC56" s="273"/>
    </row>
    <row r="57" spans="1:68" x14ac:dyDescent="0.2">
      <c r="A57" s="288"/>
      <c r="B57" s="288"/>
      <c r="C57" s="288"/>
      <c r="D57" s="288"/>
      <c r="E57" s="288"/>
      <c r="F57" s="288"/>
      <c r="G57" s="288"/>
      <c r="H57" s="288"/>
      <c r="I57" s="288"/>
      <c r="J57" s="288"/>
      <c r="K57" s="288"/>
      <c r="L57" s="288"/>
      <c r="M57" s="288"/>
      <c r="N57" s="288"/>
      <c r="O57" s="289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2">
        <f>IFERROR(SUMPRODUCT(X52:X55*H52:H55),"0")</f>
        <v>1336.8</v>
      </c>
      <c r="Y57" s="272">
        <f>IFERROR(SUMPRODUCT(Y52:Y55*H52:H55),"0")</f>
        <v>1336.8</v>
      </c>
      <c r="Z57" s="37"/>
      <c r="AA57" s="273"/>
      <c r="AB57" s="273"/>
      <c r="AC57" s="273"/>
    </row>
    <row r="58" spans="1:68" ht="16.5" customHeight="1" x14ac:dyDescent="0.25">
      <c r="A58" s="292" t="s">
        <v>125</v>
      </c>
      <c r="B58" s="288"/>
      <c r="C58" s="288"/>
      <c r="D58" s="288"/>
      <c r="E58" s="288"/>
      <c r="F58" s="288"/>
      <c r="G58" s="288"/>
      <c r="H58" s="288"/>
      <c r="I58" s="288"/>
      <c r="J58" s="288"/>
      <c r="K58" s="288"/>
      <c r="L58" s="288"/>
      <c r="M58" s="288"/>
      <c r="N58" s="288"/>
      <c r="O58" s="288"/>
      <c r="P58" s="288"/>
      <c r="Q58" s="288"/>
      <c r="R58" s="288"/>
      <c r="S58" s="288"/>
      <c r="T58" s="288"/>
      <c r="U58" s="288"/>
      <c r="V58" s="288"/>
      <c r="W58" s="288"/>
      <c r="X58" s="288"/>
      <c r="Y58" s="288"/>
      <c r="Z58" s="288"/>
      <c r="AA58" s="265"/>
      <c r="AB58" s="265"/>
      <c r="AC58" s="265"/>
    </row>
    <row r="59" spans="1:68" ht="14.25" customHeight="1" x14ac:dyDescent="0.25">
      <c r="A59" s="303" t="s">
        <v>63</v>
      </c>
      <c r="B59" s="288"/>
      <c r="C59" s="288"/>
      <c r="D59" s="288"/>
      <c r="E59" s="288"/>
      <c r="F59" s="288"/>
      <c r="G59" s="288"/>
      <c r="H59" s="288"/>
      <c r="I59" s="288"/>
      <c r="J59" s="288"/>
      <c r="K59" s="288"/>
      <c r="L59" s="288"/>
      <c r="M59" s="288"/>
      <c r="N59" s="288"/>
      <c r="O59" s="288"/>
      <c r="P59" s="288"/>
      <c r="Q59" s="288"/>
      <c r="R59" s="288"/>
      <c r="S59" s="288"/>
      <c r="T59" s="288"/>
      <c r="U59" s="288"/>
      <c r="V59" s="288"/>
      <c r="W59" s="288"/>
      <c r="X59" s="288"/>
      <c r="Y59" s="288"/>
      <c r="Z59" s="288"/>
      <c r="AA59" s="264"/>
      <c r="AB59" s="264"/>
      <c r="AC59" s="264"/>
    </row>
    <row r="60" spans="1:68" ht="16.5" customHeight="1" x14ac:dyDescent="0.25">
      <c r="A60" s="54" t="s">
        <v>126</v>
      </c>
      <c r="B60" s="54" t="s">
        <v>127</v>
      </c>
      <c r="C60" s="31">
        <v>4301071073</v>
      </c>
      <c r="D60" s="274">
        <v>4620207490822</v>
      </c>
      <c r="E60" s="275"/>
      <c r="F60" s="269">
        <v>0.43</v>
      </c>
      <c r="G60" s="32">
        <v>8</v>
      </c>
      <c r="H60" s="269">
        <v>3.44</v>
      </c>
      <c r="I60" s="269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7"/>
      <c r="R60" s="277"/>
      <c r="S60" s="277"/>
      <c r="T60" s="278"/>
      <c r="U60" s="34"/>
      <c r="V60" s="34"/>
      <c r="W60" s="35" t="s">
        <v>69</v>
      </c>
      <c r="X60" s="270">
        <v>0</v>
      </c>
      <c r="Y60" s="271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89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2">
        <f>IFERROR(SUM(X60:X60),"0")</f>
        <v>0</v>
      </c>
      <c r="Y61" s="272">
        <f>IFERROR(SUM(Y60:Y60),"0")</f>
        <v>0</v>
      </c>
      <c r="Z61" s="272">
        <f>IFERROR(IF(Z60="",0,Z60),"0")</f>
        <v>0</v>
      </c>
      <c r="AA61" s="273"/>
      <c r="AB61" s="273"/>
      <c r="AC61" s="273"/>
    </row>
    <row r="62" spans="1:68" x14ac:dyDescent="0.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89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2">
        <f>IFERROR(SUMPRODUCT(X60:X60*H60:H60),"0")</f>
        <v>0</v>
      </c>
      <c r="Y62" s="272">
        <f>IFERROR(SUMPRODUCT(Y60:Y60*H60:H60),"0")</f>
        <v>0</v>
      </c>
      <c r="Z62" s="37"/>
      <c r="AA62" s="273"/>
      <c r="AB62" s="273"/>
      <c r="AC62" s="273"/>
    </row>
    <row r="63" spans="1:68" ht="14.25" customHeight="1" x14ac:dyDescent="0.25">
      <c r="A63" s="303" t="s">
        <v>92</v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64"/>
      <c r="AB63" s="264"/>
      <c r="AC63" s="264"/>
    </row>
    <row r="64" spans="1:68" ht="27" customHeight="1" x14ac:dyDescent="0.25">
      <c r="A64" s="54" t="s">
        <v>129</v>
      </c>
      <c r="B64" s="54" t="s">
        <v>130</v>
      </c>
      <c r="C64" s="31">
        <v>4301132194</v>
      </c>
      <c r="D64" s="274">
        <v>4607111039712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0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7"/>
      <c r="R64" s="277"/>
      <c r="S64" s="277"/>
      <c r="T64" s="278"/>
      <c r="U64" s="34"/>
      <c r="V64" s="34"/>
      <c r="W64" s="35" t="s">
        <v>69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9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2">
        <f>IFERROR(SUM(X64:X64),"0")</f>
        <v>0</v>
      </c>
      <c r="Y65" s="272">
        <f>IFERROR(SUM(Y64:Y64),"0")</f>
        <v>0</v>
      </c>
      <c r="Z65" s="272">
        <f>IFERROR(IF(Z64="",0,Z64),"0")</f>
        <v>0</v>
      </c>
      <c r="AA65" s="273"/>
      <c r="AB65" s="273"/>
      <c r="AC65" s="273"/>
    </row>
    <row r="66" spans="1:68" x14ac:dyDescent="0.2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9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2">
        <f>IFERROR(SUMPRODUCT(X64:X64*H64:H64),"0")</f>
        <v>0</v>
      </c>
      <c r="Y66" s="272">
        <f>IFERROR(SUMPRODUCT(Y64:Y64*H64:H64),"0")</f>
        <v>0</v>
      </c>
      <c r="Z66" s="37"/>
      <c r="AA66" s="273"/>
      <c r="AB66" s="273"/>
      <c r="AC66" s="273"/>
    </row>
    <row r="67" spans="1:68" ht="14.25" customHeight="1" x14ac:dyDescent="0.25">
      <c r="A67" s="303" t="s">
        <v>132</v>
      </c>
      <c r="B67" s="288"/>
      <c r="C67" s="288"/>
      <c r="D67" s="288"/>
      <c r="E67" s="288"/>
      <c r="F67" s="288"/>
      <c r="G67" s="288"/>
      <c r="H67" s="288"/>
      <c r="I67" s="288"/>
      <c r="J67" s="288"/>
      <c r="K67" s="288"/>
      <c r="L67" s="288"/>
      <c r="M67" s="288"/>
      <c r="N67" s="288"/>
      <c r="O67" s="288"/>
      <c r="P67" s="288"/>
      <c r="Q67" s="288"/>
      <c r="R67" s="288"/>
      <c r="S67" s="288"/>
      <c r="T67" s="288"/>
      <c r="U67" s="288"/>
      <c r="V67" s="288"/>
      <c r="W67" s="288"/>
      <c r="X67" s="288"/>
      <c r="Y67" s="288"/>
      <c r="Z67" s="288"/>
      <c r="AA67" s="264"/>
      <c r="AB67" s="264"/>
      <c r="AC67" s="264"/>
    </row>
    <row r="68" spans="1:68" ht="16.5" customHeight="1" x14ac:dyDescent="0.25">
      <c r="A68" s="54" t="s">
        <v>133</v>
      </c>
      <c r="B68" s="54" t="s">
        <v>134</v>
      </c>
      <c r="C68" s="31">
        <v>4301136018</v>
      </c>
      <c r="D68" s="274">
        <v>4607111037008</v>
      </c>
      <c r="E68" s="275"/>
      <c r="F68" s="269">
        <v>0.36</v>
      </c>
      <c r="G68" s="32">
        <v>4</v>
      </c>
      <c r="H68" s="269">
        <v>1.44</v>
      </c>
      <c r="I68" s="269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7"/>
      <c r="R68" s="277"/>
      <c r="S68" s="277"/>
      <c r="T68" s="278"/>
      <c r="U68" s="34"/>
      <c r="V68" s="34"/>
      <c r="W68" s="35" t="s">
        <v>69</v>
      </c>
      <c r="X68" s="270">
        <v>0</v>
      </c>
      <c r="Y68" s="271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136</v>
      </c>
      <c r="B69" s="54" t="s">
        <v>137</v>
      </c>
      <c r="C69" s="31">
        <v>4301136015</v>
      </c>
      <c r="D69" s="274">
        <v>4607111037398</v>
      </c>
      <c r="E69" s="275"/>
      <c r="F69" s="269">
        <v>0.09</v>
      </c>
      <c r="G69" s="32">
        <v>24</v>
      </c>
      <c r="H69" s="269">
        <v>2.16</v>
      </c>
      <c r="I69" s="269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7"/>
      <c r="R69" s="277"/>
      <c r="S69" s="277"/>
      <c r="T69" s="278"/>
      <c r="U69" s="34"/>
      <c r="V69" s="34"/>
      <c r="W69" s="35" t="s">
        <v>69</v>
      </c>
      <c r="X69" s="270">
        <v>0</v>
      </c>
      <c r="Y69" s="271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9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2">
        <f>IFERROR(SUM(X68:X69),"0")</f>
        <v>0</v>
      </c>
      <c r="Y70" s="272">
        <f>IFERROR(SUM(Y68:Y69),"0")</f>
        <v>0</v>
      </c>
      <c r="Z70" s="272">
        <f>IFERROR(IF(Z68="",0,Z68),"0")+IFERROR(IF(Z69="",0,Z69),"0")</f>
        <v>0</v>
      </c>
      <c r="AA70" s="273"/>
      <c r="AB70" s="273"/>
      <c r="AC70" s="273"/>
    </row>
    <row r="71" spans="1:68" x14ac:dyDescent="0.2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89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2">
        <f>IFERROR(SUMPRODUCT(X68:X69*H68:H69),"0")</f>
        <v>0</v>
      </c>
      <c r="Y71" s="272">
        <f>IFERROR(SUMPRODUCT(Y68:Y69*H68:H69),"0")</f>
        <v>0</v>
      </c>
      <c r="Z71" s="37"/>
      <c r="AA71" s="273"/>
      <c r="AB71" s="273"/>
      <c r="AC71" s="273"/>
    </row>
    <row r="72" spans="1:68" ht="14.25" customHeight="1" x14ac:dyDescent="0.25">
      <c r="A72" s="303" t="s">
        <v>138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64"/>
      <c r="AB72" s="264"/>
      <c r="AC72" s="264"/>
    </row>
    <row r="73" spans="1:68" ht="27" customHeight="1" x14ac:dyDescent="0.25">
      <c r="A73" s="54" t="s">
        <v>139</v>
      </c>
      <c r="B73" s="54" t="s">
        <v>140</v>
      </c>
      <c r="C73" s="31">
        <v>4301135664</v>
      </c>
      <c r="D73" s="274">
        <v>4607111039705</v>
      </c>
      <c r="E73" s="275"/>
      <c r="F73" s="269">
        <v>0.2</v>
      </c>
      <c r="G73" s="32">
        <v>6</v>
      </c>
      <c r="H73" s="269">
        <v>1.2</v>
      </c>
      <c r="I73" s="269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7"/>
      <c r="R73" s="277"/>
      <c r="S73" s="277"/>
      <c r="T73" s="278"/>
      <c r="U73" s="34"/>
      <c r="V73" s="34"/>
      <c r="W73" s="35" t="s">
        <v>69</v>
      </c>
      <c r="X73" s="270">
        <v>0</v>
      </c>
      <c r="Y73" s="271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4">
        <v>4607111039729</v>
      </c>
      <c r="E74" s="275"/>
      <c r="F74" s="269">
        <v>0.2</v>
      </c>
      <c r="G74" s="32">
        <v>6</v>
      </c>
      <c r="H74" s="269">
        <v>1.2</v>
      </c>
      <c r="I74" s="269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7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7"/>
      <c r="R74" s="277"/>
      <c r="S74" s="277"/>
      <c r="T74" s="278"/>
      <c r="U74" s="34"/>
      <c r="V74" s="34"/>
      <c r="W74" s="35" t="s">
        <v>69</v>
      </c>
      <c r="X74" s="270">
        <v>14</v>
      </c>
      <c r="Y74" s="271">
        <f>IFERROR(IF(X74="","",X74),"")</f>
        <v>14</v>
      </c>
      <c r="Z74" s="36">
        <f>IFERROR(IF(X74="","",X74*0.00941),"")</f>
        <v>0.13174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21.84</v>
      </c>
      <c r="BN74" s="67">
        <f>IFERROR(Y74*I74,"0")</f>
        <v>21.84</v>
      </c>
      <c r="BO74" s="67">
        <f>IFERROR(X74/J74,"0")</f>
        <v>0.1</v>
      </c>
      <c r="BP74" s="67">
        <f>IFERROR(Y74/J74,"0")</f>
        <v>0.1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4">
        <v>4620207490228</v>
      </c>
      <c r="E75" s="275"/>
      <c r="F75" s="269">
        <v>0.2</v>
      </c>
      <c r="G75" s="32">
        <v>6</v>
      </c>
      <c r="H75" s="269">
        <v>1.2</v>
      </c>
      <c r="I75" s="269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7"/>
      <c r="R75" s="277"/>
      <c r="S75" s="277"/>
      <c r="T75" s="278"/>
      <c r="U75" s="34"/>
      <c r="V75" s="34"/>
      <c r="W75" s="35" t="s">
        <v>69</v>
      </c>
      <c r="X75" s="270">
        <v>14</v>
      </c>
      <c r="Y75" s="271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87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89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2">
        <f>IFERROR(SUM(X73:X75),"0")</f>
        <v>28</v>
      </c>
      <c r="Y76" s="272">
        <f>IFERROR(SUM(Y73:Y75),"0")</f>
        <v>28</v>
      </c>
      <c r="Z76" s="272">
        <f>IFERROR(IF(Z73="",0,Z73),"0")+IFERROR(IF(Z74="",0,Z74),"0")+IFERROR(IF(Z75="",0,Z75),"0")</f>
        <v>0.26347999999999999</v>
      </c>
      <c r="AA76" s="273"/>
      <c r="AB76" s="273"/>
      <c r="AC76" s="273"/>
    </row>
    <row r="77" spans="1:68" x14ac:dyDescent="0.2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89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2">
        <f>IFERROR(SUMPRODUCT(X73:X75*H73:H75),"0")</f>
        <v>33.6</v>
      </c>
      <c r="Y77" s="272">
        <f>IFERROR(SUMPRODUCT(Y73:Y75*H73:H75),"0")</f>
        <v>33.6</v>
      </c>
      <c r="Z77" s="37"/>
      <c r="AA77" s="273"/>
      <c r="AB77" s="273"/>
      <c r="AC77" s="273"/>
    </row>
    <row r="78" spans="1:68" ht="16.5" customHeight="1" x14ac:dyDescent="0.25">
      <c r="A78" s="292" t="s">
        <v>146</v>
      </c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65"/>
      <c r="AB78" s="265"/>
      <c r="AC78" s="265"/>
    </row>
    <row r="79" spans="1:68" ht="14.25" customHeight="1" x14ac:dyDescent="0.25">
      <c r="A79" s="303" t="s">
        <v>63</v>
      </c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64"/>
      <c r="AB79" s="264"/>
      <c r="AC79" s="264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4">
        <v>4607111037411</v>
      </c>
      <c r="E80" s="275"/>
      <c r="F80" s="269">
        <v>2.7</v>
      </c>
      <c r="G80" s="32">
        <v>1</v>
      </c>
      <c r="H80" s="269">
        <v>2.7</v>
      </c>
      <c r="I80" s="269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0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7"/>
      <c r="R80" s="277"/>
      <c r="S80" s="277"/>
      <c r="T80" s="278"/>
      <c r="U80" s="34"/>
      <c r="V80" s="34"/>
      <c r="W80" s="35" t="s">
        <v>69</v>
      </c>
      <c r="X80" s="270">
        <v>0</v>
      </c>
      <c r="Y80" s="271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4">
        <v>4607111036728</v>
      </c>
      <c r="E81" s="275"/>
      <c r="F81" s="269">
        <v>5</v>
      </c>
      <c r="G81" s="32">
        <v>1</v>
      </c>
      <c r="H81" s="269">
        <v>5</v>
      </c>
      <c r="I81" s="269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7"/>
      <c r="R81" s="277"/>
      <c r="S81" s="277"/>
      <c r="T81" s="278"/>
      <c r="U81" s="34"/>
      <c r="V81" s="34"/>
      <c r="W81" s="35" t="s">
        <v>69</v>
      </c>
      <c r="X81" s="270">
        <v>204</v>
      </c>
      <c r="Y81" s="271">
        <f>IFERROR(IF(X81="","",X81),"")</f>
        <v>204</v>
      </c>
      <c r="Z81" s="36">
        <f>IFERROR(IF(X81="","",X81*0.00866),"")</f>
        <v>1.7666399999999998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1063.4928</v>
      </c>
      <c r="BN81" s="67">
        <f>IFERROR(Y81*I81,"0")</f>
        <v>1063.4928</v>
      </c>
      <c r="BO81" s="67">
        <f>IFERROR(X81/J81,"0")</f>
        <v>1.4166666666666667</v>
      </c>
      <c r="BP81" s="67">
        <f>IFERROR(Y81/J81,"0")</f>
        <v>1.4166666666666667</v>
      </c>
    </row>
    <row r="82" spans="1:68" x14ac:dyDescent="0.2">
      <c r="A82" s="287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89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2">
        <f>IFERROR(SUM(X80:X81),"0")</f>
        <v>204</v>
      </c>
      <c r="Y82" s="272">
        <f>IFERROR(SUM(Y80:Y81),"0")</f>
        <v>204</v>
      </c>
      <c r="Z82" s="272">
        <f>IFERROR(IF(Z80="",0,Z80),"0")+IFERROR(IF(Z81="",0,Z81),"0")</f>
        <v>1.7666399999999998</v>
      </c>
      <c r="AA82" s="273"/>
      <c r="AB82" s="273"/>
      <c r="AC82" s="273"/>
    </row>
    <row r="83" spans="1:68" x14ac:dyDescent="0.2">
      <c r="A83" s="288"/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9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2">
        <f>IFERROR(SUMPRODUCT(X80:X81*H80:H81),"0")</f>
        <v>1020</v>
      </c>
      <c r="Y83" s="272">
        <f>IFERROR(SUMPRODUCT(Y80:Y81*H80:H81),"0")</f>
        <v>1020</v>
      </c>
      <c r="Z83" s="37"/>
      <c r="AA83" s="273"/>
      <c r="AB83" s="273"/>
      <c r="AC83" s="273"/>
    </row>
    <row r="84" spans="1:68" ht="16.5" customHeight="1" x14ac:dyDescent="0.25">
      <c r="A84" s="292" t="s">
        <v>153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65"/>
      <c r="AB84" s="265"/>
      <c r="AC84" s="265"/>
    </row>
    <row r="85" spans="1:68" ht="14.25" customHeight="1" x14ac:dyDescent="0.25">
      <c r="A85" s="303" t="s">
        <v>138</v>
      </c>
      <c r="B85" s="288"/>
      <c r="C85" s="288"/>
      <c r="D85" s="288"/>
      <c r="E85" s="288"/>
      <c r="F85" s="288"/>
      <c r="G85" s="288"/>
      <c r="H85" s="288"/>
      <c r="I85" s="288"/>
      <c r="J85" s="288"/>
      <c r="K85" s="288"/>
      <c r="L85" s="288"/>
      <c r="M85" s="288"/>
      <c r="N85" s="288"/>
      <c r="O85" s="288"/>
      <c r="P85" s="288"/>
      <c r="Q85" s="288"/>
      <c r="R85" s="288"/>
      <c r="S85" s="288"/>
      <c r="T85" s="288"/>
      <c r="U85" s="288"/>
      <c r="V85" s="288"/>
      <c r="W85" s="288"/>
      <c r="X85" s="288"/>
      <c r="Y85" s="288"/>
      <c r="Z85" s="288"/>
      <c r="AA85" s="264"/>
      <c r="AB85" s="264"/>
      <c r="AC85" s="264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4">
        <v>4607111033659</v>
      </c>
      <c r="E86" s="275"/>
      <c r="F86" s="269">
        <v>0.3</v>
      </c>
      <c r="G86" s="32">
        <v>12</v>
      </c>
      <c r="H86" s="269">
        <v>3.6</v>
      </c>
      <c r="I86" s="269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7"/>
      <c r="R86" s="277"/>
      <c r="S86" s="277"/>
      <c r="T86" s="278"/>
      <c r="U86" s="34"/>
      <c r="V86" s="34"/>
      <c r="W86" s="35" t="s">
        <v>69</v>
      </c>
      <c r="X86" s="270">
        <v>14</v>
      </c>
      <c r="Y86" s="271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7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89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2">
        <f>IFERROR(SUM(X86:X86),"0")</f>
        <v>14</v>
      </c>
      <c r="Y87" s="272">
        <f>IFERROR(SUM(Y86:Y86),"0")</f>
        <v>14</v>
      </c>
      <c r="Z87" s="272">
        <f>IFERROR(IF(Z86="",0,Z86),"0")</f>
        <v>0.25031999999999999</v>
      </c>
      <c r="AA87" s="273"/>
      <c r="AB87" s="273"/>
      <c r="AC87" s="273"/>
    </row>
    <row r="88" spans="1:68" x14ac:dyDescent="0.2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9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2">
        <f>IFERROR(SUMPRODUCT(X86:X86*H86:H86),"0")</f>
        <v>50.4</v>
      </c>
      <c r="Y88" s="272">
        <f>IFERROR(SUMPRODUCT(Y86:Y86*H86:H86),"0")</f>
        <v>50.4</v>
      </c>
      <c r="Z88" s="37"/>
      <c r="AA88" s="273"/>
      <c r="AB88" s="273"/>
      <c r="AC88" s="273"/>
    </row>
    <row r="89" spans="1:68" ht="16.5" customHeight="1" x14ac:dyDescent="0.25">
      <c r="A89" s="292" t="s">
        <v>157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65"/>
      <c r="AB89" s="265"/>
      <c r="AC89" s="265"/>
    </row>
    <row r="90" spans="1:68" ht="14.25" customHeight="1" x14ac:dyDescent="0.25">
      <c r="A90" s="303" t="s">
        <v>158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4">
        <v>4607111034120</v>
      </c>
      <c r="E91" s="275"/>
      <c r="F91" s="269">
        <v>0.3</v>
      </c>
      <c r="G91" s="32">
        <v>12</v>
      </c>
      <c r="H91" s="269">
        <v>3.6</v>
      </c>
      <c r="I91" s="269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7"/>
      <c r="R91" s="277"/>
      <c r="S91" s="277"/>
      <c r="T91" s="278"/>
      <c r="U91" s="34"/>
      <c r="V91" s="34"/>
      <c r="W91" s="35" t="s">
        <v>69</v>
      </c>
      <c r="X91" s="270">
        <v>14</v>
      </c>
      <c r="Y91" s="271">
        <f>IFERROR(IF(X91="","",X91),"")</f>
        <v>14</v>
      </c>
      <c r="Z91" s="36">
        <f>IFERROR(IF(X91="","",X91*0.01788),"")</f>
        <v>0.25031999999999999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60.250400000000006</v>
      </c>
      <c r="BN91" s="67">
        <f>IFERROR(Y91*I91,"0")</f>
        <v>60.250400000000006</v>
      </c>
      <c r="BO91" s="67">
        <f>IFERROR(X91/J91,"0")</f>
        <v>0.2</v>
      </c>
      <c r="BP91" s="67">
        <f>IFERROR(Y91/J91,"0")</f>
        <v>0.2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4">
        <v>4607111034137</v>
      </c>
      <c r="E92" s="275"/>
      <c r="F92" s="269">
        <v>0.3</v>
      </c>
      <c r="G92" s="32">
        <v>12</v>
      </c>
      <c r="H92" s="269">
        <v>3.6</v>
      </c>
      <c r="I92" s="269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7"/>
      <c r="R92" s="277"/>
      <c r="S92" s="277"/>
      <c r="T92" s="278"/>
      <c r="U92" s="34"/>
      <c r="V92" s="34"/>
      <c r="W92" s="35" t="s">
        <v>69</v>
      </c>
      <c r="X92" s="270">
        <v>14</v>
      </c>
      <c r="Y92" s="271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x14ac:dyDescent="0.2">
      <c r="A93" s="287"/>
      <c r="B93" s="28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9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2">
        <f>IFERROR(SUM(X91:X92),"0")</f>
        <v>28</v>
      </c>
      <c r="Y93" s="272">
        <f>IFERROR(SUM(Y91:Y92),"0")</f>
        <v>28</v>
      </c>
      <c r="Z93" s="272">
        <f>IFERROR(IF(Z91="",0,Z91),"0")+IFERROR(IF(Z92="",0,Z92),"0")</f>
        <v>0.50063999999999997</v>
      </c>
      <c r="AA93" s="273"/>
      <c r="AB93" s="273"/>
      <c r="AC93" s="273"/>
    </row>
    <row r="94" spans="1:68" x14ac:dyDescent="0.2">
      <c r="A94" s="288"/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9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2">
        <f>IFERROR(SUMPRODUCT(X91:X92*H91:H92),"0")</f>
        <v>100.8</v>
      </c>
      <c r="Y94" s="272">
        <f>IFERROR(SUMPRODUCT(Y91:Y92*H91:H92),"0")</f>
        <v>100.8</v>
      </c>
      <c r="Z94" s="37"/>
      <c r="AA94" s="273"/>
      <c r="AB94" s="273"/>
      <c r="AC94" s="273"/>
    </row>
    <row r="95" spans="1:68" ht="16.5" customHeight="1" x14ac:dyDescent="0.25">
      <c r="A95" s="292" t="s">
        <v>165</v>
      </c>
      <c r="B95" s="288"/>
      <c r="C95" s="288"/>
      <c r="D95" s="288"/>
      <c r="E95" s="288"/>
      <c r="F95" s="288"/>
      <c r="G95" s="288"/>
      <c r="H95" s="288"/>
      <c r="I95" s="288"/>
      <c r="J95" s="288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  <c r="V95" s="288"/>
      <c r="W95" s="288"/>
      <c r="X95" s="288"/>
      <c r="Y95" s="288"/>
      <c r="Z95" s="288"/>
      <c r="AA95" s="265"/>
      <c r="AB95" s="265"/>
      <c r="AC95" s="265"/>
    </row>
    <row r="96" spans="1:68" ht="14.25" customHeight="1" x14ac:dyDescent="0.25">
      <c r="A96" s="303" t="s">
        <v>138</v>
      </c>
      <c r="B96" s="288"/>
      <c r="C96" s="288"/>
      <c r="D96" s="288"/>
      <c r="E96" s="288"/>
      <c r="F96" s="288"/>
      <c r="G96" s="288"/>
      <c r="H96" s="288"/>
      <c r="I96" s="288"/>
      <c r="J96" s="288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  <c r="V96" s="288"/>
      <c r="W96" s="288"/>
      <c r="X96" s="288"/>
      <c r="Y96" s="288"/>
      <c r="Z96" s="288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4">
        <v>4620207491027</v>
      </c>
      <c r="E97" s="275"/>
      <c r="F97" s="269">
        <v>0.24</v>
      </c>
      <c r="G97" s="32">
        <v>12</v>
      </c>
      <c r="H97" s="269">
        <v>2.88</v>
      </c>
      <c r="I97" s="269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3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7"/>
      <c r="R97" s="277"/>
      <c r="S97" s="277"/>
      <c r="T97" s="278"/>
      <c r="U97" s="34"/>
      <c r="V97" s="34"/>
      <c r="W97" s="35" t="s">
        <v>69</v>
      </c>
      <c r="X97" s="270">
        <v>14</v>
      </c>
      <c r="Y97" s="271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4">
        <v>4620207491003</v>
      </c>
      <c r="E98" s="275"/>
      <c r="F98" s="269">
        <v>0.24</v>
      </c>
      <c r="G98" s="32">
        <v>12</v>
      </c>
      <c r="H98" s="269">
        <v>2.88</v>
      </c>
      <c r="I98" s="269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7"/>
      <c r="R98" s="277"/>
      <c r="S98" s="277"/>
      <c r="T98" s="278"/>
      <c r="U98" s="34"/>
      <c r="V98" s="34"/>
      <c r="W98" s="35" t="s">
        <v>69</v>
      </c>
      <c r="X98" s="270">
        <v>56</v>
      </c>
      <c r="Y98" s="271">
        <f t="shared" si="6"/>
        <v>56</v>
      </c>
      <c r="Z98" s="36">
        <f t="shared" si="7"/>
        <v>1.0012799999999999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200.6816</v>
      </c>
      <c r="BN98" s="67">
        <f t="shared" si="9"/>
        <v>200.6816</v>
      </c>
      <c r="BO98" s="67">
        <f t="shared" si="10"/>
        <v>0.8</v>
      </c>
      <c r="BP98" s="67">
        <f t="shared" si="11"/>
        <v>0.8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4">
        <v>4620207491034</v>
      </c>
      <c r="E99" s="275"/>
      <c r="F99" s="269">
        <v>0.24</v>
      </c>
      <c r="G99" s="32">
        <v>12</v>
      </c>
      <c r="H99" s="269">
        <v>2.88</v>
      </c>
      <c r="I99" s="269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7"/>
      <c r="R99" s="277"/>
      <c r="S99" s="277"/>
      <c r="T99" s="278"/>
      <c r="U99" s="34"/>
      <c r="V99" s="34"/>
      <c r="W99" s="35" t="s">
        <v>69</v>
      </c>
      <c r="X99" s="270">
        <v>0</v>
      </c>
      <c r="Y99" s="271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4">
        <v>4620207491010</v>
      </c>
      <c r="E100" s="275"/>
      <c r="F100" s="269">
        <v>0.24</v>
      </c>
      <c r="G100" s="32">
        <v>12</v>
      </c>
      <c r="H100" s="269">
        <v>2.88</v>
      </c>
      <c r="I100" s="269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7"/>
      <c r="R100" s="277"/>
      <c r="S100" s="277"/>
      <c r="T100" s="278"/>
      <c r="U100" s="34"/>
      <c r="V100" s="34"/>
      <c r="W100" s="35" t="s">
        <v>69</v>
      </c>
      <c r="X100" s="270">
        <v>42</v>
      </c>
      <c r="Y100" s="271">
        <f t="shared" si="6"/>
        <v>42</v>
      </c>
      <c r="Z100" s="36">
        <f t="shared" si="7"/>
        <v>0.75095999999999996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4">
        <v>4607111035028</v>
      </c>
      <c r="E101" s="275"/>
      <c r="F101" s="269">
        <v>0.48</v>
      </c>
      <c r="G101" s="32">
        <v>8</v>
      </c>
      <c r="H101" s="269">
        <v>3.84</v>
      </c>
      <c r="I101" s="269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2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7"/>
      <c r="R101" s="277"/>
      <c r="S101" s="277"/>
      <c r="T101" s="278"/>
      <c r="U101" s="34"/>
      <c r="V101" s="34"/>
      <c r="W101" s="35" t="s">
        <v>69</v>
      </c>
      <c r="X101" s="270">
        <v>0</v>
      </c>
      <c r="Y101" s="271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4">
        <v>4607111036407</v>
      </c>
      <c r="E102" s="275"/>
      <c r="F102" s="269">
        <v>0.3</v>
      </c>
      <c r="G102" s="32">
        <v>14</v>
      </c>
      <c r="H102" s="269">
        <v>4.2</v>
      </c>
      <c r="I102" s="269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2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7"/>
      <c r="R102" s="277"/>
      <c r="S102" s="277"/>
      <c r="T102" s="278"/>
      <c r="U102" s="34"/>
      <c r="V102" s="34"/>
      <c r="W102" s="35" t="s">
        <v>69</v>
      </c>
      <c r="X102" s="270">
        <v>0</v>
      </c>
      <c r="Y102" s="271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89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2">
        <f>IFERROR(SUM(X97:X102),"0")</f>
        <v>112</v>
      </c>
      <c r="Y103" s="272">
        <f>IFERROR(SUM(Y97:Y102),"0")</f>
        <v>112</v>
      </c>
      <c r="Z103" s="272">
        <f>IFERROR(IF(Z97="",0,Z97),"0")+IFERROR(IF(Z98="",0,Z98),"0")+IFERROR(IF(Z99="",0,Z99),"0")+IFERROR(IF(Z100="",0,Z100),"0")+IFERROR(IF(Z101="",0,Z101),"0")+IFERROR(IF(Z102="",0,Z102),"0")</f>
        <v>2.0025599999999999</v>
      </c>
      <c r="AA103" s="273"/>
      <c r="AB103" s="273"/>
      <c r="AC103" s="273"/>
    </row>
    <row r="104" spans="1:68" x14ac:dyDescent="0.2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89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2">
        <f>IFERROR(SUMPRODUCT(X97:X102*H97:H102),"0")</f>
        <v>322.56</v>
      </c>
      <c r="Y104" s="272">
        <f>IFERROR(SUMPRODUCT(Y97:Y102*H97:H102),"0")</f>
        <v>322.56</v>
      </c>
      <c r="Z104" s="37"/>
      <c r="AA104" s="273"/>
      <c r="AB104" s="273"/>
      <c r="AC104" s="273"/>
    </row>
    <row r="105" spans="1:68" ht="16.5" customHeight="1" x14ac:dyDescent="0.25">
      <c r="A105" s="292" t="s">
        <v>180</v>
      </c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65"/>
      <c r="AB105" s="265"/>
      <c r="AC105" s="265"/>
    </row>
    <row r="106" spans="1:68" ht="14.25" customHeight="1" x14ac:dyDescent="0.25">
      <c r="A106" s="303" t="s">
        <v>132</v>
      </c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64"/>
      <c r="AB106" s="264"/>
      <c r="AC106" s="264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4">
        <v>4607025784012</v>
      </c>
      <c r="E107" s="275"/>
      <c r="F107" s="269">
        <v>0.09</v>
      </c>
      <c r="G107" s="32">
        <v>24</v>
      </c>
      <c r="H107" s="269">
        <v>2.16</v>
      </c>
      <c r="I107" s="269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2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7"/>
      <c r="R107" s="277"/>
      <c r="S107" s="277"/>
      <c r="T107" s="278"/>
      <c r="U107" s="34"/>
      <c r="V107" s="34"/>
      <c r="W107" s="35" t="s">
        <v>69</v>
      </c>
      <c r="X107" s="270">
        <v>14</v>
      </c>
      <c r="Y107" s="271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4">
        <v>4607025784319</v>
      </c>
      <c r="E108" s="275"/>
      <c r="F108" s="269">
        <v>0.36</v>
      </c>
      <c r="G108" s="32">
        <v>10</v>
      </c>
      <c r="H108" s="269">
        <v>3.6</v>
      </c>
      <c r="I108" s="269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39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7"/>
      <c r="R108" s="277"/>
      <c r="S108" s="277"/>
      <c r="T108" s="278"/>
      <c r="U108" s="34"/>
      <c r="V108" s="34"/>
      <c r="W108" s="35" t="s">
        <v>69</v>
      </c>
      <c r="X108" s="270">
        <v>0</v>
      </c>
      <c r="Y108" s="271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8"/>
      <c r="C109" s="288"/>
      <c r="D109" s="288"/>
      <c r="E109" s="288"/>
      <c r="F109" s="288"/>
      <c r="G109" s="288"/>
      <c r="H109" s="288"/>
      <c r="I109" s="288"/>
      <c r="J109" s="288"/>
      <c r="K109" s="288"/>
      <c r="L109" s="288"/>
      <c r="M109" s="288"/>
      <c r="N109" s="288"/>
      <c r="O109" s="289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2">
        <f>IFERROR(SUM(X107:X108),"0")</f>
        <v>14</v>
      </c>
      <c r="Y109" s="272">
        <f>IFERROR(SUM(Y107:Y108),"0")</f>
        <v>14</v>
      </c>
      <c r="Z109" s="272">
        <f>IFERROR(IF(Z107="",0,Z107),"0")+IFERROR(IF(Z108="",0,Z108),"0")</f>
        <v>0.13103999999999999</v>
      </c>
      <c r="AA109" s="273"/>
      <c r="AB109" s="273"/>
      <c r="AC109" s="273"/>
    </row>
    <row r="110" spans="1:68" x14ac:dyDescent="0.2">
      <c r="A110" s="288"/>
      <c r="B110" s="288"/>
      <c r="C110" s="288"/>
      <c r="D110" s="288"/>
      <c r="E110" s="288"/>
      <c r="F110" s="288"/>
      <c r="G110" s="288"/>
      <c r="H110" s="288"/>
      <c r="I110" s="288"/>
      <c r="J110" s="288"/>
      <c r="K110" s="288"/>
      <c r="L110" s="288"/>
      <c r="M110" s="288"/>
      <c r="N110" s="288"/>
      <c r="O110" s="289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2">
        <f>IFERROR(SUMPRODUCT(X107:X108*H107:H108),"0")</f>
        <v>30.240000000000002</v>
      </c>
      <c r="Y110" s="272">
        <f>IFERROR(SUMPRODUCT(Y107:Y108*H107:H108),"0")</f>
        <v>30.240000000000002</v>
      </c>
      <c r="Z110" s="37"/>
      <c r="AA110" s="273"/>
      <c r="AB110" s="273"/>
      <c r="AC110" s="273"/>
    </row>
    <row r="111" spans="1:68" ht="16.5" customHeight="1" x14ac:dyDescent="0.25">
      <c r="A111" s="292" t="s">
        <v>186</v>
      </c>
      <c r="B111" s="288"/>
      <c r="C111" s="288"/>
      <c r="D111" s="288"/>
      <c r="E111" s="288"/>
      <c r="F111" s="288"/>
      <c r="G111" s="288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288"/>
      <c r="T111" s="288"/>
      <c r="U111" s="288"/>
      <c r="V111" s="288"/>
      <c r="W111" s="288"/>
      <c r="X111" s="288"/>
      <c r="Y111" s="288"/>
      <c r="Z111" s="288"/>
      <c r="AA111" s="265"/>
      <c r="AB111" s="265"/>
      <c r="AC111" s="265"/>
    </row>
    <row r="112" spans="1:68" ht="14.25" customHeight="1" x14ac:dyDescent="0.25">
      <c r="A112" s="303" t="s">
        <v>63</v>
      </c>
      <c r="B112" s="288"/>
      <c r="C112" s="288"/>
      <c r="D112" s="288"/>
      <c r="E112" s="288"/>
      <c r="F112" s="288"/>
      <c r="G112" s="288"/>
      <c r="H112" s="288"/>
      <c r="I112" s="288"/>
      <c r="J112" s="288"/>
      <c r="K112" s="288"/>
      <c r="L112" s="288"/>
      <c r="M112" s="288"/>
      <c r="N112" s="288"/>
      <c r="O112" s="288"/>
      <c r="P112" s="288"/>
      <c r="Q112" s="288"/>
      <c r="R112" s="288"/>
      <c r="S112" s="288"/>
      <c r="T112" s="288"/>
      <c r="U112" s="288"/>
      <c r="V112" s="288"/>
      <c r="W112" s="288"/>
      <c r="X112" s="288"/>
      <c r="Y112" s="288"/>
      <c r="Z112" s="288"/>
      <c r="AA112" s="264"/>
      <c r="AB112" s="264"/>
      <c r="AC112" s="264"/>
    </row>
    <row r="113" spans="1:68" ht="27" customHeight="1" x14ac:dyDescent="0.25">
      <c r="A113" s="54" t="s">
        <v>187</v>
      </c>
      <c r="B113" s="54" t="s">
        <v>188</v>
      </c>
      <c r="C113" s="31">
        <v>4301071121</v>
      </c>
      <c r="D113" s="274">
        <v>4620207491393</v>
      </c>
      <c r="E113" s="275"/>
      <c r="F113" s="269">
        <v>0.4</v>
      </c>
      <c r="G113" s="32">
        <v>16</v>
      </c>
      <c r="H113" s="269">
        <v>6.4</v>
      </c>
      <c r="I113" s="269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7"/>
      <c r="R113" s="277"/>
      <c r="S113" s="277"/>
      <c r="T113" s="278"/>
      <c r="U113" s="34"/>
      <c r="V113" s="34"/>
      <c r="W113" s="35" t="s">
        <v>69</v>
      </c>
      <c r="X113" s="270">
        <v>12</v>
      </c>
      <c r="Y113" s="271">
        <f t="shared" ref="Y113:Y121" si="12">IFERROR(IF(X113="","",X113),"")</f>
        <v>12</v>
      </c>
      <c r="Z113" s="36">
        <f t="shared" ref="Z113:Z121" si="13">IFERROR(IF(X113="","",X113*0.0155),"")</f>
        <v>0.186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1" si="14">IFERROR(X113*I113,"0")</f>
        <v>80.52</v>
      </c>
      <c r="BN113" s="67">
        <f t="shared" ref="BN113:BN121" si="15">IFERROR(Y113*I113,"0")</f>
        <v>80.52</v>
      </c>
      <c r="BO113" s="67">
        <f t="shared" ref="BO113:BO121" si="16">IFERROR(X113/J113,"0")</f>
        <v>0.14285714285714285</v>
      </c>
      <c r="BP113" s="67">
        <f t="shared" ref="BP113:BP121" si="17">IFERROR(Y113/J113,"0")</f>
        <v>0.14285714285714285</v>
      </c>
    </row>
    <row r="114" spans="1:68" ht="27" customHeight="1" x14ac:dyDescent="0.25">
      <c r="A114" s="54" t="s">
        <v>191</v>
      </c>
      <c r="B114" s="54" t="s">
        <v>192</v>
      </c>
      <c r="C114" s="31">
        <v>4301071074</v>
      </c>
      <c r="D114" s="274">
        <v>4620207491157</v>
      </c>
      <c r="E114" s="275"/>
      <c r="F114" s="269">
        <v>0.7</v>
      </c>
      <c r="G114" s="32">
        <v>10</v>
      </c>
      <c r="H114" s="269">
        <v>7</v>
      </c>
      <c r="I114" s="269">
        <v>7.28</v>
      </c>
      <c r="J114" s="32">
        <v>84</v>
      </c>
      <c r="K114" s="32" t="s">
        <v>66</v>
      </c>
      <c r="L114" s="32" t="s">
        <v>108</v>
      </c>
      <c r="M114" s="33" t="s">
        <v>68</v>
      </c>
      <c r="N114" s="33"/>
      <c r="O114" s="32">
        <v>180</v>
      </c>
      <c r="P114" s="42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7"/>
      <c r="R114" s="277"/>
      <c r="S114" s="277"/>
      <c r="T114" s="278"/>
      <c r="U114" s="34"/>
      <c r="V114" s="34"/>
      <c r="W114" s="35" t="s">
        <v>69</v>
      </c>
      <c r="X114" s="270">
        <v>60</v>
      </c>
      <c r="Y114" s="271">
        <f t="shared" si="12"/>
        <v>60</v>
      </c>
      <c r="Z114" s="36">
        <f t="shared" si="13"/>
        <v>0.92999999999999994</v>
      </c>
      <c r="AA114" s="56"/>
      <c r="AB114" s="57"/>
      <c r="AC114" s="148" t="s">
        <v>193</v>
      </c>
      <c r="AG114" s="67"/>
      <c r="AJ114" s="71" t="s">
        <v>110</v>
      </c>
      <c r="AK114" s="71">
        <v>12</v>
      </c>
      <c r="BB114" s="149" t="s">
        <v>1</v>
      </c>
      <c r="BM114" s="67">
        <f t="shared" si="14"/>
        <v>436.8</v>
      </c>
      <c r="BN114" s="67">
        <f t="shared" si="15"/>
        <v>436.8</v>
      </c>
      <c r="BO114" s="67">
        <f t="shared" si="16"/>
        <v>0.7142857142857143</v>
      </c>
      <c r="BP114" s="67">
        <f t="shared" si="17"/>
        <v>0.7142857142857143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4">
        <v>4607111039262</v>
      </c>
      <c r="E115" s="275"/>
      <c r="F115" s="269">
        <v>0.4</v>
      </c>
      <c r="G115" s="32">
        <v>16</v>
      </c>
      <c r="H115" s="269">
        <v>6.4</v>
      </c>
      <c r="I115" s="269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7"/>
      <c r="R115" s="277"/>
      <c r="S115" s="277"/>
      <c r="T115" s="278"/>
      <c r="U115" s="34"/>
      <c r="V115" s="34"/>
      <c r="W115" s="35" t="s">
        <v>69</v>
      </c>
      <c r="X115" s="270">
        <v>36</v>
      </c>
      <c r="Y115" s="271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4">
        <v>4607111039248</v>
      </c>
      <c r="E116" s="275"/>
      <c r="F116" s="269">
        <v>0.7</v>
      </c>
      <c r="G116" s="32">
        <v>10</v>
      </c>
      <c r="H116" s="269">
        <v>7</v>
      </c>
      <c r="I116" s="269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7"/>
      <c r="R116" s="277"/>
      <c r="S116" s="277"/>
      <c r="T116" s="278"/>
      <c r="U116" s="34"/>
      <c r="V116" s="34"/>
      <c r="W116" s="35" t="s">
        <v>69</v>
      </c>
      <c r="X116" s="270">
        <v>120</v>
      </c>
      <c r="Y116" s="271">
        <f t="shared" si="12"/>
        <v>120</v>
      </c>
      <c r="Z116" s="36">
        <f t="shared" si="13"/>
        <v>1.8599999999999999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4">
        <v>4607111037145</v>
      </c>
      <c r="E117" s="275"/>
      <c r="F117" s="269">
        <v>0.8</v>
      </c>
      <c r="G117" s="32">
        <v>8</v>
      </c>
      <c r="H117" s="269">
        <v>6.4</v>
      </c>
      <c r="I117" s="269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7"/>
      <c r="R117" s="277"/>
      <c r="S117" s="277"/>
      <c r="T117" s="278"/>
      <c r="U117" s="34"/>
      <c r="V117" s="34"/>
      <c r="W117" s="35" t="s">
        <v>69</v>
      </c>
      <c r="X117" s="270">
        <v>0</v>
      </c>
      <c r="Y117" s="271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4">
        <v>4607111039293</v>
      </c>
      <c r="E118" s="275"/>
      <c r="F118" s="269">
        <v>0.4</v>
      </c>
      <c r="G118" s="32">
        <v>16</v>
      </c>
      <c r="H118" s="269">
        <v>6.4</v>
      </c>
      <c r="I118" s="269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7"/>
      <c r="R118" s="277"/>
      <c r="S118" s="277"/>
      <c r="T118" s="278"/>
      <c r="U118" s="34"/>
      <c r="V118" s="34"/>
      <c r="W118" s="35" t="s">
        <v>69</v>
      </c>
      <c r="X118" s="270">
        <v>36</v>
      </c>
      <c r="Y118" s="271">
        <f t="shared" si="12"/>
        <v>36</v>
      </c>
      <c r="Z118" s="36">
        <f t="shared" si="13"/>
        <v>0.55800000000000005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241.90559999999999</v>
      </c>
      <c r="BN118" s="67">
        <f t="shared" si="15"/>
        <v>241.90559999999999</v>
      </c>
      <c r="BO118" s="67">
        <f t="shared" si="16"/>
        <v>0.42857142857142855</v>
      </c>
      <c r="BP118" s="67">
        <f t="shared" si="17"/>
        <v>0.42857142857142855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4">
        <v>4607111039279</v>
      </c>
      <c r="E119" s="275"/>
      <c r="F119" s="269">
        <v>0.7</v>
      </c>
      <c r="G119" s="32">
        <v>10</v>
      </c>
      <c r="H119" s="269">
        <v>7</v>
      </c>
      <c r="I119" s="269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7"/>
      <c r="R119" s="277"/>
      <c r="S119" s="277"/>
      <c r="T119" s="278"/>
      <c r="U119" s="34"/>
      <c r="V119" s="34"/>
      <c r="W119" s="35" t="s">
        <v>69</v>
      </c>
      <c r="X119" s="270">
        <v>120</v>
      </c>
      <c r="Y119" s="271">
        <f t="shared" si="12"/>
        <v>120</v>
      </c>
      <c r="Z119" s="36">
        <f t="shared" si="13"/>
        <v>1.8599999999999999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876</v>
      </c>
      <c r="BN119" s="67">
        <f t="shared" si="15"/>
        <v>876</v>
      </c>
      <c r="BO119" s="67">
        <f t="shared" si="16"/>
        <v>1.4285714285714286</v>
      </c>
      <c r="BP119" s="67">
        <f t="shared" si="17"/>
        <v>1.4285714285714286</v>
      </c>
    </row>
    <row r="120" spans="1:68" ht="27" customHeight="1" x14ac:dyDescent="0.25">
      <c r="A120" s="54" t="s">
        <v>205</v>
      </c>
      <c r="B120" s="54" t="s">
        <v>206</v>
      </c>
      <c r="C120" s="31">
        <v>4301070978</v>
      </c>
      <c r="D120" s="274">
        <v>4607111037435</v>
      </c>
      <c r="E120" s="275"/>
      <c r="F120" s="269">
        <v>0.8</v>
      </c>
      <c r="G120" s="32">
        <v>8</v>
      </c>
      <c r="H120" s="269">
        <v>6.4</v>
      </c>
      <c r="I120" s="269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7"/>
      <c r="R120" s="277"/>
      <c r="S120" s="277"/>
      <c r="T120" s="278"/>
      <c r="U120" s="34"/>
      <c r="V120" s="34"/>
      <c r="W120" s="35" t="s">
        <v>69</v>
      </c>
      <c r="X120" s="270">
        <v>0</v>
      </c>
      <c r="Y120" s="271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208</v>
      </c>
      <c r="B121" s="54" t="s">
        <v>209</v>
      </c>
      <c r="C121" s="31">
        <v>4301071075</v>
      </c>
      <c r="D121" s="274">
        <v>4620207491102</v>
      </c>
      <c r="E121" s="275"/>
      <c r="F121" s="269">
        <v>0.7</v>
      </c>
      <c r="G121" s="32">
        <v>10</v>
      </c>
      <c r="H121" s="269">
        <v>7</v>
      </c>
      <c r="I121" s="269">
        <v>7.23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2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277"/>
      <c r="R121" s="277"/>
      <c r="S121" s="277"/>
      <c r="T121" s="278"/>
      <c r="U121" s="34"/>
      <c r="V121" s="34"/>
      <c r="W121" s="35" t="s">
        <v>69</v>
      </c>
      <c r="X121" s="270">
        <v>60</v>
      </c>
      <c r="Y121" s="271">
        <f t="shared" si="12"/>
        <v>60</v>
      </c>
      <c r="Z121" s="36">
        <f t="shared" si="13"/>
        <v>0.92999999999999994</v>
      </c>
      <c r="AA121" s="56"/>
      <c r="AB121" s="57"/>
      <c r="AC121" s="162" t="s">
        <v>210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433.8</v>
      </c>
      <c r="BN121" s="67">
        <f t="shared" si="15"/>
        <v>433.8</v>
      </c>
      <c r="BO121" s="67">
        <f t="shared" si="16"/>
        <v>0.7142857142857143</v>
      </c>
      <c r="BP121" s="67">
        <f t="shared" si="17"/>
        <v>0.7142857142857143</v>
      </c>
    </row>
    <row r="122" spans="1:68" x14ac:dyDescent="0.2">
      <c r="A122" s="287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89"/>
      <c r="P122" s="280" t="s">
        <v>82</v>
      </c>
      <c r="Q122" s="281"/>
      <c r="R122" s="281"/>
      <c r="S122" s="281"/>
      <c r="T122" s="281"/>
      <c r="U122" s="281"/>
      <c r="V122" s="282"/>
      <c r="W122" s="37" t="s">
        <v>69</v>
      </c>
      <c r="X122" s="272">
        <f>IFERROR(SUM(X113:X121),"0")</f>
        <v>444</v>
      </c>
      <c r="Y122" s="272">
        <f>IFERROR(SUM(Y113:Y121),"0")</f>
        <v>444</v>
      </c>
      <c r="Z122" s="272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6.8819999999999997</v>
      </c>
      <c r="AA122" s="273"/>
      <c r="AB122" s="273"/>
      <c r="AC122" s="273"/>
    </row>
    <row r="123" spans="1:68" x14ac:dyDescent="0.2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89"/>
      <c r="P123" s="280" t="s">
        <v>82</v>
      </c>
      <c r="Q123" s="281"/>
      <c r="R123" s="281"/>
      <c r="S123" s="281"/>
      <c r="T123" s="281"/>
      <c r="U123" s="281"/>
      <c r="V123" s="282"/>
      <c r="W123" s="37" t="s">
        <v>83</v>
      </c>
      <c r="X123" s="272">
        <f>IFERROR(SUMPRODUCT(X113:X121*H113:H121),"0")</f>
        <v>3057.6000000000004</v>
      </c>
      <c r="Y123" s="272">
        <f>IFERROR(SUMPRODUCT(Y113:Y121*H113:H121),"0")</f>
        <v>3057.6000000000004</v>
      </c>
      <c r="Z123" s="37"/>
      <c r="AA123" s="273"/>
      <c r="AB123" s="273"/>
      <c r="AC123" s="273"/>
    </row>
    <row r="124" spans="1:68" ht="14.25" customHeight="1" x14ac:dyDescent="0.25">
      <c r="A124" s="303" t="s">
        <v>138</v>
      </c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64"/>
      <c r="AB124" s="264"/>
      <c r="AC124" s="264"/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74">
        <v>4620207490983</v>
      </c>
      <c r="E125" s="275"/>
      <c r="F125" s="269">
        <v>0.22</v>
      </c>
      <c r="G125" s="32">
        <v>12</v>
      </c>
      <c r="H125" s="269">
        <v>2.64</v>
      </c>
      <c r="I125" s="269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1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7"/>
      <c r="R125" s="277"/>
      <c r="S125" s="277"/>
      <c r="T125" s="278"/>
      <c r="U125" s="34"/>
      <c r="V125" s="34"/>
      <c r="W125" s="35" t="s">
        <v>69</v>
      </c>
      <c r="X125" s="270">
        <v>0</v>
      </c>
      <c r="Y125" s="271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87"/>
      <c r="B126" s="288"/>
      <c r="C126" s="288"/>
      <c r="D126" s="288"/>
      <c r="E126" s="288"/>
      <c r="F126" s="288"/>
      <c r="G126" s="288"/>
      <c r="H126" s="288"/>
      <c r="I126" s="288"/>
      <c r="J126" s="288"/>
      <c r="K126" s="288"/>
      <c r="L126" s="288"/>
      <c r="M126" s="288"/>
      <c r="N126" s="288"/>
      <c r="O126" s="289"/>
      <c r="P126" s="280" t="s">
        <v>82</v>
      </c>
      <c r="Q126" s="281"/>
      <c r="R126" s="281"/>
      <c r="S126" s="281"/>
      <c r="T126" s="281"/>
      <c r="U126" s="281"/>
      <c r="V126" s="282"/>
      <c r="W126" s="37" t="s">
        <v>69</v>
      </c>
      <c r="X126" s="272">
        <f>IFERROR(SUM(X125:X125),"0")</f>
        <v>0</v>
      </c>
      <c r="Y126" s="272">
        <f>IFERROR(SUM(Y125:Y125),"0")</f>
        <v>0</v>
      </c>
      <c r="Z126" s="272">
        <f>IFERROR(IF(Z125="",0,Z125),"0")</f>
        <v>0</v>
      </c>
      <c r="AA126" s="273"/>
      <c r="AB126" s="273"/>
      <c r="AC126" s="273"/>
    </row>
    <row r="127" spans="1:68" x14ac:dyDescent="0.2">
      <c r="A127" s="28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89"/>
      <c r="P127" s="280" t="s">
        <v>82</v>
      </c>
      <c r="Q127" s="281"/>
      <c r="R127" s="281"/>
      <c r="S127" s="281"/>
      <c r="T127" s="281"/>
      <c r="U127" s="281"/>
      <c r="V127" s="282"/>
      <c r="W127" s="37" t="s">
        <v>83</v>
      </c>
      <c r="X127" s="272">
        <f>IFERROR(SUMPRODUCT(X125:X125*H125:H125),"0")</f>
        <v>0</v>
      </c>
      <c r="Y127" s="272">
        <f>IFERROR(SUMPRODUCT(Y125:Y125*H125:H125),"0")</f>
        <v>0</v>
      </c>
      <c r="Z127" s="37"/>
      <c r="AA127" s="273"/>
      <c r="AB127" s="273"/>
      <c r="AC127" s="273"/>
    </row>
    <row r="128" spans="1:68" ht="14.25" customHeight="1" x14ac:dyDescent="0.25">
      <c r="A128" s="303" t="s">
        <v>214</v>
      </c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64"/>
      <c r="AB128" s="264"/>
      <c r="AC128" s="264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74">
        <v>4620207491140</v>
      </c>
      <c r="E129" s="275"/>
      <c r="F129" s="269">
        <v>0.6</v>
      </c>
      <c r="G129" s="32">
        <v>10</v>
      </c>
      <c r="H129" s="269">
        <v>6</v>
      </c>
      <c r="I129" s="269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7"/>
      <c r="R129" s="277"/>
      <c r="S129" s="277"/>
      <c r="T129" s="278"/>
      <c r="U129" s="34"/>
      <c r="V129" s="34"/>
      <c r="W129" s="35" t="s">
        <v>69</v>
      </c>
      <c r="X129" s="270">
        <v>12</v>
      </c>
      <c r="Y129" s="271">
        <f>IFERROR(IF(X129="","",X129),"")</f>
        <v>12</v>
      </c>
      <c r="Z129" s="36">
        <f>IFERROR(IF(X129="","",X129*0.0155),"")</f>
        <v>0.186</v>
      </c>
      <c r="AA129" s="56"/>
      <c r="AB129" s="57"/>
      <c r="AC129" s="166" t="s">
        <v>217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75.36</v>
      </c>
      <c r="BN129" s="67">
        <f>IFERROR(Y129*I129,"0")</f>
        <v>75.36</v>
      </c>
      <c r="BO129" s="67">
        <f>IFERROR(X129/J129,"0")</f>
        <v>0.14285714285714285</v>
      </c>
      <c r="BP129" s="67">
        <f>IFERROR(Y129/J129,"0")</f>
        <v>0.14285714285714285</v>
      </c>
    </row>
    <row r="130" spans="1:68" x14ac:dyDescent="0.2">
      <c r="A130" s="287"/>
      <c r="B130" s="288"/>
      <c r="C130" s="288"/>
      <c r="D130" s="288"/>
      <c r="E130" s="288"/>
      <c r="F130" s="288"/>
      <c r="G130" s="288"/>
      <c r="H130" s="288"/>
      <c r="I130" s="288"/>
      <c r="J130" s="288"/>
      <c r="K130" s="288"/>
      <c r="L130" s="288"/>
      <c r="M130" s="288"/>
      <c r="N130" s="288"/>
      <c r="O130" s="289"/>
      <c r="P130" s="280" t="s">
        <v>82</v>
      </c>
      <c r="Q130" s="281"/>
      <c r="R130" s="281"/>
      <c r="S130" s="281"/>
      <c r="T130" s="281"/>
      <c r="U130" s="281"/>
      <c r="V130" s="282"/>
      <c r="W130" s="37" t="s">
        <v>69</v>
      </c>
      <c r="X130" s="272">
        <f>IFERROR(SUM(X129:X129),"0")</f>
        <v>12</v>
      </c>
      <c r="Y130" s="272">
        <f>IFERROR(SUM(Y129:Y129),"0")</f>
        <v>12</v>
      </c>
      <c r="Z130" s="272">
        <f>IFERROR(IF(Z129="",0,Z129),"0")</f>
        <v>0.186</v>
      </c>
      <c r="AA130" s="273"/>
      <c r="AB130" s="273"/>
      <c r="AC130" s="273"/>
    </row>
    <row r="131" spans="1:68" x14ac:dyDescent="0.2">
      <c r="A131" s="288"/>
      <c r="B131" s="288"/>
      <c r="C131" s="288"/>
      <c r="D131" s="288"/>
      <c r="E131" s="288"/>
      <c r="F131" s="288"/>
      <c r="G131" s="288"/>
      <c r="H131" s="288"/>
      <c r="I131" s="288"/>
      <c r="J131" s="288"/>
      <c r="K131" s="288"/>
      <c r="L131" s="288"/>
      <c r="M131" s="288"/>
      <c r="N131" s="288"/>
      <c r="O131" s="289"/>
      <c r="P131" s="280" t="s">
        <v>82</v>
      </c>
      <c r="Q131" s="281"/>
      <c r="R131" s="281"/>
      <c r="S131" s="281"/>
      <c r="T131" s="281"/>
      <c r="U131" s="281"/>
      <c r="V131" s="282"/>
      <c r="W131" s="37" t="s">
        <v>83</v>
      </c>
      <c r="X131" s="272">
        <f>IFERROR(SUMPRODUCT(X129:X129*H129:H129),"0")</f>
        <v>72</v>
      </c>
      <c r="Y131" s="272">
        <f>IFERROR(SUMPRODUCT(Y129:Y129*H129:H129),"0")</f>
        <v>72</v>
      </c>
      <c r="Z131" s="37"/>
      <c r="AA131" s="273"/>
      <c r="AB131" s="273"/>
      <c r="AC131" s="273"/>
    </row>
    <row r="132" spans="1:68" ht="16.5" customHeight="1" x14ac:dyDescent="0.25">
      <c r="A132" s="292" t="s">
        <v>218</v>
      </c>
      <c r="B132" s="288"/>
      <c r="C132" s="288"/>
      <c r="D132" s="288"/>
      <c r="E132" s="288"/>
      <c r="F132" s="288"/>
      <c r="G132" s="288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288"/>
      <c r="T132" s="288"/>
      <c r="U132" s="288"/>
      <c r="V132" s="288"/>
      <c r="W132" s="288"/>
      <c r="X132" s="288"/>
      <c r="Y132" s="288"/>
      <c r="Z132" s="288"/>
      <c r="AA132" s="265"/>
      <c r="AB132" s="265"/>
      <c r="AC132" s="265"/>
    </row>
    <row r="133" spans="1:68" ht="14.25" customHeight="1" x14ac:dyDescent="0.25">
      <c r="A133" s="303" t="s">
        <v>138</v>
      </c>
      <c r="B133" s="288"/>
      <c r="C133" s="288"/>
      <c r="D133" s="288"/>
      <c r="E133" s="288"/>
      <c r="F133" s="288"/>
      <c r="G133" s="288"/>
      <c r="H133" s="288"/>
      <c r="I133" s="288"/>
      <c r="J133" s="288"/>
      <c r="K133" s="288"/>
      <c r="L133" s="288"/>
      <c r="M133" s="288"/>
      <c r="N133" s="288"/>
      <c r="O133" s="288"/>
      <c r="P133" s="288"/>
      <c r="Q133" s="288"/>
      <c r="R133" s="288"/>
      <c r="S133" s="288"/>
      <c r="T133" s="288"/>
      <c r="U133" s="288"/>
      <c r="V133" s="288"/>
      <c r="W133" s="288"/>
      <c r="X133" s="288"/>
      <c r="Y133" s="288"/>
      <c r="Z133" s="288"/>
      <c r="AA133" s="264"/>
      <c r="AB133" s="264"/>
      <c r="AC133" s="264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4">
        <v>4607111034014</v>
      </c>
      <c r="E134" s="275"/>
      <c r="F134" s="269">
        <v>0.25</v>
      </c>
      <c r="G134" s="32">
        <v>12</v>
      </c>
      <c r="H134" s="269">
        <v>3</v>
      </c>
      <c r="I134" s="269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7"/>
      <c r="R134" s="277"/>
      <c r="S134" s="277"/>
      <c r="T134" s="278"/>
      <c r="U134" s="34"/>
      <c r="V134" s="34"/>
      <c r="W134" s="35" t="s">
        <v>69</v>
      </c>
      <c r="X134" s="270">
        <v>56</v>
      </c>
      <c r="Y134" s="271">
        <f>IFERROR(IF(X134="","",X134),"")</f>
        <v>56</v>
      </c>
      <c r="Z134" s="36">
        <f>IFERROR(IF(X134="","",X134*0.01788),"")</f>
        <v>1.0012799999999999</v>
      </c>
      <c r="AA134" s="56"/>
      <c r="AB134" s="57"/>
      <c r="AC134" s="168" t="s">
        <v>221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207.40159999999997</v>
      </c>
      <c r="BN134" s="67">
        <f>IFERROR(Y134*I134,"0")</f>
        <v>207.40159999999997</v>
      </c>
      <c r="BO134" s="67">
        <f>IFERROR(X134/J134,"0")</f>
        <v>0.8</v>
      </c>
      <c r="BP134" s="67">
        <f>IFERROR(Y134/J134,"0")</f>
        <v>0.8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4">
        <v>4607111033994</v>
      </c>
      <c r="E135" s="275"/>
      <c r="F135" s="269">
        <v>0.25</v>
      </c>
      <c r="G135" s="32">
        <v>12</v>
      </c>
      <c r="H135" s="269">
        <v>3</v>
      </c>
      <c r="I135" s="269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7"/>
      <c r="R135" s="277"/>
      <c r="S135" s="277"/>
      <c r="T135" s="278"/>
      <c r="U135" s="34"/>
      <c r="V135" s="34"/>
      <c r="W135" s="35" t="s">
        <v>69</v>
      </c>
      <c r="X135" s="270">
        <v>98</v>
      </c>
      <c r="Y135" s="271">
        <f>IFERROR(IF(X135="","",X135),"")</f>
        <v>98</v>
      </c>
      <c r="Z135" s="36">
        <f>IFERROR(IF(X135="","",X135*0.01788),"")</f>
        <v>1.75224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362.95279999999997</v>
      </c>
      <c r="BN135" s="67">
        <f>IFERROR(Y135*I135,"0")</f>
        <v>362.95279999999997</v>
      </c>
      <c r="BO135" s="67">
        <f>IFERROR(X135/J135,"0")</f>
        <v>1.4</v>
      </c>
      <c r="BP135" s="67">
        <f>IFERROR(Y135/J135,"0")</f>
        <v>1.4</v>
      </c>
    </row>
    <row r="136" spans="1:68" x14ac:dyDescent="0.2">
      <c r="A136" s="287"/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9"/>
      <c r="P136" s="280" t="s">
        <v>82</v>
      </c>
      <c r="Q136" s="281"/>
      <c r="R136" s="281"/>
      <c r="S136" s="281"/>
      <c r="T136" s="281"/>
      <c r="U136" s="281"/>
      <c r="V136" s="282"/>
      <c r="W136" s="37" t="s">
        <v>69</v>
      </c>
      <c r="X136" s="272">
        <f>IFERROR(SUM(X134:X135),"0")</f>
        <v>154</v>
      </c>
      <c r="Y136" s="272">
        <f>IFERROR(SUM(Y134:Y135),"0")</f>
        <v>154</v>
      </c>
      <c r="Z136" s="272">
        <f>IFERROR(IF(Z134="",0,Z134),"0")+IFERROR(IF(Z135="",0,Z135),"0")</f>
        <v>2.75352</v>
      </c>
      <c r="AA136" s="273"/>
      <c r="AB136" s="273"/>
      <c r="AC136" s="273"/>
    </row>
    <row r="137" spans="1:68" x14ac:dyDescent="0.2">
      <c r="A137" s="288"/>
      <c r="B137" s="288"/>
      <c r="C137" s="288"/>
      <c r="D137" s="288"/>
      <c r="E137" s="288"/>
      <c r="F137" s="288"/>
      <c r="G137" s="288"/>
      <c r="H137" s="288"/>
      <c r="I137" s="288"/>
      <c r="J137" s="288"/>
      <c r="K137" s="288"/>
      <c r="L137" s="288"/>
      <c r="M137" s="288"/>
      <c r="N137" s="288"/>
      <c r="O137" s="289"/>
      <c r="P137" s="280" t="s">
        <v>82</v>
      </c>
      <c r="Q137" s="281"/>
      <c r="R137" s="281"/>
      <c r="S137" s="281"/>
      <c r="T137" s="281"/>
      <c r="U137" s="281"/>
      <c r="V137" s="282"/>
      <c r="W137" s="37" t="s">
        <v>83</v>
      </c>
      <c r="X137" s="272">
        <f>IFERROR(SUMPRODUCT(X134:X135*H134:H135),"0")</f>
        <v>462</v>
      </c>
      <c r="Y137" s="272">
        <f>IFERROR(SUMPRODUCT(Y134:Y135*H134:H135),"0")</f>
        <v>462</v>
      </c>
      <c r="Z137" s="37"/>
      <c r="AA137" s="273"/>
      <c r="AB137" s="273"/>
      <c r="AC137" s="273"/>
    </row>
    <row r="138" spans="1:68" ht="16.5" customHeight="1" x14ac:dyDescent="0.25">
      <c r="A138" s="292" t="s">
        <v>224</v>
      </c>
      <c r="B138" s="288"/>
      <c r="C138" s="288"/>
      <c r="D138" s="288"/>
      <c r="E138" s="288"/>
      <c r="F138" s="288"/>
      <c r="G138" s="288"/>
      <c r="H138" s="288"/>
      <c r="I138" s="288"/>
      <c r="J138" s="288"/>
      <c r="K138" s="288"/>
      <c r="L138" s="288"/>
      <c r="M138" s="288"/>
      <c r="N138" s="288"/>
      <c r="O138" s="288"/>
      <c r="P138" s="288"/>
      <c r="Q138" s="288"/>
      <c r="R138" s="288"/>
      <c r="S138" s="288"/>
      <c r="T138" s="288"/>
      <c r="U138" s="288"/>
      <c r="V138" s="288"/>
      <c r="W138" s="288"/>
      <c r="X138" s="288"/>
      <c r="Y138" s="288"/>
      <c r="Z138" s="288"/>
      <c r="AA138" s="265"/>
      <c r="AB138" s="265"/>
      <c r="AC138" s="265"/>
    </row>
    <row r="139" spans="1:68" ht="14.25" customHeight="1" x14ac:dyDescent="0.25">
      <c r="A139" s="303" t="s">
        <v>138</v>
      </c>
      <c r="B139" s="288"/>
      <c r="C139" s="288"/>
      <c r="D139" s="288"/>
      <c r="E139" s="288"/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288"/>
      <c r="T139" s="288"/>
      <c r="U139" s="288"/>
      <c r="V139" s="288"/>
      <c r="W139" s="288"/>
      <c r="X139" s="288"/>
      <c r="Y139" s="288"/>
      <c r="Z139" s="288"/>
      <c r="AA139" s="264"/>
      <c r="AB139" s="264"/>
      <c r="AC139" s="264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4">
        <v>4607111039095</v>
      </c>
      <c r="E140" s="275"/>
      <c r="F140" s="269">
        <v>0.25</v>
      </c>
      <c r="G140" s="32">
        <v>12</v>
      </c>
      <c r="H140" s="269">
        <v>3</v>
      </c>
      <c r="I140" s="269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7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7"/>
      <c r="R140" s="277"/>
      <c r="S140" s="277"/>
      <c r="T140" s="278"/>
      <c r="U140" s="34"/>
      <c r="V140" s="34"/>
      <c r="W140" s="35" t="s">
        <v>69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52.472000000000001</v>
      </c>
      <c r="BN140" s="67">
        <f>IFERROR(Y140*I140,"0")</f>
        <v>52.472000000000001</v>
      </c>
      <c r="BO140" s="67">
        <f>IFERROR(X140/J140,"0")</f>
        <v>0.2</v>
      </c>
      <c r="BP140" s="67">
        <f>IFERROR(Y140/J140,"0")</f>
        <v>0.2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4">
        <v>4607111034199</v>
      </c>
      <c r="E141" s="275"/>
      <c r="F141" s="269">
        <v>0.25</v>
      </c>
      <c r="G141" s="32">
        <v>12</v>
      </c>
      <c r="H141" s="269">
        <v>3</v>
      </c>
      <c r="I141" s="269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7"/>
      <c r="R141" s="277"/>
      <c r="S141" s="277"/>
      <c r="T141" s="278"/>
      <c r="U141" s="34"/>
      <c r="V141" s="34"/>
      <c r="W141" s="35" t="s">
        <v>69</v>
      </c>
      <c r="X141" s="270">
        <v>56</v>
      </c>
      <c r="Y141" s="271">
        <f>IFERROR(IF(X141="","",X141),"")</f>
        <v>56</v>
      </c>
      <c r="Z141" s="36">
        <f>IFERROR(IF(X141="","",X141*0.01788),"")</f>
        <v>1.0012799999999999</v>
      </c>
      <c r="AA141" s="56"/>
      <c r="AB141" s="57"/>
      <c r="AC141" s="174" t="s">
        <v>230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207.40159999999997</v>
      </c>
      <c r="BN141" s="67">
        <f>IFERROR(Y141*I141,"0")</f>
        <v>207.40159999999997</v>
      </c>
      <c r="BO141" s="67">
        <f>IFERROR(X141/J141,"0")</f>
        <v>0.8</v>
      </c>
      <c r="BP141" s="67">
        <f>IFERROR(Y141/J141,"0")</f>
        <v>0.8</v>
      </c>
    </row>
    <row r="142" spans="1:68" x14ac:dyDescent="0.2">
      <c r="A142" s="287"/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9"/>
      <c r="P142" s="280" t="s">
        <v>82</v>
      </c>
      <c r="Q142" s="281"/>
      <c r="R142" s="281"/>
      <c r="S142" s="281"/>
      <c r="T142" s="281"/>
      <c r="U142" s="281"/>
      <c r="V142" s="282"/>
      <c r="W142" s="37" t="s">
        <v>69</v>
      </c>
      <c r="X142" s="272">
        <f>IFERROR(SUM(X140:X141),"0")</f>
        <v>70</v>
      </c>
      <c r="Y142" s="272">
        <f>IFERROR(SUM(Y140:Y141),"0")</f>
        <v>70</v>
      </c>
      <c r="Z142" s="272">
        <f>IFERROR(IF(Z140="",0,Z140),"0")+IFERROR(IF(Z141="",0,Z141),"0")</f>
        <v>1.2515999999999998</v>
      </c>
      <c r="AA142" s="273"/>
      <c r="AB142" s="273"/>
      <c r="AC142" s="273"/>
    </row>
    <row r="143" spans="1:68" x14ac:dyDescent="0.2">
      <c r="A143" s="288"/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9"/>
      <c r="P143" s="280" t="s">
        <v>82</v>
      </c>
      <c r="Q143" s="281"/>
      <c r="R143" s="281"/>
      <c r="S143" s="281"/>
      <c r="T143" s="281"/>
      <c r="U143" s="281"/>
      <c r="V143" s="282"/>
      <c r="W143" s="37" t="s">
        <v>83</v>
      </c>
      <c r="X143" s="272">
        <f>IFERROR(SUMPRODUCT(X140:X141*H140:H141),"0")</f>
        <v>210</v>
      </c>
      <c r="Y143" s="272">
        <f>IFERROR(SUMPRODUCT(Y140:Y141*H140:H141),"0")</f>
        <v>210</v>
      </c>
      <c r="Z143" s="37"/>
      <c r="AA143" s="273"/>
      <c r="AB143" s="273"/>
      <c r="AC143" s="273"/>
    </row>
    <row r="144" spans="1:68" ht="16.5" customHeight="1" x14ac:dyDescent="0.25">
      <c r="A144" s="292" t="s">
        <v>231</v>
      </c>
      <c r="B144" s="288"/>
      <c r="C144" s="288"/>
      <c r="D144" s="288"/>
      <c r="E144" s="288"/>
      <c r="F144" s="288"/>
      <c r="G144" s="288"/>
      <c r="H144" s="288"/>
      <c r="I144" s="288"/>
      <c r="J144" s="288"/>
      <c r="K144" s="288"/>
      <c r="L144" s="288"/>
      <c r="M144" s="288"/>
      <c r="N144" s="288"/>
      <c r="O144" s="288"/>
      <c r="P144" s="288"/>
      <c r="Q144" s="288"/>
      <c r="R144" s="288"/>
      <c r="S144" s="288"/>
      <c r="T144" s="288"/>
      <c r="U144" s="288"/>
      <c r="V144" s="288"/>
      <c r="W144" s="288"/>
      <c r="X144" s="288"/>
      <c r="Y144" s="288"/>
      <c r="Z144" s="288"/>
      <c r="AA144" s="265"/>
      <c r="AB144" s="265"/>
      <c r="AC144" s="265"/>
    </row>
    <row r="145" spans="1:68" ht="14.25" customHeight="1" x14ac:dyDescent="0.25">
      <c r="A145" s="303" t="s">
        <v>138</v>
      </c>
      <c r="B145" s="288"/>
      <c r="C145" s="288"/>
      <c r="D145" s="288"/>
      <c r="E145" s="288"/>
      <c r="F145" s="288"/>
      <c r="G145" s="288"/>
      <c r="H145" s="288"/>
      <c r="I145" s="288"/>
      <c r="J145" s="288"/>
      <c r="K145" s="288"/>
      <c r="L145" s="288"/>
      <c r="M145" s="288"/>
      <c r="N145" s="288"/>
      <c r="O145" s="288"/>
      <c r="P145" s="288"/>
      <c r="Q145" s="288"/>
      <c r="R145" s="288"/>
      <c r="S145" s="288"/>
      <c r="T145" s="288"/>
      <c r="U145" s="288"/>
      <c r="V145" s="288"/>
      <c r="W145" s="288"/>
      <c r="X145" s="288"/>
      <c r="Y145" s="288"/>
      <c r="Z145" s="288"/>
      <c r="AA145" s="264"/>
      <c r="AB145" s="264"/>
      <c r="AC145" s="264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4">
        <v>4620207490914</v>
      </c>
      <c r="E146" s="275"/>
      <c r="F146" s="269">
        <v>0.2</v>
      </c>
      <c r="G146" s="32">
        <v>12</v>
      </c>
      <c r="H146" s="269">
        <v>2.4</v>
      </c>
      <c r="I146" s="269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7"/>
      <c r="R146" s="277"/>
      <c r="S146" s="277"/>
      <c r="T146" s="278"/>
      <c r="U146" s="34"/>
      <c r="V146" s="34"/>
      <c r="W146" s="35" t="s">
        <v>69</v>
      </c>
      <c r="X146" s="270">
        <v>28</v>
      </c>
      <c r="Y146" s="271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221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4">
        <v>4620207490853</v>
      </c>
      <c r="E147" s="275"/>
      <c r="F147" s="269">
        <v>0.2</v>
      </c>
      <c r="G147" s="32">
        <v>12</v>
      </c>
      <c r="H147" s="269">
        <v>2.4</v>
      </c>
      <c r="I147" s="269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1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7"/>
      <c r="R147" s="277"/>
      <c r="S147" s="277"/>
      <c r="T147" s="278"/>
      <c r="U147" s="34"/>
      <c r="V147" s="34"/>
      <c r="W147" s="35" t="s">
        <v>69</v>
      </c>
      <c r="X147" s="270">
        <v>28</v>
      </c>
      <c r="Y147" s="271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78" t="s">
        <v>221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75.040000000000006</v>
      </c>
      <c r="BN147" s="67">
        <f>IFERROR(Y147*I147,"0")</f>
        <v>75.040000000000006</v>
      </c>
      <c r="BO147" s="67">
        <f>IFERROR(X147/J147,"0")</f>
        <v>0.4</v>
      </c>
      <c r="BP147" s="67">
        <f>IFERROR(Y147/J147,"0")</f>
        <v>0.4</v>
      </c>
    </row>
    <row r="148" spans="1:68" x14ac:dyDescent="0.2">
      <c r="A148" s="287"/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9"/>
      <c r="P148" s="280" t="s">
        <v>82</v>
      </c>
      <c r="Q148" s="281"/>
      <c r="R148" s="281"/>
      <c r="S148" s="281"/>
      <c r="T148" s="281"/>
      <c r="U148" s="281"/>
      <c r="V148" s="282"/>
      <c r="W148" s="37" t="s">
        <v>69</v>
      </c>
      <c r="X148" s="272">
        <f>IFERROR(SUM(X146:X147),"0")</f>
        <v>56</v>
      </c>
      <c r="Y148" s="272">
        <f>IFERROR(SUM(Y146:Y147),"0")</f>
        <v>56</v>
      </c>
      <c r="Z148" s="272">
        <f>IFERROR(IF(Z146="",0,Z146),"0")+IFERROR(IF(Z147="",0,Z147),"0")</f>
        <v>1.0012799999999999</v>
      </c>
      <c r="AA148" s="273"/>
      <c r="AB148" s="273"/>
      <c r="AC148" s="273"/>
    </row>
    <row r="149" spans="1:68" x14ac:dyDescent="0.2">
      <c r="A149" s="288"/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9"/>
      <c r="P149" s="280" t="s">
        <v>82</v>
      </c>
      <c r="Q149" s="281"/>
      <c r="R149" s="281"/>
      <c r="S149" s="281"/>
      <c r="T149" s="281"/>
      <c r="U149" s="281"/>
      <c r="V149" s="282"/>
      <c r="W149" s="37" t="s">
        <v>83</v>
      </c>
      <c r="X149" s="272">
        <f>IFERROR(SUMPRODUCT(X146:X147*H146:H147),"0")</f>
        <v>134.4</v>
      </c>
      <c r="Y149" s="272">
        <f>IFERROR(SUMPRODUCT(Y146:Y147*H146:H147),"0")</f>
        <v>134.4</v>
      </c>
      <c r="Z149" s="37"/>
      <c r="AA149" s="273"/>
      <c r="AB149" s="273"/>
      <c r="AC149" s="273"/>
    </row>
    <row r="150" spans="1:68" ht="16.5" customHeight="1" x14ac:dyDescent="0.25">
      <c r="A150" s="292" t="s">
        <v>236</v>
      </c>
      <c r="B150" s="28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8"/>
      <c r="P150" s="288"/>
      <c r="Q150" s="288"/>
      <c r="R150" s="288"/>
      <c r="S150" s="288"/>
      <c r="T150" s="288"/>
      <c r="U150" s="288"/>
      <c r="V150" s="288"/>
      <c r="W150" s="288"/>
      <c r="X150" s="288"/>
      <c r="Y150" s="288"/>
      <c r="Z150" s="288"/>
      <c r="AA150" s="265"/>
      <c r="AB150" s="265"/>
      <c r="AC150" s="265"/>
    </row>
    <row r="151" spans="1:68" ht="14.25" customHeight="1" x14ac:dyDescent="0.25">
      <c r="A151" s="303" t="s">
        <v>138</v>
      </c>
      <c r="B151" s="288"/>
      <c r="C151" s="288"/>
      <c r="D151" s="288"/>
      <c r="E151" s="288"/>
      <c r="F151" s="288"/>
      <c r="G151" s="288"/>
      <c r="H151" s="288"/>
      <c r="I151" s="288"/>
      <c r="J151" s="288"/>
      <c r="K151" s="288"/>
      <c r="L151" s="288"/>
      <c r="M151" s="288"/>
      <c r="N151" s="288"/>
      <c r="O151" s="288"/>
      <c r="P151" s="288"/>
      <c r="Q151" s="288"/>
      <c r="R151" s="288"/>
      <c r="S151" s="288"/>
      <c r="T151" s="288"/>
      <c r="U151" s="288"/>
      <c r="V151" s="288"/>
      <c r="W151" s="288"/>
      <c r="X151" s="288"/>
      <c r="Y151" s="288"/>
      <c r="Z151" s="288"/>
      <c r="AA151" s="264"/>
      <c r="AB151" s="264"/>
      <c r="AC151" s="264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4">
        <v>4607111035806</v>
      </c>
      <c r="E152" s="275"/>
      <c r="F152" s="269">
        <v>0.25</v>
      </c>
      <c r="G152" s="32">
        <v>12</v>
      </c>
      <c r="H152" s="269">
        <v>3</v>
      </c>
      <c r="I152" s="269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7"/>
      <c r="R152" s="277"/>
      <c r="S152" s="277"/>
      <c r="T152" s="278"/>
      <c r="U152" s="34"/>
      <c r="V152" s="34"/>
      <c r="W152" s="35" t="s">
        <v>69</v>
      </c>
      <c r="X152" s="270">
        <v>14</v>
      </c>
      <c r="Y152" s="271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239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87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89"/>
      <c r="P153" s="280" t="s">
        <v>82</v>
      </c>
      <c r="Q153" s="281"/>
      <c r="R153" s="281"/>
      <c r="S153" s="281"/>
      <c r="T153" s="281"/>
      <c r="U153" s="281"/>
      <c r="V153" s="282"/>
      <c r="W153" s="37" t="s">
        <v>69</v>
      </c>
      <c r="X153" s="272">
        <f>IFERROR(SUM(X152:X152),"0")</f>
        <v>14</v>
      </c>
      <c r="Y153" s="272">
        <f>IFERROR(SUM(Y152:Y152),"0")</f>
        <v>14</v>
      </c>
      <c r="Z153" s="272">
        <f>IFERROR(IF(Z152="",0,Z152),"0")</f>
        <v>0.25031999999999999</v>
      </c>
      <c r="AA153" s="273"/>
      <c r="AB153" s="273"/>
      <c r="AC153" s="273"/>
    </row>
    <row r="154" spans="1:68" x14ac:dyDescent="0.2">
      <c r="A154" s="288"/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9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2">
        <f>IFERROR(SUMPRODUCT(X152:X152*H152:H152),"0")</f>
        <v>42</v>
      </c>
      <c r="Y154" s="272">
        <f>IFERROR(SUMPRODUCT(Y152:Y152*H152:H152),"0")</f>
        <v>42</v>
      </c>
      <c r="Z154" s="37"/>
      <c r="AA154" s="273"/>
      <c r="AB154" s="273"/>
      <c r="AC154" s="273"/>
    </row>
    <row r="155" spans="1:68" ht="16.5" customHeight="1" x14ac:dyDescent="0.25">
      <c r="A155" s="292" t="s">
        <v>240</v>
      </c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65"/>
      <c r="AB155" s="265"/>
      <c r="AC155" s="265"/>
    </row>
    <row r="156" spans="1:68" ht="14.25" customHeight="1" x14ac:dyDescent="0.25">
      <c r="A156" s="303" t="s">
        <v>138</v>
      </c>
      <c r="B156" s="288"/>
      <c r="C156" s="288"/>
      <c r="D156" s="288"/>
      <c r="E156" s="288"/>
      <c r="F156" s="288"/>
      <c r="G156" s="288"/>
      <c r="H156" s="288"/>
      <c r="I156" s="288"/>
      <c r="J156" s="288"/>
      <c r="K156" s="288"/>
      <c r="L156" s="288"/>
      <c r="M156" s="288"/>
      <c r="N156" s="288"/>
      <c r="O156" s="288"/>
      <c r="P156" s="288"/>
      <c r="Q156" s="288"/>
      <c r="R156" s="288"/>
      <c r="S156" s="288"/>
      <c r="T156" s="288"/>
      <c r="U156" s="288"/>
      <c r="V156" s="288"/>
      <c r="W156" s="288"/>
      <c r="X156" s="288"/>
      <c r="Y156" s="288"/>
      <c r="Z156" s="288"/>
      <c r="AA156" s="264"/>
      <c r="AB156" s="264"/>
      <c r="AC156" s="264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74">
        <v>4607111039613</v>
      </c>
      <c r="E157" s="275"/>
      <c r="F157" s="269">
        <v>0.09</v>
      </c>
      <c r="G157" s="32">
        <v>30</v>
      </c>
      <c r="H157" s="269">
        <v>2.7</v>
      </c>
      <c r="I157" s="269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29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7"/>
      <c r="R157" s="277"/>
      <c r="S157" s="277"/>
      <c r="T157" s="278"/>
      <c r="U157" s="34"/>
      <c r="V157" s="34"/>
      <c r="W157" s="35" t="s">
        <v>69</v>
      </c>
      <c r="X157" s="270">
        <v>0</v>
      </c>
      <c r="Y157" s="271">
        <f>IFERROR(IF(X157="","",X157),"")</f>
        <v>0</v>
      </c>
      <c r="Z157" s="36">
        <f>IFERROR(IF(X157="","",X157*0.00936),"")</f>
        <v>0</v>
      </c>
      <c r="AA157" s="56"/>
      <c r="AB157" s="57"/>
      <c r="AC157" s="182" t="s">
        <v>227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x14ac:dyDescent="0.2">
      <c r="A158" s="287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89"/>
      <c r="P158" s="280" t="s">
        <v>82</v>
      </c>
      <c r="Q158" s="281"/>
      <c r="R158" s="281"/>
      <c r="S158" s="281"/>
      <c r="T158" s="281"/>
      <c r="U158" s="281"/>
      <c r="V158" s="282"/>
      <c r="W158" s="37" t="s">
        <v>69</v>
      </c>
      <c r="X158" s="272">
        <f>IFERROR(SUM(X157:X157),"0")</f>
        <v>0</v>
      </c>
      <c r="Y158" s="272">
        <f>IFERROR(SUM(Y157:Y157),"0")</f>
        <v>0</v>
      </c>
      <c r="Z158" s="272">
        <f>IFERROR(IF(Z157="",0,Z157),"0")</f>
        <v>0</v>
      </c>
      <c r="AA158" s="273"/>
      <c r="AB158" s="273"/>
      <c r="AC158" s="273"/>
    </row>
    <row r="159" spans="1:68" x14ac:dyDescent="0.2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89"/>
      <c r="P159" s="280" t="s">
        <v>82</v>
      </c>
      <c r="Q159" s="281"/>
      <c r="R159" s="281"/>
      <c r="S159" s="281"/>
      <c r="T159" s="281"/>
      <c r="U159" s="281"/>
      <c r="V159" s="282"/>
      <c r="W159" s="37" t="s">
        <v>83</v>
      </c>
      <c r="X159" s="272">
        <f>IFERROR(SUMPRODUCT(X157:X157*H157:H157),"0")</f>
        <v>0</v>
      </c>
      <c r="Y159" s="272">
        <f>IFERROR(SUMPRODUCT(Y157:Y157*H157:H157),"0")</f>
        <v>0</v>
      </c>
      <c r="Z159" s="37"/>
      <c r="AA159" s="273"/>
      <c r="AB159" s="273"/>
      <c r="AC159" s="273"/>
    </row>
    <row r="160" spans="1:68" ht="16.5" customHeight="1" x14ac:dyDescent="0.25">
      <c r="A160" s="292" t="s">
        <v>243</v>
      </c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65"/>
      <c r="AB160" s="265"/>
      <c r="AC160" s="265"/>
    </row>
    <row r="161" spans="1:68" ht="14.25" customHeight="1" x14ac:dyDescent="0.25">
      <c r="A161" s="303" t="s">
        <v>214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64"/>
      <c r="AB161" s="264"/>
      <c r="AC161" s="264"/>
    </row>
    <row r="162" spans="1:68" ht="27" customHeight="1" x14ac:dyDescent="0.25">
      <c r="A162" s="54" t="s">
        <v>244</v>
      </c>
      <c r="B162" s="54" t="s">
        <v>245</v>
      </c>
      <c r="C162" s="31">
        <v>4301135540</v>
      </c>
      <c r="D162" s="274">
        <v>4607111035646</v>
      </c>
      <c r="E162" s="275"/>
      <c r="F162" s="269">
        <v>0.2</v>
      </c>
      <c r="G162" s="32">
        <v>8</v>
      </c>
      <c r="H162" s="269">
        <v>1.6</v>
      </c>
      <c r="I162" s="269">
        <v>2.12</v>
      </c>
      <c r="J162" s="32">
        <v>72</v>
      </c>
      <c r="K162" s="32" t="s">
        <v>246</v>
      </c>
      <c r="L162" s="32" t="s">
        <v>67</v>
      </c>
      <c r="M162" s="33" t="s">
        <v>68</v>
      </c>
      <c r="N162" s="33"/>
      <c r="O162" s="32">
        <v>180</v>
      </c>
      <c r="P162" s="41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7"/>
      <c r="R162" s="277"/>
      <c r="S162" s="277"/>
      <c r="T162" s="278"/>
      <c r="U162" s="34"/>
      <c r="V162" s="34"/>
      <c r="W162" s="35" t="s">
        <v>69</v>
      </c>
      <c r="X162" s="270">
        <v>0</v>
      </c>
      <c r="Y162" s="271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7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89"/>
      <c r="P163" s="280" t="s">
        <v>82</v>
      </c>
      <c r="Q163" s="281"/>
      <c r="R163" s="281"/>
      <c r="S163" s="281"/>
      <c r="T163" s="281"/>
      <c r="U163" s="281"/>
      <c r="V163" s="282"/>
      <c r="W163" s="37" t="s">
        <v>69</v>
      </c>
      <c r="X163" s="272">
        <f>IFERROR(SUM(X162:X162),"0")</f>
        <v>0</v>
      </c>
      <c r="Y163" s="272">
        <f>IFERROR(SUM(Y162:Y162),"0")</f>
        <v>0</v>
      </c>
      <c r="Z163" s="272">
        <f>IFERROR(IF(Z162="",0,Z162),"0")</f>
        <v>0</v>
      </c>
      <c r="AA163" s="273"/>
      <c r="AB163" s="273"/>
      <c r="AC163" s="273"/>
    </row>
    <row r="164" spans="1:68" x14ac:dyDescent="0.2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89"/>
      <c r="P164" s="280" t="s">
        <v>82</v>
      </c>
      <c r="Q164" s="281"/>
      <c r="R164" s="281"/>
      <c r="S164" s="281"/>
      <c r="T164" s="281"/>
      <c r="U164" s="281"/>
      <c r="V164" s="282"/>
      <c r="W164" s="37" t="s">
        <v>83</v>
      </c>
      <c r="X164" s="272">
        <f>IFERROR(SUMPRODUCT(X162:X162*H162:H162),"0")</f>
        <v>0</v>
      </c>
      <c r="Y164" s="272">
        <f>IFERROR(SUMPRODUCT(Y162:Y162*H162:H162),"0")</f>
        <v>0</v>
      </c>
      <c r="Z164" s="37"/>
      <c r="AA164" s="273"/>
      <c r="AB164" s="273"/>
      <c r="AC164" s="273"/>
    </row>
    <row r="165" spans="1:68" ht="16.5" customHeight="1" x14ac:dyDescent="0.25">
      <c r="A165" s="292" t="s">
        <v>248</v>
      </c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65"/>
      <c r="AB165" s="265"/>
      <c r="AC165" s="265"/>
    </row>
    <row r="166" spans="1:68" ht="14.25" customHeight="1" x14ac:dyDescent="0.25">
      <c r="A166" s="303" t="s">
        <v>138</v>
      </c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64"/>
      <c r="AB166" s="264"/>
      <c r="AC166" s="264"/>
    </row>
    <row r="167" spans="1:68" ht="27" customHeight="1" x14ac:dyDescent="0.25">
      <c r="A167" s="54" t="s">
        <v>249</v>
      </c>
      <c r="B167" s="54" t="s">
        <v>250</v>
      </c>
      <c r="C167" s="31">
        <v>4301135591</v>
      </c>
      <c r="D167" s="274">
        <v>4607111036568</v>
      </c>
      <c r="E167" s="275"/>
      <c r="F167" s="269">
        <v>0.28000000000000003</v>
      </c>
      <c r="G167" s="32">
        <v>6</v>
      </c>
      <c r="H167" s="269">
        <v>1.68</v>
      </c>
      <c r="I167" s="269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5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7"/>
      <c r="R167" s="277"/>
      <c r="S167" s="277"/>
      <c r="T167" s="278"/>
      <c r="U167" s="34"/>
      <c r="V167" s="34"/>
      <c r="W167" s="35" t="s">
        <v>69</v>
      </c>
      <c r="X167" s="270">
        <v>0</v>
      </c>
      <c r="Y167" s="271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87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89"/>
      <c r="P168" s="280" t="s">
        <v>82</v>
      </c>
      <c r="Q168" s="281"/>
      <c r="R168" s="281"/>
      <c r="S168" s="281"/>
      <c r="T168" s="281"/>
      <c r="U168" s="281"/>
      <c r="V168" s="282"/>
      <c r="W168" s="37" t="s">
        <v>69</v>
      </c>
      <c r="X168" s="272">
        <f>IFERROR(SUM(X167:X167),"0")</f>
        <v>0</v>
      </c>
      <c r="Y168" s="272">
        <f>IFERROR(SUM(Y167:Y167),"0")</f>
        <v>0</v>
      </c>
      <c r="Z168" s="272">
        <f>IFERROR(IF(Z167="",0,Z167),"0")</f>
        <v>0</v>
      </c>
      <c r="AA168" s="273"/>
      <c r="AB168" s="273"/>
      <c r="AC168" s="273"/>
    </row>
    <row r="169" spans="1:68" x14ac:dyDescent="0.2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89"/>
      <c r="P169" s="280" t="s">
        <v>82</v>
      </c>
      <c r="Q169" s="281"/>
      <c r="R169" s="281"/>
      <c r="S169" s="281"/>
      <c r="T169" s="281"/>
      <c r="U169" s="281"/>
      <c r="V169" s="282"/>
      <c r="W169" s="37" t="s">
        <v>83</v>
      </c>
      <c r="X169" s="272">
        <f>IFERROR(SUMPRODUCT(X167:X167*H167:H167),"0")</f>
        <v>0</v>
      </c>
      <c r="Y169" s="272">
        <f>IFERROR(SUMPRODUCT(Y167:Y167*H167:H167),"0")</f>
        <v>0</v>
      </c>
      <c r="Z169" s="37"/>
      <c r="AA169" s="273"/>
      <c r="AB169" s="273"/>
      <c r="AC169" s="273"/>
    </row>
    <row r="170" spans="1:68" ht="27.75" customHeight="1" x14ac:dyDescent="0.2">
      <c r="A170" s="285" t="s">
        <v>252</v>
      </c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6"/>
      <c r="P170" s="286"/>
      <c r="Q170" s="286"/>
      <c r="R170" s="286"/>
      <c r="S170" s="286"/>
      <c r="T170" s="286"/>
      <c r="U170" s="286"/>
      <c r="V170" s="286"/>
      <c r="W170" s="286"/>
      <c r="X170" s="286"/>
      <c r="Y170" s="286"/>
      <c r="Z170" s="286"/>
      <c r="AA170" s="48"/>
      <c r="AB170" s="48"/>
      <c r="AC170" s="48"/>
    </row>
    <row r="171" spans="1:68" ht="16.5" customHeight="1" x14ac:dyDescent="0.25">
      <c r="A171" s="292" t="s">
        <v>253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65"/>
      <c r="AB171" s="265"/>
      <c r="AC171" s="265"/>
    </row>
    <row r="172" spans="1:68" ht="14.25" customHeight="1" x14ac:dyDescent="0.25">
      <c r="A172" s="303" t="s">
        <v>63</v>
      </c>
      <c r="B172" s="288"/>
      <c r="C172" s="288"/>
      <c r="D172" s="288"/>
      <c r="E172" s="288"/>
      <c r="F172" s="288"/>
      <c r="G172" s="288"/>
      <c r="H172" s="288"/>
      <c r="I172" s="288"/>
      <c r="J172" s="288"/>
      <c r="K172" s="288"/>
      <c r="L172" s="288"/>
      <c r="M172" s="288"/>
      <c r="N172" s="288"/>
      <c r="O172" s="288"/>
      <c r="P172" s="288"/>
      <c r="Q172" s="288"/>
      <c r="R172" s="288"/>
      <c r="S172" s="288"/>
      <c r="T172" s="288"/>
      <c r="U172" s="288"/>
      <c r="V172" s="288"/>
      <c r="W172" s="288"/>
      <c r="X172" s="288"/>
      <c r="Y172" s="288"/>
      <c r="Z172" s="288"/>
      <c r="AA172" s="264"/>
      <c r="AB172" s="264"/>
      <c r="AC172" s="264"/>
    </row>
    <row r="173" spans="1:68" ht="16.5" customHeight="1" x14ac:dyDescent="0.25">
      <c r="A173" s="54" t="s">
        <v>254</v>
      </c>
      <c r="B173" s="54" t="s">
        <v>255</v>
      </c>
      <c r="C173" s="31">
        <v>4301071062</v>
      </c>
      <c r="D173" s="274">
        <v>4607111036384</v>
      </c>
      <c r="E173" s="275"/>
      <c r="F173" s="269">
        <v>5</v>
      </c>
      <c r="G173" s="32">
        <v>1</v>
      </c>
      <c r="H173" s="269">
        <v>5</v>
      </c>
      <c r="I173" s="269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7"/>
      <c r="R173" s="277"/>
      <c r="S173" s="277"/>
      <c r="T173" s="278"/>
      <c r="U173" s="34"/>
      <c r="V173" s="34"/>
      <c r="W173" s="35" t="s">
        <v>69</v>
      </c>
      <c r="X173" s="270">
        <v>0</v>
      </c>
      <c r="Y173" s="271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4">
        <v>4607111036216</v>
      </c>
      <c r="E174" s="275"/>
      <c r="F174" s="269">
        <v>5</v>
      </c>
      <c r="G174" s="32">
        <v>1</v>
      </c>
      <c r="H174" s="269">
        <v>5</v>
      </c>
      <c r="I174" s="269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7"/>
      <c r="R174" s="277"/>
      <c r="S174" s="277"/>
      <c r="T174" s="278"/>
      <c r="U174" s="34"/>
      <c r="V174" s="34"/>
      <c r="W174" s="35" t="s">
        <v>69</v>
      </c>
      <c r="X174" s="270">
        <v>48</v>
      </c>
      <c r="Y174" s="271">
        <f>IFERROR(IF(X174="","",X174),"")</f>
        <v>48</v>
      </c>
      <c r="Z174" s="36">
        <f>IFERROR(IF(X174="","",X174*0.00866),"")</f>
        <v>0.41567999999999994</v>
      </c>
      <c r="AA174" s="56"/>
      <c r="AB174" s="57"/>
      <c r="AC174" s="190" t="s">
        <v>259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250.23359999999997</v>
      </c>
      <c r="BN174" s="67">
        <f>IFERROR(Y174*I174,"0")</f>
        <v>250.23359999999997</v>
      </c>
      <c r="BO174" s="67">
        <f>IFERROR(X174/J174,"0")</f>
        <v>0.33333333333333331</v>
      </c>
      <c r="BP174" s="67">
        <f>IFERROR(Y174/J174,"0")</f>
        <v>0.33333333333333331</v>
      </c>
    </row>
    <row r="175" spans="1:68" x14ac:dyDescent="0.2">
      <c r="A175" s="287"/>
      <c r="B175" s="288"/>
      <c r="C175" s="288"/>
      <c r="D175" s="288"/>
      <c r="E175" s="288"/>
      <c r="F175" s="288"/>
      <c r="G175" s="288"/>
      <c r="H175" s="288"/>
      <c r="I175" s="288"/>
      <c r="J175" s="288"/>
      <c r="K175" s="288"/>
      <c r="L175" s="288"/>
      <c r="M175" s="288"/>
      <c r="N175" s="288"/>
      <c r="O175" s="289"/>
      <c r="P175" s="280" t="s">
        <v>82</v>
      </c>
      <c r="Q175" s="281"/>
      <c r="R175" s="281"/>
      <c r="S175" s="281"/>
      <c r="T175" s="281"/>
      <c r="U175" s="281"/>
      <c r="V175" s="282"/>
      <c r="W175" s="37" t="s">
        <v>69</v>
      </c>
      <c r="X175" s="272">
        <f>IFERROR(SUM(X173:X174),"0")</f>
        <v>48</v>
      </c>
      <c r="Y175" s="272">
        <f>IFERROR(SUM(Y173:Y174),"0")</f>
        <v>48</v>
      </c>
      <c r="Z175" s="272">
        <f>IFERROR(IF(Z173="",0,Z173),"0")+IFERROR(IF(Z174="",0,Z174),"0")</f>
        <v>0.41567999999999994</v>
      </c>
      <c r="AA175" s="273"/>
      <c r="AB175" s="273"/>
      <c r="AC175" s="273"/>
    </row>
    <row r="176" spans="1:68" x14ac:dyDescent="0.2">
      <c r="A176" s="288"/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9"/>
      <c r="P176" s="280" t="s">
        <v>82</v>
      </c>
      <c r="Q176" s="281"/>
      <c r="R176" s="281"/>
      <c r="S176" s="281"/>
      <c r="T176" s="281"/>
      <c r="U176" s="281"/>
      <c r="V176" s="282"/>
      <c r="W176" s="37" t="s">
        <v>83</v>
      </c>
      <c r="X176" s="272">
        <f>IFERROR(SUMPRODUCT(X173:X174*H173:H174),"0")</f>
        <v>240</v>
      </c>
      <c r="Y176" s="272">
        <f>IFERROR(SUMPRODUCT(Y173:Y174*H173:H174),"0")</f>
        <v>240</v>
      </c>
      <c r="Z176" s="37"/>
      <c r="AA176" s="273"/>
      <c r="AB176" s="273"/>
      <c r="AC176" s="273"/>
    </row>
    <row r="177" spans="1:68" ht="27.75" customHeight="1" x14ac:dyDescent="0.2">
      <c r="A177" s="285" t="s">
        <v>260</v>
      </c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6"/>
      <c r="P177" s="286"/>
      <c r="Q177" s="286"/>
      <c r="R177" s="286"/>
      <c r="S177" s="286"/>
      <c r="T177" s="286"/>
      <c r="U177" s="286"/>
      <c r="V177" s="286"/>
      <c r="W177" s="286"/>
      <c r="X177" s="286"/>
      <c r="Y177" s="286"/>
      <c r="Z177" s="286"/>
      <c r="AA177" s="48"/>
      <c r="AB177" s="48"/>
      <c r="AC177" s="48"/>
    </row>
    <row r="178" spans="1:68" ht="16.5" customHeight="1" x14ac:dyDescent="0.25">
      <c r="A178" s="292" t="s">
        <v>261</v>
      </c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265"/>
      <c r="AB178" s="265"/>
      <c r="AC178" s="265"/>
    </row>
    <row r="179" spans="1:68" ht="14.25" customHeight="1" x14ac:dyDescent="0.25">
      <c r="A179" s="303" t="s">
        <v>92</v>
      </c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88"/>
      <c r="P179" s="288"/>
      <c r="Q179" s="288"/>
      <c r="R179" s="288"/>
      <c r="S179" s="288"/>
      <c r="T179" s="288"/>
      <c r="U179" s="288"/>
      <c r="V179" s="288"/>
      <c r="W179" s="288"/>
      <c r="X179" s="288"/>
      <c r="Y179" s="288"/>
      <c r="Z179" s="288"/>
      <c r="AA179" s="264"/>
      <c r="AB179" s="264"/>
      <c r="AC179" s="264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4">
        <v>4607111035691</v>
      </c>
      <c r="E180" s="275"/>
      <c r="F180" s="269">
        <v>0.25</v>
      </c>
      <c r="G180" s="32">
        <v>12</v>
      </c>
      <c r="H180" s="269">
        <v>3</v>
      </c>
      <c r="I180" s="269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7"/>
      <c r="R180" s="277"/>
      <c r="S180" s="277"/>
      <c r="T180" s="278"/>
      <c r="U180" s="34"/>
      <c r="V180" s="34"/>
      <c r="W180" s="35" t="s">
        <v>69</v>
      </c>
      <c r="X180" s="270">
        <v>98</v>
      </c>
      <c r="Y180" s="271">
        <f>IFERROR(IF(X180="","",X180),"")</f>
        <v>98</v>
      </c>
      <c r="Z180" s="36">
        <f>IFERROR(IF(X180="","",X180*0.01788),"")</f>
        <v>1.75224</v>
      </c>
      <c r="AA180" s="56"/>
      <c r="AB180" s="57"/>
      <c r="AC180" s="192" t="s">
        <v>264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332.024</v>
      </c>
      <c r="BN180" s="67">
        <f>IFERROR(Y180*I180,"0")</f>
        <v>332.024</v>
      </c>
      <c r="BO180" s="67">
        <f>IFERROR(X180/J180,"0")</f>
        <v>1.4</v>
      </c>
      <c r="BP180" s="67">
        <f>IFERROR(Y180/J180,"0")</f>
        <v>1.4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4">
        <v>4607111035721</v>
      </c>
      <c r="E181" s="275"/>
      <c r="F181" s="269">
        <v>0.25</v>
      </c>
      <c r="G181" s="32">
        <v>12</v>
      </c>
      <c r="H181" s="269">
        <v>3</v>
      </c>
      <c r="I181" s="269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7"/>
      <c r="R181" s="277"/>
      <c r="S181" s="277"/>
      <c r="T181" s="278"/>
      <c r="U181" s="34"/>
      <c r="V181" s="34"/>
      <c r="W181" s="35" t="s">
        <v>69</v>
      </c>
      <c r="X181" s="270">
        <v>84</v>
      </c>
      <c r="Y181" s="271">
        <f>IFERROR(IF(X181="","",X181),"")</f>
        <v>84</v>
      </c>
      <c r="Z181" s="36">
        <f>IFERROR(IF(X181="","",X181*0.01788),"")</f>
        <v>1.5019199999999999</v>
      </c>
      <c r="AA181" s="56"/>
      <c r="AB181" s="57"/>
      <c r="AC181" s="194" t="s">
        <v>267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284.59199999999998</v>
      </c>
      <c r="BN181" s="67">
        <f>IFERROR(Y181*I181,"0")</f>
        <v>284.59199999999998</v>
      </c>
      <c r="BO181" s="67">
        <f>IFERROR(X181/J181,"0")</f>
        <v>1.2</v>
      </c>
      <c r="BP181" s="67">
        <f>IFERROR(Y181/J181,"0")</f>
        <v>1.2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4">
        <v>4607111038487</v>
      </c>
      <c r="E182" s="275"/>
      <c r="F182" s="269">
        <v>0.25</v>
      </c>
      <c r="G182" s="32">
        <v>12</v>
      </c>
      <c r="H182" s="269">
        <v>3</v>
      </c>
      <c r="I182" s="269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5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7"/>
      <c r="R182" s="277"/>
      <c r="S182" s="277"/>
      <c r="T182" s="278"/>
      <c r="U182" s="34"/>
      <c r="V182" s="34"/>
      <c r="W182" s="35" t="s">
        <v>69</v>
      </c>
      <c r="X182" s="270">
        <v>84</v>
      </c>
      <c r="Y182" s="271">
        <f>IFERROR(IF(X182="","",X182),"")</f>
        <v>84</v>
      </c>
      <c r="Z182" s="36">
        <f>IFERROR(IF(X182="","",X182*0.01788),"")</f>
        <v>1.5019199999999999</v>
      </c>
      <c r="AA182" s="56"/>
      <c r="AB182" s="57"/>
      <c r="AC182" s="196" t="s">
        <v>270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313.82400000000001</v>
      </c>
      <c r="BN182" s="67">
        <f>IFERROR(Y182*I182,"0")</f>
        <v>313.82400000000001</v>
      </c>
      <c r="BO182" s="67">
        <f>IFERROR(X182/J182,"0")</f>
        <v>1.2</v>
      </c>
      <c r="BP182" s="67">
        <f>IFERROR(Y182/J182,"0")</f>
        <v>1.2</v>
      </c>
    </row>
    <row r="183" spans="1:68" x14ac:dyDescent="0.2">
      <c r="A183" s="287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89"/>
      <c r="P183" s="280" t="s">
        <v>82</v>
      </c>
      <c r="Q183" s="281"/>
      <c r="R183" s="281"/>
      <c r="S183" s="281"/>
      <c r="T183" s="281"/>
      <c r="U183" s="281"/>
      <c r="V183" s="282"/>
      <c r="W183" s="37" t="s">
        <v>69</v>
      </c>
      <c r="X183" s="272">
        <f>IFERROR(SUM(X180:X182),"0")</f>
        <v>266</v>
      </c>
      <c r="Y183" s="272">
        <f>IFERROR(SUM(Y180:Y182),"0")</f>
        <v>266</v>
      </c>
      <c r="Z183" s="272">
        <f>IFERROR(IF(Z180="",0,Z180),"0")+IFERROR(IF(Z181="",0,Z181),"0")+IFERROR(IF(Z182="",0,Z182),"0")</f>
        <v>4.7560799999999999</v>
      </c>
      <c r="AA183" s="273"/>
      <c r="AB183" s="273"/>
      <c r="AC183" s="273"/>
    </row>
    <row r="184" spans="1:68" x14ac:dyDescent="0.2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89"/>
      <c r="P184" s="280" t="s">
        <v>82</v>
      </c>
      <c r="Q184" s="281"/>
      <c r="R184" s="281"/>
      <c r="S184" s="281"/>
      <c r="T184" s="281"/>
      <c r="U184" s="281"/>
      <c r="V184" s="282"/>
      <c r="W184" s="37" t="s">
        <v>83</v>
      </c>
      <c r="X184" s="272">
        <f>IFERROR(SUMPRODUCT(X180:X182*H180:H182),"0")</f>
        <v>798</v>
      </c>
      <c r="Y184" s="272">
        <f>IFERROR(SUMPRODUCT(Y180:Y182*H180:H182),"0")</f>
        <v>798</v>
      </c>
      <c r="Z184" s="37"/>
      <c r="AA184" s="273"/>
      <c r="AB184" s="273"/>
      <c r="AC184" s="273"/>
    </row>
    <row r="185" spans="1:68" ht="14.25" customHeight="1" x14ac:dyDescent="0.25">
      <c r="A185" s="303" t="s">
        <v>271</v>
      </c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64"/>
      <c r="AB185" s="264"/>
      <c r="AC185" s="264"/>
    </row>
    <row r="186" spans="1:68" ht="27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9">
        <v>1</v>
      </c>
      <c r="G186" s="32">
        <v>9</v>
      </c>
      <c r="H186" s="269">
        <v>9</v>
      </c>
      <c r="I186" s="269">
        <v>9.41</v>
      </c>
      <c r="J186" s="32">
        <v>64</v>
      </c>
      <c r="K186" s="32" t="s">
        <v>274</v>
      </c>
      <c r="L186" s="32" t="s">
        <v>67</v>
      </c>
      <c r="M186" s="33" t="s">
        <v>275</v>
      </c>
      <c r="N186" s="33"/>
      <c r="O186" s="32">
        <v>365</v>
      </c>
      <c r="P186" s="438" t="s">
        <v>276</v>
      </c>
      <c r="Q186" s="277"/>
      <c r="R186" s="277"/>
      <c r="S186" s="277"/>
      <c r="T186" s="278"/>
      <c r="U186" s="34"/>
      <c r="V186" s="34"/>
      <c r="W186" s="35" t="s">
        <v>69</v>
      </c>
      <c r="X186" s="270">
        <v>0</v>
      </c>
      <c r="Y186" s="271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71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87"/>
      <c r="B187" s="288"/>
      <c r="C187" s="288"/>
      <c r="D187" s="288"/>
      <c r="E187" s="288"/>
      <c r="F187" s="288"/>
      <c r="G187" s="288"/>
      <c r="H187" s="288"/>
      <c r="I187" s="288"/>
      <c r="J187" s="288"/>
      <c r="K187" s="288"/>
      <c r="L187" s="288"/>
      <c r="M187" s="288"/>
      <c r="N187" s="288"/>
      <c r="O187" s="289"/>
      <c r="P187" s="280" t="s">
        <v>82</v>
      </c>
      <c r="Q187" s="281"/>
      <c r="R187" s="281"/>
      <c r="S187" s="281"/>
      <c r="T187" s="281"/>
      <c r="U187" s="281"/>
      <c r="V187" s="282"/>
      <c r="W187" s="37" t="s">
        <v>69</v>
      </c>
      <c r="X187" s="272">
        <f>IFERROR(SUM(X186:X186),"0")</f>
        <v>0</v>
      </c>
      <c r="Y187" s="272">
        <f>IFERROR(SUM(Y186:Y186),"0")</f>
        <v>0</v>
      </c>
      <c r="Z187" s="272">
        <f>IFERROR(IF(Z186="",0,Z186),"0")</f>
        <v>0</v>
      </c>
      <c r="AA187" s="273"/>
      <c r="AB187" s="273"/>
      <c r="AC187" s="273"/>
    </row>
    <row r="188" spans="1:68" x14ac:dyDescent="0.2">
      <c r="A188" s="288"/>
      <c r="B188" s="288"/>
      <c r="C188" s="288"/>
      <c r="D188" s="288"/>
      <c r="E188" s="288"/>
      <c r="F188" s="288"/>
      <c r="G188" s="288"/>
      <c r="H188" s="288"/>
      <c r="I188" s="288"/>
      <c r="J188" s="288"/>
      <c r="K188" s="288"/>
      <c r="L188" s="288"/>
      <c r="M188" s="288"/>
      <c r="N188" s="288"/>
      <c r="O188" s="289"/>
      <c r="P188" s="280" t="s">
        <v>82</v>
      </c>
      <c r="Q188" s="281"/>
      <c r="R188" s="281"/>
      <c r="S188" s="281"/>
      <c r="T188" s="281"/>
      <c r="U188" s="281"/>
      <c r="V188" s="282"/>
      <c r="W188" s="37" t="s">
        <v>83</v>
      </c>
      <c r="X188" s="272">
        <f>IFERROR(SUMPRODUCT(X186:X186*H186:H186),"0")</f>
        <v>0</v>
      </c>
      <c r="Y188" s="272">
        <f>IFERROR(SUMPRODUCT(Y186:Y186*H186:H186),"0")</f>
        <v>0</v>
      </c>
      <c r="Z188" s="37"/>
      <c r="AA188" s="273"/>
      <c r="AB188" s="273"/>
      <c r="AC188" s="273"/>
    </row>
    <row r="189" spans="1:68" ht="27.75" customHeight="1" x14ac:dyDescent="0.2">
      <c r="A189" s="285" t="s">
        <v>279</v>
      </c>
      <c r="B189" s="286"/>
      <c r="C189" s="286"/>
      <c r="D189" s="286"/>
      <c r="E189" s="286"/>
      <c r="F189" s="286"/>
      <c r="G189" s="286"/>
      <c r="H189" s="286"/>
      <c r="I189" s="286"/>
      <c r="J189" s="286"/>
      <c r="K189" s="286"/>
      <c r="L189" s="286"/>
      <c r="M189" s="286"/>
      <c r="N189" s="286"/>
      <c r="O189" s="286"/>
      <c r="P189" s="286"/>
      <c r="Q189" s="286"/>
      <c r="R189" s="286"/>
      <c r="S189" s="286"/>
      <c r="T189" s="286"/>
      <c r="U189" s="286"/>
      <c r="V189" s="286"/>
      <c r="W189" s="286"/>
      <c r="X189" s="286"/>
      <c r="Y189" s="286"/>
      <c r="Z189" s="286"/>
      <c r="AA189" s="48"/>
      <c r="AB189" s="48"/>
      <c r="AC189" s="48"/>
    </row>
    <row r="190" spans="1:68" ht="16.5" customHeight="1" x14ac:dyDescent="0.25">
      <c r="A190" s="292" t="s">
        <v>280</v>
      </c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265"/>
      <c r="AB190" s="265"/>
      <c r="AC190" s="265"/>
    </row>
    <row r="191" spans="1:68" ht="14.25" customHeight="1" x14ac:dyDescent="0.25">
      <c r="A191" s="303" t="s">
        <v>92</v>
      </c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64"/>
      <c r="AB191" s="264"/>
      <c r="AC191" s="264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9">
        <v>0.23</v>
      </c>
      <c r="G192" s="32">
        <v>12</v>
      </c>
      <c r="H192" s="269">
        <v>2.76</v>
      </c>
      <c r="I192" s="269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3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7"/>
      <c r="R192" s="277"/>
      <c r="S192" s="277"/>
      <c r="T192" s="278"/>
      <c r="U192" s="34"/>
      <c r="V192" s="34"/>
      <c r="W192" s="35" t="s">
        <v>69</v>
      </c>
      <c r="X192" s="270">
        <v>14</v>
      </c>
      <c r="Y192" s="271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283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87"/>
      <c r="B193" s="288"/>
      <c r="C193" s="288"/>
      <c r="D193" s="288"/>
      <c r="E193" s="288"/>
      <c r="F193" s="288"/>
      <c r="G193" s="288"/>
      <c r="H193" s="288"/>
      <c r="I193" s="288"/>
      <c r="J193" s="288"/>
      <c r="K193" s="288"/>
      <c r="L193" s="288"/>
      <c r="M193" s="288"/>
      <c r="N193" s="288"/>
      <c r="O193" s="289"/>
      <c r="P193" s="280" t="s">
        <v>82</v>
      </c>
      <c r="Q193" s="281"/>
      <c r="R193" s="281"/>
      <c r="S193" s="281"/>
      <c r="T193" s="281"/>
      <c r="U193" s="281"/>
      <c r="V193" s="282"/>
      <c r="W193" s="37" t="s">
        <v>69</v>
      </c>
      <c r="X193" s="272">
        <f>IFERROR(SUM(X192:X192),"0")</f>
        <v>14</v>
      </c>
      <c r="Y193" s="272">
        <f>IFERROR(SUM(Y192:Y192),"0")</f>
        <v>14</v>
      </c>
      <c r="Z193" s="272">
        <f>IFERROR(IF(Z192="",0,Z192),"0")</f>
        <v>0.25031999999999999</v>
      </c>
      <c r="AA193" s="273"/>
      <c r="AB193" s="273"/>
      <c r="AC193" s="273"/>
    </row>
    <row r="194" spans="1:68" x14ac:dyDescent="0.2">
      <c r="A194" s="28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89"/>
      <c r="P194" s="280" t="s">
        <v>82</v>
      </c>
      <c r="Q194" s="281"/>
      <c r="R194" s="281"/>
      <c r="S194" s="281"/>
      <c r="T194" s="281"/>
      <c r="U194" s="281"/>
      <c r="V194" s="282"/>
      <c r="W194" s="37" t="s">
        <v>83</v>
      </c>
      <c r="X194" s="272">
        <f>IFERROR(SUMPRODUCT(X192:X192*H192:H192),"0")</f>
        <v>38.64</v>
      </c>
      <c r="Y194" s="272">
        <f>IFERROR(SUMPRODUCT(Y192:Y192*H192:H192),"0")</f>
        <v>38.64</v>
      </c>
      <c r="Z194" s="37"/>
      <c r="AA194" s="273"/>
      <c r="AB194" s="273"/>
      <c r="AC194" s="273"/>
    </row>
    <row r="195" spans="1:68" ht="14.25" customHeight="1" x14ac:dyDescent="0.25">
      <c r="A195" s="303" t="s">
        <v>138</v>
      </c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88"/>
      <c r="P195" s="288"/>
      <c r="Q195" s="288"/>
      <c r="R195" s="288"/>
      <c r="S195" s="288"/>
      <c r="T195" s="288"/>
      <c r="U195" s="288"/>
      <c r="V195" s="288"/>
      <c r="W195" s="288"/>
      <c r="X195" s="288"/>
      <c r="Y195" s="288"/>
      <c r="Z195" s="288"/>
      <c r="AA195" s="264"/>
      <c r="AB195" s="264"/>
      <c r="AC195" s="264"/>
    </row>
    <row r="196" spans="1:68" ht="27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9">
        <v>0.2</v>
      </c>
      <c r="G196" s="32">
        <v>12</v>
      </c>
      <c r="H196" s="269">
        <v>2.4</v>
      </c>
      <c r="I196" s="269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2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7"/>
      <c r="R196" s="277"/>
      <c r="S196" s="277"/>
      <c r="T196" s="278"/>
      <c r="U196" s="34"/>
      <c r="V196" s="34"/>
      <c r="W196" s="35" t="s">
        <v>69</v>
      </c>
      <c r="X196" s="270">
        <v>0</v>
      </c>
      <c r="Y196" s="27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9">
        <v>0.2</v>
      </c>
      <c r="G197" s="32">
        <v>12</v>
      </c>
      <c r="H197" s="269">
        <v>2.4</v>
      </c>
      <c r="I197" s="269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6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7"/>
      <c r="R197" s="277"/>
      <c r="S197" s="277"/>
      <c r="T197" s="278"/>
      <c r="U197" s="34"/>
      <c r="V197" s="34"/>
      <c r="W197" s="35" t="s">
        <v>69</v>
      </c>
      <c r="X197" s="270">
        <v>0</v>
      </c>
      <c r="Y197" s="27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9">
        <v>0.2</v>
      </c>
      <c r="G198" s="32">
        <v>12</v>
      </c>
      <c r="H198" s="269">
        <v>2.4</v>
      </c>
      <c r="I198" s="269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7"/>
      <c r="R198" s="277"/>
      <c r="S198" s="277"/>
      <c r="T198" s="278"/>
      <c r="U198" s="34"/>
      <c r="V198" s="34"/>
      <c r="W198" s="35" t="s">
        <v>69</v>
      </c>
      <c r="X198" s="270">
        <v>14</v>
      </c>
      <c r="Y198" s="27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292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9">
        <v>0.2</v>
      </c>
      <c r="G199" s="32">
        <v>12</v>
      </c>
      <c r="H199" s="269">
        <v>2.4</v>
      </c>
      <c r="I199" s="269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4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7"/>
      <c r="R199" s="277"/>
      <c r="S199" s="277"/>
      <c r="T199" s="278"/>
      <c r="U199" s="34"/>
      <c r="V199" s="34"/>
      <c r="W199" s="35" t="s">
        <v>69</v>
      </c>
      <c r="X199" s="270">
        <v>0</v>
      </c>
      <c r="Y199" s="27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9">
        <v>0.22</v>
      </c>
      <c r="G200" s="32">
        <v>12</v>
      </c>
      <c r="H200" s="269">
        <v>2.64</v>
      </c>
      <c r="I200" s="269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49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7"/>
      <c r="R200" s="277"/>
      <c r="S200" s="277"/>
      <c r="T200" s="278"/>
      <c r="U200" s="34"/>
      <c r="V200" s="34"/>
      <c r="W200" s="35" t="s">
        <v>69</v>
      </c>
      <c r="X200" s="270">
        <v>0</v>
      </c>
      <c r="Y200" s="271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7"/>
      <c r="B201" s="288"/>
      <c r="C201" s="288"/>
      <c r="D201" s="288"/>
      <c r="E201" s="288"/>
      <c r="F201" s="288"/>
      <c r="G201" s="288"/>
      <c r="H201" s="288"/>
      <c r="I201" s="288"/>
      <c r="J201" s="288"/>
      <c r="K201" s="288"/>
      <c r="L201" s="288"/>
      <c r="M201" s="288"/>
      <c r="N201" s="288"/>
      <c r="O201" s="289"/>
      <c r="P201" s="280" t="s">
        <v>82</v>
      </c>
      <c r="Q201" s="281"/>
      <c r="R201" s="281"/>
      <c r="S201" s="281"/>
      <c r="T201" s="281"/>
      <c r="U201" s="281"/>
      <c r="V201" s="282"/>
      <c r="W201" s="37" t="s">
        <v>69</v>
      </c>
      <c r="X201" s="272">
        <f>IFERROR(SUM(X196:X200),"0")</f>
        <v>14</v>
      </c>
      <c r="Y201" s="272">
        <f>IFERROR(SUM(Y196:Y200),"0")</f>
        <v>14</v>
      </c>
      <c r="Z201" s="272">
        <f>IFERROR(IF(Z196="",0,Z196),"0")+IFERROR(IF(Z197="",0,Z197),"0")+IFERROR(IF(Z198="",0,Z198),"0")+IFERROR(IF(Z199="",0,Z199),"0")+IFERROR(IF(Z200="",0,Z200),"0")</f>
        <v>0.25031999999999999</v>
      </c>
      <c r="AA201" s="273"/>
      <c r="AB201" s="273"/>
      <c r="AC201" s="273"/>
    </row>
    <row r="202" spans="1:68" x14ac:dyDescent="0.2">
      <c r="A202" s="288"/>
      <c r="B202" s="288"/>
      <c r="C202" s="288"/>
      <c r="D202" s="288"/>
      <c r="E202" s="288"/>
      <c r="F202" s="288"/>
      <c r="G202" s="288"/>
      <c r="H202" s="288"/>
      <c r="I202" s="288"/>
      <c r="J202" s="288"/>
      <c r="K202" s="288"/>
      <c r="L202" s="288"/>
      <c r="M202" s="288"/>
      <c r="N202" s="288"/>
      <c r="O202" s="289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2">
        <f>IFERROR(SUMPRODUCT(X196:X200*H196:H200),"0")</f>
        <v>33.6</v>
      </c>
      <c r="Y202" s="272">
        <f>IFERROR(SUMPRODUCT(Y196:Y200*H196:H200),"0")</f>
        <v>33.6</v>
      </c>
      <c r="Z202" s="37"/>
      <c r="AA202" s="273"/>
      <c r="AB202" s="273"/>
      <c r="AC202" s="273"/>
    </row>
    <row r="203" spans="1:68" ht="16.5" customHeight="1" x14ac:dyDescent="0.25">
      <c r="A203" s="292" t="s">
        <v>298</v>
      </c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88"/>
      <c r="P203" s="288"/>
      <c r="Q203" s="288"/>
      <c r="R203" s="288"/>
      <c r="S203" s="288"/>
      <c r="T203" s="288"/>
      <c r="U203" s="288"/>
      <c r="V203" s="288"/>
      <c r="W203" s="288"/>
      <c r="X203" s="288"/>
      <c r="Y203" s="288"/>
      <c r="Z203" s="288"/>
      <c r="AA203" s="265"/>
      <c r="AB203" s="265"/>
      <c r="AC203" s="265"/>
    </row>
    <row r="204" spans="1:68" ht="14.25" customHeight="1" x14ac:dyDescent="0.25">
      <c r="A204" s="303" t="s">
        <v>63</v>
      </c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88"/>
      <c r="P204" s="288"/>
      <c r="Q204" s="288"/>
      <c r="R204" s="288"/>
      <c r="S204" s="288"/>
      <c r="T204" s="288"/>
      <c r="U204" s="288"/>
      <c r="V204" s="288"/>
      <c r="W204" s="288"/>
      <c r="X204" s="288"/>
      <c r="Y204" s="288"/>
      <c r="Z204" s="288"/>
      <c r="AA204" s="264"/>
      <c r="AB204" s="264"/>
      <c r="AC204" s="264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9">
        <v>1</v>
      </c>
      <c r="G205" s="32">
        <v>5</v>
      </c>
      <c r="H205" s="269">
        <v>5</v>
      </c>
      <c r="I205" s="269">
        <v>5.23</v>
      </c>
      <c r="J205" s="32">
        <v>84</v>
      </c>
      <c r="K205" s="32" t="s">
        <v>66</v>
      </c>
      <c r="L205" s="32" t="s">
        <v>108</v>
      </c>
      <c r="M205" s="33" t="s">
        <v>68</v>
      </c>
      <c r="N205" s="33"/>
      <c r="O205" s="32">
        <v>180</v>
      </c>
      <c r="P205" s="35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77"/>
      <c r="R205" s="277"/>
      <c r="S205" s="277"/>
      <c r="T205" s="278"/>
      <c r="U205" s="34"/>
      <c r="V205" s="34"/>
      <c r="W205" s="35" t="s">
        <v>69</v>
      </c>
      <c r="X205" s="270">
        <v>72</v>
      </c>
      <c r="Y205" s="271">
        <f>IFERROR(IF(X205="","",X205),"")</f>
        <v>72</v>
      </c>
      <c r="Z205" s="36">
        <f>IFERROR(IF(X205="","",X205*0.0155),"")</f>
        <v>1.1160000000000001</v>
      </c>
      <c r="AA205" s="56"/>
      <c r="AB205" s="57"/>
      <c r="AC205" s="212" t="s">
        <v>301</v>
      </c>
      <c r="AG205" s="67"/>
      <c r="AJ205" s="71" t="s">
        <v>110</v>
      </c>
      <c r="AK205" s="71">
        <v>12</v>
      </c>
      <c r="BB205" s="213" t="s">
        <v>1</v>
      </c>
      <c r="BM205" s="67">
        <f>IFERROR(X205*I205,"0")</f>
        <v>376.56000000000006</v>
      </c>
      <c r="BN205" s="67">
        <f>IFERROR(Y205*I205,"0")</f>
        <v>376.56000000000006</v>
      </c>
      <c r="BO205" s="67">
        <f>IFERROR(X205/J205,"0")</f>
        <v>0.8571428571428571</v>
      </c>
      <c r="BP205" s="67">
        <f>IFERROR(Y205/J205,"0")</f>
        <v>0.8571428571428571</v>
      </c>
    </row>
    <row r="206" spans="1:68" x14ac:dyDescent="0.2">
      <c r="A206" s="287"/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9"/>
      <c r="P206" s="280" t="s">
        <v>82</v>
      </c>
      <c r="Q206" s="281"/>
      <c r="R206" s="281"/>
      <c r="S206" s="281"/>
      <c r="T206" s="281"/>
      <c r="U206" s="281"/>
      <c r="V206" s="282"/>
      <c r="W206" s="37" t="s">
        <v>69</v>
      </c>
      <c r="X206" s="272">
        <f>IFERROR(SUM(X205:X205),"0")</f>
        <v>72</v>
      </c>
      <c r="Y206" s="272">
        <f>IFERROR(SUM(Y205:Y205),"0")</f>
        <v>72</v>
      </c>
      <c r="Z206" s="272">
        <f>IFERROR(IF(Z205="",0,Z205),"0")</f>
        <v>1.1160000000000001</v>
      </c>
      <c r="AA206" s="273"/>
      <c r="AB206" s="273"/>
      <c r="AC206" s="273"/>
    </row>
    <row r="207" spans="1:68" x14ac:dyDescent="0.2">
      <c r="A207" s="288"/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9"/>
      <c r="P207" s="280" t="s">
        <v>82</v>
      </c>
      <c r="Q207" s="281"/>
      <c r="R207" s="281"/>
      <c r="S207" s="281"/>
      <c r="T207" s="281"/>
      <c r="U207" s="281"/>
      <c r="V207" s="282"/>
      <c r="W207" s="37" t="s">
        <v>83</v>
      </c>
      <c r="X207" s="272">
        <f>IFERROR(SUMPRODUCT(X205:X205*H205:H205),"0")</f>
        <v>360</v>
      </c>
      <c r="Y207" s="272">
        <f>IFERROR(SUMPRODUCT(Y205:Y205*H205:H205),"0")</f>
        <v>360</v>
      </c>
      <c r="Z207" s="37"/>
      <c r="AA207" s="273"/>
      <c r="AB207" s="273"/>
      <c r="AC207" s="273"/>
    </row>
    <row r="208" spans="1:68" ht="16.5" customHeight="1" x14ac:dyDescent="0.25">
      <c r="A208" s="292" t="s">
        <v>302</v>
      </c>
      <c r="B208" s="288"/>
      <c r="C208" s="288"/>
      <c r="D208" s="288"/>
      <c r="E208" s="288"/>
      <c r="F208" s="288"/>
      <c r="G208" s="288"/>
      <c r="H208" s="288"/>
      <c r="I208" s="288"/>
      <c r="J208" s="288"/>
      <c r="K208" s="288"/>
      <c r="L208" s="288"/>
      <c r="M208" s="288"/>
      <c r="N208" s="288"/>
      <c r="O208" s="288"/>
      <c r="P208" s="288"/>
      <c r="Q208" s="288"/>
      <c r="R208" s="288"/>
      <c r="S208" s="288"/>
      <c r="T208" s="288"/>
      <c r="U208" s="288"/>
      <c r="V208" s="288"/>
      <c r="W208" s="288"/>
      <c r="X208" s="288"/>
      <c r="Y208" s="288"/>
      <c r="Z208" s="288"/>
      <c r="AA208" s="265"/>
      <c r="AB208" s="265"/>
      <c r="AC208" s="265"/>
    </row>
    <row r="209" spans="1:68" ht="14.25" customHeight="1" x14ac:dyDescent="0.25">
      <c r="A209" s="303" t="s">
        <v>63</v>
      </c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88"/>
      <c r="P209" s="288"/>
      <c r="Q209" s="288"/>
      <c r="R209" s="288"/>
      <c r="S209" s="288"/>
      <c r="T209" s="288"/>
      <c r="U209" s="288"/>
      <c r="V209" s="288"/>
      <c r="W209" s="288"/>
      <c r="X209" s="288"/>
      <c r="Y209" s="288"/>
      <c r="Z209" s="288"/>
      <c r="AA209" s="264"/>
      <c r="AB209" s="264"/>
      <c r="AC209" s="264"/>
    </row>
    <row r="210" spans="1:68" ht="27" customHeight="1" x14ac:dyDescent="0.25">
      <c r="A210" s="54" t="s">
        <v>303</v>
      </c>
      <c r="B210" s="54" t="s">
        <v>304</v>
      </c>
      <c r="C210" s="31">
        <v>4301071093</v>
      </c>
      <c r="D210" s="274">
        <v>4620207490709</v>
      </c>
      <c r="E210" s="275"/>
      <c r="F210" s="269">
        <v>0.65</v>
      </c>
      <c r="G210" s="32">
        <v>8</v>
      </c>
      <c r="H210" s="269">
        <v>5.2</v>
      </c>
      <c r="I210" s="269">
        <v>5.47</v>
      </c>
      <c r="J210" s="32">
        <v>84</v>
      </c>
      <c r="K210" s="32" t="s">
        <v>66</v>
      </c>
      <c r="L210" s="32" t="s">
        <v>67</v>
      </c>
      <c r="M210" s="33" t="s">
        <v>68</v>
      </c>
      <c r="N210" s="33"/>
      <c r="O210" s="32">
        <v>180</v>
      </c>
      <c r="P210" s="37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277"/>
      <c r="R210" s="277"/>
      <c r="S210" s="277"/>
      <c r="T210" s="278"/>
      <c r="U210" s="34"/>
      <c r="V210" s="34"/>
      <c r="W210" s="35" t="s">
        <v>69</v>
      </c>
      <c r="X210" s="270">
        <v>0</v>
      </c>
      <c r="Y210" s="271">
        <f>IFERROR(IF(X210="","",X210),"")</f>
        <v>0</v>
      </c>
      <c r="Z210" s="36">
        <f>IFERROR(IF(X210="","",X210*0.0155),"")</f>
        <v>0</v>
      </c>
      <c r="AA210" s="56"/>
      <c r="AB210" s="57"/>
      <c r="AC210" s="214" t="s">
        <v>305</v>
      </c>
      <c r="AG210" s="67"/>
      <c r="AJ210" s="71" t="s">
        <v>71</v>
      </c>
      <c r="AK210" s="71">
        <v>1</v>
      </c>
      <c r="BB210" s="215" t="s">
        <v>1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x14ac:dyDescent="0.2">
      <c r="A211" s="287"/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9"/>
      <c r="P211" s="280" t="s">
        <v>82</v>
      </c>
      <c r="Q211" s="281"/>
      <c r="R211" s="281"/>
      <c r="S211" s="281"/>
      <c r="T211" s="281"/>
      <c r="U211" s="281"/>
      <c r="V211" s="282"/>
      <c r="W211" s="37" t="s">
        <v>69</v>
      </c>
      <c r="X211" s="272">
        <f>IFERROR(SUM(X210:X210),"0")</f>
        <v>0</v>
      </c>
      <c r="Y211" s="272">
        <f>IFERROR(SUM(Y210:Y210),"0")</f>
        <v>0</v>
      </c>
      <c r="Z211" s="272">
        <f>IFERROR(IF(Z210="",0,Z210),"0")</f>
        <v>0</v>
      </c>
      <c r="AA211" s="273"/>
      <c r="AB211" s="273"/>
      <c r="AC211" s="273"/>
    </row>
    <row r="212" spans="1:68" x14ac:dyDescent="0.2">
      <c r="A212" s="288"/>
      <c r="B212" s="288"/>
      <c r="C212" s="288"/>
      <c r="D212" s="288"/>
      <c r="E212" s="288"/>
      <c r="F212" s="288"/>
      <c r="G212" s="288"/>
      <c r="H212" s="288"/>
      <c r="I212" s="288"/>
      <c r="J212" s="288"/>
      <c r="K212" s="288"/>
      <c r="L212" s="288"/>
      <c r="M212" s="288"/>
      <c r="N212" s="288"/>
      <c r="O212" s="289"/>
      <c r="P212" s="280" t="s">
        <v>82</v>
      </c>
      <c r="Q212" s="281"/>
      <c r="R212" s="281"/>
      <c r="S212" s="281"/>
      <c r="T212" s="281"/>
      <c r="U212" s="281"/>
      <c r="V212" s="282"/>
      <c r="W212" s="37" t="s">
        <v>83</v>
      </c>
      <c r="X212" s="272">
        <f>IFERROR(SUMPRODUCT(X210:X210*H210:H210),"0")</f>
        <v>0</v>
      </c>
      <c r="Y212" s="272">
        <f>IFERROR(SUMPRODUCT(Y210:Y210*H210:H210),"0")</f>
        <v>0</v>
      </c>
      <c r="Z212" s="37"/>
      <c r="AA212" s="273"/>
      <c r="AB212" s="273"/>
      <c r="AC212" s="273"/>
    </row>
    <row r="213" spans="1:68" ht="14.25" customHeight="1" x14ac:dyDescent="0.25">
      <c r="A213" s="303" t="s">
        <v>138</v>
      </c>
      <c r="B213" s="288"/>
      <c r="C213" s="288"/>
      <c r="D213" s="288"/>
      <c r="E213" s="288"/>
      <c r="F213" s="288"/>
      <c r="G213" s="288"/>
      <c r="H213" s="288"/>
      <c r="I213" s="288"/>
      <c r="J213" s="288"/>
      <c r="K213" s="288"/>
      <c r="L213" s="288"/>
      <c r="M213" s="288"/>
      <c r="N213" s="288"/>
      <c r="O213" s="288"/>
      <c r="P213" s="288"/>
      <c r="Q213" s="28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64"/>
      <c r="AB213" s="264"/>
      <c r="AC213" s="264"/>
    </row>
    <row r="214" spans="1:68" ht="27" customHeight="1" x14ac:dyDescent="0.25">
      <c r="A214" s="54" t="s">
        <v>306</v>
      </c>
      <c r="B214" s="54" t="s">
        <v>307</v>
      </c>
      <c r="C214" s="31">
        <v>4301135691</v>
      </c>
      <c r="D214" s="274">
        <v>4620207490549</v>
      </c>
      <c r="E214" s="275"/>
      <c r="F214" s="269">
        <v>0.2</v>
      </c>
      <c r="G214" s="32">
        <v>12</v>
      </c>
      <c r="H214" s="269">
        <v>2.4</v>
      </c>
      <c r="I214" s="269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277"/>
      <c r="R214" s="277"/>
      <c r="S214" s="277"/>
      <c r="T214" s="278"/>
      <c r="U214" s="34"/>
      <c r="V214" s="34"/>
      <c r="W214" s="35" t="s">
        <v>69</v>
      </c>
      <c r="X214" s="270">
        <v>0</v>
      </c>
      <c r="Y214" s="271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308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309</v>
      </c>
      <c r="B215" s="54" t="s">
        <v>310</v>
      </c>
      <c r="C215" s="31">
        <v>4301135694</v>
      </c>
      <c r="D215" s="274">
        <v>4620207490501</v>
      </c>
      <c r="E215" s="275"/>
      <c r="F215" s="269">
        <v>0.2</v>
      </c>
      <c r="G215" s="32">
        <v>12</v>
      </c>
      <c r="H215" s="269">
        <v>2.4</v>
      </c>
      <c r="I215" s="269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277"/>
      <c r="R215" s="277"/>
      <c r="S215" s="277"/>
      <c r="T215" s="278"/>
      <c r="U215" s="34"/>
      <c r="V215" s="34"/>
      <c r="W215" s="35" t="s">
        <v>69</v>
      </c>
      <c r="X215" s="270">
        <v>0</v>
      </c>
      <c r="Y215" s="271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308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87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89"/>
      <c r="P216" s="280" t="s">
        <v>82</v>
      </c>
      <c r="Q216" s="281"/>
      <c r="R216" s="281"/>
      <c r="S216" s="281"/>
      <c r="T216" s="281"/>
      <c r="U216" s="281"/>
      <c r="V216" s="282"/>
      <c r="W216" s="37" t="s">
        <v>69</v>
      </c>
      <c r="X216" s="272">
        <f>IFERROR(SUM(X214:X215),"0")</f>
        <v>0</v>
      </c>
      <c r="Y216" s="272">
        <f>IFERROR(SUM(Y214:Y215),"0")</f>
        <v>0</v>
      </c>
      <c r="Z216" s="272">
        <f>IFERROR(IF(Z214="",0,Z214),"0")+IFERROR(IF(Z215="",0,Z215),"0")</f>
        <v>0</v>
      </c>
      <c r="AA216" s="273"/>
      <c r="AB216" s="273"/>
      <c r="AC216" s="273"/>
    </row>
    <row r="217" spans="1:68" x14ac:dyDescent="0.2">
      <c r="A217" s="288"/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9"/>
      <c r="P217" s="280" t="s">
        <v>82</v>
      </c>
      <c r="Q217" s="281"/>
      <c r="R217" s="281"/>
      <c r="S217" s="281"/>
      <c r="T217" s="281"/>
      <c r="U217" s="281"/>
      <c r="V217" s="282"/>
      <c r="W217" s="37" t="s">
        <v>83</v>
      </c>
      <c r="X217" s="272">
        <f>IFERROR(SUMPRODUCT(X214:X215*H214:H215),"0")</f>
        <v>0</v>
      </c>
      <c r="Y217" s="272">
        <f>IFERROR(SUMPRODUCT(Y214:Y215*H214:H215),"0")</f>
        <v>0</v>
      </c>
      <c r="Z217" s="37"/>
      <c r="AA217" s="273"/>
      <c r="AB217" s="273"/>
      <c r="AC217" s="273"/>
    </row>
    <row r="218" spans="1:68" ht="27.75" customHeight="1" x14ac:dyDescent="0.2">
      <c r="A218" s="285" t="s">
        <v>311</v>
      </c>
      <c r="B218" s="286"/>
      <c r="C218" s="286"/>
      <c r="D218" s="286"/>
      <c r="E218" s="286"/>
      <c r="F218" s="286"/>
      <c r="G218" s="286"/>
      <c r="H218" s="286"/>
      <c r="I218" s="286"/>
      <c r="J218" s="286"/>
      <c r="K218" s="286"/>
      <c r="L218" s="286"/>
      <c r="M218" s="286"/>
      <c r="N218" s="286"/>
      <c r="O218" s="286"/>
      <c r="P218" s="286"/>
      <c r="Q218" s="286"/>
      <c r="R218" s="286"/>
      <c r="S218" s="286"/>
      <c r="T218" s="286"/>
      <c r="U218" s="286"/>
      <c r="V218" s="286"/>
      <c r="W218" s="286"/>
      <c r="X218" s="286"/>
      <c r="Y218" s="286"/>
      <c r="Z218" s="286"/>
      <c r="AA218" s="48"/>
      <c r="AB218" s="48"/>
      <c r="AC218" s="48"/>
    </row>
    <row r="219" spans="1:68" ht="16.5" customHeight="1" x14ac:dyDescent="0.25">
      <c r="A219" s="292" t="s">
        <v>312</v>
      </c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265"/>
      <c r="AB219" s="265"/>
      <c r="AC219" s="265"/>
    </row>
    <row r="220" spans="1:68" ht="14.25" customHeight="1" x14ac:dyDescent="0.25">
      <c r="A220" s="303" t="s">
        <v>63</v>
      </c>
      <c r="B220" s="288"/>
      <c r="C220" s="288"/>
      <c r="D220" s="288"/>
      <c r="E220" s="288"/>
      <c r="F220" s="288"/>
      <c r="G220" s="288"/>
      <c r="H220" s="288"/>
      <c r="I220" s="288"/>
      <c r="J220" s="288"/>
      <c r="K220" s="288"/>
      <c r="L220" s="288"/>
      <c r="M220" s="288"/>
      <c r="N220" s="288"/>
      <c r="O220" s="288"/>
      <c r="P220" s="288"/>
      <c r="Q220" s="288"/>
      <c r="R220" s="288"/>
      <c r="S220" s="288"/>
      <c r="T220" s="288"/>
      <c r="U220" s="288"/>
      <c r="V220" s="288"/>
      <c r="W220" s="288"/>
      <c r="X220" s="288"/>
      <c r="Y220" s="288"/>
      <c r="Z220" s="288"/>
      <c r="AA220" s="264"/>
      <c r="AB220" s="264"/>
      <c r="AC220" s="264"/>
    </row>
    <row r="221" spans="1:68" ht="27" customHeight="1" x14ac:dyDescent="0.25">
      <c r="A221" s="54" t="s">
        <v>313</v>
      </c>
      <c r="B221" s="54" t="s">
        <v>314</v>
      </c>
      <c r="C221" s="31">
        <v>4301071036</v>
      </c>
      <c r="D221" s="274">
        <v>4607111036162</v>
      </c>
      <c r="E221" s="275"/>
      <c r="F221" s="269">
        <v>0.8</v>
      </c>
      <c r="G221" s="32">
        <v>8</v>
      </c>
      <c r="H221" s="269">
        <v>6.4</v>
      </c>
      <c r="I221" s="269">
        <v>6.6811999999999996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90</v>
      </c>
      <c r="P221" s="29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277"/>
      <c r="R221" s="277"/>
      <c r="S221" s="277"/>
      <c r="T221" s="278"/>
      <c r="U221" s="34"/>
      <c r="V221" s="34"/>
      <c r="W221" s="35" t="s">
        <v>69</v>
      </c>
      <c r="X221" s="270">
        <v>0</v>
      </c>
      <c r="Y221" s="271">
        <f>IFERROR(IF(X221="","",X221),"")</f>
        <v>0</v>
      </c>
      <c r="Z221" s="36">
        <f>IFERROR(IF(X221="","",X221*0.0155),"")</f>
        <v>0</v>
      </c>
      <c r="AA221" s="56"/>
      <c r="AB221" s="57"/>
      <c r="AC221" s="220" t="s">
        <v>315</v>
      </c>
      <c r="AG221" s="67"/>
      <c r="AJ221" s="71" t="s">
        <v>71</v>
      </c>
      <c r="AK221" s="71">
        <v>1</v>
      </c>
      <c r="BB221" s="221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x14ac:dyDescent="0.2">
      <c r="A222" s="287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89"/>
      <c r="P222" s="280" t="s">
        <v>82</v>
      </c>
      <c r="Q222" s="281"/>
      <c r="R222" s="281"/>
      <c r="S222" s="281"/>
      <c r="T222" s="281"/>
      <c r="U222" s="281"/>
      <c r="V222" s="282"/>
      <c r="W222" s="37" t="s">
        <v>69</v>
      </c>
      <c r="X222" s="272">
        <f>IFERROR(SUM(X221:X221),"0")</f>
        <v>0</v>
      </c>
      <c r="Y222" s="272">
        <f>IFERROR(SUM(Y221:Y221),"0")</f>
        <v>0</v>
      </c>
      <c r="Z222" s="272">
        <f>IFERROR(IF(Z221="",0,Z221),"0")</f>
        <v>0</v>
      </c>
      <c r="AA222" s="273"/>
      <c r="AB222" s="273"/>
      <c r="AC222" s="273"/>
    </row>
    <row r="223" spans="1:68" x14ac:dyDescent="0.2">
      <c r="A223" s="288"/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9"/>
      <c r="P223" s="280" t="s">
        <v>82</v>
      </c>
      <c r="Q223" s="281"/>
      <c r="R223" s="281"/>
      <c r="S223" s="281"/>
      <c r="T223" s="281"/>
      <c r="U223" s="281"/>
      <c r="V223" s="282"/>
      <c r="W223" s="37" t="s">
        <v>83</v>
      </c>
      <c r="X223" s="272">
        <f>IFERROR(SUMPRODUCT(X221:X221*H221:H221),"0")</f>
        <v>0</v>
      </c>
      <c r="Y223" s="272">
        <f>IFERROR(SUMPRODUCT(Y221:Y221*H221:H221),"0")</f>
        <v>0</v>
      </c>
      <c r="Z223" s="37"/>
      <c r="AA223" s="273"/>
      <c r="AB223" s="273"/>
      <c r="AC223" s="273"/>
    </row>
    <row r="224" spans="1:68" ht="27.75" customHeight="1" x14ac:dyDescent="0.2">
      <c r="A224" s="285" t="s">
        <v>316</v>
      </c>
      <c r="B224" s="286"/>
      <c r="C224" s="286"/>
      <c r="D224" s="286"/>
      <c r="E224" s="286"/>
      <c r="F224" s="286"/>
      <c r="G224" s="286"/>
      <c r="H224" s="286"/>
      <c r="I224" s="286"/>
      <c r="J224" s="286"/>
      <c r="K224" s="286"/>
      <c r="L224" s="286"/>
      <c r="M224" s="286"/>
      <c r="N224" s="286"/>
      <c r="O224" s="286"/>
      <c r="P224" s="286"/>
      <c r="Q224" s="286"/>
      <c r="R224" s="286"/>
      <c r="S224" s="286"/>
      <c r="T224" s="286"/>
      <c r="U224" s="286"/>
      <c r="V224" s="286"/>
      <c r="W224" s="286"/>
      <c r="X224" s="286"/>
      <c r="Y224" s="286"/>
      <c r="Z224" s="286"/>
      <c r="AA224" s="48"/>
      <c r="AB224" s="48"/>
      <c r="AC224" s="48"/>
    </row>
    <row r="225" spans="1:68" ht="16.5" customHeight="1" x14ac:dyDescent="0.25">
      <c r="A225" s="292" t="s">
        <v>317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265"/>
      <c r="AB225" s="265"/>
      <c r="AC225" s="265"/>
    </row>
    <row r="226" spans="1:68" ht="14.25" customHeight="1" x14ac:dyDescent="0.25">
      <c r="A226" s="303" t="s">
        <v>63</v>
      </c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88"/>
      <c r="P226" s="288"/>
      <c r="Q226" s="288"/>
      <c r="R226" s="288"/>
      <c r="S226" s="288"/>
      <c r="T226" s="288"/>
      <c r="U226" s="288"/>
      <c r="V226" s="288"/>
      <c r="W226" s="288"/>
      <c r="X226" s="288"/>
      <c r="Y226" s="288"/>
      <c r="Z226" s="288"/>
      <c r="AA226" s="264"/>
      <c r="AB226" s="264"/>
      <c r="AC226" s="264"/>
    </row>
    <row r="227" spans="1:68" ht="27" customHeight="1" x14ac:dyDescent="0.25">
      <c r="A227" s="54" t="s">
        <v>318</v>
      </c>
      <c r="B227" s="54" t="s">
        <v>319</v>
      </c>
      <c r="C227" s="31">
        <v>4301071029</v>
      </c>
      <c r="D227" s="274">
        <v>4607111035899</v>
      </c>
      <c r="E227" s="275"/>
      <c r="F227" s="269">
        <v>1</v>
      </c>
      <c r="G227" s="32">
        <v>5</v>
      </c>
      <c r="H227" s="269">
        <v>5</v>
      </c>
      <c r="I227" s="269">
        <v>5.2619999999999996</v>
      </c>
      <c r="J227" s="32">
        <v>84</v>
      </c>
      <c r="K227" s="32" t="s">
        <v>66</v>
      </c>
      <c r="L227" s="32" t="s">
        <v>96</v>
      </c>
      <c r="M227" s="33" t="s">
        <v>68</v>
      </c>
      <c r="N227" s="33"/>
      <c r="O227" s="32">
        <v>180</v>
      </c>
      <c r="P227" s="41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277"/>
      <c r="R227" s="277"/>
      <c r="S227" s="277"/>
      <c r="T227" s="278"/>
      <c r="U227" s="34"/>
      <c r="V227" s="34"/>
      <c r="W227" s="35" t="s">
        <v>69</v>
      </c>
      <c r="X227" s="270">
        <v>72</v>
      </c>
      <c r="Y227" s="271">
        <f>IFERROR(IF(X227="","",X227),"")</f>
        <v>72</v>
      </c>
      <c r="Z227" s="36">
        <f>IFERROR(IF(X227="","",X227*0.0155),"")</f>
        <v>1.1160000000000001</v>
      </c>
      <c r="AA227" s="56"/>
      <c r="AB227" s="57"/>
      <c r="AC227" s="222" t="s">
        <v>259</v>
      </c>
      <c r="AG227" s="67"/>
      <c r="AJ227" s="71" t="s">
        <v>98</v>
      </c>
      <c r="AK227" s="71">
        <v>84</v>
      </c>
      <c r="BB227" s="223" t="s">
        <v>1</v>
      </c>
      <c r="BM227" s="67">
        <f>IFERROR(X227*I227,"0")</f>
        <v>378.86399999999998</v>
      </c>
      <c r="BN227" s="67">
        <f>IFERROR(Y227*I227,"0")</f>
        <v>378.86399999999998</v>
      </c>
      <c r="BO227" s="67">
        <f>IFERROR(X227/J227,"0")</f>
        <v>0.8571428571428571</v>
      </c>
      <c r="BP227" s="67">
        <f>IFERROR(Y227/J227,"0")</f>
        <v>0.8571428571428571</v>
      </c>
    </row>
    <row r="228" spans="1:68" x14ac:dyDescent="0.2">
      <c r="A228" s="287"/>
      <c r="B228" s="288"/>
      <c r="C228" s="288"/>
      <c r="D228" s="288"/>
      <c r="E228" s="288"/>
      <c r="F228" s="288"/>
      <c r="G228" s="288"/>
      <c r="H228" s="288"/>
      <c r="I228" s="288"/>
      <c r="J228" s="288"/>
      <c r="K228" s="288"/>
      <c r="L228" s="288"/>
      <c r="M228" s="288"/>
      <c r="N228" s="288"/>
      <c r="O228" s="289"/>
      <c r="P228" s="280" t="s">
        <v>82</v>
      </c>
      <c r="Q228" s="281"/>
      <c r="R228" s="281"/>
      <c r="S228" s="281"/>
      <c r="T228" s="281"/>
      <c r="U228" s="281"/>
      <c r="V228" s="282"/>
      <c r="W228" s="37" t="s">
        <v>69</v>
      </c>
      <c r="X228" s="272">
        <f>IFERROR(SUM(X227:X227),"0")</f>
        <v>72</v>
      </c>
      <c r="Y228" s="272">
        <f>IFERROR(SUM(Y227:Y227),"0")</f>
        <v>72</v>
      </c>
      <c r="Z228" s="272">
        <f>IFERROR(IF(Z227="",0,Z227),"0")</f>
        <v>1.1160000000000001</v>
      </c>
      <c r="AA228" s="273"/>
      <c r="AB228" s="273"/>
      <c r="AC228" s="273"/>
    </row>
    <row r="229" spans="1:68" x14ac:dyDescent="0.2">
      <c r="A229" s="288"/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9"/>
      <c r="P229" s="280" t="s">
        <v>82</v>
      </c>
      <c r="Q229" s="281"/>
      <c r="R229" s="281"/>
      <c r="S229" s="281"/>
      <c r="T229" s="281"/>
      <c r="U229" s="281"/>
      <c r="V229" s="282"/>
      <c r="W229" s="37" t="s">
        <v>83</v>
      </c>
      <c r="X229" s="272">
        <f>IFERROR(SUMPRODUCT(X227:X227*H227:H227),"0")</f>
        <v>360</v>
      </c>
      <c r="Y229" s="272">
        <f>IFERROR(SUMPRODUCT(Y227:Y227*H227:H227),"0")</f>
        <v>360</v>
      </c>
      <c r="Z229" s="37"/>
      <c r="AA229" s="273"/>
      <c r="AB229" s="273"/>
      <c r="AC229" s="273"/>
    </row>
    <row r="230" spans="1:68" ht="27.75" customHeight="1" x14ac:dyDescent="0.2">
      <c r="A230" s="285" t="s">
        <v>320</v>
      </c>
      <c r="B230" s="286"/>
      <c r="C230" s="286"/>
      <c r="D230" s="286"/>
      <c r="E230" s="286"/>
      <c r="F230" s="286"/>
      <c r="G230" s="286"/>
      <c r="H230" s="286"/>
      <c r="I230" s="286"/>
      <c r="J230" s="286"/>
      <c r="K230" s="286"/>
      <c r="L230" s="286"/>
      <c r="M230" s="286"/>
      <c r="N230" s="286"/>
      <c r="O230" s="286"/>
      <c r="P230" s="286"/>
      <c r="Q230" s="286"/>
      <c r="R230" s="286"/>
      <c r="S230" s="286"/>
      <c r="T230" s="286"/>
      <c r="U230" s="286"/>
      <c r="V230" s="286"/>
      <c r="W230" s="286"/>
      <c r="X230" s="286"/>
      <c r="Y230" s="286"/>
      <c r="Z230" s="286"/>
      <c r="AA230" s="48"/>
      <c r="AB230" s="48"/>
      <c r="AC230" s="48"/>
    </row>
    <row r="231" spans="1:68" ht="16.5" customHeight="1" x14ac:dyDescent="0.25">
      <c r="A231" s="292" t="s">
        <v>321</v>
      </c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265"/>
      <c r="AB231" s="265"/>
      <c r="AC231" s="265"/>
    </row>
    <row r="232" spans="1:68" ht="14.25" customHeight="1" x14ac:dyDescent="0.25">
      <c r="A232" s="303" t="s">
        <v>322</v>
      </c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88"/>
      <c r="P232" s="288"/>
      <c r="Q232" s="288"/>
      <c r="R232" s="288"/>
      <c r="S232" s="288"/>
      <c r="T232" s="288"/>
      <c r="U232" s="288"/>
      <c r="V232" s="288"/>
      <c r="W232" s="288"/>
      <c r="X232" s="288"/>
      <c r="Y232" s="288"/>
      <c r="Z232" s="288"/>
      <c r="AA232" s="264"/>
      <c r="AB232" s="264"/>
      <c r="AC232" s="264"/>
    </row>
    <row r="233" spans="1:68" ht="27" customHeight="1" x14ac:dyDescent="0.25">
      <c r="A233" s="54" t="s">
        <v>323</v>
      </c>
      <c r="B233" s="54" t="s">
        <v>324</v>
      </c>
      <c r="C233" s="31">
        <v>4301133004</v>
      </c>
      <c r="D233" s="274">
        <v>4607111039774</v>
      </c>
      <c r="E233" s="275"/>
      <c r="F233" s="269">
        <v>0.25</v>
      </c>
      <c r="G233" s="32">
        <v>12</v>
      </c>
      <c r="H233" s="269">
        <v>3</v>
      </c>
      <c r="I233" s="269">
        <v>3.22</v>
      </c>
      <c r="J233" s="32">
        <v>70</v>
      </c>
      <c r="K233" s="32" t="s">
        <v>95</v>
      </c>
      <c r="L233" s="32" t="s">
        <v>67</v>
      </c>
      <c r="M233" s="33" t="s">
        <v>68</v>
      </c>
      <c r="N233" s="33"/>
      <c r="O233" s="32">
        <v>180</v>
      </c>
      <c r="P233" s="39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77"/>
      <c r="R233" s="277"/>
      <c r="S233" s="277"/>
      <c r="T233" s="278"/>
      <c r="U233" s="34"/>
      <c r="V233" s="34"/>
      <c r="W233" s="35" t="s">
        <v>69</v>
      </c>
      <c r="X233" s="270">
        <v>0</v>
      </c>
      <c r="Y233" s="271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325</v>
      </c>
      <c r="AG233" s="67"/>
      <c r="AJ233" s="71" t="s">
        <v>71</v>
      </c>
      <c r="AK233" s="71">
        <v>1</v>
      </c>
      <c r="BB233" s="225" t="s">
        <v>99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x14ac:dyDescent="0.2">
      <c r="A234" s="287"/>
      <c r="B234" s="288"/>
      <c r="C234" s="288"/>
      <c r="D234" s="288"/>
      <c r="E234" s="288"/>
      <c r="F234" s="288"/>
      <c r="G234" s="288"/>
      <c r="H234" s="288"/>
      <c r="I234" s="288"/>
      <c r="J234" s="288"/>
      <c r="K234" s="288"/>
      <c r="L234" s="288"/>
      <c r="M234" s="288"/>
      <c r="N234" s="288"/>
      <c r="O234" s="289"/>
      <c r="P234" s="280" t="s">
        <v>82</v>
      </c>
      <c r="Q234" s="281"/>
      <c r="R234" s="281"/>
      <c r="S234" s="281"/>
      <c r="T234" s="281"/>
      <c r="U234" s="281"/>
      <c r="V234" s="282"/>
      <c r="W234" s="37" t="s">
        <v>69</v>
      </c>
      <c r="X234" s="272">
        <f>IFERROR(SUM(X233:X233),"0")</f>
        <v>0</v>
      </c>
      <c r="Y234" s="272">
        <f>IFERROR(SUM(Y233:Y233),"0")</f>
        <v>0</v>
      </c>
      <c r="Z234" s="272">
        <f>IFERROR(IF(Z233="",0,Z233),"0")</f>
        <v>0</v>
      </c>
      <c r="AA234" s="273"/>
      <c r="AB234" s="273"/>
      <c r="AC234" s="273"/>
    </row>
    <row r="235" spans="1:68" x14ac:dyDescent="0.2">
      <c r="A235" s="288"/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9"/>
      <c r="P235" s="280" t="s">
        <v>82</v>
      </c>
      <c r="Q235" s="281"/>
      <c r="R235" s="281"/>
      <c r="S235" s="281"/>
      <c r="T235" s="281"/>
      <c r="U235" s="281"/>
      <c r="V235" s="282"/>
      <c r="W235" s="37" t="s">
        <v>83</v>
      </c>
      <c r="X235" s="272">
        <f>IFERROR(SUMPRODUCT(X233:X233*H233:H233),"0")</f>
        <v>0</v>
      </c>
      <c r="Y235" s="272">
        <f>IFERROR(SUMPRODUCT(Y233:Y233*H233:H233),"0")</f>
        <v>0</v>
      </c>
      <c r="Z235" s="37"/>
      <c r="AA235" s="273"/>
      <c r="AB235" s="273"/>
      <c r="AC235" s="273"/>
    </row>
    <row r="236" spans="1:68" ht="14.25" customHeight="1" x14ac:dyDescent="0.25">
      <c r="A236" s="303" t="s">
        <v>138</v>
      </c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64"/>
      <c r="AB236" s="264"/>
      <c r="AC236" s="264"/>
    </row>
    <row r="237" spans="1:68" ht="37.5" customHeight="1" x14ac:dyDescent="0.25">
      <c r="A237" s="54" t="s">
        <v>326</v>
      </c>
      <c r="B237" s="54" t="s">
        <v>327</v>
      </c>
      <c r="C237" s="31">
        <v>4301135400</v>
      </c>
      <c r="D237" s="274">
        <v>4607111039361</v>
      </c>
      <c r="E237" s="275"/>
      <c r="F237" s="269">
        <v>0.25</v>
      </c>
      <c r="G237" s="32">
        <v>12</v>
      </c>
      <c r="H237" s="269">
        <v>3</v>
      </c>
      <c r="I237" s="269">
        <v>3.7035999999999998</v>
      </c>
      <c r="J237" s="32">
        <v>70</v>
      </c>
      <c r="K237" s="32" t="s">
        <v>95</v>
      </c>
      <c r="L237" s="32" t="s">
        <v>67</v>
      </c>
      <c r="M237" s="33" t="s">
        <v>68</v>
      </c>
      <c r="N237" s="33"/>
      <c r="O237" s="32">
        <v>180</v>
      </c>
      <c r="P237" s="32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77"/>
      <c r="R237" s="277"/>
      <c r="S237" s="277"/>
      <c r="T237" s="278"/>
      <c r="U237" s="34"/>
      <c r="V237" s="34"/>
      <c r="W237" s="35" t="s">
        <v>69</v>
      </c>
      <c r="X237" s="270">
        <v>0</v>
      </c>
      <c r="Y237" s="271">
        <f>IFERROR(IF(X237="","",X237),"")</f>
        <v>0</v>
      </c>
      <c r="Z237" s="36">
        <f>IFERROR(IF(X237="","",X237*0.01788),"")</f>
        <v>0</v>
      </c>
      <c r="AA237" s="56"/>
      <c r="AB237" s="57"/>
      <c r="AC237" s="226" t="s">
        <v>325</v>
      </c>
      <c r="AG237" s="67"/>
      <c r="AJ237" s="71" t="s">
        <v>71</v>
      </c>
      <c r="AK237" s="71">
        <v>1</v>
      </c>
      <c r="BB237" s="227" t="s">
        <v>99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87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89"/>
      <c r="P238" s="280" t="s">
        <v>82</v>
      </c>
      <c r="Q238" s="281"/>
      <c r="R238" s="281"/>
      <c r="S238" s="281"/>
      <c r="T238" s="281"/>
      <c r="U238" s="281"/>
      <c r="V238" s="282"/>
      <c r="W238" s="37" t="s">
        <v>69</v>
      </c>
      <c r="X238" s="272">
        <f>IFERROR(SUM(X237:X237),"0")</f>
        <v>0</v>
      </c>
      <c r="Y238" s="272">
        <f>IFERROR(SUM(Y237:Y237),"0")</f>
        <v>0</v>
      </c>
      <c r="Z238" s="272">
        <f>IFERROR(IF(Z237="",0,Z237),"0")</f>
        <v>0</v>
      </c>
      <c r="AA238" s="273"/>
      <c r="AB238" s="273"/>
      <c r="AC238" s="273"/>
    </row>
    <row r="239" spans="1:68" x14ac:dyDescent="0.2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89"/>
      <c r="P239" s="280" t="s">
        <v>82</v>
      </c>
      <c r="Q239" s="281"/>
      <c r="R239" s="281"/>
      <c r="S239" s="281"/>
      <c r="T239" s="281"/>
      <c r="U239" s="281"/>
      <c r="V239" s="282"/>
      <c r="W239" s="37" t="s">
        <v>83</v>
      </c>
      <c r="X239" s="272">
        <f>IFERROR(SUMPRODUCT(X237:X237*H237:H237),"0")</f>
        <v>0</v>
      </c>
      <c r="Y239" s="272">
        <f>IFERROR(SUMPRODUCT(Y237:Y237*H237:H237),"0")</f>
        <v>0</v>
      </c>
      <c r="Z239" s="37"/>
      <c r="AA239" s="273"/>
      <c r="AB239" s="273"/>
      <c r="AC239" s="273"/>
    </row>
    <row r="240" spans="1:68" ht="27.75" customHeight="1" x14ac:dyDescent="0.2">
      <c r="A240" s="285" t="s">
        <v>328</v>
      </c>
      <c r="B240" s="286"/>
      <c r="C240" s="286"/>
      <c r="D240" s="286"/>
      <c r="E240" s="286"/>
      <c r="F240" s="286"/>
      <c r="G240" s="286"/>
      <c r="H240" s="286"/>
      <c r="I240" s="286"/>
      <c r="J240" s="286"/>
      <c r="K240" s="286"/>
      <c r="L240" s="286"/>
      <c r="M240" s="286"/>
      <c r="N240" s="286"/>
      <c r="O240" s="286"/>
      <c r="P240" s="286"/>
      <c r="Q240" s="286"/>
      <c r="R240" s="286"/>
      <c r="S240" s="286"/>
      <c r="T240" s="286"/>
      <c r="U240" s="286"/>
      <c r="V240" s="286"/>
      <c r="W240" s="286"/>
      <c r="X240" s="286"/>
      <c r="Y240" s="286"/>
      <c r="Z240" s="286"/>
      <c r="AA240" s="48"/>
      <c r="AB240" s="48"/>
      <c r="AC240" s="48"/>
    </row>
    <row r="241" spans="1:68" ht="16.5" customHeight="1" x14ac:dyDescent="0.25">
      <c r="A241" s="292" t="s">
        <v>328</v>
      </c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265"/>
      <c r="AB241" s="265"/>
      <c r="AC241" s="265"/>
    </row>
    <row r="242" spans="1:68" ht="14.25" customHeight="1" x14ac:dyDescent="0.25">
      <c r="A242" s="303" t="s">
        <v>63</v>
      </c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88"/>
      <c r="P242" s="288"/>
      <c r="Q242" s="288"/>
      <c r="R242" s="288"/>
      <c r="S242" s="288"/>
      <c r="T242" s="288"/>
      <c r="U242" s="288"/>
      <c r="V242" s="288"/>
      <c r="W242" s="288"/>
      <c r="X242" s="288"/>
      <c r="Y242" s="288"/>
      <c r="Z242" s="288"/>
      <c r="AA242" s="264"/>
      <c r="AB242" s="264"/>
      <c r="AC242" s="264"/>
    </row>
    <row r="243" spans="1:68" ht="27" customHeight="1" x14ac:dyDescent="0.25">
      <c r="A243" s="54" t="s">
        <v>329</v>
      </c>
      <c r="B243" s="54" t="s">
        <v>330</v>
      </c>
      <c r="C243" s="31">
        <v>4301071014</v>
      </c>
      <c r="D243" s="274">
        <v>4640242181264</v>
      </c>
      <c r="E243" s="275"/>
      <c r="F243" s="269">
        <v>0.7</v>
      </c>
      <c r="G243" s="32">
        <v>10</v>
      </c>
      <c r="H243" s="269">
        <v>7</v>
      </c>
      <c r="I243" s="269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277"/>
      <c r="R243" s="277"/>
      <c r="S243" s="277"/>
      <c r="T243" s="278"/>
      <c r="U243" s="34"/>
      <c r="V243" s="34"/>
      <c r="W243" s="35" t="s">
        <v>69</v>
      </c>
      <c r="X243" s="270">
        <v>0</v>
      </c>
      <c r="Y243" s="271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331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customHeight="1" x14ac:dyDescent="0.25">
      <c r="A244" s="54" t="s">
        <v>332</v>
      </c>
      <c r="B244" s="54" t="s">
        <v>333</v>
      </c>
      <c r="C244" s="31">
        <v>4301071021</v>
      </c>
      <c r="D244" s="274">
        <v>4640242181325</v>
      </c>
      <c r="E244" s="275"/>
      <c r="F244" s="269">
        <v>0.7</v>
      </c>
      <c r="G244" s="32">
        <v>10</v>
      </c>
      <c r="H244" s="269">
        <v>7</v>
      </c>
      <c r="I244" s="269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277"/>
      <c r="R244" s="277"/>
      <c r="S244" s="277"/>
      <c r="T244" s="278"/>
      <c r="U244" s="34"/>
      <c r="V244" s="34"/>
      <c r="W244" s="35" t="s">
        <v>69</v>
      </c>
      <c r="X244" s="270">
        <v>0</v>
      </c>
      <c r="Y244" s="271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331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87"/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9"/>
      <c r="P245" s="280" t="s">
        <v>82</v>
      </c>
      <c r="Q245" s="281"/>
      <c r="R245" s="281"/>
      <c r="S245" s="281"/>
      <c r="T245" s="281"/>
      <c r="U245" s="281"/>
      <c r="V245" s="282"/>
      <c r="W245" s="37" t="s">
        <v>69</v>
      </c>
      <c r="X245" s="272">
        <f>IFERROR(SUM(X243:X244),"0")</f>
        <v>0</v>
      </c>
      <c r="Y245" s="272">
        <f>IFERROR(SUM(Y243:Y244),"0")</f>
        <v>0</v>
      </c>
      <c r="Z245" s="272">
        <f>IFERROR(IF(Z243="",0,Z243),"0")+IFERROR(IF(Z244="",0,Z244),"0")</f>
        <v>0</v>
      </c>
      <c r="AA245" s="273"/>
      <c r="AB245" s="273"/>
      <c r="AC245" s="273"/>
    </row>
    <row r="246" spans="1:68" x14ac:dyDescent="0.2">
      <c r="A246" s="288"/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9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2">
        <f>IFERROR(SUMPRODUCT(X243:X244*H243:H244),"0")</f>
        <v>0</v>
      </c>
      <c r="Y246" s="272">
        <f>IFERROR(SUMPRODUCT(Y243:Y244*H243:H244),"0")</f>
        <v>0</v>
      </c>
      <c r="Z246" s="37"/>
      <c r="AA246" s="273"/>
      <c r="AB246" s="273"/>
      <c r="AC246" s="273"/>
    </row>
    <row r="247" spans="1:68" ht="14.25" customHeight="1" x14ac:dyDescent="0.25">
      <c r="A247" s="303" t="s">
        <v>92</v>
      </c>
      <c r="B247" s="288"/>
      <c r="C247" s="288"/>
      <c r="D247" s="288"/>
      <c r="E247" s="288"/>
      <c r="F247" s="288"/>
      <c r="G247" s="288"/>
      <c r="H247" s="288"/>
      <c r="I247" s="288"/>
      <c r="J247" s="288"/>
      <c r="K247" s="288"/>
      <c r="L247" s="288"/>
      <c r="M247" s="288"/>
      <c r="N247" s="288"/>
      <c r="O247" s="288"/>
      <c r="P247" s="288"/>
      <c r="Q247" s="288"/>
      <c r="R247" s="288"/>
      <c r="S247" s="288"/>
      <c r="T247" s="288"/>
      <c r="U247" s="288"/>
      <c r="V247" s="288"/>
      <c r="W247" s="288"/>
      <c r="X247" s="288"/>
      <c r="Y247" s="288"/>
      <c r="Z247" s="288"/>
      <c r="AA247" s="264"/>
      <c r="AB247" s="264"/>
      <c r="AC247" s="264"/>
    </row>
    <row r="248" spans="1:68" ht="27" customHeight="1" x14ac:dyDescent="0.25">
      <c r="A248" s="54" t="s">
        <v>334</v>
      </c>
      <c r="B248" s="54" t="s">
        <v>335</v>
      </c>
      <c r="C248" s="31">
        <v>4301132080</v>
      </c>
      <c r="D248" s="274">
        <v>4640242180397</v>
      </c>
      <c r="E248" s="275"/>
      <c r="F248" s="269">
        <v>1</v>
      </c>
      <c r="G248" s="32">
        <v>6</v>
      </c>
      <c r="H248" s="269">
        <v>6</v>
      </c>
      <c r="I248" s="269">
        <v>6.26</v>
      </c>
      <c r="J248" s="32">
        <v>84</v>
      </c>
      <c r="K248" s="32" t="s">
        <v>66</v>
      </c>
      <c r="L248" s="32" t="s">
        <v>96</v>
      </c>
      <c r="M248" s="33" t="s">
        <v>68</v>
      </c>
      <c r="N248" s="33"/>
      <c r="O248" s="32">
        <v>180</v>
      </c>
      <c r="P248" s="39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277"/>
      <c r="R248" s="277"/>
      <c r="S248" s="277"/>
      <c r="T248" s="278"/>
      <c r="U248" s="34"/>
      <c r="V248" s="34"/>
      <c r="W248" s="35" t="s">
        <v>69</v>
      </c>
      <c r="X248" s="270">
        <v>132</v>
      </c>
      <c r="Y248" s="271">
        <f>IFERROR(IF(X248="","",X248),"")</f>
        <v>132</v>
      </c>
      <c r="Z248" s="36">
        <f>IFERROR(IF(X248="","",X248*0.0155),"")</f>
        <v>2.0459999999999998</v>
      </c>
      <c r="AA248" s="56"/>
      <c r="AB248" s="57"/>
      <c r="AC248" s="232" t="s">
        <v>336</v>
      </c>
      <c r="AG248" s="67"/>
      <c r="AJ248" s="71" t="s">
        <v>98</v>
      </c>
      <c r="AK248" s="71">
        <v>84</v>
      </c>
      <c r="BB248" s="233" t="s">
        <v>99</v>
      </c>
      <c r="BM248" s="67">
        <f>IFERROR(X248*I248,"0")</f>
        <v>826.31999999999994</v>
      </c>
      <c r="BN248" s="67">
        <f>IFERROR(Y248*I248,"0")</f>
        <v>826.31999999999994</v>
      </c>
      <c r="BO248" s="67">
        <f>IFERROR(X248/J248,"0")</f>
        <v>1.5714285714285714</v>
      </c>
      <c r="BP248" s="67">
        <f>IFERROR(Y248/J248,"0")</f>
        <v>1.5714285714285714</v>
      </c>
    </row>
    <row r="249" spans="1:68" ht="27" customHeight="1" x14ac:dyDescent="0.25">
      <c r="A249" s="54" t="s">
        <v>337</v>
      </c>
      <c r="B249" s="54" t="s">
        <v>338</v>
      </c>
      <c r="C249" s="31">
        <v>4301132104</v>
      </c>
      <c r="D249" s="274">
        <v>4640242181219</v>
      </c>
      <c r="E249" s="275"/>
      <c r="F249" s="269">
        <v>0.3</v>
      </c>
      <c r="G249" s="32">
        <v>9</v>
      </c>
      <c r="H249" s="269">
        <v>2.7</v>
      </c>
      <c r="I249" s="269">
        <v>2.8450000000000002</v>
      </c>
      <c r="J249" s="32">
        <v>234</v>
      </c>
      <c r="K249" s="32" t="s">
        <v>149</v>
      </c>
      <c r="L249" s="32" t="s">
        <v>108</v>
      </c>
      <c r="M249" s="33" t="s">
        <v>68</v>
      </c>
      <c r="N249" s="33"/>
      <c r="O249" s="32">
        <v>180</v>
      </c>
      <c r="P249" s="29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277"/>
      <c r="R249" s="277"/>
      <c r="S249" s="277"/>
      <c r="T249" s="278"/>
      <c r="U249" s="34"/>
      <c r="V249" s="34"/>
      <c r="W249" s="35" t="s">
        <v>69</v>
      </c>
      <c r="X249" s="270">
        <v>0</v>
      </c>
      <c r="Y249" s="271">
        <f>IFERROR(IF(X249="","",X249),"")</f>
        <v>0</v>
      </c>
      <c r="Z249" s="36">
        <f>IFERROR(IF(X249="","",X249*0.00502),"")</f>
        <v>0</v>
      </c>
      <c r="AA249" s="56"/>
      <c r="AB249" s="57"/>
      <c r="AC249" s="234" t="s">
        <v>336</v>
      </c>
      <c r="AG249" s="67"/>
      <c r="AJ249" s="71" t="s">
        <v>110</v>
      </c>
      <c r="AK249" s="71">
        <v>18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87"/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9"/>
      <c r="P250" s="280" t="s">
        <v>82</v>
      </c>
      <c r="Q250" s="281"/>
      <c r="R250" s="281"/>
      <c r="S250" s="281"/>
      <c r="T250" s="281"/>
      <c r="U250" s="281"/>
      <c r="V250" s="282"/>
      <c r="W250" s="37" t="s">
        <v>69</v>
      </c>
      <c r="X250" s="272">
        <f>IFERROR(SUM(X248:X249),"0")</f>
        <v>132</v>
      </c>
      <c r="Y250" s="272">
        <f>IFERROR(SUM(Y248:Y249),"0")</f>
        <v>132</v>
      </c>
      <c r="Z250" s="272">
        <f>IFERROR(IF(Z248="",0,Z248),"0")+IFERROR(IF(Z249="",0,Z249),"0")</f>
        <v>2.0459999999999998</v>
      </c>
      <c r="AA250" s="273"/>
      <c r="AB250" s="273"/>
      <c r="AC250" s="273"/>
    </row>
    <row r="251" spans="1:68" x14ac:dyDescent="0.2">
      <c r="A251" s="288"/>
      <c r="B251" s="288"/>
      <c r="C251" s="288"/>
      <c r="D251" s="288"/>
      <c r="E251" s="288"/>
      <c r="F251" s="288"/>
      <c r="G251" s="288"/>
      <c r="H251" s="288"/>
      <c r="I251" s="288"/>
      <c r="J251" s="288"/>
      <c r="K251" s="288"/>
      <c r="L251" s="288"/>
      <c r="M251" s="288"/>
      <c r="N251" s="288"/>
      <c r="O251" s="289"/>
      <c r="P251" s="280" t="s">
        <v>82</v>
      </c>
      <c r="Q251" s="281"/>
      <c r="R251" s="281"/>
      <c r="S251" s="281"/>
      <c r="T251" s="281"/>
      <c r="U251" s="281"/>
      <c r="V251" s="282"/>
      <c r="W251" s="37" t="s">
        <v>83</v>
      </c>
      <c r="X251" s="272">
        <f>IFERROR(SUMPRODUCT(X248:X249*H248:H249),"0")</f>
        <v>792</v>
      </c>
      <c r="Y251" s="272">
        <f>IFERROR(SUMPRODUCT(Y248:Y249*H248:H249),"0")</f>
        <v>792</v>
      </c>
      <c r="Z251" s="37"/>
      <c r="AA251" s="273"/>
      <c r="AB251" s="273"/>
      <c r="AC251" s="273"/>
    </row>
    <row r="252" spans="1:68" ht="14.25" customHeight="1" x14ac:dyDescent="0.25">
      <c r="A252" s="303" t="s">
        <v>132</v>
      </c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88"/>
      <c r="P252" s="288"/>
      <c r="Q252" s="288"/>
      <c r="R252" s="288"/>
      <c r="S252" s="288"/>
      <c r="T252" s="288"/>
      <c r="U252" s="288"/>
      <c r="V252" s="288"/>
      <c r="W252" s="288"/>
      <c r="X252" s="288"/>
      <c r="Y252" s="288"/>
      <c r="Z252" s="288"/>
      <c r="AA252" s="264"/>
      <c r="AB252" s="264"/>
      <c r="AC252" s="264"/>
    </row>
    <row r="253" spans="1:68" ht="27" customHeight="1" x14ac:dyDescent="0.25">
      <c r="A253" s="54" t="s">
        <v>339</v>
      </c>
      <c r="B253" s="54" t="s">
        <v>340</v>
      </c>
      <c r="C253" s="31">
        <v>4301136051</v>
      </c>
      <c r="D253" s="274">
        <v>4640242180304</v>
      </c>
      <c r="E253" s="275"/>
      <c r="F253" s="269">
        <v>2.7</v>
      </c>
      <c r="G253" s="32">
        <v>1</v>
      </c>
      <c r="H253" s="269">
        <v>2.7</v>
      </c>
      <c r="I253" s="269">
        <v>2.8906000000000001</v>
      </c>
      <c r="J253" s="32">
        <v>126</v>
      </c>
      <c r="K253" s="32" t="s">
        <v>95</v>
      </c>
      <c r="L253" s="32" t="s">
        <v>108</v>
      </c>
      <c r="M253" s="33" t="s">
        <v>68</v>
      </c>
      <c r="N253" s="33"/>
      <c r="O253" s="32">
        <v>180</v>
      </c>
      <c r="P253" s="43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277"/>
      <c r="R253" s="277"/>
      <c r="S253" s="277"/>
      <c r="T253" s="278"/>
      <c r="U253" s="34"/>
      <c r="V253" s="34"/>
      <c r="W253" s="35" t="s">
        <v>69</v>
      </c>
      <c r="X253" s="270">
        <v>0</v>
      </c>
      <c r="Y253" s="271">
        <f>IFERROR(IF(X253="","",X253),"")</f>
        <v>0</v>
      </c>
      <c r="Z253" s="36">
        <f>IFERROR(IF(X253="","",X253*0.00936),"")</f>
        <v>0</v>
      </c>
      <c r="AA253" s="56"/>
      <c r="AB253" s="57"/>
      <c r="AC253" s="236" t="s">
        <v>341</v>
      </c>
      <c r="AG253" s="67"/>
      <c r="AJ253" s="71" t="s">
        <v>110</v>
      </c>
      <c r="AK253" s="71">
        <v>14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342</v>
      </c>
      <c r="B254" s="54" t="s">
        <v>343</v>
      </c>
      <c r="C254" s="31">
        <v>4301136053</v>
      </c>
      <c r="D254" s="274">
        <v>4640242180236</v>
      </c>
      <c r="E254" s="275"/>
      <c r="F254" s="269">
        <v>5</v>
      </c>
      <c r="G254" s="32">
        <v>1</v>
      </c>
      <c r="H254" s="269">
        <v>5</v>
      </c>
      <c r="I254" s="269">
        <v>5.2350000000000003</v>
      </c>
      <c r="J254" s="32">
        <v>84</v>
      </c>
      <c r="K254" s="32" t="s">
        <v>66</v>
      </c>
      <c r="L254" s="32" t="s">
        <v>96</v>
      </c>
      <c r="M254" s="33" t="s">
        <v>68</v>
      </c>
      <c r="N254" s="33"/>
      <c r="O254" s="32">
        <v>180</v>
      </c>
      <c r="P254" s="39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277"/>
      <c r="R254" s="277"/>
      <c r="S254" s="277"/>
      <c r="T254" s="278"/>
      <c r="U254" s="34"/>
      <c r="V254" s="34"/>
      <c r="W254" s="35" t="s">
        <v>69</v>
      </c>
      <c r="X254" s="270">
        <v>192</v>
      </c>
      <c r="Y254" s="271">
        <f>IFERROR(IF(X254="","",X254),"")</f>
        <v>192</v>
      </c>
      <c r="Z254" s="36">
        <f>IFERROR(IF(X254="","",X254*0.0155),"")</f>
        <v>2.976</v>
      </c>
      <c r="AA254" s="56"/>
      <c r="AB254" s="57"/>
      <c r="AC254" s="238" t="s">
        <v>341</v>
      </c>
      <c r="AG254" s="67"/>
      <c r="AJ254" s="71" t="s">
        <v>98</v>
      </c>
      <c r="AK254" s="71">
        <v>84</v>
      </c>
      <c r="BB254" s="239" t="s">
        <v>99</v>
      </c>
      <c r="BM254" s="67">
        <f>IFERROR(X254*I254,"0")</f>
        <v>1005.1200000000001</v>
      </c>
      <c r="BN254" s="67">
        <f>IFERROR(Y254*I254,"0")</f>
        <v>1005.1200000000001</v>
      </c>
      <c r="BO254" s="67">
        <f>IFERROR(X254/J254,"0")</f>
        <v>2.2857142857142856</v>
      </c>
      <c r="BP254" s="67">
        <f>IFERROR(Y254/J254,"0")</f>
        <v>2.2857142857142856</v>
      </c>
    </row>
    <row r="255" spans="1:68" ht="27" customHeight="1" x14ac:dyDescent="0.25">
      <c r="A255" s="54" t="s">
        <v>344</v>
      </c>
      <c r="B255" s="54" t="s">
        <v>345</v>
      </c>
      <c r="C255" s="31">
        <v>4301136052</v>
      </c>
      <c r="D255" s="274">
        <v>4640242180410</v>
      </c>
      <c r="E255" s="275"/>
      <c r="F255" s="269">
        <v>2.2400000000000002</v>
      </c>
      <c r="G255" s="32">
        <v>1</v>
      </c>
      <c r="H255" s="269">
        <v>2.2400000000000002</v>
      </c>
      <c r="I255" s="269">
        <v>2.4319999999999999</v>
      </c>
      <c r="J255" s="32">
        <v>126</v>
      </c>
      <c r="K255" s="32" t="s">
        <v>95</v>
      </c>
      <c r="L255" s="32" t="s">
        <v>108</v>
      </c>
      <c r="M255" s="33" t="s">
        <v>68</v>
      </c>
      <c r="N255" s="33"/>
      <c r="O255" s="32">
        <v>180</v>
      </c>
      <c r="P255" s="33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277"/>
      <c r="R255" s="277"/>
      <c r="S255" s="277"/>
      <c r="T255" s="278"/>
      <c r="U255" s="34"/>
      <c r="V255" s="34"/>
      <c r="W255" s="35" t="s">
        <v>69</v>
      </c>
      <c r="X255" s="270">
        <v>14</v>
      </c>
      <c r="Y255" s="271">
        <f>IFERROR(IF(X255="","",X255),"")</f>
        <v>14</v>
      </c>
      <c r="Z255" s="36">
        <f>IFERROR(IF(X255="","",X255*0.00936),"")</f>
        <v>0.13103999999999999</v>
      </c>
      <c r="AA255" s="56"/>
      <c r="AB255" s="57"/>
      <c r="AC255" s="240" t="s">
        <v>341</v>
      </c>
      <c r="AG255" s="67"/>
      <c r="AJ255" s="71" t="s">
        <v>110</v>
      </c>
      <c r="AK255" s="71">
        <v>14</v>
      </c>
      <c r="BB255" s="241" t="s">
        <v>99</v>
      </c>
      <c r="BM255" s="67">
        <f>IFERROR(X255*I255,"0")</f>
        <v>34.048000000000002</v>
      </c>
      <c r="BN255" s="67">
        <f>IFERROR(Y255*I255,"0")</f>
        <v>34.048000000000002</v>
      </c>
      <c r="BO255" s="67">
        <f>IFERROR(X255/J255,"0")</f>
        <v>0.1111111111111111</v>
      </c>
      <c r="BP255" s="67">
        <f>IFERROR(Y255/J255,"0")</f>
        <v>0.1111111111111111</v>
      </c>
    </row>
    <row r="256" spans="1:68" x14ac:dyDescent="0.2">
      <c r="A256" s="287"/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9"/>
      <c r="P256" s="280" t="s">
        <v>82</v>
      </c>
      <c r="Q256" s="281"/>
      <c r="R256" s="281"/>
      <c r="S256" s="281"/>
      <c r="T256" s="281"/>
      <c r="U256" s="281"/>
      <c r="V256" s="282"/>
      <c r="W256" s="37" t="s">
        <v>69</v>
      </c>
      <c r="X256" s="272">
        <f>IFERROR(SUM(X253:X255),"0")</f>
        <v>206</v>
      </c>
      <c r="Y256" s="272">
        <f>IFERROR(SUM(Y253:Y255),"0")</f>
        <v>206</v>
      </c>
      <c r="Z256" s="272">
        <f>IFERROR(IF(Z253="",0,Z253),"0")+IFERROR(IF(Z254="",0,Z254),"0")+IFERROR(IF(Z255="",0,Z255),"0")</f>
        <v>3.10704</v>
      </c>
      <c r="AA256" s="273"/>
      <c r="AB256" s="273"/>
      <c r="AC256" s="273"/>
    </row>
    <row r="257" spans="1:68" x14ac:dyDescent="0.2">
      <c r="A257" s="288"/>
      <c r="B257" s="288"/>
      <c r="C257" s="288"/>
      <c r="D257" s="288"/>
      <c r="E257" s="288"/>
      <c r="F257" s="288"/>
      <c r="G257" s="288"/>
      <c r="H257" s="288"/>
      <c r="I257" s="288"/>
      <c r="J257" s="288"/>
      <c r="K257" s="288"/>
      <c r="L257" s="288"/>
      <c r="M257" s="288"/>
      <c r="N257" s="288"/>
      <c r="O257" s="289"/>
      <c r="P257" s="280" t="s">
        <v>82</v>
      </c>
      <c r="Q257" s="281"/>
      <c r="R257" s="281"/>
      <c r="S257" s="281"/>
      <c r="T257" s="281"/>
      <c r="U257" s="281"/>
      <c r="V257" s="282"/>
      <c r="W257" s="37" t="s">
        <v>83</v>
      </c>
      <c r="X257" s="272">
        <f>IFERROR(SUMPRODUCT(X253:X255*H253:H255),"0")</f>
        <v>991.36</v>
      </c>
      <c r="Y257" s="272">
        <f>IFERROR(SUMPRODUCT(Y253:Y255*H253:H255),"0")</f>
        <v>991.36</v>
      </c>
      <c r="Z257" s="37"/>
      <c r="AA257" s="273"/>
      <c r="AB257" s="273"/>
      <c r="AC257" s="273"/>
    </row>
    <row r="258" spans="1:68" ht="14.25" customHeight="1" x14ac:dyDescent="0.25">
      <c r="A258" s="303" t="s">
        <v>138</v>
      </c>
      <c r="B258" s="288"/>
      <c r="C258" s="288"/>
      <c r="D258" s="288"/>
      <c r="E258" s="288"/>
      <c r="F258" s="288"/>
      <c r="G258" s="288"/>
      <c r="H258" s="288"/>
      <c r="I258" s="288"/>
      <c r="J258" s="288"/>
      <c r="K258" s="288"/>
      <c r="L258" s="288"/>
      <c r="M258" s="288"/>
      <c r="N258" s="288"/>
      <c r="O258" s="288"/>
      <c r="P258" s="288"/>
      <c r="Q258" s="288"/>
      <c r="R258" s="288"/>
      <c r="S258" s="288"/>
      <c r="T258" s="288"/>
      <c r="U258" s="288"/>
      <c r="V258" s="288"/>
      <c r="W258" s="288"/>
      <c r="X258" s="288"/>
      <c r="Y258" s="288"/>
      <c r="Z258" s="288"/>
      <c r="AA258" s="264"/>
      <c r="AB258" s="264"/>
      <c r="AC258" s="264"/>
    </row>
    <row r="259" spans="1:68" ht="37.5" customHeight="1" x14ac:dyDescent="0.25">
      <c r="A259" s="54" t="s">
        <v>346</v>
      </c>
      <c r="B259" s="54" t="s">
        <v>347</v>
      </c>
      <c r="C259" s="31">
        <v>4301135504</v>
      </c>
      <c r="D259" s="274">
        <v>4640242181554</v>
      </c>
      <c r="E259" s="275"/>
      <c r="F259" s="269">
        <v>3</v>
      </c>
      <c r="G259" s="32">
        <v>1</v>
      </c>
      <c r="H259" s="269">
        <v>3</v>
      </c>
      <c r="I259" s="269">
        <v>3.1920000000000002</v>
      </c>
      <c r="J259" s="32">
        <v>126</v>
      </c>
      <c r="K259" s="32" t="s">
        <v>95</v>
      </c>
      <c r="L259" s="32" t="s">
        <v>67</v>
      </c>
      <c r="M259" s="33" t="s">
        <v>68</v>
      </c>
      <c r="N259" s="33"/>
      <c r="O259" s="32">
        <v>180</v>
      </c>
      <c r="P259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277"/>
      <c r="R259" s="277"/>
      <c r="S259" s="277"/>
      <c r="T259" s="278"/>
      <c r="U259" s="34"/>
      <c r="V259" s="34"/>
      <c r="W259" s="35" t="s">
        <v>69</v>
      </c>
      <c r="X259" s="270">
        <v>0</v>
      </c>
      <c r="Y259" s="271">
        <f t="shared" ref="Y259:Y268" si="18">IFERROR(IF(X259="","",X259),"")</f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71</v>
      </c>
      <c r="AK259" s="71">
        <v>1</v>
      </c>
      <c r="BB259" s="243" t="s">
        <v>99</v>
      </c>
      <c r="BM259" s="67">
        <f t="shared" ref="BM259:BM268" si="19">IFERROR(X259*I259,"0")</f>
        <v>0</v>
      </c>
      <c r="BN259" s="67">
        <f t="shared" ref="BN259:BN268" si="20">IFERROR(Y259*I259,"0")</f>
        <v>0</v>
      </c>
      <c r="BO259" s="67">
        <f t="shared" ref="BO259:BO268" si="21">IFERROR(X259/J259,"0")</f>
        <v>0</v>
      </c>
      <c r="BP259" s="67">
        <f t="shared" ref="BP259:BP268" si="22">IFERROR(Y259/J259,"0")</f>
        <v>0</v>
      </c>
    </row>
    <row r="260" spans="1:68" ht="27" customHeight="1" x14ac:dyDescent="0.25">
      <c r="A260" s="54" t="s">
        <v>349</v>
      </c>
      <c r="B260" s="54" t="s">
        <v>350</v>
      </c>
      <c r="C260" s="31">
        <v>4301135518</v>
      </c>
      <c r="D260" s="274">
        <v>4640242181561</v>
      </c>
      <c r="E260" s="275"/>
      <c r="F260" s="269">
        <v>3.7</v>
      </c>
      <c r="G260" s="32">
        <v>1</v>
      </c>
      <c r="H260" s="269">
        <v>3.7</v>
      </c>
      <c r="I260" s="269">
        <v>3.8919999999999999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277"/>
      <c r="R260" s="277"/>
      <c r="S260" s="277"/>
      <c r="T260" s="278"/>
      <c r="U260" s="34"/>
      <c r="V260" s="34"/>
      <c r="W260" s="35" t="s">
        <v>69</v>
      </c>
      <c r="X260" s="270">
        <v>98</v>
      </c>
      <c r="Y260" s="271">
        <f t="shared" si="18"/>
        <v>98</v>
      </c>
      <c r="Z260" s="36">
        <f>IFERROR(IF(X260="","",X260*0.00936),"")</f>
        <v>0.91727999999999998</v>
      </c>
      <c r="AA260" s="56"/>
      <c r="AB260" s="57"/>
      <c r="AC260" s="244" t="s">
        <v>351</v>
      </c>
      <c r="AG260" s="67"/>
      <c r="AJ260" s="71" t="s">
        <v>110</v>
      </c>
      <c r="AK260" s="71">
        <v>14</v>
      </c>
      <c r="BB260" s="245" t="s">
        <v>99</v>
      </c>
      <c r="BM260" s="67">
        <f t="shared" si="19"/>
        <v>381.416</v>
      </c>
      <c r="BN260" s="67">
        <f t="shared" si="20"/>
        <v>381.416</v>
      </c>
      <c r="BO260" s="67">
        <f t="shared" si="21"/>
        <v>0.77777777777777779</v>
      </c>
      <c r="BP260" s="67">
        <f t="shared" si="22"/>
        <v>0.77777777777777779</v>
      </c>
    </row>
    <row r="261" spans="1:68" ht="27" customHeight="1" x14ac:dyDescent="0.25">
      <c r="A261" s="54" t="s">
        <v>352</v>
      </c>
      <c r="B261" s="54" t="s">
        <v>353</v>
      </c>
      <c r="C261" s="31">
        <v>4301135374</v>
      </c>
      <c r="D261" s="274">
        <v>4640242181424</v>
      </c>
      <c r="E261" s="275"/>
      <c r="F261" s="269">
        <v>5.5</v>
      </c>
      <c r="G261" s="32">
        <v>1</v>
      </c>
      <c r="H261" s="269">
        <v>5.5</v>
      </c>
      <c r="I261" s="269">
        <v>5.7350000000000003</v>
      </c>
      <c r="J261" s="32">
        <v>84</v>
      </c>
      <c r="K261" s="32" t="s">
        <v>66</v>
      </c>
      <c r="L261" s="32" t="s">
        <v>108</v>
      </c>
      <c r="M261" s="33" t="s">
        <v>68</v>
      </c>
      <c r="N261" s="33"/>
      <c r="O261" s="32">
        <v>180</v>
      </c>
      <c r="P261" s="39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277"/>
      <c r="R261" s="277"/>
      <c r="S261" s="277"/>
      <c r="T261" s="278"/>
      <c r="U261" s="34"/>
      <c r="V261" s="34"/>
      <c r="W261" s="35" t="s">
        <v>69</v>
      </c>
      <c r="X261" s="270">
        <v>12</v>
      </c>
      <c r="Y261" s="271">
        <f t="shared" si="18"/>
        <v>12</v>
      </c>
      <c r="Z261" s="36">
        <f>IFERROR(IF(X261="","",X261*0.0155),"")</f>
        <v>0.186</v>
      </c>
      <c r="AA261" s="56"/>
      <c r="AB261" s="57"/>
      <c r="AC261" s="246" t="s">
        <v>348</v>
      </c>
      <c r="AG261" s="67"/>
      <c r="AJ261" s="71" t="s">
        <v>110</v>
      </c>
      <c r="AK261" s="71">
        <v>12</v>
      </c>
      <c r="BB261" s="247" t="s">
        <v>99</v>
      </c>
      <c r="BM261" s="67">
        <f t="shared" si="19"/>
        <v>68.820000000000007</v>
      </c>
      <c r="BN261" s="67">
        <f t="shared" si="20"/>
        <v>68.820000000000007</v>
      </c>
      <c r="BO261" s="67">
        <f t="shared" si="21"/>
        <v>0.14285714285714285</v>
      </c>
      <c r="BP261" s="67">
        <f t="shared" si="22"/>
        <v>0.14285714285714285</v>
      </c>
    </row>
    <row r="262" spans="1:68" ht="27" customHeight="1" x14ac:dyDescent="0.25">
      <c r="A262" s="54" t="s">
        <v>354</v>
      </c>
      <c r="B262" s="54" t="s">
        <v>355</v>
      </c>
      <c r="C262" s="31">
        <v>4301135405</v>
      </c>
      <c r="D262" s="274">
        <v>4640242181523</v>
      </c>
      <c r="E262" s="275"/>
      <c r="F262" s="269">
        <v>3</v>
      </c>
      <c r="G262" s="32">
        <v>1</v>
      </c>
      <c r="H262" s="269">
        <v>3</v>
      </c>
      <c r="I262" s="269">
        <v>3.1920000000000002</v>
      </c>
      <c r="J262" s="32">
        <v>126</v>
      </c>
      <c r="K262" s="32" t="s">
        <v>95</v>
      </c>
      <c r="L262" s="32" t="s">
        <v>108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277"/>
      <c r="R262" s="277"/>
      <c r="S262" s="277"/>
      <c r="T262" s="278"/>
      <c r="U262" s="34"/>
      <c r="V262" s="34"/>
      <c r="W262" s="35" t="s">
        <v>69</v>
      </c>
      <c r="X262" s="270">
        <v>154</v>
      </c>
      <c r="Y262" s="271">
        <f t="shared" si="18"/>
        <v>154</v>
      </c>
      <c r="Z262" s="36">
        <f t="shared" ref="Z262:Z267" si="23">IFERROR(IF(X262="","",X262*0.00936),"")</f>
        <v>1.4414400000000001</v>
      </c>
      <c r="AA262" s="56"/>
      <c r="AB262" s="57"/>
      <c r="AC262" s="248" t="s">
        <v>351</v>
      </c>
      <c r="AG262" s="67"/>
      <c r="AJ262" s="71" t="s">
        <v>110</v>
      </c>
      <c r="AK262" s="71">
        <v>14</v>
      </c>
      <c r="BB262" s="249" t="s">
        <v>99</v>
      </c>
      <c r="BM262" s="67">
        <f t="shared" si="19"/>
        <v>491.56800000000004</v>
      </c>
      <c r="BN262" s="67">
        <f t="shared" si="20"/>
        <v>491.56800000000004</v>
      </c>
      <c r="BO262" s="67">
        <f t="shared" si="21"/>
        <v>1.2222222222222223</v>
      </c>
      <c r="BP262" s="67">
        <f t="shared" si="22"/>
        <v>1.2222222222222223</v>
      </c>
    </row>
    <row r="263" spans="1:68" ht="27" customHeight="1" x14ac:dyDescent="0.25">
      <c r="A263" s="54" t="s">
        <v>356</v>
      </c>
      <c r="B263" s="54" t="s">
        <v>357</v>
      </c>
      <c r="C263" s="31">
        <v>4301135375</v>
      </c>
      <c r="D263" s="274">
        <v>4640242181486</v>
      </c>
      <c r="E263" s="275"/>
      <c r="F263" s="269">
        <v>3.7</v>
      </c>
      <c r="G263" s="32">
        <v>1</v>
      </c>
      <c r="H263" s="269">
        <v>3.7</v>
      </c>
      <c r="I263" s="269">
        <v>3.8919999999999999</v>
      </c>
      <c r="J263" s="32">
        <v>126</v>
      </c>
      <c r="K263" s="32" t="s">
        <v>95</v>
      </c>
      <c r="L263" s="32" t="s">
        <v>108</v>
      </c>
      <c r="M263" s="33" t="s">
        <v>68</v>
      </c>
      <c r="N263" s="33"/>
      <c r="O263" s="32">
        <v>180</v>
      </c>
      <c r="P263" s="44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277"/>
      <c r="R263" s="277"/>
      <c r="S263" s="277"/>
      <c r="T263" s="278"/>
      <c r="U263" s="34"/>
      <c r="V263" s="34"/>
      <c r="W263" s="35" t="s">
        <v>69</v>
      </c>
      <c r="X263" s="270">
        <v>0</v>
      </c>
      <c r="Y263" s="271">
        <f t="shared" si="18"/>
        <v>0</v>
      </c>
      <c r="Z263" s="36">
        <f t="shared" si="23"/>
        <v>0</v>
      </c>
      <c r="AA263" s="56"/>
      <c r="AB263" s="57"/>
      <c r="AC263" s="250" t="s">
        <v>348</v>
      </c>
      <c r="AG263" s="67"/>
      <c r="AJ263" s="71" t="s">
        <v>110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358</v>
      </c>
      <c r="B264" s="54" t="s">
        <v>359</v>
      </c>
      <c r="C264" s="31">
        <v>4301135402</v>
      </c>
      <c r="D264" s="274">
        <v>4640242181493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277"/>
      <c r="R264" s="277"/>
      <c r="S264" s="277"/>
      <c r="T264" s="278"/>
      <c r="U264" s="34"/>
      <c r="V264" s="34"/>
      <c r="W264" s="35" t="s">
        <v>69</v>
      </c>
      <c r="X264" s="270">
        <v>0</v>
      </c>
      <c r="Y264" s="271">
        <f t="shared" si="18"/>
        <v>0</v>
      </c>
      <c r="Z264" s="36">
        <f t="shared" si="23"/>
        <v>0</v>
      </c>
      <c r="AA264" s="56"/>
      <c r="AB264" s="57"/>
      <c r="AC264" s="252" t="s">
        <v>348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37.5" customHeight="1" x14ac:dyDescent="0.25">
      <c r="A265" s="54" t="s">
        <v>360</v>
      </c>
      <c r="B265" s="54" t="s">
        <v>361</v>
      </c>
      <c r="C265" s="31">
        <v>4301135403</v>
      </c>
      <c r="D265" s="274">
        <v>4640242181509</v>
      </c>
      <c r="E265" s="275"/>
      <c r="F265" s="269">
        <v>3.7</v>
      </c>
      <c r="G265" s="32">
        <v>1</v>
      </c>
      <c r="H265" s="269">
        <v>3.7</v>
      </c>
      <c r="I265" s="269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277"/>
      <c r="R265" s="277"/>
      <c r="S265" s="277"/>
      <c r="T265" s="278"/>
      <c r="U265" s="34"/>
      <c r="V265" s="34"/>
      <c r="W265" s="35" t="s">
        <v>69</v>
      </c>
      <c r="X265" s="270">
        <v>0</v>
      </c>
      <c r="Y265" s="271">
        <f t="shared" si="18"/>
        <v>0</v>
      </c>
      <c r="Z265" s="36">
        <f t="shared" si="23"/>
        <v>0</v>
      </c>
      <c r="AA265" s="56"/>
      <c r="AB265" s="57"/>
      <c r="AC265" s="254" t="s">
        <v>348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362</v>
      </c>
      <c r="B266" s="54" t="s">
        <v>363</v>
      </c>
      <c r="C266" s="31">
        <v>4301135304</v>
      </c>
      <c r="D266" s="274">
        <v>4640242181240</v>
      </c>
      <c r="E266" s="275"/>
      <c r="F266" s="269">
        <v>0.3</v>
      </c>
      <c r="G266" s="32">
        <v>9</v>
      </c>
      <c r="H266" s="269">
        <v>2.7</v>
      </c>
      <c r="I266" s="269">
        <v>2.88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2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277"/>
      <c r="R266" s="277"/>
      <c r="S266" s="277"/>
      <c r="T266" s="278"/>
      <c r="U266" s="34"/>
      <c r="V266" s="34"/>
      <c r="W266" s="35" t="s">
        <v>69</v>
      </c>
      <c r="X266" s="270">
        <v>0</v>
      </c>
      <c r="Y266" s="271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364</v>
      </c>
      <c r="B267" s="54" t="s">
        <v>365</v>
      </c>
      <c r="C267" s="31">
        <v>4301135610</v>
      </c>
      <c r="D267" s="274">
        <v>4640242181318</v>
      </c>
      <c r="E267" s="275"/>
      <c r="F267" s="269">
        <v>0.3</v>
      </c>
      <c r="G267" s="32">
        <v>9</v>
      </c>
      <c r="H267" s="269">
        <v>2.7</v>
      </c>
      <c r="I267" s="269">
        <v>2.988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8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277"/>
      <c r="R267" s="277"/>
      <c r="S267" s="277"/>
      <c r="T267" s="278"/>
      <c r="U267" s="34"/>
      <c r="V267" s="34"/>
      <c r="W267" s="35" t="s">
        <v>69</v>
      </c>
      <c r="X267" s="270">
        <v>0</v>
      </c>
      <c r="Y267" s="271">
        <f t="shared" si="18"/>
        <v>0</v>
      </c>
      <c r="Z267" s="36">
        <f t="shared" si="23"/>
        <v>0</v>
      </c>
      <c r="AA267" s="56"/>
      <c r="AB267" s="57"/>
      <c r="AC267" s="258" t="s">
        <v>351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366</v>
      </c>
      <c r="B268" s="54" t="s">
        <v>367</v>
      </c>
      <c r="C268" s="31">
        <v>4301135306</v>
      </c>
      <c r="D268" s="274">
        <v>4640242181387</v>
      </c>
      <c r="E268" s="275"/>
      <c r="F268" s="269">
        <v>0.3</v>
      </c>
      <c r="G268" s="32">
        <v>9</v>
      </c>
      <c r="H268" s="269">
        <v>2.7</v>
      </c>
      <c r="I268" s="269">
        <v>2.8450000000000002</v>
      </c>
      <c r="J268" s="32">
        <v>234</v>
      </c>
      <c r="K268" s="32" t="s">
        <v>149</v>
      </c>
      <c r="L268" s="32" t="s">
        <v>67</v>
      </c>
      <c r="M268" s="33" t="s">
        <v>68</v>
      </c>
      <c r="N268" s="33"/>
      <c r="O268" s="32">
        <v>180</v>
      </c>
      <c r="P268" s="33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277"/>
      <c r="R268" s="277"/>
      <c r="S268" s="277"/>
      <c r="T268" s="278"/>
      <c r="U268" s="34"/>
      <c r="V268" s="34"/>
      <c r="W268" s="35" t="s">
        <v>69</v>
      </c>
      <c r="X268" s="270">
        <v>0</v>
      </c>
      <c r="Y268" s="271">
        <f t="shared" si="18"/>
        <v>0</v>
      </c>
      <c r="Z268" s="36">
        <f>IFERROR(IF(X268="","",X268*0.00502),"")</f>
        <v>0</v>
      </c>
      <c r="AA268" s="56"/>
      <c r="AB268" s="57"/>
      <c r="AC268" s="260" t="s">
        <v>348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x14ac:dyDescent="0.2">
      <c r="A269" s="287"/>
      <c r="B269" s="288"/>
      <c r="C269" s="288"/>
      <c r="D269" s="288"/>
      <c r="E269" s="288"/>
      <c r="F269" s="288"/>
      <c r="G269" s="288"/>
      <c r="H269" s="288"/>
      <c r="I269" s="288"/>
      <c r="J269" s="288"/>
      <c r="K269" s="288"/>
      <c r="L269" s="288"/>
      <c r="M269" s="288"/>
      <c r="N269" s="288"/>
      <c r="O269" s="289"/>
      <c r="P269" s="280" t="s">
        <v>82</v>
      </c>
      <c r="Q269" s="281"/>
      <c r="R269" s="281"/>
      <c r="S269" s="281"/>
      <c r="T269" s="281"/>
      <c r="U269" s="281"/>
      <c r="V269" s="282"/>
      <c r="W269" s="37" t="s">
        <v>69</v>
      </c>
      <c r="X269" s="272">
        <f>IFERROR(SUM(X259:X268),"0")</f>
        <v>264</v>
      </c>
      <c r="Y269" s="272">
        <f>IFERROR(SUM(Y259:Y268),"0")</f>
        <v>264</v>
      </c>
      <c r="Z269" s="272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2.5447199999999999</v>
      </c>
      <c r="AA269" s="273"/>
      <c r="AB269" s="273"/>
      <c r="AC269" s="273"/>
    </row>
    <row r="270" spans="1:68" x14ac:dyDescent="0.2">
      <c r="A270" s="288"/>
      <c r="B270" s="288"/>
      <c r="C270" s="288"/>
      <c r="D270" s="288"/>
      <c r="E270" s="288"/>
      <c r="F270" s="288"/>
      <c r="G270" s="288"/>
      <c r="H270" s="288"/>
      <c r="I270" s="288"/>
      <c r="J270" s="288"/>
      <c r="K270" s="288"/>
      <c r="L270" s="288"/>
      <c r="M270" s="288"/>
      <c r="N270" s="288"/>
      <c r="O270" s="289"/>
      <c r="P270" s="280" t="s">
        <v>82</v>
      </c>
      <c r="Q270" s="281"/>
      <c r="R270" s="281"/>
      <c r="S270" s="281"/>
      <c r="T270" s="281"/>
      <c r="U270" s="281"/>
      <c r="V270" s="282"/>
      <c r="W270" s="37" t="s">
        <v>83</v>
      </c>
      <c r="X270" s="272">
        <f>IFERROR(SUMPRODUCT(X259:X268*H259:H268),"0")</f>
        <v>890.6</v>
      </c>
      <c r="Y270" s="272">
        <f>IFERROR(SUMPRODUCT(Y259:Y268*H259:H268),"0")</f>
        <v>890.6</v>
      </c>
      <c r="Z270" s="37"/>
      <c r="AA270" s="273"/>
      <c r="AB270" s="273"/>
      <c r="AC270" s="273"/>
    </row>
    <row r="271" spans="1:68" ht="15" customHeight="1" x14ac:dyDescent="0.2">
      <c r="A271" s="300"/>
      <c r="B271" s="288"/>
      <c r="C271" s="288"/>
      <c r="D271" s="288"/>
      <c r="E271" s="288"/>
      <c r="F271" s="288"/>
      <c r="G271" s="288"/>
      <c r="H271" s="288"/>
      <c r="I271" s="288"/>
      <c r="J271" s="288"/>
      <c r="K271" s="288"/>
      <c r="L271" s="288"/>
      <c r="M271" s="288"/>
      <c r="N271" s="288"/>
      <c r="O271" s="301"/>
      <c r="P271" s="324" t="s">
        <v>368</v>
      </c>
      <c r="Q271" s="325"/>
      <c r="R271" s="325"/>
      <c r="S271" s="325"/>
      <c r="T271" s="325"/>
      <c r="U271" s="325"/>
      <c r="V271" s="326"/>
      <c r="W271" s="37" t="s">
        <v>83</v>
      </c>
      <c r="X271" s="272">
        <f>IFERROR(X29+X35+X42+X49+X57+X62+X66+X71+X77+X83+X88+X94+X104+X110+X123+X127+X131+X137+X143+X149+X154+X159+X164+X169+X176+X184+X188+X194+X202+X207+X212+X217+X223+X229+X235+X239+X246+X251+X257+X270,"0")</f>
        <v>12020.400000000001</v>
      </c>
      <c r="Y271" s="272">
        <f>IFERROR(Y29+Y35+Y42+Y49+Y57+Y62+Y66+Y71+Y77+Y83+Y88+Y94+Y104+Y110+Y123+Y127+Y131+Y137+Y143+Y149+Y154+Y159+Y164+Y169+Y176+Y184+Y188+Y194+Y202+Y207+Y212+Y217+Y223+Y229+Y235+Y239+Y246+Y251+Y257+Y270,"0")</f>
        <v>12020.400000000001</v>
      </c>
      <c r="Z271" s="37"/>
      <c r="AA271" s="273"/>
      <c r="AB271" s="273"/>
      <c r="AC271" s="273"/>
    </row>
    <row r="272" spans="1:68" x14ac:dyDescent="0.2">
      <c r="A272" s="288"/>
      <c r="B272" s="288"/>
      <c r="C272" s="288"/>
      <c r="D272" s="288"/>
      <c r="E272" s="288"/>
      <c r="F272" s="288"/>
      <c r="G272" s="288"/>
      <c r="H272" s="288"/>
      <c r="I272" s="288"/>
      <c r="J272" s="288"/>
      <c r="K272" s="288"/>
      <c r="L272" s="288"/>
      <c r="M272" s="288"/>
      <c r="N272" s="288"/>
      <c r="O272" s="301"/>
      <c r="P272" s="324" t="s">
        <v>369</v>
      </c>
      <c r="Q272" s="325"/>
      <c r="R272" s="325"/>
      <c r="S272" s="325"/>
      <c r="T272" s="325"/>
      <c r="U272" s="325"/>
      <c r="V272" s="326"/>
      <c r="W272" s="37" t="s">
        <v>83</v>
      </c>
      <c r="X272" s="272">
        <f>IFERROR(SUM(BM22:BM268),"0")</f>
        <v>12965.589999999998</v>
      </c>
      <c r="Y272" s="272">
        <f>IFERROR(SUM(BN22:BN268),"0")</f>
        <v>12965.589999999998</v>
      </c>
      <c r="Z272" s="37"/>
      <c r="AA272" s="273"/>
      <c r="AB272" s="273"/>
      <c r="AC272" s="273"/>
    </row>
    <row r="273" spans="1:32" x14ac:dyDescent="0.2">
      <c r="A273" s="288"/>
      <c r="B273" s="288"/>
      <c r="C273" s="288"/>
      <c r="D273" s="288"/>
      <c r="E273" s="288"/>
      <c r="F273" s="288"/>
      <c r="G273" s="288"/>
      <c r="H273" s="288"/>
      <c r="I273" s="288"/>
      <c r="J273" s="288"/>
      <c r="K273" s="288"/>
      <c r="L273" s="288"/>
      <c r="M273" s="288"/>
      <c r="N273" s="288"/>
      <c r="O273" s="301"/>
      <c r="P273" s="324" t="s">
        <v>370</v>
      </c>
      <c r="Q273" s="325"/>
      <c r="R273" s="325"/>
      <c r="S273" s="325"/>
      <c r="T273" s="325"/>
      <c r="U273" s="325"/>
      <c r="V273" s="326"/>
      <c r="W273" s="37" t="s">
        <v>371</v>
      </c>
      <c r="X273" s="38">
        <f>ROUNDUP(SUM(BO22:BO268),0)</f>
        <v>31</v>
      </c>
      <c r="Y273" s="38">
        <f>ROUNDUP(SUM(BP22:BP268),0)</f>
        <v>31</v>
      </c>
      <c r="Z273" s="37"/>
      <c r="AA273" s="273"/>
      <c r="AB273" s="273"/>
      <c r="AC273" s="273"/>
    </row>
    <row r="274" spans="1:32" x14ac:dyDescent="0.2">
      <c r="A274" s="288"/>
      <c r="B274" s="288"/>
      <c r="C274" s="288"/>
      <c r="D274" s="288"/>
      <c r="E274" s="288"/>
      <c r="F274" s="288"/>
      <c r="G274" s="288"/>
      <c r="H274" s="288"/>
      <c r="I274" s="288"/>
      <c r="J274" s="288"/>
      <c r="K274" s="288"/>
      <c r="L274" s="288"/>
      <c r="M274" s="288"/>
      <c r="N274" s="288"/>
      <c r="O274" s="301"/>
      <c r="P274" s="324" t="s">
        <v>372</v>
      </c>
      <c r="Q274" s="325"/>
      <c r="R274" s="325"/>
      <c r="S274" s="325"/>
      <c r="T274" s="325"/>
      <c r="U274" s="325"/>
      <c r="V274" s="326"/>
      <c r="W274" s="37" t="s">
        <v>83</v>
      </c>
      <c r="X274" s="272">
        <f>GrossWeightTotal+PalletQtyTotal*25</f>
        <v>13740.589999999998</v>
      </c>
      <c r="Y274" s="272">
        <f>GrossWeightTotalR+PalletQtyTotalR*25</f>
        <v>13740.589999999998</v>
      </c>
      <c r="Z274" s="37"/>
      <c r="AA274" s="273"/>
      <c r="AB274" s="273"/>
      <c r="AC274" s="273"/>
    </row>
    <row r="275" spans="1:32" x14ac:dyDescent="0.2">
      <c r="A275" s="288"/>
      <c r="B275" s="288"/>
      <c r="C275" s="288"/>
      <c r="D275" s="288"/>
      <c r="E275" s="288"/>
      <c r="F275" s="288"/>
      <c r="G275" s="288"/>
      <c r="H275" s="288"/>
      <c r="I275" s="288"/>
      <c r="J275" s="288"/>
      <c r="K275" s="288"/>
      <c r="L275" s="288"/>
      <c r="M275" s="288"/>
      <c r="N275" s="288"/>
      <c r="O275" s="301"/>
      <c r="P275" s="324" t="s">
        <v>373</v>
      </c>
      <c r="Q275" s="325"/>
      <c r="R275" s="325"/>
      <c r="S275" s="325"/>
      <c r="T275" s="325"/>
      <c r="U275" s="325"/>
      <c r="V275" s="326"/>
      <c r="W275" s="37" t="s">
        <v>371</v>
      </c>
      <c r="X275" s="272">
        <f>IFERROR(X28+X34+X41+X48+X56+X61+X65+X70+X76+X82+X87+X93+X103+X109+X122+X126+X130+X136+X142+X148+X153+X158+X163+X168+X175+X183+X187+X193+X201+X206+X211+X216+X222+X228+X234+X238+X245+X250+X256+X269,"0")</f>
        <v>2644</v>
      </c>
      <c r="Y275" s="272">
        <f>IFERROR(Y28+Y34+Y41+Y48+Y56+Y61+Y65+Y70+Y76+Y82+Y87+Y93+Y103+Y109+Y122+Y126+Y130+Y136+Y142+Y148+Y153+Y158+Y163+Y168+Y175+Y183+Y187+Y193+Y201+Y206+Y211+Y216+Y222+Y228+Y234+Y238+Y245+Y250+Y256+Y269,"0")</f>
        <v>2644</v>
      </c>
      <c r="Z275" s="37"/>
      <c r="AA275" s="273"/>
      <c r="AB275" s="273"/>
      <c r="AC275" s="273"/>
    </row>
    <row r="276" spans="1:32" ht="14.25" customHeight="1" x14ac:dyDescent="0.2">
      <c r="A276" s="288"/>
      <c r="B276" s="288"/>
      <c r="C276" s="288"/>
      <c r="D276" s="288"/>
      <c r="E276" s="288"/>
      <c r="F276" s="288"/>
      <c r="G276" s="288"/>
      <c r="H276" s="288"/>
      <c r="I276" s="288"/>
      <c r="J276" s="288"/>
      <c r="K276" s="288"/>
      <c r="L276" s="288"/>
      <c r="M276" s="288"/>
      <c r="N276" s="288"/>
      <c r="O276" s="301"/>
      <c r="P276" s="324" t="s">
        <v>374</v>
      </c>
      <c r="Q276" s="325"/>
      <c r="R276" s="325"/>
      <c r="S276" s="325"/>
      <c r="T276" s="325"/>
      <c r="U276" s="325"/>
      <c r="V276" s="326"/>
      <c r="W276" s="39" t="s">
        <v>375</v>
      </c>
      <c r="X276" s="37"/>
      <c r="Y276" s="37"/>
      <c r="Z276" s="37">
        <f>IFERROR(Z28+Z34+Z41+Z48+Z56+Z61+Z65+Z70+Z76+Z82+Z87+Z93+Z103+Z109+Z122+Z126+Z130+Z136+Z142+Z148+Z153+Z158+Z163+Z168+Z175+Z183+Z187+Z193+Z201+Z206+Z211+Z216+Z222+Z228+Z234+Z238+Z245+Z250+Z256+Z269,"0")</f>
        <v>38.196699999999993</v>
      </c>
      <c r="AA276" s="273"/>
      <c r="AB276" s="273"/>
      <c r="AC276" s="273"/>
    </row>
    <row r="277" spans="1:32" ht="13.5" customHeight="1" thickBot="1" x14ac:dyDescent="0.25"/>
    <row r="278" spans="1:32" ht="27" customHeight="1" thickTop="1" thickBot="1" x14ac:dyDescent="0.25">
      <c r="A278" s="40" t="s">
        <v>376</v>
      </c>
      <c r="B278" s="290" t="s">
        <v>62</v>
      </c>
      <c r="C278" s="369"/>
      <c r="D278" s="290" t="s">
        <v>90</v>
      </c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368"/>
      <c r="P278" s="368"/>
      <c r="Q278" s="368"/>
      <c r="R278" s="368"/>
      <c r="S278" s="368"/>
      <c r="T278" s="368"/>
      <c r="U278" s="369"/>
      <c r="V278" s="262" t="s">
        <v>252</v>
      </c>
      <c r="W278" s="262" t="s">
        <v>260</v>
      </c>
      <c r="X278" s="290" t="s">
        <v>279</v>
      </c>
      <c r="Y278" s="368"/>
      <c r="Z278" s="369"/>
      <c r="AA278" s="262" t="s">
        <v>311</v>
      </c>
      <c r="AB278" s="262" t="s">
        <v>316</v>
      </c>
      <c r="AC278" s="262" t="s">
        <v>320</v>
      </c>
      <c r="AD278" s="262" t="s">
        <v>328</v>
      </c>
      <c r="AF278" s="263"/>
    </row>
    <row r="279" spans="1:32" ht="14.25" customHeight="1" thickTop="1" x14ac:dyDescent="0.2">
      <c r="A279" s="459" t="s">
        <v>377</v>
      </c>
      <c r="B279" s="290" t="s">
        <v>62</v>
      </c>
      <c r="C279" s="290" t="s">
        <v>84</v>
      </c>
      <c r="D279" s="290" t="s">
        <v>91</v>
      </c>
      <c r="E279" s="290" t="s">
        <v>102</v>
      </c>
      <c r="F279" s="290" t="s">
        <v>114</v>
      </c>
      <c r="G279" s="290" t="s">
        <v>125</v>
      </c>
      <c r="H279" s="290" t="s">
        <v>146</v>
      </c>
      <c r="I279" s="290" t="s">
        <v>153</v>
      </c>
      <c r="J279" s="290" t="s">
        <v>157</v>
      </c>
      <c r="K279" s="290" t="s">
        <v>165</v>
      </c>
      <c r="L279" s="290" t="s">
        <v>180</v>
      </c>
      <c r="M279" s="290" t="s">
        <v>186</v>
      </c>
      <c r="N279" s="263"/>
      <c r="O279" s="290" t="s">
        <v>218</v>
      </c>
      <c r="P279" s="290" t="s">
        <v>224</v>
      </c>
      <c r="Q279" s="290" t="s">
        <v>231</v>
      </c>
      <c r="R279" s="290" t="s">
        <v>236</v>
      </c>
      <c r="S279" s="290" t="s">
        <v>240</v>
      </c>
      <c r="T279" s="290" t="s">
        <v>243</v>
      </c>
      <c r="U279" s="290" t="s">
        <v>248</v>
      </c>
      <c r="V279" s="290" t="s">
        <v>253</v>
      </c>
      <c r="W279" s="290" t="s">
        <v>261</v>
      </c>
      <c r="X279" s="290" t="s">
        <v>280</v>
      </c>
      <c r="Y279" s="290" t="s">
        <v>298</v>
      </c>
      <c r="Z279" s="290" t="s">
        <v>302</v>
      </c>
      <c r="AA279" s="290" t="s">
        <v>312</v>
      </c>
      <c r="AB279" s="290" t="s">
        <v>317</v>
      </c>
      <c r="AC279" s="290" t="s">
        <v>321</v>
      </c>
      <c r="AD279" s="290" t="s">
        <v>328</v>
      </c>
      <c r="AF279" s="263"/>
    </row>
    <row r="280" spans="1:32" ht="13.5" customHeight="1" thickBot="1" x14ac:dyDescent="0.25">
      <c r="A280" s="460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63"/>
      <c r="O280" s="291"/>
      <c r="P280" s="291"/>
      <c r="Q280" s="291"/>
      <c r="R280" s="291"/>
      <c r="S280" s="291"/>
      <c r="T280" s="291"/>
      <c r="U280" s="291"/>
      <c r="V280" s="291"/>
      <c r="W280" s="291"/>
      <c r="X280" s="291"/>
      <c r="Y280" s="291"/>
      <c r="Z280" s="291"/>
      <c r="AA280" s="291"/>
      <c r="AB280" s="291"/>
      <c r="AC280" s="291"/>
      <c r="AD280" s="291"/>
      <c r="AF280" s="263"/>
    </row>
    <row r="281" spans="1:32" ht="18" customHeight="1" thickTop="1" thickBot="1" x14ac:dyDescent="0.25">
      <c r="A281" s="40" t="s">
        <v>378</v>
      </c>
      <c r="B281" s="46">
        <f>IFERROR(X22*H22,"0")+IFERROR(X23*H23,"0")+IFERROR(X24*H24,"0")+IFERROR(X25*H25,"0")+IFERROR(X26*H26,"0")+IFERROR(X27*H27,"0")</f>
        <v>345.6</v>
      </c>
      <c r="C281" s="46">
        <f>IFERROR(X32*H32,"0")+IFERROR(X33*H33,"0")</f>
        <v>0</v>
      </c>
      <c r="D281" s="46">
        <f>IFERROR(X39*H39,"0")+IFERROR(X40*H40,"0")</f>
        <v>231</v>
      </c>
      <c r="E281" s="46">
        <f>IFERROR(X45*H45,"0")+IFERROR(X46*H46,"0")+IFERROR(X47*H47,"0")</f>
        <v>67.199999999999989</v>
      </c>
      <c r="F281" s="46">
        <f>IFERROR(X52*H52,"0")+IFERROR(X53*H53,"0")+IFERROR(X54*H54,"0")+IFERROR(X55*H55,"0")</f>
        <v>1336.8</v>
      </c>
      <c r="G281" s="46">
        <f>IFERROR(X60*H60,"0")+IFERROR(X64*H64,"0")+IFERROR(X68*H68,"0")+IFERROR(X69*H69,"0")+IFERROR(X73*H73,"0")+IFERROR(X74*H74,"0")+IFERROR(X75*H75,"0")</f>
        <v>33.6</v>
      </c>
      <c r="H281" s="46">
        <f>IFERROR(X80*H80,"0")+IFERROR(X81*H81,"0")</f>
        <v>1020</v>
      </c>
      <c r="I281" s="46">
        <f>IFERROR(X86*H86,"0")</f>
        <v>50.4</v>
      </c>
      <c r="J281" s="46">
        <f>IFERROR(X91*H91,"0")+IFERROR(X92*H92,"0")</f>
        <v>100.8</v>
      </c>
      <c r="K281" s="46">
        <f>IFERROR(X97*H97,"0")+IFERROR(X98*H98,"0")+IFERROR(X99*H99,"0")+IFERROR(X100*H100,"0")+IFERROR(X101*H101,"0")+IFERROR(X102*H102,"0")</f>
        <v>322.56</v>
      </c>
      <c r="L281" s="46">
        <f>IFERROR(X107*H107,"0")+IFERROR(X108*H108,"0")</f>
        <v>30.240000000000002</v>
      </c>
      <c r="M281" s="46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3129.6000000000004</v>
      </c>
      <c r="N281" s="263"/>
      <c r="O281" s="46">
        <f>IFERROR(X134*H134,"0")+IFERROR(X135*H135,"0")</f>
        <v>462</v>
      </c>
      <c r="P281" s="46">
        <f>IFERROR(X140*H140,"0")+IFERROR(X141*H141,"0")</f>
        <v>210</v>
      </c>
      <c r="Q281" s="46">
        <f>IFERROR(X146*H146,"0")+IFERROR(X147*H147,"0")</f>
        <v>134.4</v>
      </c>
      <c r="R281" s="46">
        <f>IFERROR(X152*H152,"0")</f>
        <v>42</v>
      </c>
      <c r="S281" s="46">
        <f>IFERROR(X157*H157,"0")</f>
        <v>0</v>
      </c>
      <c r="T281" s="46">
        <f>IFERROR(X162*H162,"0")</f>
        <v>0</v>
      </c>
      <c r="U281" s="46">
        <f>IFERROR(X167*H167,"0")</f>
        <v>0</v>
      </c>
      <c r="V281" s="46">
        <f>IFERROR(X173*H173,"0")+IFERROR(X174*H174,"0")</f>
        <v>240</v>
      </c>
      <c r="W281" s="46">
        <f>IFERROR(X180*H180,"0")+IFERROR(X181*H181,"0")+IFERROR(X182*H182,"0")+IFERROR(X186*H186,"0")</f>
        <v>798</v>
      </c>
      <c r="X281" s="46">
        <f>IFERROR(X192*H192,"0")+IFERROR(X196*H196,"0")+IFERROR(X197*H197,"0")+IFERROR(X198*H198,"0")+IFERROR(X199*H199,"0")+IFERROR(X200*H200,"0")</f>
        <v>72.240000000000009</v>
      </c>
      <c r="Y281" s="46">
        <f>IFERROR(X205*H205,"0")</f>
        <v>360</v>
      </c>
      <c r="Z281" s="46">
        <f>IFERROR(X210*H210,"0")+IFERROR(X214*H214,"0")+IFERROR(X215*H215,"0")</f>
        <v>0</v>
      </c>
      <c r="AA281" s="46">
        <f>IFERROR(X221*H221,"0")</f>
        <v>0</v>
      </c>
      <c r="AB281" s="46">
        <f>IFERROR(X227*H227,"0")</f>
        <v>360</v>
      </c>
      <c r="AC281" s="46">
        <f>IFERROR(X233*H233,"0")+IFERROR(X237*H237,"0")</f>
        <v>0</v>
      </c>
      <c r="AD281" s="46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2673.96</v>
      </c>
      <c r="AF281" s="263"/>
    </row>
    <row r="282" spans="1:32" ht="13.5" customHeight="1" thickTop="1" x14ac:dyDescent="0.2">
      <c r="C282" s="263"/>
    </row>
    <row r="283" spans="1:32" ht="19.5" customHeight="1" x14ac:dyDescent="0.2">
      <c r="A283" s="58" t="s">
        <v>379</v>
      </c>
      <c r="B283" s="58" t="s">
        <v>380</v>
      </c>
      <c r="C283" s="58" t="s">
        <v>381</v>
      </c>
    </row>
    <row r="284" spans="1:32" x14ac:dyDescent="0.2">
      <c r="A284" s="59">
        <f>SUMPRODUCT(--(BB:BB="ЗПФ"),--(W:W="кор"),H:H,Y:Y)+SUMPRODUCT(--(BB:BB="ЗПФ"),--(W:W="кг"),Y:Y)</f>
        <v>6787.2</v>
      </c>
      <c r="B284" s="60">
        <f>SUMPRODUCT(--(BB:BB="ПГП"),--(W:W="кор"),H:H,Y:Y)+SUMPRODUCT(--(BB:BB="ПГП"),--(W:W="кг"),Y:Y)</f>
        <v>5233.2</v>
      </c>
      <c r="C284" s="60">
        <f>SUMPRODUCT(--(BB:BB="КИЗ"),--(W:W="кор"),H:H,Y:Y)+SUMPRODUCT(--(BB:BB="КИЗ"),--(W:W="кг"),Y:Y)</f>
        <v>0</v>
      </c>
    </row>
  </sheetData>
  <sheetProtection algorithmName="SHA-512" hashValue="TJONEzVL186yXel9gjeqHXk6Da+PJwhsRnpBTeS+112d6qNBajfZ+2XCzptzje33PCQtD3B+tj93nO6KZD1ygQ==" saltValue="QR29OpSLYR7kRyb6Pwx3fw==" spinCount="100000" sheet="1" objects="1" scenarios="1" sort="0" autoFilter="0" pivotTables="0"/>
  <autoFilter ref="A18:AF27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2">
    <mergeCell ref="Y17:Y18"/>
    <mergeCell ref="A8:C8"/>
    <mergeCell ref="P163:V163"/>
    <mergeCell ref="D32:E32"/>
    <mergeCell ref="D97:E97"/>
    <mergeCell ref="D268:E268"/>
    <mergeCell ref="P76:V76"/>
    <mergeCell ref="A128:Z128"/>
    <mergeCell ref="A10:C10"/>
    <mergeCell ref="A21:Z21"/>
    <mergeCell ref="D121:E121"/>
    <mergeCell ref="D192:E192"/>
    <mergeCell ref="D17:E18"/>
    <mergeCell ref="D173:E173"/>
    <mergeCell ref="X17:X18"/>
    <mergeCell ref="A163:O164"/>
    <mergeCell ref="P216:V216"/>
    <mergeCell ref="AC279:AC280"/>
    <mergeCell ref="P243:T243"/>
    <mergeCell ref="W279:W280"/>
    <mergeCell ref="D102:E102"/>
    <mergeCell ref="A204:Z204"/>
    <mergeCell ref="D25:E25"/>
    <mergeCell ref="D196:E196"/>
    <mergeCell ref="A126:O127"/>
    <mergeCell ref="P272:V272"/>
    <mergeCell ref="A231:Z231"/>
    <mergeCell ref="D54:E54"/>
    <mergeCell ref="D262:E262"/>
    <mergeCell ref="P122:V122"/>
    <mergeCell ref="D237:E237"/>
    <mergeCell ref="P25:T25"/>
    <mergeCell ref="A30:Z30"/>
    <mergeCell ref="A142:O143"/>
    <mergeCell ref="P60:T60"/>
    <mergeCell ref="P174:T174"/>
    <mergeCell ref="D266:E266"/>
    <mergeCell ref="P279:P280"/>
    <mergeCell ref="A279:A280"/>
    <mergeCell ref="C279:C280"/>
    <mergeCell ref="Q5:R5"/>
    <mergeCell ref="F17:F18"/>
    <mergeCell ref="D120:E120"/>
    <mergeCell ref="P199:T199"/>
    <mergeCell ref="B278:C278"/>
    <mergeCell ref="D107:E107"/>
    <mergeCell ref="P263:T263"/>
    <mergeCell ref="D244:E244"/>
    <mergeCell ref="Q6:R6"/>
    <mergeCell ref="P200:T200"/>
    <mergeCell ref="P134:T134"/>
    <mergeCell ref="D265:E265"/>
    <mergeCell ref="A20:Z20"/>
    <mergeCell ref="A112:Z112"/>
    <mergeCell ref="P66:V66"/>
    <mergeCell ref="P137:V137"/>
    <mergeCell ref="P239:V239"/>
    <mergeCell ref="A191:Z191"/>
    <mergeCell ref="D249:E249"/>
    <mergeCell ref="A51:Z51"/>
    <mergeCell ref="P262:T262"/>
    <mergeCell ref="A178:Z178"/>
    <mergeCell ref="D221:E221"/>
    <mergeCell ref="V11:W11"/>
    <mergeCell ref="P75:T75"/>
    <mergeCell ref="P146:T146"/>
    <mergeCell ref="D152:E152"/>
    <mergeCell ref="A136:O137"/>
    <mergeCell ref="P121:T121"/>
    <mergeCell ref="P181:T181"/>
    <mergeCell ref="D23:E23"/>
    <mergeCell ref="N17:N18"/>
    <mergeCell ref="V12:W12"/>
    <mergeCell ref="U17:V17"/>
    <mergeCell ref="AD279:AD280"/>
    <mergeCell ref="P2:W3"/>
    <mergeCell ref="A269:O270"/>
    <mergeCell ref="P198:T198"/>
    <mergeCell ref="A43:Z43"/>
    <mergeCell ref="P54:T54"/>
    <mergeCell ref="A170:Z170"/>
    <mergeCell ref="D10:E10"/>
    <mergeCell ref="P64:T64"/>
    <mergeCell ref="F10:G10"/>
    <mergeCell ref="P135:T135"/>
    <mergeCell ref="M279:M280"/>
    <mergeCell ref="D243:E243"/>
    <mergeCell ref="O279:O280"/>
    <mergeCell ref="D99:E99"/>
    <mergeCell ref="A245:O246"/>
    <mergeCell ref="AD17:AF18"/>
    <mergeCell ref="D101:E101"/>
    <mergeCell ref="P142:V142"/>
    <mergeCell ref="A132:Z132"/>
    <mergeCell ref="F5:G5"/>
    <mergeCell ref="A172:Z172"/>
    <mergeCell ref="P169:V169"/>
    <mergeCell ref="P186:T186"/>
    <mergeCell ref="H5:M5"/>
    <mergeCell ref="P158:V158"/>
    <mergeCell ref="P98:T98"/>
    <mergeCell ref="A228:O229"/>
    <mergeCell ref="D146:E146"/>
    <mergeCell ref="D6:M6"/>
    <mergeCell ref="A85:Z85"/>
    <mergeCell ref="P162:T162"/>
    <mergeCell ref="P227:T227"/>
    <mergeCell ref="P33:T33"/>
    <mergeCell ref="G17:G18"/>
    <mergeCell ref="P57:V57"/>
    <mergeCell ref="P184:V184"/>
    <mergeCell ref="D80:E80"/>
    <mergeCell ref="P42:V42"/>
    <mergeCell ref="A225:Z225"/>
    <mergeCell ref="P148:V148"/>
    <mergeCell ref="P123:V123"/>
    <mergeCell ref="P46:T46"/>
    <mergeCell ref="D200:E200"/>
    <mergeCell ref="D227:E227"/>
    <mergeCell ref="A9:C9"/>
    <mergeCell ref="P125:T125"/>
    <mergeCell ref="A179:Z179"/>
    <mergeCell ref="V6:W9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P94:V94"/>
    <mergeCell ref="A90:Z90"/>
    <mergeCell ref="A230:Z230"/>
    <mergeCell ref="A232:Z232"/>
    <mergeCell ref="P70:V70"/>
    <mergeCell ref="A156:Z156"/>
    <mergeCell ref="P103:V103"/>
    <mergeCell ref="Q13:R13"/>
    <mergeCell ref="A155:Z155"/>
    <mergeCell ref="A220:Z220"/>
    <mergeCell ref="P114:T114"/>
    <mergeCell ref="D22:E22"/>
    <mergeCell ref="D86:E86"/>
    <mergeCell ref="H10:M10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P214:T214"/>
    <mergeCell ref="P107:T107"/>
    <mergeCell ref="P101:T101"/>
    <mergeCell ref="D215:E215"/>
    <mergeCell ref="P194:V194"/>
    <mergeCell ref="P250:V250"/>
    <mergeCell ref="A103:O104"/>
    <mergeCell ref="M17:M18"/>
    <mergeCell ref="A168:O169"/>
    <mergeCell ref="O17:O18"/>
    <mergeCell ref="P131:V131"/>
    <mergeCell ref="P187:V187"/>
    <mergeCell ref="P223:V223"/>
    <mergeCell ref="P102:T102"/>
    <mergeCell ref="J9:M9"/>
    <mergeCell ref="D279:D280"/>
    <mergeCell ref="P141:T141"/>
    <mergeCell ref="A65:O66"/>
    <mergeCell ref="P233:T233"/>
    <mergeCell ref="A56:O57"/>
    <mergeCell ref="D114:E114"/>
    <mergeCell ref="D64:E64"/>
    <mergeCell ref="P248:T248"/>
    <mergeCell ref="A38:Z38"/>
    <mergeCell ref="A209:Z209"/>
    <mergeCell ref="P28:V28"/>
    <mergeCell ref="A67:Z67"/>
    <mergeCell ref="Y279:Y280"/>
    <mergeCell ref="D140:E140"/>
    <mergeCell ref="D267:E267"/>
    <mergeCell ref="H17:H18"/>
    <mergeCell ref="P261:T261"/>
    <mergeCell ref="D198:E198"/>
    <mergeCell ref="P104:V104"/>
    <mergeCell ref="A252:Z252"/>
    <mergeCell ref="P275:V275"/>
    <mergeCell ref="P27:T27"/>
    <mergeCell ref="D75:E75"/>
    <mergeCell ref="Q10:R10"/>
    <mergeCell ref="P256:V256"/>
    <mergeCell ref="A37:Z37"/>
    <mergeCell ref="A208:Z208"/>
    <mergeCell ref="Q279:Q280"/>
    <mergeCell ref="P149:V149"/>
    <mergeCell ref="A145:Z145"/>
    <mergeCell ref="S279:S280"/>
    <mergeCell ref="A139:Z139"/>
    <mergeCell ref="D74:E74"/>
    <mergeCell ref="D68:E68"/>
    <mergeCell ref="A203:Z203"/>
    <mergeCell ref="P126:V126"/>
    <mergeCell ref="P24:T24"/>
    <mergeCell ref="P260:T260"/>
    <mergeCell ref="A206:O207"/>
    <mergeCell ref="A63:Z63"/>
    <mergeCell ref="P26:T26"/>
    <mergeCell ref="P71:V71"/>
    <mergeCell ref="A138:Z138"/>
    <mergeCell ref="P202:V202"/>
    <mergeCell ref="A13:M13"/>
    <mergeCell ref="P115:T115"/>
    <mergeCell ref="D254:E254"/>
    <mergeCell ref="A12:M12"/>
    <mergeCell ref="A240:Z240"/>
    <mergeCell ref="P74:T74"/>
    <mergeCell ref="A19:Z19"/>
    <mergeCell ref="A190:Z190"/>
    <mergeCell ref="D182:E182"/>
    <mergeCell ref="A14:M14"/>
    <mergeCell ref="A111:Z111"/>
    <mergeCell ref="T5:U5"/>
    <mergeCell ref="D119:E119"/>
    <mergeCell ref="V5:W5"/>
    <mergeCell ref="D46:E46"/>
    <mergeCell ref="D40:E40"/>
    <mergeCell ref="D233:E233"/>
    <mergeCell ref="P212:V212"/>
    <mergeCell ref="A34:O35"/>
    <mergeCell ref="Q8:R8"/>
    <mergeCell ref="A28:O29"/>
    <mergeCell ref="P69:T69"/>
    <mergeCell ref="P140:T140"/>
    <mergeCell ref="P83:V83"/>
    <mergeCell ref="A79:Z79"/>
    <mergeCell ref="A82:O83"/>
    <mergeCell ref="T6:U9"/>
    <mergeCell ref="P15:T16"/>
    <mergeCell ref="D116:E116"/>
    <mergeCell ref="A177:Z177"/>
    <mergeCell ref="D91:E91"/>
    <mergeCell ref="P23:T23"/>
    <mergeCell ref="D162:E162"/>
    <mergeCell ref="P210:T210"/>
    <mergeCell ref="A41:O42"/>
    <mergeCell ref="D264:E264"/>
    <mergeCell ref="A195:Z195"/>
    <mergeCell ref="P65:V65"/>
    <mergeCell ref="D157:E157"/>
    <mergeCell ref="P136:V136"/>
    <mergeCell ref="P228:V228"/>
    <mergeCell ref="D248:E248"/>
    <mergeCell ref="A15:M15"/>
    <mergeCell ref="A61:O62"/>
    <mergeCell ref="A153:O154"/>
    <mergeCell ref="A133:Z133"/>
    <mergeCell ref="D125:E125"/>
    <mergeCell ref="A222:O223"/>
    <mergeCell ref="P41:V41"/>
    <mergeCell ref="D181:E181"/>
    <mergeCell ref="P91:T91"/>
    <mergeCell ref="A122:O123"/>
    <mergeCell ref="A44:Z44"/>
    <mergeCell ref="A31:Z31"/>
    <mergeCell ref="D278:U278"/>
    <mergeCell ref="G279:G280"/>
    <mergeCell ref="A201:O202"/>
    <mergeCell ref="D52:E52"/>
    <mergeCell ref="P110:V110"/>
    <mergeCell ref="D27:E27"/>
    <mergeCell ref="X278:Z278"/>
    <mergeCell ref="P267:T267"/>
    <mergeCell ref="P56:V56"/>
    <mergeCell ref="D39:E39"/>
    <mergeCell ref="A160:Z160"/>
    <mergeCell ref="F279:F280"/>
    <mergeCell ref="E279:E280"/>
    <mergeCell ref="P271:V271"/>
    <mergeCell ref="P273:V273"/>
    <mergeCell ref="A247:Z247"/>
    <mergeCell ref="A185:Z185"/>
    <mergeCell ref="P196:T196"/>
    <mergeCell ref="D33:E33"/>
    <mergeCell ref="A106:Z106"/>
    <mergeCell ref="A236:Z236"/>
    <mergeCell ref="P197:T197"/>
    <mergeCell ref="P238:V238"/>
    <mergeCell ref="P264:T264"/>
    <mergeCell ref="P68:T68"/>
    <mergeCell ref="Z279:Z280"/>
    <mergeCell ref="AB279:AB280"/>
    <mergeCell ref="R279:R280"/>
    <mergeCell ref="T279:T280"/>
    <mergeCell ref="P82:V82"/>
    <mergeCell ref="P253:T253"/>
    <mergeCell ref="I279:I280"/>
    <mergeCell ref="P167:T167"/>
    <mergeCell ref="D26:E26"/>
    <mergeCell ref="A161:Z161"/>
    <mergeCell ref="P117:T117"/>
    <mergeCell ref="P55:T55"/>
    <mergeCell ref="D115:E115"/>
    <mergeCell ref="P182:T182"/>
    <mergeCell ref="Q12:R12"/>
    <mergeCell ref="D261:E261"/>
    <mergeCell ref="A130:O131"/>
    <mergeCell ref="P119:T119"/>
    <mergeCell ref="P183:V183"/>
    <mergeCell ref="L279:L280"/>
    <mergeCell ref="P62:V62"/>
    <mergeCell ref="P127:V127"/>
    <mergeCell ref="A17:A18"/>
    <mergeCell ref="K17:K18"/>
    <mergeCell ref="A189:Z189"/>
    <mergeCell ref="C17:C18"/>
    <mergeCell ref="D180:E180"/>
    <mergeCell ref="D118:E118"/>
    <mergeCell ref="P53:T53"/>
    <mergeCell ref="A183:O184"/>
    <mergeCell ref="AA279:AA280"/>
    <mergeCell ref="A166:Z166"/>
    <mergeCell ref="D108:E108"/>
    <mergeCell ref="P52:T52"/>
    <mergeCell ref="P201:V201"/>
    <mergeCell ref="I17:I18"/>
    <mergeCell ref="D141:E141"/>
    <mergeCell ref="A48:O49"/>
    <mergeCell ref="D135:E135"/>
    <mergeCell ref="P176:V176"/>
    <mergeCell ref="P34:V34"/>
    <mergeCell ref="P276:V276"/>
    <mergeCell ref="P270:V270"/>
    <mergeCell ref="A95:Z95"/>
    <mergeCell ref="D255:E255"/>
    <mergeCell ref="P49:V49"/>
    <mergeCell ref="D24:E24"/>
    <mergeCell ref="A219:Z219"/>
    <mergeCell ref="P205:T205"/>
    <mergeCell ref="D260:E260"/>
    <mergeCell ref="D113:E113"/>
    <mergeCell ref="P180:T180"/>
    <mergeCell ref="P118:T118"/>
    <mergeCell ref="A96:Z96"/>
    <mergeCell ref="P268:T268"/>
    <mergeCell ref="P130:V130"/>
    <mergeCell ref="D1:F1"/>
    <mergeCell ref="A242:Z242"/>
    <mergeCell ref="P47:T47"/>
    <mergeCell ref="J17:J18"/>
    <mergeCell ref="L17:L18"/>
    <mergeCell ref="P61:V61"/>
    <mergeCell ref="P48:V48"/>
    <mergeCell ref="P255:T255"/>
    <mergeCell ref="A171:Z171"/>
    <mergeCell ref="A165:Z165"/>
    <mergeCell ref="P192:T192"/>
    <mergeCell ref="D100:E100"/>
    <mergeCell ref="P113:T113"/>
    <mergeCell ref="P17:T18"/>
    <mergeCell ref="P129:T129"/>
    <mergeCell ref="Q9:R9"/>
    <mergeCell ref="Q11:R11"/>
    <mergeCell ref="A6:C6"/>
    <mergeCell ref="A5:C5"/>
    <mergeCell ref="D9:E9"/>
    <mergeCell ref="F9:G9"/>
    <mergeCell ref="D167:E167"/>
    <mergeCell ref="H1:Q1"/>
    <mergeCell ref="P109:V109"/>
    <mergeCell ref="P274:V274"/>
    <mergeCell ref="B279:B280"/>
    <mergeCell ref="D214:E214"/>
    <mergeCell ref="P222:V222"/>
    <mergeCell ref="P193:V193"/>
    <mergeCell ref="P246:V246"/>
    <mergeCell ref="P120:T120"/>
    <mergeCell ref="D259:E259"/>
    <mergeCell ref="K279:K280"/>
    <mergeCell ref="P257:V257"/>
    <mergeCell ref="D117:E117"/>
    <mergeCell ref="D92:E92"/>
    <mergeCell ref="D55:E55"/>
    <mergeCell ref="D5:E5"/>
    <mergeCell ref="A238:O239"/>
    <mergeCell ref="P259:T259"/>
    <mergeCell ref="D69:E69"/>
    <mergeCell ref="A109:O110"/>
    <mergeCell ref="P175:V175"/>
    <mergeCell ref="H279:H280"/>
    <mergeCell ref="J279:J280"/>
    <mergeCell ref="P93:V93"/>
    <mergeCell ref="D7:M7"/>
    <mergeCell ref="D129:E129"/>
    <mergeCell ref="P92:T92"/>
    <mergeCell ref="P173:T173"/>
    <mergeCell ref="P100:T100"/>
    <mergeCell ref="D81:E81"/>
    <mergeCell ref="P265:T265"/>
    <mergeCell ref="U279:U280"/>
    <mergeCell ref="D8:M8"/>
    <mergeCell ref="A211:O212"/>
    <mergeCell ref="P237:T237"/>
    <mergeCell ref="A226:Z226"/>
    <mergeCell ref="A148:O149"/>
    <mergeCell ref="P251:V251"/>
    <mergeCell ref="A241:Z241"/>
    <mergeCell ref="P266:T266"/>
    <mergeCell ref="P164:V164"/>
    <mergeCell ref="P269:V269"/>
    <mergeCell ref="P35:V35"/>
    <mergeCell ref="A218:Z218"/>
    <mergeCell ref="D210:E210"/>
    <mergeCell ref="A250:O251"/>
    <mergeCell ref="P39:T39"/>
    <mergeCell ref="A89:Z89"/>
    <mergeCell ref="R1:T1"/>
    <mergeCell ref="A158:O159"/>
    <mergeCell ref="P221:T221"/>
    <mergeCell ref="P215:T215"/>
    <mergeCell ref="A271:O276"/>
    <mergeCell ref="P229:V229"/>
    <mergeCell ref="D98:E98"/>
    <mergeCell ref="D73:E73"/>
    <mergeCell ref="P77:V77"/>
    <mergeCell ref="P152:T152"/>
    <mergeCell ref="A76:O77"/>
    <mergeCell ref="P206:V206"/>
    <mergeCell ref="A258:Z258"/>
    <mergeCell ref="A58:Z58"/>
    <mergeCell ref="A234:O235"/>
    <mergeCell ref="P168:V168"/>
    <mergeCell ref="B17:B18"/>
    <mergeCell ref="P143:V143"/>
    <mergeCell ref="P235:V235"/>
    <mergeCell ref="P207:V207"/>
    <mergeCell ref="P81:T81"/>
    <mergeCell ref="V10:W10"/>
    <mergeCell ref="A124:Z124"/>
    <mergeCell ref="P99:T99"/>
    <mergeCell ref="A256:O257"/>
    <mergeCell ref="P88:V88"/>
    <mergeCell ref="V279:V280"/>
    <mergeCell ref="A78:Z78"/>
    <mergeCell ref="P153:V153"/>
    <mergeCell ref="X279:X280"/>
    <mergeCell ref="D263:E263"/>
    <mergeCell ref="A70:O71"/>
    <mergeCell ref="A216:O217"/>
    <mergeCell ref="P86:T86"/>
    <mergeCell ref="P157:T157"/>
    <mergeCell ref="D134:E134"/>
    <mergeCell ref="D205:E205"/>
    <mergeCell ref="P249:T249"/>
    <mergeCell ref="A87:O88"/>
    <mergeCell ref="D197:E197"/>
    <mergeCell ref="D253:E253"/>
    <mergeCell ref="A84:Z84"/>
    <mergeCell ref="P159:V159"/>
    <mergeCell ref="P147:T147"/>
    <mergeCell ref="A193:O194"/>
    <mergeCell ref="P217:V217"/>
    <mergeCell ref="A213:Z213"/>
    <mergeCell ref="A151:Z151"/>
    <mergeCell ref="D60:E60"/>
    <mergeCell ref="P73:T73"/>
    <mergeCell ref="P244:T244"/>
    <mergeCell ref="D174:E174"/>
    <mergeCell ref="P87:V87"/>
    <mergeCell ref="P245:V245"/>
    <mergeCell ref="D45:E45"/>
    <mergeCell ref="H9:I9"/>
    <mergeCell ref="P211:V211"/>
    <mergeCell ref="A36:Z36"/>
    <mergeCell ref="D53:E53"/>
    <mergeCell ref="D47:E47"/>
    <mergeCell ref="W17:W18"/>
    <mergeCell ref="A50:Z50"/>
    <mergeCell ref="P154:V154"/>
    <mergeCell ref="A150:Z150"/>
    <mergeCell ref="A144:Z144"/>
    <mergeCell ref="D147:E147"/>
    <mergeCell ref="P188:V188"/>
    <mergeCell ref="A187:O188"/>
    <mergeCell ref="P116:T116"/>
    <mergeCell ref="A105:Z105"/>
    <mergeCell ref="P32:T32"/>
    <mergeCell ref="P97:T9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3 X117 X120:X121 X125 X129 X140 X146 X162 X167 X186 X196 X198 X200 X210 X214:X215 X221 X233 X237 X243:X244 X259 X264:X26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7 X248 X254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4:X115 X118 X147 X152 X157 X173:X174 X192 X197 X199 X205 X249 X253 X255 X260:X263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384</v>
      </c>
      <c r="D6" s="47" t="s">
        <v>385</v>
      </c>
      <c r="E6" s="47"/>
    </row>
    <row r="8" spans="2:8" x14ac:dyDescent="0.2">
      <c r="B8" s="47" t="s">
        <v>18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MUlJrA+zM4VJYO85aGo1JRijzIj/+3yqzDRgOrL3LVANwnz/JGoV/e+USFk0EVFCOJYy1ED32bleKSMa3Ai7+Q==" saltValue="Z3JstPSpUPBi7U4BvpN6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2025-12-19T10:58:51Z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