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C3DB64E0-BAA9-4893-8D3B-5517A5C5401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Y24" i="1" l="1"/>
  <c r="H9" i="1"/>
  <c r="A10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7" i="1"/>
  <c r="Z90" i="1"/>
  <c r="Z77" i="1"/>
  <c r="Z64" i="1"/>
  <c r="Z496" i="1" s="1"/>
  <c r="Z221" i="1"/>
  <c r="Z465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<sst xmlns="http://schemas.openxmlformats.org/spreadsheetml/2006/main" count="2293" uniqueCount="775">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</sst>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150</v>
      </c>
      <c r="Y41" s="546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73.888888888888886</v>
      </c>
      <c r="Y44" s="547">
        <f>IFERROR(Y41/H41,"0")+IFERROR(Y42/H42,"0")+IFERROR(Y43/H43,"0")</f>
        <v>74</v>
      </c>
      <c r="Z44" s="547">
        <f>IFERROR(IF(Z41="",0,Z41),"0")+IFERROR(IF(Z42="",0,Z42),"0")+IFERROR(IF(Z43="",0,Z43),"0")</f>
        <v>0.80692000000000008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390</v>
      </c>
      <c r="Y45" s="547">
        <f>IFERROR(SUM(Y41:Y43),"0")</f>
        <v>391.20000000000005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450</v>
      </c>
      <c r="Y57" s="546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123.14814814814815</v>
      </c>
      <c r="Y58" s="547">
        <f>IFERROR(Y52/H52,"0")+IFERROR(Y53/H53,"0")+IFERROR(Y54/H54,"0")+IFERROR(Y55/H55,"0")+IFERROR(Y56/H56,"0")+IFERROR(Y57/H57,"0")</f>
        <v>124</v>
      </c>
      <c r="Z58" s="547">
        <f>IFERROR(IF(Z52="",0,Z52),"0")+IFERROR(IF(Z53="",0,Z53),"0")+IFERROR(IF(Z54="",0,Z54),"0")+IFERROR(IF(Z55="",0,Z55),"0")+IFERROR(IF(Z56="",0,Z56),"0")+IFERROR(IF(Z57="",0,Z57),"0")</f>
        <v>1.3575200000000001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700</v>
      </c>
      <c r="Y59" s="547">
        <f>IFERROR(SUM(Y52:Y57),"0")</f>
        <v>709.2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280</v>
      </c>
      <c r="Y61" s="546">
        <f>IFERROR(IF(X61="",0,CEILING((X61/$H61),1)*$H61),"")</f>
        <v>280.8</v>
      </c>
      <c r="Z61" s="36">
        <f>IFERROR(IF(Y61=0,"",ROUNDUP(Y61/H61,0)*0.01898),"")</f>
        <v>0.49348000000000003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290.62962962962962</v>
      </c>
      <c r="BN61" s="64">
        <f>IFERROR(Y61*I61/H61,"0")</f>
        <v>291.46000000000004</v>
      </c>
      <c r="BO61" s="64">
        <f>IFERROR(1/J61*(X61/H61),"0")</f>
        <v>0.40509259259259256</v>
      </c>
      <c r="BP61" s="64">
        <f>IFERROR(1/J61*(Y61/H61),"0")</f>
        <v>0.40625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121.5</v>
      </c>
      <c r="Y63" s="546">
        <f>IFERROR(IF(X63="",0,CEILING((X63/$H63),1)*$H63),"")</f>
        <v>121.50000000000001</v>
      </c>
      <c r="Z63" s="36">
        <f>IFERROR(IF(Y63=0,"",ROUNDUP(Y63/H63,0)*0.00651),"")</f>
        <v>0.29294999999999999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129.59999999999997</v>
      </c>
      <c r="BN63" s="64">
        <f>IFERROR(Y63*I63/H63,"0")</f>
        <v>129.6</v>
      </c>
      <c r="BO63" s="64">
        <f>IFERROR(1/J63*(X63/H63),"0")</f>
        <v>0.24725274725274726</v>
      </c>
      <c r="BP63" s="64">
        <f>IFERROR(1/J63*(Y63/H63),"0")</f>
        <v>0.24725274725274726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70.925925925925924</v>
      </c>
      <c r="Y64" s="547">
        <f>IFERROR(Y61/H61,"0")+IFERROR(Y62/H62,"0")+IFERROR(Y63/H63,"0")</f>
        <v>71</v>
      </c>
      <c r="Z64" s="547">
        <f>IFERROR(IF(Z61="",0,Z61),"0")+IFERROR(IF(Z62="",0,Z62),"0")+IFERROR(IF(Z63="",0,Z63),"0")</f>
        <v>0.78642999999999996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401.5</v>
      </c>
      <c r="Y65" s="547">
        <f>IFERROR(SUM(Y61:Y63),"0")</f>
        <v>402.3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50</v>
      </c>
      <c r="Y80" s="546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6.4102564102564106</v>
      </c>
      <c r="Y82" s="547">
        <f>IFERROR(Y80/H80,"0")+IFERROR(Y81/H81,"0")</f>
        <v>7</v>
      </c>
      <c r="Z82" s="547">
        <f>IFERROR(IF(Z80="",0,Z80),"0")+IFERROR(IF(Z81="",0,Z81),"0")</f>
        <v>0.13286000000000001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50</v>
      </c>
      <c r="Y83" s="547">
        <f>IFERROR(SUM(Y80:Y81),"0")</f>
        <v>54.6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100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270</v>
      </c>
      <c r="Y89" s="546">
        <f>IFERROR(IF(X89="",0,CEILING((X89/$H89),1)*$H89),"")</f>
        <v>270</v>
      </c>
      <c r="Z89" s="36">
        <f>IFERROR(IF(Y89=0,"",ROUNDUP(Y89/H89,0)*0.00902),"")</f>
        <v>0.54120000000000001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281.40000000000003</v>
      </c>
      <c r="BN89" s="64">
        <f>IFERROR(Y89*I89/H89,"0")</f>
        <v>281.40000000000003</v>
      </c>
      <c r="BO89" s="64">
        <f>IFERROR(1/J89*(X89/H89),"0")</f>
        <v>0.45454545454545459</v>
      </c>
      <c r="BP89" s="64">
        <f>IFERROR(1/J89*(Y89/H89),"0")</f>
        <v>0.45454545454545459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69.259259259259267</v>
      </c>
      <c r="Y90" s="547">
        <f>IFERROR(Y86/H86,"0")+IFERROR(Y87/H87,"0")+IFERROR(Y88/H88,"0")+IFERROR(Y89/H89,"0")</f>
        <v>70</v>
      </c>
      <c r="Z90" s="547">
        <f>IFERROR(IF(Z86="",0,Z86),"0")+IFERROR(IF(Z87="",0,Z87),"0")+IFERROR(IF(Z88="",0,Z88),"0")+IFERROR(IF(Z89="",0,Z89),"0")</f>
        <v>0.73099999999999998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370</v>
      </c>
      <c r="Y91" s="547">
        <f>IFERROR(SUM(Y86:Y89),"0")</f>
        <v>378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200</v>
      </c>
      <c r="Y93" s="546">
        <f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212.19753086419755</v>
      </c>
      <c r="BN93" s="64">
        <f>IFERROR(Y93*I93/H93,"0")</f>
        <v>214.85</v>
      </c>
      <c r="BO93" s="64">
        <f>IFERROR(1/J93*(X93/H93),"0")</f>
        <v>0.38580246913580246</v>
      </c>
      <c r="BP93" s="64">
        <f>IFERROR(1/J93*(Y93/H93),"0")</f>
        <v>0.390625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450</v>
      </c>
      <c r="Y95" s="546">
        <f>IFERROR(IF(X95="",0,CEILING((X95/$H95),1)*$H95),"")</f>
        <v>450.90000000000003</v>
      </c>
      <c r="Z95" s="36">
        <f>IFERROR(IF(Y95=0,"",ROUNDUP(Y95/H95,0)*0.00651),"")</f>
        <v>1.08717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492</v>
      </c>
      <c r="BN95" s="64">
        <f>IFERROR(Y95*I95/H95,"0")</f>
        <v>492.98399999999998</v>
      </c>
      <c r="BO95" s="64">
        <f>IFERROR(1/J95*(X95/H95),"0")</f>
        <v>0.91575091575091572</v>
      </c>
      <c r="BP95" s="64">
        <f>IFERROR(1/J95*(Y95/H95),"0")</f>
        <v>0.91758241758241765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191.35802469135803</v>
      </c>
      <c r="Y97" s="547">
        <f>IFERROR(Y93/H93,"0")+IFERROR(Y94/H94,"0")+IFERROR(Y95/H95,"0")+IFERROR(Y96/H96,"0")</f>
        <v>192</v>
      </c>
      <c r="Z97" s="547">
        <f>IFERROR(IF(Z93="",0,Z93),"0")+IFERROR(IF(Z94="",0,Z94),"0")+IFERROR(IF(Z95="",0,Z95),"0")+IFERROR(IF(Z96="",0,Z96),"0")</f>
        <v>1.5616699999999999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650</v>
      </c>
      <c r="Y98" s="547">
        <f>IFERROR(SUM(Y93:Y96),"0")</f>
        <v>653.40000000000009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30</v>
      </c>
      <c r="Y101" s="546">
        <f>IFERROR(IF(X101="",0,CEILING((X101/$H101),1)*$H101),"")</f>
        <v>32.400000000000006</v>
      </c>
      <c r="Z101" s="36">
        <f>IFERROR(IF(Y101=0,"",ROUNDUP(Y101/H101,0)*0.01898),"")</f>
        <v>5.6940000000000004E-2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31.138888888888889</v>
      </c>
      <c r="BN101" s="64">
        <f>IFERROR(Y101*I101/H101,"0")</f>
        <v>33.630000000000003</v>
      </c>
      <c r="BO101" s="64">
        <f>IFERROR(1/J101*(X101/H101),"0")</f>
        <v>4.3402777777777776E-2</v>
      </c>
      <c r="BP101" s="64">
        <f>IFERROR(1/J101*(Y101/H101),"0")</f>
        <v>4.6875000000000007E-2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2.7777777777777777</v>
      </c>
      <c r="Y106" s="547">
        <f>IFERROR(Y101/H101,"0")+IFERROR(Y102/H102,"0")+IFERROR(Y103/H103,"0")+IFERROR(Y104/H104,"0")+IFERROR(Y105/H105,"0")</f>
        <v>3.0000000000000004</v>
      </c>
      <c r="Z106" s="547">
        <f>IFERROR(IF(Z101="",0,Z101),"0")+IFERROR(IF(Z102="",0,Z102),"0")+IFERROR(IF(Z103="",0,Z103),"0")+IFERROR(IF(Z104="",0,Z104),"0")+IFERROR(IF(Z105="",0,Z105),"0")</f>
        <v>5.6940000000000004E-2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30</v>
      </c>
      <c r="Y107" s="547">
        <f>IFERROR(SUM(Y101:Y105),"0")</f>
        <v>32.400000000000006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600</v>
      </c>
      <c r="Y116" s="546">
        <f>IFERROR(IF(X116="",0,CEILING((X116/$H116),1)*$H116),"")</f>
        <v>607.5</v>
      </c>
      <c r="Z116" s="36">
        <f>IFERROR(IF(Y116=0,"",ROUNDUP(Y116/H116,0)*0.01898),"")</f>
        <v>1.4235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636.14814814814804</v>
      </c>
      <c r="BN116" s="64">
        <f>IFERROR(Y116*I116/H116,"0")</f>
        <v>644.09999999999991</v>
      </c>
      <c r="BO116" s="64">
        <f>IFERROR(1/J116*(X116/H116),"0")</f>
        <v>1.1574074074074074</v>
      </c>
      <c r="BP116" s="64">
        <f>IFERROR(1/J116*(Y116/H116),"0")</f>
        <v>1.171875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190.74074074074073</v>
      </c>
      <c r="Y120" s="547">
        <f>IFERROR(Y116/H116,"0")+IFERROR(Y117/H117,"0")+IFERROR(Y118/H118,"0")+IFERROR(Y119/H119,"0")</f>
        <v>192</v>
      </c>
      <c r="Z120" s="547">
        <f>IFERROR(IF(Z116="",0,Z116),"0")+IFERROR(IF(Z117="",0,Z117),"0")+IFERROR(IF(Z118="",0,Z118),"0")+IFERROR(IF(Z119="",0,Z119),"0")</f>
        <v>2.1851700000000003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915</v>
      </c>
      <c r="Y121" s="547">
        <f>IFERROR(SUM(Y116:Y119),"0")</f>
        <v>923.40000000000009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33</v>
      </c>
      <c r="Y123" s="546">
        <f>IFERROR(IF(X123="",0,CEILING((X123/$H123),1)*$H123),"")</f>
        <v>33.659999999999997</v>
      </c>
      <c r="Z123" s="36">
        <f>IFERROR(IF(Y123=0,"",ROUNDUP(Y123/H123,0)*0.00651),"")</f>
        <v>0.11067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37.299999999999997</v>
      </c>
      <c r="BN123" s="64">
        <f>IFERROR(Y123*I123/H123,"0")</f>
        <v>38.045999999999992</v>
      </c>
      <c r="BO123" s="64">
        <f>IFERROR(1/J123*(X123/H123),"0")</f>
        <v>9.1575091575091583E-2</v>
      </c>
      <c r="BP123" s="64">
        <f>IFERROR(1/J123*(Y123/H123),"0")</f>
        <v>9.3406593406593408E-2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16.666666666666668</v>
      </c>
      <c r="Y124" s="547">
        <f>IFERROR(Y123/H123,"0")</f>
        <v>17</v>
      </c>
      <c r="Z124" s="547">
        <f>IFERROR(IF(Z123="",0,Z123),"0")</f>
        <v>0.11067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33</v>
      </c>
      <c r="Y125" s="547">
        <f>IFERROR(SUM(Y123:Y123),"0")</f>
        <v>33.659999999999997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48</v>
      </c>
      <c r="Y128" s="546">
        <f>IFERROR(IF(X128="",0,CEILING((X128/$H128),1)*$H128),"")</f>
        <v>48</v>
      </c>
      <c r="Z128" s="36">
        <f>IFERROR(IF(Y128=0,"",ROUNDUP(Y128/H128,0)*0.00651),"")</f>
        <v>9.7650000000000001E-2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50.7</v>
      </c>
      <c r="BN128" s="64">
        <f>IFERROR(Y128*I128/H128,"0")</f>
        <v>50.7</v>
      </c>
      <c r="BO128" s="64">
        <f>IFERROR(1/J128*(X128/H128),"0")</f>
        <v>8.241758241758243E-2</v>
      </c>
      <c r="BP128" s="64">
        <f>IFERROR(1/J128*(Y128/H128),"0")</f>
        <v>8.241758241758243E-2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15</v>
      </c>
      <c r="Y130" s="547">
        <f>IFERROR(Y128/H128,"0")+IFERROR(Y129/H129,"0")</f>
        <v>15</v>
      </c>
      <c r="Z130" s="547">
        <f>IFERROR(IF(Z128="",0,Z128),"0")+IFERROR(IF(Z129="",0,Z129),"0")</f>
        <v>9.7650000000000001E-2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48</v>
      </c>
      <c r="Y131" s="547">
        <f>IFERROR(SUM(Y128:Y129),"0")</f>
        <v>48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17.5</v>
      </c>
      <c r="Y134" s="546">
        <f>IFERROR(IF(X134="",0,CEILING((X134/$H134),1)*$H134),"")</f>
        <v>19.599999999999998</v>
      </c>
      <c r="Z134" s="36">
        <f>IFERROR(IF(Y134=0,"",ROUNDUP(Y134/H134,0)*0.00651),"")</f>
        <v>4.5569999999999999E-2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19.175000000000001</v>
      </c>
      <c r="BN134" s="64">
        <f>IFERROR(Y134*I134/H134,"0")</f>
        <v>21.475999999999999</v>
      </c>
      <c r="BO134" s="64">
        <f>IFERROR(1/J134*(X134/H134),"0")</f>
        <v>3.4340659340659344E-2</v>
      </c>
      <c r="BP134" s="64">
        <f>IFERROR(1/J134*(Y134/H134),"0")</f>
        <v>3.8461538461538464E-2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6.25</v>
      </c>
      <c r="Y135" s="547">
        <f>IFERROR(Y133/H133,"0")+IFERROR(Y134/H134,"0")</f>
        <v>7</v>
      </c>
      <c r="Z135" s="547">
        <f>IFERROR(IF(Z133="",0,Z133),"0")+IFERROR(IF(Z134="",0,Z134),"0")</f>
        <v>4.5569999999999999E-2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17.5</v>
      </c>
      <c r="Y136" s="547">
        <f>IFERROR(SUM(Y133:Y134),"0")</f>
        <v>19.599999999999998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19.8</v>
      </c>
      <c r="Y139" s="546">
        <f>IFERROR(IF(X139="",0,CEILING((X139/$H139),1)*$H139),"")</f>
        <v>21.12</v>
      </c>
      <c r="Z139" s="36">
        <f>IFERROR(IF(Y139=0,"",ROUNDUP(Y139/H139,0)*0.00651),"")</f>
        <v>5.2080000000000001E-2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21.81</v>
      </c>
      <c r="BN139" s="64">
        <f>IFERROR(Y139*I139/H139,"0")</f>
        <v>23.263999999999999</v>
      </c>
      <c r="BO139" s="64">
        <f>IFERROR(1/J139*(X139/H139),"0")</f>
        <v>4.1208791208791215E-2</v>
      </c>
      <c r="BP139" s="64">
        <f>IFERROR(1/J139*(Y139/H139),"0")</f>
        <v>4.3956043956043959E-2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7.5</v>
      </c>
      <c r="Y140" s="547">
        <f>IFERROR(Y138/H138,"0")+IFERROR(Y139/H139,"0")</f>
        <v>8</v>
      </c>
      <c r="Z140" s="547">
        <f>IFERROR(IF(Z138="",0,Z138),"0")+IFERROR(IF(Z139="",0,Z139),"0")</f>
        <v>5.2080000000000001E-2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19.8</v>
      </c>
      <c r="Y141" s="547">
        <f>IFERROR(SUM(Y138:Y139),"0")</f>
        <v>21.12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42</v>
      </c>
      <c r="Y169" s="546">
        <f t="shared" si="5"/>
        <v>42</v>
      </c>
      <c r="Z169" s="36">
        <f>IFERROR(IF(Y169=0,"",ROUNDUP(Y169/H169,0)*0.00502),"")</f>
        <v>0.1004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44.599999999999994</v>
      </c>
      <c r="BN169" s="64">
        <f t="shared" si="7"/>
        <v>44.599999999999994</v>
      </c>
      <c r="BO169" s="64">
        <f t="shared" si="8"/>
        <v>8.5470085470085472E-2</v>
      </c>
      <c r="BP169" s="64">
        <f t="shared" si="9"/>
        <v>8.5470085470085472E-2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42</v>
      </c>
      <c r="Y171" s="546">
        <f t="shared" si="5"/>
        <v>42</v>
      </c>
      <c r="Z171" s="36">
        <f>IFERROR(IF(Y171=0,"",ROUNDUP(Y171/H171,0)*0.00502),"")</f>
        <v>0.1004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44.599999999999994</v>
      </c>
      <c r="BN171" s="64">
        <f t="shared" si="7"/>
        <v>44.599999999999994</v>
      </c>
      <c r="BO171" s="64">
        <f t="shared" si="8"/>
        <v>8.5470085470085472E-2</v>
      </c>
      <c r="BP171" s="64">
        <f t="shared" si="9"/>
        <v>8.5470085470085472E-2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56</v>
      </c>
      <c r="Y174" s="546">
        <f t="shared" si="5"/>
        <v>56.7</v>
      </c>
      <c r="Z174" s="36">
        <f>IFERROR(IF(Y174=0,"",ROUNDUP(Y174/H174,0)*0.00502),"")</f>
        <v>0.13553999999999999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58.666666666666671</v>
      </c>
      <c r="BN174" s="64">
        <f t="shared" si="7"/>
        <v>59.400000000000006</v>
      </c>
      <c r="BO174" s="64">
        <f t="shared" si="8"/>
        <v>0.11396011396011396</v>
      </c>
      <c r="BP174" s="64">
        <f t="shared" si="9"/>
        <v>0.11538461538461539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66.666666666666657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67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0.33633999999999997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140</v>
      </c>
      <c r="Y178" s="547">
        <f>IFERROR(SUM(Y165:Y176),"0")</f>
        <v>140.69999999999999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14</v>
      </c>
      <c r="Y181" s="546">
        <f>IFERROR(IF(X181="",0,CEILING((X181/$H181),1)*$H181),"")</f>
        <v>15.120000000000001</v>
      </c>
      <c r="Z181" s="36">
        <f>IFERROR(IF(Y181=0,"",ROUNDUP(Y181/H181,0)*0.0059),"")</f>
        <v>7.0800000000000002E-2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16.111111111111111</v>
      </c>
      <c r="BN181" s="64">
        <f>IFERROR(Y181*I181/H181,"0")</f>
        <v>17.399999999999999</v>
      </c>
      <c r="BO181" s="64">
        <f>IFERROR(1/J181*(X181/H181),"0")</f>
        <v>5.1440329218106991E-2</v>
      </c>
      <c r="BP181" s="64">
        <f>IFERROR(1/J181*(Y181/H181),"0")</f>
        <v>5.5555555555555552E-2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16.666666666666668</v>
      </c>
      <c r="Y183" s="547">
        <f>IFERROR(Y180/H180,"0")+IFERROR(Y181/H181,"0")+IFERROR(Y182/H182,"0")</f>
        <v>18</v>
      </c>
      <c r="Z183" s="547">
        <f>IFERROR(IF(Z180="",0,Z180),"0")+IFERROR(IF(Z181="",0,Z181),"0")+IFERROR(IF(Z182="",0,Z182),"0")</f>
        <v>0.1062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21</v>
      </c>
      <c r="Y184" s="547">
        <f>IFERROR(SUM(Y180:Y182),"0")</f>
        <v>22.68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7.0000000000000009</v>
      </c>
      <c r="Y186" s="546">
        <f>IFERROR(IF(X186="",0,CEILING((X186/$H186),1)*$H186),"")</f>
        <v>7.5600000000000005</v>
      </c>
      <c r="Z186" s="36">
        <f>IFERROR(IF(Y186=0,"",ROUNDUP(Y186/H186,0)*0.0059),"")</f>
        <v>3.5400000000000001E-2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8.0555555555555554</v>
      </c>
      <c r="BN186" s="64">
        <f>IFERROR(Y186*I186/H186,"0")</f>
        <v>8.6999999999999993</v>
      </c>
      <c r="BO186" s="64">
        <f>IFERROR(1/J186*(X186/H186),"0")</f>
        <v>2.5720164609053499E-2</v>
      </c>
      <c r="BP186" s="64">
        <f>IFERROR(1/J186*(Y186/H186),"0")</f>
        <v>2.7777777777777776E-2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5.5555555555555562</v>
      </c>
      <c r="Y187" s="547">
        <f>IFERROR(Y186/H186,"0")</f>
        <v>6</v>
      </c>
      <c r="Z187" s="547">
        <f>IFERROR(IF(Z186="",0,Z186),"0")</f>
        <v>3.5400000000000001E-2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7.0000000000000009</v>
      </c>
      <c r="Y188" s="547">
        <f>IFERROR(SUM(Y186:Y186),"0")</f>
        <v>7.5600000000000005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20</v>
      </c>
      <c r="Y202" s="546">
        <f t="shared" si="10"/>
        <v>21.6</v>
      </c>
      <c r="Z202" s="36">
        <f>IFERROR(IF(Y202=0,"",ROUNDUP(Y202/H202,0)*0.00902),"")</f>
        <v>3.6080000000000001E-2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20.703703703703702</v>
      </c>
      <c r="BN202" s="64">
        <f t="shared" si="12"/>
        <v>22.36</v>
      </c>
      <c r="BO202" s="64">
        <f t="shared" si="13"/>
        <v>2.8058361391694722E-2</v>
      </c>
      <c r="BP202" s="64">
        <f t="shared" si="14"/>
        <v>3.0303030303030304E-2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250</v>
      </c>
      <c r="Y203" s="546">
        <f t="shared" si="10"/>
        <v>253.8</v>
      </c>
      <c r="Z203" s="36">
        <f>IFERROR(IF(Y203=0,"",ROUNDUP(Y203/H203,0)*0.00902),"")</f>
        <v>0.42393999999999998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258.7962962962963</v>
      </c>
      <c r="BN203" s="64">
        <f t="shared" si="12"/>
        <v>262.72999999999996</v>
      </c>
      <c r="BO203" s="64">
        <f t="shared" si="13"/>
        <v>0.35072951739618402</v>
      </c>
      <c r="BP203" s="64">
        <f t="shared" si="14"/>
        <v>0.35606060606060608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49.999999999999993</v>
      </c>
      <c r="Y209" s="547">
        <f>IFERROR(Y201/H201,"0")+IFERROR(Y202/H202,"0")+IFERROR(Y203/H203,"0")+IFERROR(Y204/H204,"0")+IFERROR(Y205/H205,"0")+IFERROR(Y206/H206,"0")+IFERROR(Y207/H207,"0")+IFERROR(Y208/H208,"0")</f>
        <v>51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0.46001999999999998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270</v>
      </c>
      <c r="Y210" s="547">
        <f>IFERROR(SUM(Y201:Y208),"0")</f>
        <v>275.40000000000003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50</v>
      </c>
      <c r="Y214" s="546">
        <f t="shared" si="15"/>
        <v>52.199999999999996</v>
      </c>
      <c r="Z214" s="36">
        <f>IFERROR(IF(Y214=0,"",ROUNDUP(Y214/H214,0)*0.01898),"")</f>
        <v>0.11388000000000001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52.839080459770123</v>
      </c>
      <c r="BN214" s="64">
        <f t="shared" si="17"/>
        <v>55.164000000000009</v>
      </c>
      <c r="BO214" s="64">
        <f t="shared" si="18"/>
        <v>8.9798850574712652E-2</v>
      </c>
      <c r="BP214" s="64">
        <f t="shared" si="19"/>
        <v>9.375E-2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160</v>
      </c>
      <c r="Y215" s="546">
        <f t="shared" si="15"/>
        <v>160.79999999999998</v>
      </c>
      <c r="Z215" s="36">
        <f t="shared" ref="Z215:Z220" si="20">IFERROR(IF(Y215=0,"",ROUNDUP(Y215/H215,0)*0.00651),"")</f>
        <v>0.43617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178</v>
      </c>
      <c r="BN215" s="64">
        <f t="shared" si="17"/>
        <v>178.89</v>
      </c>
      <c r="BO215" s="64">
        <f t="shared" si="18"/>
        <v>0.36630036630036633</v>
      </c>
      <c r="BP215" s="64">
        <f t="shared" si="19"/>
        <v>0.36813186813186816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180</v>
      </c>
      <c r="Y217" s="546">
        <f t="shared" si="15"/>
        <v>180</v>
      </c>
      <c r="Z217" s="36">
        <f t="shared" si="20"/>
        <v>0.48825000000000002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198.9</v>
      </c>
      <c r="BN217" s="64">
        <f t="shared" si="17"/>
        <v>198.9</v>
      </c>
      <c r="BO217" s="64">
        <f t="shared" si="18"/>
        <v>0.41208791208791212</v>
      </c>
      <c r="BP217" s="64">
        <f t="shared" si="19"/>
        <v>0.41208791208791212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48</v>
      </c>
      <c r="Y219" s="546">
        <f t="shared" si="15"/>
        <v>48</v>
      </c>
      <c r="Z219" s="36">
        <f t="shared" si="20"/>
        <v>0.13020000000000001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53.040000000000006</v>
      </c>
      <c r="BN219" s="64">
        <f t="shared" si="17"/>
        <v>53.040000000000006</v>
      </c>
      <c r="BO219" s="64">
        <f t="shared" si="18"/>
        <v>0.1098901098901099</v>
      </c>
      <c r="BP219" s="64">
        <f t="shared" si="19"/>
        <v>0.1098901098901099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120</v>
      </c>
      <c r="Y220" s="546">
        <f t="shared" si="15"/>
        <v>120</v>
      </c>
      <c r="Z220" s="36">
        <f t="shared" si="20"/>
        <v>0.32550000000000001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132.9</v>
      </c>
      <c r="BN220" s="64">
        <f t="shared" si="17"/>
        <v>132.9</v>
      </c>
      <c r="BO220" s="64">
        <f t="shared" si="18"/>
        <v>0.27472527472527475</v>
      </c>
      <c r="BP220" s="64">
        <f t="shared" si="19"/>
        <v>0.27472527472527475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217.41379310344828</v>
      </c>
      <c r="Y221" s="547">
        <f>IFERROR(Y212/H212,"0")+IFERROR(Y213/H213,"0")+IFERROR(Y214/H214,"0")+IFERROR(Y215/H215,"0")+IFERROR(Y216/H216,"0")+IFERROR(Y217/H217,"0")+IFERROR(Y218/H218,"0")+IFERROR(Y219/H219,"0")+IFERROR(Y220/H220,"0")</f>
        <v>218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1.4940000000000002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558</v>
      </c>
      <c r="Y222" s="547">
        <f>IFERROR(SUM(Y212:Y220),"0")</f>
        <v>561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16</v>
      </c>
      <c r="Y224" s="546">
        <f>IFERROR(IF(X224="",0,CEILING((X224/$H224),1)*$H224),"")</f>
        <v>16.8</v>
      </c>
      <c r="Z224" s="36">
        <f>IFERROR(IF(Y224=0,"",ROUNDUP(Y224/H224,0)*0.00651),"")</f>
        <v>4.5569999999999999E-2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17.680000000000003</v>
      </c>
      <c r="BN224" s="64">
        <f>IFERROR(Y224*I224/H224,"0")</f>
        <v>18.564000000000004</v>
      </c>
      <c r="BO224" s="64">
        <f>IFERROR(1/J224*(X224/H224),"0")</f>
        <v>3.6630036630036632E-2</v>
      </c>
      <c r="BP224" s="64">
        <f>IFERROR(1/J224*(Y224/H224),"0")</f>
        <v>3.8461538461538471E-2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24</v>
      </c>
      <c r="Y225" s="546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16.666666666666668</v>
      </c>
      <c r="Y226" s="547">
        <f>IFERROR(Y224/H224,"0")+IFERROR(Y225/H225,"0")</f>
        <v>17</v>
      </c>
      <c r="Z226" s="547">
        <f>IFERROR(IF(Z224="",0,Z224),"0")+IFERROR(IF(Z225="",0,Z225),"0")</f>
        <v>0.11067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40</v>
      </c>
      <c r="Y227" s="547">
        <f>IFERROR(SUM(Y224:Y225),"0")</f>
        <v>40.799999999999997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30</v>
      </c>
      <c r="Y232" s="546">
        <f t="shared" si="21"/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31.06034482758621</v>
      </c>
      <c r="BN232" s="64">
        <f t="shared" si="23"/>
        <v>36.03</v>
      </c>
      <c r="BO232" s="64">
        <f t="shared" si="24"/>
        <v>4.0409482758620691E-2</v>
      </c>
      <c r="BP232" s="64">
        <f t="shared" si="25"/>
        <v>4.6875E-2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40</v>
      </c>
      <c r="Y233" s="546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20</v>
      </c>
      <c r="Y237" s="546">
        <f t="shared" si="21"/>
        <v>20</v>
      </c>
      <c r="Z237" s="36">
        <f>IFERROR(IF(Y237=0,"",ROUNDUP(Y237/H237,0)*0.00902),"")</f>
        <v>4.5100000000000001E-2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20.950000000000003</v>
      </c>
      <c r="BN237" s="64">
        <f t="shared" si="23"/>
        <v>20.950000000000003</v>
      </c>
      <c r="BO237" s="64">
        <f t="shared" si="24"/>
        <v>3.787878787878788E-2</v>
      </c>
      <c r="BP237" s="64">
        <f t="shared" si="25"/>
        <v>3.787878787878788E-2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17.586206896551722</v>
      </c>
      <c r="Y239" s="547">
        <f>IFERROR(Y230/H230,"0")+IFERROR(Y231/H231,"0")+IFERROR(Y232/H232,"0")+IFERROR(Y233/H233,"0")+IFERROR(Y234/H234,"0")+IFERROR(Y235/H235,"0")+IFERROR(Y236/H236,"0")+IFERROR(Y237/H237,"0")+IFERROR(Y238/H238,"0")</f>
        <v>18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0.19223999999999999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90</v>
      </c>
      <c r="Y240" s="547">
        <f>IFERROR(SUM(Y230:Y238),"0")</f>
        <v>94.8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6</v>
      </c>
      <c r="Y246" s="546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6.5833333333333339</v>
      </c>
      <c r="BN246" s="64">
        <f>IFERROR(Y246*I246/H246,"0")</f>
        <v>7.9</v>
      </c>
      <c r="BO246" s="64">
        <f>IFERROR(1/J246*(X246/H246),"0")</f>
        <v>1.5432098765432096E-2</v>
      </c>
      <c r="BP246" s="64">
        <f>IFERROR(1/J246*(Y246/H246),"0")</f>
        <v>1.8518518518518517E-2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3.333333333333333</v>
      </c>
      <c r="Y247" s="547">
        <f>IFERROR(Y246/H246,"0")</f>
        <v>4</v>
      </c>
      <c r="Z247" s="547">
        <f>IFERROR(IF(Z246="",0,Z246),"0")</f>
        <v>2.3599999999999999E-2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6</v>
      </c>
      <c r="Y248" s="547">
        <f>IFERROR(SUM(Y246:Y246),"0")</f>
        <v>7.2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18</v>
      </c>
      <c r="Y251" s="546">
        <f>IFERROR(IF(X251="",0,CEILING((X251/$H251),1)*$H251),"")</f>
        <v>18</v>
      </c>
      <c r="Z251" s="36">
        <f>IFERROR(IF(Y251=0,"",ROUNDUP(Y251/H251,0)*0.0059),"")</f>
        <v>5.8999999999999997E-2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19.750000000000004</v>
      </c>
      <c r="BN251" s="64">
        <f>IFERROR(Y251*I251/H251,"0")</f>
        <v>19.750000000000004</v>
      </c>
      <c r="BO251" s="64">
        <f>IFERROR(1/J251*(X251/H251),"0")</f>
        <v>4.6296296296296294E-2</v>
      </c>
      <c r="BP251" s="64">
        <f>IFERROR(1/J251*(Y251/H251),"0")</f>
        <v>4.6296296296296294E-2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2.5</v>
      </c>
      <c r="Y252" s="546">
        <f>IFERROR(IF(X252="",0,CEILING((X252/$H252),1)*$H252),"")</f>
        <v>2.7</v>
      </c>
      <c r="Z252" s="36">
        <f>IFERROR(IF(Y252=0,"",ROUNDUP(Y252/H252,0)*0.0059),"")</f>
        <v>1.77E-2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3.0277777777777777</v>
      </c>
      <c r="BN252" s="64">
        <f>IFERROR(Y252*I252/H252,"0")</f>
        <v>3.2700000000000005</v>
      </c>
      <c r="BO252" s="64">
        <f>IFERROR(1/J252*(X252/H252),"0")</f>
        <v>1.2860082304526748E-2</v>
      </c>
      <c r="BP252" s="64">
        <f>IFERROR(1/J252*(Y252/H252),"0")</f>
        <v>1.3888888888888888E-2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12.777777777777779</v>
      </c>
      <c r="Y255" s="547">
        <f>IFERROR(Y250/H250,"0")+IFERROR(Y251/H251,"0")+IFERROR(Y252/H252,"0")+IFERROR(Y253/H253,"0")+IFERROR(Y254/H254,"0")</f>
        <v>13</v>
      </c>
      <c r="Z255" s="547">
        <f>IFERROR(IF(Z250="",0,Z250),"0")+IFERROR(IF(Z251="",0,Z251),"0")+IFERROR(IF(Z252="",0,Z252),"0")+IFERROR(IF(Z253="",0,Z253),"0")+IFERROR(IF(Z254="",0,Z254),"0")</f>
        <v>7.669999999999999E-2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20.5</v>
      </c>
      <c r="Y256" s="547">
        <f>IFERROR(SUM(Y250:Y254),"0")</f>
        <v>20.7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140</v>
      </c>
      <c r="Y278" s="546">
        <f>IFERROR(IF(X278="",0,CEILING((X278/$H278),1)*$H278),"")</f>
        <v>141.6</v>
      </c>
      <c r="Z278" s="36">
        <f>IFERROR(IF(Y278=0,"",ROUNDUP(Y278/H278,0)*0.00651),"")</f>
        <v>0.38408999999999999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150.5</v>
      </c>
      <c r="BN278" s="64">
        <f>IFERROR(Y278*I278/H278,"0")</f>
        <v>152.22</v>
      </c>
      <c r="BO278" s="64">
        <f>IFERROR(1/J278*(X278/H278),"0")</f>
        <v>0.32051282051282054</v>
      </c>
      <c r="BP278" s="64">
        <f>IFERROR(1/J278*(Y278/H278),"0")</f>
        <v>0.32417582417582419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58.333333333333336</v>
      </c>
      <c r="Y279" s="547">
        <f>IFERROR(Y276/H276,"0")+IFERROR(Y277/H277,"0")+IFERROR(Y278/H278,"0")</f>
        <v>59</v>
      </c>
      <c r="Z279" s="547">
        <f>IFERROR(IF(Z276="",0,Z276),"0")+IFERROR(IF(Z277="",0,Z277),"0")+IFERROR(IF(Z278="",0,Z278),"0")</f>
        <v>0.38408999999999999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140</v>
      </c>
      <c r="Y280" s="547">
        <f>IFERROR(SUM(Y276:Y278),"0")</f>
        <v>141.6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9</v>
      </c>
      <c r="Y307" s="546">
        <f t="shared" si="26"/>
        <v>9</v>
      </c>
      <c r="Z307" s="36">
        <f>IFERROR(IF(Y307=0,"",ROUNDUP(Y307/H307,0)*0.00651),"")</f>
        <v>3.2550000000000003E-2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10.139999999999999</v>
      </c>
      <c r="BN307" s="64">
        <f t="shared" si="28"/>
        <v>10.139999999999999</v>
      </c>
      <c r="BO307" s="64">
        <f t="shared" si="29"/>
        <v>2.7472527472527476E-2</v>
      </c>
      <c r="BP307" s="64">
        <f t="shared" si="30"/>
        <v>2.7472527472527476E-2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5</v>
      </c>
      <c r="Y308" s="547">
        <f>IFERROR(Y302/H302,"0")+IFERROR(Y303/H303,"0")+IFERROR(Y304/H304,"0")+IFERROR(Y305/H305,"0")+IFERROR(Y306/H306,"0")+IFERROR(Y307/H307,"0")</f>
        <v>5</v>
      </c>
      <c r="Z308" s="547">
        <f>IFERROR(IF(Z302="",0,Z302),"0")+IFERROR(IF(Z303="",0,Z303),"0")+IFERROR(IF(Z304="",0,Z304),"0")+IFERROR(IF(Z305="",0,Z305),"0")+IFERROR(IF(Z306="",0,Z306),"0")+IFERROR(IF(Z307="",0,Z307),"0")</f>
        <v>3.2550000000000003E-2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9</v>
      </c>
      <c r="Y309" s="547">
        <f>IFERROR(SUM(Y302:Y307),"0")</f>
        <v>9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270</v>
      </c>
      <c r="Y319" s="546">
        <f>IFERROR(IF(X319="",0,CEILING((X319/$H319),1)*$H319),"")</f>
        <v>273</v>
      </c>
      <c r="Z319" s="36">
        <f>IFERROR(IF(Y319=0,"",ROUNDUP(Y319/H319,0)*0.01898),"")</f>
        <v>0.6643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287.10000000000002</v>
      </c>
      <c r="BN319" s="64">
        <f>IFERROR(Y319*I319/H319,"0")</f>
        <v>290.29000000000002</v>
      </c>
      <c r="BO319" s="64">
        <f>IFERROR(1/J319*(X319/H319),"0")</f>
        <v>0.54086538461538458</v>
      </c>
      <c r="BP319" s="64">
        <f>IFERROR(1/J319*(Y319/H319),"0")</f>
        <v>0.546875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200</v>
      </c>
      <c r="Y320" s="546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211.76190476190476</v>
      </c>
      <c r="BN320" s="64">
        <f>IFERROR(Y320*I320/H320,"0")</f>
        <v>213.45600000000002</v>
      </c>
      <c r="BO320" s="64">
        <f>IFERROR(1/J320*(X320/H320),"0")</f>
        <v>0.37202380952380953</v>
      </c>
      <c r="BP320" s="64">
        <f>IFERROR(1/J320*(Y320/H320),"0")</f>
        <v>0.375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58.424908424908423</v>
      </c>
      <c r="Y321" s="547">
        <f>IFERROR(Y318/H318,"0")+IFERROR(Y319/H319,"0")+IFERROR(Y320/H320,"0")</f>
        <v>59</v>
      </c>
      <c r="Z321" s="547">
        <f>IFERROR(IF(Z318="",0,Z318),"0")+IFERROR(IF(Z319="",0,Z319),"0")+IFERROR(IF(Z320="",0,Z320),"0")</f>
        <v>1.11982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470</v>
      </c>
      <c r="Y322" s="547">
        <f>IFERROR(SUM(Y318:Y320),"0")</f>
        <v>474.6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315</v>
      </c>
      <c r="Y339" s="546">
        <f>IFERROR(IF(X339="",0,CEILING((X339/$H339),1)*$H339),"")</f>
        <v>315</v>
      </c>
      <c r="Z339" s="36">
        <f>IFERROR(IF(Y339=0,"",ROUNDUP(Y339/H339,0)*0.00651),"")</f>
        <v>0.97650000000000003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352.79999999999995</v>
      </c>
      <c r="BN339" s="64">
        <f>IFERROR(Y339*I339/H339,"0")</f>
        <v>352.79999999999995</v>
      </c>
      <c r="BO339" s="64">
        <f>IFERROR(1/J339*(X339/H339),"0")</f>
        <v>0.82417582417582425</v>
      </c>
      <c r="BP339" s="64">
        <f>IFERROR(1/J339*(Y339/H339),"0")</f>
        <v>0.82417582417582425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525</v>
      </c>
      <c r="Y340" s="546">
        <f>IFERROR(IF(X340="",0,CEILING((X340/$H340),1)*$H340),"")</f>
        <v>525</v>
      </c>
      <c r="Z340" s="36">
        <f>IFERROR(IF(Y340=0,"",ROUNDUP(Y340/H340,0)*0.00651),"")</f>
        <v>1.6274999999999999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585</v>
      </c>
      <c r="BN340" s="64">
        <f>IFERROR(Y340*I340/H340,"0")</f>
        <v>585</v>
      </c>
      <c r="BO340" s="64">
        <f>IFERROR(1/J340*(X340/H340),"0")</f>
        <v>1.3736263736263736</v>
      </c>
      <c r="BP340" s="64">
        <f>IFERROR(1/J340*(Y340/H340),"0")</f>
        <v>1.3736263736263736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400</v>
      </c>
      <c r="Y341" s="547">
        <f>IFERROR(Y338/H338,"0")+IFERROR(Y339/H339,"0")+IFERROR(Y340/H340,"0")</f>
        <v>400</v>
      </c>
      <c r="Z341" s="547">
        <f>IFERROR(IF(Z338="",0,Z338),"0")+IFERROR(IF(Z339="",0,Z339),"0")+IFERROR(IF(Z340="",0,Z340),"0")</f>
        <v>2.6040000000000001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840</v>
      </c>
      <c r="Y342" s="547">
        <f>IFERROR(SUM(Y338:Y340),"0")</f>
        <v>840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1100</v>
      </c>
      <c r="Y346" s="546">
        <f t="shared" ref="Y346:Y352" si="31">IFERROR(IF(X346="",0,CEILING((X346/$H346),1)*$H346),"")</f>
        <v>1110</v>
      </c>
      <c r="Z346" s="36">
        <f>IFERROR(IF(Y346=0,"",ROUNDUP(Y346/H346,0)*0.02175),"")</f>
        <v>1.6094999999999999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1134.4666666666667</v>
      </c>
      <c r="BN346" s="64">
        <f t="shared" ref="BN346:BN352" si="33">IFERROR(Y346*I346/H346,"0")</f>
        <v>1144.78</v>
      </c>
      <c r="BO346" s="64">
        <f t="shared" ref="BO346:BO352" si="34">IFERROR(1/J346*(X346/H346),"0")</f>
        <v>1.5277777777777777</v>
      </c>
      <c r="BP346" s="64">
        <f t="shared" ref="BP346:BP352" si="35">IFERROR(1/J346*(Y346/H346),"0")</f>
        <v>1.5416666666666665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2200</v>
      </c>
      <c r="Y347" s="546">
        <f t="shared" si="31"/>
        <v>2205</v>
      </c>
      <c r="Z347" s="36">
        <f>IFERROR(IF(Y347=0,"",ROUNDUP(Y347/H347,0)*0.02175),"")</f>
        <v>3.1972499999999999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2268.9333333333334</v>
      </c>
      <c r="BN347" s="64">
        <f t="shared" si="33"/>
        <v>2274.0899999999997</v>
      </c>
      <c r="BO347" s="64">
        <f t="shared" si="34"/>
        <v>3.0555555555555554</v>
      </c>
      <c r="BP347" s="64">
        <f t="shared" si="35"/>
        <v>3.0625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2000</v>
      </c>
      <c r="Y348" s="546">
        <f t="shared" si="31"/>
        <v>2010</v>
      </c>
      <c r="Z348" s="36">
        <f>IFERROR(IF(Y348=0,"",ROUNDUP(Y348/H348,0)*0.02175),"")</f>
        <v>2.9144999999999999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2062.6666666666665</v>
      </c>
      <c r="BN348" s="64">
        <f t="shared" si="33"/>
        <v>2072.98</v>
      </c>
      <c r="BO348" s="64">
        <f t="shared" si="34"/>
        <v>2.7777777777777777</v>
      </c>
      <c r="BP348" s="64">
        <f t="shared" si="35"/>
        <v>2.7916666666666665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1100</v>
      </c>
      <c r="Y349" s="546">
        <f t="shared" si="31"/>
        <v>1110</v>
      </c>
      <c r="Z349" s="36">
        <f>IFERROR(IF(Y349=0,"",ROUNDUP(Y349/H349,0)*0.02175),"")</f>
        <v>1.6094999999999999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1134.4666666666667</v>
      </c>
      <c r="BN349" s="64">
        <f t="shared" si="33"/>
        <v>1144.78</v>
      </c>
      <c r="BO349" s="64">
        <f t="shared" si="34"/>
        <v>1.5277777777777777</v>
      </c>
      <c r="BP349" s="64">
        <f t="shared" si="35"/>
        <v>1.5416666666666665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426.66666666666669</v>
      </c>
      <c r="Y353" s="547">
        <f>IFERROR(Y346/H346,"0")+IFERROR(Y347/H347,"0")+IFERROR(Y348/H348,"0")+IFERROR(Y349/H349,"0")+IFERROR(Y350/H350,"0")+IFERROR(Y351/H351,"0")+IFERROR(Y352/H352,"0")</f>
        <v>429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9.3307500000000001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6400</v>
      </c>
      <c r="Y354" s="547">
        <f>IFERROR(SUM(Y346:Y352),"0")</f>
        <v>6435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1500</v>
      </c>
      <c r="Y356" s="546">
        <f>IFERROR(IF(X356="",0,CEILING((X356/$H356),1)*$H356),"")</f>
        <v>1500</v>
      </c>
      <c r="Z356" s="36">
        <f>IFERROR(IF(Y356=0,"",ROUNDUP(Y356/H356,0)*0.02175),"")</f>
        <v>2.1749999999999998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1547</v>
      </c>
      <c r="BN356" s="64">
        <f>IFERROR(Y356*I356/H356,"0")</f>
        <v>1547</v>
      </c>
      <c r="BO356" s="64">
        <f>IFERROR(1/J356*(X356/H356),"0")</f>
        <v>2.083333333333333</v>
      </c>
      <c r="BP356" s="64">
        <f>IFERROR(1/J356*(Y356/H356),"0")</f>
        <v>2.083333333333333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100</v>
      </c>
      <c r="Y358" s="547">
        <f>IFERROR(Y356/H356,"0")+IFERROR(Y357/H357,"0")</f>
        <v>100</v>
      </c>
      <c r="Z358" s="547">
        <f>IFERROR(IF(Z356="",0,Z356),"0")+IFERROR(IF(Z357="",0,Z357),"0")</f>
        <v>2.1749999999999998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1500</v>
      </c>
      <c r="Y359" s="547">
        <f>IFERROR(SUM(Y356:Y357),"0")</f>
        <v>1500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30</v>
      </c>
      <c r="Y371" s="546">
        <f>IFERROR(IF(X371="",0,CEILING((X371/$H371),1)*$H371),"")</f>
        <v>36</v>
      </c>
      <c r="Z371" s="36">
        <f>IFERROR(IF(Y371=0,"",ROUNDUP(Y371/H371,0)*0.01898),"")</f>
        <v>5.6940000000000004E-2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31.025000000000002</v>
      </c>
      <c r="BN371" s="64">
        <f>IFERROR(Y371*I371/H371,"0")</f>
        <v>37.229999999999997</v>
      </c>
      <c r="BO371" s="64">
        <f>IFERROR(1/J371*(X371/H371),"0")</f>
        <v>3.90625E-2</v>
      </c>
      <c r="BP371" s="64">
        <f>IFERROR(1/J371*(Y371/H371),"0")</f>
        <v>4.6875E-2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2.5</v>
      </c>
      <c r="Y373" s="547">
        <f>IFERROR(Y371/H371,"0")+IFERROR(Y372/H372,"0")</f>
        <v>3</v>
      </c>
      <c r="Z373" s="547">
        <f>IFERROR(IF(Z371="",0,Z371),"0")+IFERROR(IF(Z372="",0,Z372),"0")</f>
        <v>5.6940000000000004E-2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30</v>
      </c>
      <c r="Y374" s="547">
        <f>IFERROR(SUM(Y371:Y372),"0")</f>
        <v>36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17.5</v>
      </c>
      <c r="Y393" s="546">
        <f t="shared" si="36"/>
        <v>18.900000000000002</v>
      </c>
      <c r="Z393" s="36">
        <f t="shared" si="41"/>
        <v>4.5179999999999998E-2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18.583333333333332</v>
      </c>
      <c r="BN393" s="64">
        <f t="shared" si="38"/>
        <v>20.07</v>
      </c>
      <c r="BO393" s="64">
        <f t="shared" si="39"/>
        <v>3.5612535612535613E-2</v>
      </c>
      <c r="BP393" s="64">
        <f t="shared" si="40"/>
        <v>3.8461538461538464E-2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35</v>
      </c>
      <c r="Y396" s="546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24.999999999999996</v>
      </c>
      <c r="Y398" s="547">
        <f>IFERROR(Y389/H389,"0")+IFERROR(Y390/H390,"0")+IFERROR(Y391/H391,"0")+IFERROR(Y392/H392,"0")+IFERROR(Y393/H393,"0")+IFERROR(Y394/H394,"0")+IFERROR(Y395/H395,"0")+IFERROR(Y396/H396,"0")+IFERROR(Y397/H397,"0")</f>
        <v>26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0.13052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52.5</v>
      </c>
      <c r="Y399" s="547">
        <f>IFERROR(SUM(Y389:Y397),"0")</f>
        <v>54.600000000000009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14</v>
      </c>
      <c r="Y414" s="546">
        <f>IFERROR(IF(X414="",0,CEILING((X414/$H414),1)*$H414),"")</f>
        <v>14.700000000000001</v>
      </c>
      <c r="Z414" s="36">
        <f>IFERROR(IF(Y414=0,"",ROUNDUP(Y414/H414,0)*0.00502),"")</f>
        <v>3.5140000000000005E-2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14.866666666666665</v>
      </c>
      <c r="BN414" s="64">
        <f>IFERROR(Y414*I414/H414,"0")</f>
        <v>15.61</v>
      </c>
      <c r="BO414" s="64">
        <f>IFERROR(1/J414*(X414/H414),"0")</f>
        <v>2.8490028490028491E-2</v>
      </c>
      <c r="BP414" s="64">
        <f>IFERROR(1/J414*(Y414/H414),"0")</f>
        <v>2.9914529914529919E-2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6.6666666666666661</v>
      </c>
      <c r="Y415" s="547">
        <f>IFERROR(Y411/H411,"0")+IFERROR(Y412/H412,"0")+IFERROR(Y413/H413,"0")+IFERROR(Y414/H414,"0")</f>
        <v>7</v>
      </c>
      <c r="Z415" s="547">
        <f>IFERROR(IF(Z411="",0,Z411),"0")+IFERROR(IF(Z412="",0,Z412),"0")+IFERROR(IF(Z413="",0,Z413),"0")+IFERROR(IF(Z414="",0,Z414),"0")</f>
        <v>3.5140000000000005E-2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14</v>
      </c>
      <c r="Y416" s="547">
        <f>IFERROR(SUM(Y411:Y414),"0")</f>
        <v>14.700000000000001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400</v>
      </c>
      <c r="Y425" s="546">
        <f t="shared" ref="Y425:Y436" si="42">IFERROR(IF(X425="",0,CEILING((X425/$H425),1)*$H425),"")</f>
        <v>401.28000000000003</v>
      </c>
      <c r="Z425" s="36">
        <f t="shared" ref="Z425:Z431" si="43">IFERROR(IF(Y425=0,"",ROUNDUP(Y425/H425,0)*0.01196),"")</f>
        <v>0.90895999999999999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426.5151515151515</v>
      </c>
      <c r="BN425" s="64">
        <f t="shared" ref="BN425:BN436" si="45">IFERROR(Y425*I425/H425,"0")</f>
        <v>427.88</v>
      </c>
      <c r="BO425" s="64">
        <f t="shared" ref="BO425:BO436" si="46">IFERROR(1/J425*(X425/H425),"0")</f>
        <v>0.72843822843822836</v>
      </c>
      <c r="BP425" s="64">
        <f t="shared" ref="BP425:BP436" si="47">IFERROR(1/J425*(Y425/H425),"0")</f>
        <v>0.73076923076923084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400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426.5151515151515</v>
      </c>
      <c r="BN431" s="64">
        <f t="shared" si="45"/>
        <v>427.88</v>
      </c>
      <c r="BO431" s="64">
        <f t="shared" si="46"/>
        <v>0.72843822843822836</v>
      </c>
      <c r="BP431" s="64">
        <f t="shared" si="47"/>
        <v>0.73076923076923084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210</v>
      </c>
      <c r="Y433" s="546">
        <f t="shared" si="42"/>
        <v>211.2</v>
      </c>
      <c r="Z433" s="36">
        <f>IFERROR(IF(Y433=0,"",ROUNDUP(Y433/H433,0)*0.00902),"")</f>
        <v>0.39688000000000001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302.31250000000006</v>
      </c>
      <c r="BN433" s="64">
        <f t="shared" si="45"/>
        <v>304.04000000000002</v>
      </c>
      <c r="BO433" s="64">
        <f t="shared" si="46"/>
        <v>0.33143939393939392</v>
      </c>
      <c r="BP433" s="64">
        <f t="shared" si="47"/>
        <v>0.33333333333333337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90</v>
      </c>
      <c r="Y436" s="546">
        <f t="shared" si="42"/>
        <v>91.2</v>
      </c>
      <c r="Z436" s="36">
        <f>IFERROR(IF(Y436=0,"",ROUNDUP(Y436/H436,0)*0.00902),"")</f>
        <v>0.17138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129.5625</v>
      </c>
      <c r="BN436" s="64">
        <f t="shared" si="45"/>
        <v>131.29000000000002</v>
      </c>
      <c r="BO436" s="64">
        <f t="shared" si="46"/>
        <v>0.14204545454545456</v>
      </c>
      <c r="BP436" s="64">
        <f t="shared" si="47"/>
        <v>0.14393939393939395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232.95454545454544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234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2.6134200000000001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1200</v>
      </c>
      <c r="Y438" s="547">
        <f>IFERROR(SUM(Y425:Y436),"0")</f>
        <v>1205.2800000000002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400</v>
      </c>
      <c r="Y440" s="546">
        <f>IFERROR(IF(X440="",0,CEILING((X440/$H440),1)*$H440),"")</f>
        <v>401.28000000000003</v>
      </c>
      <c r="Z440" s="36">
        <f>IFERROR(IF(Y440=0,"",ROUNDUP(Y440/H440,0)*0.01196),"")</f>
        <v>0.90895999999999999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426.5151515151515</v>
      </c>
      <c r="BN440" s="64">
        <f>IFERROR(Y440*I440/H440,"0")</f>
        <v>427.88</v>
      </c>
      <c r="BO440" s="64">
        <f>IFERROR(1/J440*(X440/H440),"0")</f>
        <v>0.72843822843822836</v>
      </c>
      <c r="BP440" s="64">
        <f>IFERROR(1/J440*(Y440/H440),"0")</f>
        <v>0.73076923076923084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75.757575757575751</v>
      </c>
      <c r="Y443" s="547">
        <f>IFERROR(Y440/H440,"0")+IFERROR(Y441/H441,"0")+IFERROR(Y442/H442,"0")</f>
        <v>76</v>
      </c>
      <c r="Z443" s="547">
        <f>IFERROR(IF(Z440="",0,Z440),"0")+IFERROR(IF(Z441="",0,Z441),"0")+IFERROR(IF(Z442="",0,Z442),"0")</f>
        <v>0.90895999999999999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400</v>
      </c>
      <c r="Y444" s="547">
        <f>IFERROR(SUM(Y440:Y442),"0")</f>
        <v>401.28000000000003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110</v>
      </c>
      <c r="Y446" s="546">
        <f t="shared" ref="Y446:Y451" si="48">IFERROR(IF(X446="",0,CEILING((X446/$H446),1)*$H446),"")</f>
        <v>110.88000000000001</v>
      </c>
      <c r="Z446" s="36">
        <f>IFERROR(IF(Y446=0,"",ROUNDUP(Y446/H446,0)*0.01196),"")</f>
        <v>0.25115999999999999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117.29166666666666</v>
      </c>
      <c r="BN446" s="64">
        <f t="shared" ref="BN446:BN451" si="50">IFERROR(Y446*I446/H446,"0")</f>
        <v>118.23</v>
      </c>
      <c r="BO446" s="64">
        <f t="shared" ref="BO446:BO451" si="51">IFERROR(1/J446*(X446/H446),"0")</f>
        <v>0.20032051282051283</v>
      </c>
      <c r="BP446" s="64">
        <f t="shared" ref="BP446:BP451" si="52">IFERROR(1/J446*(Y446/H446),"0")</f>
        <v>0.20192307692307693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110</v>
      </c>
      <c r="Y447" s="546">
        <f t="shared" si="48"/>
        <v>110.88000000000001</v>
      </c>
      <c r="Z447" s="36">
        <f>IFERROR(IF(Y447=0,"",ROUNDUP(Y447/H447,0)*0.01196),"")</f>
        <v>0.25115999999999999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117.29166666666666</v>
      </c>
      <c r="BN447" s="64">
        <f t="shared" si="50"/>
        <v>118.23</v>
      </c>
      <c r="BO447" s="64">
        <f t="shared" si="51"/>
        <v>0.20032051282051283</v>
      </c>
      <c r="BP447" s="64">
        <f t="shared" si="52"/>
        <v>0.20192307692307693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42</v>
      </c>
      <c r="Y449" s="546">
        <f t="shared" si="48"/>
        <v>43.199999999999996</v>
      </c>
      <c r="Z449" s="36">
        <f>IFERROR(IF(Y449=0,"",ROUNDUP(Y449/H449,0)*0.00902),"")</f>
        <v>8.1180000000000002E-2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60.462500000000006</v>
      </c>
      <c r="BN449" s="64">
        <f t="shared" si="50"/>
        <v>62.190000000000005</v>
      </c>
      <c r="BO449" s="64">
        <f t="shared" si="51"/>
        <v>6.6287878787878785E-2</v>
      </c>
      <c r="BP449" s="64">
        <f t="shared" si="52"/>
        <v>6.8181818181818177E-2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120</v>
      </c>
      <c r="Y451" s="546">
        <f t="shared" si="48"/>
        <v>120</v>
      </c>
      <c r="Z451" s="36">
        <f>IFERROR(IF(Y451=0,"",ROUNDUP(Y451/H451,0)*0.00902),"")</f>
        <v>0.22550000000000001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166.75</v>
      </c>
      <c r="BN451" s="64">
        <f t="shared" si="50"/>
        <v>166.75</v>
      </c>
      <c r="BO451" s="64">
        <f t="shared" si="51"/>
        <v>0.18939393939393939</v>
      </c>
      <c r="BP451" s="64">
        <f t="shared" si="52"/>
        <v>0.18939393939393939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98.106060606060595</v>
      </c>
      <c r="Y452" s="547">
        <f>IFERROR(Y446/H446,"0")+IFERROR(Y447/H447,"0")+IFERROR(Y448/H448,"0")+IFERROR(Y449/H449,"0")+IFERROR(Y450/H450,"0")+IFERROR(Y451/H451,"0")</f>
        <v>99</v>
      </c>
      <c r="Z452" s="547">
        <f>IFERROR(IF(Z446="",0,Z446),"0")+IFERROR(IF(Z447="",0,Z447),"0")+IFERROR(IF(Z448="",0,Z448),"0")+IFERROR(IF(Z449="",0,Z449),"0")+IFERROR(IF(Z450="",0,Z450),"0")+IFERROR(IF(Z451="",0,Z451),"0")</f>
        <v>1.0723199999999999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500</v>
      </c>
      <c r="Y453" s="547">
        <f>IFERROR(SUM(Y446:Y451),"0")</f>
        <v>504.48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1200</v>
      </c>
      <c r="Y478" s="546">
        <f>IFERROR(IF(X478="",0,CEILING((X478/$H478),1)*$H478),"")</f>
        <v>1206</v>
      </c>
      <c r="Z478" s="36">
        <f>IFERROR(IF(Y478=0,"",ROUNDUP(Y478/H478,0)*0.01898),"")</f>
        <v>2.54332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1265.8666666666666</v>
      </c>
      <c r="BN478" s="64">
        <f>IFERROR(Y478*I478/H478,"0")</f>
        <v>1272.1959999999999</v>
      </c>
      <c r="BO478" s="64">
        <f>IFERROR(1/J478*(X478/H478),"0")</f>
        <v>2.0833333333333335</v>
      </c>
      <c r="BP478" s="64">
        <f>IFERROR(1/J478*(Y478/H478),"0")</f>
        <v>2.09375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133.33333333333334</v>
      </c>
      <c r="Y479" s="547">
        <f>IFERROR(Y478/H478,"0")</f>
        <v>134</v>
      </c>
      <c r="Z479" s="547">
        <f>IFERROR(IF(Z478="",0,Z478),"0")</f>
        <v>2.54332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1200</v>
      </c>
      <c r="Y480" s="547">
        <f>IFERROR(SUM(Y478:Y478),"0")</f>
        <v>1206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17552.8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17680.660000000003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18640.078244492845</v>
      </c>
      <c r="Y492" s="547">
        <f>IFERROR(SUM(BN22:BN488),"0")</f>
        <v>18776.353999999999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30</v>
      </c>
      <c r="Y493" s="38">
        <f>ROUNDUP(SUM(BP22:BP488),0)</f>
        <v>30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19390.078244492845</v>
      </c>
      <c r="Y494" s="547">
        <f>GrossWeightTotalR+PalletQtyTotalR*25</f>
        <v>19526.353999999999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2820.0021120854453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2840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33.87715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391.20000000000005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1166.0999999999999</v>
      </c>
      <c r="E501" s="46">
        <f>IFERROR(Y86*1,"0")+IFERROR(Y87*1,"0")+IFERROR(Y88*1,"0")+IFERROR(Y89*1,"0")+IFERROR(Y93*1,"0")+IFERROR(Y94*1,"0")+IFERROR(Y95*1,"0")+IFERROR(Y96*1,"0")</f>
        <v>1031.4000000000001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989.45999999999992</v>
      </c>
      <c r="G501" s="46">
        <f>IFERROR(Y128*1,"0")+IFERROR(Y129*1,"0")+IFERROR(Y133*1,"0")+IFERROR(Y134*1,"0")+IFERROR(Y138*1,"0")+IFERROR(Y139*1,"0")</f>
        <v>88.72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170.94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877.19999999999993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122.7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141.6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483.6</v>
      </c>
      <c r="R501" s="46">
        <f>IFERROR(Y338*1,"0")+IFERROR(Y339*1,"0")+IFERROR(Y340*1,"0")</f>
        <v>840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7935</v>
      </c>
      <c r="T501" s="46">
        <f>IFERROR(Y371*1,"0")+IFERROR(Y372*1,"0")+IFERROR(Y376*1,"0")+IFERROR(Y377*1,"0")+IFERROR(Y381*1,"0")+IFERROR(Y382*1,"0")+IFERROR(Y383*1,"0")</f>
        <v>36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54.600000000000009</v>
      </c>
      <c r="V501" s="46">
        <f>IFERROR(Y407*1,"0")+IFERROR(Y411*1,"0")+IFERROR(Y412*1,"0")+IFERROR(Y413*1,"0")+IFERROR(Y414*1,"0")</f>
        <v>14.700000000000001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2111.0400000000004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1206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