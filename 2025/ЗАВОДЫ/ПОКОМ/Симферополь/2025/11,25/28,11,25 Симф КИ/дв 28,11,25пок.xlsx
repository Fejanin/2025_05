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11,25 Симф КИ\"/>
    </mc:Choice>
  </mc:AlternateContent>
  <xr:revisionPtr revIDLastSave="0" documentId="13_ncr:1_{6FDBDB7D-F8E4-4EDC-8D07-86331BCDD1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9" i="1"/>
  <c r="AH100" i="1"/>
  <c r="AH101" i="1"/>
  <c r="AH102" i="1"/>
  <c r="AH103" i="1"/>
  <c r="AH104" i="1"/>
  <c r="AH105" i="1"/>
  <c r="AH106" i="1"/>
  <c r="AH107" i="1"/>
  <c r="AH108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7" i="1"/>
  <c r="Z8" i="1"/>
  <c r="Z16" i="1"/>
  <c r="Z24" i="1"/>
  <c r="Z32" i="1"/>
  <c r="Z40" i="1"/>
  <c r="Z48" i="1"/>
  <c r="Z56" i="1"/>
  <c r="Z64" i="1"/>
  <c r="Z72" i="1"/>
  <c r="Z75" i="1"/>
  <c r="Z79" i="1"/>
  <c r="Z81" i="1"/>
  <c r="Z83" i="1"/>
  <c r="Z87" i="1"/>
  <c r="Z91" i="1"/>
  <c r="Z95" i="1"/>
  <c r="Z97" i="1"/>
  <c r="Z99" i="1"/>
  <c r="Z103" i="1"/>
  <c r="Z107" i="1"/>
  <c r="W14" i="1"/>
  <c r="Z14" i="1" s="1"/>
  <c r="W22" i="1"/>
  <c r="Z22" i="1" s="1"/>
  <c r="W30" i="1"/>
  <c r="Z30" i="1" s="1"/>
  <c r="W41" i="1"/>
  <c r="Z41" i="1" s="1"/>
  <c r="W49" i="1"/>
  <c r="Z49" i="1" s="1"/>
  <c r="W57" i="1"/>
  <c r="Z57" i="1" s="1"/>
  <c r="W65" i="1"/>
  <c r="Z65" i="1" s="1"/>
  <c r="W73" i="1"/>
  <c r="Z73" i="1" s="1"/>
  <c r="W81" i="1"/>
  <c r="W89" i="1"/>
  <c r="Z89" i="1" s="1"/>
  <c r="W97" i="1"/>
  <c r="W105" i="1"/>
  <c r="Z105" i="1" s="1"/>
  <c r="AC8" i="1"/>
  <c r="W8" i="1" s="1"/>
  <c r="AC9" i="1"/>
  <c r="W9" i="1" s="1"/>
  <c r="Z9" i="1" s="1"/>
  <c r="AC10" i="1"/>
  <c r="W10" i="1" s="1"/>
  <c r="Z10" i="1" s="1"/>
  <c r="AC11" i="1"/>
  <c r="W11" i="1" s="1"/>
  <c r="Z11" i="1" s="1"/>
  <c r="AC12" i="1"/>
  <c r="W12" i="1" s="1"/>
  <c r="Z12" i="1" s="1"/>
  <c r="AC13" i="1"/>
  <c r="W13" i="1" s="1"/>
  <c r="Z13" i="1" s="1"/>
  <c r="AC14" i="1"/>
  <c r="AC15" i="1"/>
  <c r="W15" i="1" s="1"/>
  <c r="Z15" i="1" s="1"/>
  <c r="AC16" i="1"/>
  <c r="W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AC23" i="1"/>
  <c r="W23" i="1" s="1"/>
  <c r="Z23" i="1" s="1"/>
  <c r="AC24" i="1"/>
  <c r="W24" i="1" s="1"/>
  <c r="AC25" i="1"/>
  <c r="W25" i="1" s="1"/>
  <c r="Z25" i="1" s="1"/>
  <c r="AC26" i="1"/>
  <c r="W26" i="1" s="1"/>
  <c r="Z26" i="1" s="1"/>
  <c r="AC27" i="1"/>
  <c r="W27" i="1" s="1"/>
  <c r="Z27" i="1" s="1"/>
  <c r="AC28" i="1"/>
  <c r="W28" i="1" s="1"/>
  <c r="Z28" i="1" s="1"/>
  <c r="AC29" i="1"/>
  <c r="W29" i="1" s="1"/>
  <c r="Z29" i="1" s="1"/>
  <c r="AC30" i="1"/>
  <c r="AC31" i="1"/>
  <c r="W31" i="1" s="1"/>
  <c r="Z31" i="1" s="1"/>
  <c r="AC32" i="1"/>
  <c r="W32" i="1" s="1"/>
  <c r="AC33" i="1"/>
  <c r="W33" i="1" s="1"/>
  <c r="Z33" i="1" s="1"/>
  <c r="AC34" i="1"/>
  <c r="W34" i="1" s="1"/>
  <c r="Z34" i="1" s="1"/>
  <c r="AC35" i="1"/>
  <c r="W35" i="1" s="1"/>
  <c r="Z35" i="1" s="1"/>
  <c r="AC36" i="1"/>
  <c r="W36" i="1" s="1"/>
  <c r="Z36" i="1" s="1"/>
  <c r="AC37" i="1"/>
  <c r="W37" i="1" s="1"/>
  <c r="Z37" i="1" s="1"/>
  <c r="AC38" i="1"/>
  <c r="W38" i="1" s="1"/>
  <c r="Z38" i="1" s="1"/>
  <c r="AC39" i="1"/>
  <c r="W39" i="1" s="1"/>
  <c r="Z39" i="1" s="1"/>
  <c r="AC40" i="1"/>
  <c r="W40" i="1" s="1"/>
  <c r="AC41" i="1"/>
  <c r="AC42" i="1"/>
  <c r="W42" i="1" s="1"/>
  <c r="Z42" i="1" s="1"/>
  <c r="AC43" i="1"/>
  <c r="W43" i="1" s="1"/>
  <c r="Z43" i="1" s="1"/>
  <c r="AC44" i="1"/>
  <c r="W44" i="1" s="1"/>
  <c r="Z44" i="1" s="1"/>
  <c r="AC45" i="1"/>
  <c r="W45" i="1" s="1"/>
  <c r="Z45" i="1" s="1"/>
  <c r="AC46" i="1"/>
  <c r="W46" i="1" s="1"/>
  <c r="Z46" i="1" s="1"/>
  <c r="AC47" i="1"/>
  <c r="W47" i="1" s="1"/>
  <c r="Z47" i="1" s="1"/>
  <c r="AC48" i="1"/>
  <c r="W48" i="1" s="1"/>
  <c r="AC49" i="1"/>
  <c r="AC50" i="1"/>
  <c r="W50" i="1" s="1"/>
  <c r="Z50" i="1" s="1"/>
  <c r="AC51" i="1"/>
  <c r="W51" i="1" s="1"/>
  <c r="Z51" i="1" s="1"/>
  <c r="AC52" i="1"/>
  <c r="W52" i="1" s="1"/>
  <c r="Z52" i="1" s="1"/>
  <c r="AC53" i="1"/>
  <c r="W53" i="1" s="1"/>
  <c r="Z53" i="1" s="1"/>
  <c r="AC54" i="1"/>
  <c r="W54" i="1" s="1"/>
  <c r="Z54" i="1" s="1"/>
  <c r="AC55" i="1"/>
  <c r="W55" i="1" s="1"/>
  <c r="Z55" i="1" s="1"/>
  <c r="AC56" i="1"/>
  <c r="W56" i="1" s="1"/>
  <c r="AC57" i="1"/>
  <c r="AC58" i="1"/>
  <c r="W58" i="1" s="1"/>
  <c r="Z58" i="1" s="1"/>
  <c r="AC59" i="1"/>
  <c r="W59" i="1" s="1"/>
  <c r="Z59" i="1" s="1"/>
  <c r="AC60" i="1"/>
  <c r="W60" i="1" s="1"/>
  <c r="Z60" i="1" s="1"/>
  <c r="AC61" i="1"/>
  <c r="W61" i="1" s="1"/>
  <c r="Z61" i="1" s="1"/>
  <c r="AC62" i="1"/>
  <c r="W62" i="1" s="1"/>
  <c r="Z62" i="1" s="1"/>
  <c r="AC63" i="1"/>
  <c r="W63" i="1" s="1"/>
  <c r="Z63" i="1" s="1"/>
  <c r="AC64" i="1"/>
  <c r="W64" i="1" s="1"/>
  <c r="AC65" i="1"/>
  <c r="AC66" i="1"/>
  <c r="W66" i="1" s="1"/>
  <c r="Z66" i="1" s="1"/>
  <c r="AC67" i="1"/>
  <c r="W67" i="1" s="1"/>
  <c r="Z67" i="1" s="1"/>
  <c r="AC68" i="1"/>
  <c r="W68" i="1" s="1"/>
  <c r="Z68" i="1" s="1"/>
  <c r="AC69" i="1"/>
  <c r="W69" i="1" s="1"/>
  <c r="Z69" i="1" s="1"/>
  <c r="AC70" i="1"/>
  <c r="W70" i="1" s="1"/>
  <c r="Z70" i="1" s="1"/>
  <c r="AC71" i="1"/>
  <c r="W71" i="1" s="1"/>
  <c r="Z71" i="1" s="1"/>
  <c r="AC72" i="1"/>
  <c r="W72" i="1" s="1"/>
  <c r="AC73" i="1"/>
  <c r="AC74" i="1"/>
  <c r="W74" i="1" s="1"/>
  <c r="Z74" i="1" s="1"/>
  <c r="AC75" i="1"/>
  <c r="W75" i="1" s="1"/>
  <c r="AC76" i="1"/>
  <c r="W76" i="1" s="1"/>
  <c r="Z76" i="1" s="1"/>
  <c r="AC77" i="1"/>
  <c r="W77" i="1" s="1"/>
  <c r="Z77" i="1" s="1"/>
  <c r="AC78" i="1"/>
  <c r="W78" i="1" s="1"/>
  <c r="Z78" i="1" s="1"/>
  <c r="AC79" i="1"/>
  <c r="W79" i="1" s="1"/>
  <c r="AC80" i="1"/>
  <c r="W80" i="1" s="1"/>
  <c r="Z80" i="1" s="1"/>
  <c r="AC81" i="1"/>
  <c r="AC82" i="1"/>
  <c r="W82" i="1" s="1"/>
  <c r="Z82" i="1" s="1"/>
  <c r="AC83" i="1"/>
  <c r="W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AC88" i="1"/>
  <c r="W88" i="1" s="1"/>
  <c r="Z88" i="1" s="1"/>
  <c r="AC89" i="1"/>
  <c r="AC90" i="1"/>
  <c r="W90" i="1" s="1"/>
  <c r="Z90" i="1" s="1"/>
  <c r="AC91" i="1"/>
  <c r="W91" i="1" s="1"/>
  <c r="AC92" i="1"/>
  <c r="W92" i="1" s="1"/>
  <c r="Z92" i="1" s="1"/>
  <c r="AC93" i="1"/>
  <c r="W93" i="1" s="1"/>
  <c r="Z93" i="1" s="1"/>
  <c r="AC94" i="1"/>
  <c r="W94" i="1" s="1"/>
  <c r="Z94" i="1" s="1"/>
  <c r="AC95" i="1"/>
  <c r="W95" i="1" s="1"/>
  <c r="AC96" i="1"/>
  <c r="W96" i="1" s="1"/>
  <c r="Z96" i="1" s="1"/>
  <c r="AC97" i="1"/>
  <c r="AC98" i="1"/>
  <c r="W98" i="1" s="1"/>
  <c r="Z98" i="1" s="1"/>
  <c r="AC99" i="1"/>
  <c r="W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AC104" i="1"/>
  <c r="W104" i="1" s="1"/>
  <c r="Z104" i="1" s="1"/>
  <c r="AC105" i="1"/>
  <c r="AC106" i="1"/>
  <c r="W106" i="1" s="1"/>
  <c r="Z106" i="1" s="1"/>
  <c r="AC107" i="1"/>
  <c r="W107" i="1" s="1"/>
  <c r="AC108" i="1"/>
  <c r="W108" i="1" s="1"/>
  <c r="Z108" i="1" s="1"/>
  <c r="AC7" i="1"/>
  <c r="W7" i="1" s="1"/>
  <c r="Z7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7" i="1"/>
  <c r="L53" i="1"/>
  <c r="J53" i="1"/>
  <c r="K53" i="1" s="1"/>
  <c r="I53" i="1"/>
  <c r="H53" i="1"/>
  <c r="AJ53" i="1" s="1"/>
  <c r="G53" i="1"/>
  <c r="L8" i="1"/>
  <c r="Y8" i="1" s="1"/>
  <c r="L9" i="1"/>
  <c r="L10" i="1"/>
  <c r="L11" i="1"/>
  <c r="L12" i="1"/>
  <c r="Y12" i="1" s="1"/>
  <c r="L13" i="1"/>
  <c r="L14" i="1"/>
  <c r="Y14" i="1" s="1"/>
  <c r="L15" i="1"/>
  <c r="L16" i="1"/>
  <c r="Y16" i="1" s="1"/>
  <c r="L17" i="1"/>
  <c r="L18" i="1"/>
  <c r="L19" i="1"/>
  <c r="L20" i="1"/>
  <c r="Y20" i="1" s="1"/>
  <c r="L21" i="1"/>
  <c r="L22" i="1"/>
  <c r="Y22" i="1" s="1"/>
  <c r="L23" i="1"/>
  <c r="L24" i="1"/>
  <c r="Y24" i="1" s="1"/>
  <c r="L25" i="1"/>
  <c r="L26" i="1"/>
  <c r="L27" i="1"/>
  <c r="L28" i="1"/>
  <c r="Y28" i="1" s="1"/>
  <c r="L29" i="1"/>
  <c r="L30" i="1"/>
  <c r="Y30" i="1" s="1"/>
  <c r="L31" i="1"/>
  <c r="L32" i="1"/>
  <c r="Y32" i="1" s="1"/>
  <c r="L33" i="1"/>
  <c r="L34" i="1"/>
  <c r="L35" i="1"/>
  <c r="L36" i="1"/>
  <c r="Y36" i="1" s="1"/>
  <c r="L37" i="1"/>
  <c r="L38" i="1"/>
  <c r="L39" i="1"/>
  <c r="L40" i="1"/>
  <c r="Y40" i="1" s="1"/>
  <c r="L41" i="1"/>
  <c r="L42" i="1"/>
  <c r="L43" i="1"/>
  <c r="L44" i="1"/>
  <c r="Y44" i="1" s="1"/>
  <c r="L45" i="1"/>
  <c r="L46" i="1"/>
  <c r="L47" i="1"/>
  <c r="L48" i="1"/>
  <c r="Y48" i="1" s="1"/>
  <c r="L49" i="1"/>
  <c r="L50" i="1"/>
  <c r="L51" i="1"/>
  <c r="L52" i="1"/>
  <c r="Y52" i="1" s="1"/>
  <c r="L54" i="1"/>
  <c r="Y54" i="1" s="1"/>
  <c r="L55" i="1"/>
  <c r="L56" i="1"/>
  <c r="Y56" i="1" s="1"/>
  <c r="L57" i="1"/>
  <c r="Y57" i="1" s="1"/>
  <c r="L58" i="1"/>
  <c r="Y58" i="1" s="1"/>
  <c r="L59" i="1"/>
  <c r="L60" i="1"/>
  <c r="Y60" i="1" s="1"/>
  <c r="L61" i="1"/>
  <c r="Y61" i="1" s="1"/>
  <c r="L62" i="1"/>
  <c r="Y62" i="1" s="1"/>
  <c r="L63" i="1"/>
  <c r="L64" i="1"/>
  <c r="Y64" i="1" s="1"/>
  <c r="L65" i="1"/>
  <c r="Y65" i="1" s="1"/>
  <c r="L66" i="1"/>
  <c r="Y66" i="1" s="1"/>
  <c r="L67" i="1"/>
  <c r="L68" i="1"/>
  <c r="Y68" i="1" s="1"/>
  <c r="L69" i="1"/>
  <c r="Y69" i="1" s="1"/>
  <c r="L70" i="1"/>
  <c r="Y70" i="1" s="1"/>
  <c r="L71" i="1"/>
  <c r="L72" i="1"/>
  <c r="Y72" i="1" s="1"/>
  <c r="L73" i="1"/>
  <c r="Y73" i="1" s="1"/>
  <c r="L74" i="1"/>
  <c r="Y74" i="1" s="1"/>
  <c r="L75" i="1"/>
  <c r="L76" i="1"/>
  <c r="Y76" i="1" s="1"/>
  <c r="L77" i="1"/>
  <c r="Y77" i="1" s="1"/>
  <c r="L78" i="1"/>
  <c r="Y78" i="1" s="1"/>
  <c r="L79" i="1"/>
  <c r="L80" i="1"/>
  <c r="Y80" i="1" s="1"/>
  <c r="L81" i="1"/>
  <c r="Y81" i="1" s="1"/>
  <c r="L82" i="1"/>
  <c r="Y82" i="1" s="1"/>
  <c r="L83" i="1"/>
  <c r="L84" i="1"/>
  <c r="Y84" i="1" s="1"/>
  <c r="L85" i="1"/>
  <c r="Y85" i="1" s="1"/>
  <c r="L86" i="1"/>
  <c r="Y86" i="1" s="1"/>
  <c r="L87" i="1"/>
  <c r="L88" i="1"/>
  <c r="Y88" i="1" s="1"/>
  <c r="L89" i="1"/>
  <c r="Y89" i="1" s="1"/>
  <c r="L90" i="1"/>
  <c r="Y90" i="1" s="1"/>
  <c r="L91" i="1"/>
  <c r="L92" i="1"/>
  <c r="Y92" i="1" s="1"/>
  <c r="L93" i="1"/>
  <c r="Y93" i="1" s="1"/>
  <c r="L94" i="1"/>
  <c r="Y94" i="1" s="1"/>
  <c r="L95" i="1"/>
  <c r="L96" i="1"/>
  <c r="Y96" i="1" s="1"/>
  <c r="L97" i="1"/>
  <c r="Y97" i="1" s="1"/>
  <c r="L98" i="1"/>
  <c r="Y98" i="1" s="1"/>
  <c r="L99" i="1"/>
  <c r="L100" i="1"/>
  <c r="Y100" i="1" s="1"/>
  <c r="L101" i="1"/>
  <c r="Y101" i="1" s="1"/>
  <c r="L102" i="1"/>
  <c r="Y102" i="1" s="1"/>
  <c r="L103" i="1"/>
  <c r="L104" i="1"/>
  <c r="Y104" i="1" s="1"/>
  <c r="L105" i="1"/>
  <c r="Y105" i="1" s="1"/>
  <c r="L106" i="1"/>
  <c r="Y106" i="1" s="1"/>
  <c r="L107" i="1"/>
  <c r="L108" i="1"/>
  <c r="Y108" i="1" s="1"/>
  <c r="L7" i="1"/>
  <c r="Y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7" i="1"/>
  <c r="K7" i="1" s="1"/>
  <c r="E6" i="1"/>
  <c r="F6" i="1"/>
  <c r="AB6" i="1"/>
  <c r="AA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7" i="1"/>
  <c r="H8" i="1"/>
  <c r="AJ8" i="1" s="1"/>
  <c r="H9" i="1"/>
  <c r="AJ9" i="1" s="1"/>
  <c r="H10" i="1"/>
  <c r="AJ10" i="1" s="1"/>
  <c r="H11" i="1"/>
  <c r="AJ11" i="1" s="1"/>
  <c r="H12" i="1"/>
  <c r="AJ12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7" i="1"/>
  <c r="AJ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7" i="1"/>
  <c r="Y34" i="1" l="1"/>
  <c r="Y26" i="1"/>
  <c r="Y18" i="1"/>
  <c r="Y10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AH6" i="1"/>
  <c r="Y49" i="1"/>
  <c r="Y45" i="1"/>
  <c r="Y41" i="1"/>
  <c r="Y37" i="1"/>
  <c r="Y33" i="1"/>
  <c r="Y29" i="1"/>
  <c r="Y25" i="1"/>
  <c r="Y21" i="1"/>
  <c r="Y17" i="1"/>
  <c r="Y13" i="1"/>
  <c r="Y9" i="1"/>
  <c r="Y53" i="1"/>
  <c r="Y43" i="1"/>
  <c r="Y39" i="1"/>
  <c r="Y35" i="1"/>
  <c r="Y31" i="1"/>
  <c r="Y27" i="1"/>
  <c r="Y23" i="1"/>
  <c r="Y19" i="1"/>
  <c r="Y15" i="1"/>
  <c r="Y11" i="1"/>
  <c r="AG6" i="1"/>
  <c r="X6" i="1"/>
  <c r="AJ6" i="1"/>
  <c r="AF6" i="1"/>
  <c r="AE6" i="1"/>
  <c r="AD6" i="1"/>
  <c r="Y50" i="1"/>
  <c r="Y46" i="1"/>
  <c r="Y42" i="1"/>
  <c r="Y38" i="1"/>
  <c r="W6" i="1"/>
  <c r="AC6" i="1"/>
  <c r="O6" i="1"/>
  <c r="N6" i="1"/>
  <c r="M6" i="1"/>
  <c r="K6" i="1"/>
  <c r="L6" i="1"/>
  <c r="J6" i="1"/>
</calcChain>
</file>

<file path=xl/sharedStrings.xml><?xml version="1.0" encoding="utf-8"?>
<sst xmlns="http://schemas.openxmlformats.org/spreadsheetml/2006/main" count="253" uniqueCount="138">
  <si>
    <t>Период: 21.11.2025 - 28.11.2025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</si>
  <si>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</si>
  <si>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</si>
  <si>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</si>
  <si>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</si>
  <si>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</si>
  <si>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</si>
  <si>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</si>
  <si>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</si>
  <si>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</si>
  <si>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</si>
  <si>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</si>
  <si>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</si>
  <si>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</si>
  <si>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</si>
  <si>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</si>
  <si>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</si>
  <si>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</si>
  <si>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</si>
  <si>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</si>
  <si>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</si>
  <si>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</si>
  <si>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</si>
  <si>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</si>
  <si>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</si>
  <si>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</si>
  <si>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</si>
  <si>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</si>
  <si>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</si>
  <si>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</si>
  <si>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</si>
  <si>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</si>
  <si>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</si>
  <si>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</si>
  <si>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</si>
  <si>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</si>
  <si>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</si>
  <si>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</si>
  <si>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</si>
  <si>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</si>
  <si>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</si>
  <si>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</si>
  <si>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</si>
  <si>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</si>
  <si>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</si>
  <si>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</si>
  <si>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</si>
  <si>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</si>
  <si>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</si>
  <si>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</si>
  <si>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</si>
  <si>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</si>
  <si>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</si>
  <si>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</si>
  <si>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</si>
  <si>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</si>
  <si>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</si>
  <si>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</si>
  <si>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</si>
  <si>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</si>
  <si>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</si>
  <si>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</si>
  <si>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</si>
  <si>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</si>
  <si>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</si>
  <si>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</si>
  <si>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</si>
  <si>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</si>
  <si>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</si>
  <si>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</si>
  <si>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</si>
  <si>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</si>
  <si>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</si>
  <si>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</si>
  <si>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</si>
  <si>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</si>
  <si>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</si>
  <si>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</si>
  <si>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</si>
  <si>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</si>
  <si>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</si>
  <si>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</si>
  <si>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</si>
  <si>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</si>
  <si>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</si>
  <si>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</si>
  <si>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</si>
  <si>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</si>
  <si>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</si>
  <si>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</si>
  <si>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</si>
  <si>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</si>
  <si>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</si>
  <si>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</si>
  <si>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</si>
  <si>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</si>
  <si>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</si>
  <si>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</si>
  <si>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</si>
  <si>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</si>
  <si>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</si>
  <si>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</si>
  <si>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</si>
  <si>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</si>
  <si>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</si>
  <si>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</si>
  <si>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</si>
  <si>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</si>
  <si>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</si>
  <si>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</si>
  <si>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505  Ветчина Стародворская ТМ Стародворье брикет 0,33 кг.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</si>
  <si>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</si>
  <si>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</si>
  <si>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</si>
  <si>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</si>
  <si>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</si>
  <si>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</si>
  <si>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</si>
  <si>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</si>
  <si>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</si>
  <si>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</si>
  <si>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</si>
  <si>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</si>
  <si>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</si>
  <si>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</si>
  <si>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</si>
  <si>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</si>
  <si>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01,12п</t>
  </si>
  <si>
    <t>01-2,</t>
  </si>
  <si>
    <t>02,12,</t>
  </si>
  <si>
    <t>03,12,</t>
  </si>
  <si>
    <t>04,12,</t>
  </si>
  <si>
    <t>31,10,</t>
  </si>
  <si>
    <t>07,11,</t>
  </si>
  <si>
    <t>14,11,</t>
  </si>
  <si>
    <t>21,11,</t>
  </si>
  <si>
    <t>28,11,</t>
  </si>
  <si>
    <t>Ларин0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</si>
</sst>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164" fontId="6" fillId="5" borderId="0" xfId="0" applyNumberFormat="1" applyFont="1" applyFill="1" applyAlignment="1">
      <alignment horizontal="left"/>
    </xf>
    <xf numFmtId="164" fontId="7" fillId="5" borderId="0" xfId="0" applyNumberFormat="1" applyFont="1" applyFill="1" applyAlignment="1">
      <alignment horizontal="left"/>
    </xf>
    <xf numFmtId="0" fontId="0" fillId="5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7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2-28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8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20.11.2025 - 27.11.2025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27,11,</v>
          </cell>
          <cell r="M5" t="str">
            <v>01,12п</v>
          </cell>
          <cell r="N5" t="str">
            <v>01-2,</v>
          </cell>
          <cell r="O5" t="str">
            <v>02,12,</v>
          </cell>
          <cell r="X5" t="str">
            <v>03,12,</v>
          </cell>
          <cell r="AD5" t="str">
            <v>31,10,</v>
          </cell>
          <cell r="AE5" t="str">
            <v>07,11,</v>
          </cell>
          <cell r="AF5" t="str">
            <v>14,11,</v>
          </cell>
          <cell r="AG5" t="str">
            <v>21,11,</v>
          </cell>
          <cell r="AH5" t="str">
            <v>27,11,</v>
          </cell>
        </row>
        <row r="6">
          <cell r="E6">
            <v>123436.88400000002</v>
          </cell>
          <cell r="F6">
            <v>65880.338999999978</v>
          </cell>
          <cell r="J6">
            <v>125329.83400000002</v>
          </cell>
          <cell r="K6">
            <v>-1892.9500000000005</v>
          </cell>
          <cell r="L6">
            <v>27960</v>
          </cell>
          <cell r="M6">
            <v>16200</v>
          </cell>
          <cell r="N6">
            <v>32380</v>
          </cell>
          <cell r="O6">
            <v>27070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23527.7768</v>
          </cell>
          <cell r="X6">
            <v>26970</v>
          </cell>
          <cell r="AA6">
            <v>0</v>
          </cell>
          <cell r="AB6">
            <v>0</v>
          </cell>
          <cell r="AC6">
            <v>5798</v>
          </cell>
          <cell r="AD6">
            <v>24315.114600000001</v>
          </cell>
          <cell r="AE6">
            <v>26444.387800000008</v>
          </cell>
          <cell r="AF6">
            <v>24884.171199999997</v>
          </cell>
          <cell r="AG6">
            <v>24842.702399999998</v>
          </cell>
          <cell r="AH6">
            <v>20730.709999999995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631.61800000000005</v>
          </cell>
          <cell r="D7">
            <v>277.392</v>
          </cell>
          <cell r="E7">
            <v>566.83500000000004</v>
          </cell>
          <cell r="F7">
            <v>339.46699999999998</v>
          </cell>
          <cell r="G7" t="str">
            <v>н</v>
          </cell>
          <cell r="H7">
            <v>1</v>
          </cell>
          <cell r="I7">
            <v>45</v>
          </cell>
          <cell r="J7">
            <v>566.61699999999996</v>
          </cell>
          <cell r="K7">
            <v>0.21800000000007458</v>
          </cell>
          <cell r="L7">
            <v>100</v>
          </cell>
          <cell r="M7">
            <v>100</v>
          </cell>
          <cell r="N7">
            <v>150</v>
          </cell>
          <cell r="O7">
            <v>200</v>
          </cell>
          <cell r="W7">
            <v>113.367</v>
          </cell>
          <cell r="X7">
            <v>50</v>
          </cell>
          <cell r="Y7">
            <v>8.2869529933754968</v>
          </cell>
          <cell r="Z7">
            <v>2.9944075436414472</v>
          </cell>
          <cell r="AC7">
            <v>0</v>
          </cell>
          <cell r="AD7">
            <v>87.911199999999994</v>
          </cell>
          <cell r="AE7">
            <v>94.776800000000009</v>
          </cell>
          <cell r="AF7">
            <v>87.2042</v>
          </cell>
          <cell r="AG7">
            <v>103.88520000000001</v>
          </cell>
          <cell r="AH7">
            <v>33.746000000000002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940.58600000000001</v>
          </cell>
          <cell r="D8">
            <v>1068.903</v>
          </cell>
          <cell r="E8">
            <v>1301.5540000000001</v>
          </cell>
          <cell r="F8">
            <v>681.00199999999995</v>
          </cell>
          <cell r="G8" t="str">
            <v>ябл</v>
          </cell>
          <cell r="H8">
            <v>1</v>
          </cell>
          <cell r="I8">
            <v>45</v>
          </cell>
          <cell r="J8">
            <v>1332.4780000000001</v>
          </cell>
          <cell r="K8">
            <v>-30.923999999999978</v>
          </cell>
          <cell r="L8">
            <v>280</v>
          </cell>
          <cell r="M8">
            <v>200</v>
          </cell>
          <cell r="N8">
            <v>240</v>
          </cell>
          <cell r="O8">
            <v>300</v>
          </cell>
          <cell r="W8">
            <v>260.31080000000003</v>
          </cell>
          <cell r="X8">
            <v>350</v>
          </cell>
          <cell r="Y8">
            <v>7.8790507347370902</v>
          </cell>
          <cell r="Z8">
            <v>2.6161112024549111</v>
          </cell>
          <cell r="AC8">
            <v>0</v>
          </cell>
          <cell r="AD8">
            <v>119.49480000000001</v>
          </cell>
          <cell r="AE8">
            <v>323.37479999999999</v>
          </cell>
          <cell r="AF8">
            <v>273.2912</v>
          </cell>
          <cell r="AG8">
            <v>272.6644</v>
          </cell>
          <cell r="AH8">
            <v>294.62200000000001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1235.2619999999999</v>
          </cell>
          <cell r="D9">
            <v>1157.894</v>
          </cell>
          <cell r="E9">
            <v>1759.384</v>
          </cell>
          <cell r="F9">
            <v>621.68700000000001</v>
          </cell>
          <cell r="G9">
            <v>0</v>
          </cell>
          <cell r="H9">
            <v>1</v>
          </cell>
          <cell r="I9">
            <v>45</v>
          </cell>
          <cell r="J9">
            <v>1749.818</v>
          </cell>
          <cell r="K9">
            <v>9.5660000000000309</v>
          </cell>
          <cell r="L9">
            <v>480</v>
          </cell>
          <cell r="M9">
            <v>400</v>
          </cell>
          <cell r="N9">
            <v>550</v>
          </cell>
          <cell r="O9">
            <v>400</v>
          </cell>
          <cell r="W9">
            <v>351.8768</v>
          </cell>
          <cell r="X9">
            <v>320</v>
          </cell>
          <cell r="Y9">
            <v>7.8768676991492477</v>
          </cell>
          <cell r="Z9">
            <v>1.7667746211173911</v>
          </cell>
          <cell r="AC9">
            <v>0</v>
          </cell>
          <cell r="AD9">
            <v>431.65020000000004</v>
          </cell>
          <cell r="AE9">
            <v>369.14879999999999</v>
          </cell>
          <cell r="AF9">
            <v>355.94439999999997</v>
          </cell>
          <cell r="AG9">
            <v>338.346</v>
          </cell>
          <cell r="AH9">
            <v>177.85900000000001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1073</v>
          </cell>
          <cell r="D10">
            <v>2537</v>
          </cell>
          <cell r="E10">
            <v>2295</v>
          </cell>
          <cell r="F10">
            <v>1297</v>
          </cell>
          <cell r="G10" t="str">
            <v>ябл</v>
          </cell>
          <cell r="H10">
            <v>0.4</v>
          </cell>
          <cell r="I10">
            <v>45</v>
          </cell>
          <cell r="J10">
            <v>2319</v>
          </cell>
          <cell r="K10">
            <v>-24</v>
          </cell>
          <cell r="L10">
            <v>480</v>
          </cell>
          <cell r="M10">
            <v>300</v>
          </cell>
          <cell r="N10">
            <v>400</v>
          </cell>
          <cell r="O10">
            <v>500</v>
          </cell>
          <cell r="W10">
            <v>359</v>
          </cell>
          <cell r="X10">
            <v>250</v>
          </cell>
          <cell r="Y10">
            <v>8.9888579387186631</v>
          </cell>
          <cell r="Z10">
            <v>3.6128133704735377</v>
          </cell>
          <cell r="AC10">
            <v>500</v>
          </cell>
          <cell r="AD10">
            <v>402.2</v>
          </cell>
          <cell r="AE10">
            <v>397.6</v>
          </cell>
          <cell r="AF10">
            <v>395.8</v>
          </cell>
          <cell r="AG10">
            <v>427.2</v>
          </cell>
          <cell r="AH10">
            <v>277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2118</v>
          </cell>
          <cell r="D11">
            <v>3703</v>
          </cell>
          <cell r="E11">
            <v>4035</v>
          </cell>
          <cell r="F11">
            <v>1729</v>
          </cell>
          <cell r="G11">
            <v>0</v>
          </cell>
          <cell r="H11">
            <v>0.45</v>
          </cell>
          <cell r="I11">
            <v>45</v>
          </cell>
          <cell r="J11">
            <v>4069</v>
          </cell>
          <cell r="K11">
            <v>-34</v>
          </cell>
          <cell r="L11">
            <v>700</v>
          </cell>
          <cell r="M11">
            <v>700</v>
          </cell>
          <cell r="N11">
            <v>700</v>
          </cell>
          <cell r="O11">
            <v>700</v>
          </cell>
          <cell r="W11">
            <v>646.20000000000005</v>
          </cell>
          <cell r="X11">
            <v>600</v>
          </cell>
          <cell r="Y11">
            <v>7.9371711544413488</v>
          </cell>
          <cell r="Z11">
            <v>2.675642216032188</v>
          </cell>
          <cell r="AC11">
            <v>804</v>
          </cell>
          <cell r="AD11">
            <v>795.6</v>
          </cell>
          <cell r="AE11">
            <v>785.4</v>
          </cell>
          <cell r="AF11">
            <v>732.8</v>
          </cell>
          <cell r="AG11">
            <v>671.6</v>
          </cell>
          <cell r="AH11">
            <v>376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2739</v>
          </cell>
          <cell r="D12">
            <v>2216</v>
          </cell>
          <cell r="E12">
            <v>3679</v>
          </cell>
          <cell r="F12">
            <v>1228</v>
          </cell>
          <cell r="G12">
            <v>0</v>
          </cell>
          <cell r="H12">
            <v>0.45</v>
          </cell>
          <cell r="I12">
            <v>45</v>
          </cell>
          <cell r="J12">
            <v>3717</v>
          </cell>
          <cell r="K12">
            <v>-38</v>
          </cell>
          <cell r="L12">
            <v>1000</v>
          </cell>
          <cell r="M12">
            <v>800</v>
          </cell>
          <cell r="N12">
            <v>1000</v>
          </cell>
          <cell r="O12">
            <v>800</v>
          </cell>
          <cell r="W12">
            <v>735.8</v>
          </cell>
          <cell r="X12">
            <v>900</v>
          </cell>
          <cell r="Y12">
            <v>7.7847241098124496</v>
          </cell>
          <cell r="Z12">
            <v>1.6689317749388421</v>
          </cell>
          <cell r="AC12">
            <v>0</v>
          </cell>
          <cell r="AD12">
            <v>649.4</v>
          </cell>
          <cell r="AE12">
            <v>807.8</v>
          </cell>
          <cell r="AF12">
            <v>763.4</v>
          </cell>
          <cell r="AG12">
            <v>700.8</v>
          </cell>
          <cell r="AH12">
            <v>637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63</v>
          </cell>
          <cell r="D13">
            <v>45</v>
          </cell>
          <cell r="E13">
            <v>74</v>
          </cell>
          <cell r="F13">
            <v>28</v>
          </cell>
          <cell r="G13">
            <v>0</v>
          </cell>
          <cell r="H13">
            <v>0.4</v>
          </cell>
          <cell r="I13">
            <v>50</v>
          </cell>
          <cell r="J13">
            <v>79</v>
          </cell>
          <cell r="K13">
            <v>-5</v>
          </cell>
          <cell r="L13">
            <v>20</v>
          </cell>
          <cell r="M13">
            <v>0</v>
          </cell>
          <cell r="N13">
            <v>40</v>
          </cell>
          <cell r="O13">
            <v>30</v>
          </cell>
          <cell r="W13">
            <v>14.8</v>
          </cell>
          <cell r="Y13">
            <v>7.9729729729729728</v>
          </cell>
          <cell r="Z13">
            <v>1.8918918918918919</v>
          </cell>
          <cell r="AC13">
            <v>0</v>
          </cell>
          <cell r="AD13">
            <v>14.6</v>
          </cell>
          <cell r="AE13">
            <v>19.399999999999999</v>
          </cell>
          <cell r="AF13">
            <v>12.8</v>
          </cell>
          <cell r="AG13">
            <v>13.4</v>
          </cell>
          <cell r="AH13">
            <v>19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529</v>
          </cell>
          <cell r="D14">
            <v>3</v>
          </cell>
          <cell r="E14">
            <v>348</v>
          </cell>
          <cell r="F14">
            <v>179</v>
          </cell>
          <cell r="G14">
            <v>0</v>
          </cell>
          <cell r="H14">
            <v>0.17</v>
          </cell>
          <cell r="I14">
            <v>180</v>
          </cell>
          <cell r="J14">
            <v>353</v>
          </cell>
          <cell r="K14">
            <v>-5</v>
          </cell>
          <cell r="L14">
            <v>100</v>
          </cell>
          <cell r="M14">
            <v>0</v>
          </cell>
          <cell r="N14">
            <v>800</v>
          </cell>
          <cell r="O14">
            <v>0</v>
          </cell>
          <cell r="W14">
            <v>69.599999999999994</v>
          </cell>
          <cell r="Y14">
            <v>15.502873563218392</v>
          </cell>
          <cell r="Z14">
            <v>2.5718390804597702</v>
          </cell>
          <cell r="AC14">
            <v>0</v>
          </cell>
          <cell r="AD14">
            <v>60.4</v>
          </cell>
          <cell r="AE14">
            <v>77</v>
          </cell>
          <cell r="AF14">
            <v>68.599999999999994</v>
          </cell>
          <cell r="AG14">
            <v>65.2</v>
          </cell>
          <cell r="AH14">
            <v>89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157</v>
          </cell>
          <cell r="D15">
            <v>419</v>
          </cell>
          <cell r="E15">
            <v>331</v>
          </cell>
          <cell r="F15">
            <v>235</v>
          </cell>
          <cell r="G15">
            <v>0</v>
          </cell>
          <cell r="H15">
            <v>0.3</v>
          </cell>
          <cell r="I15">
            <v>40</v>
          </cell>
          <cell r="J15">
            <v>343</v>
          </cell>
          <cell r="K15">
            <v>-12</v>
          </cell>
          <cell r="L15">
            <v>70</v>
          </cell>
          <cell r="M15">
            <v>0</v>
          </cell>
          <cell r="N15">
            <v>80</v>
          </cell>
          <cell r="O15">
            <v>70</v>
          </cell>
          <cell r="W15">
            <v>66.2</v>
          </cell>
          <cell r="X15">
            <v>70</v>
          </cell>
          <cell r="Y15">
            <v>7.9305135951661629</v>
          </cell>
          <cell r="Z15">
            <v>3.549848942598187</v>
          </cell>
          <cell r="AC15">
            <v>0</v>
          </cell>
          <cell r="AD15">
            <v>80.599999999999994</v>
          </cell>
          <cell r="AE15">
            <v>81.400000000000006</v>
          </cell>
          <cell r="AF15">
            <v>68</v>
          </cell>
          <cell r="AG15">
            <v>78</v>
          </cell>
          <cell r="AH15">
            <v>81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2463</v>
          </cell>
          <cell r="D16">
            <v>16</v>
          </cell>
          <cell r="E16">
            <v>1265</v>
          </cell>
          <cell r="F16">
            <v>1192</v>
          </cell>
          <cell r="G16">
            <v>0</v>
          </cell>
          <cell r="H16">
            <v>0.17</v>
          </cell>
          <cell r="I16">
            <v>180</v>
          </cell>
          <cell r="J16">
            <v>1295</v>
          </cell>
          <cell r="K16">
            <v>-30</v>
          </cell>
          <cell r="L16">
            <v>0</v>
          </cell>
          <cell r="M16">
            <v>0</v>
          </cell>
          <cell r="N16">
            <v>3500</v>
          </cell>
          <cell r="O16">
            <v>0</v>
          </cell>
          <cell r="W16">
            <v>253</v>
          </cell>
          <cell r="Y16">
            <v>18.545454545454547</v>
          </cell>
          <cell r="Z16">
            <v>4.7114624505928857</v>
          </cell>
          <cell r="AC16">
            <v>0</v>
          </cell>
          <cell r="AD16">
            <v>272</v>
          </cell>
          <cell r="AE16">
            <v>335.6</v>
          </cell>
          <cell r="AF16">
            <v>268.2</v>
          </cell>
          <cell r="AG16">
            <v>264.2</v>
          </cell>
          <cell r="AH16">
            <v>296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541</v>
          </cell>
          <cell r="D17">
            <v>102</v>
          </cell>
          <cell r="E17">
            <v>297</v>
          </cell>
          <cell r="F17">
            <v>336</v>
          </cell>
          <cell r="G17">
            <v>0</v>
          </cell>
          <cell r="H17">
            <v>0.35</v>
          </cell>
          <cell r="I17">
            <v>45</v>
          </cell>
          <cell r="J17">
            <v>305</v>
          </cell>
          <cell r="K17">
            <v>-8</v>
          </cell>
          <cell r="L17">
            <v>50</v>
          </cell>
          <cell r="M17">
            <v>0</v>
          </cell>
          <cell r="N17">
            <v>50</v>
          </cell>
          <cell r="O17">
            <v>0</v>
          </cell>
          <cell r="W17">
            <v>59.4</v>
          </cell>
          <cell r="X17">
            <v>40</v>
          </cell>
          <cell r="Y17">
            <v>8.0134680134680139</v>
          </cell>
          <cell r="Z17">
            <v>5.6565656565656566</v>
          </cell>
          <cell r="AC17">
            <v>0</v>
          </cell>
          <cell r="AD17">
            <v>70</v>
          </cell>
          <cell r="AE17">
            <v>73.400000000000006</v>
          </cell>
          <cell r="AF17">
            <v>64.2</v>
          </cell>
          <cell r="AG17">
            <v>67.599999999999994</v>
          </cell>
          <cell r="AH17">
            <v>24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98</v>
          </cell>
          <cell r="D18">
            <v>66</v>
          </cell>
          <cell r="E18">
            <v>101</v>
          </cell>
          <cell r="F18">
            <v>62</v>
          </cell>
          <cell r="G18" t="str">
            <v>н</v>
          </cell>
          <cell r="H18">
            <v>0.35</v>
          </cell>
          <cell r="I18">
            <v>45</v>
          </cell>
          <cell r="J18">
            <v>102</v>
          </cell>
          <cell r="K18">
            <v>-1</v>
          </cell>
          <cell r="L18">
            <v>20</v>
          </cell>
          <cell r="M18">
            <v>0</v>
          </cell>
          <cell r="N18">
            <v>30</v>
          </cell>
          <cell r="O18">
            <v>20</v>
          </cell>
          <cell r="W18">
            <v>20.2</v>
          </cell>
          <cell r="X18">
            <v>30</v>
          </cell>
          <cell r="Y18">
            <v>8.0198019801980198</v>
          </cell>
          <cell r="Z18">
            <v>3.0693069306930694</v>
          </cell>
          <cell r="AC18">
            <v>0</v>
          </cell>
          <cell r="AD18">
            <v>17.8</v>
          </cell>
          <cell r="AE18">
            <v>27.2</v>
          </cell>
          <cell r="AF18">
            <v>15.8</v>
          </cell>
          <cell r="AG18">
            <v>20.2</v>
          </cell>
          <cell r="AH18">
            <v>22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204</v>
          </cell>
          <cell r="D19">
            <v>454</v>
          </cell>
          <cell r="E19">
            <v>311</v>
          </cell>
          <cell r="F19">
            <v>339</v>
          </cell>
          <cell r="G19">
            <v>0</v>
          </cell>
          <cell r="H19">
            <v>0.35</v>
          </cell>
          <cell r="I19">
            <v>45</v>
          </cell>
          <cell r="J19">
            <v>318</v>
          </cell>
          <cell r="K19">
            <v>-7</v>
          </cell>
          <cell r="L19">
            <v>50</v>
          </cell>
          <cell r="M19">
            <v>0</v>
          </cell>
          <cell r="N19">
            <v>0</v>
          </cell>
          <cell r="O19">
            <v>30</v>
          </cell>
          <cell r="W19">
            <v>62.2</v>
          </cell>
          <cell r="X19">
            <v>80</v>
          </cell>
          <cell r="Y19">
            <v>8.0225080385852081</v>
          </cell>
          <cell r="Z19">
            <v>5.45016077170418</v>
          </cell>
          <cell r="AC19">
            <v>0</v>
          </cell>
          <cell r="AD19">
            <v>28.8</v>
          </cell>
          <cell r="AE19">
            <v>85.8</v>
          </cell>
          <cell r="AF19">
            <v>75</v>
          </cell>
          <cell r="AG19">
            <v>83</v>
          </cell>
          <cell r="AH19">
            <v>50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272</v>
          </cell>
          <cell r="D20">
            <v>607</v>
          </cell>
          <cell r="E20">
            <v>474</v>
          </cell>
          <cell r="F20">
            <v>404</v>
          </cell>
          <cell r="G20">
            <v>0</v>
          </cell>
          <cell r="H20">
            <v>0.35</v>
          </cell>
          <cell r="I20">
            <v>45</v>
          </cell>
          <cell r="J20">
            <v>474</v>
          </cell>
          <cell r="K20">
            <v>0</v>
          </cell>
          <cell r="L20">
            <v>100</v>
          </cell>
          <cell r="M20">
            <v>0</v>
          </cell>
          <cell r="N20">
            <v>100</v>
          </cell>
          <cell r="O20">
            <v>100</v>
          </cell>
          <cell r="W20">
            <v>94.8</v>
          </cell>
          <cell r="X20">
            <v>100</v>
          </cell>
          <cell r="Y20">
            <v>8.4810126582278489</v>
          </cell>
          <cell r="Z20">
            <v>4.2616033755274261</v>
          </cell>
          <cell r="AC20">
            <v>0</v>
          </cell>
          <cell r="AD20">
            <v>105</v>
          </cell>
          <cell r="AE20">
            <v>111.2</v>
          </cell>
          <cell r="AF20">
            <v>115.8</v>
          </cell>
          <cell r="AG20">
            <v>111.2</v>
          </cell>
          <cell r="AH20">
            <v>27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390.12200000000001</v>
          </cell>
          <cell r="D21">
            <v>530.93499999999995</v>
          </cell>
          <cell r="E21">
            <v>576.64400000000001</v>
          </cell>
          <cell r="F21">
            <v>336.59399999999999</v>
          </cell>
          <cell r="G21">
            <v>0</v>
          </cell>
          <cell r="H21">
            <v>1</v>
          </cell>
          <cell r="I21">
            <v>50</v>
          </cell>
          <cell r="J21">
            <v>566.78599999999994</v>
          </cell>
          <cell r="K21">
            <v>9.8580000000000609</v>
          </cell>
          <cell r="L21">
            <v>110</v>
          </cell>
          <cell r="M21">
            <v>0</v>
          </cell>
          <cell r="N21">
            <v>140</v>
          </cell>
          <cell r="O21">
            <v>120</v>
          </cell>
          <cell r="W21">
            <v>115.3288</v>
          </cell>
          <cell r="X21">
            <v>200</v>
          </cell>
          <cell r="Y21">
            <v>7.8609506038387638</v>
          </cell>
          <cell r="Z21">
            <v>2.9185598046628423</v>
          </cell>
          <cell r="AC21">
            <v>0</v>
          </cell>
          <cell r="AD21">
            <v>120.2912</v>
          </cell>
          <cell r="AE21">
            <v>114.94680000000001</v>
          </cell>
          <cell r="AF21">
            <v>128.3184</v>
          </cell>
          <cell r="AG21">
            <v>125.3326</v>
          </cell>
          <cell r="AH21">
            <v>109.807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2322.7510000000002</v>
          </cell>
          <cell r="D22">
            <v>5927.3959999999997</v>
          </cell>
          <cell r="E22">
            <v>5252.6</v>
          </cell>
          <cell r="F22">
            <v>2769.4760000000001</v>
          </cell>
          <cell r="G22">
            <v>0</v>
          </cell>
          <cell r="H22">
            <v>1</v>
          </cell>
          <cell r="I22">
            <v>50</v>
          </cell>
          <cell r="J22">
            <v>5476.241</v>
          </cell>
          <cell r="K22">
            <v>-223.64099999999962</v>
          </cell>
          <cell r="L22">
            <v>1400</v>
          </cell>
          <cell r="M22">
            <v>900</v>
          </cell>
          <cell r="N22">
            <v>1000</v>
          </cell>
          <cell r="O22">
            <v>1000</v>
          </cell>
          <cell r="W22">
            <v>1050.52</v>
          </cell>
          <cell r="X22">
            <v>1300</v>
          </cell>
          <cell r="Y22">
            <v>7.9669839698435068</v>
          </cell>
          <cell r="Z22">
            <v>2.6362905989414767</v>
          </cell>
          <cell r="AC22">
            <v>0</v>
          </cell>
          <cell r="AD22">
            <v>1017.8922</v>
          </cell>
          <cell r="AE22">
            <v>958.80060000000014</v>
          </cell>
          <cell r="AF22">
            <v>996.44439999999997</v>
          </cell>
          <cell r="AG22">
            <v>1096.5001999999999</v>
          </cell>
          <cell r="AH22">
            <v>813.22799999999995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217.512</v>
          </cell>
          <cell r="D23">
            <v>268.279</v>
          </cell>
          <cell r="E23">
            <v>351.988</v>
          </cell>
          <cell r="F23">
            <v>125.908</v>
          </cell>
          <cell r="G23">
            <v>0</v>
          </cell>
          <cell r="H23">
            <v>1</v>
          </cell>
          <cell r="I23">
            <v>50</v>
          </cell>
          <cell r="J23">
            <v>350.2</v>
          </cell>
          <cell r="K23">
            <v>1.7880000000000109</v>
          </cell>
          <cell r="L23">
            <v>70</v>
          </cell>
          <cell r="M23">
            <v>50</v>
          </cell>
          <cell r="N23">
            <v>110</v>
          </cell>
          <cell r="O23">
            <v>80</v>
          </cell>
          <cell r="W23">
            <v>70.397599999999997</v>
          </cell>
          <cell r="X23">
            <v>120</v>
          </cell>
          <cell r="Y23">
            <v>7.8966896598747693</v>
          </cell>
          <cell r="Z23">
            <v>1.7885268815982365</v>
          </cell>
          <cell r="AC23">
            <v>0</v>
          </cell>
          <cell r="AD23">
            <v>68.246200000000002</v>
          </cell>
          <cell r="AE23">
            <v>62.67</v>
          </cell>
          <cell r="AF23">
            <v>67.574399999999997</v>
          </cell>
          <cell r="AG23">
            <v>65.862200000000001</v>
          </cell>
          <cell r="AH23">
            <v>69.332999999999998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-17.989000000000001</v>
          </cell>
          <cell r="E24">
            <v>2.4950000000000001</v>
          </cell>
          <cell r="F24">
            <v>-20.484000000000002</v>
          </cell>
          <cell r="G24">
            <v>0</v>
          </cell>
          <cell r="H24">
            <v>0</v>
          </cell>
          <cell r="I24">
            <v>60</v>
          </cell>
          <cell r="J24">
            <v>2.5</v>
          </cell>
          <cell r="K24">
            <v>-4.9999999999998934E-3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W24">
            <v>0.499</v>
          </cell>
          <cell r="Y24">
            <v>-41.050100200400806</v>
          </cell>
          <cell r="Z24">
            <v>-41.050100200400806</v>
          </cell>
          <cell r="AC24">
            <v>0</v>
          </cell>
          <cell r="AD24">
            <v>463.44719999999995</v>
          </cell>
          <cell r="AE24">
            <v>417.33920000000001</v>
          </cell>
          <cell r="AF24">
            <v>347.28960000000001</v>
          </cell>
          <cell r="AG24">
            <v>4.5426000000000002</v>
          </cell>
          <cell r="AH24">
            <v>0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411.17599999999999</v>
          </cell>
          <cell r="D25">
            <v>589.20899999999995</v>
          </cell>
          <cell r="E25">
            <v>667.92100000000005</v>
          </cell>
          <cell r="F25">
            <v>317.601</v>
          </cell>
          <cell r="G25">
            <v>0</v>
          </cell>
          <cell r="H25">
            <v>1</v>
          </cell>
          <cell r="I25">
            <v>50</v>
          </cell>
          <cell r="J25">
            <v>657.20299999999997</v>
          </cell>
          <cell r="K25">
            <v>10.718000000000075</v>
          </cell>
          <cell r="L25">
            <v>130</v>
          </cell>
          <cell r="M25">
            <v>100</v>
          </cell>
          <cell r="N25">
            <v>150</v>
          </cell>
          <cell r="O25">
            <v>150</v>
          </cell>
          <cell r="W25">
            <v>133.58420000000001</v>
          </cell>
          <cell r="X25">
            <v>200</v>
          </cell>
          <cell r="Y25">
            <v>7.8422523022932351</v>
          </cell>
          <cell r="Z25">
            <v>2.3775341694601604</v>
          </cell>
          <cell r="AC25">
            <v>0</v>
          </cell>
          <cell r="AD25">
            <v>130.32900000000001</v>
          </cell>
          <cell r="AE25">
            <v>139.90299999999999</v>
          </cell>
          <cell r="AF25">
            <v>140.46440000000001</v>
          </cell>
          <cell r="AG25">
            <v>136.74459999999999</v>
          </cell>
          <cell r="AH25">
            <v>135.887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132.244</v>
          </cell>
          <cell r="D26">
            <v>118.98099999999999</v>
          </cell>
          <cell r="E26">
            <v>187.75200000000001</v>
          </cell>
          <cell r="F26">
            <v>62.594000000000001</v>
          </cell>
          <cell r="G26">
            <v>0</v>
          </cell>
          <cell r="H26">
            <v>1</v>
          </cell>
          <cell r="I26">
            <v>60</v>
          </cell>
          <cell r="J26">
            <v>175.904</v>
          </cell>
          <cell r="K26">
            <v>11.848000000000013</v>
          </cell>
          <cell r="L26">
            <v>80</v>
          </cell>
          <cell r="M26">
            <v>0</v>
          </cell>
          <cell r="N26">
            <v>20</v>
          </cell>
          <cell r="O26">
            <v>30</v>
          </cell>
          <cell r="W26">
            <v>37.550400000000003</v>
          </cell>
          <cell r="X26">
            <v>100</v>
          </cell>
          <cell r="Y26">
            <v>7.7920341727385054</v>
          </cell>
          <cell r="Z26">
            <v>1.6669329754143762</v>
          </cell>
          <cell r="AC26">
            <v>0</v>
          </cell>
          <cell r="AD26">
            <v>31.187799999999999</v>
          </cell>
          <cell r="AE26">
            <v>37.2498</v>
          </cell>
          <cell r="AF26">
            <v>34.3508</v>
          </cell>
          <cell r="AG26">
            <v>38.412999999999997</v>
          </cell>
          <cell r="AH26">
            <v>49.337000000000003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230.78100000000001</v>
          </cell>
          <cell r="D27">
            <v>361.6</v>
          </cell>
          <cell r="E27">
            <v>321.88299999999998</v>
          </cell>
          <cell r="F27">
            <v>266.98899999999998</v>
          </cell>
          <cell r="G27">
            <v>0</v>
          </cell>
          <cell r="H27">
            <v>1</v>
          </cell>
          <cell r="I27">
            <v>60</v>
          </cell>
          <cell r="J27">
            <v>310.69600000000003</v>
          </cell>
          <cell r="K27">
            <v>11.186999999999955</v>
          </cell>
          <cell r="L27">
            <v>90</v>
          </cell>
          <cell r="M27">
            <v>0</v>
          </cell>
          <cell r="N27">
            <v>0</v>
          </cell>
          <cell r="O27">
            <v>70</v>
          </cell>
          <cell r="W27">
            <v>64.376599999999996</v>
          </cell>
          <cell r="X27">
            <v>80</v>
          </cell>
          <cell r="Y27">
            <v>7.8753615444121001</v>
          </cell>
          <cell r="Z27">
            <v>4.1472988632515539</v>
          </cell>
          <cell r="AC27">
            <v>0</v>
          </cell>
          <cell r="AD27">
            <v>80.45320000000001</v>
          </cell>
          <cell r="AE27">
            <v>89.840599999999995</v>
          </cell>
          <cell r="AF27">
            <v>77.135799999999989</v>
          </cell>
          <cell r="AG27">
            <v>81.166600000000003</v>
          </cell>
          <cell r="AH27">
            <v>66.426000000000002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248.63399999999999</v>
          </cell>
          <cell r="D28">
            <v>281.62400000000002</v>
          </cell>
          <cell r="E28">
            <v>333.29199999999997</v>
          </cell>
          <cell r="F28">
            <v>196.96600000000001</v>
          </cell>
          <cell r="G28">
            <v>0</v>
          </cell>
          <cell r="H28">
            <v>1</v>
          </cell>
          <cell r="I28">
            <v>60</v>
          </cell>
          <cell r="J28">
            <v>323.80799999999999</v>
          </cell>
          <cell r="K28">
            <v>9.4839999999999804</v>
          </cell>
          <cell r="L28">
            <v>110</v>
          </cell>
          <cell r="M28">
            <v>0</v>
          </cell>
          <cell r="N28">
            <v>100</v>
          </cell>
          <cell r="O28">
            <v>70</v>
          </cell>
          <cell r="W28">
            <v>66.6584</v>
          </cell>
          <cell r="X28">
            <v>50</v>
          </cell>
          <cell r="Y28">
            <v>7.9054702783145112</v>
          </cell>
          <cell r="Z28">
            <v>2.9548564021938724</v>
          </cell>
          <cell r="AC28">
            <v>0</v>
          </cell>
          <cell r="AD28">
            <v>69.344000000000008</v>
          </cell>
          <cell r="AE28">
            <v>90.138199999999998</v>
          </cell>
          <cell r="AF28">
            <v>73.119600000000005</v>
          </cell>
          <cell r="AG28">
            <v>76.597000000000008</v>
          </cell>
          <cell r="AH28">
            <v>56.145000000000003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76.088999999999999</v>
          </cell>
          <cell r="D29">
            <v>76.510999999999996</v>
          </cell>
          <cell r="E29">
            <v>107.824</v>
          </cell>
          <cell r="F29">
            <v>41.826000000000001</v>
          </cell>
          <cell r="G29">
            <v>0</v>
          </cell>
          <cell r="H29">
            <v>1</v>
          </cell>
          <cell r="I29">
            <v>30</v>
          </cell>
          <cell r="J29">
            <v>108.40600000000001</v>
          </cell>
          <cell r="K29">
            <v>-0.58200000000000784</v>
          </cell>
          <cell r="L29">
            <v>20</v>
          </cell>
          <cell r="M29">
            <v>20</v>
          </cell>
          <cell r="N29">
            <v>20</v>
          </cell>
          <cell r="O29">
            <v>20</v>
          </cell>
          <cell r="W29">
            <v>21.564799999999998</v>
          </cell>
          <cell r="X29">
            <v>40</v>
          </cell>
          <cell r="Y29">
            <v>7.5041734678735716</v>
          </cell>
          <cell r="Z29">
            <v>1.9395496364445766</v>
          </cell>
          <cell r="AC29">
            <v>0</v>
          </cell>
          <cell r="AD29">
            <v>18.97</v>
          </cell>
          <cell r="AE29">
            <v>23.8978</v>
          </cell>
          <cell r="AF29">
            <v>18.1812</v>
          </cell>
          <cell r="AG29">
            <v>19.291</v>
          </cell>
          <cell r="AH29">
            <v>25.087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136.77000000000001</v>
          </cell>
          <cell r="D30">
            <v>92.067999999999998</v>
          </cell>
          <cell r="E30">
            <v>125.824</v>
          </cell>
          <cell r="F30">
            <v>101.49299999999999</v>
          </cell>
          <cell r="G30" t="str">
            <v>н</v>
          </cell>
          <cell r="H30">
            <v>1</v>
          </cell>
          <cell r="I30">
            <v>30</v>
          </cell>
          <cell r="J30">
            <v>115.051</v>
          </cell>
          <cell r="K30">
            <v>10.772999999999996</v>
          </cell>
          <cell r="L30">
            <v>40</v>
          </cell>
          <cell r="M30">
            <v>0</v>
          </cell>
          <cell r="N30">
            <v>0</v>
          </cell>
          <cell r="O30">
            <v>20</v>
          </cell>
          <cell r="W30">
            <v>25.1648</v>
          </cell>
          <cell r="X30">
            <v>30</v>
          </cell>
          <cell r="Y30">
            <v>7.6095577950152595</v>
          </cell>
          <cell r="Z30">
            <v>4.0331335834181079</v>
          </cell>
          <cell r="AC30">
            <v>0</v>
          </cell>
          <cell r="AD30">
            <v>28.157999999999998</v>
          </cell>
          <cell r="AE30">
            <v>26.245800000000003</v>
          </cell>
          <cell r="AF30">
            <v>35.097200000000001</v>
          </cell>
          <cell r="AG30">
            <v>31.0106</v>
          </cell>
          <cell r="AH30">
            <v>26.401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1112.175</v>
          </cell>
          <cell r="D31">
            <v>1559.027</v>
          </cell>
          <cell r="E31">
            <v>1960.723</v>
          </cell>
          <cell r="F31">
            <v>676.024</v>
          </cell>
          <cell r="G31">
            <v>0</v>
          </cell>
          <cell r="H31">
            <v>1</v>
          </cell>
          <cell r="I31">
            <v>30</v>
          </cell>
          <cell r="J31">
            <v>1996.2370000000001</v>
          </cell>
          <cell r="K31">
            <v>-35.514000000000124</v>
          </cell>
          <cell r="L31">
            <v>600</v>
          </cell>
          <cell r="M31">
            <v>300</v>
          </cell>
          <cell r="N31">
            <v>500</v>
          </cell>
          <cell r="O31">
            <v>400</v>
          </cell>
          <cell r="W31">
            <v>392.14459999999997</v>
          </cell>
          <cell r="X31">
            <v>300</v>
          </cell>
          <cell r="Y31">
            <v>7.0790825629117426</v>
          </cell>
          <cell r="Z31">
            <v>1.7239151068253906</v>
          </cell>
          <cell r="AC31">
            <v>0</v>
          </cell>
          <cell r="AD31">
            <v>285.83479999999997</v>
          </cell>
          <cell r="AE31">
            <v>333.99520000000001</v>
          </cell>
          <cell r="AF31">
            <v>338.21</v>
          </cell>
          <cell r="AG31">
            <v>366.32560000000001</v>
          </cell>
          <cell r="AH31">
            <v>235.18899999999999</v>
          </cell>
          <cell r="AI31" t="str">
            <v>оконч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85.944999999999993</v>
          </cell>
          <cell r="D32">
            <v>98.043999999999997</v>
          </cell>
          <cell r="E32">
            <v>69.992000000000004</v>
          </cell>
          <cell r="F32">
            <v>112.56100000000001</v>
          </cell>
          <cell r="G32">
            <v>0</v>
          </cell>
          <cell r="H32">
            <v>1</v>
          </cell>
          <cell r="I32">
            <v>40</v>
          </cell>
          <cell r="J32">
            <v>67.8</v>
          </cell>
          <cell r="K32">
            <v>2.1920000000000073</v>
          </cell>
          <cell r="L32">
            <v>0</v>
          </cell>
          <cell r="M32">
            <v>0</v>
          </cell>
          <cell r="N32">
            <v>30</v>
          </cell>
          <cell r="O32">
            <v>20</v>
          </cell>
          <cell r="W32">
            <v>13.9984</v>
          </cell>
          <cell r="Y32">
            <v>11.612827180249171</v>
          </cell>
          <cell r="Z32">
            <v>8.040990398902732</v>
          </cell>
          <cell r="AC32">
            <v>0</v>
          </cell>
          <cell r="AD32">
            <v>15.5458</v>
          </cell>
          <cell r="AE32">
            <v>26.287799999999997</v>
          </cell>
          <cell r="AF32">
            <v>12.058</v>
          </cell>
          <cell r="AG32">
            <v>23.022399999999998</v>
          </cell>
          <cell r="AH32">
            <v>8.8219999999999992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112.851</v>
          </cell>
          <cell r="D33">
            <v>28.584</v>
          </cell>
          <cell r="E33">
            <v>124.431</v>
          </cell>
          <cell r="F33">
            <v>17.004000000000001</v>
          </cell>
          <cell r="G33" t="str">
            <v>н</v>
          </cell>
          <cell r="H33">
            <v>1</v>
          </cell>
          <cell r="I33">
            <v>35</v>
          </cell>
          <cell r="J33">
            <v>127.04</v>
          </cell>
          <cell r="K33">
            <v>-2.6090000000000089</v>
          </cell>
          <cell r="L33">
            <v>20</v>
          </cell>
          <cell r="M33">
            <v>30</v>
          </cell>
          <cell r="N33">
            <v>50</v>
          </cell>
          <cell r="O33">
            <v>30</v>
          </cell>
          <cell r="W33">
            <v>24.886199999999999</v>
          </cell>
          <cell r="X33">
            <v>50</v>
          </cell>
          <cell r="Y33">
            <v>7.9161945174434036</v>
          </cell>
          <cell r="Z33">
            <v>0.68327024616052279</v>
          </cell>
          <cell r="AC33">
            <v>0</v>
          </cell>
          <cell r="AD33">
            <v>24.717599999999997</v>
          </cell>
          <cell r="AE33">
            <v>14.8332</v>
          </cell>
          <cell r="AF33">
            <v>20.881599999999999</v>
          </cell>
          <cell r="AG33">
            <v>18.755600000000001</v>
          </cell>
          <cell r="AH33">
            <v>30.001999999999999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782.81799999999998</v>
          </cell>
          <cell r="D34">
            <v>853.13400000000001</v>
          </cell>
          <cell r="E34">
            <v>994.02499999999998</v>
          </cell>
          <cell r="F34">
            <v>634.76700000000005</v>
          </cell>
          <cell r="G34">
            <v>0</v>
          </cell>
          <cell r="H34">
            <v>1</v>
          </cell>
          <cell r="I34">
            <v>30</v>
          </cell>
          <cell r="J34">
            <v>952.80700000000002</v>
          </cell>
          <cell r="K34">
            <v>41.217999999999961</v>
          </cell>
          <cell r="L34">
            <v>230</v>
          </cell>
          <cell r="M34">
            <v>0</v>
          </cell>
          <cell r="N34">
            <v>200</v>
          </cell>
          <cell r="O34">
            <v>200</v>
          </cell>
          <cell r="W34">
            <v>198.80500000000001</v>
          </cell>
          <cell r="X34">
            <v>300</v>
          </cell>
          <cell r="Y34">
            <v>7.8708634088679865</v>
          </cell>
          <cell r="Z34">
            <v>3.1929126531022862</v>
          </cell>
          <cell r="AC34">
            <v>0</v>
          </cell>
          <cell r="AD34">
            <v>215.05100000000002</v>
          </cell>
          <cell r="AE34">
            <v>257.40559999999999</v>
          </cell>
          <cell r="AF34">
            <v>241.36799999999999</v>
          </cell>
          <cell r="AG34">
            <v>225.88200000000001</v>
          </cell>
          <cell r="AH34">
            <v>238.42099999999999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28.991</v>
          </cell>
          <cell r="E35">
            <v>7.2510000000000003</v>
          </cell>
          <cell r="F35">
            <v>21.74</v>
          </cell>
          <cell r="G35" t="str">
            <v>н</v>
          </cell>
          <cell r="H35">
            <v>1</v>
          </cell>
          <cell r="I35">
            <v>45</v>
          </cell>
          <cell r="J35">
            <v>7.3</v>
          </cell>
          <cell r="K35">
            <v>-4.8999999999999488E-2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W35">
            <v>1.4502000000000002</v>
          </cell>
          <cell r="Y35">
            <v>14.991035719211141</v>
          </cell>
          <cell r="Z35">
            <v>14.991035719211141</v>
          </cell>
          <cell r="AC35">
            <v>0</v>
          </cell>
          <cell r="AD35">
            <v>1.4474</v>
          </cell>
          <cell r="AE35">
            <v>0.88719999999999999</v>
          </cell>
          <cell r="AF35">
            <v>3.6496000000000004</v>
          </cell>
          <cell r="AG35">
            <v>1.089</v>
          </cell>
          <cell r="AH35">
            <v>0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2.6629999999999998</v>
          </cell>
          <cell r="D36">
            <v>10.621</v>
          </cell>
          <cell r="E36">
            <v>6.2240000000000002</v>
          </cell>
          <cell r="F36">
            <v>7.06</v>
          </cell>
          <cell r="G36" t="str">
            <v>н</v>
          </cell>
          <cell r="H36">
            <v>1</v>
          </cell>
          <cell r="I36">
            <v>45</v>
          </cell>
          <cell r="J36">
            <v>6.4</v>
          </cell>
          <cell r="K36">
            <v>-0.17600000000000016</v>
          </cell>
          <cell r="L36">
            <v>0</v>
          </cell>
          <cell r="M36">
            <v>0</v>
          </cell>
          <cell r="N36">
            <v>10</v>
          </cell>
          <cell r="O36">
            <v>0</v>
          </cell>
          <cell r="W36">
            <v>1.2448000000000001</v>
          </cell>
          <cell r="Y36">
            <v>13.705012853470434</v>
          </cell>
          <cell r="Z36">
            <v>5.6715938303341895</v>
          </cell>
          <cell r="AC36">
            <v>0</v>
          </cell>
          <cell r="AD36">
            <v>0.35980000000000001</v>
          </cell>
          <cell r="AE36">
            <v>0.36280000000000001</v>
          </cell>
          <cell r="AF36">
            <v>1.0746</v>
          </cell>
          <cell r="AG36">
            <v>0.89060000000000006</v>
          </cell>
          <cell r="AH36">
            <v>0.875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26.013999999999999</v>
          </cell>
          <cell r="E37">
            <v>8.09</v>
          </cell>
          <cell r="F37">
            <v>17.923999999999999</v>
          </cell>
          <cell r="G37" t="str">
            <v>н</v>
          </cell>
          <cell r="H37">
            <v>1</v>
          </cell>
          <cell r="I37">
            <v>45</v>
          </cell>
          <cell r="J37">
            <v>8</v>
          </cell>
          <cell r="K37">
            <v>8.9999999999999858E-2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W37">
            <v>1.6179999999999999</v>
          </cell>
          <cell r="Y37">
            <v>11.077873918417801</v>
          </cell>
          <cell r="Z37">
            <v>11.077873918417801</v>
          </cell>
          <cell r="AC37">
            <v>0</v>
          </cell>
          <cell r="AD37">
            <v>1.4361999999999999</v>
          </cell>
          <cell r="AE37">
            <v>1.4232</v>
          </cell>
          <cell r="AF37">
            <v>3.1859999999999999</v>
          </cell>
          <cell r="AG37">
            <v>1.2470000000000001</v>
          </cell>
          <cell r="AH37">
            <v>0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615</v>
          </cell>
          <cell r="D38">
            <v>2058</v>
          </cell>
          <cell r="E38">
            <v>1925</v>
          </cell>
          <cell r="F38">
            <v>688</v>
          </cell>
          <cell r="G38">
            <v>0</v>
          </cell>
          <cell r="H38">
            <v>0.35</v>
          </cell>
          <cell r="I38">
            <v>40</v>
          </cell>
          <cell r="J38">
            <v>1975</v>
          </cell>
          <cell r="K38">
            <v>-50</v>
          </cell>
          <cell r="L38">
            <v>760</v>
          </cell>
          <cell r="M38">
            <v>200</v>
          </cell>
          <cell r="N38">
            <v>400</v>
          </cell>
          <cell r="O38">
            <v>500</v>
          </cell>
          <cell r="W38">
            <v>385</v>
          </cell>
          <cell r="X38">
            <v>500</v>
          </cell>
          <cell r="Y38">
            <v>7.9168831168831169</v>
          </cell>
          <cell r="Z38">
            <v>1.7870129870129869</v>
          </cell>
          <cell r="AC38">
            <v>0</v>
          </cell>
          <cell r="AD38">
            <v>255.4</v>
          </cell>
          <cell r="AE38">
            <v>291</v>
          </cell>
          <cell r="AF38">
            <v>293.2</v>
          </cell>
          <cell r="AG38">
            <v>392.8</v>
          </cell>
          <cell r="AH38">
            <v>242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1971</v>
          </cell>
          <cell r="D39">
            <v>3146</v>
          </cell>
          <cell r="E39">
            <v>3587</v>
          </cell>
          <cell r="F39">
            <v>1472</v>
          </cell>
          <cell r="G39">
            <v>0</v>
          </cell>
          <cell r="H39">
            <v>0.4</v>
          </cell>
          <cell r="I39">
            <v>40</v>
          </cell>
          <cell r="J39">
            <v>3655</v>
          </cell>
          <cell r="K39">
            <v>-68</v>
          </cell>
          <cell r="L39">
            <v>700</v>
          </cell>
          <cell r="M39">
            <v>400</v>
          </cell>
          <cell r="N39">
            <v>500</v>
          </cell>
          <cell r="O39">
            <v>500</v>
          </cell>
          <cell r="W39">
            <v>616.6</v>
          </cell>
          <cell r="X39">
            <v>1300</v>
          </cell>
          <cell r="Y39">
            <v>7.9013947453778783</v>
          </cell>
          <cell r="Z39">
            <v>2.3872851119039895</v>
          </cell>
          <cell r="AC39">
            <v>504</v>
          </cell>
          <cell r="AD39">
            <v>566.20000000000005</v>
          </cell>
          <cell r="AE39">
            <v>727.6</v>
          </cell>
          <cell r="AF39">
            <v>660.8</v>
          </cell>
          <cell r="AG39">
            <v>650</v>
          </cell>
          <cell r="AH39">
            <v>845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2991</v>
          </cell>
          <cell r="D40">
            <v>6364</v>
          </cell>
          <cell r="E40">
            <v>5980</v>
          </cell>
          <cell r="F40">
            <v>3292</v>
          </cell>
          <cell r="G40">
            <v>0</v>
          </cell>
          <cell r="H40">
            <v>0.45</v>
          </cell>
          <cell r="I40">
            <v>45</v>
          </cell>
          <cell r="J40">
            <v>6059</v>
          </cell>
          <cell r="K40">
            <v>-79</v>
          </cell>
          <cell r="L40">
            <v>1200</v>
          </cell>
          <cell r="M40">
            <v>0</v>
          </cell>
          <cell r="N40">
            <v>200</v>
          </cell>
          <cell r="O40">
            <v>1000</v>
          </cell>
          <cell r="W40">
            <v>896</v>
          </cell>
          <cell r="X40">
            <v>1300</v>
          </cell>
          <cell r="Y40">
            <v>7.8035714285714288</v>
          </cell>
          <cell r="Z40">
            <v>3.6741071428571428</v>
          </cell>
          <cell r="AC40">
            <v>1500</v>
          </cell>
          <cell r="AD40">
            <v>882.6</v>
          </cell>
          <cell r="AE40">
            <v>1069.4000000000001</v>
          </cell>
          <cell r="AF40">
            <v>1088</v>
          </cell>
          <cell r="AG40">
            <v>1071.2</v>
          </cell>
          <cell r="AH40">
            <v>693</v>
          </cell>
          <cell r="AI40" t="str">
            <v>оконч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387.60300000000001</v>
          </cell>
          <cell r="D41">
            <v>402.32799999999997</v>
          </cell>
          <cell r="E41">
            <v>544.99199999999996</v>
          </cell>
          <cell r="F41">
            <v>239.35900000000001</v>
          </cell>
          <cell r="G41">
            <v>0</v>
          </cell>
          <cell r="H41">
            <v>1</v>
          </cell>
          <cell r="I41">
            <v>40</v>
          </cell>
          <cell r="J41">
            <v>531.50199999999995</v>
          </cell>
          <cell r="K41">
            <v>13.490000000000009</v>
          </cell>
          <cell r="L41">
            <v>140</v>
          </cell>
          <cell r="M41">
            <v>80</v>
          </cell>
          <cell r="N41">
            <v>100</v>
          </cell>
          <cell r="O41">
            <v>100</v>
          </cell>
          <cell r="W41">
            <v>108.99839999999999</v>
          </cell>
          <cell r="X41">
            <v>200</v>
          </cell>
          <cell r="Y41">
            <v>7.8841432534789515</v>
          </cell>
          <cell r="Z41">
            <v>2.1959863631025778</v>
          </cell>
          <cell r="AC41">
            <v>0</v>
          </cell>
          <cell r="AD41">
            <v>271.0308</v>
          </cell>
          <cell r="AE41">
            <v>134.76479999999998</v>
          </cell>
          <cell r="AF41">
            <v>114.26679999999999</v>
          </cell>
          <cell r="AG41">
            <v>109.0758</v>
          </cell>
          <cell r="AH41">
            <v>134.083</v>
          </cell>
          <cell r="AI41">
            <v>0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2072</v>
          </cell>
          <cell r="D42">
            <v>29</v>
          </cell>
          <cell r="E42">
            <v>855</v>
          </cell>
          <cell r="F42">
            <v>1220</v>
          </cell>
          <cell r="G42">
            <v>0</v>
          </cell>
          <cell r="H42">
            <v>0.1</v>
          </cell>
          <cell r="I42">
            <v>730</v>
          </cell>
          <cell r="J42">
            <v>883</v>
          </cell>
          <cell r="K42">
            <v>-28</v>
          </cell>
          <cell r="L42">
            <v>0</v>
          </cell>
          <cell r="M42">
            <v>0</v>
          </cell>
          <cell r="N42">
            <v>2000</v>
          </cell>
          <cell r="O42">
            <v>0</v>
          </cell>
          <cell r="W42">
            <v>171</v>
          </cell>
          <cell r="Y42">
            <v>18.830409356725145</v>
          </cell>
          <cell r="Z42">
            <v>7.1345029239766085</v>
          </cell>
          <cell r="AC42">
            <v>0</v>
          </cell>
          <cell r="AD42">
            <v>173.2</v>
          </cell>
          <cell r="AE42">
            <v>247</v>
          </cell>
          <cell r="AF42">
            <v>223.2</v>
          </cell>
          <cell r="AG42">
            <v>172.4</v>
          </cell>
          <cell r="AH42">
            <v>197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651</v>
          </cell>
          <cell r="D43">
            <v>813</v>
          </cell>
          <cell r="E43">
            <v>942</v>
          </cell>
          <cell r="F43">
            <v>499</v>
          </cell>
          <cell r="G43">
            <v>0</v>
          </cell>
          <cell r="H43">
            <v>0.35</v>
          </cell>
          <cell r="I43">
            <v>40</v>
          </cell>
          <cell r="J43">
            <v>969</v>
          </cell>
          <cell r="K43">
            <v>-27</v>
          </cell>
          <cell r="L43">
            <v>220</v>
          </cell>
          <cell r="M43">
            <v>150</v>
          </cell>
          <cell r="N43">
            <v>200</v>
          </cell>
          <cell r="O43">
            <v>220</v>
          </cell>
          <cell r="W43">
            <v>188.4</v>
          </cell>
          <cell r="X43">
            <v>200</v>
          </cell>
          <cell r="Y43">
            <v>7.9033970276008487</v>
          </cell>
          <cell r="Z43">
            <v>2.648619957537155</v>
          </cell>
          <cell r="AC43">
            <v>0</v>
          </cell>
          <cell r="AD43">
            <v>181.2</v>
          </cell>
          <cell r="AE43">
            <v>260.2</v>
          </cell>
          <cell r="AF43">
            <v>203.4</v>
          </cell>
          <cell r="AG43">
            <v>202.4</v>
          </cell>
          <cell r="AH43">
            <v>205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181.749</v>
          </cell>
          <cell r="D44">
            <v>188.16399999999999</v>
          </cell>
          <cell r="E44">
            <v>229.25299999999999</v>
          </cell>
          <cell r="F44">
            <v>138.48400000000001</v>
          </cell>
          <cell r="G44">
            <v>0</v>
          </cell>
          <cell r="H44">
            <v>1</v>
          </cell>
          <cell r="I44">
            <v>40</v>
          </cell>
          <cell r="J44">
            <v>230.78</v>
          </cell>
          <cell r="K44">
            <v>-1.5270000000000152</v>
          </cell>
          <cell r="L44">
            <v>60</v>
          </cell>
          <cell r="M44">
            <v>0</v>
          </cell>
          <cell r="N44">
            <v>60</v>
          </cell>
          <cell r="O44">
            <v>50</v>
          </cell>
          <cell r="W44">
            <v>45.8506</v>
          </cell>
          <cell r="X44">
            <v>50</v>
          </cell>
          <cell r="Y44">
            <v>7.8185236398215077</v>
          </cell>
          <cell r="Z44">
            <v>3.020331249754638</v>
          </cell>
          <cell r="AC44">
            <v>0</v>
          </cell>
          <cell r="AD44">
            <v>42.6492</v>
          </cell>
          <cell r="AE44">
            <v>59.303200000000004</v>
          </cell>
          <cell r="AF44">
            <v>50.9422</v>
          </cell>
          <cell r="AG44">
            <v>48.867599999999996</v>
          </cell>
          <cell r="AH44">
            <v>38.356000000000002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309</v>
          </cell>
          <cell r="D45">
            <v>842</v>
          </cell>
          <cell r="E45">
            <v>623</v>
          </cell>
          <cell r="F45">
            <v>518</v>
          </cell>
          <cell r="G45">
            <v>0</v>
          </cell>
          <cell r="H45">
            <v>0.4</v>
          </cell>
          <cell r="I45">
            <v>35</v>
          </cell>
          <cell r="J45">
            <v>631</v>
          </cell>
          <cell r="K45">
            <v>-8</v>
          </cell>
          <cell r="L45">
            <v>100</v>
          </cell>
          <cell r="M45">
            <v>0</v>
          </cell>
          <cell r="N45">
            <v>0</v>
          </cell>
          <cell r="O45">
            <v>150</v>
          </cell>
          <cell r="W45">
            <v>124.6</v>
          </cell>
          <cell r="X45">
            <v>200</v>
          </cell>
          <cell r="Y45">
            <v>7.768860353130016</v>
          </cell>
          <cell r="Z45">
            <v>4.1573033707865168</v>
          </cell>
          <cell r="AC45">
            <v>0</v>
          </cell>
          <cell r="AD45">
            <v>128.80000000000001</v>
          </cell>
          <cell r="AE45">
            <v>170.8</v>
          </cell>
          <cell r="AF45">
            <v>137</v>
          </cell>
          <cell r="AG45">
            <v>155.6</v>
          </cell>
          <cell r="AH45">
            <v>176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1136</v>
          </cell>
          <cell r="D46">
            <v>1310</v>
          </cell>
          <cell r="E46">
            <v>1511</v>
          </cell>
          <cell r="F46">
            <v>903</v>
          </cell>
          <cell r="G46">
            <v>0</v>
          </cell>
          <cell r="H46">
            <v>0.4</v>
          </cell>
          <cell r="I46">
            <v>40</v>
          </cell>
          <cell r="J46">
            <v>1523</v>
          </cell>
          <cell r="K46">
            <v>-12</v>
          </cell>
          <cell r="L46">
            <v>350</v>
          </cell>
          <cell r="M46">
            <v>200</v>
          </cell>
          <cell r="N46">
            <v>300</v>
          </cell>
          <cell r="O46">
            <v>300</v>
          </cell>
          <cell r="W46">
            <v>302.2</v>
          </cell>
          <cell r="X46">
            <v>350</v>
          </cell>
          <cell r="Y46">
            <v>7.951687624090007</v>
          </cell>
          <cell r="Z46">
            <v>2.9880873593646591</v>
          </cell>
          <cell r="AC46">
            <v>0</v>
          </cell>
          <cell r="AD46">
            <v>339.8</v>
          </cell>
          <cell r="AE46">
            <v>388</v>
          </cell>
          <cell r="AF46">
            <v>348.2</v>
          </cell>
          <cell r="AG46">
            <v>336.8</v>
          </cell>
          <cell r="AH46">
            <v>244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100.31399999999999</v>
          </cell>
          <cell r="D47">
            <v>176.001</v>
          </cell>
          <cell r="E47">
            <v>147.535</v>
          </cell>
          <cell r="F47">
            <v>127.339</v>
          </cell>
          <cell r="G47" t="str">
            <v>лид, я</v>
          </cell>
          <cell r="H47">
            <v>1</v>
          </cell>
          <cell r="I47">
            <v>40</v>
          </cell>
          <cell r="J47">
            <v>149.69999999999999</v>
          </cell>
          <cell r="K47">
            <v>-2.164999999999992</v>
          </cell>
          <cell r="L47">
            <v>30</v>
          </cell>
          <cell r="M47">
            <v>0</v>
          </cell>
          <cell r="N47">
            <v>30</v>
          </cell>
          <cell r="O47">
            <v>30</v>
          </cell>
          <cell r="W47">
            <v>29.506999999999998</v>
          </cell>
          <cell r="X47">
            <v>30</v>
          </cell>
          <cell r="Y47">
            <v>8.3823838411224454</v>
          </cell>
          <cell r="Z47">
            <v>4.3155522418409191</v>
          </cell>
          <cell r="AC47">
            <v>0</v>
          </cell>
          <cell r="AD47">
            <v>29.4846</v>
          </cell>
          <cell r="AE47">
            <v>32.495800000000003</v>
          </cell>
          <cell r="AF47">
            <v>32.205799999999996</v>
          </cell>
          <cell r="AG47">
            <v>33.492200000000004</v>
          </cell>
          <cell r="AH47">
            <v>25.350999999999999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362.67200000000003</v>
          </cell>
          <cell r="D48">
            <v>479.97899999999998</v>
          </cell>
          <cell r="E48">
            <v>508.16699999999997</v>
          </cell>
          <cell r="F48">
            <v>327.99099999999999</v>
          </cell>
          <cell r="G48">
            <v>0</v>
          </cell>
          <cell r="H48">
            <v>1</v>
          </cell>
          <cell r="I48">
            <v>40</v>
          </cell>
          <cell r="J48">
            <v>516.75</v>
          </cell>
          <cell r="K48">
            <v>-8.5830000000000268</v>
          </cell>
          <cell r="L48">
            <v>60</v>
          </cell>
          <cell r="M48">
            <v>50</v>
          </cell>
          <cell r="N48">
            <v>100</v>
          </cell>
          <cell r="O48">
            <v>100</v>
          </cell>
          <cell r="W48">
            <v>101.63339999999999</v>
          </cell>
          <cell r="X48">
            <v>80</v>
          </cell>
          <cell r="Y48">
            <v>7.0645181603685403</v>
          </cell>
          <cell r="Z48">
            <v>3.2271969647773271</v>
          </cell>
          <cell r="AC48">
            <v>0</v>
          </cell>
          <cell r="AD48">
            <v>130.7636</v>
          </cell>
          <cell r="AE48">
            <v>126.36060000000001</v>
          </cell>
          <cell r="AF48">
            <v>121.46579999999999</v>
          </cell>
          <cell r="AG48">
            <v>107.44159999999999</v>
          </cell>
          <cell r="AH48">
            <v>98.665000000000006</v>
          </cell>
          <cell r="AI48" t="str">
            <v>оконч вип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515</v>
          </cell>
          <cell r="D49">
            <v>1444</v>
          </cell>
          <cell r="E49">
            <v>1179</v>
          </cell>
          <cell r="F49">
            <v>732</v>
          </cell>
          <cell r="G49" t="str">
            <v>лид, я</v>
          </cell>
          <cell r="H49">
            <v>0.35</v>
          </cell>
          <cell r="I49">
            <v>40</v>
          </cell>
          <cell r="J49">
            <v>1239</v>
          </cell>
          <cell r="K49">
            <v>-60</v>
          </cell>
          <cell r="L49">
            <v>220</v>
          </cell>
          <cell r="M49">
            <v>200</v>
          </cell>
          <cell r="N49">
            <v>200</v>
          </cell>
          <cell r="O49">
            <v>250</v>
          </cell>
          <cell r="W49">
            <v>235.8</v>
          </cell>
          <cell r="X49">
            <v>250</v>
          </cell>
          <cell r="Y49">
            <v>7.854113655640373</v>
          </cell>
          <cell r="Z49">
            <v>3.1043256997455471</v>
          </cell>
          <cell r="AC49">
            <v>0</v>
          </cell>
          <cell r="AD49">
            <v>215.4</v>
          </cell>
          <cell r="AE49">
            <v>271.2</v>
          </cell>
          <cell r="AF49">
            <v>247.4</v>
          </cell>
          <cell r="AG49">
            <v>261.8</v>
          </cell>
          <cell r="AH49">
            <v>246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984</v>
          </cell>
          <cell r="D50">
            <v>2195</v>
          </cell>
          <cell r="E50">
            <v>1987</v>
          </cell>
          <cell r="F50">
            <v>1154</v>
          </cell>
          <cell r="G50">
            <v>0</v>
          </cell>
          <cell r="H50">
            <v>0.35</v>
          </cell>
          <cell r="I50">
            <v>40</v>
          </cell>
          <cell r="J50">
            <v>2028</v>
          </cell>
          <cell r="K50">
            <v>-41</v>
          </cell>
          <cell r="L50">
            <v>400</v>
          </cell>
          <cell r="M50">
            <v>300</v>
          </cell>
          <cell r="N50">
            <v>400</v>
          </cell>
          <cell r="O50">
            <v>500</v>
          </cell>
          <cell r="W50">
            <v>397.4</v>
          </cell>
          <cell r="X50">
            <v>400</v>
          </cell>
          <cell r="Y50">
            <v>7.936587820835431</v>
          </cell>
          <cell r="Z50">
            <v>2.9038751887267238</v>
          </cell>
          <cell r="AC50">
            <v>0</v>
          </cell>
          <cell r="AD50">
            <v>337.6</v>
          </cell>
          <cell r="AE50">
            <v>449.6</v>
          </cell>
          <cell r="AF50">
            <v>415.4</v>
          </cell>
          <cell r="AG50">
            <v>430</v>
          </cell>
          <cell r="AH50">
            <v>372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610</v>
          </cell>
          <cell r="D51">
            <v>1083</v>
          </cell>
          <cell r="E51">
            <v>1071</v>
          </cell>
          <cell r="F51">
            <v>583</v>
          </cell>
          <cell r="G51">
            <v>0</v>
          </cell>
          <cell r="H51">
            <v>0.4</v>
          </cell>
          <cell r="I51">
            <v>35</v>
          </cell>
          <cell r="J51">
            <v>1109</v>
          </cell>
          <cell r="K51">
            <v>-38</v>
          </cell>
          <cell r="L51">
            <v>220</v>
          </cell>
          <cell r="M51">
            <v>150</v>
          </cell>
          <cell r="N51">
            <v>200</v>
          </cell>
          <cell r="O51">
            <v>250</v>
          </cell>
          <cell r="W51">
            <v>214.2</v>
          </cell>
          <cell r="X51">
            <v>300</v>
          </cell>
          <cell r="Y51">
            <v>7.950513538748833</v>
          </cell>
          <cell r="Z51">
            <v>2.7217553688141924</v>
          </cell>
          <cell r="AC51">
            <v>0</v>
          </cell>
          <cell r="AD51">
            <v>220.4</v>
          </cell>
          <cell r="AE51">
            <v>258.8</v>
          </cell>
          <cell r="AF51">
            <v>219.8</v>
          </cell>
          <cell r="AG51">
            <v>234</v>
          </cell>
          <cell r="AH51">
            <v>283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462.61200000000002</v>
          </cell>
          <cell r="D52">
            <v>871.83699999999999</v>
          </cell>
          <cell r="E52">
            <v>822.92700000000002</v>
          </cell>
          <cell r="F52">
            <v>500.75700000000001</v>
          </cell>
          <cell r="G52">
            <v>0</v>
          </cell>
          <cell r="H52">
            <v>1</v>
          </cell>
          <cell r="I52">
            <v>50</v>
          </cell>
          <cell r="J52">
            <v>824.35</v>
          </cell>
          <cell r="K52">
            <v>-1.4230000000000018</v>
          </cell>
          <cell r="L52">
            <v>230</v>
          </cell>
          <cell r="M52">
            <v>100</v>
          </cell>
          <cell r="N52">
            <v>100</v>
          </cell>
          <cell r="O52">
            <v>200</v>
          </cell>
          <cell r="W52">
            <v>164.58539999999999</v>
          </cell>
          <cell r="X52">
            <v>180</v>
          </cell>
          <cell r="Y52">
            <v>7.9639931609972701</v>
          </cell>
          <cell r="Z52">
            <v>3.0425359722065264</v>
          </cell>
          <cell r="AC52">
            <v>0</v>
          </cell>
          <cell r="AD52">
            <v>158.79159999999999</v>
          </cell>
          <cell r="AE52">
            <v>182.1566</v>
          </cell>
          <cell r="AF52">
            <v>171.2534</v>
          </cell>
          <cell r="AG52">
            <v>186.1696</v>
          </cell>
          <cell r="AH52">
            <v>174.56700000000001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366.44799999999998</v>
          </cell>
          <cell r="D53">
            <v>596.774</v>
          </cell>
          <cell r="E53">
            <v>574.68899999999996</v>
          </cell>
          <cell r="F53">
            <v>366.87099999999998</v>
          </cell>
          <cell r="G53" t="str">
            <v>н</v>
          </cell>
          <cell r="H53">
            <v>1</v>
          </cell>
          <cell r="I53">
            <v>50</v>
          </cell>
          <cell r="J53">
            <v>584.178</v>
          </cell>
          <cell r="K53">
            <v>-9.4890000000000327</v>
          </cell>
          <cell r="L53">
            <v>200</v>
          </cell>
          <cell r="M53">
            <v>0</v>
          </cell>
          <cell r="N53">
            <v>120</v>
          </cell>
          <cell r="O53">
            <v>150</v>
          </cell>
          <cell r="W53">
            <v>114.9378</v>
          </cell>
          <cell r="X53">
            <v>100</v>
          </cell>
          <cell r="Y53">
            <v>8.1511130367903331</v>
          </cell>
          <cell r="Z53">
            <v>3.1919090151368827</v>
          </cell>
          <cell r="AC53">
            <v>0</v>
          </cell>
          <cell r="AD53">
            <v>145.9974</v>
          </cell>
          <cell r="AE53">
            <v>158.88640000000001</v>
          </cell>
          <cell r="AF53">
            <v>133.54159999999999</v>
          </cell>
          <cell r="AG53">
            <v>130.65119999999999</v>
          </cell>
          <cell r="AH53">
            <v>70.849000000000004</v>
          </cell>
          <cell r="AI53">
            <v>0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32.784999999999997</v>
          </cell>
          <cell r="E54">
            <v>0</v>
          </cell>
          <cell r="G54" t="str">
            <v>яблпром</v>
          </cell>
          <cell r="H54">
            <v>1</v>
          </cell>
          <cell r="I54">
            <v>50</v>
          </cell>
          <cell r="J54">
            <v>7.3</v>
          </cell>
          <cell r="K54">
            <v>-7.3</v>
          </cell>
          <cell r="L54">
            <v>0</v>
          </cell>
          <cell r="M54">
            <v>400</v>
          </cell>
          <cell r="N54">
            <v>400</v>
          </cell>
          <cell r="O54">
            <v>700</v>
          </cell>
          <cell r="W54">
            <v>0</v>
          </cell>
          <cell r="Y54" t="e">
            <v>#DIV/0!</v>
          </cell>
          <cell r="Z54" t="e">
            <v>#DIV/0!</v>
          </cell>
          <cell r="AC54">
            <v>0</v>
          </cell>
          <cell r="AD54">
            <v>4.2081999999999997</v>
          </cell>
          <cell r="AE54">
            <v>5.1107999999999993</v>
          </cell>
          <cell r="AF54">
            <v>0.89879999999999993</v>
          </cell>
          <cell r="AG54">
            <v>0</v>
          </cell>
          <cell r="AH54">
            <v>0</v>
          </cell>
          <cell r="AI54" t="str">
            <v>по50крбЛар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2901.71</v>
          </cell>
          <cell r="D55">
            <v>3744.5729999999999</v>
          </cell>
          <cell r="E55">
            <v>4914.308</v>
          </cell>
          <cell r="F55">
            <v>1679.4110000000001</v>
          </cell>
          <cell r="G55">
            <v>0</v>
          </cell>
          <cell r="H55">
            <v>1</v>
          </cell>
          <cell r="I55">
            <v>40</v>
          </cell>
          <cell r="J55">
            <v>4914.4440000000004</v>
          </cell>
          <cell r="K55">
            <v>-0.13600000000042201</v>
          </cell>
          <cell r="L55">
            <v>1900</v>
          </cell>
          <cell r="M55">
            <v>1200</v>
          </cell>
          <cell r="N55">
            <v>1200</v>
          </cell>
          <cell r="O55">
            <v>1100</v>
          </cell>
          <cell r="W55">
            <v>982.86159999999995</v>
          </cell>
          <cell r="X55">
            <v>700</v>
          </cell>
          <cell r="Y55">
            <v>7.9150625072746763</v>
          </cell>
          <cell r="Z55">
            <v>1.7086953035910653</v>
          </cell>
          <cell r="AC55">
            <v>0</v>
          </cell>
          <cell r="AD55">
            <v>958.94159999999988</v>
          </cell>
          <cell r="AE55">
            <v>940.26700000000005</v>
          </cell>
          <cell r="AF55">
            <v>953.20319999999992</v>
          </cell>
          <cell r="AG55">
            <v>975.10239999999999</v>
          </cell>
          <cell r="AH55">
            <v>339.25700000000001</v>
          </cell>
          <cell r="AI55" t="str">
            <v>проддек-ян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1343</v>
          </cell>
          <cell r="D56">
            <v>2252</v>
          </cell>
          <cell r="E56">
            <v>2136</v>
          </cell>
          <cell r="F56">
            <v>1408</v>
          </cell>
          <cell r="G56">
            <v>0</v>
          </cell>
          <cell r="H56">
            <v>0.45</v>
          </cell>
          <cell r="I56">
            <v>50</v>
          </cell>
          <cell r="J56">
            <v>2183</v>
          </cell>
          <cell r="K56">
            <v>-47</v>
          </cell>
          <cell r="L56">
            <v>400</v>
          </cell>
          <cell r="M56">
            <v>500</v>
          </cell>
          <cell r="N56">
            <v>600</v>
          </cell>
          <cell r="O56">
            <v>800</v>
          </cell>
          <cell r="W56">
            <v>427.2</v>
          </cell>
          <cell r="X56">
            <v>400</v>
          </cell>
          <cell r="Y56">
            <v>9.6161048689138582</v>
          </cell>
          <cell r="Z56">
            <v>3.2958801498127341</v>
          </cell>
          <cell r="AC56">
            <v>0</v>
          </cell>
          <cell r="AD56">
            <v>471.2</v>
          </cell>
          <cell r="AE56">
            <v>520.6</v>
          </cell>
          <cell r="AF56">
            <v>494.6</v>
          </cell>
          <cell r="AG56">
            <v>470.8</v>
          </cell>
          <cell r="AH56">
            <v>413</v>
          </cell>
          <cell r="AI56" t="str">
            <v>ябдек-ян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2348</v>
          </cell>
          <cell r="D57">
            <v>5246</v>
          </cell>
          <cell r="E57">
            <v>5528</v>
          </cell>
          <cell r="F57">
            <v>2023</v>
          </cell>
          <cell r="G57">
            <v>0</v>
          </cell>
          <cell r="H57">
            <v>0.45</v>
          </cell>
          <cell r="I57">
            <v>50</v>
          </cell>
          <cell r="J57">
            <v>5582</v>
          </cell>
          <cell r="K57">
            <v>-54</v>
          </cell>
          <cell r="L57">
            <v>1200</v>
          </cell>
          <cell r="M57">
            <v>500</v>
          </cell>
          <cell r="N57">
            <v>500</v>
          </cell>
          <cell r="O57">
            <v>800</v>
          </cell>
          <cell r="W57">
            <v>805.6</v>
          </cell>
          <cell r="X57">
            <v>1000</v>
          </cell>
          <cell r="Y57">
            <v>7.4764150943396226</v>
          </cell>
          <cell r="Z57">
            <v>2.5111717974180734</v>
          </cell>
          <cell r="AC57">
            <v>1500</v>
          </cell>
          <cell r="AD57">
            <v>719.8</v>
          </cell>
          <cell r="AE57">
            <v>850</v>
          </cell>
          <cell r="AF57">
            <v>769</v>
          </cell>
          <cell r="AG57">
            <v>862.8</v>
          </cell>
          <cell r="AH57">
            <v>761</v>
          </cell>
          <cell r="AI57" t="str">
            <v>жк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1211</v>
          </cell>
          <cell r="D58">
            <v>786</v>
          </cell>
          <cell r="E58">
            <v>1443</v>
          </cell>
          <cell r="F58">
            <v>509</v>
          </cell>
          <cell r="G58">
            <v>0</v>
          </cell>
          <cell r="H58">
            <v>0.45</v>
          </cell>
          <cell r="I58">
            <v>50</v>
          </cell>
          <cell r="J58">
            <v>1473</v>
          </cell>
          <cell r="K58">
            <v>-30</v>
          </cell>
          <cell r="L58">
            <v>370</v>
          </cell>
          <cell r="M58">
            <v>300</v>
          </cell>
          <cell r="N58">
            <v>400</v>
          </cell>
          <cell r="O58">
            <v>300</v>
          </cell>
          <cell r="W58">
            <v>288.60000000000002</v>
          </cell>
          <cell r="X58">
            <v>400</v>
          </cell>
          <cell r="Y58">
            <v>7.8967428967428965</v>
          </cell>
          <cell r="Z58">
            <v>1.7636867636867635</v>
          </cell>
          <cell r="AC58">
            <v>0</v>
          </cell>
          <cell r="AD58">
            <v>266.2</v>
          </cell>
          <cell r="AE58">
            <v>349.2</v>
          </cell>
          <cell r="AF58">
            <v>300.39999999999998</v>
          </cell>
          <cell r="AG58">
            <v>277.39999999999998</v>
          </cell>
          <cell r="AH58">
            <v>278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214</v>
          </cell>
          <cell r="D59">
            <v>218</v>
          </cell>
          <cell r="E59">
            <v>311</v>
          </cell>
          <cell r="F59">
            <v>114</v>
          </cell>
          <cell r="G59">
            <v>0</v>
          </cell>
          <cell r="H59">
            <v>0.4</v>
          </cell>
          <cell r="I59">
            <v>40</v>
          </cell>
          <cell r="J59">
            <v>334</v>
          </cell>
          <cell r="K59">
            <v>-23</v>
          </cell>
          <cell r="L59">
            <v>90</v>
          </cell>
          <cell r="M59">
            <v>50</v>
          </cell>
          <cell r="N59">
            <v>100</v>
          </cell>
          <cell r="O59">
            <v>60</v>
          </cell>
          <cell r="W59">
            <v>62.2</v>
          </cell>
          <cell r="X59">
            <v>80</v>
          </cell>
          <cell r="Y59">
            <v>7.9421221864951761</v>
          </cell>
          <cell r="Z59">
            <v>1.832797427652733</v>
          </cell>
          <cell r="AC59">
            <v>0</v>
          </cell>
          <cell r="AD59">
            <v>55.8</v>
          </cell>
          <cell r="AE59">
            <v>65.599999999999994</v>
          </cell>
          <cell r="AF59">
            <v>62</v>
          </cell>
          <cell r="AG59">
            <v>61.8</v>
          </cell>
          <cell r="AH59">
            <v>68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216</v>
          </cell>
          <cell r="D60">
            <v>210</v>
          </cell>
          <cell r="E60">
            <v>257</v>
          </cell>
          <cell r="F60">
            <v>153</v>
          </cell>
          <cell r="G60">
            <v>0</v>
          </cell>
          <cell r="H60">
            <v>0.4</v>
          </cell>
          <cell r="I60">
            <v>40</v>
          </cell>
          <cell r="J60">
            <v>271</v>
          </cell>
          <cell r="K60">
            <v>-14</v>
          </cell>
          <cell r="L60">
            <v>70</v>
          </cell>
          <cell r="M60">
            <v>50</v>
          </cell>
          <cell r="N60">
            <v>50</v>
          </cell>
          <cell r="O60">
            <v>60</v>
          </cell>
          <cell r="W60">
            <v>51.4</v>
          </cell>
          <cell r="X60">
            <v>30</v>
          </cell>
          <cell r="Y60">
            <v>8.0350194552529182</v>
          </cell>
          <cell r="Z60">
            <v>2.9766536964980546</v>
          </cell>
          <cell r="AC60">
            <v>0</v>
          </cell>
          <cell r="AD60">
            <v>51.4</v>
          </cell>
          <cell r="AE60">
            <v>54.2</v>
          </cell>
          <cell r="AF60">
            <v>67.8</v>
          </cell>
          <cell r="AG60">
            <v>58.2</v>
          </cell>
          <cell r="AH60">
            <v>55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532.03499999999997</v>
          </cell>
          <cell r="D61">
            <v>818.06799999999998</v>
          </cell>
          <cell r="E61">
            <v>913.87599999999998</v>
          </cell>
          <cell r="F61">
            <v>418.55700000000002</v>
          </cell>
          <cell r="G61">
            <v>0</v>
          </cell>
          <cell r="H61">
            <v>1</v>
          </cell>
          <cell r="I61">
            <v>50</v>
          </cell>
          <cell r="J61">
            <v>918.10400000000004</v>
          </cell>
          <cell r="K61">
            <v>-4.2280000000000655</v>
          </cell>
          <cell r="L61">
            <v>300</v>
          </cell>
          <cell r="M61">
            <v>200</v>
          </cell>
          <cell r="N61">
            <v>300</v>
          </cell>
          <cell r="O61">
            <v>200</v>
          </cell>
          <cell r="W61">
            <v>182.77519999999998</v>
          </cell>
          <cell r="X61">
            <v>50</v>
          </cell>
          <cell r="Y61">
            <v>8.0347716758072227</v>
          </cell>
          <cell r="Z61">
            <v>2.2900098043935944</v>
          </cell>
          <cell r="AC61">
            <v>0</v>
          </cell>
          <cell r="AD61">
            <v>152.75139999999999</v>
          </cell>
          <cell r="AE61">
            <v>191.50619999999998</v>
          </cell>
          <cell r="AF61">
            <v>170.3758</v>
          </cell>
          <cell r="AG61">
            <v>191.21520000000001</v>
          </cell>
          <cell r="AH61">
            <v>75.159000000000006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885</v>
          </cell>
          <cell r="D62">
            <v>1010</v>
          </cell>
          <cell r="E62">
            <v>562</v>
          </cell>
          <cell r="F62">
            <v>1323</v>
          </cell>
          <cell r="G62">
            <v>0</v>
          </cell>
          <cell r="H62">
            <v>0.1</v>
          </cell>
          <cell r="I62">
            <v>730</v>
          </cell>
          <cell r="J62">
            <v>573</v>
          </cell>
          <cell r="K62">
            <v>-11</v>
          </cell>
          <cell r="L62">
            <v>0</v>
          </cell>
          <cell r="M62">
            <v>0</v>
          </cell>
          <cell r="N62">
            <v>1000</v>
          </cell>
          <cell r="O62">
            <v>0</v>
          </cell>
          <cell r="W62">
            <v>112.4</v>
          </cell>
          <cell r="Y62">
            <v>20.667259786476869</v>
          </cell>
          <cell r="Z62">
            <v>11.770462633451956</v>
          </cell>
          <cell r="AC62">
            <v>0</v>
          </cell>
          <cell r="AD62">
            <v>107.2</v>
          </cell>
          <cell r="AE62">
            <v>123</v>
          </cell>
          <cell r="AF62">
            <v>162.6</v>
          </cell>
          <cell r="AG62">
            <v>120.8</v>
          </cell>
          <cell r="AH62">
            <v>108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167.74600000000001</v>
          </cell>
          <cell r="D63">
            <v>251.124</v>
          </cell>
          <cell r="E63">
            <v>238.715</v>
          </cell>
          <cell r="F63">
            <v>170.67699999999999</v>
          </cell>
          <cell r="G63">
            <v>0</v>
          </cell>
          <cell r="H63">
            <v>1</v>
          </cell>
          <cell r="I63">
            <v>50</v>
          </cell>
          <cell r="J63">
            <v>248.87</v>
          </cell>
          <cell r="K63">
            <v>-10.155000000000001</v>
          </cell>
          <cell r="L63">
            <v>80</v>
          </cell>
          <cell r="M63">
            <v>0</v>
          </cell>
          <cell r="N63">
            <v>30</v>
          </cell>
          <cell r="O63">
            <v>50</v>
          </cell>
          <cell r="W63">
            <v>47.743000000000002</v>
          </cell>
          <cell r="X63">
            <v>50</v>
          </cell>
          <cell r="Y63">
            <v>7.9734620782104182</v>
          </cell>
          <cell r="Z63">
            <v>3.5749115053515697</v>
          </cell>
          <cell r="AC63">
            <v>0</v>
          </cell>
          <cell r="AD63">
            <v>163.58420000000001</v>
          </cell>
          <cell r="AE63">
            <v>52.838800000000006</v>
          </cell>
          <cell r="AF63">
            <v>52.894000000000005</v>
          </cell>
          <cell r="AG63">
            <v>57.320399999999992</v>
          </cell>
          <cell r="AH63">
            <v>41.488999999999997</v>
          </cell>
          <cell r="AI63">
            <v>0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1592</v>
          </cell>
          <cell r="D64">
            <v>3190</v>
          </cell>
          <cell r="E64">
            <v>3326</v>
          </cell>
          <cell r="F64">
            <v>1407</v>
          </cell>
          <cell r="G64">
            <v>0</v>
          </cell>
          <cell r="H64">
            <v>0.4</v>
          </cell>
          <cell r="I64">
            <v>40</v>
          </cell>
          <cell r="J64">
            <v>3388</v>
          </cell>
          <cell r="K64">
            <v>-62</v>
          </cell>
          <cell r="L64">
            <v>780</v>
          </cell>
          <cell r="M64">
            <v>300</v>
          </cell>
          <cell r="N64">
            <v>500</v>
          </cell>
          <cell r="O64">
            <v>600</v>
          </cell>
          <cell r="W64">
            <v>545.20000000000005</v>
          </cell>
          <cell r="X64">
            <v>700</v>
          </cell>
          <cell r="Y64">
            <v>7.8631694790902413</v>
          </cell>
          <cell r="Z64">
            <v>2.5807043286867204</v>
          </cell>
          <cell r="AC64">
            <v>600</v>
          </cell>
          <cell r="AD64">
            <v>516.6</v>
          </cell>
          <cell r="AE64">
            <v>648.79999999999995</v>
          </cell>
          <cell r="AF64">
            <v>577.20000000000005</v>
          </cell>
          <cell r="AG64">
            <v>587.6</v>
          </cell>
          <cell r="AH64">
            <v>497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1389</v>
          </cell>
          <cell r="D65">
            <v>1986</v>
          </cell>
          <cell r="E65">
            <v>2231</v>
          </cell>
          <cell r="F65">
            <v>1109</v>
          </cell>
          <cell r="G65">
            <v>0</v>
          </cell>
          <cell r="H65">
            <v>0.4</v>
          </cell>
          <cell r="I65">
            <v>40</v>
          </cell>
          <cell r="J65">
            <v>2256</v>
          </cell>
          <cell r="K65">
            <v>-25</v>
          </cell>
          <cell r="L65">
            <v>600</v>
          </cell>
          <cell r="M65">
            <v>300</v>
          </cell>
          <cell r="N65">
            <v>500</v>
          </cell>
          <cell r="O65">
            <v>500</v>
          </cell>
          <cell r="W65">
            <v>446.2</v>
          </cell>
          <cell r="X65">
            <v>500</v>
          </cell>
          <cell r="Y65">
            <v>7.8641864634692968</v>
          </cell>
          <cell r="Z65">
            <v>2.4854325414612282</v>
          </cell>
          <cell r="AC65">
            <v>0</v>
          </cell>
          <cell r="AD65">
            <v>450.8</v>
          </cell>
          <cell r="AE65">
            <v>529.6</v>
          </cell>
          <cell r="AF65">
            <v>483.6</v>
          </cell>
          <cell r="AG65">
            <v>472.8</v>
          </cell>
          <cell r="AH65">
            <v>386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342.68700000000001</v>
          </cell>
          <cell r="D66">
            <v>437.02800000000002</v>
          </cell>
          <cell r="E66">
            <v>479.44099999999997</v>
          </cell>
          <cell r="F66">
            <v>265.86500000000001</v>
          </cell>
          <cell r="G66" t="str">
            <v>ябл</v>
          </cell>
          <cell r="H66">
            <v>1</v>
          </cell>
          <cell r="I66">
            <v>40</v>
          </cell>
          <cell r="J66">
            <v>490.34</v>
          </cell>
          <cell r="K66">
            <v>-10.899000000000001</v>
          </cell>
          <cell r="L66">
            <v>180</v>
          </cell>
          <cell r="M66">
            <v>0</v>
          </cell>
          <cell r="N66">
            <v>200</v>
          </cell>
          <cell r="O66">
            <v>160</v>
          </cell>
          <cell r="W66">
            <v>95.888199999999998</v>
          </cell>
          <cell r="Y66">
            <v>8.4042144914598467</v>
          </cell>
          <cell r="Z66">
            <v>2.7726560723842977</v>
          </cell>
          <cell r="AC66">
            <v>0</v>
          </cell>
          <cell r="AD66">
            <v>99.333399999999997</v>
          </cell>
          <cell r="AE66">
            <v>122.34939999999999</v>
          </cell>
          <cell r="AF66">
            <v>106.08540000000001</v>
          </cell>
          <cell r="AG66">
            <v>108.0094</v>
          </cell>
          <cell r="AH66">
            <v>85.415000000000006</v>
          </cell>
          <cell r="AI66" t="str">
            <v>вип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106.28100000000001</v>
          </cell>
          <cell r="D67">
            <v>276.52600000000001</v>
          </cell>
          <cell r="E67">
            <v>236.773</v>
          </cell>
          <cell r="F67">
            <v>142.417</v>
          </cell>
          <cell r="G67">
            <v>0</v>
          </cell>
          <cell r="H67">
            <v>1</v>
          </cell>
          <cell r="I67">
            <v>40</v>
          </cell>
          <cell r="J67">
            <v>227.5</v>
          </cell>
          <cell r="K67">
            <v>9.2729999999999961</v>
          </cell>
          <cell r="L67">
            <v>50</v>
          </cell>
          <cell r="M67">
            <v>0</v>
          </cell>
          <cell r="N67">
            <v>80</v>
          </cell>
          <cell r="O67">
            <v>50</v>
          </cell>
          <cell r="W67">
            <v>47.354599999999998</v>
          </cell>
          <cell r="X67">
            <v>50</v>
          </cell>
          <cell r="Y67">
            <v>7.8644313329644859</v>
          </cell>
          <cell r="Z67">
            <v>3.0074586207042189</v>
          </cell>
          <cell r="AC67">
            <v>0</v>
          </cell>
          <cell r="AD67">
            <v>49.067999999999998</v>
          </cell>
          <cell r="AE67">
            <v>40.853200000000001</v>
          </cell>
          <cell r="AF67">
            <v>45.351199999999999</v>
          </cell>
          <cell r="AG67">
            <v>51.326199999999993</v>
          </cell>
          <cell r="AH67">
            <v>47.856000000000002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990.91899999999998</v>
          </cell>
          <cell r="D68">
            <v>1924.7919999999999</v>
          </cell>
          <cell r="E68">
            <v>1761.8679999999999</v>
          </cell>
          <cell r="F68">
            <v>1112.33</v>
          </cell>
          <cell r="G68" t="str">
            <v>ябл</v>
          </cell>
          <cell r="H68">
            <v>1</v>
          </cell>
          <cell r="I68">
            <v>40</v>
          </cell>
          <cell r="J68">
            <v>1689.463</v>
          </cell>
          <cell r="K68">
            <v>72.404999999999973</v>
          </cell>
          <cell r="L68">
            <v>230</v>
          </cell>
          <cell r="M68">
            <v>300</v>
          </cell>
          <cell r="N68">
            <v>300</v>
          </cell>
          <cell r="O68">
            <v>400</v>
          </cell>
          <cell r="W68">
            <v>352.37360000000001</v>
          </cell>
          <cell r="X68">
            <v>400</v>
          </cell>
          <cell r="Y68">
            <v>7.782450217609945</v>
          </cell>
          <cell r="Z68">
            <v>3.1566780258225924</v>
          </cell>
          <cell r="AC68">
            <v>0</v>
          </cell>
          <cell r="AD68">
            <v>375.33479999999997</v>
          </cell>
          <cell r="AE68">
            <v>377.1354</v>
          </cell>
          <cell r="AF68">
            <v>404.81299999999999</v>
          </cell>
          <cell r="AG68">
            <v>379.24360000000001</v>
          </cell>
          <cell r="AH68">
            <v>365.60899999999998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146.85</v>
          </cell>
          <cell r="D69">
            <v>295.60599999999999</v>
          </cell>
          <cell r="E69">
            <v>274.02699999999999</v>
          </cell>
          <cell r="F69">
            <v>163.893</v>
          </cell>
          <cell r="G69">
            <v>0</v>
          </cell>
          <cell r="H69">
            <v>1</v>
          </cell>
          <cell r="I69">
            <v>40</v>
          </cell>
          <cell r="J69">
            <v>260.45</v>
          </cell>
          <cell r="K69">
            <v>13.576999999999998</v>
          </cell>
          <cell r="L69">
            <v>70</v>
          </cell>
          <cell r="M69">
            <v>0</v>
          </cell>
          <cell r="N69">
            <v>60</v>
          </cell>
          <cell r="O69">
            <v>60</v>
          </cell>
          <cell r="W69">
            <v>54.805399999999999</v>
          </cell>
          <cell r="X69">
            <v>90</v>
          </cell>
          <cell r="Y69">
            <v>8.0994391063654323</v>
          </cell>
          <cell r="Z69">
            <v>2.9904534954584769</v>
          </cell>
          <cell r="AC69">
            <v>0</v>
          </cell>
          <cell r="AD69">
            <v>55.565999999999995</v>
          </cell>
          <cell r="AE69">
            <v>58.0124</v>
          </cell>
          <cell r="AF69">
            <v>57.260199999999998</v>
          </cell>
          <cell r="AG69">
            <v>61.741200000000006</v>
          </cell>
          <cell r="AH69">
            <v>65.165000000000006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109</v>
          </cell>
          <cell r="D70">
            <v>56</v>
          </cell>
          <cell r="E70">
            <v>101</v>
          </cell>
          <cell r="F70">
            <v>64</v>
          </cell>
          <cell r="G70" t="str">
            <v>дк</v>
          </cell>
          <cell r="H70">
            <v>0.6</v>
          </cell>
          <cell r="I70">
            <v>60</v>
          </cell>
          <cell r="J70">
            <v>101</v>
          </cell>
          <cell r="K70">
            <v>0</v>
          </cell>
          <cell r="L70">
            <v>0</v>
          </cell>
          <cell r="M70">
            <v>0</v>
          </cell>
          <cell r="N70">
            <v>40</v>
          </cell>
          <cell r="O70">
            <v>30</v>
          </cell>
          <cell r="W70">
            <v>20.2</v>
          </cell>
          <cell r="X70">
            <v>30</v>
          </cell>
          <cell r="Y70">
            <v>8.1188118811881189</v>
          </cell>
          <cell r="Z70">
            <v>3.1683168316831685</v>
          </cell>
          <cell r="AC70">
            <v>0</v>
          </cell>
          <cell r="AD70">
            <v>21.8</v>
          </cell>
          <cell r="AE70">
            <v>28.2</v>
          </cell>
          <cell r="AF70">
            <v>24.2</v>
          </cell>
          <cell r="AG70">
            <v>20.2</v>
          </cell>
          <cell r="AH70">
            <v>31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166</v>
          </cell>
          <cell r="D71">
            <v>473</v>
          </cell>
          <cell r="E71">
            <v>358</v>
          </cell>
          <cell r="F71">
            <v>280</v>
          </cell>
          <cell r="G71" t="str">
            <v>ябл</v>
          </cell>
          <cell r="H71">
            <v>0.6</v>
          </cell>
          <cell r="I71">
            <v>60</v>
          </cell>
          <cell r="J71">
            <v>344</v>
          </cell>
          <cell r="K71">
            <v>14</v>
          </cell>
          <cell r="L71">
            <v>120</v>
          </cell>
          <cell r="M71">
            <v>0</v>
          </cell>
          <cell r="N71">
            <v>40</v>
          </cell>
          <cell r="O71">
            <v>80</v>
          </cell>
          <cell r="W71">
            <v>71.599999999999994</v>
          </cell>
          <cell r="X71">
            <v>60</v>
          </cell>
          <cell r="Y71">
            <v>8.100558659217878</v>
          </cell>
          <cell r="Z71">
            <v>3.9106145251396649</v>
          </cell>
          <cell r="AC71">
            <v>0</v>
          </cell>
          <cell r="AD71">
            <v>75.599999999999994</v>
          </cell>
          <cell r="AE71">
            <v>74.599999999999994</v>
          </cell>
          <cell r="AF71">
            <v>66.400000000000006</v>
          </cell>
          <cell r="AG71">
            <v>89.2</v>
          </cell>
          <cell r="AH71">
            <v>35</v>
          </cell>
          <cell r="AI71" t="str">
            <v>проддек-ян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364</v>
          </cell>
          <cell r="D72">
            <v>426</v>
          </cell>
          <cell r="E72">
            <v>456</v>
          </cell>
          <cell r="F72">
            <v>316</v>
          </cell>
          <cell r="G72" t="str">
            <v>ябл</v>
          </cell>
          <cell r="H72">
            <v>0.6</v>
          </cell>
          <cell r="I72">
            <v>60</v>
          </cell>
          <cell r="J72">
            <v>457</v>
          </cell>
          <cell r="K72">
            <v>-1</v>
          </cell>
          <cell r="L72">
            <v>90</v>
          </cell>
          <cell r="M72">
            <v>0</v>
          </cell>
          <cell r="N72">
            <v>90</v>
          </cell>
          <cell r="O72">
            <v>100</v>
          </cell>
          <cell r="W72">
            <v>91.2</v>
          </cell>
          <cell r="X72">
            <v>130</v>
          </cell>
          <cell r="Y72">
            <v>7.9605263157894735</v>
          </cell>
          <cell r="Z72">
            <v>3.4649122807017543</v>
          </cell>
          <cell r="AC72">
            <v>0</v>
          </cell>
          <cell r="AD72">
            <v>93</v>
          </cell>
          <cell r="AE72">
            <v>116.6</v>
          </cell>
          <cell r="AF72">
            <v>119.8</v>
          </cell>
          <cell r="AG72">
            <v>101.2</v>
          </cell>
          <cell r="AH72">
            <v>89</v>
          </cell>
          <cell r="AI72" t="str">
            <v>проддек-ян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57.037999999999997</v>
          </cell>
          <cell r="D73">
            <v>225.56200000000001</v>
          </cell>
          <cell r="E73">
            <v>189.30099999999999</v>
          </cell>
          <cell r="F73">
            <v>92.003</v>
          </cell>
          <cell r="G73">
            <v>0</v>
          </cell>
          <cell r="H73">
            <v>1</v>
          </cell>
          <cell r="I73">
            <v>30</v>
          </cell>
          <cell r="J73">
            <v>199.65199999999999</v>
          </cell>
          <cell r="K73">
            <v>-10.350999999999999</v>
          </cell>
          <cell r="L73">
            <v>120</v>
          </cell>
          <cell r="M73">
            <v>0</v>
          </cell>
          <cell r="N73">
            <v>0</v>
          </cell>
          <cell r="O73">
            <v>30</v>
          </cell>
          <cell r="W73">
            <v>37.860199999999999</v>
          </cell>
          <cell r="X73">
            <v>30</v>
          </cell>
          <cell r="Y73">
            <v>7.1844047310896402</v>
          </cell>
          <cell r="Z73">
            <v>2.430071684777154</v>
          </cell>
          <cell r="AC73">
            <v>0</v>
          </cell>
          <cell r="AD73">
            <v>30.602399999999999</v>
          </cell>
          <cell r="AE73">
            <v>30.446800000000003</v>
          </cell>
          <cell r="AF73">
            <v>28.325400000000002</v>
          </cell>
          <cell r="AG73">
            <v>43.555399999999999</v>
          </cell>
          <cell r="AH73">
            <v>23.364000000000001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375</v>
          </cell>
          <cell r="D74">
            <v>667</v>
          </cell>
          <cell r="E74">
            <v>672</v>
          </cell>
          <cell r="F74">
            <v>350</v>
          </cell>
          <cell r="G74" t="str">
            <v>ябл,дк</v>
          </cell>
          <cell r="H74">
            <v>0.6</v>
          </cell>
          <cell r="I74">
            <v>60</v>
          </cell>
          <cell r="J74">
            <v>668</v>
          </cell>
          <cell r="K74">
            <v>4</v>
          </cell>
          <cell r="L74">
            <v>120</v>
          </cell>
          <cell r="M74">
            <v>200</v>
          </cell>
          <cell r="N74">
            <v>200</v>
          </cell>
          <cell r="O74">
            <v>150</v>
          </cell>
          <cell r="W74">
            <v>134.4</v>
          </cell>
          <cell r="X74">
            <v>60</v>
          </cell>
          <cell r="Y74">
            <v>8.0357142857142847</v>
          </cell>
          <cell r="Z74">
            <v>2.6041666666666665</v>
          </cell>
          <cell r="AC74">
            <v>0</v>
          </cell>
          <cell r="AD74">
            <v>115.4</v>
          </cell>
          <cell r="AE74">
            <v>146.6</v>
          </cell>
          <cell r="AF74">
            <v>135.4</v>
          </cell>
          <cell r="AG74">
            <v>138.80000000000001</v>
          </cell>
          <cell r="AH74">
            <v>78</v>
          </cell>
          <cell r="AI74" t="str">
            <v>проддек-ян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231</v>
          </cell>
          <cell r="D75">
            <v>1401</v>
          </cell>
          <cell r="E75">
            <v>949</v>
          </cell>
          <cell r="F75">
            <v>663</v>
          </cell>
          <cell r="G75" t="str">
            <v>ябл,дк</v>
          </cell>
          <cell r="H75">
            <v>0.6</v>
          </cell>
          <cell r="I75">
            <v>60</v>
          </cell>
          <cell r="J75">
            <v>932</v>
          </cell>
          <cell r="K75">
            <v>17</v>
          </cell>
          <cell r="L75">
            <v>140</v>
          </cell>
          <cell r="M75">
            <v>150</v>
          </cell>
          <cell r="N75">
            <v>200</v>
          </cell>
          <cell r="O75">
            <v>200</v>
          </cell>
          <cell r="W75">
            <v>189.8</v>
          </cell>
          <cell r="X75">
            <v>100</v>
          </cell>
          <cell r="Y75">
            <v>7.6554267650158057</v>
          </cell>
          <cell r="Z75">
            <v>3.4931506849315066</v>
          </cell>
          <cell r="AC75">
            <v>0</v>
          </cell>
          <cell r="AD75">
            <v>192.2</v>
          </cell>
          <cell r="AE75">
            <v>198</v>
          </cell>
          <cell r="AF75">
            <v>187.2</v>
          </cell>
          <cell r="AG75">
            <v>208.2</v>
          </cell>
          <cell r="AH75">
            <v>82</v>
          </cell>
          <cell r="AI75" t="str">
            <v>оконч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535</v>
          </cell>
          <cell r="D76">
            <v>403</v>
          </cell>
          <cell r="E76">
            <v>642</v>
          </cell>
          <cell r="F76">
            <v>263</v>
          </cell>
          <cell r="G76">
            <v>0</v>
          </cell>
          <cell r="H76">
            <v>0.4</v>
          </cell>
          <cell r="I76" t="e">
            <v>#N/A</v>
          </cell>
          <cell r="J76">
            <v>673</v>
          </cell>
          <cell r="K76">
            <v>-31</v>
          </cell>
          <cell r="L76">
            <v>160</v>
          </cell>
          <cell r="M76">
            <v>100</v>
          </cell>
          <cell r="N76">
            <v>150</v>
          </cell>
          <cell r="O76">
            <v>120</v>
          </cell>
          <cell r="W76">
            <v>128.4</v>
          </cell>
          <cell r="X76">
            <v>200</v>
          </cell>
          <cell r="Y76">
            <v>7.7336448598130838</v>
          </cell>
          <cell r="Z76">
            <v>2.0482866043613708</v>
          </cell>
          <cell r="AC76">
            <v>0</v>
          </cell>
          <cell r="AD76">
            <v>127.6</v>
          </cell>
          <cell r="AE76">
            <v>146</v>
          </cell>
          <cell r="AF76">
            <v>152.19999999999999</v>
          </cell>
          <cell r="AG76">
            <v>127</v>
          </cell>
          <cell r="AH76">
            <v>168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306</v>
          </cell>
          <cell r="D77">
            <v>814</v>
          </cell>
          <cell r="E77">
            <v>663</v>
          </cell>
          <cell r="F77">
            <v>425</v>
          </cell>
          <cell r="G77">
            <v>0</v>
          </cell>
          <cell r="H77">
            <v>0.33</v>
          </cell>
          <cell r="I77">
            <v>60</v>
          </cell>
          <cell r="J77">
            <v>692</v>
          </cell>
          <cell r="K77">
            <v>-29</v>
          </cell>
          <cell r="L77">
            <v>80</v>
          </cell>
          <cell r="M77">
            <v>100</v>
          </cell>
          <cell r="N77">
            <v>120</v>
          </cell>
          <cell r="O77">
            <v>120</v>
          </cell>
          <cell r="W77">
            <v>132.6</v>
          </cell>
          <cell r="X77">
            <v>200</v>
          </cell>
          <cell r="Y77">
            <v>7.8808446455505283</v>
          </cell>
          <cell r="Z77">
            <v>3.2051282051282053</v>
          </cell>
          <cell r="AC77">
            <v>0</v>
          </cell>
          <cell r="AD77">
            <v>136.6</v>
          </cell>
          <cell r="AE77">
            <v>157.80000000000001</v>
          </cell>
          <cell r="AF77">
            <v>143.19999999999999</v>
          </cell>
          <cell r="AG77">
            <v>140.19999999999999</v>
          </cell>
          <cell r="AH77">
            <v>160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189</v>
          </cell>
          <cell r="D78">
            <v>709</v>
          </cell>
          <cell r="E78">
            <v>597</v>
          </cell>
          <cell r="F78">
            <v>293</v>
          </cell>
          <cell r="G78">
            <v>0</v>
          </cell>
          <cell r="H78">
            <v>0.35</v>
          </cell>
          <cell r="I78" t="e">
            <v>#N/A</v>
          </cell>
          <cell r="J78">
            <v>606</v>
          </cell>
          <cell r="K78">
            <v>-9</v>
          </cell>
          <cell r="L78">
            <v>120</v>
          </cell>
          <cell r="M78">
            <v>0</v>
          </cell>
          <cell r="N78">
            <v>120</v>
          </cell>
          <cell r="O78">
            <v>110</v>
          </cell>
          <cell r="W78">
            <v>119.4</v>
          </cell>
          <cell r="X78">
            <v>250</v>
          </cell>
          <cell r="Y78">
            <v>7.4790619765494135</v>
          </cell>
          <cell r="Z78">
            <v>2.45393634840871</v>
          </cell>
          <cell r="AC78">
            <v>0</v>
          </cell>
          <cell r="AD78">
            <v>124.4</v>
          </cell>
          <cell r="AE78">
            <v>127</v>
          </cell>
          <cell r="AF78">
            <v>102</v>
          </cell>
          <cell r="AG78">
            <v>121.2</v>
          </cell>
          <cell r="AH78">
            <v>183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236</v>
          </cell>
          <cell r="D79">
            <v>290</v>
          </cell>
          <cell r="E79">
            <v>283</v>
          </cell>
          <cell r="F79">
            <v>233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291</v>
          </cell>
          <cell r="K79">
            <v>-8</v>
          </cell>
          <cell r="L79">
            <v>40</v>
          </cell>
          <cell r="M79">
            <v>60</v>
          </cell>
          <cell r="N79">
            <v>120</v>
          </cell>
          <cell r="O79">
            <v>100</v>
          </cell>
          <cell r="W79">
            <v>56.6</v>
          </cell>
          <cell r="X79">
            <v>60</v>
          </cell>
          <cell r="Y79">
            <v>10.830388692579506</v>
          </cell>
          <cell r="Z79">
            <v>4.11660777385159</v>
          </cell>
          <cell r="AC79">
            <v>0</v>
          </cell>
          <cell r="AD79">
            <v>85.8</v>
          </cell>
          <cell r="AE79">
            <v>84.2</v>
          </cell>
          <cell r="AF79">
            <v>45.6</v>
          </cell>
          <cell r="AG79">
            <v>65.400000000000006</v>
          </cell>
          <cell r="AH79">
            <v>41</v>
          </cell>
          <cell r="AI79" t="str">
            <v>ябдек-ян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2386</v>
          </cell>
          <cell r="D80">
            <v>3444</v>
          </cell>
          <cell r="E80">
            <v>3759</v>
          </cell>
          <cell r="F80">
            <v>2044</v>
          </cell>
          <cell r="G80">
            <v>0</v>
          </cell>
          <cell r="H80">
            <v>0.35</v>
          </cell>
          <cell r="I80">
            <v>40</v>
          </cell>
          <cell r="J80">
            <v>3786</v>
          </cell>
          <cell r="K80">
            <v>-27</v>
          </cell>
          <cell r="L80">
            <v>700</v>
          </cell>
          <cell r="M80">
            <v>1000</v>
          </cell>
          <cell r="N80">
            <v>1000</v>
          </cell>
          <cell r="O80">
            <v>1000</v>
          </cell>
          <cell r="W80">
            <v>751.8</v>
          </cell>
          <cell r="X80">
            <v>1200</v>
          </cell>
          <cell r="Y80">
            <v>9.2364990689013045</v>
          </cell>
          <cell r="Z80">
            <v>2.7188081936685289</v>
          </cell>
          <cell r="AC80">
            <v>0</v>
          </cell>
          <cell r="AD80">
            <v>1151.2</v>
          </cell>
          <cell r="AE80">
            <v>1078.5999999999999</v>
          </cell>
          <cell r="AF80">
            <v>822.6</v>
          </cell>
          <cell r="AG80">
            <v>800</v>
          </cell>
          <cell r="AH80">
            <v>828</v>
          </cell>
          <cell r="AI80" t="str">
            <v>жк,ябдек-ян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5711</v>
          </cell>
          <cell r="D81">
            <v>12630</v>
          </cell>
          <cell r="E81">
            <v>12023</v>
          </cell>
          <cell r="F81">
            <v>6175</v>
          </cell>
          <cell r="G81">
            <v>0</v>
          </cell>
          <cell r="H81">
            <v>0.35</v>
          </cell>
          <cell r="I81">
            <v>45</v>
          </cell>
          <cell r="J81">
            <v>12162</v>
          </cell>
          <cell r="K81">
            <v>-139</v>
          </cell>
          <cell r="L81">
            <v>2800</v>
          </cell>
          <cell r="M81">
            <v>1500</v>
          </cell>
          <cell r="N81">
            <v>2000</v>
          </cell>
          <cell r="O81">
            <v>2400</v>
          </cell>
          <cell r="W81">
            <v>2404.6</v>
          </cell>
          <cell r="X81">
            <v>3200</v>
          </cell>
          <cell r="Y81">
            <v>7.5168427181235966</v>
          </cell>
          <cell r="Z81">
            <v>2.567994676869334</v>
          </cell>
          <cell r="AC81">
            <v>0</v>
          </cell>
          <cell r="AD81">
            <v>2090</v>
          </cell>
          <cell r="AE81">
            <v>2393</v>
          </cell>
          <cell r="AF81">
            <v>2449</v>
          </cell>
          <cell r="AG81">
            <v>2519.4</v>
          </cell>
          <cell r="AH81">
            <v>2058</v>
          </cell>
          <cell r="AI81" t="str">
            <v>жк, яоконч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272</v>
          </cell>
          <cell r="D82">
            <v>487</v>
          </cell>
          <cell r="E82">
            <v>446</v>
          </cell>
          <cell r="F82">
            <v>303</v>
          </cell>
          <cell r="G82">
            <v>0</v>
          </cell>
          <cell r="H82">
            <v>0.4</v>
          </cell>
          <cell r="I82" t="e">
            <v>#N/A</v>
          </cell>
          <cell r="J82">
            <v>458</v>
          </cell>
          <cell r="K82">
            <v>-12</v>
          </cell>
          <cell r="L82">
            <v>70</v>
          </cell>
          <cell r="M82">
            <v>0</v>
          </cell>
          <cell r="N82">
            <v>130</v>
          </cell>
          <cell r="O82">
            <v>100</v>
          </cell>
          <cell r="W82">
            <v>89.2</v>
          </cell>
          <cell r="X82">
            <v>120</v>
          </cell>
          <cell r="Y82">
            <v>8.1053811659192814</v>
          </cell>
          <cell r="Z82">
            <v>3.3968609865470851</v>
          </cell>
          <cell r="AC82">
            <v>0</v>
          </cell>
          <cell r="AD82">
            <v>99.6</v>
          </cell>
          <cell r="AE82">
            <v>121.4</v>
          </cell>
          <cell r="AF82">
            <v>100.6</v>
          </cell>
          <cell r="AG82">
            <v>99.8</v>
          </cell>
          <cell r="AH82">
            <v>104</v>
          </cell>
          <cell r="AI82">
            <v>0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236.04300000000001</v>
          </cell>
          <cell r="D83">
            <v>30.274000000000001</v>
          </cell>
          <cell r="E83">
            <v>255.83500000000001</v>
          </cell>
          <cell r="F83">
            <v>0.41499999999999998</v>
          </cell>
          <cell r="G83" t="str">
            <v>н</v>
          </cell>
          <cell r="H83">
            <v>1</v>
          </cell>
          <cell r="I83" t="e">
            <v>#N/A</v>
          </cell>
          <cell r="J83">
            <v>268.86099999999999</v>
          </cell>
          <cell r="K83">
            <v>-13.025999999999982</v>
          </cell>
          <cell r="L83">
            <v>50</v>
          </cell>
          <cell r="M83">
            <v>100</v>
          </cell>
          <cell r="N83">
            <v>150</v>
          </cell>
          <cell r="O83">
            <v>80</v>
          </cell>
          <cell r="W83">
            <v>51.167000000000002</v>
          </cell>
          <cell r="X83">
            <v>30</v>
          </cell>
          <cell r="Y83">
            <v>8.0210878105028627</v>
          </cell>
          <cell r="Z83">
            <v>8.1106963472550656E-3</v>
          </cell>
          <cell r="AC83">
            <v>0</v>
          </cell>
          <cell r="AD83">
            <v>46.625799999999998</v>
          </cell>
          <cell r="AE83">
            <v>55.484400000000008</v>
          </cell>
          <cell r="AF83">
            <v>46.699799999999996</v>
          </cell>
          <cell r="AG83">
            <v>35.939</v>
          </cell>
          <cell r="AH83">
            <v>25.347000000000001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134</v>
          </cell>
          <cell r="D84">
            <v>347</v>
          </cell>
          <cell r="E84">
            <v>323</v>
          </cell>
          <cell r="F84">
            <v>149</v>
          </cell>
          <cell r="G84">
            <v>0</v>
          </cell>
          <cell r="H84">
            <v>0.4</v>
          </cell>
          <cell r="I84" t="e">
            <v>#N/A</v>
          </cell>
          <cell r="J84">
            <v>332</v>
          </cell>
          <cell r="K84">
            <v>-9</v>
          </cell>
          <cell r="L84">
            <v>0</v>
          </cell>
          <cell r="M84">
            <v>100</v>
          </cell>
          <cell r="N84">
            <v>200</v>
          </cell>
          <cell r="O84">
            <v>150</v>
          </cell>
          <cell r="W84">
            <v>64.599999999999994</v>
          </cell>
          <cell r="Y84">
            <v>9.2724458204334379</v>
          </cell>
          <cell r="Z84">
            <v>2.3065015479876161</v>
          </cell>
          <cell r="AC84">
            <v>0</v>
          </cell>
          <cell r="AD84">
            <v>53</v>
          </cell>
          <cell r="AE84">
            <v>60.8</v>
          </cell>
          <cell r="AF84">
            <v>69.599999999999994</v>
          </cell>
          <cell r="AG84">
            <v>54</v>
          </cell>
          <cell r="AH84">
            <v>65</v>
          </cell>
          <cell r="AI84" t="str">
            <v>ябдек-ян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32.262</v>
          </cell>
          <cell r="D85">
            <v>104.13800000000001</v>
          </cell>
          <cell r="E85">
            <v>76.606999999999999</v>
          </cell>
          <cell r="F85">
            <v>56.881999999999998</v>
          </cell>
          <cell r="G85">
            <v>0</v>
          </cell>
          <cell r="H85">
            <v>1</v>
          </cell>
          <cell r="I85" t="e">
            <v>#N/A</v>
          </cell>
          <cell r="J85">
            <v>77.2</v>
          </cell>
          <cell r="K85">
            <v>-0.59300000000000352</v>
          </cell>
          <cell r="L85">
            <v>0</v>
          </cell>
          <cell r="M85">
            <v>0</v>
          </cell>
          <cell r="N85">
            <v>40</v>
          </cell>
          <cell r="O85">
            <v>20</v>
          </cell>
          <cell r="W85">
            <v>15.321400000000001</v>
          </cell>
          <cell r="X85">
            <v>10</v>
          </cell>
          <cell r="Y85">
            <v>8.2813581004346855</v>
          </cell>
          <cell r="Z85">
            <v>3.7125850118135415</v>
          </cell>
          <cell r="AC85">
            <v>0</v>
          </cell>
          <cell r="AD85">
            <v>14.442400000000001</v>
          </cell>
          <cell r="AE85">
            <v>13.562200000000001</v>
          </cell>
          <cell r="AF85">
            <v>14.677000000000001</v>
          </cell>
          <cell r="AG85">
            <v>14.702199999999999</v>
          </cell>
          <cell r="AH85">
            <v>12.962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517</v>
          </cell>
          <cell r="D86">
            <v>308</v>
          </cell>
          <cell r="E86">
            <v>539</v>
          </cell>
          <cell r="F86">
            <v>277</v>
          </cell>
          <cell r="G86">
            <v>0</v>
          </cell>
          <cell r="H86">
            <v>0.2</v>
          </cell>
          <cell r="I86" t="e">
            <v>#N/A</v>
          </cell>
          <cell r="J86">
            <v>550</v>
          </cell>
          <cell r="K86">
            <v>-11</v>
          </cell>
          <cell r="L86">
            <v>150</v>
          </cell>
          <cell r="M86">
            <v>0</v>
          </cell>
          <cell r="N86">
            <v>200</v>
          </cell>
          <cell r="O86">
            <v>100</v>
          </cell>
          <cell r="W86">
            <v>107.8</v>
          </cell>
          <cell r="X86">
            <v>150</v>
          </cell>
          <cell r="Y86">
            <v>8.1354359925788504</v>
          </cell>
          <cell r="Z86">
            <v>2.5695732838589982</v>
          </cell>
          <cell r="AC86">
            <v>0</v>
          </cell>
          <cell r="AD86">
            <v>112.8</v>
          </cell>
          <cell r="AE86">
            <v>137.4</v>
          </cell>
          <cell r="AF86">
            <v>129.80000000000001</v>
          </cell>
          <cell r="AG86">
            <v>114.2</v>
          </cell>
          <cell r="AH86">
            <v>113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158</v>
          </cell>
          <cell r="D87">
            <v>330</v>
          </cell>
          <cell r="E87">
            <v>323</v>
          </cell>
          <cell r="F87">
            <v>165</v>
          </cell>
          <cell r="G87">
            <v>0</v>
          </cell>
          <cell r="H87">
            <v>0.3</v>
          </cell>
          <cell r="I87" t="e">
            <v>#N/A</v>
          </cell>
          <cell r="J87">
            <v>325</v>
          </cell>
          <cell r="K87">
            <v>-2</v>
          </cell>
          <cell r="L87">
            <v>100</v>
          </cell>
          <cell r="M87">
            <v>60</v>
          </cell>
          <cell r="N87">
            <v>60</v>
          </cell>
          <cell r="O87">
            <v>80</v>
          </cell>
          <cell r="W87">
            <v>64.599999999999994</v>
          </cell>
          <cell r="X87">
            <v>50</v>
          </cell>
          <cell r="Y87">
            <v>7.9721362229102173</v>
          </cell>
          <cell r="Z87">
            <v>2.5541795665634677</v>
          </cell>
          <cell r="AC87">
            <v>0</v>
          </cell>
          <cell r="AD87">
            <v>49.6</v>
          </cell>
          <cell r="AE87">
            <v>65.400000000000006</v>
          </cell>
          <cell r="AF87">
            <v>64</v>
          </cell>
          <cell r="AG87">
            <v>67.599999999999994</v>
          </cell>
          <cell r="AH87">
            <v>25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295.21199999999999</v>
          </cell>
          <cell r="D88">
            <v>471.52699999999999</v>
          </cell>
          <cell r="E88">
            <v>419.358</v>
          </cell>
          <cell r="F88">
            <v>330.37599999999998</v>
          </cell>
          <cell r="G88">
            <v>0</v>
          </cell>
          <cell r="H88">
            <v>1</v>
          </cell>
          <cell r="I88" t="e">
            <v>#N/A</v>
          </cell>
          <cell r="J88">
            <v>434.03199999999998</v>
          </cell>
          <cell r="K88">
            <v>-14.673999999999978</v>
          </cell>
          <cell r="L88">
            <v>90</v>
          </cell>
          <cell r="M88">
            <v>0</v>
          </cell>
          <cell r="N88">
            <v>100</v>
          </cell>
          <cell r="O88">
            <v>100</v>
          </cell>
          <cell r="W88">
            <v>83.871600000000001</v>
          </cell>
          <cell r="X88">
            <v>60</v>
          </cell>
          <cell r="Y88">
            <v>8.1121142317542532</v>
          </cell>
          <cell r="Z88">
            <v>3.9390687670200637</v>
          </cell>
          <cell r="AC88">
            <v>0</v>
          </cell>
          <cell r="AD88">
            <v>78.1708</v>
          </cell>
          <cell r="AE88">
            <v>98.722000000000008</v>
          </cell>
          <cell r="AF88">
            <v>105.10060000000001</v>
          </cell>
          <cell r="AG88">
            <v>98.945000000000007</v>
          </cell>
          <cell r="AH88">
            <v>44.238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2490.7959999999998</v>
          </cell>
          <cell r="D89">
            <v>3549.9160000000002</v>
          </cell>
          <cell r="E89">
            <v>3939.9</v>
          </cell>
          <cell r="F89">
            <v>1987.9480000000001</v>
          </cell>
          <cell r="G89">
            <v>0</v>
          </cell>
          <cell r="H89">
            <v>1</v>
          </cell>
          <cell r="I89" t="e">
            <v>#N/A</v>
          </cell>
          <cell r="J89">
            <v>4059.8330000000001</v>
          </cell>
          <cell r="K89">
            <v>-119.93299999999999</v>
          </cell>
          <cell r="L89">
            <v>1100</v>
          </cell>
          <cell r="M89">
            <v>700</v>
          </cell>
          <cell r="N89">
            <v>700</v>
          </cell>
          <cell r="O89">
            <v>1000</v>
          </cell>
          <cell r="W89">
            <v>787.98</v>
          </cell>
          <cell r="X89">
            <v>1000</v>
          </cell>
          <cell r="Y89">
            <v>8.2336455239980708</v>
          </cell>
          <cell r="Z89">
            <v>2.5228406812355644</v>
          </cell>
          <cell r="AC89">
            <v>0</v>
          </cell>
          <cell r="AD89">
            <v>988.82339999999999</v>
          </cell>
          <cell r="AE89">
            <v>849.73719999999992</v>
          </cell>
          <cell r="AF89">
            <v>865.69299999999998</v>
          </cell>
          <cell r="AG89">
            <v>842.12599999999998</v>
          </cell>
          <cell r="AH89">
            <v>691.54</v>
          </cell>
          <cell r="AI89">
            <v>0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2037.626</v>
          </cell>
          <cell r="D90">
            <v>8017.0789999999997</v>
          </cell>
          <cell r="E90">
            <v>6472.4639999999999</v>
          </cell>
          <cell r="F90">
            <v>3514.7950000000001</v>
          </cell>
          <cell r="G90">
            <v>0</v>
          </cell>
          <cell r="H90">
            <v>1</v>
          </cell>
          <cell r="I90" t="e">
            <v>#N/A</v>
          </cell>
          <cell r="J90">
            <v>6608.9260000000004</v>
          </cell>
          <cell r="K90">
            <v>-136.46200000000044</v>
          </cell>
          <cell r="L90">
            <v>1000</v>
          </cell>
          <cell r="M90">
            <v>1300</v>
          </cell>
          <cell r="N90">
            <v>1500</v>
          </cell>
          <cell r="O90">
            <v>1400</v>
          </cell>
          <cell r="W90">
            <v>1294.4928</v>
          </cell>
          <cell r="X90">
            <v>1600</v>
          </cell>
          <cell r="Y90">
            <v>7.9682134964365972</v>
          </cell>
          <cell r="Z90">
            <v>2.7151908454029257</v>
          </cell>
          <cell r="AC90">
            <v>0</v>
          </cell>
          <cell r="AD90">
            <v>1028.5565999999999</v>
          </cell>
          <cell r="AE90">
            <v>1122.0304000000001</v>
          </cell>
          <cell r="AF90">
            <v>1250.9821999999999</v>
          </cell>
          <cell r="AG90">
            <v>1312.6374000000001</v>
          </cell>
          <cell r="AH90">
            <v>978.95899999999995</v>
          </cell>
          <cell r="AI90" t="str">
            <v>проддек-ян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3659.6469999999999</v>
          </cell>
          <cell r="D91">
            <v>5218.34</v>
          </cell>
          <cell r="E91">
            <v>6052.0720000000001</v>
          </cell>
          <cell r="F91">
            <v>2743.279</v>
          </cell>
          <cell r="G91">
            <v>0</v>
          </cell>
          <cell r="H91">
            <v>1</v>
          </cell>
          <cell r="I91" t="e">
            <v>#N/A</v>
          </cell>
          <cell r="J91">
            <v>6164.67</v>
          </cell>
          <cell r="K91">
            <v>-112.59799999999996</v>
          </cell>
          <cell r="L91">
            <v>1400</v>
          </cell>
          <cell r="M91">
            <v>1000</v>
          </cell>
          <cell r="N91">
            <v>1800</v>
          </cell>
          <cell r="O91">
            <v>2100</v>
          </cell>
          <cell r="W91">
            <v>1210.4144000000001</v>
          </cell>
          <cell r="X91">
            <v>1100</v>
          </cell>
          <cell r="Y91">
            <v>8.3800052279615969</v>
          </cell>
          <cell r="Z91">
            <v>2.2663965332864513</v>
          </cell>
          <cell r="AC91">
            <v>0</v>
          </cell>
          <cell r="AD91">
            <v>1549.0896</v>
          </cell>
          <cell r="AE91">
            <v>1357.0478000000001</v>
          </cell>
          <cell r="AF91">
            <v>1260.2991999999999</v>
          </cell>
          <cell r="AG91">
            <v>1221.019</v>
          </cell>
          <cell r="AH91">
            <v>1253.4390000000001</v>
          </cell>
          <cell r="AI91" t="str">
            <v>жк,ябдек-ян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155.42500000000001</v>
          </cell>
          <cell r="D92">
            <v>167.64</v>
          </cell>
          <cell r="E92">
            <v>157.77600000000001</v>
          </cell>
          <cell r="F92">
            <v>156.47300000000001</v>
          </cell>
          <cell r="G92">
            <v>0</v>
          </cell>
          <cell r="H92">
            <v>1</v>
          </cell>
          <cell r="I92" t="e">
            <v>#N/A</v>
          </cell>
          <cell r="J92">
            <v>168.41</v>
          </cell>
          <cell r="K92">
            <v>-10.633999999999986</v>
          </cell>
          <cell r="L92">
            <v>50</v>
          </cell>
          <cell r="M92">
            <v>0</v>
          </cell>
          <cell r="N92">
            <v>0</v>
          </cell>
          <cell r="O92">
            <v>50</v>
          </cell>
          <cell r="W92">
            <v>31.555200000000003</v>
          </cell>
          <cell r="X92">
            <v>30</v>
          </cell>
          <cell r="Y92">
            <v>9.0784720109522361</v>
          </cell>
          <cell r="Z92">
            <v>4.9587072812088024</v>
          </cell>
          <cell r="AC92">
            <v>0</v>
          </cell>
          <cell r="AD92">
            <v>41.135199999999998</v>
          </cell>
          <cell r="AE92">
            <v>41.445</v>
          </cell>
          <cell r="AF92">
            <v>36.643000000000001</v>
          </cell>
          <cell r="AG92">
            <v>41.180399999999999</v>
          </cell>
          <cell r="AH92">
            <v>42.37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56</v>
          </cell>
          <cell r="D93">
            <v>155</v>
          </cell>
          <cell r="E93">
            <v>188</v>
          </cell>
          <cell r="F93">
            <v>20</v>
          </cell>
          <cell r="G93">
            <v>0</v>
          </cell>
          <cell r="H93">
            <v>0.5</v>
          </cell>
          <cell r="I93" t="e">
            <v>#N/A</v>
          </cell>
          <cell r="J93">
            <v>202</v>
          </cell>
          <cell r="K93">
            <v>-14</v>
          </cell>
          <cell r="L93">
            <v>20</v>
          </cell>
          <cell r="M93">
            <v>0</v>
          </cell>
          <cell r="N93">
            <v>250</v>
          </cell>
          <cell r="O93">
            <v>100</v>
          </cell>
          <cell r="W93">
            <v>37.6</v>
          </cell>
          <cell r="Y93">
            <v>10.372340425531915</v>
          </cell>
          <cell r="Z93">
            <v>0.53191489361702127</v>
          </cell>
          <cell r="AC93">
            <v>0</v>
          </cell>
          <cell r="AD93">
            <v>24.4</v>
          </cell>
          <cell r="AE93">
            <v>35.4</v>
          </cell>
          <cell r="AF93">
            <v>22.2</v>
          </cell>
          <cell r="AG93">
            <v>26</v>
          </cell>
          <cell r="AH93">
            <v>19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0.98299999999999998</v>
          </cell>
          <cell r="D94">
            <v>53.674999999999997</v>
          </cell>
          <cell r="E94">
            <v>5.9560000000000004</v>
          </cell>
          <cell r="F94">
            <v>48.701999999999998</v>
          </cell>
          <cell r="G94" t="str">
            <v>выв2611</v>
          </cell>
          <cell r="H94">
            <v>0</v>
          </cell>
          <cell r="I94" t="e">
            <v>#N/A</v>
          </cell>
          <cell r="J94">
            <v>9.6</v>
          </cell>
          <cell r="K94">
            <v>-3.6439999999999992</v>
          </cell>
          <cell r="L94">
            <v>10</v>
          </cell>
          <cell r="M94">
            <v>0</v>
          </cell>
          <cell r="N94">
            <v>0</v>
          </cell>
          <cell r="O94">
            <v>0</v>
          </cell>
          <cell r="W94">
            <v>1.1912</v>
          </cell>
          <cell r="Y94">
            <v>49.279717931497643</v>
          </cell>
          <cell r="Z94">
            <v>40.884822028206848</v>
          </cell>
          <cell r="AC94">
            <v>0</v>
          </cell>
          <cell r="AD94">
            <v>5.3487999999999998</v>
          </cell>
          <cell r="AE94">
            <v>2.4050000000000002</v>
          </cell>
          <cell r="AF94">
            <v>1.7504000000000002</v>
          </cell>
          <cell r="AG94">
            <v>6.8586</v>
          </cell>
          <cell r="AH94">
            <v>0</v>
          </cell>
          <cell r="AI94" t="str">
            <v>выв2611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919</v>
          </cell>
          <cell r="D95">
            <v>1104</v>
          </cell>
          <cell r="E95">
            <v>1295</v>
          </cell>
          <cell r="F95">
            <v>695</v>
          </cell>
          <cell r="G95">
            <v>0</v>
          </cell>
          <cell r="H95">
            <v>0.3</v>
          </cell>
          <cell r="I95" t="e">
            <v>#N/A</v>
          </cell>
          <cell r="J95">
            <v>1334</v>
          </cell>
          <cell r="K95">
            <v>-39</v>
          </cell>
          <cell r="L95">
            <v>300</v>
          </cell>
          <cell r="M95">
            <v>0</v>
          </cell>
          <cell r="N95">
            <v>400</v>
          </cell>
          <cell r="O95">
            <v>280</v>
          </cell>
          <cell r="W95">
            <v>259</v>
          </cell>
          <cell r="X95">
            <v>400</v>
          </cell>
          <cell r="Y95">
            <v>8.0115830115830118</v>
          </cell>
          <cell r="Z95">
            <v>2.6833976833976836</v>
          </cell>
          <cell r="AC95">
            <v>0</v>
          </cell>
          <cell r="AD95">
            <v>241.4</v>
          </cell>
          <cell r="AE95">
            <v>336</v>
          </cell>
          <cell r="AF95">
            <v>291</v>
          </cell>
          <cell r="AG95">
            <v>273</v>
          </cell>
          <cell r="AH95">
            <v>318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368</v>
          </cell>
          <cell r="D96">
            <v>840</v>
          </cell>
          <cell r="E96">
            <v>748</v>
          </cell>
          <cell r="F96">
            <v>450</v>
          </cell>
          <cell r="G96">
            <v>0</v>
          </cell>
          <cell r="H96">
            <v>0.3</v>
          </cell>
          <cell r="I96" t="e">
            <v>#N/A</v>
          </cell>
          <cell r="J96">
            <v>759</v>
          </cell>
          <cell r="K96">
            <v>-11</v>
          </cell>
          <cell r="L96">
            <v>200</v>
          </cell>
          <cell r="M96">
            <v>0</v>
          </cell>
          <cell r="N96">
            <v>170</v>
          </cell>
          <cell r="O96">
            <v>170</v>
          </cell>
          <cell r="W96">
            <v>149.6</v>
          </cell>
          <cell r="X96">
            <v>200</v>
          </cell>
          <cell r="Y96">
            <v>7.954545454545455</v>
          </cell>
          <cell r="Z96">
            <v>3.0080213903743318</v>
          </cell>
          <cell r="AC96">
            <v>0</v>
          </cell>
          <cell r="AD96">
            <v>128.4</v>
          </cell>
          <cell r="AE96">
            <v>177.4</v>
          </cell>
          <cell r="AF96">
            <v>145.4</v>
          </cell>
          <cell r="AG96">
            <v>169.2</v>
          </cell>
          <cell r="AH96">
            <v>188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511</v>
          </cell>
          <cell r="D97">
            <v>1414</v>
          </cell>
          <cell r="E97">
            <v>1467</v>
          </cell>
          <cell r="F97">
            <v>438</v>
          </cell>
          <cell r="G97">
            <v>0</v>
          </cell>
          <cell r="H97">
            <v>0.3</v>
          </cell>
          <cell r="I97" t="e">
            <v>#N/A</v>
          </cell>
          <cell r="J97">
            <v>1499</v>
          </cell>
          <cell r="K97">
            <v>-32</v>
          </cell>
          <cell r="L97">
            <v>200</v>
          </cell>
          <cell r="M97">
            <v>0</v>
          </cell>
          <cell r="N97">
            <v>500</v>
          </cell>
          <cell r="O97">
            <v>350</v>
          </cell>
          <cell r="W97">
            <v>233.4</v>
          </cell>
          <cell r="X97">
            <v>400</v>
          </cell>
          <cell r="Y97">
            <v>8.0891173950299908</v>
          </cell>
          <cell r="Z97">
            <v>1.8766066838046271</v>
          </cell>
          <cell r="AC97">
            <v>300</v>
          </cell>
          <cell r="AD97">
            <v>185</v>
          </cell>
          <cell r="AE97">
            <v>223.6</v>
          </cell>
          <cell r="AF97">
            <v>205.6</v>
          </cell>
          <cell r="AG97">
            <v>219.4</v>
          </cell>
          <cell r="AH97">
            <v>268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263</v>
          </cell>
          <cell r="D98">
            <v>924</v>
          </cell>
          <cell r="E98">
            <v>755</v>
          </cell>
          <cell r="F98">
            <v>414</v>
          </cell>
          <cell r="G98">
            <v>0</v>
          </cell>
          <cell r="H98">
            <v>0.3</v>
          </cell>
          <cell r="I98" t="e">
            <v>#N/A</v>
          </cell>
          <cell r="J98">
            <v>778</v>
          </cell>
          <cell r="K98">
            <v>-23</v>
          </cell>
          <cell r="L98">
            <v>150</v>
          </cell>
          <cell r="M98">
            <v>0</v>
          </cell>
          <cell r="N98">
            <v>250</v>
          </cell>
          <cell r="O98">
            <v>170</v>
          </cell>
          <cell r="W98">
            <v>151</v>
          </cell>
          <cell r="X98">
            <v>200</v>
          </cell>
          <cell r="Y98">
            <v>7.8410596026490067</v>
          </cell>
          <cell r="Z98">
            <v>2.7417218543046356</v>
          </cell>
          <cell r="AC98">
            <v>0</v>
          </cell>
          <cell r="AD98">
            <v>137.4</v>
          </cell>
          <cell r="AE98">
            <v>156.19999999999999</v>
          </cell>
          <cell r="AF98">
            <v>135</v>
          </cell>
          <cell r="AG98">
            <v>161.4</v>
          </cell>
          <cell r="AH98">
            <v>182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90</v>
          </cell>
          <cell r="E99">
            <v>90</v>
          </cell>
          <cell r="G99">
            <v>0</v>
          </cell>
          <cell r="H99">
            <v>0.33</v>
          </cell>
          <cell r="I99" t="e">
            <v>#N/A</v>
          </cell>
          <cell r="J99">
            <v>120</v>
          </cell>
          <cell r="K99">
            <v>-30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90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93</v>
          </cell>
          <cell r="D100">
            <v>307</v>
          </cell>
          <cell r="E100">
            <v>176</v>
          </cell>
          <cell r="F100">
            <v>223</v>
          </cell>
          <cell r="G100">
            <v>0</v>
          </cell>
          <cell r="H100">
            <v>0.12</v>
          </cell>
          <cell r="I100">
            <v>45</v>
          </cell>
          <cell r="J100">
            <v>177</v>
          </cell>
          <cell r="K100">
            <v>-1</v>
          </cell>
          <cell r="L100">
            <v>100</v>
          </cell>
          <cell r="M100">
            <v>0</v>
          </cell>
          <cell r="N100">
            <v>0</v>
          </cell>
          <cell r="O100">
            <v>0</v>
          </cell>
          <cell r="W100">
            <v>35.200000000000003</v>
          </cell>
          <cell r="Y100">
            <v>9.1761363636363633</v>
          </cell>
          <cell r="Z100">
            <v>6.3352272727272725</v>
          </cell>
          <cell r="AC100">
            <v>0</v>
          </cell>
          <cell r="AD100">
            <v>33</v>
          </cell>
          <cell r="AE100">
            <v>52.4</v>
          </cell>
          <cell r="AF100">
            <v>42.6</v>
          </cell>
          <cell r="AG100">
            <v>51.4</v>
          </cell>
          <cell r="AH100">
            <v>45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471</v>
          </cell>
          <cell r="D101">
            <v>341</v>
          </cell>
          <cell r="E101">
            <v>426</v>
          </cell>
          <cell r="F101">
            <v>376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435</v>
          </cell>
          <cell r="K101">
            <v>-9</v>
          </cell>
          <cell r="L101">
            <v>150</v>
          </cell>
          <cell r="M101">
            <v>0</v>
          </cell>
          <cell r="N101">
            <v>0</v>
          </cell>
          <cell r="O101">
            <v>200</v>
          </cell>
          <cell r="W101">
            <v>85.2</v>
          </cell>
          <cell r="X101">
            <v>100</v>
          </cell>
          <cell r="Y101">
            <v>9.694835680751174</v>
          </cell>
          <cell r="Z101">
            <v>4.413145539906103</v>
          </cell>
          <cell r="AC101">
            <v>0</v>
          </cell>
          <cell r="AD101">
            <v>133.4</v>
          </cell>
          <cell r="AE101">
            <v>102.8</v>
          </cell>
          <cell r="AF101">
            <v>85.4</v>
          </cell>
          <cell r="AG101">
            <v>99</v>
          </cell>
          <cell r="AH101">
            <v>63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23</v>
          </cell>
          <cell r="D102">
            <v>257</v>
          </cell>
          <cell r="E102">
            <v>210</v>
          </cell>
          <cell r="F102">
            <v>68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246</v>
          </cell>
          <cell r="K102">
            <v>-36</v>
          </cell>
          <cell r="L102">
            <v>100</v>
          </cell>
          <cell r="M102">
            <v>0</v>
          </cell>
          <cell r="N102">
            <v>100</v>
          </cell>
          <cell r="O102">
            <v>50</v>
          </cell>
          <cell r="W102">
            <v>42</v>
          </cell>
          <cell r="X102">
            <v>50</v>
          </cell>
          <cell r="Y102">
            <v>8.7619047619047628</v>
          </cell>
          <cell r="Z102">
            <v>1.6190476190476191</v>
          </cell>
          <cell r="AC102">
            <v>0</v>
          </cell>
          <cell r="AD102">
            <v>48.2</v>
          </cell>
          <cell r="AE102">
            <v>59.8</v>
          </cell>
          <cell r="AF102">
            <v>52</v>
          </cell>
          <cell r="AG102">
            <v>53.6</v>
          </cell>
          <cell r="AH102">
            <v>56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478</v>
          </cell>
          <cell r="D103">
            <v>385</v>
          </cell>
          <cell r="E103">
            <v>486</v>
          </cell>
          <cell r="F103">
            <v>370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495</v>
          </cell>
          <cell r="K103">
            <v>-9</v>
          </cell>
          <cell r="L103">
            <v>150</v>
          </cell>
          <cell r="M103">
            <v>0</v>
          </cell>
          <cell r="N103">
            <v>100</v>
          </cell>
          <cell r="O103">
            <v>150</v>
          </cell>
          <cell r="W103">
            <v>97.2</v>
          </cell>
          <cell r="X103">
            <v>100</v>
          </cell>
          <cell r="Y103">
            <v>8.9506172839506171</v>
          </cell>
          <cell r="Z103">
            <v>3.8065843621399176</v>
          </cell>
          <cell r="AC103">
            <v>0</v>
          </cell>
          <cell r="AD103">
            <v>102.6</v>
          </cell>
          <cell r="AE103">
            <v>120.2</v>
          </cell>
          <cell r="AF103">
            <v>88.6</v>
          </cell>
          <cell r="AG103">
            <v>104.8</v>
          </cell>
          <cell r="AH103">
            <v>97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591</v>
          </cell>
          <cell r="D104">
            <v>543</v>
          </cell>
          <cell r="E104">
            <v>598</v>
          </cell>
          <cell r="F104">
            <v>526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609</v>
          </cell>
          <cell r="K104">
            <v>-11</v>
          </cell>
          <cell r="L104">
            <v>200</v>
          </cell>
          <cell r="M104">
            <v>0</v>
          </cell>
          <cell r="N104">
            <v>100</v>
          </cell>
          <cell r="O104">
            <v>120</v>
          </cell>
          <cell r="W104">
            <v>119.6</v>
          </cell>
          <cell r="X104">
            <v>100</v>
          </cell>
          <cell r="Y104">
            <v>8.7458193979933121</v>
          </cell>
          <cell r="Z104">
            <v>4.3979933110367897</v>
          </cell>
          <cell r="AC104">
            <v>0</v>
          </cell>
          <cell r="AD104">
            <v>135</v>
          </cell>
          <cell r="AE104">
            <v>158.19999999999999</v>
          </cell>
          <cell r="AF104">
            <v>122.2</v>
          </cell>
          <cell r="AG104">
            <v>137.4</v>
          </cell>
          <cell r="AH104">
            <v>110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287</v>
          </cell>
          <cell r="D105">
            <v>282</v>
          </cell>
          <cell r="E105">
            <v>289</v>
          </cell>
          <cell r="F105">
            <v>269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301</v>
          </cell>
          <cell r="K105">
            <v>-12</v>
          </cell>
          <cell r="L105">
            <v>120</v>
          </cell>
          <cell r="M105">
            <v>0</v>
          </cell>
          <cell r="N105">
            <v>0</v>
          </cell>
          <cell r="O105">
            <v>50</v>
          </cell>
          <cell r="W105">
            <v>57.8</v>
          </cell>
          <cell r="X105">
            <v>50</v>
          </cell>
          <cell r="Y105">
            <v>8.4602076124567471</v>
          </cell>
          <cell r="Z105">
            <v>4.6539792387543253</v>
          </cell>
          <cell r="AC105">
            <v>0</v>
          </cell>
          <cell r="AD105">
            <v>48.4</v>
          </cell>
          <cell r="AE105">
            <v>77.599999999999994</v>
          </cell>
          <cell r="AF105">
            <v>58.6</v>
          </cell>
          <cell r="AG105">
            <v>74.8</v>
          </cell>
          <cell r="AH105">
            <v>84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109</v>
          </cell>
          <cell r="D106">
            <v>404</v>
          </cell>
          <cell r="E106">
            <v>201</v>
          </cell>
          <cell r="F106">
            <v>307</v>
          </cell>
          <cell r="G106">
            <v>0</v>
          </cell>
          <cell r="H106">
            <v>5.5E-2</v>
          </cell>
          <cell r="I106" t="e">
            <v>#N/A</v>
          </cell>
          <cell r="J106">
            <v>206</v>
          </cell>
          <cell r="K106">
            <v>-5</v>
          </cell>
          <cell r="L106">
            <v>50</v>
          </cell>
          <cell r="M106">
            <v>0</v>
          </cell>
          <cell r="N106">
            <v>0</v>
          </cell>
          <cell r="O106">
            <v>0</v>
          </cell>
          <cell r="W106">
            <v>40.200000000000003</v>
          </cell>
          <cell r="Y106">
            <v>8.8805970149253728</v>
          </cell>
          <cell r="Z106">
            <v>7.6368159203980097</v>
          </cell>
          <cell r="AC106">
            <v>0</v>
          </cell>
          <cell r="AD106">
            <v>29.2</v>
          </cell>
          <cell r="AE106">
            <v>46.4</v>
          </cell>
          <cell r="AF106">
            <v>43.2</v>
          </cell>
          <cell r="AG106">
            <v>52.4</v>
          </cell>
          <cell r="AH106">
            <v>61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55</v>
          </cell>
          <cell r="D107">
            <v>1</v>
          </cell>
          <cell r="E107">
            <v>28</v>
          </cell>
          <cell r="F107">
            <v>28</v>
          </cell>
          <cell r="G107" t="str">
            <v>выв2611</v>
          </cell>
          <cell r="H107">
            <v>0</v>
          </cell>
          <cell r="I107" t="e">
            <v>#N/A</v>
          </cell>
          <cell r="J107">
            <v>29</v>
          </cell>
          <cell r="K107">
            <v>-1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W107">
            <v>5.6</v>
          </cell>
          <cell r="Y107">
            <v>5</v>
          </cell>
          <cell r="Z107">
            <v>5</v>
          </cell>
          <cell r="AC107">
            <v>0</v>
          </cell>
          <cell r="AD107">
            <v>8.6</v>
          </cell>
          <cell r="AE107">
            <v>0</v>
          </cell>
          <cell r="AF107">
            <v>3.4</v>
          </cell>
          <cell r="AG107">
            <v>1</v>
          </cell>
          <cell r="AH107">
            <v>1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152</v>
          </cell>
          <cell r="E108">
            <v>84</v>
          </cell>
          <cell r="F108">
            <v>68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84</v>
          </cell>
          <cell r="K108">
            <v>0</v>
          </cell>
          <cell r="L108">
            <v>0</v>
          </cell>
          <cell r="M108">
            <v>0</v>
          </cell>
          <cell r="N108">
            <v>50</v>
          </cell>
          <cell r="O108">
            <v>30</v>
          </cell>
          <cell r="W108">
            <v>16.8</v>
          </cell>
          <cell r="Y108">
            <v>8.8095238095238084</v>
          </cell>
          <cell r="Z108">
            <v>4.0476190476190474</v>
          </cell>
          <cell r="AC108">
            <v>0</v>
          </cell>
          <cell r="AD108">
            <v>0</v>
          </cell>
          <cell r="AE108">
            <v>32.6</v>
          </cell>
          <cell r="AF108">
            <v>16.8</v>
          </cell>
          <cell r="AG108">
            <v>19</v>
          </cell>
          <cell r="AH108">
            <v>18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2255.67</v>
          </cell>
          <cell r="D109">
            <v>998.98</v>
          </cell>
          <cell r="E109">
            <v>1655.3119999999999</v>
          </cell>
          <cell r="F109">
            <v>1579.316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1687.627</v>
          </cell>
          <cell r="K109">
            <v>-32.315000000000055</v>
          </cell>
          <cell r="L109">
            <v>150</v>
          </cell>
          <cell r="M109">
            <v>0</v>
          </cell>
          <cell r="N109">
            <v>400</v>
          </cell>
          <cell r="O109">
            <v>280</v>
          </cell>
          <cell r="W109">
            <v>331.06239999999997</v>
          </cell>
          <cell r="X109">
            <v>250</v>
          </cell>
          <cell r="Y109">
            <v>8.0326729945774566</v>
          </cell>
          <cell r="Z109">
            <v>4.7704481088761517</v>
          </cell>
          <cell r="AC109">
            <v>0</v>
          </cell>
          <cell r="AD109">
            <v>463.44719999999995</v>
          </cell>
          <cell r="AE109">
            <v>417.33920000000001</v>
          </cell>
          <cell r="AF109">
            <v>347</v>
          </cell>
          <cell r="AG109">
            <v>328.1148</v>
          </cell>
          <cell r="AH109">
            <v>188.483</v>
          </cell>
          <cell r="AI10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/>
          <cell r="C2" t="str">
            <v>Период отчета: 22.11.2025 - 28.11.2025</v>
          </cell>
          <cell r="D2"/>
        </row>
        <row r="3">
          <cell r="A3" t="str">
            <v>Отбор:</v>
          </cell>
          <cell r="B3"/>
          <cell r="C3" t="str">
            <v>Организация Не в группе из списка "ООО "Останкино-новый стан..."</v>
          </cell>
          <cell r="D3"/>
        </row>
        <row r="5">
          <cell r="A5" t="str">
            <v>Номенклатура</v>
          </cell>
          <cell r="B5"/>
          <cell r="C5"/>
          <cell r="D5" t="str">
            <v>кол-во</v>
          </cell>
          <cell r="E5"/>
          <cell r="F5"/>
        </row>
        <row r="6">
          <cell r="A6"/>
          <cell r="B6"/>
          <cell r="C6"/>
          <cell r="D6" t="str">
            <v>Заказано</v>
          </cell>
          <cell r="E6"/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B7"/>
          <cell r="C7"/>
          <cell r="D7"/>
          <cell r="E7"/>
          <cell r="F7">
            <v>567.90700000000004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B8"/>
          <cell r="C8"/>
          <cell r="D8">
            <v>11.1</v>
          </cell>
          <cell r="E8"/>
          <cell r="F8">
            <v>1371.9290000000001</v>
          </cell>
        </row>
        <row r="9">
          <cell r="A9" t="str">
            <v xml:space="preserve"> 017  Сосиски Вязанка Сливочные, Вязанка амицел ВЕС.ПОКОМ</v>
          </cell>
          <cell r="B9"/>
          <cell r="C9"/>
          <cell r="D9">
            <v>61.66</v>
          </cell>
          <cell r="E9"/>
          <cell r="F9">
            <v>1777.067</v>
          </cell>
        </row>
        <row r="10">
          <cell r="A10" t="str">
            <v xml:space="preserve"> 023  Колбаса Докторская ГОСТ, Вязанка вектор, 0,4 кг, ПОКОМ</v>
          </cell>
          <cell r="B10"/>
          <cell r="C10"/>
          <cell r="D10">
            <v>500</v>
          </cell>
          <cell r="E10"/>
          <cell r="F10">
            <v>2413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/>
          <cell r="C11"/>
          <cell r="D11">
            <v>816</v>
          </cell>
          <cell r="E11"/>
          <cell r="F11">
            <v>4243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/>
          <cell r="C12"/>
          <cell r="D12">
            <v>11</v>
          </cell>
          <cell r="E12"/>
          <cell r="F12">
            <v>3669</v>
          </cell>
        </row>
        <row r="13">
          <cell r="A13" t="str">
            <v xml:space="preserve"> 043  Ветчина Нежная ТМ Особый рецепт, п/а, 0,4кг    ПОКОМ</v>
          </cell>
          <cell r="B13"/>
          <cell r="C13"/>
          <cell r="D13"/>
          <cell r="E13"/>
          <cell r="F13">
            <v>74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/>
          <cell r="C14"/>
          <cell r="D14">
            <v>12</v>
          </cell>
          <cell r="E14"/>
          <cell r="F14">
            <v>322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/>
          <cell r="C15"/>
          <cell r="D15">
            <v>2</v>
          </cell>
          <cell r="E15"/>
          <cell r="F15">
            <v>328</v>
          </cell>
        </row>
        <row r="16">
          <cell r="A16" t="str">
            <v xml:space="preserve"> 083  Колбаса Швейцарская 0,17 кг., ШТ., сырокопченая   ПОКОМ</v>
          </cell>
          <cell r="B16"/>
          <cell r="C16"/>
          <cell r="D16">
            <v>3</v>
          </cell>
          <cell r="E16"/>
          <cell r="F16">
            <v>1297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/>
          <cell r="C17"/>
          <cell r="D17"/>
          <cell r="E17"/>
          <cell r="F17">
            <v>281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/>
          <cell r="C18"/>
          <cell r="D18"/>
          <cell r="E18"/>
          <cell r="F18">
            <v>99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/>
          <cell r="C19"/>
          <cell r="D19"/>
          <cell r="E19"/>
          <cell r="F19">
            <v>327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/>
          <cell r="C20"/>
          <cell r="D20"/>
          <cell r="E20"/>
          <cell r="F20">
            <v>440</v>
          </cell>
        </row>
        <row r="21">
          <cell r="A21" t="str">
            <v xml:space="preserve"> 200  Ветчина Дугушка ТМ Стародворье, вектор в/у    ПОКОМ</v>
          </cell>
          <cell r="B21"/>
          <cell r="C21"/>
          <cell r="D21">
            <v>1</v>
          </cell>
          <cell r="E21"/>
          <cell r="F21">
            <v>573.85</v>
          </cell>
        </row>
        <row r="22">
          <cell r="A22" t="str">
            <v xml:space="preserve"> 201  Ветчина Нежная ТМ Особый рецепт, (2,5кг), ПОКОМ</v>
          </cell>
          <cell r="B22"/>
          <cell r="C22"/>
          <cell r="D22">
            <v>212.5</v>
          </cell>
          <cell r="E22"/>
          <cell r="F22">
            <v>5420.0119999999997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/>
          <cell r="C23"/>
          <cell r="D23">
            <v>1</v>
          </cell>
          <cell r="E23"/>
          <cell r="F23">
            <v>360.07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/>
          <cell r="C24"/>
          <cell r="D24">
            <v>10</v>
          </cell>
          <cell r="E24"/>
          <cell r="F24">
            <v>671.572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/>
          <cell r="C25"/>
          <cell r="D25"/>
          <cell r="E25"/>
          <cell r="F25">
            <v>164.85599999999999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/>
          <cell r="C26"/>
          <cell r="D26"/>
          <cell r="E26"/>
          <cell r="F26">
            <v>318.57100000000003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/>
          <cell r="C27"/>
          <cell r="D27">
            <v>1</v>
          </cell>
          <cell r="E27"/>
          <cell r="F27">
            <v>348.90600000000001</v>
          </cell>
        </row>
        <row r="28">
          <cell r="A28" t="str">
            <v xml:space="preserve"> 247  Сардельки Нежные, ВЕС.  ПОКОМ</v>
          </cell>
          <cell r="B28"/>
          <cell r="C28"/>
          <cell r="D28"/>
          <cell r="E28"/>
          <cell r="F28">
            <v>115.60599999999999</v>
          </cell>
        </row>
        <row r="29">
          <cell r="A29" t="str">
            <v xml:space="preserve"> 248  Сардельки Сочные ТМ Особый рецепт,   ПОКОМ</v>
          </cell>
          <cell r="B29"/>
          <cell r="C29"/>
          <cell r="D29"/>
          <cell r="E29"/>
          <cell r="F29">
            <v>132.251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/>
          <cell r="C30"/>
          <cell r="D30">
            <v>18.350000000000001</v>
          </cell>
          <cell r="E30"/>
          <cell r="F30">
            <v>2056.0450000000001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/>
          <cell r="C31"/>
          <cell r="D31">
            <v>1</v>
          </cell>
          <cell r="E31"/>
          <cell r="F31">
            <v>125.55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/>
          <cell r="C32"/>
          <cell r="D32"/>
          <cell r="E32"/>
          <cell r="F32">
            <v>124.06</v>
          </cell>
        </row>
        <row r="33">
          <cell r="A33" t="str">
            <v xml:space="preserve"> 263  Шпикачки Стародворские, ВЕС.  ПОКОМ</v>
          </cell>
          <cell r="B33"/>
          <cell r="C33"/>
          <cell r="D33">
            <v>4</v>
          </cell>
          <cell r="E33"/>
          <cell r="F33">
            <v>940.71</v>
          </cell>
        </row>
        <row r="34">
          <cell r="A34" t="str">
            <v xml:space="preserve"> 265  Колбаса Балыкбургская, ВЕС, ТМ Баварушка  ПОКОМ</v>
          </cell>
          <cell r="B34"/>
          <cell r="C34"/>
          <cell r="D34"/>
          <cell r="E34"/>
          <cell r="F34">
            <v>19.899999999999999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/>
          <cell r="C35"/>
          <cell r="D35"/>
          <cell r="E35"/>
          <cell r="F35">
            <v>5.5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/>
          <cell r="C36"/>
          <cell r="D36"/>
          <cell r="E36"/>
          <cell r="F36">
            <v>18.100000000000001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/>
          <cell r="C37"/>
          <cell r="D37">
            <v>16</v>
          </cell>
          <cell r="E37"/>
          <cell r="F37">
            <v>2012</v>
          </cell>
        </row>
        <row r="38">
          <cell r="A38" t="str">
            <v xml:space="preserve"> 273  Сосиски Сочинки с сочной грудинкой, МГС 0.4кг,   ПОКОМ</v>
          </cell>
          <cell r="B38"/>
          <cell r="C38"/>
          <cell r="D38">
            <v>507</v>
          </cell>
          <cell r="E38"/>
          <cell r="F38">
            <v>3640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/>
          <cell r="C39"/>
          <cell r="D39">
            <v>1515</v>
          </cell>
          <cell r="E39"/>
          <cell r="F39">
            <v>6171</v>
          </cell>
        </row>
        <row r="40">
          <cell r="A40" t="str">
            <v xml:space="preserve"> 283  Сосиски Сочинки, ВЕС, ТМ Стародворье ПОКОМ</v>
          </cell>
          <cell r="B40"/>
          <cell r="C40"/>
          <cell r="D40"/>
          <cell r="E40"/>
          <cell r="F40">
            <v>514.83199999999999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/>
          <cell r="C41"/>
          <cell r="D41">
            <v>13</v>
          </cell>
          <cell r="E41"/>
          <cell r="F41">
            <v>845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/>
          <cell r="C42"/>
          <cell r="D42">
            <v>4</v>
          </cell>
          <cell r="E42"/>
          <cell r="F42">
            <v>942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/>
          <cell r="C43"/>
          <cell r="D43"/>
          <cell r="E43"/>
          <cell r="F43">
            <v>218.08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/>
          <cell r="C44"/>
          <cell r="D44">
            <v>3</v>
          </cell>
          <cell r="E44"/>
          <cell r="F44">
            <v>615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/>
          <cell r="C45"/>
          <cell r="D45">
            <v>3</v>
          </cell>
          <cell r="E45"/>
          <cell r="F45">
            <v>1543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/>
          <cell r="C46"/>
          <cell r="D46"/>
          <cell r="E46"/>
          <cell r="F46">
            <v>155.4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/>
          <cell r="C47"/>
          <cell r="D47">
            <v>7.1</v>
          </cell>
          <cell r="E47"/>
          <cell r="F47">
            <v>554.29999999999995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/>
          <cell r="C48"/>
          <cell r="D48">
            <v>5</v>
          </cell>
          <cell r="E48"/>
          <cell r="F48">
            <v>1278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/>
          <cell r="C49"/>
          <cell r="D49">
            <v>15</v>
          </cell>
          <cell r="E49"/>
          <cell r="F49">
            <v>2034</v>
          </cell>
        </row>
        <row r="50">
          <cell r="A50" t="str">
            <v xml:space="preserve"> 309  Сосиски Сочинки с сыром 0,4 кг ТМ Стародворье  ПОКОМ</v>
          </cell>
          <cell r="B50"/>
          <cell r="C50"/>
          <cell r="D50">
            <v>3</v>
          </cell>
          <cell r="E50"/>
          <cell r="F50">
            <v>1112</v>
          </cell>
        </row>
        <row r="51">
          <cell r="A51" t="str">
            <v xml:space="preserve"> 312  Ветчина Филейская ВЕС ТМ  Вязанка ТС Столичная  ПОКОМ</v>
          </cell>
          <cell r="B51"/>
          <cell r="C51"/>
          <cell r="D51">
            <v>10.5</v>
          </cell>
          <cell r="E51"/>
          <cell r="F51">
            <v>795.54</v>
          </cell>
        </row>
        <row r="52">
          <cell r="A52" t="str">
            <v xml:space="preserve"> 315  Колбаса вареная Молокуша ТМ Вязанка ВЕС, ПОКОМ</v>
          </cell>
          <cell r="B52"/>
          <cell r="C52"/>
          <cell r="D52"/>
          <cell r="E52"/>
          <cell r="F52">
            <v>567.61800000000005</v>
          </cell>
        </row>
        <row r="53">
          <cell r="A53" t="str">
            <v xml:space="preserve"> 316  Колбаса Нежная ТМ Зареченские ВЕС  ПОКОМ</v>
          </cell>
          <cell r="B53"/>
          <cell r="C53"/>
          <cell r="D53"/>
          <cell r="E53"/>
          <cell r="F53">
            <v>7.3</v>
          </cell>
        </row>
        <row r="54">
          <cell r="A54" t="str">
            <v xml:space="preserve"> 318  Сосиски Датские ТМ Зареченские, ВЕС  ПОКОМ</v>
          </cell>
          <cell r="B54"/>
          <cell r="C54"/>
          <cell r="D54">
            <v>33.299999999999997</v>
          </cell>
          <cell r="E54"/>
          <cell r="F54">
            <v>4932.1409999999996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/>
          <cell r="C55"/>
          <cell r="D55">
            <v>32</v>
          </cell>
          <cell r="E55"/>
          <cell r="F55">
            <v>2123</v>
          </cell>
        </row>
        <row r="56">
          <cell r="A56" t="str">
            <v xml:space="preserve"> 322  Колбаса вареная Молокуша 0,45кг ТМ Вязанка  ПОКОМ</v>
          </cell>
          <cell r="B56"/>
          <cell r="C56"/>
          <cell r="D56">
            <v>1531</v>
          </cell>
          <cell r="E56"/>
          <cell r="F56">
            <v>5621</v>
          </cell>
        </row>
        <row r="57">
          <cell r="A57" t="str">
            <v xml:space="preserve"> 324  Ветчина Филейская ТМ Вязанка Столичная 0,45 кг ПОКОМ</v>
          </cell>
          <cell r="B57"/>
          <cell r="C57"/>
          <cell r="D57">
            <v>14</v>
          </cell>
          <cell r="E57"/>
          <cell r="F57">
            <v>1471</v>
          </cell>
        </row>
        <row r="58">
          <cell r="A58" t="str">
            <v xml:space="preserve"> 328  Сардельки Сочинки Стародворье ТМ  0,4 кг ПОКОМ</v>
          </cell>
          <cell r="B58"/>
          <cell r="C58"/>
          <cell r="D58">
            <v>6</v>
          </cell>
          <cell r="E58"/>
          <cell r="F58">
            <v>313</v>
          </cell>
        </row>
        <row r="59">
          <cell r="A59" t="str">
            <v xml:space="preserve"> 329  Сардельки Сочинки с сыром Стародворье ТМ, 0,4 кг. ПОКОМ</v>
          </cell>
          <cell r="B59"/>
          <cell r="C59"/>
          <cell r="D59">
            <v>10</v>
          </cell>
          <cell r="E59"/>
          <cell r="F59">
            <v>264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/>
          <cell r="C60"/>
          <cell r="D60">
            <v>14.4</v>
          </cell>
          <cell r="E60"/>
          <cell r="F60">
            <v>878.40300000000002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/>
          <cell r="C61"/>
          <cell r="D61">
            <v>13</v>
          </cell>
          <cell r="E61"/>
          <cell r="F61">
            <v>530</v>
          </cell>
        </row>
        <row r="62">
          <cell r="A62" t="str">
            <v xml:space="preserve"> 335  Колбаса Сливушка ТМ Вязанка. ВЕС.  ПОКОМ </v>
          </cell>
          <cell r="B62"/>
          <cell r="C62"/>
          <cell r="D62"/>
          <cell r="E62"/>
          <cell r="F62">
            <v>242.17</v>
          </cell>
        </row>
        <row r="63">
          <cell r="A63" t="str">
            <v xml:space="preserve"> 342 Сосиски Сочинки Молочные ТМ Стародворье 0,4 кг ПОКОМ</v>
          </cell>
          <cell r="B63"/>
          <cell r="C63"/>
          <cell r="D63">
            <v>607</v>
          </cell>
          <cell r="E63"/>
          <cell r="F63">
            <v>3278</v>
          </cell>
        </row>
        <row r="64">
          <cell r="A64" t="str">
            <v xml:space="preserve"> 343 Сосиски Сочинки Сливочные ТМ Стародворье  0,4 кг</v>
          </cell>
          <cell r="B64"/>
          <cell r="C64"/>
          <cell r="D64">
            <v>1</v>
          </cell>
          <cell r="E64"/>
          <cell r="F64">
            <v>2245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/>
          <cell r="C65"/>
          <cell r="D65">
            <v>0.9</v>
          </cell>
          <cell r="E65"/>
          <cell r="F65">
            <v>483.94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/>
          <cell r="C66"/>
          <cell r="D66"/>
          <cell r="E66"/>
          <cell r="F66">
            <v>235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/>
          <cell r="C67"/>
          <cell r="D67">
            <v>15.4</v>
          </cell>
          <cell r="E67"/>
          <cell r="F67">
            <v>1726.33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/>
          <cell r="C68"/>
          <cell r="D68"/>
          <cell r="E68"/>
          <cell r="F68">
            <v>272.89999999999998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/>
          <cell r="C69"/>
          <cell r="D69">
            <v>2</v>
          </cell>
          <cell r="E69"/>
          <cell r="F69">
            <v>103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/>
          <cell r="C70"/>
          <cell r="D70">
            <v>2</v>
          </cell>
          <cell r="E70"/>
          <cell r="F70">
            <v>311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/>
          <cell r="C71"/>
          <cell r="D71">
            <v>2</v>
          </cell>
          <cell r="E71"/>
          <cell r="F71">
            <v>436</v>
          </cell>
        </row>
        <row r="72">
          <cell r="A72" t="str">
            <v xml:space="preserve"> 364  Сардельки Филейские Вязанка ВЕС NDX ТМ Вязанка  ПОКОМ</v>
          </cell>
          <cell r="B72"/>
          <cell r="C72"/>
          <cell r="D72"/>
          <cell r="E72"/>
          <cell r="F72">
            <v>162.102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/>
          <cell r="C73"/>
          <cell r="D73">
            <v>1</v>
          </cell>
          <cell r="E73"/>
          <cell r="F73">
            <v>697</v>
          </cell>
        </row>
        <row r="74">
          <cell r="A74" t="str">
            <v xml:space="preserve"> 377  Колбаса Молочная Дугушка 0,6кг ТМ Стародворье  ПОКОМ</v>
          </cell>
          <cell r="B74"/>
          <cell r="C74"/>
          <cell r="D74">
            <v>2</v>
          </cell>
          <cell r="E74"/>
          <cell r="F74">
            <v>971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/>
          <cell r="C75"/>
          <cell r="D75">
            <v>19</v>
          </cell>
          <cell r="E75"/>
          <cell r="F75">
            <v>632</v>
          </cell>
        </row>
        <row r="76">
          <cell r="A76" t="str">
            <v xml:space="preserve"> 388  Сосиски Восточные Халяль ТМ Вязанка 0,33 кг АК. ПОКОМ</v>
          </cell>
          <cell r="B76"/>
          <cell r="C76"/>
          <cell r="D76">
            <v>6</v>
          </cell>
          <cell r="E76"/>
          <cell r="F76">
            <v>727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/>
          <cell r="C77"/>
          <cell r="D77">
            <v>10</v>
          </cell>
          <cell r="E77"/>
          <cell r="F77">
            <v>584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/>
          <cell r="C78"/>
          <cell r="D78">
            <v>3</v>
          </cell>
          <cell r="E78"/>
          <cell r="F78">
            <v>345</v>
          </cell>
        </row>
        <row r="79">
          <cell r="A79" t="str">
            <v xml:space="preserve"> 410  Сосиски Баварские с сыром ТМ Стародворье 0,35 кг. ПОКОМ</v>
          </cell>
          <cell r="B79"/>
          <cell r="C79"/>
          <cell r="D79">
            <v>8</v>
          </cell>
          <cell r="E79"/>
          <cell r="F79">
            <v>3955</v>
          </cell>
        </row>
        <row r="80">
          <cell r="A80" t="str">
            <v xml:space="preserve"> 412  Сосиски Баварские ТМ Стародворье 0,35 кг ПОКОМ</v>
          </cell>
          <cell r="B80"/>
          <cell r="C80"/>
          <cell r="D80">
            <v>32</v>
          </cell>
          <cell r="E80"/>
          <cell r="F80">
            <v>12291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/>
          <cell r="C81"/>
          <cell r="D81">
            <v>2</v>
          </cell>
          <cell r="E81"/>
          <cell r="F81">
            <v>456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/>
          <cell r="C82"/>
          <cell r="D82"/>
          <cell r="E82"/>
          <cell r="F82">
            <v>257.61099999999999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/>
          <cell r="C83"/>
          <cell r="D83"/>
          <cell r="E83"/>
          <cell r="F83">
            <v>333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/>
          <cell r="C84"/>
          <cell r="D84"/>
          <cell r="E84"/>
          <cell r="F84">
            <v>81.650000000000006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/>
          <cell r="C85"/>
          <cell r="D85">
            <v>11</v>
          </cell>
          <cell r="E85"/>
          <cell r="F85">
            <v>564</v>
          </cell>
        </row>
        <row r="86">
          <cell r="A86" t="str">
            <v xml:space="preserve"> 448  Сосиски Сливушки по-венски ТМ Вязанка. 0,3 кг ПОКОМ</v>
          </cell>
          <cell r="B86"/>
          <cell r="C86"/>
          <cell r="D86"/>
          <cell r="E86"/>
          <cell r="F86">
            <v>324</v>
          </cell>
        </row>
        <row r="87">
          <cell r="A87" t="str">
            <v xml:space="preserve"> 449  Колбаса Дугушка Стародворская ВЕС ТС Дугушка ПОКОМ</v>
          </cell>
          <cell r="B87"/>
          <cell r="C87"/>
          <cell r="D87">
            <v>0.8</v>
          </cell>
          <cell r="E87"/>
          <cell r="F87">
            <v>425.04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/>
          <cell r="C88"/>
          <cell r="D88">
            <v>22.5</v>
          </cell>
          <cell r="E88"/>
          <cell r="F88">
            <v>4040.1239999999998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/>
          <cell r="C89"/>
          <cell r="D89">
            <v>50</v>
          </cell>
          <cell r="E89"/>
          <cell r="F89">
            <v>6595.0240000000003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/>
          <cell r="C90"/>
          <cell r="D90">
            <v>32.5</v>
          </cell>
          <cell r="E90"/>
          <cell r="F90">
            <v>6054.7610000000004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/>
          <cell r="C91"/>
          <cell r="D91">
            <v>0.8</v>
          </cell>
          <cell r="E91"/>
          <cell r="F91">
            <v>166.4</v>
          </cell>
        </row>
        <row r="92">
          <cell r="A92" t="str">
            <v xml:space="preserve"> 467  Колбаса Филейная 0,5кг ТМ Особый рецепт  ПОКОМ</v>
          </cell>
          <cell r="B92"/>
          <cell r="C92"/>
          <cell r="D92">
            <v>1</v>
          </cell>
          <cell r="E92"/>
          <cell r="F92">
            <v>213</v>
          </cell>
        </row>
        <row r="93">
          <cell r="A93" t="str">
            <v xml:space="preserve"> 478  Сардельки Зареченские ВЕС ТМ Зареченские  ПОКОМ</v>
          </cell>
          <cell r="B93"/>
          <cell r="C93"/>
          <cell r="D93"/>
          <cell r="E93"/>
          <cell r="F93">
            <v>11</v>
          </cell>
        </row>
        <row r="94">
          <cell r="A94" t="str">
            <v xml:space="preserve"> 493  Колбаса Салями Филейская ТМ Вязанка ВЕС  ПОКОМ</v>
          </cell>
          <cell r="B94"/>
          <cell r="C94"/>
          <cell r="D94"/>
          <cell r="E94"/>
          <cell r="F94">
            <v>4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/>
          <cell r="C95"/>
          <cell r="D95">
            <v>12</v>
          </cell>
          <cell r="E95"/>
          <cell r="F95">
            <v>1297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/>
          <cell r="C96"/>
          <cell r="D96">
            <v>3</v>
          </cell>
          <cell r="E96"/>
          <cell r="F96">
            <v>756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/>
          <cell r="C97"/>
          <cell r="D97">
            <v>305</v>
          </cell>
          <cell r="E97"/>
          <cell r="F97">
            <v>1484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/>
          <cell r="C98"/>
          <cell r="D98">
            <v>2</v>
          </cell>
          <cell r="E98"/>
          <cell r="F98">
            <v>762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/>
          <cell r="C99"/>
          <cell r="D99">
            <v>120</v>
          </cell>
          <cell r="E99"/>
          <cell r="F99">
            <v>120</v>
          </cell>
        </row>
        <row r="100">
          <cell r="A100" t="str">
            <v xml:space="preserve"> 519  Грудинка 0,12 кг нарезка ТМ Стародворье  ПОКОМ</v>
          </cell>
          <cell r="B100"/>
          <cell r="C100"/>
          <cell r="D100">
            <v>2</v>
          </cell>
          <cell r="E100"/>
          <cell r="F100">
            <v>163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/>
          <cell r="C101"/>
          <cell r="D101">
            <v>13</v>
          </cell>
          <cell r="E101"/>
          <cell r="F101">
            <v>395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/>
          <cell r="C102"/>
          <cell r="D102">
            <v>2</v>
          </cell>
          <cell r="E102"/>
          <cell r="F102">
            <v>247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/>
          <cell r="C103"/>
          <cell r="D103">
            <v>3</v>
          </cell>
          <cell r="E103"/>
          <cell r="F103">
            <v>483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/>
          <cell r="C104"/>
          <cell r="D104">
            <v>2</v>
          </cell>
          <cell r="E104"/>
          <cell r="F104">
            <v>567</v>
          </cell>
        </row>
        <row r="105">
          <cell r="A105" t="str">
            <v xml:space="preserve"> 525  Колбаса Фуэт нарезка 0,07кг ТМ Стародворье  ПОКОМ</v>
          </cell>
          <cell r="B105"/>
          <cell r="C105"/>
          <cell r="D105">
            <v>1</v>
          </cell>
          <cell r="E105"/>
          <cell r="F105">
            <v>275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/>
          <cell r="C106"/>
          <cell r="D106">
            <v>1</v>
          </cell>
          <cell r="E106"/>
          <cell r="F106">
            <v>198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/>
          <cell r="C107"/>
          <cell r="D107"/>
          <cell r="E107"/>
          <cell r="F107">
            <v>31</v>
          </cell>
        </row>
        <row r="108">
          <cell r="A108" t="str">
            <v xml:space="preserve"> 546  Колбаса Чесночная 0,4 кг срез ТМ Стародворье  ПОКОМ</v>
          </cell>
          <cell r="B108"/>
          <cell r="C108"/>
          <cell r="D108"/>
          <cell r="E108"/>
          <cell r="F108">
            <v>74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/>
          <cell r="C109"/>
          <cell r="D109">
            <v>17.5</v>
          </cell>
          <cell r="E109"/>
          <cell r="F109">
            <v>1677.6189999999999</v>
          </cell>
        </row>
        <row r="110">
          <cell r="A110" t="str">
            <v>0447 Сыр Голландский 45% Нарезка 125г ТМ Папа может ОСТАНКИНО</v>
          </cell>
          <cell r="B110"/>
          <cell r="C110"/>
          <cell r="D110">
            <v>30</v>
          </cell>
          <cell r="E110"/>
          <cell r="F110">
            <v>31</v>
          </cell>
        </row>
        <row r="111">
          <cell r="A111" t="str">
            <v>0454 Сыр Российский Особый 50%, Нарезка 125г тф ТМ Папа Может  ОСТАНКИНО</v>
          </cell>
          <cell r="B111"/>
          <cell r="C111"/>
          <cell r="D111">
            <v>42</v>
          </cell>
          <cell r="E111"/>
          <cell r="F111">
            <v>43</v>
          </cell>
        </row>
        <row r="112">
          <cell r="A112" t="str">
            <v>1244 Сыр Останкино "Алтайский Gold" 50% вес  ОСТАНКИНО</v>
          </cell>
          <cell r="B112"/>
          <cell r="C112"/>
          <cell r="D112">
            <v>1.2</v>
          </cell>
          <cell r="E112"/>
          <cell r="F112">
            <v>1.2</v>
          </cell>
        </row>
        <row r="113">
          <cell r="A113" t="str">
            <v>1577 Спред растительно-сливочный "Сливочный вкус" 82,5% 180гр  ОСТАНКИНО</v>
          </cell>
          <cell r="B113"/>
          <cell r="C113"/>
          <cell r="D113">
            <v>47</v>
          </cell>
          <cell r="E113"/>
          <cell r="F113">
            <v>47</v>
          </cell>
        </row>
        <row r="114">
          <cell r="A114" t="str">
            <v>1584 Спред растительно-сливочный "Сливочный вкус" 72,5% 180гр  ОСТАНКИНО</v>
          </cell>
          <cell r="B114"/>
          <cell r="C114"/>
          <cell r="D114">
            <v>41</v>
          </cell>
          <cell r="E114"/>
          <cell r="F114">
            <v>41</v>
          </cell>
        </row>
        <row r="115">
          <cell r="A115" t="str">
            <v>2704 Сливочный со вкусом топл. молока 45% тм Папа Может. брус (2шт)  ОСТАНКИНО</v>
          </cell>
          <cell r="B115"/>
          <cell r="C115"/>
          <cell r="D115">
            <v>9.6</v>
          </cell>
          <cell r="E115"/>
          <cell r="F115">
            <v>9.6</v>
          </cell>
        </row>
        <row r="116">
          <cell r="A116" t="str">
            <v>3215 ВЕТЧ.МЯСНАЯ Папа может п/о 0.4кг 8шт.    ОСТАНКИНО</v>
          </cell>
          <cell r="B116"/>
          <cell r="C116"/>
          <cell r="D116">
            <v>606</v>
          </cell>
          <cell r="E116"/>
          <cell r="F116">
            <v>606</v>
          </cell>
        </row>
        <row r="117">
          <cell r="A117" t="str">
            <v>3684 ПРЕСИЖН с/к в/у 1/250 8шт.   ОСТАНКИНО</v>
          </cell>
          <cell r="B117"/>
          <cell r="C117"/>
          <cell r="D117">
            <v>53</v>
          </cell>
          <cell r="E117"/>
          <cell r="F117">
            <v>53</v>
          </cell>
        </row>
        <row r="118">
          <cell r="A118" t="str">
            <v>3828 Сыч/Прод Коровино Тильзитер Оригин 50% ВЕС (5 кг брус) СЗМЖ  ОСТАНКИНО</v>
          </cell>
          <cell r="B118"/>
          <cell r="C118"/>
          <cell r="D118">
            <v>43.6</v>
          </cell>
          <cell r="E118"/>
          <cell r="F118">
            <v>43.6</v>
          </cell>
        </row>
        <row r="119">
          <cell r="A119" t="str">
            <v>3986 Ароматная с/к в/у 1/250 ОСТАНКИНО</v>
          </cell>
          <cell r="B119"/>
          <cell r="C119"/>
          <cell r="D119">
            <v>512</v>
          </cell>
          <cell r="E119"/>
          <cell r="F119">
            <v>512</v>
          </cell>
        </row>
        <row r="120">
          <cell r="A120" t="str">
            <v>4063 МЯСНАЯ Папа может вар п/о_Л   ОСТАНКИНО</v>
          </cell>
          <cell r="B120"/>
          <cell r="C120"/>
          <cell r="D120">
            <v>1114.0999999999999</v>
          </cell>
          <cell r="E120"/>
          <cell r="F120">
            <v>1114.0999999999999</v>
          </cell>
        </row>
        <row r="121">
          <cell r="A121" t="str">
            <v>4117 ЭКСТРА Папа может с/к в/у_Л   ОСТАНКИНО</v>
          </cell>
          <cell r="B121"/>
          <cell r="C121"/>
          <cell r="D121">
            <v>32.200000000000003</v>
          </cell>
          <cell r="E121"/>
          <cell r="F121">
            <v>32.200000000000003</v>
          </cell>
        </row>
        <row r="122">
          <cell r="A122" t="str">
            <v>4163 Сыр Боккончини копченый 40% 100 гр.  ОСТАНКИНО</v>
          </cell>
          <cell r="B122"/>
          <cell r="C122"/>
          <cell r="D122">
            <v>156</v>
          </cell>
          <cell r="E122"/>
          <cell r="F122">
            <v>157</v>
          </cell>
        </row>
        <row r="123">
          <cell r="A123" t="str">
            <v>4170 Сыр Скаморца свежий 40% 100 гр.  ОСТАНКИНО</v>
          </cell>
          <cell r="B123"/>
          <cell r="C123"/>
          <cell r="D123">
            <v>36</v>
          </cell>
          <cell r="E123"/>
          <cell r="F123">
            <v>36</v>
          </cell>
        </row>
        <row r="124">
          <cell r="A124" t="str">
            <v>4187 Сыр Чечил свежий 45% 100г/6шт ТМ Папа Может  ОСТАНКИНО</v>
          </cell>
          <cell r="B124"/>
          <cell r="C124"/>
          <cell r="D124">
            <v>264</v>
          </cell>
          <cell r="E124"/>
          <cell r="F124">
            <v>265</v>
          </cell>
        </row>
        <row r="125">
          <cell r="A125" t="str">
            <v>4194 Сыр Чечил копченый 43% 100г/6шт ТМ Папа Может  ОСТАНКИНО</v>
          </cell>
          <cell r="B125"/>
          <cell r="C125"/>
          <cell r="D125">
            <v>167</v>
          </cell>
          <cell r="E125"/>
          <cell r="F125">
            <v>168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B126"/>
          <cell r="C126"/>
          <cell r="D126">
            <v>56.6</v>
          </cell>
          <cell r="E126"/>
          <cell r="F126">
            <v>56.6</v>
          </cell>
        </row>
        <row r="127">
          <cell r="A127" t="str">
            <v>4574 Мясная со шпиком Папа может вар п/о ОСТАНКИНО</v>
          </cell>
          <cell r="B127"/>
          <cell r="C127"/>
          <cell r="D127">
            <v>2.7</v>
          </cell>
          <cell r="E127"/>
          <cell r="F127">
            <v>2.7</v>
          </cell>
        </row>
        <row r="128">
          <cell r="A128" t="str">
            <v>4813 ФИЛЕЙНАЯ Папа может вар п/о_Л   ОСТАНКИНО</v>
          </cell>
          <cell r="B128"/>
          <cell r="C128"/>
          <cell r="D128">
            <v>449.2</v>
          </cell>
          <cell r="E128"/>
          <cell r="F128">
            <v>449.2</v>
          </cell>
        </row>
        <row r="129">
          <cell r="A129" t="str">
            <v>4819 Сыр "Пармезан" 40% кусок 180 гр  ОСТАНКИНО</v>
          </cell>
          <cell r="B129"/>
          <cell r="C129"/>
          <cell r="D129">
            <v>92</v>
          </cell>
          <cell r="E129"/>
          <cell r="F129">
            <v>92</v>
          </cell>
        </row>
        <row r="130">
          <cell r="A130" t="str">
            <v>4903 Сыр Перлини 40% 100гр (8шт)  ОСТАНКИНО</v>
          </cell>
          <cell r="B130"/>
          <cell r="C130"/>
          <cell r="D130">
            <v>90</v>
          </cell>
          <cell r="E130"/>
          <cell r="F130">
            <v>91</v>
          </cell>
        </row>
        <row r="131">
          <cell r="A131" t="str">
            <v>4910 Сыр Перлини копченый 40% 100гр (8шт)  ОСТАНКИНО</v>
          </cell>
          <cell r="B131"/>
          <cell r="C131"/>
          <cell r="D131">
            <v>54</v>
          </cell>
          <cell r="E131"/>
          <cell r="F131">
            <v>54</v>
          </cell>
        </row>
        <row r="132">
          <cell r="A132" t="str">
            <v>4927 Сыр Перлини со вкусом Васаби 40% 100гр (8шт)  ОСТАНКИНО</v>
          </cell>
          <cell r="B132"/>
          <cell r="C132"/>
          <cell r="D132">
            <v>51</v>
          </cell>
          <cell r="E132"/>
          <cell r="F132">
            <v>52</v>
          </cell>
        </row>
        <row r="133">
          <cell r="A133" t="str">
            <v>4993 САЛЯМИ ИТАЛЬЯНСКАЯ с/к в/у 1/250*8_120c ОСТАНКИНО</v>
          </cell>
          <cell r="B133"/>
          <cell r="C133"/>
          <cell r="D133">
            <v>291</v>
          </cell>
          <cell r="E133"/>
          <cell r="F133">
            <v>291</v>
          </cell>
        </row>
        <row r="134">
          <cell r="A134" t="str">
            <v>5198 Сыр Папа Может "Сметанковый" 50% вес (=3кг)  ОСТАНКИНО</v>
          </cell>
          <cell r="B134"/>
          <cell r="C134"/>
          <cell r="D134">
            <v>12.1</v>
          </cell>
          <cell r="E134"/>
          <cell r="F134">
            <v>12.1</v>
          </cell>
        </row>
        <row r="135">
          <cell r="A135" t="str">
            <v>5204 Сыр полутвердый "Российский", ВЕС брус, с массовой долей жира 50%  ОСТАНКИНО</v>
          </cell>
          <cell r="B135"/>
          <cell r="C135"/>
          <cell r="D135">
            <v>101.1</v>
          </cell>
          <cell r="E135"/>
          <cell r="F135">
            <v>101.1</v>
          </cell>
        </row>
        <row r="136">
          <cell r="A136" t="str">
            <v>5235 Сыр полутвердый "Голландский" 45%, брус ВЕС  ОСТАНКИНО</v>
          </cell>
          <cell r="B136"/>
          <cell r="C136"/>
          <cell r="D136">
            <v>34.9</v>
          </cell>
          <cell r="E136"/>
          <cell r="F136">
            <v>34.9</v>
          </cell>
        </row>
        <row r="137">
          <cell r="A137" t="str">
            <v>5242 Сыр полутвердый "Гауда", 45%, ВЕС брус из блока 1/5  ОСТАНКИНО</v>
          </cell>
          <cell r="B137"/>
          <cell r="C137"/>
          <cell r="D137">
            <v>24.3</v>
          </cell>
          <cell r="E137"/>
          <cell r="F137">
            <v>27.553999999999998</v>
          </cell>
        </row>
        <row r="138">
          <cell r="A138" t="str">
            <v>5246 ДОКТОРСКАЯ ПРЕМИУМ вар б/о мгс_30с ОСТАНКИНО</v>
          </cell>
          <cell r="B138"/>
          <cell r="C138"/>
          <cell r="D138">
            <v>47.9</v>
          </cell>
          <cell r="E138"/>
          <cell r="F138">
            <v>47.9</v>
          </cell>
        </row>
        <row r="139">
          <cell r="A139" t="str">
            <v>5247 РУССКАЯ ПРЕМИУМ вар б/о мгс_30с ОСТАНКИНО</v>
          </cell>
          <cell r="B139"/>
          <cell r="C139"/>
          <cell r="D139">
            <v>51.6</v>
          </cell>
          <cell r="E139"/>
          <cell r="F139">
            <v>51.6</v>
          </cell>
        </row>
        <row r="140">
          <cell r="A140" t="str">
            <v>5483 ЭКСТРА Папа может с/к в/у 1/250 8шт.   ОСТАНКИНО</v>
          </cell>
          <cell r="B140"/>
          <cell r="C140"/>
          <cell r="D140">
            <v>662</v>
          </cell>
          <cell r="E140"/>
          <cell r="F140">
            <v>662</v>
          </cell>
        </row>
        <row r="141">
          <cell r="A141" t="str">
            <v>5544 Сервелат Финский в/к в/у_45с НОВАЯ ОСТАНКИНО</v>
          </cell>
          <cell r="B141"/>
          <cell r="C141"/>
          <cell r="D141">
            <v>797.26</v>
          </cell>
          <cell r="E141"/>
          <cell r="F141">
            <v>797.26</v>
          </cell>
        </row>
        <row r="142">
          <cell r="A142" t="str">
            <v>5579 БЛИНЧ.КРУГЛЫЕ С САД.ЯБЛОК.1/420 зам_ПОСТ  ОСТАНКИНО</v>
          </cell>
          <cell r="B142"/>
          <cell r="C142"/>
          <cell r="D142">
            <v>7</v>
          </cell>
          <cell r="E142"/>
          <cell r="F142">
            <v>7</v>
          </cell>
        </row>
        <row r="143">
          <cell r="A143" t="str">
            <v>5679 САЛЯМИ ИТАЛЬЯНСКАЯ с/к в/у 1/150_60с ОСТАНКИНО</v>
          </cell>
          <cell r="B143"/>
          <cell r="C143"/>
          <cell r="D143">
            <v>258</v>
          </cell>
          <cell r="E143"/>
          <cell r="F143">
            <v>258</v>
          </cell>
        </row>
        <row r="144">
          <cell r="A144" t="str">
            <v>5682 САЛЯМИ МЕЛКОЗЕРНЕНАЯ с/к в/у 1/120_60с   ОСТАНКИНО</v>
          </cell>
          <cell r="B144"/>
          <cell r="C144"/>
          <cell r="D144">
            <v>1777</v>
          </cell>
          <cell r="E144"/>
          <cell r="F144">
            <v>1777</v>
          </cell>
        </row>
        <row r="145">
          <cell r="A145" t="str">
            <v>5708 ПОСОЛЬСКАЯ Папа может с/к в/у ОСТАНКИНО</v>
          </cell>
          <cell r="B145"/>
          <cell r="C145"/>
          <cell r="D145">
            <v>35.1</v>
          </cell>
          <cell r="E145"/>
          <cell r="F145">
            <v>35.1</v>
          </cell>
        </row>
        <row r="146">
          <cell r="A146" t="str">
            <v>5851 ЭКСТРА Папа может вар п/о   ОСТАНКИНО</v>
          </cell>
          <cell r="B146"/>
          <cell r="C146"/>
          <cell r="D146">
            <v>202.9</v>
          </cell>
          <cell r="E146"/>
          <cell r="F146">
            <v>202.9</v>
          </cell>
        </row>
        <row r="147">
          <cell r="A147" t="str">
            <v>5931 ОХОТНИЧЬЯ Папа может с/к в/у 1/220 8шт.   ОСТАНКИНО</v>
          </cell>
          <cell r="B147"/>
          <cell r="C147"/>
          <cell r="D147">
            <v>1035</v>
          </cell>
          <cell r="E147"/>
          <cell r="F147">
            <v>1035</v>
          </cell>
        </row>
        <row r="148">
          <cell r="A148" t="str">
            <v>5949 Сырный продукт Моцарелла 45% (батоны) 1,0кг ТМ "КОРОВИНО"  ОСТАНКИНО</v>
          </cell>
          <cell r="B148"/>
          <cell r="C148"/>
          <cell r="D148">
            <v>14</v>
          </cell>
          <cell r="E148"/>
          <cell r="F148">
            <v>14</v>
          </cell>
        </row>
        <row r="149">
          <cell r="A149" t="str">
            <v>5992 ВРЕМЯ ОКРОШКИ Папа может вар п/о 0.4кг   ОСТАНКИНО</v>
          </cell>
          <cell r="B149"/>
          <cell r="C149"/>
          <cell r="D149">
            <v>1</v>
          </cell>
          <cell r="E149"/>
          <cell r="F149">
            <v>1</v>
          </cell>
        </row>
        <row r="150">
          <cell r="A150" t="str">
            <v>6004 РАГУ СВИНОЕ 1кг 8шт.зам_120с ОСТАНКИНО</v>
          </cell>
          <cell r="B150"/>
          <cell r="C150"/>
          <cell r="D150">
            <v>156</v>
          </cell>
          <cell r="E150"/>
          <cell r="F150">
            <v>156</v>
          </cell>
        </row>
        <row r="151">
          <cell r="A151" t="str">
            <v>6148 БЛИНЧ.КРУГЛЫЕ С ВЕТЧ.И СЫР.ПМ 1/300 зам.  ОСТАНКИНО</v>
          </cell>
          <cell r="B151"/>
          <cell r="C151"/>
          <cell r="D151">
            <v>30</v>
          </cell>
          <cell r="E151"/>
          <cell r="F151">
            <v>30</v>
          </cell>
        </row>
        <row r="152">
          <cell r="A152" t="str">
            <v>6168 БЛИНЧ.С МЯСОМ пл.1/350 зам  ОСТАНКИНО</v>
          </cell>
          <cell r="B152"/>
          <cell r="C152"/>
          <cell r="D152">
            <v>31</v>
          </cell>
          <cell r="E152"/>
          <cell r="F152">
            <v>32</v>
          </cell>
        </row>
        <row r="153">
          <cell r="A153" t="str">
            <v>6202 БЛИНЧ.КРУГЛЫЕ С ТВОРОГОМ ПМ 1/300 зам.  ОСТАНКИНО</v>
          </cell>
          <cell r="B153"/>
          <cell r="C153"/>
          <cell r="D153">
            <v>27</v>
          </cell>
          <cell r="E153"/>
          <cell r="F153">
            <v>27</v>
          </cell>
        </row>
        <row r="154">
          <cell r="A154" t="str">
            <v>6209 БЛИНЧ.С КУРИНЫМ МЯСОМ пл.1/350 зам.  ОСТАНКИНО</v>
          </cell>
          <cell r="B154"/>
          <cell r="C154"/>
          <cell r="D154">
            <v>36</v>
          </cell>
          <cell r="E154"/>
          <cell r="F154">
            <v>37</v>
          </cell>
        </row>
        <row r="155">
          <cell r="A155" t="str">
            <v>6220 ГОВЯЖЬЯ Папа может вар п/о  ОСТАНКИНО</v>
          </cell>
          <cell r="B155"/>
          <cell r="C155"/>
          <cell r="D155">
            <v>19.8</v>
          </cell>
          <cell r="E155"/>
          <cell r="F155">
            <v>19.8</v>
          </cell>
        </row>
        <row r="156">
          <cell r="A156" t="str">
            <v>6221 НЕАПОЛИТАНСКИЙ ДУЭТ с/к с/н мгс 1/90  ОСТАНКИНО</v>
          </cell>
          <cell r="B156"/>
          <cell r="C156"/>
          <cell r="D156">
            <v>521</v>
          </cell>
          <cell r="E156"/>
          <cell r="F156">
            <v>521</v>
          </cell>
        </row>
        <row r="157">
          <cell r="A157" t="str">
            <v>6228 МЯСНОЕ АССОРТИ к/з с/н мгс 1/90 10шт.  ОСТАНКИНО</v>
          </cell>
          <cell r="B157"/>
          <cell r="C157"/>
          <cell r="D157">
            <v>401</v>
          </cell>
          <cell r="E157"/>
          <cell r="F157">
            <v>401</v>
          </cell>
        </row>
        <row r="158">
          <cell r="A158" t="str">
            <v>6247 ДОМАШНЯЯ Папа может вар п/о 0,4кг 8шт.  ОСТАНКИНО</v>
          </cell>
          <cell r="B158"/>
          <cell r="C158"/>
          <cell r="D158">
            <v>139</v>
          </cell>
          <cell r="E158"/>
          <cell r="F158">
            <v>139</v>
          </cell>
        </row>
        <row r="159">
          <cell r="A159" t="str">
            <v>6268 ГОВЯЖЬЯ Папа может вар п/о 0,4кг 8 шт.  ОСТАНКИНО</v>
          </cell>
          <cell r="B159"/>
          <cell r="C159"/>
          <cell r="D159">
            <v>637</v>
          </cell>
          <cell r="E159"/>
          <cell r="F159">
            <v>637</v>
          </cell>
        </row>
        <row r="160">
          <cell r="A160" t="str">
            <v>6279 КОРЕЙКА ПО-ОСТ.к/в в/с с/н в/у 1/150_45с  ОСТАНКИНО</v>
          </cell>
          <cell r="B160"/>
          <cell r="C160"/>
          <cell r="D160">
            <v>472</v>
          </cell>
          <cell r="E160"/>
          <cell r="F160">
            <v>472</v>
          </cell>
        </row>
        <row r="161">
          <cell r="A161" t="str">
            <v>6303 МЯСНЫЕ Папа может сос п/о мгс 1.5*3  ОСТАНКИНО</v>
          </cell>
          <cell r="B161"/>
          <cell r="C161"/>
          <cell r="D161">
            <v>421.7</v>
          </cell>
          <cell r="E161"/>
          <cell r="F161">
            <v>421.7</v>
          </cell>
        </row>
        <row r="162">
          <cell r="A162" t="str">
            <v>6324 ДОКТОРСКАЯ ГОСТ вар п/о 0.4кг 8шт.  ОСТАНКИНО</v>
          </cell>
          <cell r="B162"/>
          <cell r="C162"/>
          <cell r="D162">
            <v>61</v>
          </cell>
          <cell r="E162"/>
          <cell r="F162">
            <v>61</v>
          </cell>
        </row>
        <row r="163">
          <cell r="A163" t="str">
            <v>6325 ДОКТОРСКАЯ ПРЕМИУМ вар п/о 0.4кг 8шт.  ОСТАНКИНО</v>
          </cell>
          <cell r="B163"/>
          <cell r="C163"/>
          <cell r="D163">
            <v>1478</v>
          </cell>
          <cell r="E163"/>
          <cell r="F163">
            <v>1478</v>
          </cell>
        </row>
        <row r="164">
          <cell r="A164" t="str">
            <v>6333 МЯСНАЯ Папа может вар п/о 0.4кг 8шт.  ОСТАНКИНО</v>
          </cell>
          <cell r="B164"/>
          <cell r="C164"/>
          <cell r="D164">
            <v>3559</v>
          </cell>
          <cell r="E164"/>
          <cell r="F164">
            <v>3559</v>
          </cell>
        </row>
        <row r="165">
          <cell r="A165" t="str">
            <v>6340 ДОМАШНИЙ РЕЦЕПТ Коровино 0.5кг 8шт.  ОСТАНКИНО</v>
          </cell>
          <cell r="B165"/>
          <cell r="C165"/>
          <cell r="D165">
            <v>297</v>
          </cell>
          <cell r="E165"/>
          <cell r="F165">
            <v>297</v>
          </cell>
        </row>
        <row r="166">
          <cell r="A166" t="str">
            <v>6353 ЭКСТРА Папа может вар п/о 0.4кг 8шт.  ОСТАНКИНО</v>
          </cell>
          <cell r="B166"/>
          <cell r="C166"/>
          <cell r="D166">
            <v>1288</v>
          </cell>
          <cell r="E166"/>
          <cell r="F166">
            <v>1288</v>
          </cell>
        </row>
        <row r="167">
          <cell r="A167" t="str">
            <v>6392 ФИЛЕЙНАЯ Папа может вар п/о 0.4кг. ОСТАНКИНО</v>
          </cell>
          <cell r="B167"/>
          <cell r="C167"/>
          <cell r="D167">
            <v>3132</v>
          </cell>
          <cell r="E167"/>
          <cell r="F167">
            <v>3133</v>
          </cell>
        </row>
        <row r="168">
          <cell r="A168" t="str">
            <v>6448 СВИНИНА МАДЕРА с/к с/н в/у 1/100 10шт.   ОСТАНКИНО</v>
          </cell>
          <cell r="B168"/>
          <cell r="C168"/>
          <cell r="D168">
            <v>90</v>
          </cell>
          <cell r="E168"/>
          <cell r="F168">
            <v>90</v>
          </cell>
        </row>
        <row r="169">
          <cell r="A169" t="str">
            <v>6453 ЭКСТРА Папа может с/к с/н в/у 1/100 14шт.   ОСТАНКИНО</v>
          </cell>
          <cell r="B169"/>
          <cell r="C169"/>
          <cell r="D169">
            <v>1599</v>
          </cell>
          <cell r="E169"/>
          <cell r="F169">
            <v>1599</v>
          </cell>
        </row>
        <row r="170">
          <cell r="A170" t="str">
            <v>6454 АРОМАТНАЯ с/к с/н в/у 1/100 10шт.  ОСТАНКИНО</v>
          </cell>
          <cell r="B170"/>
          <cell r="C170"/>
          <cell r="D170">
            <v>1462</v>
          </cell>
          <cell r="E170"/>
          <cell r="F170">
            <v>1462</v>
          </cell>
        </row>
        <row r="171">
          <cell r="A171" t="str">
            <v>6459 СЕРВЕЛАТ ШВЕЙЦАРСК. в/к с/н в/у 1/100*10  ОСТАНКИНО</v>
          </cell>
          <cell r="B171"/>
          <cell r="C171"/>
          <cell r="D171">
            <v>981</v>
          </cell>
          <cell r="E171"/>
          <cell r="F171">
            <v>981</v>
          </cell>
        </row>
        <row r="172">
          <cell r="A172" t="str">
            <v>6470 ВЕТЧ.МРАМОРНАЯ в/у_45с  ОСТАНКИНО</v>
          </cell>
          <cell r="B172"/>
          <cell r="C172"/>
          <cell r="D172">
            <v>21.9</v>
          </cell>
          <cell r="E172"/>
          <cell r="F172">
            <v>21.9</v>
          </cell>
        </row>
        <row r="173">
          <cell r="A173" t="str">
            <v>6495 ВЕТЧ.МРАМОРНАЯ в/у срез 0.3кг 6шт_45с  ОСТАНКИНО</v>
          </cell>
          <cell r="B173"/>
          <cell r="C173"/>
          <cell r="D173">
            <v>253</v>
          </cell>
          <cell r="E173"/>
          <cell r="F173">
            <v>253</v>
          </cell>
        </row>
        <row r="174">
          <cell r="A174" t="str">
            <v>6527 ШПИКАЧКИ СОЧНЫЕ ПМ сар б/о мгс 1*3 45с ОСТАНКИНО</v>
          </cell>
          <cell r="B174"/>
          <cell r="C174"/>
          <cell r="D174">
            <v>304.8</v>
          </cell>
          <cell r="E174"/>
          <cell r="F174">
            <v>304.8</v>
          </cell>
        </row>
        <row r="175">
          <cell r="A175" t="str">
            <v>6528 ШПИКАЧКИ СОЧНЫЕ ПМ сар б/о мгс 0.4кг 45с  ОСТАНКИНО</v>
          </cell>
          <cell r="B175"/>
          <cell r="C175"/>
          <cell r="D175">
            <v>46</v>
          </cell>
          <cell r="E175"/>
          <cell r="F175">
            <v>46</v>
          </cell>
        </row>
        <row r="176">
          <cell r="A176" t="str">
            <v>6586 МРАМОРНАЯ И БАЛЫКОВАЯ в/к с/н мгс 1/90 ОСТАНКИНО</v>
          </cell>
          <cell r="B176"/>
          <cell r="C176"/>
          <cell r="D176">
            <v>26</v>
          </cell>
          <cell r="E176"/>
          <cell r="F176">
            <v>26</v>
          </cell>
        </row>
        <row r="177">
          <cell r="A177" t="str">
            <v>6609 С ГОВЯДИНОЙ ПМ сар б/о мгс 0.4кг_45с ОСТАНКИНО</v>
          </cell>
          <cell r="B177"/>
          <cell r="C177"/>
          <cell r="D177">
            <v>39</v>
          </cell>
          <cell r="E177"/>
          <cell r="F177">
            <v>39</v>
          </cell>
        </row>
        <row r="178">
          <cell r="A178" t="str">
            <v>6616 МОЛОЧНЫЕ КЛАССИЧЕСКИЕ сос п/о в/у 0.3кг  ОСТАНКИНО</v>
          </cell>
          <cell r="B178"/>
          <cell r="C178"/>
          <cell r="D178">
            <v>2360</v>
          </cell>
          <cell r="E178"/>
          <cell r="F178">
            <v>2360</v>
          </cell>
        </row>
        <row r="179">
          <cell r="A179" t="str">
            <v>6697 СЕРВЕЛАТ ФИНСКИЙ ПМ в/к в/у 0,35кг 8шт.  ОСТАНКИНО</v>
          </cell>
          <cell r="B179"/>
          <cell r="C179"/>
          <cell r="D179">
            <v>4210</v>
          </cell>
          <cell r="E179"/>
          <cell r="F179">
            <v>4210</v>
          </cell>
        </row>
        <row r="180">
          <cell r="A180" t="str">
            <v>6713 СОЧНЫЙ ГРИЛЬ ПМ сос п/о мгс 0.41кг 8шт.  ОСТАНКИНО</v>
          </cell>
          <cell r="B180"/>
          <cell r="C180"/>
          <cell r="D180">
            <v>1126</v>
          </cell>
          <cell r="E180"/>
          <cell r="F180">
            <v>1126</v>
          </cell>
        </row>
        <row r="181">
          <cell r="A181" t="str">
            <v>6724 МОЛОЧНЫЕ ПМ сос п/о мгс 0.41кг 10шт.  ОСТАНКИНО</v>
          </cell>
          <cell r="B181"/>
          <cell r="C181"/>
          <cell r="D181">
            <v>575</v>
          </cell>
          <cell r="E181"/>
          <cell r="F181">
            <v>575</v>
          </cell>
        </row>
        <row r="182">
          <cell r="A182" t="str">
            <v>6765 РУБЛЕНЫЕ сос ц/о мгс 0.36кг 6шт.  ОСТАНКИНО</v>
          </cell>
          <cell r="B182"/>
          <cell r="C182"/>
          <cell r="D182">
            <v>392</v>
          </cell>
          <cell r="E182"/>
          <cell r="F182">
            <v>392</v>
          </cell>
        </row>
        <row r="183">
          <cell r="A183" t="str">
            <v>6785 ВЕНСКАЯ САЛЯМИ п/к в/у 0.33кг 8шт.  ОСТАНКИНО</v>
          </cell>
          <cell r="B183"/>
          <cell r="C183"/>
          <cell r="D183">
            <v>99</v>
          </cell>
          <cell r="E183"/>
          <cell r="F183">
            <v>99</v>
          </cell>
        </row>
        <row r="184">
          <cell r="A184" t="str">
            <v>6787 СЕРВЕЛАТ КРЕМЛЕВСКИЙ в/к в/у 0,33кг 8шт.  ОСТАНКИНО</v>
          </cell>
          <cell r="B184"/>
          <cell r="C184"/>
          <cell r="D184">
            <v>157</v>
          </cell>
          <cell r="E184"/>
          <cell r="F184">
            <v>157</v>
          </cell>
        </row>
        <row r="185">
          <cell r="A185" t="str">
            <v>6793 БАЛЫКОВАЯ в/к в/у 0,33кг 8шт.  ОСТАНКИНО</v>
          </cell>
          <cell r="B185"/>
          <cell r="C185"/>
          <cell r="D185">
            <v>254</v>
          </cell>
          <cell r="E185"/>
          <cell r="F185">
            <v>254</v>
          </cell>
        </row>
        <row r="186">
          <cell r="A186" t="str">
            <v>6819 БЛИНЧ.КРУГЛЫЕ С САД.ЯБЛОК. пл.1/300 зам.  ОСТАНКИНО</v>
          </cell>
          <cell r="B186"/>
          <cell r="C186"/>
          <cell r="D186">
            <v>6</v>
          </cell>
          <cell r="E186"/>
          <cell r="F186">
            <v>6</v>
          </cell>
        </row>
        <row r="187">
          <cell r="A187" t="str">
            <v>6829 МОЛОЧНЫЕ КЛАССИЧЕСКИЕ сос п/о мгс 2*4_С  ОСТАНКИНО</v>
          </cell>
          <cell r="B187"/>
          <cell r="C187"/>
          <cell r="D187">
            <v>705.1</v>
          </cell>
          <cell r="E187"/>
          <cell r="F187">
            <v>705.1</v>
          </cell>
        </row>
        <row r="188">
          <cell r="A188" t="str">
            <v>6832 АССОРТИ СЫРОКОПЧЕНЫХ КОЛБАС Коровино в/у  ОСТАНКИНО</v>
          </cell>
          <cell r="B188"/>
          <cell r="C188"/>
          <cell r="D188">
            <v>18.899999999999999</v>
          </cell>
          <cell r="E188"/>
          <cell r="F188">
            <v>18.899999999999999</v>
          </cell>
        </row>
        <row r="189">
          <cell r="A189" t="str">
            <v>6837 ФИЛЕЙНЫЕ Папа Может сос ц/о мгс 0.4кг  ОСТАНКИНО</v>
          </cell>
          <cell r="B189"/>
          <cell r="C189"/>
          <cell r="D189">
            <v>926</v>
          </cell>
          <cell r="E189"/>
          <cell r="F189">
            <v>926</v>
          </cell>
        </row>
        <row r="190">
          <cell r="A190" t="str">
            <v>6842 ДЫМОВИЦА ИЗ ОКОРОКА к/в мл/к в/у 0,3кг  ОСТАНКИНО</v>
          </cell>
          <cell r="B190"/>
          <cell r="C190"/>
          <cell r="D190">
            <v>179</v>
          </cell>
          <cell r="E190"/>
          <cell r="F190">
            <v>179</v>
          </cell>
        </row>
        <row r="191">
          <cell r="A191" t="str">
            <v>6861 ДОМАШНИЙ РЕЦЕПТ Коровино вар п/о  ОСТАНКИНО</v>
          </cell>
          <cell r="B191"/>
          <cell r="C191"/>
          <cell r="D191">
            <v>811.28800000000001</v>
          </cell>
          <cell r="E191"/>
          <cell r="F191">
            <v>811.28800000000001</v>
          </cell>
        </row>
        <row r="192">
          <cell r="A192" t="str">
            <v>6866 ВЕТЧ.НЕЖНАЯ Коровино п/о_Маяк  ОСТАНКИНО</v>
          </cell>
          <cell r="B192"/>
          <cell r="C192"/>
          <cell r="D192">
            <v>266.2</v>
          </cell>
          <cell r="E192"/>
          <cell r="F192">
            <v>266.2</v>
          </cell>
        </row>
        <row r="193">
          <cell r="A193" t="str">
            <v>7001 КЛАССИЧЕСКИЕ Папа может сар б/о мгс 1*3  ОСТАНКИНО</v>
          </cell>
          <cell r="B193"/>
          <cell r="C193"/>
          <cell r="D193">
            <v>166.6</v>
          </cell>
          <cell r="E193"/>
          <cell r="F193">
            <v>166.6</v>
          </cell>
        </row>
        <row r="194">
          <cell r="A194" t="str">
            <v>7040 С ИНДЕЙКОЙ ПМ сос ц/о в/у 1/270 8шт.  ОСТАНКИНО</v>
          </cell>
          <cell r="B194"/>
          <cell r="C194"/>
          <cell r="D194">
            <v>193</v>
          </cell>
          <cell r="E194"/>
          <cell r="F194">
            <v>193</v>
          </cell>
        </row>
        <row r="195">
          <cell r="A195" t="str">
            <v>7059 ШПИКАЧКИ СОЧНЫЕ С БЕК. п/о мгс 0.3кг_60с  ОСТАНКИНО</v>
          </cell>
          <cell r="B195"/>
          <cell r="C195"/>
          <cell r="D195">
            <v>326</v>
          </cell>
          <cell r="E195"/>
          <cell r="F195">
            <v>326</v>
          </cell>
        </row>
        <row r="196">
          <cell r="A196" t="str">
            <v>7066 СОЧНЫЕ ПМ сос п/о мгс 0.41кг 10шт_50с  ОСТАНКИНО</v>
          </cell>
          <cell r="B196"/>
          <cell r="C196"/>
          <cell r="D196">
            <v>5652</v>
          </cell>
          <cell r="E196"/>
          <cell r="F196">
            <v>5652</v>
          </cell>
        </row>
        <row r="197">
          <cell r="A197" t="str">
            <v>7070 СОЧНЫЕ ПМ сос п/о мгс 1.5*4_А_50с  ОСТАНКИНО</v>
          </cell>
          <cell r="B197"/>
          <cell r="C197"/>
          <cell r="D197">
            <v>2934.4</v>
          </cell>
          <cell r="E197"/>
          <cell r="F197">
            <v>2934.4</v>
          </cell>
        </row>
        <row r="198">
          <cell r="A198" t="str">
            <v>7073 МОЛОЧ.ПРЕМИУМ ПМ сос п/о в/у 1/350_50с  ОСТАНКИНО</v>
          </cell>
          <cell r="B198"/>
          <cell r="C198"/>
          <cell r="D198">
            <v>1422</v>
          </cell>
          <cell r="E198"/>
          <cell r="F198">
            <v>1422</v>
          </cell>
        </row>
        <row r="199">
          <cell r="A199" t="str">
            <v>7075 МОЛОЧ.ПРЕМИУМ ПМ сос п/о мгс 1.5*4_О_50с  ОСТАНКИНО</v>
          </cell>
          <cell r="B199"/>
          <cell r="C199"/>
          <cell r="D199">
            <v>75.099999999999994</v>
          </cell>
          <cell r="E199"/>
          <cell r="F199">
            <v>75.099999999999994</v>
          </cell>
        </row>
        <row r="200">
          <cell r="A200" t="str">
            <v>7077 МЯСНЫЕ С ГОВЯД.ПМ сос п/о мгс 0.4кг_50с  ОСТАНКИНО</v>
          </cell>
          <cell r="B200"/>
          <cell r="C200"/>
          <cell r="D200">
            <v>1659</v>
          </cell>
          <cell r="E200"/>
          <cell r="F200">
            <v>1659</v>
          </cell>
        </row>
        <row r="201">
          <cell r="A201" t="str">
            <v>7080 СЛИВОЧНЫЕ ПМ сос п/о мгс 0.41кг 10шт. 50с  ОСТАНКИНО</v>
          </cell>
          <cell r="B201"/>
          <cell r="C201"/>
          <cell r="D201">
            <v>3348</v>
          </cell>
          <cell r="E201"/>
          <cell r="F201">
            <v>3348</v>
          </cell>
        </row>
        <row r="202">
          <cell r="A202" t="str">
            <v>7082 СЛИВОЧНЫЕ ПМ сос п/о мгс 1.5*4_50с  ОСТАНКИНО</v>
          </cell>
          <cell r="B202"/>
          <cell r="C202"/>
          <cell r="D202">
            <v>129.1</v>
          </cell>
          <cell r="E202"/>
          <cell r="F202">
            <v>129.1</v>
          </cell>
        </row>
        <row r="203">
          <cell r="A203" t="str">
            <v>7087 ШПИК С ЧЕСНОК.И ПЕРЦЕМ к/в в/у 0.3кг_50с  ОСТАНКИНО</v>
          </cell>
          <cell r="B203"/>
          <cell r="C203"/>
          <cell r="D203">
            <v>256</v>
          </cell>
          <cell r="E203"/>
          <cell r="F203">
            <v>256</v>
          </cell>
        </row>
        <row r="204">
          <cell r="A204" t="str">
            <v>7090 СВИНИНА ПО-ДОМ. к/в мл/к в/у 0.3кг_50с  ОСТАНКИНО</v>
          </cell>
          <cell r="B204"/>
          <cell r="C204"/>
          <cell r="D204">
            <v>505</v>
          </cell>
          <cell r="E204"/>
          <cell r="F204">
            <v>505</v>
          </cell>
        </row>
        <row r="205">
          <cell r="A205" t="str">
            <v>7092 БЕКОН Папа может с/к с/н в/у 1/140_50с  ОСТАНКИНО</v>
          </cell>
          <cell r="B205"/>
          <cell r="C205"/>
          <cell r="D205">
            <v>749</v>
          </cell>
          <cell r="E205"/>
          <cell r="F205">
            <v>749</v>
          </cell>
        </row>
        <row r="206">
          <cell r="A206" t="str">
            <v>7105 МИЛАНО с/к с/н мгс 1/90 12шт.  ОСТАНКИНО</v>
          </cell>
          <cell r="B206"/>
          <cell r="C206"/>
          <cell r="D206">
            <v>6</v>
          </cell>
          <cell r="E206"/>
          <cell r="F206">
            <v>6</v>
          </cell>
        </row>
        <row r="207">
          <cell r="A207" t="str">
            <v>7106 ТОСКАНО с/к с/н мгс 1/90 12шт.  ОСТАНКИНО</v>
          </cell>
          <cell r="B207"/>
          <cell r="C207"/>
          <cell r="D207">
            <v>32</v>
          </cell>
          <cell r="E207"/>
          <cell r="F207">
            <v>32</v>
          </cell>
        </row>
        <row r="208">
          <cell r="A208" t="str">
            <v>7107 САН-РЕМО с/в с/н мгс 1/90 12шт.  ОСТАНКИНО</v>
          </cell>
          <cell r="B208"/>
          <cell r="C208"/>
          <cell r="D208">
            <v>73</v>
          </cell>
          <cell r="E208"/>
          <cell r="F208">
            <v>73</v>
          </cell>
        </row>
        <row r="209">
          <cell r="A209" t="str">
            <v>7147 САЛЬЧИЧОН Останкино с/к в/у 1/220 8шт.  ОСТАНКИНО</v>
          </cell>
          <cell r="B209"/>
          <cell r="C209"/>
          <cell r="D209">
            <v>17</v>
          </cell>
          <cell r="E209"/>
          <cell r="F209">
            <v>17</v>
          </cell>
        </row>
        <row r="210">
          <cell r="A210" t="str">
            <v>7149 БАЛЫКОВАЯ Коровино п/к в/у 0.84кг_50с  ОСТАНКИНО</v>
          </cell>
          <cell r="B210"/>
          <cell r="C210"/>
          <cell r="D210">
            <v>20</v>
          </cell>
          <cell r="E210"/>
          <cell r="F210">
            <v>20</v>
          </cell>
        </row>
        <row r="211">
          <cell r="A211" t="str">
            <v>7154 СЕРВЕЛАТ ЗЕРНИСТЫЙ ПМ в/к в/у 0.35кг_50с  ОСТАНКИНО</v>
          </cell>
          <cell r="B211"/>
          <cell r="C211"/>
          <cell r="D211">
            <v>2410</v>
          </cell>
          <cell r="E211"/>
          <cell r="F211">
            <v>2410</v>
          </cell>
        </row>
        <row r="212">
          <cell r="A212" t="str">
            <v>7157 СЕРВЕЛАТ ЗЕРНИСНЫЙ ПМ в/к в/у_50с  ОСТАНКИНО</v>
          </cell>
          <cell r="B212"/>
          <cell r="C212"/>
          <cell r="D212">
            <v>154.6</v>
          </cell>
          <cell r="E212"/>
          <cell r="F212">
            <v>154.6</v>
          </cell>
        </row>
        <row r="213">
          <cell r="A213" t="str">
            <v>7166 СЕРВЕЛТ ОХОТНИЧИЙ ПМ в/к в/у_50с  ОСТАНКИНО</v>
          </cell>
          <cell r="B213"/>
          <cell r="C213"/>
          <cell r="D213">
            <v>373.488</v>
          </cell>
          <cell r="E213"/>
          <cell r="F213">
            <v>373.488</v>
          </cell>
        </row>
        <row r="214">
          <cell r="A214" t="str">
            <v>7169 СЕРВЕЛАТ ОХОТНИЧИЙ ПМ в/к в/у 0.35кг_50с  ОСТАНКИНО</v>
          </cell>
          <cell r="B214"/>
          <cell r="C214"/>
          <cell r="D214">
            <v>3283</v>
          </cell>
          <cell r="E214"/>
          <cell r="F214">
            <v>3283</v>
          </cell>
        </row>
        <row r="215">
          <cell r="A215" t="str">
            <v>7187 ГРУДИНКА ПРЕМИУМ к/в мл/к в/у 0,3кг_50с ОСТАНКИНО</v>
          </cell>
          <cell r="B215"/>
          <cell r="C215"/>
          <cell r="D215">
            <v>862</v>
          </cell>
          <cell r="E215"/>
          <cell r="F215">
            <v>862</v>
          </cell>
        </row>
        <row r="216">
          <cell r="A216" t="str">
            <v>7227 САЛЯМИ ФИНСКАЯ Папа может с/к в/у 1/180  ОСТАНКИНО</v>
          </cell>
          <cell r="B216"/>
          <cell r="C216"/>
          <cell r="D216">
            <v>25</v>
          </cell>
          <cell r="E216"/>
          <cell r="F216">
            <v>25</v>
          </cell>
        </row>
        <row r="217">
          <cell r="A217" t="str">
            <v>7231 КЛАССИЧЕСКАЯ ПМ вар п/о 0,3кг 8шт_209к ОСТАНКИНО</v>
          </cell>
          <cell r="B217"/>
          <cell r="C217"/>
          <cell r="D217">
            <v>1138</v>
          </cell>
          <cell r="E217"/>
          <cell r="F217">
            <v>1138</v>
          </cell>
        </row>
        <row r="218">
          <cell r="A218" t="str">
            <v>7232 БОЯNСКАЯ ПМ п/к в/у 0,28кг 8шт_209к ОСТАНКИНО</v>
          </cell>
          <cell r="B218"/>
          <cell r="C218"/>
          <cell r="D218">
            <v>1468</v>
          </cell>
          <cell r="E218"/>
          <cell r="F218">
            <v>1468</v>
          </cell>
        </row>
        <row r="219">
          <cell r="A219" t="str">
            <v>7235 ВЕТЧ.КЛАССИЧЕСКАЯ ПМ п/о 0,35кг 8шт_209к ОСТАНКИНО</v>
          </cell>
          <cell r="B219"/>
          <cell r="C219"/>
          <cell r="D219">
            <v>103</v>
          </cell>
          <cell r="E219"/>
          <cell r="F219">
            <v>103</v>
          </cell>
        </row>
        <row r="220">
          <cell r="A220" t="str">
            <v>7236 СЕРВЕЛАТ КАРЕЛЬСКИЙ в/к в/у 0,28кг_209к ОСТАНКИНО</v>
          </cell>
          <cell r="B220"/>
          <cell r="C220"/>
          <cell r="D220">
            <v>3591</v>
          </cell>
          <cell r="E220"/>
          <cell r="F220">
            <v>3591</v>
          </cell>
        </row>
        <row r="221">
          <cell r="A221" t="str">
            <v>7241 САЛЯМИ Папа может п/к в/у 0,28кг_209к ОСТАНКИНО</v>
          </cell>
          <cell r="B221"/>
          <cell r="C221"/>
          <cell r="D221">
            <v>920</v>
          </cell>
          <cell r="E221"/>
          <cell r="F221">
            <v>920</v>
          </cell>
        </row>
        <row r="222">
          <cell r="A222" t="str">
            <v>7245 ВЕТЧ.ФИЛЕЙНАЯ ПМ п/о 0,4кг 8шт ОСТАНКИНО</v>
          </cell>
          <cell r="B222"/>
          <cell r="C222"/>
          <cell r="D222">
            <v>33</v>
          </cell>
          <cell r="E222"/>
          <cell r="F222">
            <v>33</v>
          </cell>
        </row>
        <row r="223">
          <cell r="A223" t="str">
            <v>7255 МЯСНЫЕ С ГОВЯД. ПМ сос п/о мгс 0,4кг 6шт.  ОСТАНКИНО</v>
          </cell>
          <cell r="B223"/>
          <cell r="C223"/>
          <cell r="D223">
            <v>42</v>
          </cell>
          <cell r="E223"/>
          <cell r="F223">
            <v>42</v>
          </cell>
        </row>
        <row r="224">
          <cell r="A224" t="str">
            <v>7271 МЯСНЫЕ С ГОВЯДИНОЙ ПМ сос п/о мгс 1.5*4 ВЕС  ОСТАНКИНО</v>
          </cell>
          <cell r="B224"/>
          <cell r="C224"/>
          <cell r="D224">
            <v>112.9</v>
          </cell>
          <cell r="E224"/>
          <cell r="F224">
            <v>112.9</v>
          </cell>
        </row>
        <row r="225">
          <cell r="A225" t="str">
            <v>7284 ДЛЯ ДЕТЕЙ сос п/о мгс 0,33кг 6шт  ОСТАНКИНО</v>
          </cell>
          <cell r="B225"/>
          <cell r="C225"/>
          <cell r="D225">
            <v>150</v>
          </cell>
          <cell r="E225"/>
          <cell r="F225">
            <v>150</v>
          </cell>
        </row>
        <row r="226">
          <cell r="A226" t="str">
            <v>7299 НАБОР ДЛЯ ПИЦЦЫ Папа может с/к в/у  ОСТАНКИНО</v>
          </cell>
          <cell r="B226"/>
          <cell r="C226"/>
          <cell r="D226">
            <v>11.1</v>
          </cell>
          <cell r="E226"/>
          <cell r="F226">
            <v>11.1</v>
          </cell>
        </row>
        <row r="227">
          <cell r="A227" t="str">
            <v>7332 БОЯРСКАЯ ПМ п/к в/у 0.28кг_СНГ  ОСТАНКИНО</v>
          </cell>
          <cell r="B227"/>
          <cell r="C227"/>
          <cell r="D227">
            <v>59</v>
          </cell>
          <cell r="E227"/>
          <cell r="F227">
            <v>59</v>
          </cell>
        </row>
        <row r="228">
          <cell r="A228" t="str">
            <v>7333 СЕРВЕЛАТ ОХОТНИЧИЙ ПМ в/к в/у 0.28кг_СНГ  ОСТАНКИНО</v>
          </cell>
          <cell r="B228"/>
          <cell r="C228"/>
          <cell r="D228">
            <v>55</v>
          </cell>
          <cell r="E228"/>
          <cell r="F228">
            <v>55</v>
          </cell>
        </row>
        <row r="229">
          <cell r="A229" t="str">
            <v>7343 СЕЙЧАС СЕЗОН ПМ вар п/о 0,4кг  ОСТАНКИНО</v>
          </cell>
          <cell r="B229"/>
          <cell r="C229"/>
          <cell r="D229">
            <v>2217</v>
          </cell>
          <cell r="E229"/>
          <cell r="F229">
            <v>2217</v>
          </cell>
        </row>
        <row r="230">
          <cell r="A230" t="str">
            <v>8377 Творожный Сыр 60% Сливочный  СТМ "ПапаМожет" - 140гр  ОСТАНКИНО</v>
          </cell>
          <cell r="B230"/>
          <cell r="C230"/>
          <cell r="D230">
            <v>331</v>
          </cell>
          <cell r="E230"/>
          <cell r="F230">
            <v>331</v>
          </cell>
        </row>
        <row r="231">
          <cell r="A231" t="str">
            <v>8391 Сыр творожный с зеленью 60% Папа может 140 гр.  ОСТАНКИНО</v>
          </cell>
          <cell r="B231"/>
          <cell r="C231"/>
          <cell r="D231">
            <v>118</v>
          </cell>
          <cell r="E231"/>
          <cell r="F231">
            <v>119</v>
          </cell>
        </row>
        <row r="232">
          <cell r="A232" t="str">
            <v>8398 Сыр ПАПА МОЖЕТ "Тильзитер" 45% 180 г  ОСТАНКИНО</v>
          </cell>
          <cell r="B232"/>
          <cell r="C232"/>
          <cell r="D232">
            <v>415</v>
          </cell>
          <cell r="E232"/>
          <cell r="F232">
            <v>416</v>
          </cell>
        </row>
        <row r="233">
          <cell r="A233" t="str">
            <v>8411 Сыр ПАПА МОЖЕТ "Гауда Голд" 45% 180 г  ОСТАНКИНО</v>
          </cell>
          <cell r="B233"/>
          <cell r="C233"/>
          <cell r="D233">
            <v>339</v>
          </cell>
          <cell r="E233"/>
          <cell r="F233">
            <v>340</v>
          </cell>
        </row>
        <row r="234">
          <cell r="A234" t="str">
            <v>8421 Творожный Сыр 60% С маринованными огурчиками и укропом 140 гр  ОСТАНКИНО</v>
          </cell>
          <cell r="B234"/>
          <cell r="C234"/>
          <cell r="D234">
            <v>29</v>
          </cell>
          <cell r="E234"/>
          <cell r="F234">
            <v>30</v>
          </cell>
        </row>
        <row r="235">
          <cell r="A235" t="str">
            <v>8435 Сыр ПАПА МОЖЕТ "Российский традиционный" 45% 180 г  ОСТАНКИНО</v>
          </cell>
          <cell r="B235"/>
          <cell r="C235"/>
          <cell r="D235">
            <v>924</v>
          </cell>
          <cell r="E235"/>
          <cell r="F235">
            <v>924</v>
          </cell>
        </row>
        <row r="236">
          <cell r="A236" t="str">
            <v>8438 Плавленый Сыр 45% "С ветчиной" СТМ "ПапаМожет" 180гр  ОСТАНКИНО</v>
          </cell>
          <cell r="B236"/>
          <cell r="C236"/>
          <cell r="D236">
            <v>43</v>
          </cell>
          <cell r="E236"/>
          <cell r="F236">
            <v>44</v>
          </cell>
        </row>
        <row r="237">
          <cell r="A237" t="str">
            <v>8445 Плавленый Сыр 45% "С грибами" СТМ "ПапаМожет 180гр  ОСТАНКИНО</v>
          </cell>
          <cell r="B237"/>
          <cell r="C237"/>
          <cell r="D237">
            <v>35</v>
          </cell>
          <cell r="E237"/>
          <cell r="F237">
            <v>36</v>
          </cell>
        </row>
        <row r="238">
          <cell r="A238" t="str">
            <v>8452 Сыр колбасный копченый Папа Может 400 гр  ОСТАНКИНО</v>
          </cell>
          <cell r="B238"/>
          <cell r="C238"/>
          <cell r="D238">
            <v>7</v>
          </cell>
          <cell r="E238"/>
          <cell r="F238">
            <v>7</v>
          </cell>
        </row>
        <row r="239">
          <cell r="A239" t="str">
            <v>8459 Сыр ПАПА МОЖЕТ "Голландский традиционный" 45% 180 г  ОСТАНКИНО</v>
          </cell>
          <cell r="B239"/>
          <cell r="C239"/>
          <cell r="D239">
            <v>930</v>
          </cell>
          <cell r="E239"/>
          <cell r="F239">
            <v>930</v>
          </cell>
        </row>
        <row r="240">
          <cell r="A240" t="str">
            <v>8476 Продукт колбасный с сыром копченый Коровино 400 гр  ОСТАНКИНО</v>
          </cell>
          <cell r="B240"/>
          <cell r="C240"/>
          <cell r="D240">
            <v>7</v>
          </cell>
          <cell r="E240"/>
          <cell r="F240">
            <v>7</v>
          </cell>
        </row>
        <row r="241">
          <cell r="A241" t="str">
            <v>8674 Плавленый сыр "Шоколадный" 30% 180 гр ТМ "ПАПА МОЖЕТ"  ОСТАНКИНО</v>
          </cell>
          <cell r="B241"/>
          <cell r="C241"/>
          <cell r="D241">
            <v>34</v>
          </cell>
          <cell r="E241"/>
          <cell r="F241">
            <v>35</v>
          </cell>
        </row>
        <row r="242">
          <cell r="A242" t="str">
            <v>8681 Сыр плавленый Сливочный ж 45 % 180г ТМ Папа Может (16шт) ОСТАНКИНО</v>
          </cell>
          <cell r="B242"/>
          <cell r="C242"/>
          <cell r="D242">
            <v>92</v>
          </cell>
          <cell r="E242"/>
          <cell r="F242">
            <v>93</v>
          </cell>
        </row>
        <row r="243">
          <cell r="A243" t="str">
            <v>8831 Сыр ПАПА МОЖЕТ "Министерский" 180гр, 45 %  ОСТАНКИНО</v>
          </cell>
          <cell r="B243"/>
          <cell r="C243"/>
          <cell r="D243">
            <v>60</v>
          </cell>
          <cell r="E243"/>
          <cell r="F243">
            <v>60</v>
          </cell>
        </row>
        <row r="244">
          <cell r="A244" t="str">
            <v>8855 Сыр ПАПА МОЖЕТ "Папин завтрак" 180гр, 45 %  ОСТАНКИНО</v>
          </cell>
          <cell r="B244"/>
          <cell r="C244"/>
          <cell r="D244">
            <v>32</v>
          </cell>
          <cell r="E244"/>
          <cell r="F244">
            <v>32</v>
          </cell>
        </row>
        <row r="245">
          <cell r="A245" t="str">
            <v>8950 Масло сливочное ПАПА МОЖЕТ 72,5%, фас. в фольгу, 180гр  ОСТАНКИНО</v>
          </cell>
          <cell r="B245"/>
          <cell r="C245"/>
          <cell r="D245">
            <v>153</v>
          </cell>
          <cell r="E245"/>
          <cell r="F245">
            <v>153</v>
          </cell>
        </row>
        <row r="246">
          <cell r="A246" t="str">
            <v>8967 Масло "Папа может" 82,5% 180гр  ОСТАНКИНО</v>
          </cell>
          <cell r="B246"/>
          <cell r="C246"/>
          <cell r="D246">
            <v>136</v>
          </cell>
          <cell r="E246"/>
          <cell r="F246">
            <v>137</v>
          </cell>
        </row>
        <row r="247">
          <cell r="A247" t="str">
            <v>Балык говяжий с/к "Эликатессе" 0,10 кг.шт. нарезка (лоток с ср.защ.атм.)  СПК</v>
          </cell>
          <cell r="B247"/>
          <cell r="C247"/>
          <cell r="D247">
            <v>89</v>
          </cell>
          <cell r="E247"/>
          <cell r="F247">
            <v>89</v>
          </cell>
        </row>
        <row r="248">
          <cell r="A248" t="str">
            <v>Балык свиной с/к "Эликатессе" 0,10 кг.шт. нарезка (лоток с ср.защ.атм.)  СПК</v>
          </cell>
          <cell r="B248"/>
          <cell r="C248"/>
          <cell r="D248">
            <v>210</v>
          </cell>
          <cell r="E248"/>
          <cell r="F248">
            <v>210</v>
          </cell>
        </row>
        <row r="249">
          <cell r="A249" t="str">
            <v>Балыковая с/к 200 гр. срез "Эликатессе" термоформ.пак.  СПК</v>
          </cell>
          <cell r="B249"/>
          <cell r="C249"/>
          <cell r="D249">
            <v>81</v>
          </cell>
          <cell r="E249"/>
          <cell r="F249">
            <v>81</v>
          </cell>
        </row>
        <row r="250">
          <cell r="A250" t="str">
            <v>БЛИНЧ.КРУГЛЫЕ С ГРУШЕЙ пл.1/420 зам.   ОСТАНКИНО</v>
          </cell>
          <cell r="B250"/>
          <cell r="C250"/>
          <cell r="D250">
            <v>13</v>
          </cell>
          <cell r="E250"/>
          <cell r="F250">
            <v>14</v>
          </cell>
        </row>
        <row r="251">
          <cell r="A251" t="str">
            <v>БОНУС МОЛОЧНЫЕ КЛАССИЧЕСКИЕ сос п/о в/у 0.3кг (6084)  ОСТАНКИНО</v>
          </cell>
          <cell r="B251"/>
          <cell r="C251"/>
          <cell r="D251">
            <v>62</v>
          </cell>
          <cell r="E251"/>
          <cell r="F251">
            <v>62</v>
          </cell>
        </row>
        <row r="252">
          <cell r="A252" t="str">
            <v>БОНУС МОЛОЧНЫЕ КЛАССИЧЕСКИЕ сос п/о мгс 2*4_С (4980)  ОСТАНКИНО</v>
          </cell>
          <cell r="B252"/>
          <cell r="C252"/>
          <cell r="D252">
            <v>26</v>
          </cell>
          <cell r="E252"/>
          <cell r="F252">
            <v>26</v>
          </cell>
        </row>
        <row r="253">
          <cell r="A253" t="str">
            <v>БОНУС СОЧНЫЕ Папа может сос п/о мгс 1.5*4 (6954)  ОСТАНКИНО</v>
          </cell>
          <cell r="B253"/>
          <cell r="C253"/>
          <cell r="D253">
            <v>267</v>
          </cell>
          <cell r="E253"/>
          <cell r="F253">
            <v>267</v>
          </cell>
        </row>
        <row r="254">
          <cell r="A254" t="str">
            <v>БОНУС СОЧНЫЕ сос п/о мгс 0.41кг_UZ (6087)  ОСТАНКИНО</v>
          </cell>
          <cell r="B254"/>
          <cell r="C254"/>
          <cell r="D254">
            <v>180</v>
          </cell>
          <cell r="E254"/>
          <cell r="F254">
            <v>180</v>
          </cell>
        </row>
        <row r="255">
          <cell r="A255" t="str">
            <v>Бутербродная вареная 0,47 кг шт.  СПК</v>
          </cell>
          <cell r="B255"/>
          <cell r="C255"/>
          <cell r="D255">
            <v>12</v>
          </cell>
          <cell r="E255"/>
          <cell r="F255">
            <v>12</v>
          </cell>
        </row>
        <row r="256">
          <cell r="A256" t="str">
            <v>Вацлавская п/к (черева) 390 гр.шт. термоус.пак  СПК</v>
          </cell>
          <cell r="B256"/>
          <cell r="C256"/>
          <cell r="D256">
            <v>15</v>
          </cell>
          <cell r="E256"/>
          <cell r="F256">
            <v>15</v>
          </cell>
        </row>
        <row r="257">
          <cell r="A257" t="str">
            <v>Ветчина Альтаирская Столовая (для ХОРЕКА)  СПК</v>
          </cell>
          <cell r="B257"/>
          <cell r="C257"/>
          <cell r="D257">
            <v>1.2</v>
          </cell>
          <cell r="E257"/>
          <cell r="F257">
            <v>1.2</v>
          </cell>
        </row>
        <row r="258">
          <cell r="A258" t="str">
            <v>Готовые бельмеши сочные с мясом ТМ Горячая штучка 0,3кг зам  ПОКОМ</v>
          </cell>
          <cell r="B258"/>
          <cell r="C258"/>
          <cell r="D258"/>
          <cell r="E258"/>
          <cell r="F258">
            <v>292</v>
          </cell>
        </row>
        <row r="259">
          <cell r="A259" t="str">
            <v>Готовые чебупели острые с мясом 0,24кг ТМ Горячая штучка  ПОКОМ</v>
          </cell>
          <cell r="B259"/>
          <cell r="C259"/>
          <cell r="D259"/>
          <cell r="E259"/>
          <cell r="F259">
            <v>327</v>
          </cell>
        </row>
        <row r="260">
          <cell r="A260" t="str">
            <v>Готовые чебупели с ветчиной и сыром Горячая штучка 0,3кг зам  ПОКОМ</v>
          </cell>
          <cell r="B260"/>
          <cell r="C260"/>
          <cell r="D260">
            <v>1</v>
          </cell>
          <cell r="E260"/>
          <cell r="F260">
            <v>1</v>
          </cell>
        </row>
        <row r="261">
          <cell r="A261" t="str">
            <v>Готовые чебупели с ветчиной и сыром ТМ Горячая штучка флоу-пак 0,24 кг.  ПОКОМ</v>
          </cell>
          <cell r="B261"/>
          <cell r="C261"/>
          <cell r="D261">
            <v>604</v>
          </cell>
          <cell r="E261"/>
          <cell r="F261">
            <v>1994</v>
          </cell>
        </row>
        <row r="262">
          <cell r="A262" t="str">
            <v>Готовые чебупели сочные с мясом ТМ Горячая штучка  0,3кг зам  ПОКОМ</v>
          </cell>
          <cell r="B262"/>
          <cell r="C262"/>
          <cell r="D262">
            <v>1</v>
          </cell>
          <cell r="E262"/>
          <cell r="F262">
            <v>2</v>
          </cell>
        </row>
        <row r="263">
          <cell r="A263" t="str">
            <v>Готовые чебупели сочные с мясом ТМ Горячая штучка флоу-пак 0,24 кг  ПОКОМ</v>
          </cell>
          <cell r="B263"/>
          <cell r="C263"/>
          <cell r="D263">
            <v>726</v>
          </cell>
          <cell r="E263"/>
          <cell r="F263">
            <v>2229</v>
          </cell>
        </row>
        <row r="264">
          <cell r="A264" t="str">
            <v>Готовые чебуреки с мясом ТМ Горячая штучка 0,09 кг флоу-пак ПОКОМ</v>
          </cell>
          <cell r="B264"/>
          <cell r="C264"/>
          <cell r="D264"/>
          <cell r="E264"/>
          <cell r="F264">
            <v>386</v>
          </cell>
        </row>
        <row r="265">
          <cell r="A265" t="str">
            <v>Гуцульская с/к "КолбасГрад" 160 гр.шт. термоус. пак  СПК</v>
          </cell>
          <cell r="B265"/>
          <cell r="C265"/>
          <cell r="D265">
            <v>94</v>
          </cell>
          <cell r="E265"/>
          <cell r="F265">
            <v>94</v>
          </cell>
        </row>
        <row r="266">
          <cell r="A266" t="str">
            <v>Дельгаро с/в "Эликатессе" 140 гр.шт.  СПК</v>
          </cell>
          <cell r="B266"/>
          <cell r="C266"/>
          <cell r="D266">
            <v>69</v>
          </cell>
          <cell r="E266"/>
          <cell r="F266">
            <v>69</v>
          </cell>
        </row>
        <row r="267">
          <cell r="A267" t="str">
            <v>Деревенская с чесночком и сальцем п/к (черева) 390 гр.шт. термоус. пак.  СПК</v>
          </cell>
          <cell r="B267"/>
          <cell r="C267"/>
          <cell r="D267">
            <v>158</v>
          </cell>
          <cell r="E267"/>
          <cell r="F267">
            <v>158</v>
          </cell>
        </row>
        <row r="268">
          <cell r="A268" t="str">
            <v>Докторская вареная в/с 0,47 кг шт.  СПК</v>
          </cell>
          <cell r="B268"/>
          <cell r="C268"/>
          <cell r="D268">
            <v>22</v>
          </cell>
          <cell r="E268"/>
          <cell r="F268">
            <v>22</v>
          </cell>
        </row>
        <row r="269">
          <cell r="A269" t="str">
            <v>Докторская вареная вес. (белк.об.) термоус.пак.  СПК</v>
          </cell>
          <cell r="B269"/>
          <cell r="C269"/>
          <cell r="D269">
            <v>23</v>
          </cell>
          <cell r="E269"/>
          <cell r="F269">
            <v>23</v>
          </cell>
        </row>
        <row r="270">
          <cell r="A270" t="str">
            <v>Докторская вареная термоус.пак. "Высокий вкус"  СПК</v>
          </cell>
          <cell r="B270"/>
          <cell r="C270"/>
          <cell r="D270">
            <v>16</v>
          </cell>
          <cell r="E270"/>
          <cell r="F270">
            <v>16</v>
          </cell>
        </row>
        <row r="271">
          <cell r="A271" t="str">
            <v>Европоддон (невозвратный)</v>
          </cell>
          <cell r="B271"/>
          <cell r="C271"/>
          <cell r="D271"/>
          <cell r="E271"/>
          <cell r="F271">
            <v>152</v>
          </cell>
        </row>
        <row r="272">
          <cell r="A272" t="str">
            <v>ЖАР-ладушки с мясом 0,2кг ТМ Стародворье  ПОКОМ</v>
          </cell>
          <cell r="B272"/>
          <cell r="C272"/>
          <cell r="D272">
            <v>1</v>
          </cell>
          <cell r="E272"/>
          <cell r="F272">
            <v>216</v>
          </cell>
        </row>
        <row r="273">
          <cell r="A273" t="str">
            <v>ЖАР-ладушки с яблоком и грушей ТМ Стародворье 0,2 кг. ПОКОМ</v>
          </cell>
          <cell r="B273"/>
          <cell r="C273"/>
          <cell r="D273">
            <v>1</v>
          </cell>
          <cell r="E273"/>
          <cell r="F273">
            <v>2</v>
          </cell>
        </row>
        <row r="274">
          <cell r="A274" t="str">
            <v>Жареные вареники с картофелем и беконом Добросельские 0,2 кг. ТМ Стародворье  ПОКОМ</v>
          </cell>
          <cell r="B274"/>
          <cell r="C274"/>
          <cell r="D274"/>
          <cell r="E274"/>
          <cell r="F274">
            <v>162</v>
          </cell>
        </row>
        <row r="275">
          <cell r="A275" t="str">
            <v>К798 Сыч/Прод Коровино Российский 50% 200г НОВАЯ СЗМЖ  ОСТАНКИНО</v>
          </cell>
          <cell r="B275"/>
          <cell r="C275"/>
          <cell r="D275">
            <v>1987</v>
          </cell>
          <cell r="E275"/>
          <cell r="F275">
            <v>1987</v>
          </cell>
        </row>
        <row r="276">
          <cell r="A276" t="str">
            <v>К801 Сыч/Прод Коровино Тильзитер 50% 200г НОВАЯ СЗМЖ  ОСТАНКИНО</v>
          </cell>
          <cell r="B276"/>
          <cell r="C276"/>
          <cell r="D276">
            <v>1957</v>
          </cell>
          <cell r="E276"/>
          <cell r="F276">
            <v>1957</v>
          </cell>
        </row>
        <row r="277">
          <cell r="A277" t="str">
            <v>К811 Сыч/Прод Коровино Российский Оригин 50% ВЕС НОВАЯ (5 кг)  ОСТАНКИНО</v>
          </cell>
          <cell r="B277"/>
          <cell r="C277"/>
          <cell r="D277">
            <v>163.9</v>
          </cell>
          <cell r="E277"/>
          <cell r="F277">
            <v>163.9</v>
          </cell>
        </row>
        <row r="278">
          <cell r="A278" t="str">
            <v>К825 Сыч/Прод Коровино Тильзитер Оригин 50% ВЕС НОВАЯ (5 кг брус) СЗМЖ  ОСТАНКИНО</v>
          </cell>
          <cell r="B278"/>
          <cell r="C278"/>
          <cell r="D278">
            <v>41.7</v>
          </cell>
          <cell r="E278"/>
          <cell r="F278">
            <v>41.7</v>
          </cell>
        </row>
        <row r="279">
          <cell r="A279" t="str">
            <v>Карбонад Юбилейный термоус.пак.  СПК</v>
          </cell>
          <cell r="B279"/>
          <cell r="C279"/>
          <cell r="D279">
            <v>10.9</v>
          </cell>
          <cell r="E279"/>
          <cell r="F279">
            <v>10.9</v>
          </cell>
        </row>
        <row r="280">
          <cell r="A280" t="str">
            <v>Классическая вареная 400 гр.шт.  СПК</v>
          </cell>
          <cell r="B280"/>
          <cell r="C280"/>
          <cell r="D280">
            <v>7</v>
          </cell>
          <cell r="E280"/>
          <cell r="F280">
            <v>7</v>
          </cell>
        </row>
        <row r="281">
          <cell r="A281" t="str">
            <v>Классическая с/к 80 гр.шт.нар. (лоток с ср.защ.атм.)  СПК</v>
          </cell>
          <cell r="B281"/>
          <cell r="C281"/>
          <cell r="D281">
            <v>166</v>
          </cell>
          <cell r="E281"/>
          <cell r="F281">
            <v>166</v>
          </cell>
        </row>
        <row r="282">
          <cell r="A282" t="str">
            <v>Колбаски Мяснули оригинальные с/к 50 гр.шт. (в ср.защ.атм.)  СПК</v>
          </cell>
          <cell r="B282"/>
          <cell r="C282"/>
          <cell r="D282">
            <v>33</v>
          </cell>
          <cell r="E282"/>
          <cell r="F282">
            <v>33</v>
          </cell>
        </row>
        <row r="283">
          <cell r="A283" t="str">
            <v>Колбаски ПодПивасики оригинальные с/к 0,10 кг.шт. термофор.пак.  СПК</v>
          </cell>
          <cell r="B283"/>
          <cell r="C283"/>
          <cell r="D283">
            <v>495</v>
          </cell>
          <cell r="E283"/>
          <cell r="F283">
            <v>495</v>
          </cell>
        </row>
        <row r="284">
          <cell r="A284" t="str">
            <v>Колбаски ПодПивасики острые с/к 0,10 кг.шт. термофор.пак.  СПК</v>
          </cell>
          <cell r="B284"/>
          <cell r="C284"/>
          <cell r="D284">
            <v>405</v>
          </cell>
          <cell r="E284"/>
          <cell r="F284">
            <v>405</v>
          </cell>
        </row>
        <row r="285">
          <cell r="A285" t="str">
            <v>Колбаски ПодПивасики с сыром с/к 100 гр.шт. (в ср.защ.атм.)  СПК</v>
          </cell>
          <cell r="B285"/>
          <cell r="C285"/>
          <cell r="D285">
            <v>116</v>
          </cell>
          <cell r="E285"/>
          <cell r="F285">
            <v>116</v>
          </cell>
        </row>
        <row r="286">
          <cell r="A286" t="str">
            <v>Круггетсы с сырным соусом ТМ Горячая штучка ТС Круггетсы флоу-пак 0,2 кг  ПОКОМ</v>
          </cell>
          <cell r="B286"/>
          <cell r="C286"/>
          <cell r="D286">
            <v>1</v>
          </cell>
          <cell r="E286"/>
          <cell r="F286">
            <v>669</v>
          </cell>
        </row>
        <row r="287">
          <cell r="A287" t="str">
            <v>Круггетсы сочные ТМ Горячая штучка ТС Круггетсы флоу-пак 0,2 кг.  ПОКОМ</v>
          </cell>
          <cell r="B287"/>
          <cell r="C287"/>
          <cell r="D287">
            <v>602</v>
          </cell>
          <cell r="E287"/>
          <cell r="F287">
            <v>1467</v>
          </cell>
        </row>
        <row r="288">
          <cell r="A288" t="str">
            <v>Ла Фаворте с/в "Эликатессе" 140 гр.шт.  СПК</v>
          </cell>
          <cell r="B288"/>
          <cell r="C288"/>
          <cell r="D288">
            <v>101</v>
          </cell>
          <cell r="E288"/>
          <cell r="F288">
            <v>101</v>
          </cell>
        </row>
        <row r="289">
          <cell r="A289" t="str">
            <v>Ливерная Печеночная 250 гр.шт.  СПК</v>
          </cell>
          <cell r="B289"/>
          <cell r="C289"/>
          <cell r="D289">
            <v>27</v>
          </cell>
          <cell r="E289"/>
          <cell r="F289">
            <v>27</v>
          </cell>
        </row>
        <row r="290">
          <cell r="A290" t="str">
            <v>Любительская вареная термоус.пак. "Высокий вкус"  СПК</v>
          </cell>
          <cell r="B290"/>
          <cell r="C290"/>
          <cell r="D290">
            <v>74.8</v>
          </cell>
          <cell r="E290"/>
          <cell r="F290">
            <v>74.8</v>
          </cell>
        </row>
        <row r="291">
          <cell r="A291" t="str">
            <v>Мини-сосиски в тесте 3,7кг ВЕС заморож. ТМ Зареченские  ПОКОМ</v>
          </cell>
          <cell r="B291"/>
          <cell r="C291"/>
          <cell r="D291"/>
          <cell r="E291"/>
          <cell r="F291">
            <v>207.90100000000001</v>
          </cell>
        </row>
        <row r="292">
          <cell r="A292" t="str">
            <v>Мини-чебуречки с мясом ВЕС 5,5кг ТМ Зареченские  ПОКОМ</v>
          </cell>
          <cell r="B292"/>
          <cell r="C292"/>
          <cell r="D292"/>
          <cell r="E292"/>
          <cell r="F292">
            <v>88.5</v>
          </cell>
        </row>
        <row r="293">
          <cell r="A293" t="str">
            <v>Мини-шарики с курочкой и сыром ТМ Зареченские ВЕС  ПОКОМ</v>
          </cell>
          <cell r="B293"/>
          <cell r="C293"/>
          <cell r="D293">
            <v>12</v>
          </cell>
          <cell r="E293"/>
          <cell r="F293">
            <v>862.7</v>
          </cell>
        </row>
        <row r="294">
          <cell r="A294" t="str">
            <v>Наггетсы из печи 0,25кг ТМ Вязанка ТС Няняггетсы Сливушки замор.  ПОКОМ</v>
          </cell>
          <cell r="B294"/>
          <cell r="C294"/>
          <cell r="D294">
            <v>561</v>
          </cell>
          <cell r="E294"/>
          <cell r="F294">
            <v>2211</v>
          </cell>
        </row>
        <row r="295">
          <cell r="A295" t="str">
            <v>Наггетсы Нагетосы Сочная курочка со сладкой паприкой  0,25 кг ПОКОМ</v>
          </cell>
          <cell r="B295"/>
          <cell r="C295"/>
          <cell r="D295">
            <v>1</v>
          </cell>
          <cell r="E295"/>
          <cell r="F295">
            <v>1</v>
          </cell>
        </row>
        <row r="296">
          <cell r="A296" t="str">
            <v>Наггетсы Нагетосы Сочная курочка ТМ Горячая штучка 0,25 кг зам  ПОКОМ</v>
          </cell>
          <cell r="B296"/>
          <cell r="C296"/>
          <cell r="D296">
            <v>606</v>
          </cell>
          <cell r="E296"/>
          <cell r="F296">
            <v>2005</v>
          </cell>
        </row>
        <row r="297">
          <cell r="A297" t="str">
            <v>Наггетсы с индейкой 0,25кг ТМ Вязанка ТС Няняггетсы Сливушки НД2 замор.  ПОКОМ</v>
          </cell>
          <cell r="B297"/>
          <cell r="C297"/>
          <cell r="D297">
            <v>845</v>
          </cell>
          <cell r="E297"/>
          <cell r="F297">
            <v>2357</v>
          </cell>
        </row>
        <row r="298">
          <cell r="A298" t="str">
            <v>Наггетсы с куриным филе и сыром ТМ Вязанка 0,25 кг ПОКОМ</v>
          </cell>
          <cell r="B298"/>
          <cell r="C298"/>
          <cell r="D298">
            <v>848</v>
          </cell>
          <cell r="E298"/>
          <cell r="F298">
            <v>2287</v>
          </cell>
        </row>
        <row r="299">
          <cell r="A299" t="str">
            <v>Наггетсы Хрустящие 0,3кг ТМ Зареченские  ПОКОМ</v>
          </cell>
          <cell r="B299"/>
          <cell r="C299"/>
          <cell r="D299">
            <v>1</v>
          </cell>
          <cell r="E299"/>
          <cell r="F299">
            <v>1</v>
          </cell>
        </row>
        <row r="300">
          <cell r="A300" t="str">
            <v>Наггетсы Хрустящие ТМ Зареченские. ВЕС ПОКОМ</v>
          </cell>
          <cell r="B300"/>
          <cell r="C300"/>
          <cell r="D300">
            <v>6</v>
          </cell>
          <cell r="E300"/>
          <cell r="F300">
            <v>1464</v>
          </cell>
        </row>
        <row r="301">
          <cell r="A301" t="str">
            <v>Наггетсы Хрустящие ТМ Стародворье с сочной курочкой 0,23 кг  ПОКОМ</v>
          </cell>
          <cell r="B301"/>
          <cell r="C301"/>
          <cell r="D301">
            <v>2</v>
          </cell>
          <cell r="E301"/>
          <cell r="F301">
            <v>208</v>
          </cell>
        </row>
        <row r="302">
          <cell r="A302" t="str">
            <v>Оригинальная с перцем с/к  СПК</v>
          </cell>
          <cell r="B302"/>
          <cell r="C302"/>
          <cell r="D302">
            <v>102.8</v>
          </cell>
          <cell r="E302"/>
          <cell r="F302">
            <v>102.8</v>
          </cell>
        </row>
        <row r="303">
          <cell r="A303" t="str">
            <v>Особая вареная  СПК</v>
          </cell>
          <cell r="B303"/>
          <cell r="C303"/>
          <cell r="D303">
            <v>2.5</v>
          </cell>
          <cell r="E303"/>
          <cell r="F303">
            <v>2.5</v>
          </cell>
        </row>
        <row r="304">
          <cell r="A304" t="str">
            <v>Паштет печеночный 140 гр.шт.  СПК</v>
          </cell>
          <cell r="B304"/>
          <cell r="C304"/>
          <cell r="D304">
            <v>8</v>
          </cell>
          <cell r="E304"/>
          <cell r="F304">
            <v>8</v>
          </cell>
        </row>
        <row r="305">
          <cell r="A305" t="str">
            <v>Пекерсы с индейкой в сливочном соусе ТМ Горячая штучка 0,25 кг зам  ПОКОМ</v>
          </cell>
          <cell r="B305"/>
          <cell r="C305"/>
          <cell r="D305"/>
          <cell r="E305"/>
          <cell r="F305">
            <v>390</v>
          </cell>
        </row>
        <row r="306">
          <cell r="A306" t="str">
            <v>Пельмени Grandmeni с говядиной и свининой 0,7кг ТМ Горячая штучка  ПОКОМ</v>
          </cell>
          <cell r="B306"/>
          <cell r="C306"/>
          <cell r="D306"/>
          <cell r="E306"/>
          <cell r="F306">
            <v>197</v>
          </cell>
        </row>
        <row r="307">
          <cell r="A307" t="str">
            <v>Пельмени Бигбули #МЕГАВКУСИЩЕ с сочной грудинкой ТМ Горячая штучка 0,7 кг. ПОКОМ</v>
          </cell>
          <cell r="B307"/>
          <cell r="C307"/>
          <cell r="D307">
            <v>1</v>
          </cell>
          <cell r="E307"/>
          <cell r="F307">
            <v>818</v>
          </cell>
        </row>
        <row r="308">
          <cell r="A308" t="str">
            <v>Пельмени Бигбули с мясом ТМ Горячая штучка. флоу-пак сфера 0,4 кг. ПОКОМ</v>
          </cell>
          <cell r="B308"/>
          <cell r="C308"/>
          <cell r="D308">
            <v>2</v>
          </cell>
          <cell r="E308"/>
          <cell r="F308">
            <v>137</v>
          </cell>
        </row>
        <row r="309">
          <cell r="A309" t="str">
            <v>Пельмени Бигбули с мясом ТМ Горячая штучка. флоу-пак сфера 0,7 кг ПОКОМ</v>
          </cell>
          <cell r="B309"/>
          <cell r="C309"/>
          <cell r="D309">
            <v>1006</v>
          </cell>
          <cell r="E309"/>
          <cell r="F309">
            <v>2072</v>
          </cell>
        </row>
        <row r="310">
          <cell r="A310" t="str">
            <v>Пельмени Бигбули с мясом, Горячая штучка 0,43кг  ПОКОМ</v>
          </cell>
          <cell r="B310"/>
          <cell r="C310"/>
          <cell r="D310">
            <v>1</v>
          </cell>
          <cell r="E310"/>
          <cell r="F310">
            <v>1</v>
          </cell>
        </row>
        <row r="311">
          <cell r="A311" t="str">
            <v>Пельмени Бигбули со сливочным маслом ТМ Горячая штучка, флоу-пак сфера 0,4. ПОКОМ</v>
          </cell>
          <cell r="B311"/>
          <cell r="C311"/>
          <cell r="D311"/>
          <cell r="E311"/>
          <cell r="F311">
            <v>1</v>
          </cell>
        </row>
        <row r="312">
          <cell r="A312" t="str">
            <v>Пельмени Бигбули со сливочным маслом ТМ Горячая штучка, флоу-пак сфера 0,7. ПОКОМ</v>
          </cell>
          <cell r="B312"/>
          <cell r="C312"/>
          <cell r="D312">
            <v>3</v>
          </cell>
          <cell r="E312"/>
          <cell r="F312">
            <v>1099</v>
          </cell>
        </row>
        <row r="313">
          <cell r="A313" t="str">
            <v>Пельмени Бульмени мини с мясом и оливковым маслом 0,7 кг ТМ Горячая штучка  ПОКОМ</v>
          </cell>
          <cell r="B313"/>
          <cell r="C313"/>
          <cell r="D313">
            <v>1</v>
          </cell>
          <cell r="E313"/>
          <cell r="F313">
            <v>744</v>
          </cell>
        </row>
        <row r="314">
          <cell r="A314" t="str">
            <v>Пельмени Бульмени Нейробуст с мясом ТМ Горячая штучка ТС Бульмени ГШ сфера флоу-пак 0,6 кг.  ПОКОМ</v>
          </cell>
          <cell r="B314"/>
          <cell r="C314"/>
          <cell r="D314"/>
          <cell r="E314"/>
          <cell r="F314">
            <v>126</v>
          </cell>
        </row>
        <row r="315">
          <cell r="A315" t="str">
            <v>Пельмени Бульмени с говядиной и свининой Наваристые 5кг Горячая штучка ВЕС  ПОКОМ</v>
          </cell>
          <cell r="B315"/>
          <cell r="C315"/>
          <cell r="D315">
            <v>15</v>
          </cell>
          <cell r="E315"/>
          <cell r="F315">
            <v>2120</v>
          </cell>
        </row>
        <row r="316">
          <cell r="A316" t="str">
            <v>Пельмени Бульмени с говядиной и свининой СЕВЕРНАЯ КОЛЛЕКЦИЯ 0,7кг ТМ Горячая штучка сфера  ПОКОМ</v>
          </cell>
          <cell r="B316"/>
          <cell r="C316"/>
          <cell r="D316"/>
          <cell r="E316"/>
          <cell r="F316">
            <v>855</v>
          </cell>
        </row>
        <row r="317">
          <cell r="A317" t="str">
            <v>Пельмени Бульмени с говядиной и свининой ТМ Горячая штучка. флоу-пак сфера 0,4 кг ПОКОМ</v>
          </cell>
          <cell r="B317"/>
          <cell r="C317"/>
          <cell r="D317">
            <v>11</v>
          </cell>
          <cell r="E317"/>
          <cell r="F317">
            <v>1046</v>
          </cell>
        </row>
        <row r="318">
          <cell r="A318" t="str">
            <v>Пельмени Бульмени с говядиной и свининой ТМ Горячая штучка. флоу-пак сфера 0,7 кг ПОКОМ</v>
          </cell>
          <cell r="B318"/>
          <cell r="C318"/>
          <cell r="D318">
            <v>375</v>
          </cell>
          <cell r="E318"/>
          <cell r="F318">
            <v>1979</v>
          </cell>
        </row>
        <row r="319">
          <cell r="A319" t="str">
            <v>Пельмени Бульмени со сливочным маслом ТМ Горячая штучка. флоу-пак сфера 0,4 кг. ПОКОМ</v>
          </cell>
          <cell r="B319"/>
          <cell r="C319"/>
          <cell r="D319">
            <v>12</v>
          </cell>
          <cell r="E319"/>
          <cell r="F319">
            <v>1194</v>
          </cell>
        </row>
        <row r="320">
          <cell r="A320" t="str">
            <v>Пельмени Бульмени со сливочным маслом ТМ Горячая штучка.флоу-пак сфера 0,7 кг. ПОКОМ</v>
          </cell>
          <cell r="B320"/>
          <cell r="C320"/>
          <cell r="D320">
            <v>1105</v>
          </cell>
          <cell r="E320"/>
          <cell r="F320">
            <v>3760</v>
          </cell>
        </row>
        <row r="321">
          <cell r="A321" t="str">
            <v>Пельмени Бульмени хрустящие с мясом 0,22 кг ТМ Горячая штучка  ПОКОМ</v>
          </cell>
          <cell r="B321"/>
          <cell r="C321"/>
          <cell r="D321"/>
          <cell r="E321"/>
          <cell r="F321">
            <v>117</v>
          </cell>
        </row>
        <row r="322">
          <cell r="A322" t="str">
            <v>Пельмени Добросельские со свининой и говядиной ТМ Стародворье флоу-пак клас. форма 0,65 кг.  ПОКОМ</v>
          </cell>
          <cell r="B322"/>
          <cell r="C322"/>
          <cell r="D322">
            <v>1</v>
          </cell>
          <cell r="E322"/>
          <cell r="F322">
            <v>123</v>
          </cell>
        </row>
        <row r="323">
          <cell r="A323" t="str">
            <v>Пельмени Зареченские сфера 5 кг.  ПОКОМ</v>
          </cell>
          <cell r="B323"/>
          <cell r="C323"/>
          <cell r="D323"/>
          <cell r="E323"/>
          <cell r="F323">
            <v>25</v>
          </cell>
        </row>
        <row r="324">
          <cell r="A324" t="str">
            <v>Пельмени Мясные с говядиной ТМ Стародворье сфера флоу-пак 1 кг  ПОКОМ</v>
          </cell>
          <cell r="B324"/>
          <cell r="C324"/>
          <cell r="D324">
            <v>5</v>
          </cell>
          <cell r="E324"/>
          <cell r="F324">
            <v>410</v>
          </cell>
        </row>
        <row r="325">
          <cell r="A325" t="str">
            <v>Пельмени Мясорубские с рубленой грудинкой ТМ Стародворье флоупак  0,7 кг. ПОКОМ</v>
          </cell>
          <cell r="B325"/>
          <cell r="C325"/>
          <cell r="D325"/>
          <cell r="E325"/>
          <cell r="F325">
            <v>1</v>
          </cell>
        </row>
        <row r="326">
          <cell r="A326" t="str">
            <v>Пельмени Отборные из свинины и говядины 0,9 кг ТМ Стародворье ТС Медвежье ушко  ПОКОМ</v>
          </cell>
          <cell r="B326"/>
          <cell r="C326"/>
          <cell r="D326">
            <v>1</v>
          </cell>
          <cell r="E326"/>
          <cell r="F326">
            <v>380</v>
          </cell>
        </row>
        <row r="327">
          <cell r="A327" t="str">
            <v>Пельмени Отборные с говядиной 0,9 кг НОВА ТМ Стародворье ТС Медвежье ушко  ПОКОМ</v>
          </cell>
          <cell r="B327"/>
          <cell r="C327"/>
          <cell r="D327">
            <v>2</v>
          </cell>
          <cell r="E327"/>
          <cell r="F327">
            <v>2</v>
          </cell>
        </row>
        <row r="328">
          <cell r="A328" t="str">
            <v>Пельмени С говядиной и свининой, ВЕС, сфера пуговки Мясная Галерея  ПОКОМ</v>
          </cell>
          <cell r="B328"/>
          <cell r="C328"/>
          <cell r="D328">
            <v>10</v>
          </cell>
          <cell r="E328"/>
          <cell r="F328">
            <v>540</v>
          </cell>
        </row>
        <row r="329">
          <cell r="A329" t="str">
            <v>Пельмени Со свининой и говядиной ТМ Особый рецепт Любимая ложка 1,0 кг  ПОКОМ</v>
          </cell>
          <cell r="B329"/>
          <cell r="C329"/>
          <cell r="D329">
            <v>13</v>
          </cell>
          <cell r="E329"/>
          <cell r="F329">
            <v>1061</v>
          </cell>
        </row>
        <row r="330">
          <cell r="A330" t="str">
            <v>Пельмени Сочные сфера 0,8 кг ТМ Стародворье  ПОКОМ</v>
          </cell>
          <cell r="B330"/>
          <cell r="C330"/>
          <cell r="D330"/>
          <cell r="E330"/>
          <cell r="F330">
            <v>37</v>
          </cell>
        </row>
        <row r="331">
          <cell r="A331" t="str">
            <v>Пирожки с мясом 3,7кг ВЕС ТМ Зареченские  ПОКОМ</v>
          </cell>
          <cell r="B331"/>
          <cell r="C331"/>
          <cell r="D331">
            <v>11.1</v>
          </cell>
          <cell r="E331"/>
          <cell r="F331">
            <v>103.611</v>
          </cell>
        </row>
        <row r="332">
          <cell r="A332" t="str">
            <v>Ричеза с/к 230 гр.шт.  СПК</v>
          </cell>
          <cell r="B332"/>
          <cell r="C332"/>
          <cell r="D332">
            <v>51</v>
          </cell>
          <cell r="E332"/>
          <cell r="F332">
            <v>51</v>
          </cell>
        </row>
        <row r="333">
          <cell r="A333" t="str">
            <v>Сальчетти с/к 230 гр.шт.  СПК</v>
          </cell>
          <cell r="B333"/>
          <cell r="C333"/>
          <cell r="D333">
            <v>112</v>
          </cell>
          <cell r="E333"/>
          <cell r="F333">
            <v>112</v>
          </cell>
        </row>
        <row r="334">
          <cell r="A334" t="str">
            <v>Салями с перчиком с/к "КолбасГрад" 160 гр.шт. термоус. пак.  СПК</v>
          </cell>
          <cell r="B334"/>
          <cell r="C334"/>
          <cell r="D334">
            <v>95</v>
          </cell>
          <cell r="E334"/>
          <cell r="F334">
            <v>95</v>
          </cell>
        </row>
        <row r="335">
          <cell r="A335" t="str">
            <v>Салями с/к 100 гр.шт.нар. (лоток с ср.защ.атм.)  СПК</v>
          </cell>
          <cell r="B335"/>
          <cell r="C335"/>
          <cell r="D335">
            <v>209</v>
          </cell>
          <cell r="E335"/>
          <cell r="F335">
            <v>209</v>
          </cell>
        </row>
        <row r="336">
          <cell r="A336" t="str">
            <v>Салями Трюфель с/в "Эликатессе" 0,16 кг.шт.  СПК</v>
          </cell>
          <cell r="B336"/>
          <cell r="C336"/>
          <cell r="D336">
            <v>162</v>
          </cell>
          <cell r="E336"/>
          <cell r="F336">
            <v>162</v>
          </cell>
        </row>
        <row r="337">
          <cell r="A337" t="str">
            <v>Сардельки "Докторские" (черева) ( в ср.защ.атм.) 1.0 кг. "Высокий вкус"  СПК</v>
          </cell>
          <cell r="B337"/>
          <cell r="C337"/>
          <cell r="D337">
            <v>47</v>
          </cell>
          <cell r="E337"/>
          <cell r="F337">
            <v>47</v>
          </cell>
        </row>
        <row r="338">
          <cell r="A338" t="str">
            <v>Сардельки из говядины (черева) (в ср.защ.атм.) "Высокий вкус"  СПК</v>
          </cell>
          <cell r="B338"/>
          <cell r="C338"/>
          <cell r="D338">
            <v>18</v>
          </cell>
          <cell r="E338"/>
          <cell r="F338">
            <v>18</v>
          </cell>
        </row>
        <row r="339">
          <cell r="A339" t="str">
            <v>Сардельки Необыкновенные (черева) 400 гр.шт. (лоток с ср.защ.атм.)  СПК</v>
          </cell>
          <cell r="B339"/>
          <cell r="C339"/>
          <cell r="D339">
            <v>15</v>
          </cell>
          <cell r="E339"/>
          <cell r="F339">
            <v>15</v>
          </cell>
        </row>
        <row r="340">
          <cell r="A340" t="str">
            <v>Семейная с чесночком Экстра вареная  СПК</v>
          </cell>
          <cell r="B340"/>
          <cell r="C340"/>
          <cell r="D340">
            <v>2.5</v>
          </cell>
          <cell r="E340"/>
          <cell r="F340">
            <v>2.5</v>
          </cell>
        </row>
        <row r="341">
          <cell r="A341" t="str">
            <v>Сервелат Европейский в/к, в/с 0,38 кг.шт.термофор.пак  СПК</v>
          </cell>
          <cell r="B341"/>
          <cell r="C341"/>
          <cell r="D341">
            <v>18</v>
          </cell>
          <cell r="E341"/>
          <cell r="F341">
            <v>18</v>
          </cell>
        </row>
        <row r="342">
          <cell r="A342" t="str">
            <v>Сервелат мелкозернистый в/к 0,5 кг.шт. термоус.пак. "Высокий вкус"  СПК</v>
          </cell>
          <cell r="B342"/>
          <cell r="C342"/>
          <cell r="D342">
            <v>21</v>
          </cell>
          <cell r="E342"/>
          <cell r="F342">
            <v>21</v>
          </cell>
        </row>
        <row r="343">
          <cell r="A343" t="str">
            <v>Сервелат Финский в/к 0,38 кг.шт. термофор.пак.  СПК</v>
          </cell>
          <cell r="B343"/>
          <cell r="C343"/>
          <cell r="D343">
            <v>14</v>
          </cell>
          <cell r="E343"/>
          <cell r="F343">
            <v>14</v>
          </cell>
        </row>
        <row r="344">
          <cell r="A344" t="str">
            <v>Сервелат Фирменный в/к 0,10 кг.шт. нарезка (лоток с ср.защ.атм.)  СПК</v>
          </cell>
          <cell r="B344"/>
          <cell r="C344"/>
          <cell r="D344">
            <v>106</v>
          </cell>
          <cell r="E344"/>
          <cell r="F344">
            <v>106</v>
          </cell>
        </row>
        <row r="345">
          <cell r="A345" t="str">
            <v>Сервелат Фирменный в/к 250 гр.шт. термоформ.пак.  СПК</v>
          </cell>
          <cell r="B345"/>
          <cell r="C345"/>
          <cell r="D345">
            <v>1</v>
          </cell>
          <cell r="E345"/>
          <cell r="F345">
            <v>1</v>
          </cell>
        </row>
        <row r="346">
          <cell r="A346" t="str">
            <v>Сибирская особая с/к 0,10 кг.шт. нарезка (лоток с ср.защ.атм.)  СПК</v>
          </cell>
          <cell r="B346"/>
          <cell r="C346"/>
          <cell r="D346">
            <v>101</v>
          </cell>
          <cell r="E346"/>
          <cell r="F346">
            <v>101</v>
          </cell>
        </row>
        <row r="347">
          <cell r="A347" t="str">
            <v>Сибирская особая с/к 0,235 кг шт.  СПК</v>
          </cell>
          <cell r="B347"/>
          <cell r="C347"/>
          <cell r="D347">
            <v>95</v>
          </cell>
          <cell r="E347"/>
          <cell r="F347">
            <v>95</v>
          </cell>
        </row>
        <row r="348">
          <cell r="A348" t="str">
            <v>Сосиски "Баварские" 0,36 кг.шт. вак.упак.  СПК</v>
          </cell>
          <cell r="B348"/>
          <cell r="C348"/>
          <cell r="D348">
            <v>4</v>
          </cell>
          <cell r="E348"/>
          <cell r="F348">
            <v>4</v>
          </cell>
        </row>
        <row r="349">
          <cell r="A349" t="str">
            <v>Сосиски "Молочные" 0,36 кг.шт. вак.упак.  СПК</v>
          </cell>
          <cell r="B349"/>
          <cell r="C349"/>
          <cell r="D349">
            <v>9</v>
          </cell>
          <cell r="E349"/>
          <cell r="F349">
            <v>9</v>
          </cell>
        </row>
        <row r="350">
          <cell r="A350" t="str">
            <v>Сосиски Классические (в ср.защ.атм.) СПК</v>
          </cell>
          <cell r="B350"/>
          <cell r="C350"/>
          <cell r="D350">
            <v>19</v>
          </cell>
          <cell r="E350"/>
          <cell r="F350">
            <v>19</v>
          </cell>
        </row>
        <row r="351">
          <cell r="A351" t="str">
            <v>Сосиски Мусульманские "Просто выгодно" (в ср.защ.атм.)  СПК</v>
          </cell>
          <cell r="B351"/>
          <cell r="C351"/>
          <cell r="D351">
            <v>6</v>
          </cell>
          <cell r="E351"/>
          <cell r="F351">
            <v>6</v>
          </cell>
        </row>
        <row r="352">
          <cell r="A352" t="str">
            <v>Сосиски Хот-дог подкопченные (лоток с ср.защ.атм.)  СПК</v>
          </cell>
          <cell r="B352"/>
          <cell r="C352"/>
          <cell r="D352">
            <v>7</v>
          </cell>
          <cell r="E352"/>
          <cell r="F352">
            <v>7</v>
          </cell>
        </row>
        <row r="353">
          <cell r="A353" t="str">
            <v>Сочный мегачебурек ТМ Зареченские ВЕС ПОКОМ</v>
          </cell>
          <cell r="B353"/>
          <cell r="C353"/>
          <cell r="D353"/>
          <cell r="E353"/>
          <cell r="F353">
            <v>145.66</v>
          </cell>
        </row>
        <row r="354">
          <cell r="A354" t="str">
            <v>Торо Неро с/в "Эликатессе" 140 гр.шт.  СПК</v>
          </cell>
          <cell r="B354"/>
          <cell r="C354"/>
          <cell r="D354">
            <v>52</v>
          </cell>
          <cell r="E354"/>
          <cell r="F354">
            <v>52</v>
          </cell>
        </row>
        <row r="355">
          <cell r="A355" t="str">
            <v>Утренняя вареная ВЕС СПК</v>
          </cell>
          <cell r="B355"/>
          <cell r="C355"/>
          <cell r="D355">
            <v>4.5</v>
          </cell>
          <cell r="E355"/>
          <cell r="F355">
            <v>4.5</v>
          </cell>
        </row>
        <row r="356">
          <cell r="A356" t="str">
            <v>Уши свиные копченые к пиву 0,15кг нар. д/ф шт.  СПК</v>
          </cell>
          <cell r="B356"/>
          <cell r="C356"/>
          <cell r="D356">
            <v>23</v>
          </cell>
          <cell r="E356"/>
          <cell r="F356">
            <v>23</v>
          </cell>
        </row>
        <row r="357">
          <cell r="A357" t="str">
            <v>Фестивальная пора с/к 100 гр.шт.нар. (лоток с ср.защ.атм.)  СПК</v>
          </cell>
          <cell r="B357"/>
          <cell r="C357"/>
          <cell r="D357">
            <v>58</v>
          </cell>
          <cell r="E357"/>
          <cell r="F357">
            <v>58</v>
          </cell>
        </row>
        <row r="358">
          <cell r="A358" t="str">
            <v>Фестивальная пора с/к 235 гр.шт.  СПК</v>
          </cell>
          <cell r="B358"/>
          <cell r="C358"/>
          <cell r="D358">
            <v>315</v>
          </cell>
          <cell r="E358"/>
          <cell r="F358">
            <v>315</v>
          </cell>
        </row>
        <row r="359">
          <cell r="A359" t="str">
            <v>Фестивальная пора с/к термоус.пак  СПК</v>
          </cell>
          <cell r="B359"/>
          <cell r="C359"/>
          <cell r="D359">
            <v>8.8000000000000007</v>
          </cell>
          <cell r="E359"/>
          <cell r="F359">
            <v>8.8000000000000007</v>
          </cell>
        </row>
        <row r="360">
          <cell r="A360" t="str">
            <v>Фирменная с/к 200 гр. срез "Эликатессе" термоформ.пак.  СПК</v>
          </cell>
          <cell r="B360"/>
          <cell r="C360"/>
          <cell r="D360">
            <v>55</v>
          </cell>
          <cell r="E360"/>
          <cell r="F360">
            <v>55</v>
          </cell>
        </row>
        <row r="361">
          <cell r="A361" t="str">
            <v>Фуэт с/в "Эликатессе" 160 гр.шт.  СПК</v>
          </cell>
          <cell r="B361"/>
          <cell r="C361"/>
          <cell r="D361">
            <v>142</v>
          </cell>
          <cell r="E361"/>
          <cell r="F361">
            <v>142</v>
          </cell>
        </row>
        <row r="362">
          <cell r="A362" t="str">
            <v>Хот-догстер ТМ Горячая штучка ТС Хот-Догстер флоу-пак 0,09 кг. ПОКОМ</v>
          </cell>
          <cell r="B362"/>
          <cell r="C362"/>
          <cell r="D362"/>
          <cell r="E362"/>
          <cell r="F362">
            <v>243</v>
          </cell>
        </row>
        <row r="363">
          <cell r="A363" t="str">
            <v>Хотстеры с сыром 0,25кг ТМ Горячая штучка  ПОКОМ</v>
          </cell>
          <cell r="B363"/>
          <cell r="C363"/>
          <cell r="D363">
            <v>1</v>
          </cell>
          <cell r="E363"/>
          <cell r="F363">
            <v>568</v>
          </cell>
        </row>
        <row r="364">
          <cell r="A364" t="str">
            <v>Хотстеры ТМ Горячая штучка ТС Хотстеры 0,25 кг зам  ПОКОМ</v>
          </cell>
          <cell r="B364"/>
          <cell r="C364"/>
          <cell r="D364">
            <v>604</v>
          </cell>
          <cell r="E364"/>
          <cell r="F364">
            <v>1955</v>
          </cell>
        </row>
        <row r="365">
          <cell r="A365" t="str">
            <v>Хрустящие крылышки острые к пиву ТМ Горячая штучка 0,3кг зам  ПОКОМ</v>
          </cell>
          <cell r="B365"/>
          <cell r="C365"/>
          <cell r="D365">
            <v>1</v>
          </cell>
          <cell r="E365"/>
          <cell r="F365">
            <v>512</v>
          </cell>
        </row>
        <row r="366">
          <cell r="A366" t="str">
            <v>Хрустящие крылышки ТМ Горячая штучка 0,3 кг зам  ПОКОМ</v>
          </cell>
          <cell r="B366"/>
          <cell r="C366"/>
          <cell r="D366">
            <v>2</v>
          </cell>
          <cell r="E366"/>
          <cell r="F366">
            <v>598</v>
          </cell>
        </row>
        <row r="367">
          <cell r="A367" t="str">
            <v>Чебупели Курочка гриль ТМ Горячая штучка, 0,3 кг зам  ПОКОМ</v>
          </cell>
          <cell r="B367"/>
          <cell r="C367"/>
          <cell r="D367"/>
          <cell r="E367"/>
          <cell r="F367">
            <v>315</v>
          </cell>
        </row>
        <row r="368">
          <cell r="A368" t="str">
            <v>Чебупицца курочка по-итальянски Горячая штучка 0,25 кг зам  ПОКОМ</v>
          </cell>
          <cell r="B368"/>
          <cell r="C368"/>
          <cell r="D368">
            <v>1445</v>
          </cell>
          <cell r="E368"/>
          <cell r="F368">
            <v>3436</v>
          </cell>
        </row>
        <row r="369">
          <cell r="A369" t="str">
            <v>Чебупицца Маргарита 0,2кг ТМ Горячая штучка ТС Foodgital  ПОКОМ</v>
          </cell>
          <cell r="B369"/>
          <cell r="C369"/>
          <cell r="D369">
            <v>2</v>
          </cell>
          <cell r="E369"/>
          <cell r="F369">
            <v>271</v>
          </cell>
        </row>
        <row r="370">
          <cell r="A370" t="str">
            <v>Чебупицца Пепперони ТМ Горячая штучка ТС Чебупицца 0.25кг зам  ПОКОМ</v>
          </cell>
          <cell r="B370"/>
          <cell r="C370"/>
          <cell r="D370">
            <v>1448</v>
          </cell>
          <cell r="E370"/>
          <cell r="F370">
            <v>5223</v>
          </cell>
        </row>
        <row r="371">
          <cell r="A371" t="str">
            <v>Чебупицца со вкусом 4 сыра 0,2кг ТМ Горячая штучка ТС Foodgital  ПОКОМ</v>
          </cell>
          <cell r="B371"/>
          <cell r="C371"/>
          <cell r="D371">
            <v>1</v>
          </cell>
          <cell r="E371"/>
          <cell r="F371">
            <v>197</v>
          </cell>
        </row>
        <row r="372">
          <cell r="A372" t="str">
            <v>Чебуреки сочные ВЕС ТМ Зареченские  ПОКОМ</v>
          </cell>
          <cell r="B372"/>
          <cell r="C372"/>
          <cell r="D372">
            <v>5</v>
          </cell>
          <cell r="E372"/>
          <cell r="F372">
            <v>871</v>
          </cell>
        </row>
        <row r="373">
          <cell r="A373" t="str">
            <v>Чебуреки сочные, ВЕС, куриные жарен. зам  ПОКОМ</v>
          </cell>
          <cell r="B373"/>
          <cell r="C373"/>
          <cell r="D373"/>
          <cell r="E373"/>
          <cell r="F373">
            <v>5</v>
          </cell>
        </row>
        <row r="374">
          <cell r="A374" t="str">
            <v>Шпикачки Русские (черева) (в ср.защ.атм.) "Высокий вкус"  СПК</v>
          </cell>
          <cell r="B374"/>
          <cell r="C374"/>
          <cell r="D374">
            <v>23.7</v>
          </cell>
          <cell r="E374"/>
          <cell r="F374">
            <v>23.7</v>
          </cell>
        </row>
        <row r="375">
          <cell r="A375" t="str">
            <v>Эликапреза с/в "Эликатессе" 85 гр.шт. нарезка (лоток с ср.защ.атм.)  СПК</v>
          </cell>
          <cell r="B375"/>
          <cell r="C375"/>
          <cell r="D375">
            <v>4</v>
          </cell>
          <cell r="E375"/>
          <cell r="F375">
            <v>4</v>
          </cell>
        </row>
        <row r="376">
          <cell r="A376" t="str">
            <v>Юбилейная с/к 0,10 кг.шт. нарезка (лоток с ср.защ.атм.)  СПК</v>
          </cell>
          <cell r="B376"/>
          <cell r="C376"/>
          <cell r="D376">
            <v>2</v>
          </cell>
          <cell r="E376"/>
          <cell r="F376">
            <v>2</v>
          </cell>
        </row>
        <row r="377">
          <cell r="A377" t="str">
            <v>Юбилейная с/к 0,235 кг.шт.  СПК</v>
          </cell>
          <cell r="B377"/>
          <cell r="C377"/>
          <cell r="D377">
            <v>358</v>
          </cell>
          <cell r="E377"/>
          <cell r="F377">
            <v>358</v>
          </cell>
        </row>
        <row r="378">
          <cell r="A378" t="str">
            <v>Итого</v>
          </cell>
          <cell r="B378"/>
          <cell r="C378"/>
          <cell r="D378">
            <v>104008.046</v>
          </cell>
          <cell r="E378"/>
          <cell r="F378">
            <v>265158.00900000002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28.11.2025 - 28.11.2025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137.50200000000001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264.70699999999999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380.88299999999998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890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710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231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97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108.15600000000001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1079.8109999999999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60.466999999999999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108.428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25.548999999999999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72.724000000000004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98.302999999999997</v>
          </cell>
        </row>
        <row r="28">
          <cell r="A28" t="str">
            <v xml:space="preserve"> 247  Сардельки Нежные, ВЕС.  ПОКОМ</v>
          </cell>
          <cell r="D28">
            <v>19.588000000000001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45.463000000000001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430.14100000000002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61.473999999999997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17.72</v>
          </cell>
        </row>
        <row r="33">
          <cell r="A33" t="str">
            <v xml:space="preserve"> 263  Шпикачки Стародворские, ВЕС.  ПОКОМ</v>
          </cell>
          <cell r="D33">
            <v>169.142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11.661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11.712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514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528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1141</v>
          </cell>
        </row>
        <row r="39">
          <cell r="A39" t="str">
            <v xml:space="preserve"> 283  Сосиски Сочинки, ВЕС, ТМ Стародворье ПОКОМ</v>
          </cell>
          <cell r="D39">
            <v>89.048000000000002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130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152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46.323999999999998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77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376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37.712000000000003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122.155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260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408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178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134.51599999999999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122.136</v>
          </cell>
        </row>
        <row r="52">
          <cell r="A52" t="str">
            <v xml:space="preserve"> 318  Сосиски Датские ТМ Зареченские, ВЕС  ПОКОМ</v>
          </cell>
          <cell r="D52">
            <v>1374.0340000000001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386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895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271</v>
          </cell>
        </row>
        <row r="56">
          <cell r="A56" t="str">
            <v xml:space="preserve"> 328  Сардельки Сочинки Стародворье ТМ  0,4 кг ПОКОМ</v>
          </cell>
          <cell r="D56">
            <v>48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53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159.464</v>
          </cell>
        </row>
        <row r="59">
          <cell r="A59" t="str">
            <v xml:space="preserve"> 334  Паштет Любительский ТМ Стародворье ламистер 0,1 кг  ПОКОМ</v>
          </cell>
          <cell r="D59">
            <v>88</v>
          </cell>
        </row>
        <row r="60">
          <cell r="A60" t="str">
            <v xml:space="preserve"> 335  Колбаса Сливушка ТМ Вязанка. ВЕС.  ПОКОМ </v>
          </cell>
          <cell r="D60">
            <v>50.985999999999997</v>
          </cell>
        </row>
        <row r="61">
          <cell r="A61" t="str">
            <v xml:space="preserve"> 342 Сосиски Сочинки Молочные ТМ Стародворье 0,4 кг ПОКОМ</v>
          </cell>
          <cell r="D61">
            <v>508</v>
          </cell>
        </row>
        <row r="62">
          <cell r="A62" t="str">
            <v xml:space="preserve"> 343 Сосиски Сочинки Сливочные ТМ Стародворье  0,4 кг</v>
          </cell>
          <cell r="D62">
            <v>460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D63">
            <v>116.568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D64">
            <v>49.667000000000002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D65">
            <v>320.601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D66">
            <v>60.671999999999997</v>
          </cell>
        </row>
        <row r="67">
          <cell r="A67" t="str">
            <v xml:space="preserve"> 353  Колбаса Салями запеченная ТМ Стародворье ТС Дугушка. 0,6 кг ПОКОМ</v>
          </cell>
          <cell r="D67">
            <v>12</v>
          </cell>
        </row>
        <row r="68">
          <cell r="A68" t="str">
            <v xml:space="preserve"> 354  Колбаса Рубленая запеченная ТМ Стародворье,ТС Дугушка  0,6 кг ПОКОМ</v>
          </cell>
          <cell r="D68">
            <v>53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D69">
            <v>105</v>
          </cell>
        </row>
        <row r="70">
          <cell r="A70" t="str">
            <v xml:space="preserve"> 364  Сардельки Филейские Вязанка ВЕС NDX ТМ Вязанка  ПОКОМ</v>
          </cell>
          <cell r="D70">
            <v>17.974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>
            <v>152</v>
          </cell>
        </row>
        <row r="72">
          <cell r="A72" t="str">
            <v xml:space="preserve"> 377  Колбаса Молочная Дугушка 0,6кг ТМ Стародворье  ПОКОМ</v>
          </cell>
          <cell r="D72">
            <v>243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D73">
            <v>93</v>
          </cell>
        </row>
        <row r="74">
          <cell r="A74" t="str">
            <v xml:space="preserve"> 388  Сосиски Восточные Халяль ТМ Вязанка 0,33 кг АК. ПОКОМ</v>
          </cell>
          <cell r="D74">
            <v>152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D75">
            <v>76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D76">
            <v>118</v>
          </cell>
        </row>
        <row r="77">
          <cell r="A77" t="str">
            <v xml:space="preserve"> 410  Сосиски Баварские с сыром ТМ Стародворье 0,35 кг. ПОКОМ</v>
          </cell>
          <cell r="D77">
            <v>792</v>
          </cell>
        </row>
        <row r="78">
          <cell r="A78" t="str">
            <v xml:space="preserve"> 412  Сосиски Баварские ТМ Стародворье 0,35 кг ПОКОМ</v>
          </cell>
          <cell r="D78">
            <v>2717</v>
          </cell>
        </row>
        <row r="79">
          <cell r="A79" t="str">
            <v xml:space="preserve"> 430  Колбаса Стародворская с окороком 0,4 кг. ТМ Стародворье в оболочке полиамид  ПОКОМ</v>
          </cell>
          <cell r="D79">
            <v>76</v>
          </cell>
        </row>
        <row r="80">
          <cell r="A80" t="str">
            <v xml:space="preserve"> 431  Колбаса Стародворская с окороком в оболочке полиамид ТМ Стародворье ВЕС ПОКОМ</v>
          </cell>
          <cell r="D80">
            <v>25.837</v>
          </cell>
        </row>
        <row r="81">
          <cell r="A81" t="str">
            <v xml:space="preserve"> 435  Колбаса Молочная Стародворская  с молоком в оболочке полиамид 0,4 кг.ТМ Стародворье ПОКОМ</v>
          </cell>
          <cell r="D81">
            <v>36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D82">
            <v>20.225999999999999</v>
          </cell>
        </row>
        <row r="83">
          <cell r="A83" t="str">
            <v xml:space="preserve"> 447  Колбаски Краковюрст ТМ Баварушка с изысканными пряностями в оболочке NDX в в.у 0,2 кг. ПОКОМ </v>
          </cell>
          <cell r="D83">
            <v>110</v>
          </cell>
        </row>
        <row r="84">
          <cell r="A84" t="str">
            <v xml:space="preserve"> 448  Сосиски Сливушки по-венски ТМ Вязанка. 0,3 кг ПОКОМ</v>
          </cell>
          <cell r="D84">
            <v>82</v>
          </cell>
        </row>
        <row r="85">
          <cell r="A85" t="str">
            <v xml:space="preserve"> 449  Колбаса Дугушка Стародворская ВЕС ТС Дугушка ПОКОМ</v>
          </cell>
          <cell r="D85">
            <v>87.484999999999999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D86">
            <v>761.529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D87">
            <v>1175.7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D88">
            <v>1060.5440000000001</v>
          </cell>
        </row>
        <row r="89">
          <cell r="A89" t="str">
            <v xml:space="preserve"> 465  Колбаса Филейная оригинальная ВЕС 0,8кг ТМ Особый рецепт в оболочке полиамид  ПОКОМ</v>
          </cell>
          <cell r="D89">
            <v>35.290999999999997</v>
          </cell>
        </row>
        <row r="90">
          <cell r="A90" t="str">
            <v xml:space="preserve"> 467  Колбаса Филейная 0,5кг ТМ Особый рецепт  ПОКОМ</v>
          </cell>
          <cell r="D90">
            <v>33</v>
          </cell>
        </row>
        <row r="91">
          <cell r="A91" t="str">
            <v xml:space="preserve"> 478  Сардельки Зареченские ВЕС ТМ Зареченские  ПОКОМ</v>
          </cell>
          <cell r="D91">
            <v>1.4279999999999999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235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135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179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118</v>
          </cell>
        </row>
        <row r="96">
          <cell r="A96" t="str">
            <v xml:space="preserve"> 519  Грудинка 0,12 кг нарезка ТМ Стародворье  ПОКОМ</v>
          </cell>
          <cell r="D96">
            <v>36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61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37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82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95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42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35</v>
          </cell>
        </row>
        <row r="103">
          <cell r="A103" t="str">
            <v xml:space="preserve"> 544  Сосиски Мясные для гриля ТС Ядрена копоть 0,3 кг  ПОКОМ</v>
          </cell>
          <cell r="D103">
            <v>2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392.04399999999998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9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9</v>
          </cell>
        </row>
        <row r="108">
          <cell r="A108" t="str">
            <v>3215 ВЕТЧ.МЯСНАЯ Папа может п/о 0.4кг 8шт.    ОСТАНКИНО</v>
          </cell>
          <cell r="D108">
            <v>78</v>
          </cell>
        </row>
        <row r="109">
          <cell r="A109" t="str">
            <v>3684 ПРЕСИЖН с/к в/у 1/250 8шт.   ОСТАНКИНО</v>
          </cell>
          <cell r="D109">
            <v>9</v>
          </cell>
        </row>
        <row r="110">
          <cell r="A110" t="str">
            <v>3986 Ароматная с/к в/у 1/250 ОСТАНКИНО</v>
          </cell>
          <cell r="D110">
            <v>77</v>
          </cell>
        </row>
        <row r="111">
          <cell r="A111" t="str">
            <v>4063 МЯСНАЯ Папа может вар п/о_Л   ОСТАНКИНО</v>
          </cell>
          <cell r="D111">
            <v>209.29</v>
          </cell>
        </row>
        <row r="112">
          <cell r="A112" t="str">
            <v>4117 ЭКСТРА Папа может с/к в/у_Л   ОСТАНКИНО</v>
          </cell>
          <cell r="D112">
            <v>7.4279999999999999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5.4219999999999997</v>
          </cell>
        </row>
        <row r="114">
          <cell r="A114" t="str">
            <v>4813 ФИЛЕЙНАЯ Папа может вар п/о_Л   ОСТАНКИНО</v>
          </cell>
          <cell r="D114">
            <v>116.992</v>
          </cell>
        </row>
        <row r="115">
          <cell r="A115" t="str">
            <v>4993 САЛЯМИ ИТАЛЬЯНСКАЯ с/к в/у 1/250*8_120c ОСТАНКИНО</v>
          </cell>
          <cell r="D115">
            <v>32</v>
          </cell>
        </row>
        <row r="116">
          <cell r="A116" t="str">
            <v>5246 ДОКТОРСКАЯ ПРЕМИУМ вар б/о мгс_30с ОСТАНКИНО</v>
          </cell>
          <cell r="D116">
            <v>2.9980000000000002</v>
          </cell>
        </row>
        <row r="117">
          <cell r="A117" t="str">
            <v>5247 РУССКАЯ ПРЕМИУМ вар б/о мгс_30с ОСТАНКИНО</v>
          </cell>
          <cell r="D117">
            <v>3.0030000000000001</v>
          </cell>
        </row>
        <row r="118">
          <cell r="A118" t="str">
            <v>5483 ЭКСТРА Папа может с/к в/у 1/250 8шт.   ОСТАНКИНО</v>
          </cell>
          <cell r="D118">
            <v>104</v>
          </cell>
        </row>
        <row r="119">
          <cell r="A119" t="str">
            <v>5544 Сервелат Финский в/к в/у_45с НОВАЯ ОСТАНКИНО</v>
          </cell>
          <cell r="D119">
            <v>201.571</v>
          </cell>
        </row>
        <row r="120">
          <cell r="A120" t="str">
            <v>5579 БЛИНЧ.КРУГЛЫЕ С САД.ЯБЛОК.1/420 зам_ПОСТ  ОСТАНКИНО</v>
          </cell>
          <cell r="D120">
            <v>3</v>
          </cell>
        </row>
        <row r="121">
          <cell r="A121" t="str">
            <v>5679 САЛЯМИ ИТАЛЬЯНСКАЯ с/к в/у 1/150_60с ОСТАНКИНО</v>
          </cell>
          <cell r="D121">
            <v>21</v>
          </cell>
        </row>
        <row r="122">
          <cell r="A122" t="str">
            <v>5682 САЛЯМИ МЕЛКОЗЕРНЕНАЯ с/к в/у 1/120_60с   ОСТАНКИНО</v>
          </cell>
          <cell r="D122">
            <v>267</v>
          </cell>
        </row>
        <row r="123">
          <cell r="A123" t="str">
            <v>5708 ПОСОЛЬСКАЯ Папа может с/к в/у ОСТАНКИНО</v>
          </cell>
          <cell r="D123">
            <v>0.498</v>
          </cell>
        </row>
        <row r="124">
          <cell r="A124" t="str">
            <v>5851 ЭКСТРА Папа может вар п/о   ОСТАНКИНО</v>
          </cell>
          <cell r="D124">
            <v>36.473999999999997</v>
          </cell>
        </row>
        <row r="125">
          <cell r="A125" t="str">
            <v>5931 ОХОТНИЧЬЯ Папа может с/к в/у 1/220 8шт.   ОСТАНКИНО</v>
          </cell>
          <cell r="D125">
            <v>147</v>
          </cell>
        </row>
        <row r="126">
          <cell r="A126" t="str">
            <v>6004 РАГУ СВИНОЕ 1кг 8шт.зам_120с ОСТАНКИНО</v>
          </cell>
          <cell r="D126">
            <v>16</v>
          </cell>
        </row>
        <row r="127">
          <cell r="A127" t="str">
            <v>6148 БЛИНЧ.КРУГЛЫЕ С ВЕТЧ.И СЫР.ПМ 1/300 зам.  ОСТАНКИНО</v>
          </cell>
          <cell r="D127">
            <v>11</v>
          </cell>
        </row>
        <row r="128">
          <cell r="A128" t="str">
            <v>6168 БЛИНЧ.С МЯСОМ пл.1/350 зам  ОСТАНКИНО</v>
          </cell>
          <cell r="D128">
            <v>10</v>
          </cell>
        </row>
        <row r="129">
          <cell r="A129" t="str">
            <v>6202 БЛИНЧ.КРУГЛЫЕ С ТВОРОГОМ ПМ 1/300 зам.  ОСТАНКИНО</v>
          </cell>
          <cell r="D129">
            <v>8</v>
          </cell>
        </row>
        <row r="130">
          <cell r="A130" t="str">
            <v>6209 БЛИНЧ.С КУРИНЫМ МЯСОМ пл.1/350 зам.  ОСТАНКИНО</v>
          </cell>
          <cell r="D130">
            <v>10</v>
          </cell>
        </row>
        <row r="131">
          <cell r="A131" t="str">
            <v>6220 ГОВЯЖЬЯ Папа может вар п/о  ОСТАНКИНО</v>
          </cell>
          <cell r="D131">
            <v>4.09</v>
          </cell>
        </row>
        <row r="132">
          <cell r="A132" t="str">
            <v>6221 НЕАПОЛИТАНСКИЙ ДУЭТ с/к с/н мгс 1/90  ОСТАНКИНО</v>
          </cell>
          <cell r="D132">
            <v>116</v>
          </cell>
        </row>
        <row r="133">
          <cell r="A133" t="str">
            <v>6228 МЯСНОЕ АССОРТИ к/з с/н мгс 1/90 10шт.  ОСТАНКИНО</v>
          </cell>
          <cell r="D133">
            <v>60</v>
          </cell>
        </row>
        <row r="134">
          <cell r="A134" t="str">
            <v>6247 ДОМАШНЯЯ Папа может вар п/о 0,4кг 8шт.  ОСТАНКИНО</v>
          </cell>
          <cell r="D134">
            <v>21</v>
          </cell>
        </row>
        <row r="135">
          <cell r="A135" t="str">
            <v>6268 ГОВЯЖЬЯ Папа может вар п/о 0,4кг 8 шт.  ОСТАНКИНО</v>
          </cell>
          <cell r="D135">
            <v>132</v>
          </cell>
        </row>
        <row r="136">
          <cell r="A136" t="str">
            <v>6279 КОРЕЙКА ПО-ОСТ.к/в в/с с/н в/у 1/150_45с  ОСТАНКИНО</v>
          </cell>
          <cell r="D136">
            <v>105</v>
          </cell>
        </row>
        <row r="137">
          <cell r="A137" t="str">
            <v>6303 МЯСНЫЕ Папа может сос п/о мгс 1.5*3  ОСТАНКИНО</v>
          </cell>
          <cell r="D137">
            <v>95.766999999999996</v>
          </cell>
        </row>
        <row r="138">
          <cell r="A138" t="str">
            <v>6324 ДОКТОРСКАЯ ГОСТ вар п/о 0.4кг 8шт.  ОСТАНКИНО</v>
          </cell>
          <cell r="D138">
            <v>3</v>
          </cell>
        </row>
        <row r="139">
          <cell r="A139" t="str">
            <v>6325 ДОКТОРСКАЯ ПРЕМИУМ вар п/о 0.4кг 8шт.  ОСТАНКИНО</v>
          </cell>
          <cell r="D139">
            <v>232</v>
          </cell>
        </row>
        <row r="140">
          <cell r="A140" t="str">
            <v>6333 МЯСНАЯ Папа может вар п/о 0.4кг 8шт.  ОСТАНКИНО</v>
          </cell>
          <cell r="D140">
            <v>766</v>
          </cell>
        </row>
        <row r="141">
          <cell r="A141" t="str">
            <v>6340 ДОМАШНИЙ РЕЦЕПТ Коровино 0.5кг 8шт.  ОСТАНКИНО</v>
          </cell>
          <cell r="D141">
            <v>70</v>
          </cell>
        </row>
        <row r="142">
          <cell r="A142" t="str">
            <v>6353 ЭКСТРА Папа может вар п/о 0.4кг 8шт.  ОСТАНКИНО</v>
          </cell>
          <cell r="D142">
            <v>215</v>
          </cell>
        </row>
        <row r="143">
          <cell r="A143" t="str">
            <v>6392 ФИЛЕЙНАЯ Папа может вар п/о 0.4кг. ОСТАНКИНО</v>
          </cell>
          <cell r="D143">
            <v>709</v>
          </cell>
        </row>
        <row r="144">
          <cell r="A144" t="str">
            <v>6448 СВИНИНА МАДЕРА с/к с/н в/у 1/100 10шт.   ОСТАНКИНО</v>
          </cell>
          <cell r="D144">
            <v>20</v>
          </cell>
        </row>
        <row r="145">
          <cell r="A145" t="str">
            <v>6453 ЭКСТРА Папа может с/к с/н в/у 1/100 14шт.   ОСТАНКИНО</v>
          </cell>
          <cell r="D145">
            <v>268</v>
          </cell>
        </row>
        <row r="146">
          <cell r="A146" t="str">
            <v>6454 АРОМАТНАЯ с/к с/н в/у 1/100 10шт.  ОСТАНКИНО</v>
          </cell>
          <cell r="D146">
            <v>220</v>
          </cell>
        </row>
        <row r="147">
          <cell r="A147" t="str">
            <v>6459 СЕРВЕЛАТ ШВЕЙЦАРСК. в/к с/н в/у 1/100*10  ОСТАНКИНО</v>
          </cell>
          <cell r="D147">
            <v>249</v>
          </cell>
        </row>
        <row r="148">
          <cell r="A148" t="str">
            <v>6495 ВЕТЧ.МРАМОРНАЯ в/у срез 0.3кг 6шт_45с  ОСТАНКИНО</v>
          </cell>
          <cell r="D148">
            <v>65</v>
          </cell>
        </row>
        <row r="149">
          <cell r="A149" t="str">
            <v>6527 ШПИКАЧКИ СОЧНЫЕ ПМ сар б/о мгс 1*3 45с ОСТАНКИНО</v>
          </cell>
          <cell r="D149">
            <v>58.820999999999998</v>
          </cell>
        </row>
        <row r="150">
          <cell r="A150" t="str">
            <v>6528 ШПИКАЧКИ СОЧНЫЕ ПМ сар б/о мгс 0.4кг 45с  ОСТАНКИНО</v>
          </cell>
          <cell r="D150">
            <v>1</v>
          </cell>
        </row>
        <row r="151">
          <cell r="A151" t="str">
            <v>6609 С ГОВЯДИНОЙ ПМ сар б/о мгс 0.4кг_45с ОСТАНКИНО</v>
          </cell>
          <cell r="D151">
            <v>8</v>
          </cell>
        </row>
        <row r="152">
          <cell r="A152" t="str">
            <v>6616 МОЛОЧНЫЕ КЛАССИЧЕСКИЕ сос п/о в/у 0.3кг  ОСТАНКИНО</v>
          </cell>
          <cell r="D152">
            <v>490</v>
          </cell>
        </row>
        <row r="153">
          <cell r="A153" t="str">
            <v>6697 СЕРВЕЛАТ ФИНСКИЙ ПМ в/к в/у 0,35кг 8шт.  ОСТАНКИНО</v>
          </cell>
          <cell r="D153">
            <v>719</v>
          </cell>
        </row>
        <row r="154">
          <cell r="A154" t="str">
            <v>6713 СОЧНЫЙ ГРИЛЬ ПМ сос п/о мгс 0.41кг 8шт.  ОСТАНКИНО</v>
          </cell>
          <cell r="D154">
            <v>259</v>
          </cell>
        </row>
        <row r="155">
          <cell r="A155" t="str">
            <v>6724 МОЛОЧНЫЕ ПМ сос п/о мгс 0.41кг 10шт.  ОСТАНКИНО</v>
          </cell>
          <cell r="D155">
            <v>106</v>
          </cell>
        </row>
        <row r="156">
          <cell r="A156" t="str">
            <v>6765 РУБЛЕНЫЕ сос ц/о мгс 0.36кг 6шт.  ОСТАНКИНО</v>
          </cell>
          <cell r="D156">
            <v>60</v>
          </cell>
        </row>
        <row r="157">
          <cell r="A157" t="str">
            <v>6785 ВЕНСКАЯ САЛЯМИ п/к в/у 0.33кг 8шт.  ОСТАНКИНО</v>
          </cell>
          <cell r="D157">
            <v>24</v>
          </cell>
        </row>
        <row r="158">
          <cell r="A158" t="str">
            <v>6787 СЕРВЕЛАТ КРЕМЛЕВСКИЙ в/к в/у 0,33кг 8шт.  ОСТАНКИНО</v>
          </cell>
          <cell r="D158">
            <v>41</v>
          </cell>
        </row>
        <row r="159">
          <cell r="A159" t="str">
            <v>6793 БАЛЫКОВАЯ в/к в/у 0,33кг 8шт.  ОСТАНКИНО</v>
          </cell>
          <cell r="D159">
            <v>62</v>
          </cell>
        </row>
        <row r="160">
          <cell r="A160" t="str">
            <v>6819 БЛИНЧ.КРУГЛЫЕ С САД.ЯБЛОК. пл.1/300 зам.  ОСТАНКИНО</v>
          </cell>
          <cell r="D160">
            <v>1</v>
          </cell>
        </row>
        <row r="161">
          <cell r="A161" t="str">
            <v>6829 МОЛОЧНЫЕ КЛАССИЧЕСКИЕ сос п/о мгс 2*4_С  ОСТАНКИНО</v>
          </cell>
          <cell r="D161">
            <v>155.59899999999999</v>
          </cell>
        </row>
        <row r="162">
          <cell r="A162" t="str">
            <v>6837 ФИЛЕЙНЫЕ Папа Может сос ц/о мгс 0.4кг  ОСТАНКИНО</v>
          </cell>
          <cell r="D162">
            <v>239</v>
          </cell>
        </row>
        <row r="163">
          <cell r="A163" t="str">
            <v>6842 ДЫМОВИЦА ИЗ ОКОРОКА к/в мл/к в/у 0,3кг  ОСТАНКИНО</v>
          </cell>
          <cell r="D163">
            <v>52</v>
          </cell>
        </row>
        <row r="164">
          <cell r="A164" t="str">
            <v>6861 ДОМАШНИЙ РЕЦЕПТ Коровино вар п/о  ОСТАНКИНО</v>
          </cell>
          <cell r="D164">
            <v>235.80600000000001</v>
          </cell>
        </row>
        <row r="165">
          <cell r="A165" t="str">
            <v>6866 ВЕТЧ.НЕЖНАЯ Коровино п/о_Маяк  ОСТАНКИНО</v>
          </cell>
          <cell r="D165">
            <v>120.31</v>
          </cell>
        </row>
        <row r="166">
          <cell r="A166" t="str">
            <v>7001 КЛАССИЧЕСКИЕ Папа может сар б/о мгс 1*3  ОСТАНКИНО</v>
          </cell>
          <cell r="D166">
            <v>24.091000000000001</v>
          </cell>
        </row>
        <row r="167">
          <cell r="A167" t="str">
            <v>7040 С ИНДЕЙКОЙ ПМ сос ц/о в/у 1/270 8шт.  ОСТАНКИНО</v>
          </cell>
          <cell r="D167">
            <v>7</v>
          </cell>
        </row>
        <row r="168">
          <cell r="A168" t="str">
            <v>7059 ШПИКАЧКИ СОЧНЫЕ С БЕК. п/о мгс 0.3кг_60с  ОСТАНКИНО</v>
          </cell>
          <cell r="D168">
            <v>80</v>
          </cell>
        </row>
        <row r="169">
          <cell r="A169" t="str">
            <v>7066 СОЧНЫЕ ПМ сос п/о мгс 0.41кг 10шт_50с  ОСТАНКИНО</v>
          </cell>
          <cell r="D169">
            <v>1127</v>
          </cell>
        </row>
        <row r="170">
          <cell r="A170" t="str">
            <v>7070 СОЧНЫЕ ПМ сос п/о мгс 1.5*4_А_50с  ОСТАНКИНО</v>
          </cell>
          <cell r="D170">
            <v>533.28700000000003</v>
          </cell>
        </row>
        <row r="171">
          <cell r="A171" t="str">
            <v>7073 МОЛОЧ.ПРЕМИУМ ПМ сос п/о в/у 1/350_50с  ОСТАНКИНО</v>
          </cell>
          <cell r="D171">
            <v>245</v>
          </cell>
        </row>
        <row r="172">
          <cell r="A172" t="str">
            <v>7075 МОЛОЧ.ПРЕМИУМ ПМ сос п/о мгс 1.5*4_О_50с  ОСТАНКИНО</v>
          </cell>
          <cell r="D172">
            <v>9.4420000000000002</v>
          </cell>
        </row>
        <row r="173">
          <cell r="A173" t="str">
            <v>7077 МЯСНЫЕ С ГОВЯД.ПМ сос п/о мгс 0.4кг_50с  ОСТАНКИНО</v>
          </cell>
          <cell r="D173">
            <v>295</v>
          </cell>
        </row>
        <row r="174">
          <cell r="A174" t="str">
            <v>7080 СЛИВОЧНЫЕ ПМ сос п/о мгс 0.41кг 10шт. 50с  ОСТАНКИНО</v>
          </cell>
          <cell r="D174">
            <v>627</v>
          </cell>
        </row>
        <row r="175">
          <cell r="A175" t="str">
            <v>7082 СЛИВОЧНЫЕ ПМ сос п/о мгс 1.5*4_50с  ОСТАНКИНО</v>
          </cell>
          <cell r="D175">
            <v>23.213999999999999</v>
          </cell>
        </row>
        <row r="176">
          <cell r="A176" t="str">
            <v>7087 ШПИК С ЧЕСНОК.И ПЕРЦЕМ к/в в/у 0.3кг_50с  ОСТАНКИНО</v>
          </cell>
          <cell r="D176">
            <v>73</v>
          </cell>
        </row>
        <row r="177">
          <cell r="A177" t="str">
            <v>7090 СВИНИНА ПО-ДОМ. к/в мл/к в/у 0.3кг_50с  ОСТАНКИНО</v>
          </cell>
          <cell r="D177">
            <v>110</v>
          </cell>
        </row>
        <row r="178">
          <cell r="A178" t="str">
            <v>7092 БЕКОН Папа может с/к с/н в/у 1/140_50с  ОСТАНКИНО</v>
          </cell>
          <cell r="D178">
            <v>118</v>
          </cell>
        </row>
        <row r="179">
          <cell r="A179" t="str">
            <v>7147 САЛЬЧИЧОН Останкино с/к в/у 1/220 8шт.  ОСТАНКИНО</v>
          </cell>
          <cell r="D179">
            <v>5</v>
          </cell>
        </row>
        <row r="180">
          <cell r="A180" t="str">
            <v>7149 БАЛЫКОВАЯ Коровино п/к в/у 0.84кг_50с  ОСТАНКИНО</v>
          </cell>
          <cell r="D180">
            <v>3</v>
          </cell>
        </row>
        <row r="181">
          <cell r="A181" t="str">
            <v>7154 СЕРВЕЛАТ ЗЕРНИСТЫЙ ПМ в/к в/у 0.35кг_50с  ОСТАНКИНО</v>
          </cell>
          <cell r="D181">
            <v>429</v>
          </cell>
        </row>
        <row r="182">
          <cell r="A182" t="str">
            <v>7157 СЕРВЕЛАТ ЗЕРНИСНЫЙ ПМ в/к в/у_50с  ОСТАНКИНО</v>
          </cell>
          <cell r="D182">
            <v>32.875999999999998</v>
          </cell>
        </row>
        <row r="183">
          <cell r="A183" t="str">
            <v>7166 СЕРВЕЛТ ОХОТНИЧИЙ ПМ в/к в/у_50с  ОСТАНКИНО</v>
          </cell>
          <cell r="D183">
            <v>68.19</v>
          </cell>
        </row>
        <row r="184">
          <cell r="A184" t="str">
            <v>7169 СЕРВЕЛАТ ОХОТНИЧИЙ ПМ в/к в/у 0.35кг_50с  ОСТАНКИНО</v>
          </cell>
          <cell r="D184">
            <v>589</v>
          </cell>
        </row>
        <row r="185">
          <cell r="A185" t="str">
            <v>7187 ГРУДИНКА ПРЕМИУМ к/в мл/к в/у 0,3кг_50с ОСТАНКИНО</v>
          </cell>
          <cell r="D185">
            <v>156</v>
          </cell>
        </row>
        <row r="186">
          <cell r="A186" t="str">
            <v>7227 САЛЯМИ ФИНСКАЯ Папа может с/к в/у 1/180  ОСТАНКИНО</v>
          </cell>
          <cell r="D186">
            <v>2</v>
          </cell>
        </row>
        <row r="187">
          <cell r="A187" t="str">
            <v>7231 КЛАССИЧЕСКАЯ ПМ вар п/о 0,3кг 8шт_209к ОСТАНКИНО</v>
          </cell>
          <cell r="D187">
            <v>260</v>
          </cell>
        </row>
        <row r="188">
          <cell r="A188" t="str">
            <v>7232 БОЯNСКАЯ ПМ п/к в/у 0,28кг 8шт_209к ОСТАНКИНО</v>
          </cell>
          <cell r="D188">
            <v>261</v>
          </cell>
        </row>
        <row r="189">
          <cell r="A189" t="str">
            <v>7235 ВЕТЧ.КЛАССИЧЕСКАЯ ПМ п/о 0,35кг 8шт_209к ОСТАНКИНО</v>
          </cell>
          <cell r="D189">
            <v>49</v>
          </cell>
        </row>
        <row r="190">
          <cell r="A190" t="str">
            <v>7236 СЕРВЕЛАТ КАРЕЛЬСКИЙ в/к в/у 0,28кг_209к ОСТАНКИНО</v>
          </cell>
          <cell r="D190">
            <v>761</v>
          </cell>
        </row>
        <row r="191">
          <cell r="A191" t="str">
            <v>7241 САЛЯМИ Папа может п/к в/у 0,28кг_209к ОСТАНКИНО</v>
          </cell>
          <cell r="D191">
            <v>137</v>
          </cell>
        </row>
        <row r="192">
          <cell r="A192" t="str">
            <v>7245 ВЕТЧ.ФИЛЕЙНАЯ ПМ п/о 0,4кг 8шт ОСТАНКИНО</v>
          </cell>
          <cell r="D192">
            <v>6</v>
          </cell>
        </row>
        <row r="193">
          <cell r="A193" t="str">
            <v>7255 МЯСНЫЕ С ГОВЯД. ПМ сос п/о мгс 0,4кг 6шт.  ОСТАНКИНО</v>
          </cell>
          <cell r="D193">
            <v>4</v>
          </cell>
        </row>
        <row r="194">
          <cell r="A194" t="str">
            <v>7284 ДЛЯ ДЕТЕЙ сос п/о мгс 0,33кг 6шт  ОСТАНКИНО</v>
          </cell>
          <cell r="D194">
            <v>46</v>
          </cell>
        </row>
        <row r="195">
          <cell r="A195" t="str">
            <v>7332 БОЯРСКАЯ ПМ п/к в/у 0.28кг_СНГ  ОСТАНКИНО</v>
          </cell>
          <cell r="D195">
            <v>11</v>
          </cell>
        </row>
        <row r="196">
          <cell r="A196" t="str">
            <v>7333 СЕРВЕЛАТ ОХОТНИЧИЙ ПМ в/к в/у 0.28кг_СНГ  ОСТАНКИНО</v>
          </cell>
          <cell r="D196">
            <v>5</v>
          </cell>
        </row>
        <row r="197">
          <cell r="A197" t="str">
            <v>7343 СЕЙЧАС СЕЗОН ПМ вар п/о 0,4кг  ОСТАНКИНО</v>
          </cell>
          <cell r="D197">
            <v>1144</v>
          </cell>
        </row>
        <row r="198">
          <cell r="A198" t="str">
            <v>8950 Масло сливочное ПАПА МОЖЕТ 72,5%, фас. в фольгу, 180гр  ОСТАНКИНО</v>
          </cell>
          <cell r="D198">
            <v>18</v>
          </cell>
        </row>
        <row r="199">
          <cell r="A199" t="str">
            <v>8967 Масло "Папа может" 82,5% 180гр  ОСТАНКИНО</v>
          </cell>
          <cell r="D199">
            <v>12</v>
          </cell>
        </row>
        <row r="200">
          <cell r="A200" t="str">
            <v>Балык говяжий с/к "Эликатессе" 0,10 кг.шт. нарезка (лоток с ср.защ.атм.)  СПК</v>
          </cell>
          <cell r="D200">
            <v>23</v>
          </cell>
        </row>
        <row r="201">
          <cell r="A201" t="str">
            <v>Балык свиной с/к "Эликатессе" 0,10 кг.шт. нарезка (лоток с ср.защ.атм.)  СПК</v>
          </cell>
          <cell r="D201">
            <v>16</v>
          </cell>
        </row>
        <row r="202">
          <cell r="A202" t="str">
            <v>Балыковая с/к 200 гр. срез "Эликатессе" термоформ.пак.  СПК</v>
          </cell>
          <cell r="D202">
            <v>8</v>
          </cell>
        </row>
        <row r="203">
          <cell r="A203" t="str">
            <v>БЛИНЧ.КРУГЛЫЕ С ГРУШЕЙ пл.1/420 зам.   ОСТАНКИНО</v>
          </cell>
          <cell r="D203">
            <v>8</v>
          </cell>
        </row>
        <row r="204">
          <cell r="A204" t="str">
            <v>БОНУС МОЛОЧНЫЕ КЛАССИЧЕСКИЕ сос п/о в/у 0.3кг (6084)  ОСТАНКИНО</v>
          </cell>
          <cell r="D204">
            <v>12</v>
          </cell>
        </row>
        <row r="205">
          <cell r="A205" t="str">
            <v>БОНУС МОЛОЧНЫЕ КЛАССИЧЕСКИЕ сос п/о мгс 2*4_С (4980)  ОСТАНКИНО</v>
          </cell>
          <cell r="D205">
            <v>8.5120000000000005</v>
          </cell>
        </row>
        <row r="206">
          <cell r="A206" t="str">
            <v>БОНУС СОЧНЫЕ Папа может сос п/о мгс 1.5*4 (6954)  ОСТАНКИНО</v>
          </cell>
          <cell r="D206">
            <v>43.072000000000003</v>
          </cell>
        </row>
        <row r="207">
          <cell r="A207" t="str">
            <v>БОНУС СОЧНЫЕ сос п/о мгс 0.41кг_UZ (6087)  ОСТАНКИНО</v>
          </cell>
          <cell r="D207">
            <v>24</v>
          </cell>
        </row>
        <row r="208">
          <cell r="A208" t="str">
            <v>Бутербродная вареная 0,47 кг шт.  СПК</v>
          </cell>
          <cell r="D208">
            <v>3</v>
          </cell>
        </row>
        <row r="209">
          <cell r="A209" t="str">
            <v>Готовые бельмеши сочные с мясом ТМ Горячая штучка 0,3кг зам  ПОКОМ</v>
          </cell>
          <cell r="D209">
            <v>58</v>
          </cell>
        </row>
        <row r="210">
          <cell r="A210" t="str">
            <v>Готовые чебупели острые с мясом 0,24кг ТМ Горячая штучка  ПОКОМ</v>
          </cell>
          <cell r="D210">
            <v>58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300</v>
          </cell>
        </row>
        <row r="212">
          <cell r="A212" t="str">
            <v>Готовые чебупели сочные с мясом ТМ Горячая штучка флоу-пак 0,24 кг  ПОКОМ</v>
          </cell>
          <cell r="D212">
            <v>271</v>
          </cell>
        </row>
        <row r="213">
          <cell r="A213" t="str">
            <v>Готовые чебуреки с мясом ТМ Горячая штучка 0,09 кг флоу-пак ПОКОМ</v>
          </cell>
          <cell r="D213">
            <v>136</v>
          </cell>
        </row>
        <row r="214">
          <cell r="A214" t="str">
            <v>Гуцульская с/к "КолбасГрад" 160 гр.шт. термоус. пак  СПК</v>
          </cell>
          <cell r="D214">
            <v>22</v>
          </cell>
        </row>
        <row r="215">
          <cell r="A215" t="str">
            <v>Дельгаро с/в "Эликатессе" 140 гр.шт.  СПК</v>
          </cell>
          <cell r="D215">
            <v>27</v>
          </cell>
        </row>
        <row r="216">
          <cell r="A216" t="str">
            <v>Деревенская с чесночком и сальцем п/к (черева) 390 гр.шт. термоус. пак.  СПК</v>
          </cell>
          <cell r="D216">
            <v>37</v>
          </cell>
        </row>
        <row r="217">
          <cell r="A217" t="str">
            <v>Докторская вареная в/с 0,47 кг шт.  СПК</v>
          </cell>
          <cell r="D217">
            <v>4</v>
          </cell>
        </row>
        <row r="218">
          <cell r="A218" t="str">
            <v>Докторская вареная вес. (белк.об.) термоус.пак.  СПК</v>
          </cell>
          <cell r="D218">
            <v>2.1440000000000001</v>
          </cell>
        </row>
        <row r="219">
          <cell r="A219" t="str">
            <v>Докторская вареная термоус.пак. "Высокий вкус"  СПК</v>
          </cell>
          <cell r="D219">
            <v>5.9219999999999997</v>
          </cell>
        </row>
        <row r="220">
          <cell r="A220" t="str">
            <v>ЖАР-ладушки с мясом 0,2кг ТМ Стародворье  ПОКОМ</v>
          </cell>
          <cell r="D220">
            <v>23</v>
          </cell>
        </row>
        <row r="221">
          <cell r="A221" t="str">
            <v>Жареные вареники с картофелем и беконом Добросельские 0,2 кг. ТМ Стародворье  ПОКОМ</v>
          </cell>
          <cell r="D221">
            <v>25</v>
          </cell>
        </row>
        <row r="222">
          <cell r="A222" t="str">
            <v>Карбонад Юбилейный термоус.пак.  СПК</v>
          </cell>
          <cell r="D222">
            <v>1.8420000000000001</v>
          </cell>
        </row>
        <row r="223">
          <cell r="A223" t="str">
            <v>Классическая вареная 400 гр.шт.  СПК</v>
          </cell>
          <cell r="D223">
            <v>2</v>
          </cell>
        </row>
        <row r="224">
          <cell r="A224" t="str">
            <v>Классическая с/к 80 гр.шт.нар. (лоток с ср.защ.атм.)  СПК</v>
          </cell>
          <cell r="D224">
            <v>18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120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100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40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109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248</v>
          </cell>
        </row>
        <row r="230">
          <cell r="A230" t="str">
            <v>Ла Фаворте с/в "Эликатессе" 140 гр.шт.  СПК</v>
          </cell>
          <cell r="D230">
            <v>39</v>
          </cell>
        </row>
        <row r="231">
          <cell r="A231" t="str">
            <v>Ливерная Печеночная 250 гр.шт.  СПК</v>
          </cell>
          <cell r="D231">
            <v>9</v>
          </cell>
        </row>
        <row r="232">
          <cell r="A232" t="str">
            <v>Любительская вареная термоус.пак. "Высокий вкус"  СПК</v>
          </cell>
          <cell r="D232">
            <v>12.942</v>
          </cell>
        </row>
        <row r="233">
          <cell r="A233" t="str">
            <v>Мини-сосиски в тесте 3,7кг ВЕС заморож. ТМ Зареченские  ПОКОМ</v>
          </cell>
          <cell r="D233">
            <v>29.6</v>
          </cell>
        </row>
        <row r="234">
          <cell r="A234" t="str">
            <v>Мини-шарики с курочкой и сыром ТМ Зареченские ВЕС  ПОКОМ</v>
          </cell>
          <cell r="D234">
            <v>189</v>
          </cell>
        </row>
        <row r="235">
          <cell r="A235" t="str">
            <v>Наггетсы из печи 0,25кг ТМ Вязанка ТС Няняггетсы Сливушки замор.  ПОКОМ</v>
          </cell>
          <cell r="D235">
            <v>419</v>
          </cell>
        </row>
        <row r="236">
          <cell r="A236" t="str">
            <v>Наггетсы Нагетосы Сочная курочка ТМ Горячая штучка 0,25 кг зам  ПОКОМ</v>
          </cell>
          <cell r="D236">
            <v>337</v>
          </cell>
        </row>
        <row r="237">
          <cell r="A237" t="str">
            <v>Наггетсы с индейкой 0,25кг ТМ Вязанка ТС Няняггетсы Сливушки НД2 замор.  ПОКОМ</v>
          </cell>
          <cell r="D237">
            <v>370</v>
          </cell>
        </row>
        <row r="238">
          <cell r="A238" t="str">
            <v>Наггетсы с куриным филе и сыром ТМ Вязанка 0,25 кг ПОКОМ</v>
          </cell>
          <cell r="D238">
            <v>289</v>
          </cell>
        </row>
        <row r="239">
          <cell r="A239" t="str">
            <v>Наггетсы Хрустящие ТМ Зареченские. ВЕС ПОКОМ</v>
          </cell>
          <cell r="D239">
            <v>252</v>
          </cell>
        </row>
        <row r="240">
          <cell r="A240" t="str">
            <v>Наггетсы Хрустящие ТМ Стародворье с сочной курочкой 0,23 кг  ПОКОМ</v>
          </cell>
          <cell r="D240">
            <v>49</v>
          </cell>
        </row>
        <row r="241">
          <cell r="A241" t="str">
            <v>Оригинальная с перцем с/к  СПК</v>
          </cell>
          <cell r="D241">
            <v>24.35</v>
          </cell>
        </row>
        <row r="242">
          <cell r="A242" t="str">
            <v>Паштет печеночный 140 гр.шт.  СПК</v>
          </cell>
          <cell r="D242">
            <v>4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108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59</v>
          </cell>
        </row>
        <row r="245">
          <cell r="A245" t="str">
            <v>Пельмени Бигбули #МЕГАВКУСИЩЕ с сочной грудинкой ТМ Горячая штучка 0,7 кг. ПОКОМ</v>
          </cell>
          <cell r="D245">
            <v>189</v>
          </cell>
        </row>
        <row r="246">
          <cell r="A246" t="str">
            <v>Пельмени Бигбули с мясом ТМ Горячая штучка. флоу-пак сфера 0,4 кг. ПОКОМ</v>
          </cell>
          <cell r="D246">
            <v>32</v>
          </cell>
        </row>
        <row r="247">
          <cell r="A247" t="str">
            <v>Пельмени Бигбули с мясом ТМ Горячая штучка. флоу-пак сфера 0,7 кг ПОКОМ</v>
          </cell>
          <cell r="D247">
            <v>232</v>
          </cell>
        </row>
        <row r="248">
          <cell r="A248" t="str">
            <v>Пельмени Бигбули со сливочным маслом ТМ Горячая штучка, флоу-пак сфера 0,7. ПОКОМ</v>
          </cell>
          <cell r="D248">
            <v>173</v>
          </cell>
        </row>
        <row r="249">
          <cell r="A249" t="str">
            <v>Пельмени Бульмени мини с мясом и оливковым маслом 0,7 кг ТМ Горячая штучка  ПОКОМ</v>
          </cell>
          <cell r="D249">
            <v>175</v>
          </cell>
        </row>
        <row r="250">
          <cell r="A250" t="str">
            <v>Пельмени Бульмени Нейробуст с мясом ТМ Горячая штучка ТС Бульмени ГШ сфера флоу-пак 0,6 кг.  ПОКОМ</v>
          </cell>
          <cell r="D250">
            <v>28</v>
          </cell>
        </row>
        <row r="251">
          <cell r="A251" t="str">
            <v>Пельмени Бульмени с говядиной и свининой Наваристые 5кг Горячая штучка ВЕС  ПОКОМ</v>
          </cell>
          <cell r="D251">
            <v>345</v>
          </cell>
        </row>
        <row r="252">
          <cell r="A252" t="str">
            <v>Пельмени Бульмени с говядиной и свининой СЕВЕРНАЯ КОЛЛЕКЦИЯ 0,7кг ТМ Горячая штучка сфера  ПОКОМ</v>
          </cell>
          <cell r="D252">
            <v>223</v>
          </cell>
        </row>
        <row r="253">
          <cell r="A253" t="str">
            <v>Пельмени Бульмени с говядиной и свининой ТМ Горячая штучка. флоу-пак сфера 0,4 кг ПОКОМ</v>
          </cell>
          <cell r="D253">
            <v>186</v>
          </cell>
        </row>
        <row r="254">
          <cell r="A254" t="str">
            <v>Пельмени Бульмени с говядиной и свининой ТМ Горячая штучка. флоу-пак сфера 0,7 кг ПОКОМ</v>
          </cell>
          <cell r="D254">
            <v>243</v>
          </cell>
        </row>
        <row r="255">
          <cell r="A255" t="str">
            <v>Пельмени Бульмени со сливочным маслом ТМ Горячая штучка. флоу-пак сфера 0,4 кг. ПОКОМ</v>
          </cell>
          <cell r="D255">
            <v>218</v>
          </cell>
        </row>
        <row r="256">
          <cell r="A256" t="str">
            <v>Пельмени Бульмени со сливочным маслом ТМ Горячая штучка.флоу-пак сфера 0,7 кг. ПОКОМ</v>
          </cell>
          <cell r="D256">
            <v>577</v>
          </cell>
        </row>
        <row r="257">
          <cell r="A257" t="str">
            <v>Пельмени Бульмени хрустящие с мясом 0,22 кг ТМ Горячая штучка  ПОКОМ</v>
          </cell>
          <cell r="D257">
            <v>25</v>
          </cell>
        </row>
        <row r="258">
          <cell r="A258" t="str">
            <v>Пельмени Добросельские со свининой и говядиной ТМ Стародворье флоу-пак клас. форма 0,65 кг.  ПОКОМ</v>
          </cell>
          <cell r="D258">
            <v>21</v>
          </cell>
        </row>
        <row r="259">
          <cell r="A259" t="str">
            <v>Пельмени Мясные с говядиной ТМ Стародворье сфера флоу-пак 1 кг  ПОКОМ</v>
          </cell>
          <cell r="D259">
            <v>50</v>
          </cell>
        </row>
        <row r="260">
          <cell r="A260" t="str">
            <v>Пельмени Мясорубские с рубленой грудинкой ТМ Стародворье флоупак  0,7 кг. ПОКОМ</v>
          </cell>
          <cell r="D260">
            <v>1</v>
          </cell>
        </row>
        <row r="261">
          <cell r="A261" t="str">
            <v>Пельмени Отборные из свинины и говядины 0,9 кг ТМ Стародворье ТС Медвежье ушко  ПОКОМ</v>
          </cell>
          <cell r="D261">
            <v>59</v>
          </cell>
        </row>
        <row r="262">
          <cell r="A262" t="str">
            <v>Пельмени С говядиной и свининой, ВЕС, сфера пуговки Мясная Галерея  ПОКОМ</v>
          </cell>
          <cell r="D262">
            <v>45</v>
          </cell>
        </row>
        <row r="263">
          <cell r="A263" t="str">
            <v>Пельмени Со свининой и говядиной ТМ Особый рецепт Любимая ложка 1,0 кг  ПОКОМ</v>
          </cell>
          <cell r="D263">
            <v>181</v>
          </cell>
        </row>
        <row r="264">
          <cell r="A264" t="str">
            <v>Пельмени Сочные сфера 0,8 кг ТМ Стародворье  ПОКОМ</v>
          </cell>
          <cell r="D264">
            <v>5</v>
          </cell>
        </row>
        <row r="265">
          <cell r="A265" t="str">
            <v>Пирожки с мясом 3,7кг ВЕС ТМ Зареченские  ПОКОМ</v>
          </cell>
          <cell r="D265">
            <v>14.8</v>
          </cell>
        </row>
        <row r="266">
          <cell r="A266" t="str">
            <v>Ричеза с/к 230 гр.шт.  СПК</v>
          </cell>
          <cell r="D266">
            <v>8</v>
          </cell>
        </row>
        <row r="267">
          <cell r="A267" t="str">
            <v>Сальчетти с/к 230 гр.шт.  СПК</v>
          </cell>
          <cell r="D267">
            <v>36</v>
          </cell>
        </row>
        <row r="268">
          <cell r="A268" t="str">
            <v>Салями с перчиком с/к "КолбасГрад" 160 гр.шт. термоус. пак.  СПК</v>
          </cell>
          <cell r="D268">
            <v>16</v>
          </cell>
        </row>
        <row r="269">
          <cell r="A269" t="str">
            <v>Салями с/к 100 гр.шт.нар. (лоток с ср.защ.атм.)  СПК</v>
          </cell>
          <cell r="D269">
            <v>31</v>
          </cell>
        </row>
        <row r="270">
          <cell r="A270" t="str">
            <v>Салями Трюфель с/в "Эликатессе" 0,16 кг.шт.  СПК</v>
          </cell>
          <cell r="D270">
            <v>35</v>
          </cell>
        </row>
        <row r="271">
          <cell r="A271" t="str">
            <v>Сардельки "Докторские" (черева) ( в ср.защ.атм.) 1.0 кг. "Высокий вкус"  СПК</v>
          </cell>
          <cell r="D271">
            <v>14.615</v>
          </cell>
        </row>
        <row r="272">
          <cell r="A272" t="str">
            <v>Сардельки из говядины (черева) (в ср.защ.атм.) "Высокий вкус"  СПК</v>
          </cell>
          <cell r="D272">
            <v>5.2460000000000004</v>
          </cell>
        </row>
        <row r="273">
          <cell r="A273" t="str">
            <v>Сардельки Необыкновенные (черева) 400 гр.шт. (лоток с ср.защ.атм.)  СПК</v>
          </cell>
          <cell r="D273">
            <v>4</v>
          </cell>
        </row>
        <row r="274">
          <cell r="A274" t="str">
            <v>Сервелат Европейский в/к, в/с 0,38 кг.шт.термофор.пак  СПК</v>
          </cell>
          <cell r="D274">
            <v>2</v>
          </cell>
        </row>
        <row r="275">
          <cell r="A275" t="str">
            <v>Сервелат мелкозернистый в/к 0,5 кг.шт. термоус.пак. "Высокий вкус"  СПК</v>
          </cell>
          <cell r="D275">
            <v>7</v>
          </cell>
        </row>
        <row r="276">
          <cell r="A276" t="str">
            <v>Сервелат Финский в/к 0,38 кг.шт. термофор.пак.  СПК</v>
          </cell>
          <cell r="D276">
            <v>1</v>
          </cell>
        </row>
        <row r="277">
          <cell r="A277" t="str">
            <v>Сервелат Фирменный в/к 0,10 кг.шт. нарезка (лоток с ср.защ.атм.)  СПК</v>
          </cell>
          <cell r="D277">
            <v>22</v>
          </cell>
        </row>
        <row r="278">
          <cell r="A278" t="str">
            <v>Сибирская особая с/к 0,10 кг.шт. нарезка (лоток с ср.защ.атм.)  СПК</v>
          </cell>
          <cell r="D278">
            <v>35</v>
          </cell>
        </row>
        <row r="279">
          <cell r="A279" t="str">
            <v>Сибирская особая с/к 0,235 кг шт.  СПК</v>
          </cell>
          <cell r="D279">
            <v>4</v>
          </cell>
        </row>
        <row r="280">
          <cell r="A280" t="str">
            <v>Сосиски "Баварские" 0,36 кг.шт. вак.упак.  СПК</v>
          </cell>
          <cell r="D280">
            <v>1</v>
          </cell>
        </row>
        <row r="281">
          <cell r="A281" t="str">
            <v>Сосиски "Молочные" 0,36 кг.шт. вак.упак.  СПК</v>
          </cell>
          <cell r="D281">
            <v>1</v>
          </cell>
        </row>
        <row r="282">
          <cell r="A282" t="str">
            <v>Сосиски Классические (в ср.защ.атм.) СПК</v>
          </cell>
          <cell r="D282">
            <v>5.63</v>
          </cell>
        </row>
        <row r="283">
          <cell r="A283" t="str">
            <v>Сосиски Мусульманские "Просто выгодно" (в ср.защ.атм.)  СПК</v>
          </cell>
          <cell r="D283">
            <v>2.54</v>
          </cell>
        </row>
        <row r="284">
          <cell r="A284" t="str">
            <v>Сосиски Хот-дог подкопченные (лоток с ср.защ.атм.)  СПК</v>
          </cell>
          <cell r="D284">
            <v>2.1480000000000001</v>
          </cell>
        </row>
        <row r="285">
          <cell r="A285" t="str">
            <v>Сочный мегачебурек ТМ Зареченские ВЕС ПОКОМ</v>
          </cell>
          <cell r="D285">
            <v>8.9600000000000009</v>
          </cell>
        </row>
        <row r="286">
          <cell r="A286" t="str">
            <v>Торо Неро с/в "Эликатессе" 140 гр.шт.  СПК</v>
          </cell>
          <cell r="D286">
            <v>5</v>
          </cell>
        </row>
        <row r="287">
          <cell r="A287" t="str">
            <v>Утренняя вареная ВЕС СПК</v>
          </cell>
          <cell r="D287">
            <v>2.4260000000000002</v>
          </cell>
        </row>
        <row r="288">
          <cell r="A288" t="str">
            <v>Фестивальная пора с/к 100 гр.шт.нар. (лоток с ср.защ.атм.)  СПК</v>
          </cell>
          <cell r="D288">
            <v>11</v>
          </cell>
        </row>
        <row r="289">
          <cell r="A289" t="str">
            <v>Фестивальная пора с/к 235 гр.шт.  СПК</v>
          </cell>
          <cell r="D289">
            <v>43</v>
          </cell>
        </row>
        <row r="290">
          <cell r="A290" t="str">
            <v>Фестивальная пора с/к термоус.пак  СПК</v>
          </cell>
          <cell r="D290">
            <v>2.8719999999999999</v>
          </cell>
        </row>
        <row r="291">
          <cell r="A291" t="str">
            <v>Фуэт с/в "Эликатессе" 160 гр.шт.  СПК</v>
          </cell>
          <cell r="D291">
            <v>36</v>
          </cell>
        </row>
        <row r="292">
          <cell r="A292" t="str">
            <v>Хот-догстер ТМ Горячая штучка ТС Хот-Догстер флоу-пак 0,09 кг. ПОКОМ</v>
          </cell>
          <cell r="D292">
            <v>91</v>
          </cell>
        </row>
        <row r="293">
          <cell r="A293" t="str">
            <v>Хотстеры с сыром 0,25кг ТМ Горячая штучка  ПОКОМ</v>
          </cell>
          <cell r="D293">
            <v>93</v>
          </cell>
        </row>
        <row r="294">
          <cell r="A294" t="str">
            <v>Хотстеры ТМ Горячая штучка ТС Хотстеры 0,25 кг зам  ПОКОМ</v>
          </cell>
          <cell r="D294">
            <v>343</v>
          </cell>
        </row>
        <row r="295">
          <cell r="A295" t="str">
            <v>Хрустящие крылышки острые к пиву ТМ Горячая штучка 0,3кг зам  ПОКОМ</v>
          </cell>
          <cell r="D295">
            <v>111</v>
          </cell>
        </row>
        <row r="296">
          <cell r="A296" t="str">
            <v>Хрустящие крылышки ТМ Горячая штучка 0,3 кг зам  ПОКОМ</v>
          </cell>
          <cell r="D296">
            <v>151</v>
          </cell>
        </row>
        <row r="297">
          <cell r="A297" t="str">
            <v>Чебупели Курочка гриль ТМ Горячая штучка, 0,3 кг зам  ПОКОМ</v>
          </cell>
          <cell r="D297">
            <v>83</v>
          </cell>
        </row>
        <row r="298">
          <cell r="A298" t="str">
            <v>Чебупицца курочка по-итальянски Горячая штучка 0,25 кг зам  ПОКОМ</v>
          </cell>
          <cell r="D298">
            <v>333</v>
          </cell>
        </row>
        <row r="299">
          <cell r="A299" t="str">
            <v>Чебупицца Маргарита 0,2кг ТМ Горячая штучка ТС Foodgital  ПОКОМ</v>
          </cell>
          <cell r="D299">
            <v>45</v>
          </cell>
        </row>
        <row r="300">
          <cell r="A300" t="str">
            <v>Чебупицца Пепперони ТМ Горячая штучка ТС Чебупицца 0.25кг зам  ПОКОМ</v>
          </cell>
          <cell r="D300">
            <v>893</v>
          </cell>
        </row>
        <row r="301">
          <cell r="A301" t="str">
            <v>Чебупицца со вкусом 4 сыра 0,2кг ТМ Горячая штучка ТС Foodgital  ПОКОМ</v>
          </cell>
          <cell r="D301">
            <v>40</v>
          </cell>
        </row>
        <row r="302">
          <cell r="A302" t="str">
            <v>Чебуреки сочные ВЕС ТМ Зареченские  ПОКОМ</v>
          </cell>
          <cell r="D302">
            <v>100</v>
          </cell>
        </row>
        <row r="303">
          <cell r="A303" t="str">
            <v>Шпикачки Русские (черева) (в ср.защ.атм.) "Высокий вкус"  СПК</v>
          </cell>
          <cell r="D303">
            <v>6.7720000000000002</v>
          </cell>
        </row>
        <row r="304">
          <cell r="A304" t="str">
            <v>Юбилейная с/к 0,235 кг.шт.  СПК</v>
          </cell>
          <cell r="D304">
            <v>62</v>
          </cell>
        </row>
        <row r="305">
          <cell r="A305" t="str">
            <v>Итого</v>
          </cell>
          <cell r="D305">
            <v>48743.934000000001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16" sqref="AO16"/>
    </sheetView>
  </sheetViews>
  <sheetFormatPr defaultColWidth="10.5" defaultRowHeight="11.45" customHeight="1" outlineLevelRow="1" x14ac:dyDescent="0.2"/>
  <cols>
    <col min="1" max="1" width="57.5" style="1" customWidth="1"/>
    <col min="2" max="2" width="4.5" style="1" customWidth="1"/>
    <col min="3" max="6" width="7.8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5" width="6.5" style="5" bestFit="1" customWidth="1"/>
    <col min="16" max="22" width="1" style="5" customWidth="1"/>
    <col min="23" max="23" width="6.6640625" style="5" bestFit="1" customWidth="1"/>
    <col min="24" max="24" width="6.5" style="5" bestFit="1" customWidth="1"/>
    <col min="25" max="25" width="6.83203125" style="5" customWidth="1"/>
    <col min="26" max="26" width="5.6640625" style="5" bestFit="1" customWidth="1"/>
    <col min="27" max="28" width="1.33203125" style="5" customWidth="1"/>
    <col min="29" max="29" width="6" style="5" bestFit="1" customWidth="1"/>
    <col min="30" max="34" width="6.6640625" style="5" bestFit="1" customWidth="1"/>
    <col min="35" max="35" width="9.6640625" style="5" customWidth="1"/>
    <col min="36" max="36" width="7.33203125" style="5" customWidth="1"/>
    <col min="37" max="38" width="1.164062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112</v>
      </c>
      <c r="H4" s="10" t="s">
        <v>113</v>
      </c>
      <c r="I4" s="9" t="s">
        <v>114</v>
      </c>
      <c r="J4" s="9" t="s">
        <v>115</v>
      </c>
      <c r="K4" s="9" t="s">
        <v>116</v>
      </c>
      <c r="L4" s="9" t="s">
        <v>117</v>
      </c>
      <c r="M4" s="9" t="s">
        <v>117</v>
      </c>
      <c r="N4" s="9" t="s">
        <v>117</v>
      </c>
      <c r="O4" s="9" t="s">
        <v>117</v>
      </c>
      <c r="P4" s="9" t="s">
        <v>117</v>
      </c>
      <c r="Q4" s="9" t="s">
        <v>117</v>
      </c>
      <c r="R4" s="9" t="s">
        <v>117</v>
      </c>
      <c r="S4" s="11" t="s">
        <v>117</v>
      </c>
      <c r="T4" s="9" t="s">
        <v>118</v>
      </c>
      <c r="U4" s="11" t="s">
        <v>117</v>
      </c>
      <c r="V4" s="11" t="s">
        <v>117</v>
      </c>
      <c r="W4" s="9" t="s">
        <v>114</v>
      </c>
      <c r="X4" s="11" t="s">
        <v>117</v>
      </c>
      <c r="Y4" s="9" t="s">
        <v>119</v>
      </c>
      <c r="Z4" s="11" t="s">
        <v>120</v>
      </c>
      <c r="AA4" s="9" t="s">
        <v>121</v>
      </c>
      <c r="AB4" s="9" t="s">
        <v>122</v>
      </c>
      <c r="AC4" s="9" t="s">
        <v>123</v>
      </c>
      <c r="AD4" s="9" t="s">
        <v>114</v>
      </c>
      <c r="AE4" s="9" t="s">
        <v>114</v>
      </c>
      <c r="AF4" s="9" t="s">
        <v>114</v>
      </c>
      <c r="AG4" s="9" t="s">
        <v>114</v>
      </c>
      <c r="AH4" s="9" t="s">
        <v>124</v>
      </c>
      <c r="AI4" s="9" t="s">
        <v>125</v>
      </c>
      <c r="AJ4" s="11" t="s">
        <v>126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127</v>
      </c>
      <c r="M5" s="14" t="s">
        <v>128</v>
      </c>
      <c r="N5" s="14" t="s">
        <v>129</v>
      </c>
      <c r="O5" s="14" t="s">
        <v>130</v>
      </c>
      <c r="X5" s="14" t="s">
        <v>131</v>
      </c>
      <c r="AD5" s="5" t="s">
        <v>132</v>
      </c>
      <c r="AE5" s="14" t="s">
        <v>133</v>
      </c>
      <c r="AF5" s="14" t="s">
        <v>134</v>
      </c>
      <c r="AG5" s="14" t="s">
        <v>135</v>
      </c>
      <c r="AH5" s="14" t="s">
        <v>136</v>
      </c>
    </row>
    <row r="6" spans="1:39" ht="11.1" customHeight="1" x14ac:dyDescent="0.2">
      <c r="A6" s="6"/>
      <c r="B6" s="6"/>
      <c r="C6" s="3"/>
      <c r="D6" s="3"/>
      <c r="E6" s="12">
        <f>SUM(E7:E156)</f>
        <v>123863.95699999999</v>
      </c>
      <c r="F6" s="12">
        <f>SUM(F7:F156)</f>
        <v>70353.073999999993</v>
      </c>
      <c r="J6" s="12">
        <f t="shared" ref="J6:X6" si="0">SUM(J7:J156)</f>
        <v>125491.747</v>
      </c>
      <c r="K6" s="12">
        <f t="shared" si="0"/>
        <v>-1627.7899999999995</v>
      </c>
      <c r="L6" s="12">
        <f t="shared" si="0"/>
        <v>16200</v>
      </c>
      <c r="M6" s="12">
        <f t="shared" si="0"/>
        <v>32380</v>
      </c>
      <c r="N6" s="12">
        <f t="shared" si="0"/>
        <v>27070</v>
      </c>
      <c r="O6" s="12">
        <f t="shared" si="0"/>
        <v>26970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23613.191399999996</v>
      </c>
      <c r="X6" s="12">
        <f t="shared" si="0"/>
        <v>28450</v>
      </c>
      <c r="AA6" s="12">
        <f t="shared" ref="AA6:AH6" si="1">SUM(AA7:AA156)</f>
        <v>0</v>
      </c>
      <c r="AB6" s="12">
        <f t="shared" si="1"/>
        <v>0</v>
      </c>
      <c r="AC6" s="12">
        <f t="shared" si="1"/>
        <v>5798</v>
      </c>
      <c r="AD6" s="12">
        <f t="shared" si="1"/>
        <v>23851.667400000002</v>
      </c>
      <c r="AE6" s="12">
        <f t="shared" si="1"/>
        <v>26027.048600000009</v>
      </c>
      <c r="AF6" s="12">
        <f t="shared" si="1"/>
        <v>24536.881599999997</v>
      </c>
      <c r="AG6" s="12">
        <f t="shared" si="1"/>
        <v>24838.159800000001</v>
      </c>
      <c r="AH6" s="12">
        <f t="shared" si="1"/>
        <v>24433.372000000003</v>
      </c>
      <c r="AI6" s="12"/>
      <c r="AJ6" s="12">
        <f>SUM(AJ7:AJ156)</f>
        <v>17520.5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550.80600000000004</v>
      </c>
      <c r="D7" s="8">
        <v>331.26499999999999</v>
      </c>
      <c r="E7" s="8">
        <v>569.10699999999997</v>
      </c>
      <c r="F7" s="8">
        <v>310.20400000000001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567.90700000000004</v>
      </c>
      <c r="K7" s="13">
        <f>E7-J7</f>
        <v>1.1999999999999318</v>
      </c>
      <c r="L7" s="13">
        <f>VLOOKUP(A:A,[1]TDSheet!$A:$M,13,0)</f>
        <v>100</v>
      </c>
      <c r="M7" s="13">
        <f>VLOOKUP(A:A,[1]TDSheet!$A:$N,14,0)</f>
        <v>150</v>
      </c>
      <c r="N7" s="13">
        <f>VLOOKUP(A:A,[1]TDSheet!$A:$O,15,0)</f>
        <v>200</v>
      </c>
      <c r="O7" s="13">
        <f>VLOOKUP(A:A,[1]TDSheet!$A:$X,24,0)</f>
        <v>50</v>
      </c>
      <c r="P7" s="13"/>
      <c r="Q7" s="13"/>
      <c r="R7" s="13"/>
      <c r="S7" s="13"/>
      <c r="T7" s="13"/>
      <c r="U7" s="13"/>
      <c r="V7" s="13"/>
      <c r="W7" s="13">
        <f>(E7-AC7)/5</f>
        <v>113.8214</v>
      </c>
      <c r="X7" s="15">
        <v>200</v>
      </c>
      <c r="Y7" s="16">
        <f>(F7+L7+M7+N7+O7+X7)/W7</f>
        <v>8.8753433009961213</v>
      </c>
      <c r="Z7" s="13">
        <f>F7/W7</f>
        <v>2.7253574459635885</v>
      </c>
      <c r="AA7" s="13"/>
      <c r="AB7" s="13"/>
      <c r="AC7" s="13">
        <f>VLOOKUP(A:A,[1]TDSheet!$A:$AC,29,0)</f>
        <v>0</v>
      </c>
      <c r="AD7" s="13">
        <f>VLOOKUP(A:A,[1]TDSheet!$A:$AD,30,0)</f>
        <v>87.911199999999994</v>
      </c>
      <c r="AE7" s="13">
        <f>VLOOKUP(A:A,[1]TDSheet!$A:$AE,31,0)</f>
        <v>94.776800000000009</v>
      </c>
      <c r="AF7" s="13">
        <f>VLOOKUP(A:A,[1]TDSheet!$A:$AF,32,0)</f>
        <v>87.2042</v>
      </c>
      <c r="AG7" s="13">
        <f>VLOOKUP(A:A,[1]TDSheet!$A:$AG,33,0)</f>
        <v>103.88520000000001</v>
      </c>
      <c r="AH7" s="13">
        <f>VLOOKUP(A:A,[3]TDSheet!$A:$D,4,0)</f>
        <v>137.50200000000001</v>
      </c>
      <c r="AI7" s="13" t="str">
        <f>VLOOKUP(A:A,[1]TDSheet!$A:$AI,35,0)</f>
        <v>проддек-ян</v>
      </c>
      <c r="AJ7" s="13">
        <f>X7*H7</f>
        <v>200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901.95899999999995</v>
      </c>
      <c r="D8" s="8">
        <v>1171.1279999999999</v>
      </c>
      <c r="E8" s="8">
        <v>1337.663</v>
      </c>
      <c r="F8" s="8">
        <v>707.15300000000002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1371.9290000000001</v>
      </c>
      <c r="K8" s="13">
        <f t="shared" ref="K8:K71" si="2">E8-J8</f>
        <v>-34.266000000000076</v>
      </c>
      <c r="L8" s="13">
        <f>VLOOKUP(A:A,[1]TDSheet!$A:$M,13,0)</f>
        <v>200</v>
      </c>
      <c r="M8" s="13">
        <f>VLOOKUP(A:A,[1]TDSheet!$A:$N,14,0)</f>
        <v>240</v>
      </c>
      <c r="N8" s="13">
        <f>VLOOKUP(A:A,[1]TDSheet!$A:$O,15,0)</f>
        <v>300</v>
      </c>
      <c r="O8" s="13">
        <f>VLOOKUP(A:A,[1]TDSheet!$A:$X,24,0)</f>
        <v>350</v>
      </c>
      <c r="P8" s="13"/>
      <c r="Q8" s="13"/>
      <c r="R8" s="13"/>
      <c r="S8" s="13"/>
      <c r="T8" s="13"/>
      <c r="U8" s="13"/>
      <c r="V8" s="13"/>
      <c r="W8" s="13">
        <f t="shared" ref="W8:W70" si="3">(E8-AC8)/5</f>
        <v>267.5326</v>
      </c>
      <c r="X8" s="15">
        <v>400</v>
      </c>
      <c r="Y8" s="16">
        <f t="shared" ref="Y8:Y70" si="4">(F8+L8+M8+N8+O8+X8)/W8</f>
        <v>8.2126552053843174</v>
      </c>
      <c r="Z8" s="13">
        <f t="shared" ref="Z8:Z71" si="5">F8/W8</f>
        <v>2.6432404873275259</v>
      </c>
      <c r="AA8" s="13"/>
      <c r="AB8" s="13"/>
      <c r="AC8" s="13">
        <f>VLOOKUP(A:A,[1]TDSheet!$A:$AC,29,0)</f>
        <v>0</v>
      </c>
      <c r="AD8" s="13">
        <f>VLOOKUP(A:A,[1]TDSheet!$A:$AD,30,0)</f>
        <v>119.49480000000001</v>
      </c>
      <c r="AE8" s="13">
        <f>VLOOKUP(A:A,[1]TDSheet!$A:$AE,31,0)</f>
        <v>323.37479999999999</v>
      </c>
      <c r="AF8" s="13">
        <f>VLOOKUP(A:A,[1]TDSheet!$A:$AF,32,0)</f>
        <v>273.2912</v>
      </c>
      <c r="AG8" s="13">
        <f>VLOOKUP(A:A,[1]TDSheet!$A:$AG,33,0)</f>
        <v>272.6644</v>
      </c>
      <c r="AH8" s="13">
        <f>VLOOKUP(A:A,[3]TDSheet!$A:$D,4,0)</f>
        <v>264.70699999999999</v>
      </c>
      <c r="AI8" s="13" t="str">
        <f>VLOOKUP(A:A,[1]TDSheet!$A:$AI,35,0)</f>
        <v>жц</v>
      </c>
      <c r="AJ8" s="13">
        <f t="shared" ref="AJ8:AJ71" si="6">X8*H8</f>
        <v>400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1208.2149999999999</v>
      </c>
      <c r="D9" s="8">
        <v>1322.518</v>
      </c>
      <c r="E9" s="8">
        <v>1784.7090000000001</v>
      </c>
      <c r="F9" s="8">
        <v>735.22699999999998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1777.067</v>
      </c>
      <c r="K9" s="13">
        <f t="shared" si="2"/>
        <v>7.6420000000000528</v>
      </c>
      <c r="L9" s="13">
        <f>VLOOKUP(A:A,[1]TDSheet!$A:$M,13,0)</f>
        <v>400</v>
      </c>
      <c r="M9" s="13">
        <f>VLOOKUP(A:A,[1]TDSheet!$A:$N,14,0)</f>
        <v>550</v>
      </c>
      <c r="N9" s="13">
        <f>VLOOKUP(A:A,[1]TDSheet!$A:$O,15,0)</f>
        <v>400</v>
      </c>
      <c r="O9" s="13">
        <f>VLOOKUP(A:A,[1]TDSheet!$A:$X,24,0)</f>
        <v>320</v>
      </c>
      <c r="P9" s="13"/>
      <c r="Q9" s="13"/>
      <c r="R9" s="13"/>
      <c r="S9" s="13"/>
      <c r="T9" s="13"/>
      <c r="U9" s="13"/>
      <c r="V9" s="13"/>
      <c r="W9" s="13">
        <f t="shared" si="3"/>
        <v>356.9418</v>
      </c>
      <c r="X9" s="15">
        <v>450</v>
      </c>
      <c r="Y9" s="16">
        <f t="shared" si="4"/>
        <v>7.9991387951761324</v>
      </c>
      <c r="Z9" s="13">
        <f t="shared" si="5"/>
        <v>2.0597951822958254</v>
      </c>
      <c r="AA9" s="13"/>
      <c r="AB9" s="13"/>
      <c r="AC9" s="13">
        <f>VLOOKUP(A:A,[1]TDSheet!$A:$AC,29,0)</f>
        <v>0</v>
      </c>
      <c r="AD9" s="13">
        <f>VLOOKUP(A:A,[1]TDSheet!$A:$AD,30,0)</f>
        <v>431.65020000000004</v>
      </c>
      <c r="AE9" s="13">
        <f>VLOOKUP(A:A,[1]TDSheet!$A:$AE,31,0)</f>
        <v>369.14879999999999</v>
      </c>
      <c r="AF9" s="13">
        <f>VLOOKUP(A:A,[1]TDSheet!$A:$AF,32,0)</f>
        <v>355.94439999999997</v>
      </c>
      <c r="AG9" s="13">
        <f>VLOOKUP(A:A,[1]TDSheet!$A:$AG,33,0)</f>
        <v>338.346</v>
      </c>
      <c r="AH9" s="13">
        <f>VLOOKUP(A:A,[3]TDSheet!$A:$D,4,0)</f>
        <v>380.88299999999998</v>
      </c>
      <c r="AI9" s="13">
        <f>VLOOKUP(A:A,[1]TDSheet!$A:$AI,35,0)</f>
        <v>0</v>
      </c>
      <c r="AJ9" s="13">
        <f t="shared" si="6"/>
        <v>450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1020</v>
      </c>
      <c r="D10" s="8">
        <v>2677</v>
      </c>
      <c r="E10" s="8">
        <v>2405</v>
      </c>
      <c r="F10" s="8">
        <v>1275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2413</v>
      </c>
      <c r="K10" s="13">
        <f t="shared" si="2"/>
        <v>-8</v>
      </c>
      <c r="L10" s="13">
        <f>VLOOKUP(A:A,[1]TDSheet!$A:$M,13,0)</f>
        <v>300</v>
      </c>
      <c r="M10" s="13">
        <f>VLOOKUP(A:A,[1]TDSheet!$A:$N,14,0)</f>
        <v>400</v>
      </c>
      <c r="N10" s="13">
        <f>VLOOKUP(A:A,[1]TDSheet!$A:$O,15,0)</f>
        <v>500</v>
      </c>
      <c r="O10" s="13">
        <f>VLOOKUP(A:A,[1]TDSheet!$A:$X,24,0)</f>
        <v>250</v>
      </c>
      <c r="P10" s="13"/>
      <c r="Q10" s="13"/>
      <c r="R10" s="13"/>
      <c r="S10" s="13"/>
      <c r="T10" s="13"/>
      <c r="U10" s="13"/>
      <c r="V10" s="13"/>
      <c r="W10" s="13">
        <f t="shared" si="3"/>
        <v>381</v>
      </c>
      <c r="X10" s="15">
        <v>800</v>
      </c>
      <c r="Y10" s="16">
        <f t="shared" si="4"/>
        <v>9.2519685039370074</v>
      </c>
      <c r="Z10" s="13">
        <f t="shared" si="5"/>
        <v>3.3464566929133857</v>
      </c>
      <c r="AA10" s="13"/>
      <c r="AB10" s="13"/>
      <c r="AC10" s="13">
        <f>VLOOKUP(A:A,[1]TDSheet!$A:$AC,29,0)</f>
        <v>500</v>
      </c>
      <c r="AD10" s="13">
        <f>VLOOKUP(A:A,[1]TDSheet!$A:$AD,30,0)</f>
        <v>402.2</v>
      </c>
      <c r="AE10" s="13">
        <f>VLOOKUP(A:A,[1]TDSheet!$A:$AE,31,0)</f>
        <v>397.6</v>
      </c>
      <c r="AF10" s="13">
        <f>VLOOKUP(A:A,[1]TDSheet!$A:$AF,32,0)</f>
        <v>395.8</v>
      </c>
      <c r="AG10" s="13">
        <f>VLOOKUP(A:A,[1]TDSheet!$A:$AG,33,0)</f>
        <v>427.2</v>
      </c>
      <c r="AH10" s="13">
        <f>VLOOKUP(A:A,[3]TDSheet!$A:$D,4,0)</f>
        <v>513</v>
      </c>
      <c r="AI10" s="13" t="str">
        <f>VLOOKUP(A:A,[1]TDSheet!$A:$AI,35,0)</f>
        <v>ябдек-ян</v>
      </c>
      <c r="AJ10" s="13">
        <f t="shared" si="6"/>
        <v>320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2505</v>
      </c>
      <c r="D11" s="8">
        <v>3324</v>
      </c>
      <c r="E11" s="8">
        <v>4203</v>
      </c>
      <c r="F11" s="8">
        <v>1565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4243</v>
      </c>
      <c r="K11" s="13">
        <f t="shared" si="2"/>
        <v>-40</v>
      </c>
      <c r="L11" s="13">
        <f>VLOOKUP(A:A,[1]TDSheet!$A:$M,13,0)</f>
        <v>700</v>
      </c>
      <c r="M11" s="13">
        <f>VLOOKUP(A:A,[1]TDSheet!$A:$N,14,0)</f>
        <v>700</v>
      </c>
      <c r="N11" s="13">
        <f>VLOOKUP(A:A,[1]TDSheet!$A:$O,15,0)</f>
        <v>700</v>
      </c>
      <c r="O11" s="13">
        <f>VLOOKUP(A:A,[1]TDSheet!$A:$X,24,0)</f>
        <v>600</v>
      </c>
      <c r="P11" s="13"/>
      <c r="Q11" s="13"/>
      <c r="R11" s="13"/>
      <c r="S11" s="13"/>
      <c r="T11" s="13"/>
      <c r="U11" s="13"/>
      <c r="V11" s="13"/>
      <c r="W11" s="13">
        <f t="shared" si="3"/>
        <v>679.8</v>
      </c>
      <c r="X11" s="15">
        <v>1100</v>
      </c>
      <c r="Y11" s="16">
        <f t="shared" si="4"/>
        <v>7.8920270667843493</v>
      </c>
      <c r="Z11" s="13">
        <f t="shared" si="5"/>
        <v>2.3021476904972054</v>
      </c>
      <c r="AA11" s="13"/>
      <c r="AB11" s="13"/>
      <c r="AC11" s="13">
        <f>VLOOKUP(A:A,[1]TDSheet!$A:$AC,29,0)</f>
        <v>804</v>
      </c>
      <c r="AD11" s="13">
        <f>VLOOKUP(A:A,[1]TDSheet!$A:$AD,30,0)</f>
        <v>795.6</v>
      </c>
      <c r="AE11" s="13">
        <f>VLOOKUP(A:A,[1]TDSheet!$A:$AE,31,0)</f>
        <v>785.4</v>
      </c>
      <c r="AF11" s="13">
        <f>VLOOKUP(A:A,[1]TDSheet!$A:$AF,32,0)</f>
        <v>732.8</v>
      </c>
      <c r="AG11" s="13">
        <f>VLOOKUP(A:A,[1]TDSheet!$A:$AG,33,0)</f>
        <v>671.6</v>
      </c>
      <c r="AH11" s="13">
        <f>VLOOKUP(A:A,[3]TDSheet!$A:$D,4,0)</f>
        <v>890</v>
      </c>
      <c r="AI11" s="13" t="str">
        <f>VLOOKUP(A:A,[1]TDSheet!$A:$AI,35,0)</f>
        <v>проддек-ян</v>
      </c>
      <c r="AJ11" s="13">
        <f t="shared" si="6"/>
        <v>495</v>
      </c>
      <c r="AK11" s="13"/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2702</v>
      </c>
      <c r="D12" s="8">
        <v>2511</v>
      </c>
      <c r="E12" s="8">
        <v>3628</v>
      </c>
      <c r="F12" s="8">
        <v>1536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3669</v>
      </c>
      <c r="K12" s="13">
        <f t="shared" si="2"/>
        <v>-41</v>
      </c>
      <c r="L12" s="13">
        <f>VLOOKUP(A:A,[1]TDSheet!$A:$M,13,0)</f>
        <v>800</v>
      </c>
      <c r="M12" s="13">
        <f>VLOOKUP(A:A,[1]TDSheet!$A:$N,14,0)</f>
        <v>1000</v>
      </c>
      <c r="N12" s="13">
        <f>VLOOKUP(A:A,[1]TDSheet!$A:$O,15,0)</f>
        <v>800</v>
      </c>
      <c r="O12" s="13">
        <f>VLOOKUP(A:A,[1]TDSheet!$A:$X,24,0)</f>
        <v>900</v>
      </c>
      <c r="P12" s="13"/>
      <c r="Q12" s="13"/>
      <c r="R12" s="13"/>
      <c r="S12" s="13"/>
      <c r="T12" s="13"/>
      <c r="U12" s="13"/>
      <c r="V12" s="13"/>
      <c r="W12" s="13">
        <f t="shared" si="3"/>
        <v>725.6</v>
      </c>
      <c r="X12" s="15">
        <v>800</v>
      </c>
      <c r="Y12" s="16">
        <f t="shared" si="4"/>
        <v>8.0429988974641677</v>
      </c>
      <c r="Z12" s="13">
        <f t="shared" si="5"/>
        <v>2.1168687982359424</v>
      </c>
      <c r="AA12" s="13"/>
      <c r="AB12" s="13"/>
      <c r="AC12" s="13">
        <f>VLOOKUP(A:A,[1]TDSheet!$A:$AC,29,0)</f>
        <v>0</v>
      </c>
      <c r="AD12" s="13">
        <f>VLOOKUP(A:A,[1]TDSheet!$A:$AD,30,0)</f>
        <v>649.4</v>
      </c>
      <c r="AE12" s="13">
        <f>VLOOKUP(A:A,[1]TDSheet!$A:$AE,31,0)</f>
        <v>807.8</v>
      </c>
      <c r="AF12" s="13">
        <f>VLOOKUP(A:A,[1]TDSheet!$A:$AF,32,0)</f>
        <v>763.4</v>
      </c>
      <c r="AG12" s="13">
        <f>VLOOKUP(A:A,[1]TDSheet!$A:$AG,33,0)</f>
        <v>700.8</v>
      </c>
      <c r="AH12" s="13">
        <f>VLOOKUP(A:A,[3]TDSheet!$A:$D,4,0)</f>
        <v>710</v>
      </c>
      <c r="AI12" s="13" t="str">
        <f>VLOOKUP(A:A,[1]TDSheet!$A:$AI,35,0)</f>
        <v>проддек-ян</v>
      </c>
      <c r="AJ12" s="13">
        <f t="shared" si="6"/>
        <v>360</v>
      </c>
      <c r="AK12" s="13"/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47</v>
      </c>
      <c r="D13" s="8">
        <v>66</v>
      </c>
      <c r="E13" s="8">
        <v>72</v>
      </c>
      <c r="F13" s="8">
        <v>38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74</v>
      </c>
      <c r="K13" s="13">
        <f t="shared" si="2"/>
        <v>-2</v>
      </c>
      <c r="L13" s="13">
        <f>VLOOKUP(A:A,[1]TDSheet!$A:$M,13,0)</f>
        <v>0</v>
      </c>
      <c r="M13" s="13">
        <f>VLOOKUP(A:A,[1]TDSheet!$A:$N,14,0)</f>
        <v>40</v>
      </c>
      <c r="N13" s="13">
        <f>VLOOKUP(A:A,[1]TDSheet!$A:$O,15,0)</f>
        <v>30</v>
      </c>
      <c r="O13" s="13">
        <f>VLOOKUP(A:A,[1]TDSheet!$A:$X,24,0)</f>
        <v>0</v>
      </c>
      <c r="P13" s="13"/>
      <c r="Q13" s="13"/>
      <c r="R13" s="13"/>
      <c r="S13" s="13"/>
      <c r="T13" s="13"/>
      <c r="U13" s="13"/>
      <c r="V13" s="13"/>
      <c r="W13" s="13">
        <f t="shared" si="3"/>
        <v>14.4</v>
      </c>
      <c r="X13" s="15">
        <v>30</v>
      </c>
      <c r="Y13" s="16">
        <f t="shared" si="4"/>
        <v>9.5833333333333339</v>
      </c>
      <c r="Z13" s="13">
        <f t="shared" si="5"/>
        <v>2.6388888888888888</v>
      </c>
      <c r="AA13" s="13"/>
      <c r="AB13" s="13"/>
      <c r="AC13" s="13">
        <f>VLOOKUP(A:A,[1]TDSheet!$A:$AC,29,0)</f>
        <v>0</v>
      </c>
      <c r="AD13" s="13">
        <f>VLOOKUP(A:A,[1]TDSheet!$A:$AD,30,0)</f>
        <v>14.6</v>
      </c>
      <c r="AE13" s="13">
        <f>VLOOKUP(A:A,[1]TDSheet!$A:$AE,31,0)</f>
        <v>19.399999999999999</v>
      </c>
      <c r="AF13" s="13">
        <f>VLOOKUP(A:A,[1]TDSheet!$A:$AF,32,0)</f>
        <v>12.8</v>
      </c>
      <c r="AG13" s="13">
        <f>VLOOKUP(A:A,[1]TDSheet!$A:$AG,33,0)</f>
        <v>13.4</v>
      </c>
      <c r="AH13" s="13">
        <f>VLOOKUP(A:A,[3]TDSheet!$A:$D,4,0)</f>
        <v>11</v>
      </c>
      <c r="AI13" s="13">
        <f>VLOOKUP(A:A,[1]TDSheet!$A:$AI,35,0)</f>
        <v>0</v>
      </c>
      <c r="AJ13" s="13">
        <f t="shared" si="6"/>
        <v>12</v>
      </c>
      <c r="AK13" s="13"/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454</v>
      </c>
      <c r="D14" s="8">
        <v>110</v>
      </c>
      <c r="E14" s="8">
        <v>316</v>
      </c>
      <c r="F14" s="8">
        <v>242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322</v>
      </c>
      <c r="K14" s="13">
        <f t="shared" si="2"/>
        <v>-6</v>
      </c>
      <c r="L14" s="13">
        <f>VLOOKUP(A:A,[1]TDSheet!$A:$M,13,0)</f>
        <v>0</v>
      </c>
      <c r="M14" s="13">
        <f>VLOOKUP(A:A,[1]TDSheet!$A:$N,14,0)</f>
        <v>800</v>
      </c>
      <c r="N14" s="13">
        <f>VLOOKUP(A:A,[1]TDSheet!$A:$O,15,0)</f>
        <v>0</v>
      </c>
      <c r="O14" s="13">
        <f>VLOOKUP(A:A,[1]TDSheet!$A:$X,24,0)</f>
        <v>0</v>
      </c>
      <c r="P14" s="13"/>
      <c r="Q14" s="13"/>
      <c r="R14" s="13"/>
      <c r="S14" s="13"/>
      <c r="T14" s="13"/>
      <c r="U14" s="13"/>
      <c r="V14" s="13"/>
      <c r="W14" s="13">
        <f t="shared" si="3"/>
        <v>63.2</v>
      </c>
      <c r="X14" s="15"/>
      <c r="Y14" s="16">
        <f t="shared" si="4"/>
        <v>16.487341772151897</v>
      </c>
      <c r="Z14" s="13">
        <f t="shared" si="5"/>
        <v>3.8291139240506329</v>
      </c>
      <c r="AA14" s="13"/>
      <c r="AB14" s="13"/>
      <c r="AC14" s="13">
        <f>VLOOKUP(A:A,[1]TDSheet!$A:$AC,29,0)</f>
        <v>0</v>
      </c>
      <c r="AD14" s="13">
        <f>VLOOKUP(A:A,[1]TDSheet!$A:$AD,30,0)</f>
        <v>60.4</v>
      </c>
      <c r="AE14" s="13">
        <f>VLOOKUP(A:A,[1]TDSheet!$A:$AE,31,0)</f>
        <v>77</v>
      </c>
      <c r="AF14" s="13">
        <f>VLOOKUP(A:A,[1]TDSheet!$A:$AF,32,0)</f>
        <v>68.599999999999994</v>
      </c>
      <c r="AG14" s="13">
        <f>VLOOKUP(A:A,[1]TDSheet!$A:$AG,33,0)</f>
        <v>65.2</v>
      </c>
      <c r="AH14" s="13">
        <f>VLOOKUP(A:A,[3]TDSheet!$A:$D,4,0)</f>
        <v>44</v>
      </c>
      <c r="AI14" s="13">
        <f>VLOOKUP(A:A,[1]TDSheet!$A:$AI,35,0)</f>
        <v>0</v>
      </c>
      <c r="AJ14" s="13">
        <f t="shared" si="6"/>
        <v>0</v>
      </c>
      <c r="AK14" s="13"/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161</v>
      </c>
      <c r="D15" s="8">
        <v>439</v>
      </c>
      <c r="E15" s="8">
        <v>309</v>
      </c>
      <c r="F15" s="8">
        <v>275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328</v>
      </c>
      <c r="K15" s="13">
        <f t="shared" si="2"/>
        <v>-19</v>
      </c>
      <c r="L15" s="13">
        <f>VLOOKUP(A:A,[1]TDSheet!$A:$M,13,0)</f>
        <v>0</v>
      </c>
      <c r="M15" s="13">
        <f>VLOOKUP(A:A,[1]TDSheet!$A:$N,14,0)</f>
        <v>80</v>
      </c>
      <c r="N15" s="13">
        <f>VLOOKUP(A:A,[1]TDSheet!$A:$O,15,0)</f>
        <v>70</v>
      </c>
      <c r="O15" s="13">
        <f>VLOOKUP(A:A,[1]TDSheet!$A:$X,24,0)</f>
        <v>70</v>
      </c>
      <c r="P15" s="13"/>
      <c r="Q15" s="13"/>
      <c r="R15" s="13"/>
      <c r="S15" s="13"/>
      <c r="T15" s="13"/>
      <c r="U15" s="13"/>
      <c r="V15" s="13"/>
      <c r="W15" s="13">
        <f t="shared" si="3"/>
        <v>61.8</v>
      </c>
      <c r="X15" s="15"/>
      <c r="Y15" s="16">
        <f t="shared" si="4"/>
        <v>8.0097087378640772</v>
      </c>
      <c r="Z15" s="13">
        <f t="shared" si="5"/>
        <v>4.4498381877022659</v>
      </c>
      <c r="AA15" s="13"/>
      <c r="AB15" s="13"/>
      <c r="AC15" s="13">
        <f>VLOOKUP(A:A,[1]TDSheet!$A:$AC,29,0)</f>
        <v>0</v>
      </c>
      <c r="AD15" s="13">
        <f>VLOOKUP(A:A,[1]TDSheet!$A:$AD,30,0)</f>
        <v>80.599999999999994</v>
      </c>
      <c r="AE15" s="13">
        <f>VLOOKUP(A:A,[1]TDSheet!$A:$AE,31,0)</f>
        <v>81.400000000000006</v>
      </c>
      <c r="AF15" s="13">
        <f>VLOOKUP(A:A,[1]TDSheet!$A:$AF,32,0)</f>
        <v>68</v>
      </c>
      <c r="AG15" s="13">
        <f>VLOOKUP(A:A,[1]TDSheet!$A:$AG,33,0)</f>
        <v>78</v>
      </c>
      <c r="AH15" s="13">
        <f>VLOOKUP(A:A,[3]TDSheet!$A:$D,4,0)</f>
        <v>41</v>
      </c>
      <c r="AI15" s="13">
        <f>VLOOKUP(A:A,[1]TDSheet!$A:$AI,35,0)</f>
        <v>0</v>
      </c>
      <c r="AJ15" s="13">
        <f t="shared" si="6"/>
        <v>0</v>
      </c>
      <c r="AK15" s="13"/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2234</v>
      </c>
      <c r="D16" s="8">
        <v>24</v>
      </c>
      <c r="E16" s="8">
        <v>1268</v>
      </c>
      <c r="F16" s="8">
        <v>970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1297</v>
      </c>
      <c r="K16" s="13">
        <f t="shared" si="2"/>
        <v>-29</v>
      </c>
      <c r="L16" s="13">
        <f>VLOOKUP(A:A,[1]TDSheet!$A:$M,13,0)</f>
        <v>0</v>
      </c>
      <c r="M16" s="13">
        <f>VLOOKUP(A:A,[1]TDSheet!$A:$N,14,0)</f>
        <v>3500</v>
      </c>
      <c r="N16" s="13">
        <f>VLOOKUP(A:A,[1]TDSheet!$A:$O,15,0)</f>
        <v>0</v>
      </c>
      <c r="O16" s="13">
        <f>VLOOKUP(A:A,[1]TDSheet!$A:$X,24,0)</f>
        <v>0</v>
      </c>
      <c r="P16" s="13"/>
      <c r="Q16" s="13"/>
      <c r="R16" s="13"/>
      <c r="S16" s="13"/>
      <c r="T16" s="13"/>
      <c r="U16" s="13"/>
      <c r="V16" s="13"/>
      <c r="W16" s="13">
        <f t="shared" si="3"/>
        <v>253.6</v>
      </c>
      <c r="X16" s="15"/>
      <c r="Y16" s="16">
        <f t="shared" si="4"/>
        <v>17.626182965299684</v>
      </c>
      <c r="Z16" s="13">
        <f t="shared" si="5"/>
        <v>3.8249211356466879</v>
      </c>
      <c r="AA16" s="13"/>
      <c r="AB16" s="13"/>
      <c r="AC16" s="13">
        <f>VLOOKUP(A:A,[1]TDSheet!$A:$AC,29,0)</f>
        <v>0</v>
      </c>
      <c r="AD16" s="13">
        <f>VLOOKUP(A:A,[1]TDSheet!$A:$AD,30,0)</f>
        <v>272</v>
      </c>
      <c r="AE16" s="13">
        <f>VLOOKUP(A:A,[1]TDSheet!$A:$AE,31,0)</f>
        <v>335.6</v>
      </c>
      <c r="AF16" s="13">
        <f>VLOOKUP(A:A,[1]TDSheet!$A:$AF,32,0)</f>
        <v>268.2</v>
      </c>
      <c r="AG16" s="13">
        <f>VLOOKUP(A:A,[1]TDSheet!$A:$AG,33,0)</f>
        <v>264.2</v>
      </c>
      <c r="AH16" s="13">
        <f>VLOOKUP(A:A,[3]TDSheet!$A:$D,4,0)</f>
        <v>231</v>
      </c>
      <c r="AI16" s="13">
        <f>VLOOKUP(A:A,[1]TDSheet!$A:$AI,35,0)</f>
        <v>0</v>
      </c>
      <c r="AJ16" s="13">
        <f t="shared" si="6"/>
        <v>0</v>
      </c>
      <c r="AK16" s="13"/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448</v>
      </c>
      <c r="D17" s="8">
        <v>166</v>
      </c>
      <c r="E17" s="8">
        <v>271</v>
      </c>
      <c r="F17" s="8">
        <v>331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281</v>
      </c>
      <c r="K17" s="13">
        <f t="shared" si="2"/>
        <v>-10</v>
      </c>
      <c r="L17" s="13">
        <f>VLOOKUP(A:A,[1]TDSheet!$A:$M,13,0)</f>
        <v>0</v>
      </c>
      <c r="M17" s="13">
        <f>VLOOKUP(A:A,[1]TDSheet!$A:$N,14,0)</f>
        <v>50</v>
      </c>
      <c r="N17" s="13">
        <f>VLOOKUP(A:A,[1]TDSheet!$A:$O,15,0)</f>
        <v>0</v>
      </c>
      <c r="O17" s="13">
        <f>VLOOKUP(A:A,[1]TDSheet!$A:$X,24,0)</f>
        <v>40</v>
      </c>
      <c r="P17" s="13"/>
      <c r="Q17" s="13"/>
      <c r="R17" s="13"/>
      <c r="S17" s="13"/>
      <c r="T17" s="13"/>
      <c r="U17" s="13"/>
      <c r="V17" s="13"/>
      <c r="W17" s="13">
        <f t="shared" si="3"/>
        <v>54.2</v>
      </c>
      <c r="X17" s="15">
        <v>40</v>
      </c>
      <c r="Y17" s="16">
        <f t="shared" si="4"/>
        <v>8.5055350553505527</v>
      </c>
      <c r="Z17" s="13">
        <f t="shared" si="5"/>
        <v>6.1070110701107012</v>
      </c>
      <c r="AA17" s="13"/>
      <c r="AB17" s="13"/>
      <c r="AC17" s="13">
        <f>VLOOKUP(A:A,[1]TDSheet!$A:$AC,29,0)</f>
        <v>0</v>
      </c>
      <c r="AD17" s="13">
        <f>VLOOKUP(A:A,[1]TDSheet!$A:$AD,30,0)</f>
        <v>70</v>
      </c>
      <c r="AE17" s="13">
        <f>VLOOKUP(A:A,[1]TDSheet!$A:$AE,31,0)</f>
        <v>73.400000000000006</v>
      </c>
      <c r="AF17" s="13">
        <f>VLOOKUP(A:A,[1]TDSheet!$A:$AF,32,0)</f>
        <v>64.2</v>
      </c>
      <c r="AG17" s="13">
        <f>VLOOKUP(A:A,[1]TDSheet!$A:$AG,33,0)</f>
        <v>67.599999999999994</v>
      </c>
      <c r="AH17" s="13">
        <f>VLOOKUP(A:A,[3]TDSheet!$A:$D,4,0)</f>
        <v>67</v>
      </c>
      <c r="AI17" s="13" t="str">
        <f>VLOOKUP(A:A,[1]TDSheet!$A:$AI,35,0)</f>
        <v>окнч</v>
      </c>
      <c r="AJ17" s="13">
        <f t="shared" si="6"/>
        <v>14</v>
      </c>
      <c r="AK17" s="13"/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85</v>
      </c>
      <c r="D18" s="8">
        <v>91</v>
      </c>
      <c r="E18" s="8">
        <v>97</v>
      </c>
      <c r="F18" s="8">
        <v>77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99</v>
      </c>
      <c r="K18" s="13">
        <f t="shared" si="2"/>
        <v>-2</v>
      </c>
      <c r="L18" s="13">
        <f>VLOOKUP(A:A,[1]TDSheet!$A:$M,13,0)</f>
        <v>0</v>
      </c>
      <c r="M18" s="13">
        <f>VLOOKUP(A:A,[1]TDSheet!$A:$N,14,0)</f>
        <v>30</v>
      </c>
      <c r="N18" s="13">
        <f>VLOOKUP(A:A,[1]TDSheet!$A:$O,15,0)</f>
        <v>20</v>
      </c>
      <c r="O18" s="13">
        <f>VLOOKUP(A:A,[1]TDSheet!$A:$X,24,0)</f>
        <v>30</v>
      </c>
      <c r="P18" s="13"/>
      <c r="Q18" s="13"/>
      <c r="R18" s="13"/>
      <c r="S18" s="13"/>
      <c r="T18" s="13"/>
      <c r="U18" s="13"/>
      <c r="V18" s="13"/>
      <c r="W18" s="13">
        <f t="shared" si="3"/>
        <v>19.399999999999999</v>
      </c>
      <c r="X18" s="15"/>
      <c r="Y18" s="16">
        <f t="shared" si="4"/>
        <v>8.0927835051546406</v>
      </c>
      <c r="Z18" s="13">
        <f t="shared" si="5"/>
        <v>3.9690721649484537</v>
      </c>
      <c r="AA18" s="13"/>
      <c r="AB18" s="13"/>
      <c r="AC18" s="13">
        <f>VLOOKUP(A:A,[1]TDSheet!$A:$AC,29,0)</f>
        <v>0</v>
      </c>
      <c r="AD18" s="13">
        <f>VLOOKUP(A:A,[1]TDSheet!$A:$AD,30,0)</f>
        <v>17.8</v>
      </c>
      <c r="AE18" s="13">
        <f>VLOOKUP(A:A,[1]TDSheet!$A:$AE,31,0)</f>
        <v>27.2</v>
      </c>
      <c r="AF18" s="13">
        <f>VLOOKUP(A:A,[1]TDSheet!$A:$AF,32,0)</f>
        <v>15.8</v>
      </c>
      <c r="AG18" s="13">
        <f>VLOOKUP(A:A,[1]TDSheet!$A:$AG,33,0)</f>
        <v>20.2</v>
      </c>
      <c r="AH18" s="13">
        <f>VLOOKUP(A:A,[3]TDSheet!$A:$D,4,0)</f>
        <v>10</v>
      </c>
      <c r="AI18" s="13">
        <f>VLOOKUP(A:A,[1]TDSheet!$A:$AI,35,0)</f>
        <v>0</v>
      </c>
      <c r="AJ18" s="13">
        <f t="shared" si="6"/>
        <v>0</v>
      </c>
      <c r="AK18" s="13"/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245</v>
      </c>
      <c r="D19" s="8">
        <v>410</v>
      </c>
      <c r="E19" s="8">
        <v>320</v>
      </c>
      <c r="F19" s="8">
        <v>324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327</v>
      </c>
      <c r="K19" s="13">
        <f t="shared" si="2"/>
        <v>-7</v>
      </c>
      <c r="L19" s="13">
        <f>VLOOKUP(A:A,[1]TDSheet!$A:$M,13,0)</f>
        <v>0</v>
      </c>
      <c r="M19" s="13">
        <f>VLOOKUP(A:A,[1]TDSheet!$A:$N,14,0)</f>
        <v>0</v>
      </c>
      <c r="N19" s="13">
        <f>VLOOKUP(A:A,[1]TDSheet!$A:$O,15,0)</f>
        <v>30</v>
      </c>
      <c r="O19" s="13">
        <f>VLOOKUP(A:A,[1]TDSheet!$A:$X,24,0)</f>
        <v>80</v>
      </c>
      <c r="P19" s="13"/>
      <c r="Q19" s="13"/>
      <c r="R19" s="13"/>
      <c r="S19" s="13"/>
      <c r="T19" s="13"/>
      <c r="U19" s="13"/>
      <c r="V19" s="13"/>
      <c r="W19" s="13">
        <f t="shared" si="3"/>
        <v>64</v>
      </c>
      <c r="X19" s="15">
        <v>40</v>
      </c>
      <c r="Y19" s="16">
        <f t="shared" si="4"/>
        <v>7.40625</v>
      </c>
      <c r="Z19" s="13">
        <f t="shared" si="5"/>
        <v>5.0625</v>
      </c>
      <c r="AA19" s="13"/>
      <c r="AB19" s="13"/>
      <c r="AC19" s="13">
        <f>VLOOKUP(A:A,[1]TDSheet!$A:$AC,29,0)</f>
        <v>0</v>
      </c>
      <c r="AD19" s="13">
        <f>VLOOKUP(A:A,[1]TDSheet!$A:$AD,30,0)</f>
        <v>28.8</v>
      </c>
      <c r="AE19" s="13">
        <f>VLOOKUP(A:A,[1]TDSheet!$A:$AE,31,0)</f>
        <v>85.8</v>
      </c>
      <c r="AF19" s="13">
        <f>VLOOKUP(A:A,[1]TDSheet!$A:$AF,32,0)</f>
        <v>75</v>
      </c>
      <c r="AG19" s="13">
        <f>VLOOKUP(A:A,[1]TDSheet!$A:$AG,33,0)</f>
        <v>83</v>
      </c>
      <c r="AH19" s="13">
        <f>VLOOKUP(A:A,[3]TDSheet!$A:$D,4,0)</f>
        <v>70</v>
      </c>
      <c r="AI19" s="13" t="str">
        <f>VLOOKUP(A:A,[1]TDSheet!$A:$AI,35,0)</f>
        <v>оконч</v>
      </c>
      <c r="AJ19" s="13">
        <f t="shared" si="6"/>
        <v>14</v>
      </c>
      <c r="AK19" s="13"/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439</v>
      </c>
      <c r="D20" s="8">
        <v>409</v>
      </c>
      <c r="E20" s="8">
        <v>438</v>
      </c>
      <c r="F20" s="8">
        <v>408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440</v>
      </c>
      <c r="K20" s="13">
        <f t="shared" si="2"/>
        <v>-2</v>
      </c>
      <c r="L20" s="13">
        <f>VLOOKUP(A:A,[1]TDSheet!$A:$M,13,0)</f>
        <v>0</v>
      </c>
      <c r="M20" s="13">
        <f>VLOOKUP(A:A,[1]TDSheet!$A:$N,14,0)</f>
        <v>100</v>
      </c>
      <c r="N20" s="13">
        <f>VLOOKUP(A:A,[1]TDSheet!$A:$O,15,0)</f>
        <v>100</v>
      </c>
      <c r="O20" s="13">
        <f>VLOOKUP(A:A,[1]TDSheet!$A:$X,24,0)</f>
        <v>100</v>
      </c>
      <c r="P20" s="13"/>
      <c r="Q20" s="13"/>
      <c r="R20" s="13"/>
      <c r="S20" s="13"/>
      <c r="T20" s="13"/>
      <c r="U20" s="13"/>
      <c r="V20" s="13"/>
      <c r="W20" s="13">
        <f t="shared" si="3"/>
        <v>87.6</v>
      </c>
      <c r="X20" s="15">
        <v>50</v>
      </c>
      <c r="Y20" s="16">
        <f t="shared" si="4"/>
        <v>8.6529680365296802</v>
      </c>
      <c r="Z20" s="13">
        <f t="shared" si="5"/>
        <v>4.6575342465753424</v>
      </c>
      <c r="AA20" s="13"/>
      <c r="AB20" s="13"/>
      <c r="AC20" s="13">
        <f>VLOOKUP(A:A,[1]TDSheet!$A:$AC,29,0)</f>
        <v>0</v>
      </c>
      <c r="AD20" s="13">
        <f>VLOOKUP(A:A,[1]TDSheet!$A:$AD,30,0)</f>
        <v>105</v>
      </c>
      <c r="AE20" s="13">
        <f>VLOOKUP(A:A,[1]TDSheet!$A:$AE,31,0)</f>
        <v>111.2</v>
      </c>
      <c r="AF20" s="13">
        <f>VLOOKUP(A:A,[1]TDSheet!$A:$AF,32,0)</f>
        <v>115.8</v>
      </c>
      <c r="AG20" s="13">
        <f>VLOOKUP(A:A,[1]TDSheet!$A:$AG,33,0)</f>
        <v>111.2</v>
      </c>
      <c r="AH20" s="13">
        <f>VLOOKUP(A:A,[3]TDSheet!$A:$D,4,0)</f>
        <v>97</v>
      </c>
      <c r="AI20" s="13" t="str">
        <f>VLOOKUP(A:A,[1]TDSheet!$A:$AI,35,0)</f>
        <v>проддек-ян</v>
      </c>
      <c r="AJ20" s="13">
        <f t="shared" si="6"/>
        <v>17.5</v>
      </c>
      <c r="AK20" s="13"/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423.45800000000003</v>
      </c>
      <c r="D21" s="8">
        <v>509.44200000000001</v>
      </c>
      <c r="E21" s="8">
        <v>574.56299999999999</v>
      </c>
      <c r="F21" s="8">
        <v>340.78800000000001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573.85</v>
      </c>
      <c r="K21" s="13">
        <f t="shared" si="2"/>
        <v>0.71299999999996544</v>
      </c>
      <c r="L21" s="13">
        <f>VLOOKUP(A:A,[1]TDSheet!$A:$M,13,0)</f>
        <v>0</v>
      </c>
      <c r="M21" s="13">
        <f>VLOOKUP(A:A,[1]TDSheet!$A:$N,14,0)</f>
        <v>140</v>
      </c>
      <c r="N21" s="13">
        <f>VLOOKUP(A:A,[1]TDSheet!$A:$O,15,0)</f>
        <v>120</v>
      </c>
      <c r="O21" s="13">
        <f>VLOOKUP(A:A,[1]TDSheet!$A:$X,24,0)</f>
        <v>200</v>
      </c>
      <c r="P21" s="13"/>
      <c r="Q21" s="13"/>
      <c r="R21" s="13"/>
      <c r="S21" s="13"/>
      <c r="T21" s="13"/>
      <c r="U21" s="13"/>
      <c r="V21" s="13"/>
      <c r="W21" s="13">
        <f t="shared" si="3"/>
        <v>114.9126</v>
      </c>
      <c r="X21" s="15">
        <v>120</v>
      </c>
      <c r="Y21" s="16">
        <f t="shared" si="4"/>
        <v>8.012942009840522</v>
      </c>
      <c r="Z21" s="13">
        <f t="shared" si="5"/>
        <v>2.9656277901640031</v>
      </c>
      <c r="AA21" s="13"/>
      <c r="AB21" s="13"/>
      <c r="AC21" s="13">
        <f>VLOOKUP(A:A,[1]TDSheet!$A:$AC,29,0)</f>
        <v>0</v>
      </c>
      <c r="AD21" s="13">
        <f>VLOOKUP(A:A,[1]TDSheet!$A:$AD,30,0)</f>
        <v>120.2912</v>
      </c>
      <c r="AE21" s="13">
        <f>VLOOKUP(A:A,[1]TDSheet!$A:$AE,31,0)</f>
        <v>114.94680000000001</v>
      </c>
      <c r="AF21" s="13">
        <f>VLOOKUP(A:A,[1]TDSheet!$A:$AF,32,0)</f>
        <v>128.3184</v>
      </c>
      <c r="AG21" s="13">
        <f>VLOOKUP(A:A,[1]TDSheet!$A:$AG,33,0)</f>
        <v>125.3326</v>
      </c>
      <c r="AH21" s="13">
        <f>VLOOKUP(A:A,[3]TDSheet!$A:$D,4,0)</f>
        <v>108.15600000000001</v>
      </c>
      <c r="AI21" s="13">
        <f>VLOOKUP(A:A,[1]TDSheet!$A:$AI,35,0)</f>
        <v>0</v>
      </c>
      <c r="AJ21" s="13">
        <f t="shared" si="6"/>
        <v>120</v>
      </c>
      <c r="AK21" s="13"/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2784.6529999999998</v>
      </c>
      <c r="D22" s="8">
        <v>5740.3370000000004</v>
      </c>
      <c r="E22" s="8">
        <v>5208.9470000000001</v>
      </c>
      <c r="F22" s="8">
        <v>3110.3980000000001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5420.0119999999997</v>
      </c>
      <c r="K22" s="13">
        <f t="shared" si="2"/>
        <v>-211.0649999999996</v>
      </c>
      <c r="L22" s="13">
        <f>VLOOKUP(A:A,[1]TDSheet!$A:$M,13,0)</f>
        <v>900</v>
      </c>
      <c r="M22" s="13">
        <f>VLOOKUP(A:A,[1]TDSheet!$A:$N,14,0)</f>
        <v>1000</v>
      </c>
      <c r="N22" s="13">
        <f>VLOOKUP(A:A,[1]TDSheet!$A:$O,15,0)</f>
        <v>1000</v>
      </c>
      <c r="O22" s="13">
        <f>VLOOKUP(A:A,[1]TDSheet!$A:$X,24,0)</f>
        <v>1300</v>
      </c>
      <c r="P22" s="13"/>
      <c r="Q22" s="13"/>
      <c r="R22" s="13"/>
      <c r="S22" s="13"/>
      <c r="T22" s="13"/>
      <c r="U22" s="13"/>
      <c r="V22" s="13"/>
      <c r="W22" s="13">
        <f t="shared" si="3"/>
        <v>1041.7894000000001</v>
      </c>
      <c r="X22" s="15">
        <v>1100</v>
      </c>
      <c r="Y22" s="16">
        <f t="shared" si="4"/>
        <v>8.073030883209217</v>
      </c>
      <c r="Z22" s="13">
        <f t="shared" si="5"/>
        <v>2.9856303010954037</v>
      </c>
      <c r="AA22" s="13"/>
      <c r="AB22" s="13"/>
      <c r="AC22" s="13">
        <f>VLOOKUP(A:A,[1]TDSheet!$A:$AC,29,0)</f>
        <v>0</v>
      </c>
      <c r="AD22" s="13">
        <f>VLOOKUP(A:A,[1]TDSheet!$A:$AD,30,0)</f>
        <v>1017.8922</v>
      </c>
      <c r="AE22" s="13">
        <f>VLOOKUP(A:A,[1]TDSheet!$A:$AE,31,0)</f>
        <v>958.80060000000014</v>
      </c>
      <c r="AF22" s="13">
        <f>VLOOKUP(A:A,[1]TDSheet!$A:$AF,32,0)</f>
        <v>996.44439999999997</v>
      </c>
      <c r="AG22" s="13">
        <f>VLOOKUP(A:A,[1]TDSheet!$A:$AG,33,0)</f>
        <v>1096.5001999999999</v>
      </c>
      <c r="AH22" s="13">
        <f>VLOOKUP(A:A,[3]TDSheet!$A:$D,4,0)</f>
        <v>1079.8109999999999</v>
      </c>
      <c r="AI22" s="13" t="str">
        <f>VLOOKUP(A:A,[1]TDSheet!$A:$AI,35,0)</f>
        <v>проддек-ян</v>
      </c>
      <c r="AJ22" s="13">
        <f t="shared" si="6"/>
        <v>1100</v>
      </c>
      <c r="AK22" s="13"/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238.31800000000001</v>
      </c>
      <c r="D23" s="8">
        <v>273.24099999999999</v>
      </c>
      <c r="E23" s="8">
        <v>367.42599999999999</v>
      </c>
      <c r="F23" s="8">
        <v>138.84700000000001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360.07</v>
      </c>
      <c r="K23" s="13">
        <f t="shared" si="2"/>
        <v>7.3559999999999945</v>
      </c>
      <c r="L23" s="13">
        <f>VLOOKUP(A:A,[1]TDSheet!$A:$M,13,0)</f>
        <v>50</v>
      </c>
      <c r="M23" s="13">
        <f>VLOOKUP(A:A,[1]TDSheet!$A:$N,14,0)</f>
        <v>110</v>
      </c>
      <c r="N23" s="13">
        <f>VLOOKUP(A:A,[1]TDSheet!$A:$O,15,0)</f>
        <v>80</v>
      </c>
      <c r="O23" s="13">
        <f>VLOOKUP(A:A,[1]TDSheet!$A:$X,24,0)</f>
        <v>120</v>
      </c>
      <c r="P23" s="13"/>
      <c r="Q23" s="13"/>
      <c r="R23" s="13"/>
      <c r="S23" s="13"/>
      <c r="T23" s="13"/>
      <c r="U23" s="13"/>
      <c r="V23" s="13"/>
      <c r="W23" s="13">
        <f t="shared" si="3"/>
        <v>73.485199999999992</v>
      </c>
      <c r="X23" s="15">
        <v>90</v>
      </c>
      <c r="Y23" s="16">
        <f t="shared" si="4"/>
        <v>8.0131373392193268</v>
      </c>
      <c r="Z23" s="13">
        <f t="shared" si="5"/>
        <v>1.8894552916777803</v>
      </c>
      <c r="AA23" s="13"/>
      <c r="AB23" s="13"/>
      <c r="AC23" s="13">
        <f>VLOOKUP(A:A,[1]TDSheet!$A:$AC,29,0)</f>
        <v>0</v>
      </c>
      <c r="AD23" s="13">
        <f>VLOOKUP(A:A,[1]TDSheet!$A:$AD,30,0)</f>
        <v>68.246200000000002</v>
      </c>
      <c r="AE23" s="13">
        <f>VLOOKUP(A:A,[1]TDSheet!$A:$AE,31,0)</f>
        <v>62.67</v>
      </c>
      <c r="AF23" s="13">
        <f>VLOOKUP(A:A,[1]TDSheet!$A:$AF,32,0)</f>
        <v>67.574399999999997</v>
      </c>
      <c r="AG23" s="13">
        <f>VLOOKUP(A:A,[1]TDSheet!$A:$AG,33,0)</f>
        <v>65.862200000000001</v>
      </c>
      <c r="AH23" s="13">
        <f>VLOOKUP(A:A,[3]TDSheet!$A:$D,4,0)</f>
        <v>60.466999999999999</v>
      </c>
      <c r="AI23" s="13">
        <f>VLOOKUP(A:A,[1]TDSheet!$A:$AI,35,0)</f>
        <v>0</v>
      </c>
      <c r="AJ23" s="13">
        <f t="shared" si="6"/>
        <v>90</v>
      </c>
      <c r="AK23" s="13"/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456.02699999999999</v>
      </c>
      <c r="D24" s="8">
        <v>587.83199999999999</v>
      </c>
      <c r="E24" s="8">
        <v>682.05700000000002</v>
      </c>
      <c r="F24" s="8">
        <v>348.67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671.572</v>
      </c>
      <c r="K24" s="13">
        <f t="shared" si="2"/>
        <v>10.485000000000014</v>
      </c>
      <c r="L24" s="13">
        <f>VLOOKUP(A:A,[1]TDSheet!$A:$M,13,0)</f>
        <v>100</v>
      </c>
      <c r="M24" s="13">
        <f>VLOOKUP(A:A,[1]TDSheet!$A:$N,14,0)</f>
        <v>150</v>
      </c>
      <c r="N24" s="13">
        <f>VLOOKUP(A:A,[1]TDSheet!$A:$O,15,0)</f>
        <v>150</v>
      </c>
      <c r="O24" s="13">
        <f>VLOOKUP(A:A,[1]TDSheet!$A:$X,24,0)</f>
        <v>200</v>
      </c>
      <c r="P24" s="13"/>
      <c r="Q24" s="13"/>
      <c r="R24" s="13"/>
      <c r="S24" s="13"/>
      <c r="T24" s="13"/>
      <c r="U24" s="13"/>
      <c r="V24" s="13"/>
      <c r="W24" s="13">
        <f t="shared" si="3"/>
        <v>136.41140000000001</v>
      </c>
      <c r="X24" s="15">
        <v>150</v>
      </c>
      <c r="Y24" s="16">
        <f t="shared" si="4"/>
        <v>8.0540922532867487</v>
      </c>
      <c r="Z24" s="13">
        <f t="shared" si="5"/>
        <v>2.5560180454126264</v>
      </c>
      <c r="AA24" s="13"/>
      <c r="AB24" s="13"/>
      <c r="AC24" s="13">
        <f>VLOOKUP(A:A,[1]TDSheet!$A:$AC,29,0)</f>
        <v>0</v>
      </c>
      <c r="AD24" s="13">
        <f>VLOOKUP(A:A,[1]TDSheet!$A:$AD,30,0)</f>
        <v>130.32900000000001</v>
      </c>
      <c r="AE24" s="13">
        <f>VLOOKUP(A:A,[1]TDSheet!$A:$AE,31,0)</f>
        <v>139.90299999999999</v>
      </c>
      <c r="AF24" s="13">
        <f>VLOOKUP(A:A,[1]TDSheet!$A:$AF,32,0)</f>
        <v>140.46440000000001</v>
      </c>
      <c r="AG24" s="13">
        <f>VLOOKUP(A:A,[1]TDSheet!$A:$AG,33,0)</f>
        <v>136.74459999999999</v>
      </c>
      <c r="AH24" s="13">
        <f>VLOOKUP(A:A,[3]TDSheet!$A:$D,4,0)</f>
        <v>108.428</v>
      </c>
      <c r="AI24" s="13">
        <f>VLOOKUP(A:A,[1]TDSheet!$A:$AI,35,0)</f>
        <v>0</v>
      </c>
      <c r="AJ24" s="13">
        <f t="shared" si="6"/>
        <v>150</v>
      </c>
      <c r="AK24" s="13"/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95.197000000000003</v>
      </c>
      <c r="D25" s="8">
        <v>203.47399999999999</v>
      </c>
      <c r="E25" s="8">
        <v>176.25399999999999</v>
      </c>
      <c r="F25" s="8">
        <v>121.538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3">
        <f>VLOOKUP(A:A,[2]TDSheet!$A:$F,6,0)</f>
        <v>164.85599999999999</v>
      </c>
      <c r="K25" s="13">
        <f t="shared" si="2"/>
        <v>11.397999999999996</v>
      </c>
      <c r="L25" s="13">
        <f>VLOOKUP(A:A,[1]TDSheet!$A:$M,13,0)</f>
        <v>0</v>
      </c>
      <c r="M25" s="13">
        <f>VLOOKUP(A:A,[1]TDSheet!$A:$N,14,0)</f>
        <v>20</v>
      </c>
      <c r="N25" s="13">
        <f>VLOOKUP(A:A,[1]TDSheet!$A:$O,15,0)</f>
        <v>30</v>
      </c>
      <c r="O25" s="13">
        <f>VLOOKUP(A:A,[1]TDSheet!$A:$X,24,0)</f>
        <v>100</v>
      </c>
      <c r="P25" s="13"/>
      <c r="Q25" s="13"/>
      <c r="R25" s="13"/>
      <c r="S25" s="13"/>
      <c r="T25" s="13"/>
      <c r="U25" s="13"/>
      <c r="V25" s="13"/>
      <c r="W25" s="13">
        <f t="shared" si="3"/>
        <v>35.250799999999998</v>
      </c>
      <c r="X25" s="15">
        <v>20</v>
      </c>
      <c r="Y25" s="16">
        <f t="shared" si="4"/>
        <v>8.2703938634016829</v>
      </c>
      <c r="Z25" s="13">
        <f t="shared" si="5"/>
        <v>3.447808276691593</v>
      </c>
      <c r="AA25" s="13"/>
      <c r="AB25" s="13"/>
      <c r="AC25" s="13">
        <f>VLOOKUP(A:A,[1]TDSheet!$A:$AC,29,0)</f>
        <v>0</v>
      </c>
      <c r="AD25" s="13">
        <f>VLOOKUP(A:A,[1]TDSheet!$A:$AD,30,0)</f>
        <v>31.187799999999999</v>
      </c>
      <c r="AE25" s="13">
        <f>VLOOKUP(A:A,[1]TDSheet!$A:$AE,31,0)</f>
        <v>37.2498</v>
      </c>
      <c r="AF25" s="13">
        <f>VLOOKUP(A:A,[1]TDSheet!$A:$AF,32,0)</f>
        <v>34.3508</v>
      </c>
      <c r="AG25" s="13">
        <f>VLOOKUP(A:A,[1]TDSheet!$A:$AG,33,0)</f>
        <v>38.412999999999997</v>
      </c>
      <c r="AH25" s="13">
        <f>VLOOKUP(A:A,[3]TDSheet!$A:$D,4,0)</f>
        <v>25.548999999999999</v>
      </c>
      <c r="AI25" s="13">
        <f>VLOOKUP(A:A,[1]TDSheet!$A:$AI,35,0)</f>
        <v>0</v>
      </c>
      <c r="AJ25" s="13">
        <f t="shared" si="6"/>
        <v>20</v>
      </c>
      <c r="AK25" s="13"/>
      <c r="AL25" s="13"/>
      <c r="AM25" s="13"/>
    </row>
    <row r="26" spans="1:39" s="1" customFormat="1" ht="21.95" customHeight="1" outlineLevel="1" x14ac:dyDescent="0.2">
      <c r="A26" s="7" t="s">
        <v>29</v>
      </c>
      <c r="B26" s="7" t="s">
        <v>8</v>
      </c>
      <c r="C26" s="8">
        <v>219.983</v>
      </c>
      <c r="D26" s="8">
        <v>403.96899999999999</v>
      </c>
      <c r="E26" s="8">
        <v>331.43</v>
      </c>
      <c r="F26" s="8">
        <v>289.88900000000001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318.57100000000003</v>
      </c>
      <c r="K26" s="13">
        <f t="shared" si="2"/>
        <v>12.85899999999998</v>
      </c>
      <c r="L26" s="13">
        <f>VLOOKUP(A:A,[1]TDSheet!$A:$M,13,0)</f>
        <v>0</v>
      </c>
      <c r="M26" s="13">
        <f>VLOOKUP(A:A,[1]TDSheet!$A:$N,14,0)</f>
        <v>0</v>
      </c>
      <c r="N26" s="13">
        <f>VLOOKUP(A:A,[1]TDSheet!$A:$O,15,0)</f>
        <v>70</v>
      </c>
      <c r="O26" s="13">
        <f>VLOOKUP(A:A,[1]TDSheet!$A:$X,24,0)</f>
        <v>80</v>
      </c>
      <c r="P26" s="13"/>
      <c r="Q26" s="13"/>
      <c r="R26" s="13"/>
      <c r="S26" s="13"/>
      <c r="T26" s="13"/>
      <c r="U26" s="13"/>
      <c r="V26" s="13"/>
      <c r="W26" s="13">
        <f t="shared" si="3"/>
        <v>66.286000000000001</v>
      </c>
      <c r="X26" s="15">
        <v>100</v>
      </c>
      <c r="Y26" s="16">
        <f t="shared" si="4"/>
        <v>8.1448420480946204</v>
      </c>
      <c r="Z26" s="13">
        <f t="shared" si="5"/>
        <v>4.3733065805750835</v>
      </c>
      <c r="AA26" s="13"/>
      <c r="AB26" s="13"/>
      <c r="AC26" s="13">
        <f>VLOOKUP(A:A,[1]TDSheet!$A:$AC,29,0)</f>
        <v>0</v>
      </c>
      <c r="AD26" s="13">
        <f>VLOOKUP(A:A,[1]TDSheet!$A:$AD,30,0)</f>
        <v>80.45320000000001</v>
      </c>
      <c r="AE26" s="13">
        <f>VLOOKUP(A:A,[1]TDSheet!$A:$AE,31,0)</f>
        <v>89.840599999999995</v>
      </c>
      <c r="AF26" s="13">
        <f>VLOOKUP(A:A,[1]TDSheet!$A:$AF,32,0)</f>
        <v>77.135799999999989</v>
      </c>
      <c r="AG26" s="13">
        <f>VLOOKUP(A:A,[1]TDSheet!$A:$AG,33,0)</f>
        <v>81.166600000000003</v>
      </c>
      <c r="AH26" s="13">
        <f>VLOOKUP(A:A,[3]TDSheet!$A:$D,4,0)</f>
        <v>72.724000000000004</v>
      </c>
      <c r="AI26" s="13" t="str">
        <f>VLOOKUP(A:A,[1]TDSheet!$A:$AI,35,0)</f>
        <v>жц</v>
      </c>
      <c r="AJ26" s="13">
        <f t="shared" si="6"/>
        <v>100</v>
      </c>
      <c r="AK26" s="13"/>
      <c r="AL26" s="13"/>
      <c r="AM26" s="13"/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226.07900000000001</v>
      </c>
      <c r="D27" s="8">
        <v>344.93200000000002</v>
      </c>
      <c r="E27" s="8">
        <v>361.61700000000002</v>
      </c>
      <c r="F27" s="8">
        <v>209.39400000000001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348.90600000000001</v>
      </c>
      <c r="K27" s="13">
        <f t="shared" si="2"/>
        <v>12.711000000000013</v>
      </c>
      <c r="L27" s="13">
        <f>VLOOKUP(A:A,[1]TDSheet!$A:$M,13,0)</f>
        <v>0</v>
      </c>
      <c r="M27" s="13">
        <f>VLOOKUP(A:A,[1]TDSheet!$A:$N,14,0)</f>
        <v>100</v>
      </c>
      <c r="N27" s="13">
        <f>VLOOKUP(A:A,[1]TDSheet!$A:$O,15,0)</f>
        <v>70</v>
      </c>
      <c r="O27" s="13">
        <f>VLOOKUP(A:A,[1]TDSheet!$A:$X,24,0)</f>
        <v>50</v>
      </c>
      <c r="P27" s="13"/>
      <c r="Q27" s="13"/>
      <c r="R27" s="13"/>
      <c r="S27" s="13"/>
      <c r="T27" s="13"/>
      <c r="U27" s="13"/>
      <c r="V27" s="13"/>
      <c r="W27" s="13">
        <f t="shared" si="3"/>
        <v>72.323400000000007</v>
      </c>
      <c r="X27" s="15">
        <v>150</v>
      </c>
      <c r="Y27" s="16">
        <f t="shared" si="4"/>
        <v>8.0111554489971422</v>
      </c>
      <c r="Z27" s="13">
        <f t="shared" si="5"/>
        <v>2.8952455221961353</v>
      </c>
      <c r="AA27" s="13"/>
      <c r="AB27" s="13"/>
      <c r="AC27" s="13">
        <f>VLOOKUP(A:A,[1]TDSheet!$A:$AC,29,0)</f>
        <v>0</v>
      </c>
      <c r="AD27" s="13">
        <f>VLOOKUP(A:A,[1]TDSheet!$A:$AD,30,0)</f>
        <v>69.344000000000008</v>
      </c>
      <c r="AE27" s="13">
        <f>VLOOKUP(A:A,[1]TDSheet!$A:$AE,31,0)</f>
        <v>90.138199999999998</v>
      </c>
      <c r="AF27" s="13">
        <f>VLOOKUP(A:A,[1]TDSheet!$A:$AF,32,0)</f>
        <v>73.119600000000005</v>
      </c>
      <c r="AG27" s="13">
        <f>VLOOKUP(A:A,[1]TDSheet!$A:$AG,33,0)</f>
        <v>76.597000000000008</v>
      </c>
      <c r="AH27" s="13">
        <f>VLOOKUP(A:A,[3]TDSheet!$A:$D,4,0)</f>
        <v>98.302999999999997</v>
      </c>
      <c r="AI27" s="13">
        <f>VLOOKUP(A:A,[1]TDSheet!$A:$AI,35,0)</f>
        <v>0</v>
      </c>
      <c r="AJ27" s="13">
        <f t="shared" si="6"/>
        <v>150</v>
      </c>
      <c r="AK27" s="13"/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63.241</v>
      </c>
      <c r="D28" s="8">
        <v>101.65600000000001</v>
      </c>
      <c r="E28" s="8">
        <v>116.05500000000001</v>
      </c>
      <c r="F28" s="8">
        <v>45.923999999999999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3">
        <f>VLOOKUP(A:A,[2]TDSheet!$A:$F,6,0)</f>
        <v>115.60599999999999</v>
      </c>
      <c r="K28" s="13">
        <f t="shared" si="2"/>
        <v>0.44900000000001228</v>
      </c>
      <c r="L28" s="13">
        <f>VLOOKUP(A:A,[1]TDSheet!$A:$M,13,0)</f>
        <v>20</v>
      </c>
      <c r="M28" s="13">
        <f>VLOOKUP(A:A,[1]TDSheet!$A:$N,14,0)</f>
        <v>20</v>
      </c>
      <c r="N28" s="13">
        <f>VLOOKUP(A:A,[1]TDSheet!$A:$O,15,0)</f>
        <v>20</v>
      </c>
      <c r="O28" s="13">
        <f>VLOOKUP(A:A,[1]TDSheet!$A:$X,24,0)</f>
        <v>40</v>
      </c>
      <c r="P28" s="13"/>
      <c r="Q28" s="13"/>
      <c r="R28" s="13"/>
      <c r="S28" s="13"/>
      <c r="T28" s="13"/>
      <c r="U28" s="13"/>
      <c r="V28" s="13"/>
      <c r="W28" s="13">
        <f t="shared" si="3"/>
        <v>23.211000000000002</v>
      </c>
      <c r="X28" s="15">
        <v>40</v>
      </c>
      <c r="Y28" s="16">
        <f t="shared" si="4"/>
        <v>8.0101675929516176</v>
      </c>
      <c r="Z28" s="13">
        <f t="shared" si="5"/>
        <v>1.9785446555512471</v>
      </c>
      <c r="AA28" s="13"/>
      <c r="AB28" s="13"/>
      <c r="AC28" s="13">
        <f>VLOOKUP(A:A,[1]TDSheet!$A:$AC,29,0)</f>
        <v>0</v>
      </c>
      <c r="AD28" s="13">
        <f>VLOOKUP(A:A,[1]TDSheet!$A:$AD,30,0)</f>
        <v>18.97</v>
      </c>
      <c r="AE28" s="13">
        <f>VLOOKUP(A:A,[1]TDSheet!$A:$AE,31,0)</f>
        <v>23.8978</v>
      </c>
      <c r="AF28" s="13">
        <f>VLOOKUP(A:A,[1]TDSheet!$A:$AF,32,0)</f>
        <v>18.1812</v>
      </c>
      <c r="AG28" s="13">
        <f>VLOOKUP(A:A,[1]TDSheet!$A:$AG,33,0)</f>
        <v>19.291</v>
      </c>
      <c r="AH28" s="13">
        <f>VLOOKUP(A:A,[3]TDSheet!$A:$D,4,0)</f>
        <v>19.588000000000001</v>
      </c>
      <c r="AI28" s="13">
        <f>VLOOKUP(A:A,[1]TDSheet!$A:$AI,35,0)</f>
        <v>0</v>
      </c>
      <c r="AJ28" s="13">
        <f t="shared" si="6"/>
        <v>40</v>
      </c>
      <c r="AK28" s="13"/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144.33600000000001</v>
      </c>
      <c r="D29" s="8">
        <v>102.197</v>
      </c>
      <c r="E29" s="8">
        <v>143.767</v>
      </c>
      <c r="F29" s="8">
        <v>101.245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132.251</v>
      </c>
      <c r="K29" s="13">
        <f t="shared" si="2"/>
        <v>11.515999999999991</v>
      </c>
      <c r="L29" s="13">
        <f>VLOOKUP(A:A,[1]TDSheet!$A:$M,13,0)</f>
        <v>0</v>
      </c>
      <c r="M29" s="13">
        <f>VLOOKUP(A:A,[1]TDSheet!$A:$N,14,0)</f>
        <v>0</v>
      </c>
      <c r="N29" s="13">
        <f>VLOOKUP(A:A,[1]TDSheet!$A:$O,15,0)</f>
        <v>20</v>
      </c>
      <c r="O29" s="13">
        <f>VLOOKUP(A:A,[1]TDSheet!$A:$X,24,0)</f>
        <v>30</v>
      </c>
      <c r="P29" s="13"/>
      <c r="Q29" s="13"/>
      <c r="R29" s="13"/>
      <c r="S29" s="13"/>
      <c r="T29" s="13"/>
      <c r="U29" s="13"/>
      <c r="V29" s="13"/>
      <c r="W29" s="13">
        <f t="shared" si="3"/>
        <v>28.753399999999999</v>
      </c>
      <c r="X29" s="15">
        <v>80</v>
      </c>
      <c r="Y29" s="16">
        <f t="shared" si="4"/>
        <v>8.0423532521371381</v>
      </c>
      <c r="Z29" s="13">
        <f t="shared" si="5"/>
        <v>3.5211488032719611</v>
      </c>
      <c r="AA29" s="13"/>
      <c r="AB29" s="13"/>
      <c r="AC29" s="13">
        <f>VLOOKUP(A:A,[1]TDSheet!$A:$AC,29,0)</f>
        <v>0</v>
      </c>
      <c r="AD29" s="13">
        <f>VLOOKUP(A:A,[1]TDSheet!$A:$AD,30,0)</f>
        <v>28.157999999999998</v>
      </c>
      <c r="AE29" s="13">
        <f>VLOOKUP(A:A,[1]TDSheet!$A:$AE,31,0)</f>
        <v>26.245800000000003</v>
      </c>
      <c r="AF29" s="13">
        <f>VLOOKUP(A:A,[1]TDSheet!$A:$AF,32,0)</f>
        <v>35.097200000000001</v>
      </c>
      <c r="AG29" s="13">
        <f>VLOOKUP(A:A,[1]TDSheet!$A:$AG,33,0)</f>
        <v>31.0106</v>
      </c>
      <c r="AH29" s="13">
        <f>VLOOKUP(A:A,[3]TDSheet!$A:$D,4,0)</f>
        <v>45.463000000000001</v>
      </c>
      <c r="AI29" s="13">
        <f>VLOOKUP(A:A,[1]TDSheet!$A:$AI,35,0)</f>
        <v>0</v>
      </c>
      <c r="AJ29" s="13">
        <f t="shared" si="6"/>
        <v>80</v>
      </c>
      <c r="AK29" s="13"/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1067.6489999999999</v>
      </c>
      <c r="D30" s="8">
        <v>1860.405</v>
      </c>
      <c r="E30" s="8">
        <v>2041.7380000000001</v>
      </c>
      <c r="F30" s="8">
        <v>850.11400000000003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2056.0450000000001</v>
      </c>
      <c r="K30" s="13">
        <f t="shared" si="2"/>
        <v>-14.307000000000016</v>
      </c>
      <c r="L30" s="13">
        <f>VLOOKUP(A:A,[1]TDSheet!$A:$M,13,0)</f>
        <v>300</v>
      </c>
      <c r="M30" s="13">
        <f>VLOOKUP(A:A,[1]TDSheet!$A:$N,14,0)</f>
        <v>500</v>
      </c>
      <c r="N30" s="13">
        <f>VLOOKUP(A:A,[1]TDSheet!$A:$O,15,0)</f>
        <v>400</v>
      </c>
      <c r="O30" s="13">
        <f>VLOOKUP(A:A,[1]TDSheet!$A:$X,24,0)</f>
        <v>300</v>
      </c>
      <c r="P30" s="13"/>
      <c r="Q30" s="13"/>
      <c r="R30" s="13"/>
      <c r="S30" s="13"/>
      <c r="T30" s="13"/>
      <c r="U30" s="13"/>
      <c r="V30" s="13"/>
      <c r="W30" s="13">
        <f t="shared" si="3"/>
        <v>408.3476</v>
      </c>
      <c r="X30" s="15">
        <v>700</v>
      </c>
      <c r="Y30" s="16">
        <f t="shared" si="4"/>
        <v>7.4694059668772388</v>
      </c>
      <c r="Z30" s="13">
        <f t="shared" si="5"/>
        <v>2.0818390998257366</v>
      </c>
      <c r="AA30" s="13"/>
      <c r="AB30" s="13"/>
      <c r="AC30" s="13">
        <f>VLOOKUP(A:A,[1]TDSheet!$A:$AC,29,0)</f>
        <v>0</v>
      </c>
      <c r="AD30" s="13">
        <f>VLOOKUP(A:A,[1]TDSheet!$A:$AD,30,0)</f>
        <v>285.83479999999997</v>
      </c>
      <c r="AE30" s="13">
        <f>VLOOKUP(A:A,[1]TDSheet!$A:$AE,31,0)</f>
        <v>333.99520000000001</v>
      </c>
      <c r="AF30" s="13">
        <f>VLOOKUP(A:A,[1]TDSheet!$A:$AF,32,0)</f>
        <v>338.21</v>
      </c>
      <c r="AG30" s="13">
        <f>VLOOKUP(A:A,[1]TDSheet!$A:$AG,33,0)</f>
        <v>366.32560000000001</v>
      </c>
      <c r="AH30" s="13">
        <f>VLOOKUP(A:A,[3]TDSheet!$A:$D,4,0)</f>
        <v>430.14100000000002</v>
      </c>
      <c r="AI30" s="13" t="str">
        <f>VLOOKUP(A:A,[1]TDSheet!$A:$AI,35,0)</f>
        <v>оконч</v>
      </c>
      <c r="AJ30" s="13">
        <f t="shared" si="6"/>
        <v>700</v>
      </c>
      <c r="AK30" s="13"/>
      <c r="AL30" s="13"/>
      <c r="AM30" s="13"/>
    </row>
    <row r="31" spans="1:39" s="1" customFormat="1" ht="21.95" customHeight="1" outlineLevel="1" x14ac:dyDescent="0.2">
      <c r="A31" s="7" t="s">
        <v>34</v>
      </c>
      <c r="B31" s="7" t="s">
        <v>8</v>
      </c>
      <c r="C31" s="8">
        <v>81.587000000000003</v>
      </c>
      <c r="D31" s="8">
        <v>98.043999999999997</v>
      </c>
      <c r="E31" s="8">
        <v>127.108</v>
      </c>
      <c r="F31" s="8">
        <v>49.613999999999997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3">
        <f>VLOOKUP(A:A,[2]TDSheet!$A:$F,6,0)</f>
        <v>125.55</v>
      </c>
      <c r="K31" s="13">
        <f t="shared" si="2"/>
        <v>1.5580000000000069</v>
      </c>
      <c r="L31" s="13">
        <f>VLOOKUP(A:A,[1]TDSheet!$A:$M,13,0)</f>
        <v>0</v>
      </c>
      <c r="M31" s="13">
        <f>VLOOKUP(A:A,[1]TDSheet!$A:$N,14,0)</f>
        <v>30</v>
      </c>
      <c r="N31" s="13">
        <f>VLOOKUP(A:A,[1]TDSheet!$A:$O,15,0)</f>
        <v>20</v>
      </c>
      <c r="O31" s="13">
        <f>VLOOKUP(A:A,[1]TDSheet!$A:$X,24,0)</f>
        <v>0</v>
      </c>
      <c r="P31" s="13"/>
      <c r="Q31" s="13"/>
      <c r="R31" s="13"/>
      <c r="S31" s="13"/>
      <c r="T31" s="13"/>
      <c r="U31" s="13"/>
      <c r="V31" s="13"/>
      <c r="W31" s="13">
        <f t="shared" si="3"/>
        <v>25.421600000000002</v>
      </c>
      <c r="X31" s="15">
        <v>100</v>
      </c>
      <c r="Y31" s="16">
        <f t="shared" si="4"/>
        <v>7.8521414859804262</v>
      </c>
      <c r="Z31" s="13">
        <f t="shared" si="5"/>
        <v>1.9516474179437957</v>
      </c>
      <c r="AA31" s="13"/>
      <c r="AB31" s="13"/>
      <c r="AC31" s="13">
        <f>VLOOKUP(A:A,[1]TDSheet!$A:$AC,29,0)</f>
        <v>0</v>
      </c>
      <c r="AD31" s="13">
        <f>VLOOKUP(A:A,[1]TDSheet!$A:$AD,30,0)</f>
        <v>15.5458</v>
      </c>
      <c r="AE31" s="13">
        <f>VLOOKUP(A:A,[1]TDSheet!$A:$AE,31,0)</f>
        <v>26.287799999999997</v>
      </c>
      <c r="AF31" s="13">
        <f>VLOOKUP(A:A,[1]TDSheet!$A:$AF,32,0)</f>
        <v>12.058</v>
      </c>
      <c r="AG31" s="13">
        <f>VLOOKUP(A:A,[1]TDSheet!$A:$AG,33,0)</f>
        <v>23.022399999999998</v>
      </c>
      <c r="AH31" s="13">
        <f>VLOOKUP(A:A,[3]TDSheet!$A:$D,4,0)</f>
        <v>61.473999999999997</v>
      </c>
      <c r="AI31" s="13">
        <f>VLOOKUP(A:A,[1]TDSheet!$A:$AI,35,0)</f>
        <v>0</v>
      </c>
      <c r="AJ31" s="13">
        <f t="shared" si="6"/>
        <v>100</v>
      </c>
      <c r="AK31" s="13"/>
      <c r="AL31" s="13"/>
      <c r="AM31" s="13"/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119.501</v>
      </c>
      <c r="D32" s="8">
        <v>26.616</v>
      </c>
      <c r="E32" s="8">
        <v>120.217</v>
      </c>
      <c r="F32" s="8">
        <v>25.9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3">
        <f>VLOOKUP(A:A,[2]TDSheet!$A:$F,6,0)</f>
        <v>124.06</v>
      </c>
      <c r="K32" s="13">
        <f t="shared" si="2"/>
        <v>-3.8430000000000035</v>
      </c>
      <c r="L32" s="13">
        <f>VLOOKUP(A:A,[1]TDSheet!$A:$M,13,0)</f>
        <v>30</v>
      </c>
      <c r="M32" s="13">
        <f>VLOOKUP(A:A,[1]TDSheet!$A:$N,14,0)</f>
        <v>50</v>
      </c>
      <c r="N32" s="13">
        <f>VLOOKUP(A:A,[1]TDSheet!$A:$O,15,0)</f>
        <v>30</v>
      </c>
      <c r="O32" s="13">
        <f>VLOOKUP(A:A,[1]TDSheet!$A:$X,24,0)</f>
        <v>50</v>
      </c>
      <c r="P32" s="13"/>
      <c r="Q32" s="13"/>
      <c r="R32" s="13"/>
      <c r="S32" s="13"/>
      <c r="T32" s="13"/>
      <c r="U32" s="13"/>
      <c r="V32" s="13"/>
      <c r="W32" s="13">
        <f t="shared" si="3"/>
        <v>24.043399999999998</v>
      </c>
      <c r="X32" s="15">
        <v>20</v>
      </c>
      <c r="Y32" s="16">
        <f t="shared" si="4"/>
        <v>8.5636806774416279</v>
      </c>
      <c r="Z32" s="13">
        <f t="shared" si="5"/>
        <v>1.0772186961910546</v>
      </c>
      <c r="AA32" s="13"/>
      <c r="AB32" s="13"/>
      <c r="AC32" s="13">
        <f>VLOOKUP(A:A,[1]TDSheet!$A:$AC,29,0)</f>
        <v>0</v>
      </c>
      <c r="AD32" s="13">
        <f>VLOOKUP(A:A,[1]TDSheet!$A:$AD,30,0)</f>
        <v>24.717599999999997</v>
      </c>
      <c r="AE32" s="13">
        <f>VLOOKUP(A:A,[1]TDSheet!$A:$AE,31,0)</f>
        <v>14.8332</v>
      </c>
      <c r="AF32" s="13">
        <f>VLOOKUP(A:A,[1]TDSheet!$A:$AF,32,0)</f>
        <v>20.881599999999999</v>
      </c>
      <c r="AG32" s="13">
        <f>VLOOKUP(A:A,[1]TDSheet!$A:$AG,33,0)</f>
        <v>18.755600000000001</v>
      </c>
      <c r="AH32" s="13">
        <f>VLOOKUP(A:A,[3]TDSheet!$A:$D,4,0)</f>
        <v>17.72</v>
      </c>
      <c r="AI32" s="13">
        <f>VLOOKUP(A:A,[1]TDSheet!$A:$AI,35,0)</f>
        <v>0</v>
      </c>
      <c r="AJ32" s="13">
        <f t="shared" si="6"/>
        <v>20</v>
      </c>
      <c r="AK32" s="13"/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810.66600000000005</v>
      </c>
      <c r="D33" s="8">
        <v>883.2</v>
      </c>
      <c r="E33" s="8">
        <v>979.58699999999999</v>
      </c>
      <c r="F33" s="8">
        <v>705.63099999999997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940.71</v>
      </c>
      <c r="K33" s="13">
        <f t="shared" si="2"/>
        <v>38.876999999999953</v>
      </c>
      <c r="L33" s="13">
        <f>VLOOKUP(A:A,[1]TDSheet!$A:$M,13,0)</f>
        <v>0</v>
      </c>
      <c r="M33" s="13">
        <f>VLOOKUP(A:A,[1]TDSheet!$A:$N,14,0)</f>
        <v>200</v>
      </c>
      <c r="N33" s="13">
        <f>VLOOKUP(A:A,[1]TDSheet!$A:$O,15,0)</f>
        <v>200</v>
      </c>
      <c r="O33" s="13">
        <f>VLOOKUP(A:A,[1]TDSheet!$A:$X,24,0)</f>
        <v>300</v>
      </c>
      <c r="P33" s="13"/>
      <c r="Q33" s="13"/>
      <c r="R33" s="13"/>
      <c r="S33" s="13"/>
      <c r="T33" s="13"/>
      <c r="U33" s="13"/>
      <c r="V33" s="13"/>
      <c r="W33" s="13">
        <f t="shared" si="3"/>
        <v>195.91739999999999</v>
      </c>
      <c r="X33" s="15">
        <v>160</v>
      </c>
      <c r="Y33" s="16">
        <f t="shared" si="4"/>
        <v>7.9912810194500334</v>
      </c>
      <c r="Z33" s="13">
        <f t="shared" si="5"/>
        <v>3.601676012441978</v>
      </c>
      <c r="AA33" s="13"/>
      <c r="AB33" s="13"/>
      <c r="AC33" s="13">
        <f>VLOOKUP(A:A,[1]TDSheet!$A:$AC,29,0)</f>
        <v>0</v>
      </c>
      <c r="AD33" s="13">
        <f>VLOOKUP(A:A,[1]TDSheet!$A:$AD,30,0)</f>
        <v>215.05100000000002</v>
      </c>
      <c r="AE33" s="13">
        <f>VLOOKUP(A:A,[1]TDSheet!$A:$AE,31,0)</f>
        <v>257.40559999999999</v>
      </c>
      <c r="AF33" s="13">
        <f>VLOOKUP(A:A,[1]TDSheet!$A:$AF,32,0)</f>
        <v>241.36799999999999</v>
      </c>
      <c r="AG33" s="13">
        <f>VLOOKUP(A:A,[1]TDSheet!$A:$AG,33,0)</f>
        <v>225.88200000000001</v>
      </c>
      <c r="AH33" s="13">
        <f>VLOOKUP(A:A,[3]TDSheet!$A:$D,4,0)</f>
        <v>169.142</v>
      </c>
      <c r="AI33" s="13" t="str">
        <f>VLOOKUP(A:A,[1]TDSheet!$A:$AI,35,0)</f>
        <v>жц</v>
      </c>
      <c r="AJ33" s="13">
        <f t="shared" si="6"/>
        <v>160</v>
      </c>
      <c r="AK33" s="13"/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28.082999999999998</v>
      </c>
      <c r="D34" s="8"/>
      <c r="E34" s="8">
        <v>18.004000000000001</v>
      </c>
      <c r="F34" s="8">
        <v>10.079000000000001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3">
        <f>VLOOKUP(A:A,[2]TDSheet!$A:$F,6,0)</f>
        <v>19.899999999999999</v>
      </c>
      <c r="K34" s="13">
        <f t="shared" si="2"/>
        <v>-1.8959999999999972</v>
      </c>
      <c r="L34" s="13">
        <f>VLOOKUP(A:A,[1]TDSheet!$A:$M,13,0)</f>
        <v>0</v>
      </c>
      <c r="M34" s="13">
        <f>VLOOKUP(A:A,[1]TDSheet!$A:$N,14,0)</f>
        <v>0</v>
      </c>
      <c r="N34" s="13">
        <f>VLOOKUP(A:A,[1]TDSheet!$A:$O,15,0)</f>
        <v>0</v>
      </c>
      <c r="O34" s="13">
        <f>VLOOKUP(A:A,[1]TDSheet!$A:$X,24,0)</f>
        <v>0</v>
      </c>
      <c r="P34" s="13"/>
      <c r="Q34" s="13"/>
      <c r="R34" s="13"/>
      <c r="S34" s="13"/>
      <c r="T34" s="13"/>
      <c r="U34" s="13"/>
      <c r="V34" s="13"/>
      <c r="W34" s="13">
        <f t="shared" si="3"/>
        <v>3.6008000000000004</v>
      </c>
      <c r="X34" s="15">
        <v>20</v>
      </c>
      <c r="Y34" s="16">
        <f t="shared" si="4"/>
        <v>8.353421461897355</v>
      </c>
      <c r="Z34" s="13">
        <f t="shared" si="5"/>
        <v>2.7991001999555651</v>
      </c>
      <c r="AA34" s="13"/>
      <c r="AB34" s="13"/>
      <c r="AC34" s="13">
        <f>VLOOKUP(A:A,[1]TDSheet!$A:$AC,29,0)</f>
        <v>0</v>
      </c>
      <c r="AD34" s="13">
        <f>VLOOKUP(A:A,[1]TDSheet!$A:$AD,30,0)</f>
        <v>1.4474</v>
      </c>
      <c r="AE34" s="13">
        <f>VLOOKUP(A:A,[1]TDSheet!$A:$AE,31,0)</f>
        <v>0.88719999999999999</v>
      </c>
      <c r="AF34" s="13">
        <f>VLOOKUP(A:A,[1]TDSheet!$A:$AF,32,0)</f>
        <v>3.6496000000000004</v>
      </c>
      <c r="AG34" s="13">
        <f>VLOOKUP(A:A,[1]TDSheet!$A:$AG,33,0)</f>
        <v>1.089</v>
      </c>
      <c r="AH34" s="13">
        <f>VLOOKUP(A:A,[3]TDSheet!$A:$D,4,0)</f>
        <v>11.661</v>
      </c>
      <c r="AI34" s="13">
        <v>0</v>
      </c>
      <c r="AJ34" s="13">
        <f t="shared" si="6"/>
        <v>20</v>
      </c>
      <c r="AK34" s="13"/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1.778</v>
      </c>
      <c r="D35" s="8">
        <v>10.621</v>
      </c>
      <c r="E35" s="8">
        <v>5.3390000000000004</v>
      </c>
      <c r="F35" s="8">
        <v>7.06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5.5</v>
      </c>
      <c r="K35" s="13">
        <f t="shared" si="2"/>
        <v>-0.16099999999999959</v>
      </c>
      <c r="L35" s="13">
        <f>VLOOKUP(A:A,[1]TDSheet!$A:$M,13,0)</f>
        <v>0</v>
      </c>
      <c r="M35" s="13">
        <f>VLOOKUP(A:A,[1]TDSheet!$A:$N,14,0)</f>
        <v>10</v>
      </c>
      <c r="N35" s="13">
        <f>VLOOKUP(A:A,[1]TDSheet!$A:$O,15,0)</f>
        <v>0</v>
      </c>
      <c r="O35" s="13">
        <f>VLOOKUP(A:A,[1]TDSheet!$A:$X,24,0)</f>
        <v>0</v>
      </c>
      <c r="P35" s="13"/>
      <c r="Q35" s="13"/>
      <c r="R35" s="13"/>
      <c r="S35" s="13"/>
      <c r="T35" s="13"/>
      <c r="U35" s="13"/>
      <c r="V35" s="13"/>
      <c r="W35" s="13">
        <f t="shared" si="3"/>
        <v>1.0678000000000001</v>
      </c>
      <c r="X35" s="15"/>
      <c r="Y35" s="16">
        <f t="shared" si="4"/>
        <v>15.976774676905785</v>
      </c>
      <c r="Z35" s="13">
        <f t="shared" si="5"/>
        <v>6.6117250421427221</v>
      </c>
      <c r="AA35" s="13"/>
      <c r="AB35" s="13"/>
      <c r="AC35" s="13">
        <f>VLOOKUP(A:A,[1]TDSheet!$A:$AC,29,0)</f>
        <v>0</v>
      </c>
      <c r="AD35" s="13">
        <f>VLOOKUP(A:A,[1]TDSheet!$A:$AD,30,0)</f>
        <v>0.35980000000000001</v>
      </c>
      <c r="AE35" s="13">
        <f>VLOOKUP(A:A,[1]TDSheet!$A:$AE,31,0)</f>
        <v>0.36280000000000001</v>
      </c>
      <c r="AF35" s="13">
        <f>VLOOKUP(A:A,[1]TDSheet!$A:$AF,32,0)</f>
        <v>1.0746</v>
      </c>
      <c r="AG35" s="13">
        <f>VLOOKUP(A:A,[1]TDSheet!$A:$AG,33,0)</f>
        <v>0.89060000000000006</v>
      </c>
      <c r="AH35" s="13">
        <v>0</v>
      </c>
      <c r="AI35" s="18" t="str">
        <f>VLOOKUP(A:A,[1]TDSheet!$A:$AI,35,0)</f>
        <v>увел</v>
      </c>
      <c r="AJ35" s="13">
        <f t="shared" si="6"/>
        <v>0</v>
      </c>
      <c r="AK35" s="13"/>
      <c r="AL35" s="13"/>
      <c r="AM35" s="13"/>
    </row>
    <row r="36" spans="1:39" s="1" customFormat="1" ht="21.95" customHeight="1" outlineLevel="1" x14ac:dyDescent="0.2">
      <c r="A36" s="7" t="s">
        <v>39</v>
      </c>
      <c r="B36" s="7" t="s">
        <v>8</v>
      </c>
      <c r="C36" s="8">
        <v>23.318000000000001</v>
      </c>
      <c r="D36" s="8"/>
      <c r="E36" s="8">
        <v>17.106000000000002</v>
      </c>
      <c r="F36" s="8">
        <v>5.3129999999999997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18.100000000000001</v>
      </c>
      <c r="K36" s="13">
        <f t="shared" si="2"/>
        <v>-0.99399999999999977</v>
      </c>
      <c r="L36" s="13">
        <f>VLOOKUP(A:A,[1]TDSheet!$A:$M,13,0)</f>
        <v>0</v>
      </c>
      <c r="M36" s="13">
        <f>VLOOKUP(A:A,[1]TDSheet!$A:$N,14,0)</f>
        <v>0</v>
      </c>
      <c r="N36" s="13">
        <f>VLOOKUP(A:A,[1]TDSheet!$A:$O,15,0)</f>
        <v>0</v>
      </c>
      <c r="O36" s="13">
        <f>VLOOKUP(A:A,[1]TDSheet!$A:$X,24,0)</f>
        <v>0</v>
      </c>
      <c r="P36" s="13"/>
      <c r="Q36" s="13"/>
      <c r="R36" s="13"/>
      <c r="S36" s="13"/>
      <c r="T36" s="13"/>
      <c r="U36" s="13"/>
      <c r="V36" s="13"/>
      <c r="W36" s="13">
        <f t="shared" si="3"/>
        <v>3.4212000000000002</v>
      </c>
      <c r="X36" s="15">
        <v>20</v>
      </c>
      <c r="Y36" s="16">
        <f t="shared" si="4"/>
        <v>7.3988658950075985</v>
      </c>
      <c r="Z36" s="13">
        <f t="shared" si="5"/>
        <v>1.5529638723254997</v>
      </c>
      <c r="AA36" s="13"/>
      <c r="AB36" s="13"/>
      <c r="AC36" s="13">
        <f>VLOOKUP(A:A,[1]TDSheet!$A:$AC,29,0)</f>
        <v>0</v>
      </c>
      <c r="AD36" s="13">
        <f>VLOOKUP(A:A,[1]TDSheet!$A:$AD,30,0)</f>
        <v>1.4361999999999999</v>
      </c>
      <c r="AE36" s="13">
        <f>VLOOKUP(A:A,[1]TDSheet!$A:$AE,31,0)</f>
        <v>1.4232</v>
      </c>
      <c r="AF36" s="13">
        <f>VLOOKUP(A:A,[1]TDSheet!$A:$AF,32,0)</f>
        <v>3.1859999999999999</v>
      </c>
      <c r="AG36" s="13">
        <f>VLOOKUP(A:A,[1]TDSheet!$A:$AG,33,0)</f>
        <v>1.2470000000000001</v>
      </c>
      <c r="AH36" s="13">
        <f>VLOOKUP(A:A,[3]TDSheet!$A:$D,4,0)</f>
        <v>11.712</v>
      </c>
      <c r="AI36" s="13" t="str">
        <f>VLOOKUP(A:A,[1]TDSheet!$A:$AI,35,0)</f>
        <v>увел</v>
      </c>
      <c r="AJ36" s="13">
        <f t="shared" si="6"/>
        <v>20</v>
      </c>
      <c r="AK36" s="13"/>
      <c r="AL36" s="13"/>
      <c r="AM36" s="13"/>
    </row>
    <row r="37" spans="1:39" s="1" customFormat="1" ht="11.1" customHeight="1" outlineLevel="1" x14ac:dyDescent="0.2">
      <c r="A37" s="7" t="s">
        <v>40</v>
      </c>
      <c r="B37" s="7" t="s">
        <v>12</v>
      </c>
      <c r="C37" s="8">
        <v>635</v>
      </c>
      <c r="D37" s="8">
        <v>2331</v>
      </c>
      <c r="E37" s="8">
        <v>1954</v>
      </c>
      <c r="F37" s="8">
        <v>940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3">
        <f>VLOOKUP(A:A,[2]TDSheet!$A:$F,6,0)</f>
        <v>2012</v>
      </c>
      <c r="K37" s="13">
        <f t="shared" si="2"/>
        <v>-58</v>
      </c>
      <c r="L37" s="13">
        <f>VLOOKUP(A:A,[1]TDSheet!$A:$M,13,0)</f>
        <v>200</v>
      </c>
      <c r="M37" s="13">
        <f>VLOOKUP(A:A,[1]TDSheet!$A:$N,14,0)</f>
        <v>400</v>
      </c>
      <c r="N37" s="13">
        <f>VLOOKUP(A:A,[1]TDSheet!$A:$O,15,0)</f>
        <v>500</v>
      </c>
      <c r="O37" s="13">
        <f>VLOOKUP(A:A,[1]TDSheet!$A:$X,24,0)</f>
        <v>500</v>
      </c>
      <c r="P37" s="13"/>
      <c r="Q37" s="13"/>
      <c r="R37" s="13"/>
      <c r="S37" s="13"/>
      <c r="T37" s="13"/>
      <c r="U37" s="13"/>
      <c r="V37" s="13"/>
      <c r="W37" s="13">
        <f t="shared" si="3"/>
        <v>390.8</v>
      </c>
      <c r="X37" s="15">
        <v>500</v>
      </c>
      <c r="Y37" s="16">
        <f t="shared" si="4"/>
        <v>7.7789150460593648</v>
      </c>
      <c r="Z37" s="13">
        <f t="shared" si="5"/>
        <v>2.4053224155578299</v>
      </c>
      <c r="AA37" s="13"/>
      <c r="AB37" s="13"/>
      <c r="AC37" s="13">
        <f>VLOOKUP(A:A,[1]TDSheet!$A:$AC,29,0)</f>
        <v>0</v>
      </c>
      <c r="AD37" s="13">
        <f>VLOOKUP(A:A,[1]TDSheet!$A:$AD,30,0)</f>
        <v>255.4</v>
      </c>
      <c r="AE37" s="13">
        <f>VLOOKUP(A:A,[1]TDSheet!$A:$AE,31,0)</f>
        <v>291</v>
      </c>
      <c r="AF37" s="13">
        <f>VLOOKUP(A:A,[1]TDSheet!$A:$AF,32,0)</f>
        <v>293.2</v>
      </c>
      <c r="AG37" s="13">
        <f>VLOOKUP(A:A,[1]TDSheet!$A:$AG,33,0)</f>
        <v>392.8</v>
      </c>
      <c r="AH37" s="13">
        <f>VLOOKUP(A:A,[3]TDSheet!$A:$D,4,0)</f>
        <v>514</v>
      </c>
      <c r="AI37" s="13" t="str">
        <f>VLOOKUP(A:A,[1]TDSheet!$A:$AI,35,0)</f>
        <v>оконч</v>
      </c>
      <c r="AJ37" s="13">
        <f t="shared" si="6"/>
        <v>175</v>
      </c>
      <c r="AK37" s="13"/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1935</v>
      </c>
      <c r="D38" s="8">
        <v>3372</v>
      </c>
      <c r="E38" s="8">
        <v>3562</v>
      </c>
      <c r="F38" s="8">
        <v>1675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3">
        <f>VLOOKUP(A:A,[2]TDSheet!$A:$F,6,0)</f>
        <v>3640</v>
      </c>
      <c r="K38" s="13">
        <f t="shared" si="2"/>
        <v>-78</v>
      </c>
      <c r="L38" s="13">
        <f>VLOOKUP(A:A,[1]TDSheet!$A:$M,13,0)</f>
        <v>400</v>
      </c>
      <c r="M38" s="13">
        <f>VLOOKUP(A:A,[1]TDSheet!$A:$N,14,0)</f>
        <v>500</v>
      </c>
      <c r="N38" s="13">
        <f>VLOOKUP(A:A,[1]TDSheet!$A:$O,15,0)</f>
        <v>500</v>
      </c>
      <c r="O38" s="13">
        <f>VLOOKUP(A:A,[1]TDSheet!$A:$X,24,0)</f>
        <v>1300</v>
      </c>
      <c r="P38" s="13"/>
      <c r="Q38" s="13"/>
      <c r="R38" s="13"/>
      <c r="S38" s="13"/>
      <c r="T38" s="13"/>
      <c r="U38" s="13"/>
      <c r="V38" s="13"/>
      <c r="W38" s="13">
        <f t="shared" si="3"/>
        <v>611.6</v>
      </c>
      <c r="X38" s="15">
        <v>500</v>
      </c>
      <c r="Y38" s="16">
        <f t="shared" si="4"/>
        <v>7.9708960104643554</v>
      </c>
      <c r="Z38" s="13">
        <f t="shared" si="5"/>
        <v>2.7387181164159582</v>
      </c>
      <c r="AA38" s="13"/>
      <c r="AB38" s="13"/>
      <c r="AC38" s="13">
        <f>VLOOKUP(A:A,[1]TDSheet!$A:$AC,29,0)</f>
        <v>504</v>
      </c>
      <c r="AD38" s="13">
        <f>VLOOKUP(A:A,[1]TDSheet!$A:$AD,30,0)</f>
        <v>566.20000000000005</v>
      </c>
      <c r="AE38" s="13">
        <f>VLOOKUP(A:A,[1]TDSheet!$A:$AE,31,0)</f>
        <v>727.6</v>
      </c>
      <c r="AF38" s="13">
        <f>VLOOKUP(A:A,[1]TDSheet!$A:$AF,32,0)</f>
        <v>660.8</v>
      </c>
      <c r="AG38" s="13">
        <f>VLOOKUP(A:A,[1]TDSheet!$A:$AG,33,0)</f>
        <v>650</v>
      </c>
      <c r="AH38" s="13">
        <f>VLOOKUP(A:A,[3]TDSheet!$A:$D,4,0)</f>
        <v>528</v>
      </c>
      <c r="AI38" s="13">
        <f>VLOOKUP(A:A,[1]TDSheet!$A:$AI,35,0)</f>
        <v>0</v>
      </c>
      <c r="AJ38" s="13">
        <f t="shared" si="6"/>
        <v>200</v>
      </c>
      <c r="AK38" s="13"/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3266</v>
      </c>
      <c r="D39" s="8">
        <v>6297</v>
      </c>
      <c r="E39" s="8">
        <v>6120</v>
      </c>
      <c r="F39" s="8">
        <v>3386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3">
        <f>VLOOKUP(A:A,[2]TDSheet!$A:$F,6,0)</f>
        <v>6171</v>
      </c>
      <c r="K39" s="13">
        <f t="shared" si="2"/>
        <v>-51</v>
      </c>
      <c r="L39" s="13">
        <f>VLOOKUP(A:A,[1]TDSheet!$A:$M,13,0)</f>
        <v>0</v>
      </c>
      <c r="M39" s="13">
        <f>VLOOKUP(A:A,[1]TDSheet!$A:$N,14,0)</f>
        <v>200</v>
      </c>
      <c r="N39" s="13">
        <f>VLOOKUP(A:A,[1]TDSheet!$A:$O,15,0)</f>
        <v>1000</v>
      </c>
      <c r="O39" s="13">
        <f>VLOOKUP(A:A,[1]TDSheet!$A:$X,24,0)</f>
        <v>1300</v>
      </c>
      <c r="P39" s="13"/>
      <c r="Q39" s="13"/>
      <c r="R39" s="13"/>
      <c r="S39" s="13"/>
      <c r="T39" s="13"/>
      <c r="U39" s="13"/>
      <c r="V39" s="13"/>
      <c r="W39" s="13">
        <f t="shared" si="3"/>
        <v>924</v>
      </c>
      <c r="X39" s="15">
        <v>1200</v>
      </c>
      <c r="Y39" s="16">
        <f t="shared" si="4"/>
        <v>7.6688311688311686</v>
      </c>
      <c r="Z39" s="13">
        <f t="shared" si="5"/>
        <v>3.6645021645021645</v>
      </c>
      <c r="AA39" s="13"/>
      <c r="AB39" s="13"/>
      <c r="AC39" s="13">
        <f>VLOOKUP(A:A,[1]TDSheet!$A:$AC,29,0)</f>
        <v>1500</v>
      </c>
      <c r="AD39" s="13">
        <f>VLOOKUP(A:A,[1]TDSheet!$A:$AD,30,0)</f>
        <v>882.6</v>
      </c>
      <c r="AE39" s="13">
        <f>VLOOKUP(A:A,[1]TDSheet!$A:$AE,31,0)</f>
        <v>1069.4000000000001</v>
      </c>
      <c r="AF39" s="13">
        <f>VLOOKUP(A:A,[1]TDSheet!$A:$AF,32,0)</f>
        <v>1088</v>
      </c>
      <c r="AG39" s="13">
        <f>VLOOKUP(A:A,[1]TDSheet!$A:$AG,33,0)</f>
        <v>1071.2</v>
      </c>
      <c r="AH39" s="13">
        <f>VLOOKUP(A:A,[3]TDSheet!$A:$D,4,0)</f>
        <v>1141</v>
      </c>
      <c r="AI39" s="13" t="str">
        <f>VLOOKUP(A:A,[1]TDSheet!$A:$AI,35,0)</f>
        <v>оконч</v>
      </c>
      <c r="AJ39" s="13">
        <f t="shared" si="6"/>
        <v>540</v>
      </c>
      <c r="AK39" s="13"/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389.76100000000002</v>
      </c>
      <c r="D40" s="8">
        <v>454.166</v>
      </c>
      <c r="E40" s="8">
        <v>533.52</v>
      </c>
      <c r="F40" s="8">
        <v>306.22899999999998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3">
        <f>VLOOKUP(A:A,[2]TDSheet!$A:$F,6,0)</f>
        <v>514.83199999999999</v>
      </c>
      <c r="K40" s="13">
        <f t="shared" si="2"/>
        <v>18.687999999999988</v>
      </c>
      <c r="L40" s="13">
        <f>VLOOKUP(A:A,[1]TDSheet!$A:$M,13,0)</f>
        <v>80</v>
      </c>
      <c r="M40" s="13">
        <f>VLOOKUP(A:A,[1]TDSheet!$A:$N,14,0)</f>
        <v>100</v>
      </c>
      <c r="N40" s="13">
        <f>VLOOKUP(A:A,[1]TDSheet!$A:$O,15,0)</f>
        <v>100</v>
      </c>
      <c r="O40" s="13">
        <f>VLOOKUP(A:A,[1]TDSheet!$A:$X,24,0)</f>
        <v>200</v>
      </c>
      <c r="P40" s="13"/>
      <c r="Q40" s="13"/>
      <c r="R40" s="13"/>
      <c r="S40" s="13"/>
      <c r="T40" s="13"/>
      <c r="U40" s="13"/>
      <c r="V40" s="13"/>
      <c r="W40" s="13">
        <f t="shared" si="3"/>
        <v>106.70399999999999</v>
      </c>
      <c r="X40" s="15">
        <v>70</v>
      </c>
      <c r="Y40" s="16">
        <f t="shared" si="4"/>
        <v>8.0243383565751998</v>
      </c>
      <c r="Z40" s="13">
        <f t="shared" si="5"/>
        <v>2.8698924126555707</v>
      </c>
      <c r="AA40" s="13"/>
      <c r="AB40" s="13"/>
      <c r="AC40" s="13">
        <f>VLOOKUP(A:A,[1]TDSheet!$A:$AC,29,0)</f>
        <v>0</v>
      </c>
      <c r="AD40" s="13">
        <f>VLOOKUP(A:A,[1]TDSheet!$A:$AD,30,0)</f>
        <v>271.0308</v>
      </c>
      <c r="AE40" s="13">
        <f>VLOOKUP(A:A,[1]TDSheet!$A:$AE,31,0)</f>
        <v>134.76479999999998</v>
      </c>
      <c r="AF40" s="13">
        <f>VLOOKUP(A:A,[1]TDSheet!$A:$AF,32,0)</f>
        <v>114.26679999999999</v>
      </c>
      <c r="AG40" s="13">
        <f>VLOOKUP(A:A,[1]TDSheet!$A:$AG,33,0)</f>
        <v>109.0758</v>
      </c>
      <c r="AH40" s="13">
        <f>VLOOKUP(A:A,[3]TDSheet!$A:$D,4,0)</f>
        <v>89.048000000000002</v>
      </c>
      <c r="AI40" s="13">
        <f>VLOOKUP(A:A,[1]TDSheet!$A:$AI,35,0)</f>
        <v>0</v>
      </c>
      <c r="AJ40" s="13">
        <f t="shared" si="6"/>
        <v>70</v>
      </c>
      <c r="AK40" s="13"/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12</v>
      </c>
      <c r="C41" s="8">
        <v>1907</v>
      </c>
      <c r="D41" s="8">
        <v>30</v>
      </c>
      <c r="E41" s="8">
        <v>826</v>
      </c>
      <c r="F41" s="8">
        <v>1094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3">
        <f>VLOOKUP(A:A,[2]TDSheet!$A:$F,6,0)</f>
        <v>845</v>
      </c>
      <c r="K41" s="13">
        <f t="shared" si="2"/>
        <v>-19</v>
      </c>
      <c r="L41" s="13">
        <f>VLOOKUP(A:A,[1]TDSheet!$A:$M,13,0)</f>
        <v>0</v>
      </c>
      <c r="M41" s="13">
        <f>VLOOKUP(A:A,[1]TDSheet!$A:$N,14,0)</f>
        <v>2000</v>
      </c>
      <c r="N41" s="13">
        <f>VLOOKUP(A:A,[1]TDSheet!$A:$O,15,0)</f>
        <v>0</v>
      </c>
      <c r="O41" s="13">
        <f>VLOOKUP(A:A,[1]TDSheet!$A:$X,24,0)</f>
        <v>0</v>
      </c>
      <c r="P41" s="13"/>
      <c r="Q41" s="13"/>
      <c r="R41" s="13"/>
      <c r="S41" s="13"/>
      <c r="T41" s="13"/>
      <c r="U41" s="13"/>
      <c r="V41" s="13"/>
      <c r="W41" s="13">
        <f t="shared" si="3"/>
        <v>165.2</v>
      </c>
      <c r="X41" s="15"/>
      <c r="Y41" s="16">
        <f t="shared" si="4"/>
        <v>18.728813559322035</v>
      </c>
      <c r="Z41" s="13">
        <f t="shared" si="5"/>
        <v>6.6222760290556906</v>
      </c>
      <c r="AA41" s="13"/>
      <c r="AB41" s="13"/>
      <c r="AC41" s="13">
        <f>VLOOKUP(A:A,[1]TDSheet!$A:$AC,29,0)</f>
        <v>0</v>
      </c>
      <c r="AD41" s="13">
        <f>VLOOKUP(A:A,[1]TDSheet!$A:$AD,30,0)</f>
        <v>173.2</v>
      </c>
      <c r="AE41" s="13">
        <f>VLOOKUP(A:A,[1]TDSheet!$A:$AE,31,0)</f>
        <v>247</v>
      </c>
      <c r="AF41" s="13">
        <f>VLOOKUP(A:A,[1]TDSheet!$A:$AF,32,0)</f>
        <v>223.2</v>
      </c>
      <c r="AG41" s="13">
        <f>VLOOKUP(A:A,[1]TDSheet!$A:$AG,33,0)</f>
        <v>172.4</v>
      </c>
      <c r="AH41" s="13">
        <f>VLOOKUP(A:A,[3]TDSheet!$A:$D,4,0)</f>
        <v>130</v>
      </c>
      <c r="AI41" s="13">
        <f>VLOOKUP(A:A,[1]TDSheet!$A:$AI,35,0)</f>
        <v>0</v>
      </c>
      <c r="AJ41" s="13">
        <f t="shared" si="6"/>
        <v>0</v>
      </c>
      <c r="AK41" s="13"/>
      <c r="AL41" s="13"/>
      <c r="AM41" s="13"/>
    </row>
    <row r="42" spans="1:39" s="1" customFormat="1" ht="21.95" customHeight="1" outlineLevel="1" x14ac:dyDescent="0.2">
      <c r="A42" s="7" t="s">
        <v>45</v>
      </c>
      <c r="B42" s="7" t="s">
        <v>12</v>
      </c>
      <c r="C42" s="8">
        <v>595</v>
      </c>
      <c r="D42" s="8">
        <v>928</v>
      </c>
      <c r="E42" s="8">
        <v>916</v>
      </c>
      <c r="F42" s="8">
        <v>577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3">
        <f>VLOOKUP(A:A,[2]TDSheet!$A:$F,6,0)</f>
        <v>942</v>
      </c>
      <c r="K42" s="13">
        <f t="shared" si="2"/>
        <v>-26</v>
      </c>
      <c r="L42" s="13">
        <f>VLOOKUP(A:A,[1]TDSheet!$A:$M,13,0)</f>
        <v>150</v>
      </c>
      <c r="M42" s="13">
        <f>VLOOKUP(A:A,[1]TDSheet!$A:$N,14,0)</f>
        <v>200</v>
      </c>
      <c r="N42" s="13">
        <f>VLOOKUP(A:A,[1]TDSheet!$A:$O,15,0)</f>
        <v>220</v>
      </c>
      <c r="O42" s="13">
        <f>VLOOKUP(A:A,[1]TDSheet!$A:$X,24,0)</f>
        <v>200</v>
      </c>
      <c r="P42" s="13"/>
      <c r="Q42" s="13"/>
      <c r="R42" s="13"/>
      <c r="S42" s="13"/>
      <c r="T42" s="13"/>
      <c r="U42" s="13"/>
      <c r="V42" s="13"/>
      <c r="W42" s="13">
        <f t="shared" si="3"/>
        <v>183.2</v>
      </c>
      <c r="X42" s="15">
        <v>120</v>
      </c>
      <c r="Y42" s="16">
        <f t="shared" si="4"/>
        <v>8.0076419213973811</v>
      </c>
      <c r="Z42" s="13">
        <f t="shared" si="5"/>
        <v>3.1495633187772927</v>
      </c>
      <c r="AA42" s="13"/>
      <c r="AB42" s="13"/>
      <c r="AC42" s="13">
        <f>VLOOKUP(A:A,[1]TDSheet!$A:$AC,29,0)</f>
        <v>0</v>
      </c>
      <c r="AD42" s="13">
        <f>VLOOKUP(A:A,[1]TDSheet!$A:$AD,30,0)</f>
        <v>181.2</v>
      </c>
      <c r="AE42" s="13">
        <f>VLOOKUP(A:A,[1]TDSheet!$A:$AE,31,0)</f>
        <v>260.2</v>
      </c>
      <c r="AF42" s="13">
        <f>VLOOKUP(A:A,[1]TDSheet!$A:$AF,32,0)</f>
        <v>203.4</v>
      </c>
      <c r="AG42" s="13">
        <f>VLOOKUP(A:A,[1]TDSheet!$A:$AG,33,0)</f>
        <v>202.4</v>
      </c>
      <c r="AH42" s="13">
        <f>VLOOKUP(A:A,[3]TDSheet!$A:$D,4,0)</f>
        <v>152</v>
      </c>
      <c r="AI42" s="13">
        <f>VLOOKUP(A:A,[1]TDSheet!$A:$AI,35,0)</f>
        <v>0</v>
      </c>
      <c r="AJ42" s="13">
        <f t="shared" si="6"/>
        <v>42</v>
      </c>
      <c r="AK42" s="13"/>
      <c r="AL42" s="13"/>
      <c r="AM42" s="13"/>
    </row>
    <row r="43" spans="1:39" s="1" customFormat="1" ht="11.1" customHeight="1" outlineLevel="1" x14ac:dyDescent="0.2">
      <c r="A43" s="7" t="s">
        <v>46</v>
      </c>
      <c r="B43" s="7" t="s">
        <v>8</v>
      </c>
      <c r="C43" s="8">
        <v>187.32499999999999</v>
      </c>
      <c r="D43" s="8">
        <v>189.14599999999999</v>
      </c>
      <c r="E43" s="8">
        <v>217.691</v>
      </c>
      <c r="F43" s="8">
        <v>157.32599999999999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3">
        <f>VLOOKUP(A:A,[2]TDSheet!$A:$F,6,0)</f>
        <v>218.08</v>
      </c>
      <c r="K43" s="13">
        <f t="shared" si="2"/>
        <v>-0.38900000000001</v>
      </c>
      <c r="L43" s="13">
        <f>VLOOKUP(A:A,[1]TDSheet!$A:$M,13,0)</f>
        <v>0</v>
      </c>
      <c r="M43" s="13">
        <f>VLOOKUP(A:A,[1]TDSheet!$A:$N,14,0)</f>
        <v>60</v>
      </c>
      <c r="N43" s="13">
        <f>VLOOKUP(A:A,[1]TDSheet!$A:$O,15,0)</f>
        <v>50</v>
      </c>
      <c r="O43" s="13">
        <f>VLOOKUP(A:A,[1]TDSheet!$A:$X,24,0)</f>
        <v>50</v>
      </c>
      <c r="P43" s="13"/>
      <c r="Q43" s="13"/>
      <c r="R43" s="13"/>
      <c r="S43" s="13"/>
      <c r="T43" s="13"/>
      <c r="U43" s="13"/>
      <c r="V43" s="13"/>
      <c r="W43" s="13">
        <f t="shared" si="3"/>
        <v>43.538200000000003</v>
      </c>
      <c r="X43" s="15">
        <v>40</v>
      </c>
      <c r="Y43" s="16">
        <f t="shared" si="4"/>
        <v>8.2071835767211319</v>
      </c>
      <c r="Z43" s="13">
        <f t="shared" si="5"/>
        <v>3.6135164062822986</v>
      </c>
      <c r="AA43" s="13"/>
      <c r="AB43" s="13"/>
      <c r="AC43" s="13">
        <f>VLOOKUP(A:A,[1]TDSheet!$A:$AC,29,0)</f>
        <v>0</v>
      </c>
      <c r="AD43" s="13">
        <f>VLOOKUP(A:A,[1]TDSheet!$A:$AD,30,0)</f>
        <v>42.6492</v>
      </c>
      <c r="AE43" s="13">
        <f>VLOOKUP(A:A,[1]TDSheet!$A:$AE,31,0)</f>
        <v>59.303200000000004</v>
      </c>
      <c r="AF43" s="13">
        <f>VLOOKUP(A:A,[1]TDSheet!$A:$AF,32,0)</f>
        <v>50.9422</v>
      </c>
      <c r="AG43" s="13">
        <f>VLOOKUP(A:A,[1]TDSheet!$A:$AG,33,0)</f>
        <v>48.867599999999996</v>
      </c>
      <c r="AH43" s="13">
        <f>VLOOKUP(A:A,[3]TDSheet!$A:$D,4,0)</f>
        <v>46.323999999999998</v>
      </c>
      <c r="AI43" s="13">
        <f>VLOOKUP(A:A,[1]TDSheet!$A:$AI,35,0)</f>
        <v>0</v>
      </c>
      <c r="AJ43" s="13">
        <f t="shared" si="6"/>
        <v>40</v>
      </c>
      <c r="AK43" s="13"/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12</v>
      </c>
      <c r="C44" s="8">
        <v>317</v>
      </c>
      <c r="D44" s="8">
        <v>850</v>
      </c>
      <c r="E44" s="8">
        <v>607</v>
      </c>
      <c r="F44" s="8">
        <v>551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3">
        <f>VLOOKUP(A:A,[2]TDSheet!$A:$F,6,0)</f>
        <v>615</v>
      </c>
      <c r="K44" s="13">
        <f t="shared" si="2"/>
        <v>-8</v>
      </c>
      <c r="L44" s="13">
        <f>VLOOKUP(A:A,[1]TDSheet!$A:$M,13,0)</f>
        <v>0</v>
      </c>
      <c r="M44" s="13">
        <f>VLOOKUP(A:A,[1]TDSheet!$A:$N,14,0)</f>
        <v>0</v>
      </c>
      <c r="N44" s="13">
        <f>VLOOKUP(A:A,[1]TDSheet!$A:$O,15,0)</f>
        <v>150</v>
      </c>
      <c r="O44" s="13">
        <f>VLOOKUP(A:A,[1]TDSheet!$A:$X,24,0)</f>
        <v>200</v>
      </c>
      <c r="P44" s="13"/>
      <c r="Q44" s="13"/>
      <c r="R44" s="13"/>
      <c r="S44" s="13"/>
      <c r="T44" s="13"/>
      <c r="U44" s="13"/>
      <c r="V44" s="13"/>
      <c r="W44" s="13">
        <f t="shared" si="3"/>
        <v>121.4</v>
      </c>
      <c r="X44" s="15">
        <v>70</v>
      </c>
      <c r="Y44" s="16">
        <f t="shared" si="4"/>
        <v>7.9983525535420092</v>
      </c>
      <c r="Z44" s="13">
        <f t="shared" si="5"/>
        <v>4.5387149917627676</v>
      </c>
      <c r="AA44" s="13"/>
      <c r="AB44" s="13"/>
      <c r="AC44" s="13">
        <f>VLOOKUP(A:A,[1]TDSheet!$A:$AC,29,0)</f>
        <v>0</v>
      </c>
      <c r="AD44" s="13">
        <f>VLOOKUP(A:A,[1]TDSheet!$A:$AD,30,0)</f>
        <v>128.80000000000001</v>
      </c>
      <c r="AE44" s="13">
        <f>VLOOKUP(A:A,[1]TDSheet!$A:$AE,31,0)</f>
        <v>170.8</v>
      </c>
      <c r="AF44" s="13">
        <f>VLOOKUP(A:A,[1]TDSheet!$A:$AF,32,0)</f>
        <v>137</v>
      </c>
      <c r="AG44" s="13">
        <f>VLOOKUP(A:A,[1]TDSheet!$A:$AG,33,0)</f>
        <v>155.6</v>
      </c>
      <c r="AH44" s="13">
        <f>VLOOKUP(A:A,[3]TDSheet!$A:$D,4,0)</f>
        <v>77</v>
      </c>
      <c r="AI44" s="13">
        <f>VLOOKUP(A:A,[1]TDSheet!$A:$AI,35,0)</f>
        <v>0</v>
      </c>
      <c r="AJ44" s="13">
        <f t="shared" si="6"/>
        <v>28</v>
      </c>
      <c r="AK44" s="13"/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1076</v>
      </c>
      <c r="D45" s="8">
        <v>1388</v>
      </c>
      <c r="E45" s="8">
        <v>1532</v>
      </c>
      <c r="F45" s="8">
        <v>905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3">
        <f>VLOOKUP(A:A,[2]TDSheet!$A:$F,6,0)</f>
        <v>1543</v>
      </c>
      <c r="K45" s="13">
        <f t="shared" si="2"/>
        <v>-11</v>
      </c>
      <c r="L45" s="13">
        <f>VLOOKUP(A:A,[1]TDSheet!$A:$M,13,0)</f>
        <v>200</v>
      </c>
      <c r="M45" s="13">
        <f>VLOOKUP(A:A,[1]TDSheet!$A:$N,14,0)</f>
        <v>300</v>
      </c>
      <c r="N45" s="13">
        <f>VLOOKUP(A:A,[1]TDSheet!$A:$O,15,0)</f>
        <v>300</v>
      </c>
      <c r="O45" s="13">
        <f>VLOOKUP(A:A,[1]TDSheet!$A:$X,24,0)</f>
        <v>350</v>
      </c>
      <c r="P45" s="13"/>
      <c r="Q45" s="13"/>
      <c r="R45" s="13"/>
      <c r="S45" s="13"/>
      <c r="T45" s="13"/>
      <c r="U45" s="13"/>
      <c r="V45" s="13"/>
      <c r="W45" s="13">
        <f t="shared" si="3"/>
        <v>306.39999999999998</v>
      </c>
      <c r="X45" s="15">
        <v>400</v>
      </c>
      <c r="Y45" s="16">
        <f t="shared" si="4"/>
        <v>8.0124020887728467</v>
      </c>
      <c r="Z45" s="13">
        <f t="shared" si="5"/>
        <v>2.9536553524804181</v>
      </c>
      <c r="AA45" s="13"/>
      <c r="AB45" s="13"/>
      <c r="AC45" s="13">
        <f>VLOOKUP(A:A,[1]TDSheet!$A:$AC,29,0)</f>
        <v>0</v>
      </c>
      <c r="AD45" s="13">
        <f>VLOOKUP(A:A,[1]TDSheet!$A:$AD,30,0)</f>
        <v>339.8</v>
      </c>
      <c r="AE45" s="13">
        <f>VLOOKUP(A:A,[1]TDSheet!$A:$AE,31,0)</f>
        <v>388</v>
      </c>
      <c r="AF45" s="13">
        <f>VLOOKUP(A:A,[1]TDSheet!$A:$AF,32,0)</f>
        <v>348.2</v>
      </c>
      <c r="AG45" s="13">
        <f>VLOOKUP(A:A,[1]TDSheet!$A:$AG,33,0)</f>
        <v>336.8</v>
      </c>
      <c r="AH45" s="13">
        <f>VLOOKUP(A:A,[3]TDSheet!$A:$D,4,0)</f>
        <v>376</v>
      </c>
      <c r="AI45" s="13">
        <f>VLOOKUP(A:A,[1]TDSheet!$A:$AI,35,0)</f>
        <v>0</v>
      </c>
      <c r="AJ45" s="13">
        <f t="shared" si="6"/>
        <v>160</v>
      </c>
      <c r="AK45" s="13"/>
      <c r="AL45" s="13"/>
      <c r="AM45" s="13"/>
    </row>
    <row r="46" spans="1:39" s="1" customFormat="1" ht="21.95" customHeight="1" outlineLevel="1" x14ac:dyDescent="0.2">
      <c r="A46" s="7" t="s">
        <v>49</v>
      </c>
      <c r="B46" s="7" t="s">
        <v>8</v>
      </c>
      <c r="C46" s="8">
        <v>110.495</v>
      </c>
      <c r="D46" s="8">
        <v>168.119</v>
      </c>
      <c r="E46" s="8">
        <v>152.74700000000001</v>
      </c>
      <c r="F46" s="8">
        <v>123.68600000000001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155.4</v>
      </c>
      <c r="K46" s="13">
        <f t="shared" si="2"/>
        <v>-2.6529999999999916</v>
      </c>
      <c r="L46" s="13">
        <f>VLOOKUP(A:A,[1]TDSheet!$A:$M,13,0)</f>
        <v>0</v>
      </c>
      <c r="M46" s="13">
        <f>VLOOKUP(A:A,[1]TDSheet!$A:$N,14,0)</f>
        <v>30</v>
      </c>
      <c r="N46" s="13">
        <f>VLOOKUP(A:A,[1]TDSheet!$A:$O,15,0)</f>
        <v>30</v>
      </c>
      <c r="O46" s="13">
        <f>VLOOKUP(A:A,[1]TDSheet!$A:$X,24,0)</f>
        <v>30</v>
      </c>
      <c r="P46" s="13"/>
      <c r="Q46" s="13"/>
      <c r="R46" s="13"/>
      <c r="S46" s="13"/>
      <c r="T46" s="13"/>
      <c r="U46" s="13"/>
      <c r="V46" s="13"/>
      <c r="W46" s="13">
        <f t="shared" si="3"/>
        <v>30.549400000000002</v>
      </c>
      <c r="X46" s="15">
        <v>40</v>
      </c>
      <c r="Y46" s="16">
        <f t="shared" si="4"/>
        <v>8.30412381257897</v>
      </c>
      <c r="Z46" s="13">
        <f t="shared" si="5"/>
        <v>4.048721087811872</v>
      </c>
      <c r="AA46" s="13"/>
      <c r="AB46" s="13"/>
      <c r="AC46" s="13">
        <f>VLOOKUP(A:A,[1]TDSheet!$A:$AC,29,0)</f>
        <v>0</v>
      </c>
      <c r="AD46" s="13">
        <f>VLOOKUP(A:A,[1]TDSheet!$A:$AD,30,0)</f>
        <v>29.4846</v>
      </c>
      <c r="AE46" s="13">
        <f>VLOOKUP(A:A,[1]TDSheet!$A:$AE,31,0)</f>
        <v>32.495800000000003</v>
      </c>
      <c r="AF46" s="13">
        <f>VLOOKUP(A:A,[1]TDSheet!$A:$AF,32,0)</f>
        <v>32.205799999999996</v>
      </c>
      <c r="AG46" s="13">
        <f>VLOOKUP(A:A,[1]TDSheet!$A:$AG,33,0)</f>
        <v>33.492200000000004</v>
      </c>
      <c r="AH46" s="13">
        <f>VLOOKUP(A:A,[3]TDSheet!$A:$D,4,0)</f>
        <v>37.712000000000003</v>
      </c>
      <c r="AI46" s="13">
        <f>VLOOKUP(A:A,[1]TDSheet!$A:$AI,35,0)</f>
        <v>0</v>
      </c>
      <c r="AJ46" s="13">
        <f t="shared" si="6"/>
        <v>40</v>
      </c>
      <c r="AK46" s="13"/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429.48500000000001</v>
      </c>
      <c r="D47" s="8">
        <v>395.00099999999998</v>
      </c>
      <c r="E47" s="8">
        <v>540.11699999999996</v>
      </c>
      <c r="F47" s="8">
        <v>272.09899999999999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554.29999999999995</v>
      </c>
      <c r="K47" s="13">
        <f t="shared" si="2"/>
        <v>-14.182999999999993</v>
      </c>
      <c r="L47" s="13">
        <f>VLOOKUP(A:A,[1]TDSheet!$A:$M,13,0)</f>
        <v>50</v>
      </c>
      <c r="M47" s="13">
        <f>VLOOKUP(A:A,[1]TDSheet!$A:$N,14,0)</f>
        <v>100</v>
      </c>
      <c r="N47" s="13">
        <f>VLOOKUP(A:A,[1]TDSheet!$A:$O,15,0)</f>
        <v>100</v>
      </c>
      <c r="O47" s="13">
        <f>VLOOKUP(A:A,[1]TDSheet!$A:$X,24,0)</f>
        <v>80</v>
      </c>
      <c r="P47" s="13"/>
      <c r="Q47" s="13"/>
      <c r="R47" s="13"/>
      <c r="S47" s="13"/>
      <c r="T47" s="13"/>
      <c r="U47" s="13"/>
      <c r="V47" s="13"/>
      <c r="W47" s="13">
        <f t="shared" si="3"/>
        <v>108.0234</v>
      </c>
      <c r="X47" s="15">
        <v>200</v>
      </c>
      <c r="Y47" s="16">
        <f t="shared" si="4"/>
        <v>7.4252337919376723</v>
      </c>
      <c r="Z47" s="13">
        <f t="shared" si="5"/>
        <v>2.5188894258095931</v>
      </c>
      <c r="AA47" s="13"/>
      <c r="AB47" s="13"/>
      <c r="AC47" s="13">
        <f>VLOOKUP(A:A,[1]TDSheet!$A:$AC,29,0)</f>
        <v>0</v>
      </c>
      <c r="AD47" s="13">
        <f>VLOOKUP(A:A,[1]TDSheet!$A:$AD,30,0)</f>
        <v>130.7636</v>
      </c>
      <c r="AE47" s="13">
        <f>VLOOKUP(A:A,[1]TDSheet!$A:$AE,31,0)</f>
        <v>126.36060000000001</v>
      </c>
      <c r="AF47" s="13">
        <f>VLOOKUP(A:A,[1]TDSheet!$A:$AF,32,0)</f>
        <v>121.46579999999999</v>
      </c>
      <c r="AG47" s="13">
        <f>VLOOKUP(A:A,[1]TDSheet!$A:$AG,33,0)</f>
        <v>107.44159999999999</v>
      </c>
      <c r="AH47" s="13">
        <f>VLOOKUP(A:A,[3]TDSheet!$A:$D,4,0)</f>
        <v>122.155</v>
      </c>
      <c r="AI47" s="13" t="str">
        <f>VLOOKUP(A:A,[1]TDSheet!$A:$AI,35,0)</f>
        <v>оконч вип</v>
      </c>
      <c r="AJ47" s="13">
        <f t="shared" si="6"/>
        <v>200</v>
      </c>
      <c r="AK47" s="13"/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12</v>
      </c>
      <c r="C48" s="8">
        <v>602</v>
      </c>
      <c r="D48" s="8">
        <v>1383</v>
      </c>
      <c r="E48" s="8">
        <v>1237</v>
      </c>
      <c r="F48" s="8">
        <v>709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3">
        <f>VLOOKUP(A:A,[2]TDSheet!$A:$F,6,0)</f>
        <v>1278</v>
      </c>
      <c r="K48" s="13">
        <f t="shared" si="2"/>
        <v>-41</v>
      </c>
      <c r="L48" s="13">
        <f>VLOOKUP(A:A,[1]TDSheet!$A:$M,13,0)</f>
        <v>200</v>
      </c>
      <c r="M48" s="13">
        <f>VLOOKUP(A:A,[1]TDSheet!$A:$N,14,0)</f>
        <v>200</v>
      </c>
      <c r="N48" s="13">
        <f>VLOOKUP(A:A,[1]TDSheet!$A:$O,15,0)</f>
        <v>250</v>
      </c>
      <c r="O48" s="13">
        <f>VLOOKUP(A:A,[1]TDSheet!$A:$X,24,0)</f>
        <v>250</v>
      </c>
      <c r="P48" s="13"/>
      <c r="Q48" s="13"/>
      <c r="R48" s="13"/>
      <c r="S48" s="13"/>
      <c r="T48" s="13"/>
      <c r="U48" s="13"/>
      <c r="V48" s="13"/>
      <c r="W48" s="13">
        <f t="shared" si="3"/>
        <v>247.4</v>
      </c>
      <c r="X48" s="15">
        <v>370</v>
      </c>
      <c r="Y48" s="16">
        <f t="shared" si="4"/>
        <v>7.9991915925626511</v>
      </c>
      <c r="Z48" s="13">
        <f t="shared" si="5"/>
        <v>2.8658043654001615</v>
      </c>
      <c r="AA48" s="13"/>
      <c r="AB48" s="13"/>
      <c r="AC48" s="13">
        <f>VLOOKUP(A:A,[1]TDSheet!$A:$AC,29,0)</f>
        <v>0</v>
      </c>
      <c r="AD48" s="13">
        <f>VLOOKUP(A:A,[1]TDSheet!$A:$AD,30,0)</f>
        <v>215.4</v>
      </c>
      <c r="AE48" s="13">
        <f>VLOOKUP(A:A,[1]TDSheet!$A:$AE,31,0)</f>
        <v>271.2</v>
      </c>
      <c r="AF48" s="13">
        <f>VLOOKUP(A:A,[1]TDSheet!$A:$AF,32,0)</f>
        <v>247.4</v>
      </c>
      <c r="AG48" s="13">
        <f>VLOOKUP(A:A,[1]TDSheet!$A:$AG,33,0)</f>
        <v>261.8</v>
      </c>
      <c r="AH48" s="13">
        <f>VLOOKUP(A:A,[3]TDSheet!$A:$D,4,0)</f>
        <v>260</v>
      </c>
      <c r="AI48" s="13">
        <f>VLOOKUP(A:A,[1]TDSheet!$A:$AI,35,0)</f>
        <v>0</v>
      </c>
      <c r="AJ48" s="13">
        <f t="shared" si="6"/>
        <v>129.5</v>
      </c>
      <c r="AK48" s="13"/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1083</v>
      </c>
      <c r="D49" s="8">
        <v>2114</v>
      </c>
      <c r="E49" s="8">
        <v>1993</v>
      </c>
      <c r="F49" s="8">
        <v>1156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2034</v>
      </c>
      <c r="K49" s="13">
        <f t="shared" si="2"/>
        <v>-41</v>
      </c>
      <c r="L49" s="13">
        <f>VLOOKUP(A:A,[1]TDSheet!$A:$M,13,0)</f>
        <v>300</v>
      </c>
      <c r="M49" s="13">
        <f>VLOOKUP(A:A,[1]TDSheet!$A:$N,14,0)</f>
        <v>400</v>
      </c>
      <c r="N49" s="13">
        <f>VLOOKUP(A:A,[1]TDSheet!$A:$O,15,0)</f>
        <v>500</v>
      </c>
      <c r="O49" s="13">
        <f>VLOOKUP(A:A,[1]TDSheet!$A:$X,24,0)</f>
        <v>400</v>
      </c>
      <c r="P49" s="13"/>
      <c r="Q49" s="13"/>
      <c r="R49" s="13"/>
      <c r="S49" s="13"/>
      <c r="T49" s="13"/>
      <c r="U49" s="13"/>
      <c r="V49" s="13"/>
      <c r="W49" s="13">
        <f t="shared" si="3"/>
        <v>398.6</v>
      </c>
      <c r="X49" s="15">
        <v>450</v>
      </c>
      <c r="Y49" s="16">
        <f t="shared" si="4"/>
        <v>8.0431510286001</v>
      </c>
      <c r="Z49" s="13">
        <f t="shared" si="5"/>
        <v>2.9001505268439538</v>
      </c>
      <c r="AA49" s="13"/>
      <c r="AB49" s="13"/>
      <c r="AC49" s="13">
        <f>VLOOKUP(A:A,[1]TDSheet!$A:$AC,29,0)</f>
        <v>0</v>
      </c>
      <c r="AD49" s="13">
        <f>VLOOKUP(A:A,[1]TDSheet!$A:$AD,30,0)</f>
        <v>337.6</v>
      </c>
      <c r="AE49" s="13">
        <f>VLOOKUP(A:A,[1]TDSheet!$A:$AE,31,0)</f>
        <v>449.6</v>
      </c>
      <c r="AF49" s="13">
        <f>VLOOKUP(A:A,[1]TDSheet!$A:$AF,32,0)</f>
        <v>415.4</v>
      </c>
      <c r="AG49" s="13">
        <f>VLOOKUP(A:A,[1]TDSheet!$A:$AG,33,0)</f>
        <v>430</v>
      </c>
      <c r="AH49" s="13">
        <f>VLOOKUP(A:A,[3]TDSheet!$A:$D,4,0)</f>
        <v>408</v>
      </c>
      <c r="AI49" s="13">
        <f>VLOOKUP(A:A,[1]TDSheet!$A:$AI,35,0)</f>
        <v>0</v>
      </c>
      <c r="AJ49" s="13">
        <f t="shared" si="6"/>
        <v>157.5</v>
      </c>
      <c r="AK49" s="13"/>
      <c r="AL49" s="13"/>
      <c r="AM49" s="13"/>
    </row>
    <row r="50" spans="1:39" s="1" customFormat="1" ht="11.1" customHeight="1" outlineLevel="1" x14ac:dyDescent="0.2">
      <c r="A50" s="7" t="s">
        <v>53</v>
      </c>
      <c r="B50" s="7" t="s">
        <v>12</v>
      </c>
      <c r="C50" s="8">
        <v>582</v>
      </c>
      <c r="D50" s="8">
        <v>1186</v>
      </c>
      <c r="E50" s="8">
        <v>1069</v>
      </c>
      <c r="F50" s="8">
        <v>652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3">
        <f>VLOOKUP(A:A,[2]TDSheet!$A:$F,6,0)</f>
        <v>1112</v>
      </c>
      <c r="K50" s="13">
        <f t="shared" si="2"/>
        <v>-43</v>
      </c>
      <c r="L50" s="13">
        <f>VLOOKUP(A:A,[1]TDSheet!$A:$M,13,0)</f>
        <v>150</v>
      </c>
      <c r="M50" s="13">
        <f>VLOOKUP(A:A,[1]TDSheet!$A:$N,14,0)</f>
        <v>200</v>
      </c>
      <c r="N50" s="13">
        <f>VLOOKUP(A:A,[1]TDSheet!$A:$O,15,0)</f>
        <v>250</v>
      </c>
      <c r="O50" s="13">
        <f>VLOOKUP(A:A,[1]TDSheet!$A:$X,24,0)</f>
        <v>300</v>
      </c>
      <c r="P50" s="13"/>
      <c r="Q50" s="13"/>
      <c r="R50" s="13"/>
      <c r="S50" s="13"/>
      <c r="T50" s="13"/>
      <c r="U50" s="13"/>
      <c r="V50" s="13"/>
      <c r="W50" s="13">
        <f t="shared" si="3"/>
        <v>213.8</v>
      </c>
      <c r="X50" s="15">
        <v>150</v>
      </c>
      <c r="Y50" s="16">
        <f t="shared" si="4"/>
        <v>7.9607109448082314</v>
      </c>
      <c r="Z50" s="13">
        <f t="shared" si="5"/>
        <v>3.0495790458372309</v>
      </c>
      <c r="AA50" s="13"/>
      <c r="AB50" s="13"/>
      <c r="AC50" s="13">
        <f>VLOOKUP(A:A,[1]TDSheet!$A:$AC,29,0)</f>
        <v>0</v>
      </c>
      <c r="AD50" s="13">
        <f>VLOOKUP(A:A,[1]TDSheet!$A:$AD,30,0)</f>
        <v>220.4</v>
      </c>
      <c r="AE50" s="13">
        <f>VLOOKUP(A:A,[1]TDSheet!$A:$AE,31,0)</f>
        <v>258.8</v>
      </c>
      <c r="AF50" s="13">
        <f>VLOOKUP(A:A,[1]TDSheet!$A:$AF,32,0)</f>
        <v>219.8</v>
      </c>
      <c r="AG50" s="13">
        <f>VLOOKUP(A:A,[1]TDSheet!$A:$AG,33,0)</f>
        <v>234</v>
      </c>
      <c r="AH50" s="13">
        <f>VLOOKUP(A:A,[3]TDSheet!$A:$D,4,0)</f>
        <v>178</v>
      </c>
      <c r="AI50" s="13">
        <f>VLOOKUP(A:A,[1]TDSheet!$A:$AI,35,0)</f>
        <v>0</v>
      </c>
      <c r="AJ50" s="13">
        <f t="shared" si="6"/>
        <v>60</v>
      </c>
      <c r="AK50" s="13"/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8</v>
      </c>
      <c r="C51" s="8">
        <v>467.827</v>
      </c>
      <c r="D51" s="8">
        <v>939.09400000000005</v>
      </c>
      <c r="E51" s="8">
        <v>791.41700000000003</v>
      </c>
      <c r="F51" s="8">
        <v>606.06899999999996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3">
        <f>VLOOKUP(A:A,[2]TDSheet!$A:$F,6,0)</f>
        <v>795.54</v>
      </c>
      <c r="K51" s="13">
        <f t="shared" si="2"/>
        <v>-4.1229999999999336</v>
      </c>
      <c r="L51" s="13">
        <f>VLOOKUP(A:A,[1]TDSheet!$A:$M,13,0)</f>
        <v>100</v>
      </c>
      <c r="M51" s="13">
        <f>VLOOKUP(A:A,[1]TDSheet!$A:$N,14,0)</f>
        <v>100</v>
      </c>
      <c r="N51" s="13">
        <f>VLOOKUP(A:A,[1]TDSheet!$A:$O,15,0)</f>
        <v>200</v>
      </c>
      <c r="O51" s="13">
        <f>VLOOKUP(A:A,[1]TDSheet!$A:$X,24,0)</f>
        <v>180</v>
      </c>
      <c r="P51" s="13"/>
      <c r="Q51" s="13"/>
      <c r="R51" s="13"/>
      <c r="S51" s="13"/>
      <c r="T51" s="13"/>
      <c r="U51" s="13"/>
      <c r="V51" s="13"/>
      <c r="W51" s="13">
        <f t="shared" si="3"/>
        <v>158.2834</v>
      </c>
      <c r="X51" s="15">
        <v>100</v>
      </c>
      <c r="Y51" s="16">
        <f t="shared" si="4"/>
        <v>8.1251034536786548</v>
      </c>
      <c r="Z51" s="13">
        <f t="shared" si="5"/>
        <v>3.8290117599192333</v>
      </c>
      <c r="AA51" s="13"/>
      <c r="AB51" s="13"/>
      <c r="AC51" s="13">
        <f>VLOOKUP(A:A,[1]TDSheet!$A:$AC,29,0)</f>
        <v>0</v>
      </c>
      <c r="AD51" s="13">
        <f>VLOOKUP(A:A,[1]TDSheet!$A:$AD,30,0)</f>
        <v>158.79159999999999</v>
      </c>
      <c r="AE51" s="13">
        <f>VLOOKUP(A:A,[1]TDSheet!$A:$AE,31,0)</f>
        <v>182.1566</v>
      </c>
      <c r="AF51" s="13">
        <f>VLOOKUP(A:A,[1]TDSheet!$A:$AF,32,0)</f>
        <v>171.2534</v>
      </c>
      <c r="AG51" s="13">
        <f>VLOOKUP(A:A,[1]TDSheet!$A:$AG,33,0)</f>
        <v>186.1696</v>
      </c>
      <c r="AH51" s="13">
        <f>VLOOKUP(A:A,[3]TDSheet!$A:$D,4,0)</f>
        <v>134.51599999999999</v>
      </c>
      <c r="AI51" s="13" t="str">
        <f>VLOOKUP(A:A,[1]TDSheet!$A:$AI,35,0)</f>
        <v>жц</v>
      </c>
      <c r="AJ51" s="13">
        <f t="shared" si="6"/>
        <v>100</v>
      </c>
      <c r="AK51" s="13"/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482.35599999999999</v>
      </c>
      <c r="D52" s="8">
        <v>551.41899999999998</v>
      </c>
      <c r="E52" s="8">
        <v>571.62699999999995</v>
      </c>
      <c r="F52" s="8">
        <v>451.24200000000002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567.61800000000005</v>
      </c>
      <c r="K52" s="13">
        <f t="shared" si="2"/>
        <v>4.0089999999999009</v>
      </c>
      <c r="L52" s="13">
        <f>VLOOKUP(A:A,[1]TDSheet!$A:$M,13,0)</f>
        <v>0</v>
      </c>
      <c r="M52" s="13">
        <f>VLOOKUP(A:A,[1]TDSheet!$A:$N,14,0)</f>
        <v>120</v>
      </c>
      <c r="N52" s="13">
        <f>VLOOKUP(A:A,[1]TDSheet!$A:$O,15,0)</f>
        <v>150</v>
      </c>
      <c r="O52" s="13">
        <f>VLOOKUP(A:A,[1]TDSheet!$A:$X,24,0)</f>
        <v>100</v>
      </c>
      <c r="P52" s="13"/>
      <c r="Q52" s="13"/>
      <c r="R52" s="13"/>
      <c r="S52" s="13"/>
      <c r="T52" s="13"/>
      <c r="U52" s="13"/>
      <c r="V52" s="13"/>
      <c r="W52" s="13">
        <f t="shared" si="3"/>
        <v>114.32539999999999</v>
      </c>
      <c r="X52" s="15">
        <v>100</v>
      </c>
      <c r="Y52" s="16">
        <f t="shared" si="4"/>
        <v>8.0580693354232746</v>
      </c>
      <c r="Z52" s="13">
        <f t="shared" si="5"/>
        <v>3.9469969053246268</v>
      </c>
      <c r="AA52" s="13"/>
      <c r="AB52" s="13"/>
      <c r="AC52" s="13">
        <f>VLOOKUP(A:A,[1]TDSheet!$A:$AC,29,0)</f>
        <v>0</v>
      </c>
      <c r="AD52" s="13">
        <f>VLOOKUP(A:A,[1]TDSheet!$A:$AD,30,0)</f>
        <v>145.9974</v>
      </c>
      <c r="AE52" s="13">
        <f>VLOOKUP(A:A,[1]TDSheet!$A:$AE,31,0)</f>
        <v>158.88640000000001</v>
      </c>
      <c r="AF52" s="13">
        <f>VLOOKUP(A:A,[1]TDSheet!$A:$AF,32,0)</f>
        <v>133.54159999999999</v>
      </c>
      <c r="AG52" s="13">
        <f>VLOOKUP(A:A,[1]TDSheet!$A:$AG,33,0)</f>
        <v>130.65119999999999</v>
      </c>
      <c r="AH52" s="13">
        <f>VLOOKUP(A:A,[3]TDSheet!$A:$D,4,0)</f>
        <v>122.136</v>
      </c>
      <c r="AI52" s="13">
        <f>VLOOKUP(A:A,[1]TDSheet!$A:$AI,35,0)</f>
        <v>0</v>
      </c>
      <c r="AJ52" s="13">
        <f t="shared" si="6"/>
        <v>100</v>
      </c>
      <c r="AK52" s="13"/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/>
      <c r="D53" s="8"/>
      <c r="E53" s="8"/>
      <c r="F53" s="8"/>
      <c r="G53" s="17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7.3</v>
      </c>
      <c r="K53" s="13">
        <f t="shared" si="2"/>
        <v>-7.3</v>
      </c>
      <c r="L53" s="13">
        <f>VLOOKUP(A:A,[1]TDSheet!$A:$M,13,0)</f>
        <v>400</v>
      </c>
      <c r="M53" s="13">
        <f>VLOOKUP(A:A,[1]TDSheet!$A:$N,14,0)</f>
        <v>400</v>
      </c>
      <c r="N53" s="13">
        <f>VLOOKUP(A:A,[1]TDSheet!$A:$O,15,0)</f>
        <v>700</v>
      </c>
      <c r="O53" s="13">
        <f>VLOOKUP(A:A,[1]TDSheet!$A:$X,24,0)</f>
        <v>0</v>
      </c>
      <c r="P53" s="13"/>
      <c r="Q53" s="13"/>
      <c r="R53" s="13"/>
      <c r="S53" s="13"/>
      <c r="T53" s="13"/>
      <c r="U53" s="13"/>
      <c r="V53" s="13"/>
      <c r="W53" s="13">
        <f t="shared" si="3"/>
        <v>0</v>
      </c>
      <c r="X53" s="15"/>
      <c r="Y53" s="16" t="e">
        <f t="shared" si="4"/>
        <v>#DIV/0!</v>
      </c>
      <c r="Z53" s="13" t="e">
        <f t="shared" si="5"/>
        <v>#DIV/0!</v>
      </c>
      <c r="AA53" s="13"/>
      <c r="AB53" s="13"/>
      <c r="AC53" s="13">
        <f>VLOOKUP(A:A,[1]TDSheet!$A:$AC,29,0)</f>
        <v>0</v>
      </c>
      <c r="AD53" s="13">
        <f>VLOOKUP(A:A,[1]TDSheet!$A:$AD,30,0)</f>
        <v>4.2081999999999997</v>
      </c>
      <c r="AE53" s="13">
        <f>VLOOKUP(A:A,[1]TDSheet!$A:$AE,31,0)</f>
        <v>5.1107999999999993</v>
      </c>
      <c r="AF53" s="13">
        <f>VLOOKUP(A:A,[1]TDSheet!$A:$AF,32,0)</f>
        <v>0.89879999999999993</v>
      </c>
      <c r="AG53" s="13">
        <f>VLOOKUP(A:A,[1]TDSheet!$A:$AG,33,0)</f>
        <v>0</v>
      </c>
      <c r="AH53" s="13">
        <v>0</v>
      </c>
      <c r="AI53" s="19" t="s">
        <v>137</v>
      </c>
      <c r="AJ53" s="13">
        <f t="shared" si="6"/>
        <v>0</v>
      </c>
      <c r="AK53" s="13"/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2705.9110000000001</v>
      </c>
      <c r="D54" s="8">
        <v>4539.5479999999998</v>
      </c>
      <c r="E54" s="8">
        <v>4976.9430000000002</v>
      </c>
      <c r="F54" s="8">
        <v>2217.444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4932.1409999999996</v>
      </c>
      <c r="K54" s="13">
        <f t="shared" si="2"/>
        <v>44.802000000000589</v>
      </c>
      <c r="L54" s="13">
        <f>VLOOKUP(A:A,[1]TDSheet!$A:$M,13,0)</f>
        <v>1200</v>
      </c>
      <c r="M54" s="13">
        <f>VLOOKUP(A:A,[1]TDSheet!$A:$N,14,0)</f>
        <v>1200</v>
      </c>
      <c r="N54" s="13">
        <f>VLOOKUP(A:A,[1]TDSheet!$A:$O,15,0)</f>
        <v>1100</v>
      </c>
      <c r="O54" s="13">
        <f>VLOOKUP(A:A,[1]TDSheet!$A:$X,24,0)</f>
        <v>700</v>
      </c>
      <c r="P54" s="13"/>
      <c r="Q54" s="13"/>
      <c r="R54" s="13"/>
      <c r="S54" s="13"/>
      <c r="T54" s="13"/>
      <c r="U54" s="13"/>
      <c r="V54" s="13"/>
      <c r="W54" s="13">
        <f t="shared" si="3"/>
        <v>995.3886</v>
      </c>
      <c r="X54" s="15">
        <v>1500</v>
      </c>
      <c r="Y54" s="16">
        <f t="shared" si="4"/>
        <v>7.9541236457801503</v>
      </c>
      <c r="Z54" s="13">
        <f t="shared" si="5"/>
        <v>2.2277168936835321</v>
      </c>
      <c r="AA54" s="13"/>
      <c r="AB54" s="13"/>
      <c r="AC54" s="13">
        <f>VLOOKUP(A:A,[1]TDSheet!$A:$AC,29,0)</f>
        <v>0</v>
      </c>
      <c r="AD54" s="13">
        <f>VLOOKUP(A:A,[1]TDSheet!$A:$AD,30,0)</f>
        <v>958.94159999999988</v>
      </c>
      <c r="AE54" s="13">
        <f>VLOOKUP(A:A,[1]TDSheet!$A:$AE,31,0)</f>
        <v>940.26700000000005</v>
      </c>
      <c r="AF54" s="13">
        <f>VLOOKUP(A:A,[1]TDSheet!$A:$AF,32,0)</f>
        <v>953.20319999999992</v>
      </c>
      <c r="AG54" s="13">
        <f>VLOOKUP(A:A,[1]TDSheet!$A:$AG,33,0)</f>
        <v>975.10239999999999</v>
      </c>
      <c r="AH54" s="13">
        <f>VLOOKUP(A:A,[3]TDSheet!$A:$D,4,0)</f>
        <v>1374.0340000000001</v>
      </c>
      <c r="AI54" s="13" t="str">
        <f>VLOOKUP(A:A,[1]TDSheet!$A:$AI,35,0)</f>
        <v>проддек-ян</v>
      </c>
      <c r="AJ54" s="13">
        <f t="shared" si="6"/>
        <v>1500</v>
      </c>
      <c r="AK54" s="13"/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12</v>
      </c>
      <c r="C55" s="8">
        <v>1502</v>
      </c>
      <c r="D55" s="8">
        <v>2062</v>
      </c>
      <c r="E55" s="8">
        <v>2098</v>
      </c>
      <c r="F55" s="8">
        <v>1436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3">
        <f>VLOOKUP(A:A,[2]TDSheet!$A:$F,6,0)</f>
        <v>2123</v>
      </c>
      <c r="K55" s="13">
        <f t="shared" si="2"/>
        <v>-25</v>
      </c>
      <c r="L55" s="13">
        <f>VLOOKUP(A:A,[1]TDSheet!$A:$M,13,0)</f>
        <v>500</v>
      </c>
      <c r="M55" s="13">
        <f>VLOOKUP(A:A,[1]TDSheet!$A:$N,14,0)</f>
        <v>600</v>
      </c>
      <c r="N55" s="13">
        <f>VLOOKUP(A:A,[1]TDSheet!$A:$O,15,0)</f>
        <v>800</v>
      </c>
      <c r="O55" s="13">
        <f>VLOOKUP(A:A,[1]TDSheet!$A:$X,24,0)</f>
        <v>400</v>
      </c>
      <c r="P55" s="13"/>
      <c r="Q55" s="13"/>
      <c r="R55" s="13"/>
      <c r="S55" s="13"/>
      <c r="T55" s="13"/>
      <c r="U55" s="13"/>
      <c r="V55" s="13"/>
      <c r="W55" s="13">
        <f t="shared" si="3"/>
        <v>419.6</v>
      </c>
      <c r="X55" s="15">
        <v>900</v>
      </c>
      <c r="Y55" s="16">
        <f t="shared" si="4"/>
        <v>11.048617731172545</v>
      </c>
      <c r="Z55" s="13">
        <f t="shared" si="5"/>
        <v>3.4223069590085795</v>
      </c>
      <c r="AA55" s="13"/>
      <c r="AB55" s="13"/>
      <c r="AC55" s="13">
        <f>VLOOKUP(A:A,[1]TDSheet!$A:$AC,29,0)</f>
        <v>0</v>
      </c>
      <c r="AD55" s="13">
        <f>VLOOKUP(A:A,[1]TDSheet!$A:$AD,30,0)</f>
        <v>471.2</v>
      </c>
      <c r="AE55" s="13">
        <f>VLOOKUP(A:A,[1]TDSheet!$A:$AE,31,0)</f>
        <v>520.6</v>
      </c>
      <c r="AF55" s="13">
        <f>VLOOKUP(A:A,[1]TDSheet!$A:$AF,32,0)</f>
        <v>494.6</v>
      </c>
      <c r="AG55" s="13">
        <f>VLOOKUP(A:A,[1]TDSheet!$A:$AG,33,0)</f>
        <v>470.8</v>
      </c>
      <c r="AH55" s="13">
        <f>VLOOKUP(A:A,[3]TDSheet!$A:$D,4,0)</f>
        <v>386</v>
      </c>
      <c r="AI55" s="13" t="str">
        <f>VLOOKUP(A:A,[1]TDSheet!$A:$AI,35,0)</f>
        <v>ябдек-ян</v>
      </c>
      <c r="AJ55" s="13">
        <f t="shared" si="6"/>
        <v>405</v>
      </c>
      <c r="AK55" s="13"/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2009</v>
      </c>
      <c r="D56" s="8">
        <v>5948</v>
      </c>
      <c r="E56" s="8">
        <v>5571</v>
      </c>
      <c r="F56" s="8">
        <v>2346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5621</v>
      </c>
      <c r="K56" s="13">
        <f t="shared" si="2"/>
        <v>-50</v>
      </c>
      <c r="L56" s="13">
        <f>VLOOKUP(A:A,[1]TDSheet!$A:$M,13,0)</f>
        <v>500</v>
      </c>
      <c r="M56" s="13">
        <f>VLOOKUP(A:A,[1]TDSheet!$A:$N,14,0)</f>
        <v>500</v>
      </c>
      <c r="N56" s="13">
        <f>VLOOKUP(A:A,[1]TDSheet!$A:$O,15,0)</f>
        <v>800</v>
      </c>
      <c r="O56" s="13">
        <f>VLOOKUP(A:A,[1]TDSheet!$A:$X,24,0)</f>
        <v>1000</v>
      </c>
      <c r="P56" s="13"/>
      <c r="Q56" s="13"/>
      <c r="R56" s="13"/>
      <c r="S56" s="13"/>
      <c r="T56" s="13"/>
      <c r="U56" s="13"/>
      <c r="V56" s="13"/>
      <c r="W56" s="13">
        <f t="shared" si="3"/>
        <v>814.2</v>
      </c>
      <c r="X56" s="15">
        <v>1100</v>
      </c>
      <c r="Y56" s="16">
        <f t="shared" si="4"/>
        <v>7.6713338246131171</v>
      </c>
      <c r="Z56" s="13">
        <f t="shared" si="5"/>
        <v>2.8813559322033897</v>
      </c>
      <c r="AA56" s="13"/>
      <c r="AB56" s="13"/>
      <c r="AC56" s="13">
        <f>VLOOKUP(A:A,[1]TDSheet!$A:$AC,29,0)</f>
        <v>1500</v>
      </c>
      <c r="AD56" s="13">
        <f>VLOOKUP(A:A,[1]TDSheet!$A:$AD,30,0)</f>
        <v>719.8</v>
      </c>
      <c r="AE56" s="13">
        <f>VLOOKUP(A:A,[1]TDSheet!$A:$AE,31,0)</f>
        <v>850</v>
      </c>
      <c r="AF56" s="13">
        <f>VLOOKUP(A:A,[1]TDSheet!$A:$AF,32,0)</f>
        <v>769</v>
      </c>
      <c r="AG56" s="13">
        <f>VLOOKUP(A:A,[1]TDSheet!$A:$AG,33,0)</f>
        <v>862.8</v>
      </c>
      <c r="AH56" s="13">
        <f>VLOOKUP(A:A,[3]TDSheet!$A:$D,4,0)</f>
        <v>895</v>
      </c>
      <c r="AI56" s="13" t="str">
        <f>VLOOKUP(A:A,[1]TDSheet!$A:$AI,35,0)</f>
        <v>жк</v>
      </c>
      <c r="AJ56" s="13">
        <f t="shared" si="6"/>
        <v>495</v>
      </c>
      <c r="AK56" s="13"/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1034</v>
      </c>
      <c r="D57" s="8">
        <v>1075</v>
      </c>
      <c r="E57" s="8">
        <v>1432</v>
      </c>
      <c r="F57" s="8">
        <v>630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1471</v>
      </c>
      <c r="K57" s="13">
        <f t="shared" si="2"/>
        <v>-39</v>
      </c>
      <c r="L57" s="13">
        <f>VLOOKUP(A:A,[1]TDSheet!$A:$M,13,0)</f>
        <v>300</v>
      </c>
      <c r="M57" s="13">
        <f>VLOOKUP(A:A,[1]TDSheet!$A:$N,14,0)</f>
        <v>400</v>
      </c>
      <c r="N57" s="13">
        <f>VLOOKUP(A:A,[1]TDSheet!$A:$O,15,0)</f>
        <v>300</v>
      </c>
      <c r="O57" s="13">
        <f>VLOOKUP(A:A,[1]TDSheet!$A:$X,24,0)</f>
        <v>400</v>
      </c>
      <c r="P57" s="13"/>
      <c r="Q57" s="13"/>
      <c r="R57" s="13"/>
      <c r="S57" s="13"/>
      <c r="T57" s="13"/>
      <c r="U57" s="13"/>
      <c r="V57" s="13"/>
      <c r="W57" s="13">
        <f t="shared" si="3"/>
        <v>286.39999999999998</v>
      </c>
      <c r="X57" s="15">
        <v>300</v>
      </c>
      <c r="Y57" s="16">
        <f t="shared" si="4"/>
        <v>8.1354748603351954</v>
      </c>
      <c r="Z57" s="13">
        <f t="shared" si="5"/>
        <v>2.1997206703910615</v>
      </c>
      <c r="AA57" s="13"/>
      <c r="AB57" s="13"/>
      <c r="AC57" s="13">
        <f>VLOOKUP(A:A,[1]TDSheet!$A:$AC,29,0)</f>
        <v>0</v>
      </c>
      <c r="AD57" s="13">
        <f>VLOOKUP(A:A,[1]TDSheet!$A:$AD,30,0)</f>
        <v>266.2</v>
      </c>
      <c r="AE57" s="13">
        <f>VLOOKUP(A:A,[1]TDSheet!$A:$AE,31,0)</f>
        <v>349.2</v>
      </c>
      <c r="AF57" s="13">
        <f>VLOOKUP(A:A,[1]TDSheet!$A:$AF,32,0)</f>
        <v>300.39999999999998</v>
      </c>
      <c r="AG57" s="13">
        <f>VLOOKUP(A:A,[1]TDSheet!$A:$AG,33,0)</f>
        <v>277.39999999999998</v>
      </c>
      <c r="AH57" s="13">
        <f>VLOOKUP(A:A,[3]TDSheet!$A:$D,4,0)</f>
        <v>271</v>
      </c>
      <c r="AI57" s="13" t="str">
        <f>VLOOKUP(A:A,[1]TDSheet!$A:$AI,35,0)</f>
        <v>жц</v>
      </c>
      <c r="AJ57" s="13">
        <f t="shared" si="6"/>
        <v>135</v>
      </c>
      <c r="AK57" s="13"/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202</v>
      </c>
      <c r="D58" s="8">
        <v>259</v>
      </c>
      <c r="E58" s="8">
        <v>294</v>
      </c>
      <c r="F58" s="8">
        <v>161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3">
        <f>VLOOKUP(A:A,[2]TDSheet!$A:$F,6,0)</f>
        <v>313</v>
      </c>
      <c r="K58" s="13">
        <f t="shared" si="2"/>
        <v>-19</v>
      </c>
      <c r="L58" s="13">
        <f>VLOOKUP(A:A,[1]TDSheet!$A:$M,13,0)</f>
        <v>50</v>
      </c>
      <c r="M58" s="13">
        <f>VLOOKUP(A:A,[1]TDSheet!$A:$N,14,0)</f>
        <v>100</v>
      </c>
      <c r="N58" s="13">
        <f>VLOOKUP(A:A,[1]TDSheet!$A:$O,15,0)</f>
        <v>60</v>
      </c>
      <c r="O58" s="13">
        <f>VLOOKUP(A:A,[1]TDSheet!$A:$X,24,0)</f>
        <v>80</v>
      </c>
      <c r="P58" s="13"/>
      <c r="Q58" s="13"/>
      <c r="R58" s="13"/>
      <c r="S58" s="13"/>
      <c r="T58" s="13"/>
      <c r="U58" s="13"/>
      <c r="V58" s="13"/>
      <c r="W58" s="13">
        <f t="shared" si="3"/>
        <v>58.8</v>
      </c>
      <c r="X58" s="15">
        <v>50</v>
      </c>
      <c r="Y58" s="16">
        <f t="shared" si="4"/>
        <v>8.5204081632653068</v>
      </c>
      <c r="Z58" s="13">
        <f t="shared" si="5"/>
        <v>2.7380952380952381</v>
      </c>
      <c r="AA58" s="13"/>
      <c r="AB58" s="13"/>
      <c r="AC58" s="13">
        <f>VLOOKUP(A:A,[1]TDSheet!$A:$AC,29,0)</f>
        <v>0</v>
      </c>
      <c r="AD58" s="13">
        <f>VLOOKUP(A:A,[1]TDSheet!$A:$AD,30,0)</f>
        <v>55.8</v>
      </c>
      <c r="AE58" s="13">
        <f>VLOOKUP(A:A,[1]TDSheet!$A:$AE,31,0)</f>
        <v>65.599999999999994</v>
      </c>
      <c r="AF58" s="13">
        <f>VLOOKUP(A:A,[1]TDSheet!$A:$AF,32,0)</f>
        <v>62</v>
      </c>
      <c r="AG58" s="13">
        <f>VLOOKUP(A:A,[1]TDSheet!$A:$AG,33,0)</f>
        <v>61.8</v>
      </c>
      <c r="AH58" s="13">
        <f>VLOOKUP(A:A,[3]TDSheet!$A:$D,4,0)</f>
        <v>48</v>
      </c>
      <c r="AI58" s="13">
        <f>VLOOKUP(A:A,[1]TDSheet!$A:$AI,35,0)</f>
        <v>0</v>
      </c>
      <c r="AJ58" s="13">
        <f t="shared" si="6"/>
        <v>20</v>
      </c>
      <c r="AK58" s="13"/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260</v>
      </c>
      <c r="D59" s="8">
        <v>196</v>
      </c>
      <c r="E59" s="8">
        <v>252</v>
      </c>
      <c r="F59" s="8">
        <v>188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264</v>
      </c>
      <c r="K59" s="13">
        <f t="shared" si="2"/>
        <v>-12</v>
      </c>
      <c r="L59" s="13">
        <f>VLOOKUP(A:A,[1]TDSheet!$A:$M,13,0)</f>
        <v>50</v>
      </c>
      <c r="M59" s="13">
        <f>VLOOKUP(A:A,[1]TDSheet!$A:$N,14,0)</f>
        <v>50</v>
      </c>
      <c r="N59" s="13">
        <f>VLOOKUP(A:A,[1]TDSheet!$A:$O,15,0)</f>
        <v>60</v>
      </c>
      <c r="O59" s="13">
        <f>VLOOKUP(A:A,[1]TDSheet!$A:$X,24,0)</f>
        <v>30</v>
      </c>
      <c r="P59" s="13"/>
      <c r="Q59" s="13"/>
      <c r="R59" s="13"/>
      <c r="S59" s="13"/>
      <c r="T59" s="13"/>
      <c r="U59" s="13"/>
      <c r="V59" s="13"/>
      <c r="W59" s="13">
        <f t="shared" si="3"/>
        <v>50.4</v>
      </c>
      <c r="X59" s="15">
        <v>50</v>
      </c>
      <c r="Y59" s="16">
        <f t="shared" si="4"/>
        <v>8.4920634920634921</v>
      </c>
      <c r="Z59" s="13">
        <f t="shared" si="5"/>
        <v>3.7301587301587302</v>
      </c>
      <c r="AA59" s="13"/>
      <c r="AB59" s="13"/>
      <c r="AC59" s="13">
        <f>VLOOKUP(A:A,[1]TDSheet!$A:$AC,29,0)</f>
        <v>0</v>
      </c>
      <c r="AD59" s="13">
        <f>VLOOKUP(A:A,[1]TDSheet!$A:$AD,30,0)</f>
        <v>51.4</v>
      </c>
      <c r="AE59" s="13">
        <f>VLOOKUP(A:A,[1]TDSheet!$A:$AE,31,0)</f>
        <v>54.2</v>
      </c>
      <c r="AF59" s="13">
        <f>VLOOKUP(A:A,[1]TDSheet!$A:$AF,32,0)</f>
        <v>67.8</v>
      </c>
      <c r="AG59" s="13">
        <f>VLOOKUP(A:A,[1]TDSheet!$A:$AG,33,0)</f>
        <v>58.2</v>
      </c>
      <c r="AH59" s="13">
        <f>VLOOKUP(A:A,[3]TDSheet!$A:$D,4,0)</f>
        <v>53</v>
      </c>
      <c r="AI59" s="13">
        <f>VLOOKUP(A:A,[1]TDSheet!$A:$AI,35,0)</f>
        <v>0</v>
      </c>
      <c r="AJ59" s="13">
        <f t="shared" si="6"/>
        <v>20</v>
      </c>
      <c r="AK59" s="13"/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8</v>
      </c>
      <c r="C60" s="8">
        <v>452.95699999999999</v>
      </c>
      <c r="D60" s="8">
        <v>1010.066</v>
      </c>
      <c r="E60" s="8">
        <v>874.37199999999996</v>
      </c>
      <c r="F60" s="8">
        <v>573.68100000000004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878.40300000000002</v>
      </c>
      <c r="K60" s="13">
        <f t="shared" si="2"/>
        <v>-4.0310000000000628</v>
      </c>
      <c r="L60" s="13">
        <f>VLOOKUP(A:A,[1]TDSheet!$A:$M,13,0)</f>
        <v>200</v>
      </c>
      <c r="M60" s="13">
        <f>VLOOKUP(A:A,[1]TDSheet!$A:$N,14,0)</f>
        <v>300</v>
      </c>
      <c r="N60" s="13">
        <f>VLOOKUP(A:A,[1]TDSheet!$A:$O,15,0)</f>
        <v>200</v>
      </c>
      <c r="O60" s="13">
        <f>VLOOKUP(A:A,[1]TDSheet!$A:$X,24,0)</f>
        <v>50</v>
      </c>
      <c r="P60" s="13"/>
      <c r="Q60" s="13"/>
      <c r="R60" s="13"/>
      <c r="S60" s="13"/>
      <c r="T60" s="13"/>
      <c r="U60" s="13"/>
      <c r="V60" s="13"/>
      <c r="W60" s="13">
        <f t="shared" si="3"/>
        <v>174.87439999999998</v>
      </c>
      <c r="X60" s="15">
        <v>150</v>
      </c>
      <c r="Y60" s="16">
        <f t="shared" si="4"/>
        <v>8.4270825232281013</v>
      </c>
      <c r="Z60" s="13">
        <f t="shared" si="5"/>
        <v>3.2805316272707734</v>
      </c>
      <c r="AA60" s="13"/>
      <c r="AB60" s="13"/>
      <c r="AC60" s="13">
        <f>VLOOKUP(A:A,[1]TDSheet!$A:$AC,29,0)</f>
        <v>0</v>
      </c>
      <c r="AD60" s="13">
        <f>VLOOKUP(A:A,[1]TDSheet!$A:$AD,30,0)</f>
        <v>152.75139999999999</v>
      </c>
      <c r="AE60" s="13">
        <f>VLOOKUP(A:A,[1]TDSheet!$A:$AE,31,0)</f>
        <v>191.50619999999998</v>
      </c>
      <c r="AF60" s="13">
        <f>VLOOKUP(A:A,[1]TDSheet!$A:$AF,32,0)</f>
        <v>170.3758</v>
      </c>
      <c r="AG60" s="13">
        <f>VLOOKUP(A:A,[1]TDSheet!$A:$AG,33,0)</f>
        <v>191.21520000000001</v>
      </c>
      <c r="AH60" s="13">
        <f>VLOOKUP(A:A,[3]TDSheet!$A:$D,4,0)</f>
        <v>159.464</v>
      </c>
      <c r="AI60" s="13">
        <f>VLOOKUP(A:A,[1]TDSheet!$A:$AI,35,0)</f>
        <v>0</v>
      </c>
      <c r="AJ60" s="13">
        <f t="shared" si="6"/>
        <v>150</v>
      </c>
      <c r="AK60" s="13"/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12</v>
      </c>
      <c r="C61" s="8">
        <v>754</v>
      </c>
      <c r="D61" s="8">
        <v>1011</v>
      </c>
      <c r="E61" s="8">
        <v>522</v>
      </c>
      <c r="F61" s="8">
        <v>1236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3">
        <f>VLOOKUP(A:A,[2]TDSheet!$A:$F,6,0)</f>
        <v>530</v>
      </c>
      <c r="K61" s="13">
        <f t="shared" si="2"/>
        <v>-8</v>
      </c>
      <c r="L61" s="13">
        <f>VLOOKUP(A:A,[1]TDSheet!$A:$M,13,0)</f>
        <v>0</v>
      </c>
      <c r="M61" s="13">
        <f>VLOOKUP(A:A,[1]TDSheet!$A:$N,14,0)</f>
        <v>1000</v>
      </c>
      <c r="N61" s="13">
        <f>VLOOKUP(A:A,[1]TDSheet!$A:$O,15,0)</f>
        <v>0</v>
      </c>
      <c r="O61" s="13">
        <f>VLOOKUP(A:A,[1]TDSheet!$A:$X,24,0)</f>
        <v>0</v>
      </c>
      <c r="P61" s="13"/>
      <c r="Q61" s="13"/>
      <c r="R61" s="13"/>
      <c r="S61" s="13"/>
      <c r="T61" s="13"/>
      <c r="U61" s="13"/>
      <c r="V61" s="13"/>
      <c r="W61" s="13">
        <f t="shared" si="3"/>
        <v>104.4</v>
      </c>
      <c r="X61" s="15"/>
      <c r="Y61" s="16">
        <f t="shared" si="4"/>
        <v>21.417624521072796</v>
      </c>
      <c r="Z61" s="13">
        <f t="shared" si="5"/>
        <v>11.839080459770114</v>
      </c>
      <c r="AA61" s="13"/>
      <c r="AB61" s="13"/>
      <c r="AC61" s="13">
        <f>VLOOKUP(A:A,[1]TDSheet!$A:$AC,29,0)</f>
        <v>0</v>
      </c>
      <c r="AD61" s="13">
        <f>VLOOKUP(A:A,[1]TDSheet!$A:$AD,30,0)</f>
        <v>107.2</v>
      </c>
      <c r="AE61" s="13">
        <f>VLOOKUP(A:A,[1]TDSheet!$A:$AE,31,0)</f>
        <v>123</v>
      </c>
      <c r="AF61" s="13">
        <f>VLOOKUP(A:A,[1]TDSheet!$A:$AF,32,0)</f>
        <v>162.6</v>
      </c>
      <c r="AG61" s="13">
        <f>VLOOKUP(A:A,[1]TDSheet!$A:$AG,33,0)</f>
        <v>120.8</v>
      </c>
      <c r="AH61" s="13">
        <f>VLOOKUP(A:A,[3]TDSheet!$A:$D,4,0)</f>
        <v>88</v>
      </c>
      <c r="AI61" s="13">
        <f>VLOOKUP(A:A,[1]TDSheet!$A:$AI,35,0)</f>
        <v>0</v>
      </c>
      <c r="AJ61" s="13">
        <f t="shared" si="6"/>
        <v>0</v>
      </c>
      <c r="AK61" s="13"/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142.56299999999999</v>
      </c>
      <c r="D62" s="8">
        <v>310.24700000000001</v>
      </c>
      <c r="E62" s="8">
        <v>236.137</v>
      </c>
      <c r="F62" s="8">
        <v>211.215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3">
        <f>VLOOKUP(A:A,[2]TDSheet!$A:$F,6,0)</f>
        <v>242.17</v>
      </c>
      <c r="K62" s="13">
        <f t="shared" si="2"/>
        <v>-6.032999999999987</v>
      </c>
      <c r="L62" s="13">
        <f>VLOOKUP(A:A,[1]TDSheet!$A:$M,13,0)</f>
        <v>0</v>
      </c>
      <c r="M62" s="13">
        <f>VLOOKUP(A:A,[1]TDSheet!$A:$N,14,0)</f>
        <v>30</v>
      </c>
      <c r="N62" s="13">
        <f>VLOOKUP(A:A,[1]TDSheet!$A:$O,15,0)</f>
        <v>50</v>
      </c>
      <c r="O62" s="13">
        <f>VLOOKUP(A:A,[1]TDSheet!$A:$X,24,0)</f>
        <v>50</v>
      </c>
      <c r="P62" s="13"/>
      <c r="Q62" s="13"/>
      <c r="R62" s="13"/>
      <c r="S62" s="13"/>
      <c r="T62" s="13"/>
      <c r="U62" s="13"/>
      <c r="V62" s="13"/>
      <c r="W62" s="13">
        <f t="shared" si="3"/>
        <v>47.227400000000003</v>
      </c>
      <c r="X62" s="15">
        <v>40</v>
      </c>
      <c r="Y62" s="16">
        <f t="shared" si="4"/>
        <v>8.0719031748518866</v>
      </c>
      <c r="Z62" s="13">
        <f t="shared" si="5"/>
        <v>4.4722978609874771</v>
      </c>
      <c r="AA62" s="13"/>
      <c r="AB62" s="13"/>
      <c r="AC62" s="13">
        <f>VLOOKUP(A:A,[1]TDSheet!$A:$AC,29,0)</f>
        <v>0</v>
      </c>
      <c r="AD62" s="13">
        <f>VLOOKUP(A:A,[1]TDSheet!$A:$AD,30,0)</f>
        <v>163.58420000000001</v>
      </c>
      <c r="AE62" s="13">
        <f>VLOOKUP(A:A,[1]TDSheet!$A:$AE,31,0)</f>
        <v>52.838800000000006</v>
      </c>
      <c r="AF62" s="13">
        <f>VLOOKUP(A:A,[1]TDSheet!$A:$AF,32,0)</f>
        <v>52.894000000000005</v>
      </c>
      <c r="AG62" s="13">
        <f>VLOOKUP(A:A,[1]TDSheet!$A:$AG,33,0)</f>
        <v>57.320399999999992</v>
      </c>
      <c r="AH62" s="13">
        <f>VLOOKUP(A:A,[3]TDSheet!$A:$D,4,0)</f>
        <v>50.985999999999997</v>
      </c>
      <c r="AI62" s="13">
        <f>VLOOKUP(A:A,[1]TDSheet!$A:$AI,35,0)</f>
        <v>0</v>
      </c>
      <c r="AJ62" s="13">
        <f t="shared" si="6"/>
        <v>40</v>
      </c>
      <c r="AK62" s="13"/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12</v>
      </c>
      <c r="C63" s="8">
        <v>1578</v>
      </c>
      <c r="D63" s="8">
        <v>3387</v>
      </c>
      <c r="E63" s="8">
        <v>3219</v>
      </c>
      <c r="F63" s="8">
        <v>1697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3">
        <f>VLOOKUP(A:A,[2]TDSheet!$A:$F,6,0)</f>
        <v>3278</v>
      </c>
      <c r="K63" s="13">
        <f t="shared" si="2"/>
        <v>-59</v>
      </c>
      <c r="L63" s="13">
        <f>VLOOKUP(A:A,[1]TDSheet!$A:$M,13,0)</f>
        <v>300</v>
      </c>
      <c r="M63" s="13">
        <f>VLOOKUP(A:A,[1]TDSheet!$A:$N,14,0)</f>
        <v>500</v>
      </c>
      <c r="N63" s="13">
        <f>VLOOKUP(A:A,[1]TDSheet!$A:$O,15,0)</f>
        <v>600</v>
      </c>
      <c r="O63" s="13">
        <f>VLOOKUP(A:A,[1]TDSheet!$A:$X,24,0)</f>
        <v>700</v>
      </c>
      <c r="P63" s="13"/>
      <c r="Q63" s="13"/>
      <c r="R63" s="13"/>
      <c r="S63" s="13"/>
      <c r="T63" s="13"/>
      <c r="U63" s="13"/>
      <c r="V63" s="13"/>
      <c r="W63" s="13">
        <f t="shared" si="3"/>
        <v>523.79999999999995</v>
      </c>
      <c r="X63" s="15">
        <v>400</v>
      </c>
      <c r="Y63" s="16">
        <f t="shared" si="4"/>
        <v>8.0126002290950744</v>
      </c>
      <c r="Z63" s="13">
        <f t="shared" si="5"/>
        <v>3.2397861779305082</v>
      </c>
      <c r="AA63" s="13"/>
      <c r="AB63" s="13"/>
      <c r="AC63" s="13">
        <f>VLOOKUP(A:A,[1]TDSheet!$A:$AC,29,0)</f>
        <v>600</v>
      </c>
      <c r="AD63" s="13">
        <f>VLOOKUP(A:A,[1]TDSheet!$A:$AD,30,0)</f>
        <v>516.6</v>
      </c>
      <c r="AE63" s="13">
        <f>VLOOKUP(A:A,[1]TDSheet!$A:$AE,31,0)</f>
        <v>648.79999999999995</v>
      </c>
      <c r="AF63" s="13">
        <f>VLOOKUP(A:A,[1]TDSheet!$A:$AF,32,0)</f>
        <v>577.20000000000005</v>
      </c>
      <c r="AG63" s="13">
        <f>VLOOKUP(A:A,[1]TDSheet!$A:$AG,33,0)</f>
        <v>587.6</v>
      </c>
      <c r="AH63" s="13">
        <f>VLOOKUP(A:A,[3]TDSheet!$A:$D,4,0)</f>
        <v>508</v>
      </c>
      <c r="AI63" s="13">
        <f>VLOOKUP(A:A,[1]TDSheet!$A:$AI,35,0)</f>
        <v>0</v>
      </c>
      <c r="AJ63" s="13">
        <f t="shared" si="6"/>
        <v>160</v>
      </c>
      <c r="AK63" s="13"/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1424</v>
      </c>
      <c r="D64" s="8">
        <v>2089</v>
      </c>
      <c r="E64" s="8">
        <v>2215</v>
      </c>
      <c r="F64" s="8">
        <v>1262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2245</v>
      </c>
      <c r="K64" s="13">
        <f t="shared" si="2"/>
        <v>-30</v>
      </c>
      <c r="L64" s="13">
        <f>VLOOKUP(A:A,[1]TDSheet!$A:$M,13,0)</f>
        <v>300</v>
      </c>
      <c r="M64" s="13">
        <f>VLOOKUP(A:A,[1]TDSheet!$A:$N,14,0)</f>
        <v>500</v>
      </c>
      <c r="N64" s="13">
        <f>VLOOKUP(A:A,[1]TDSheet!$A:$O,15,0)</f>
        <v>500</v>
      </c>
      <c r="O64" s="13">
        <f>VLOOKUP(A:A,[1]TDSheet!$A:$X,24,0)</f>
        <v>500</v>
      </c>
      <c r="P64" s="13"/>
      <c r="Q64" s="13"/>
      <c r="R64" s="13"/>
      <c r="S64" s="13"/>
      <c r="T64" s="13"/>
      <c r="U64" s="13"/>
      <c r="V64" s="13"/>
      <c r="W64" s="13">
        <f t="shared" si="3"/>
        <v>443</v>
      </c>
      <c r="X64" s="15">
        <v>500</v>
      </c>
      <c r="Y64" s="16">
        <f t="shared" si="4"/>
        <v>8.0406320541760721</v>
      </c>
      <c r="Z64" s="13">
        <f t="shared" si="5"/>
        <v>2.8487584650112865</v>
      </c>
      <c r="AA64" s="13"/>
      <c r="AB64" s="13"/>
      <c r="AC64" s="13">
        <f>VLOOKUP(A:A,[1]TDSheet!$A:$AC,29,0)</f>
        <v>0</v>
      </c>
      <c r="AD64" s="13">
        <f>VLOOKUP(A:A,[1]TDSheet!$A:$AD,30,0)</f>
        <v>450.8</v>
      </c>
      <c r="AE64" s="13">
        <f>VLOOKUP(A:A,[1]TDSheet!$A:$AE,31,0)</f>
        <v>529.6</v>
      </c>
      <c r="AF64" s="13">
        <f>VLOOKUP(A:A,[1]TDSheet!$A:$AF,32,0)</f>
        <v>483.6</v>
      </c>
      <c r="AG64" s="13">
        <f>VLOOKUP(A:A,[1]TDSheet!$A:$AG,33,0)</f>
        <v>472.8</v>
      </c>
      <c r="AH64" s="13">
        <f>VLOOKUP(A:A,[3]TDSheet!$A:$D,4,0)</f>
        <v>460</v>
      </c>
      <c r="AI64" s="13">
        <f>VLOOKUP(A:A,[1]TDSheet!$A:$AI,35,0)</f>
        <v>0</v>
      </c>
      <c r="AJ64" s="13">
        <f t="shared" si="6"/>
        <v>200</v>
      </c>
      <c r="AK64" s="13"/>
      <c r="AL64" s="13"/>
      <c r="AM64" s="13"/>
    </row>
    <row r="65" spans="1:39" s="1" customFormat="1" ht="21.95" customHeight="1" outlineLevel="1" x14ac:dyDescent="0.2">
      <c r="A65" s="7" t="s">
        <v>68</v>
      </c>
      <c r="B65" s="7" t="s">
        <v>8</v>
      </c>
      <c r="C65" s="8">
        <v>325.358</v>
      </c>
      <c r="D65" s="8">
        <v>517.87</v>
      </c>
      <c r="E65" s="8">
        <v>494.916</v>
      </c>
      <c r="F65" s="8">
        <v>334.69299999999998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3">
        <f>VLOOKUP(A:A,[2]TDSheet!$A:$F,6,0)</f>
        <v>483.94</v>
      </c>
      <c r="K65" s="13">
        <f t="shared" si="2"/>
        <v>10.975999999999999</v>
      </c>
      <c r="L65" s="13">
        <f>VLOOKUP(A:A,[1]TDSheet!$A:$M,13,0)</f>
        <v>0</v>
      </c>
      <c r="M65" s="13">
        <f>VLOOKUP(A:A,[1]TDSheet!$A:$N,14,0)</f>
        <v>200</v>
      </c>
      <c r="N65" s="13">
        <f>VLOOKUP(A:A,[1]TDSheet!$A:$O,15,0)</f>
        <v>160</v>
      </c>
      <c r="O65" s="13">
        <f>VLOOKUP(A:A,[1]TDSheet!$A:$X,24,0)</f>
        <v>0</v>
      </c>
      <c r="P65" s="13"/>
      <c r="Q65" s="13"/>
      <c r="R65" s="13"/>
      <c r="S65" s="13"/>
      <c r="T65" s="13"/>
      <c r="U65" s="13"/>
      <c r="V65" s="13"/>
      <c r="W65" s="13">
        <f t="shared" si="3"/>
        <v>98.983199999999997</v>
      </c>
      <c r="X65" s="15">
        <v>300</v>
      </c>
      <c r="Y65" s="16">
        <f t="shared" si="4"/>
        <v>10.049109343807839</v>
      </c>
      <c r="Z65" s="13">
        <f t="shared" si="5"/>
        <v>3.381311171996864</v>
      </c>
      <c r="AA65" s="13"/>
      <c r="AB65" s="13"/>
      <c r="AC65" s="13">
        <f>VLOOKUP(A:A,[1]TDSheet!$A:$AC,29,0)</f>
        <v>0</v>
      </c>
      <c r="AD65" s="13">
        <f>VLOOKUP(A:A,[1]TDSheet!$A:$AD,30,0)</f>
        <v>99.333399999999997</v>
      </c>
      <c r="AE65" s="13">
        <f>VLOOKUP(A:A,[1]TDSheet!$A:$AE,31,0)</f>
        <v>122.34939999999999</v>
      </c>
      <c r="AF65" s="13">
        <f>VLOOKUP(A:A,[1]TDSheet!$A:$AF,32,0)</f>
        <v>106.08540000000001</v>
      </c>
      <c r="AG65" s="13">
        <f>VLOOKUP(A:A,[1]TDSheet!$A:$AG,33,0)</f>
        <v>108.0094</v>
      </c>
      <c r="AH65" s="13">
        <f>VLOOKUP(A:A,[3]TDSheet!$A:$D,4,0)</f>
        <v>116.568</v>
      </c>
      <c r="AI65" s="13" t="str">
        <f>VLOOKUP(A:A,[1]TDSheet!$A:$AI,35,0)</f>
        <v>вип</v>
      </c>
      <c r="AJ65" s="13">
        <f t="shared" si="6"/>
        <v>300</v>
      </c>
      <c r="AK65" s="13"/>
      <c r="AL65" s="13"/>
      <c r="AM65" s="13"/>
    </row>
    <row r="66" spans="1:39" s="1" customFormat="1" ht="11.1" customHeight="1" outlineLevel="1" x14ac:dyDescent="0.2">
      <c r="A66" s="7" t="s">
        <v>69</v>
      </c>
      <c r="B66" s="7" t="s">
        <v>8</v>
      </c>
      <c r="C66" s="8">
        <v>129.47499999999999</v>
      </c>
      <c r="D66" s="8">
        <v>268.74900000000002</v>
      </c>
      <c r="E66" s="8">
        <v>245.93899999999999</v>
      </c>
      <c r="F66" s="8">
        <v>148.66499999999999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235</v>
      </c>
      <c r="K66" s="13">
        <f t="shared" si="2"/>
        <v>10.938999999999993</v>
      </c>
      <c r="L66" s="13">
        <f>VLOOKUP(A:A,[1]TDSheet!$A:$M,13,0)</f>
        <v>0</v>
      </c>
      <c r="M66" s="13">
        <f>VLOOKUP(A:A,[1]TDSheet!$A:$N,14,0)</f>
        <v>80</v>
      </c>
      <c r="N66" s="13">
        <f>VLOOKUP(A:A,[1]TDSheet!$A:$O,15,0)</f>
        <v>50</v>
      </c>
      <c r="O66" s="13">
        <f>VLOOKUP(A:A,[1]TDSheet!$A:$X,24,0)</f>
        <v>50</v>
      </c>
      <c r="P66" s="13"/>
      <c r="Q66" s="13"/>
      <c r="R66" s="13"/>
      <c r="S66" s="13"/>
      <c r="T66" s="13"/>
      <c r="U66" s="13"/>
      <c r="V66" s="13"/>
      <c r="W66" s="13">
        <f t="shared" si="3"/>
        <v>49.187799999999996</v>
      </c>
      <c r="X66" s="15">
        <v>70</v>
      </c>
      <c r="Y66" s="16">
        <f t="shared" si="4"/>
        <v>8.1049569202119223</v>
      </c>
      <c r="Z66" s="13">
        <f t="shared" si="5"/>
        <v>3.0223957973318587</v>
      </c>
      <c r="AA66" s="13"/>
      <c r="AB66" s="13"/>
      <c r="AC66" s="13">
        <f>VLOOKUP(A:A,[1]TDSheet!$A:$AC,29,0)</f>
        <v>0</v>
      </c>
      <c r="AD66" s="13">
        <f>VLOOKUP(A:A,[1]TDSheet!$A:$AD,30,0)</f>
        <v>49.067999999999998</v>
      </c>
      <c r="AE66" s="13">
        <f>VLOOKUP(A:A,[1]TDSheet!$A:$AE,31,0)</f>
        <v>40.853200000000001</v>
      </c>
      <c r="AF66" s="13">
        <f>VLOOKUP(A:A,[1]TDSheet!$A:$AF,32,0)</f>
        <v>45.351199999999999</v>
      </c>
      <c r="AG66" s="13">
        <f>VLOOKUP(A:A,[1]TDSheet!$A:$AG,33,0)</f>
        <v>51.326199999999993</v>
      </c>
      <c r="AH66" s="13">
        <f>VLOOKUP(A:A,[3]TDSheet!$A:$D,4,0)</f>
        <v>49.667000000000002</v>
      </c>
      <c r="AI66" s="13">
        <f>VLOOKUP(A:A,[1]TDSheet!$A:$AI,35,0)</f>
        <v>0</v>
      </c>
      <c r="AJ66" s="13">
        <f t="shared" si="6"/>
        <v>70</v>
      </c>
      <c r="AK66" s="13"/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1297.0519999999999</v>
      </c>
      <c r="D67" s="8">
        <v>1581.2049999999999</v>
      </c>
      <c r="E67" s="8">
        <v>1801.3620000000001</v>
      </c>
      <c r="F67" s="8">
        <v>1038.0509999999999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1726.33</v>
      </c>
      <c r="K67" s="13">
        <f t="shared" si="2"/>
        <v>75.032000000000153</v>
      </c>
      <c r="L67" s="13">
        <f>VLOOKUP(A:A,[1]TDSheet!$A:$M,13,0)</f>
        <v>300</v>
      </c>
      <c r="M67" s="13">
        <f>VLOOKUP(A:A,[1]TDSheet!$A:$N,14,0)</f>
        <v>300</v>
      </c>
      <c r="N67" s="13">
        <f>VLOOKUP(A:A,[1]TDSheet!$A:$O,15,0)</f>
        <v>400</v>
      </c>
      <c r="O67" s="13">
        <f>VLOOKUP(A:A,[1]TDSheet!$A:$X,24,0)</f>
        <v>400</v>
      </c>
      <c r="P67" s="13"/>
      <c r="Q67" s="13"/>
      <c r="R67" s="13"/>
      <c r="S67" s="13"/>
      <c r="T67" s="13"/>
      <c r="U67" s="13"/>
      <c r="V67" s="13"/>
      <c r="W67" s="13">
        <f t="shared" si="3"/>
        <v>360.2724</v>
      </c>
      <c r="X67" s="15">
        <v>500</v>
      </c>
      <c r="Y67" s="16">
        <f t="shared" si="4"/>
        <v>8.1550820989895421</v>
      </c>
      <c r="Z67" s="13">
        <f t="shared" si="5"/>
        <v>2.8812948202526751</v>
      </c>
      <c r="AA67" s="13"/>
      <c r="AB67" s="13"/>
      <c r="AC67" s="13">
        <f>VLOOKUP(A:A,[1]TDSheet!$A:$AC,29,0)</f>
        <v>0</v>
      </c>
      <c r="AD67" s="13">
        <f>VLOOKUP(A:A,[1]TDSheet!$A:$AD,30,0)</f>
        <v>375.33479999999997</v>
      </c>
      <c r="AE67" s="13">
        <f>VLOOKUP(A:A,[1]TDSheet!$A:$AE,31,0)</f>
        <v>377.1354</v>
      </c>
      <c r="AF67" s="13">
        <f>VLOOKUP(A:A,[1]TDSheet!$A:$AF,32,0)</f>
        <v>404.81299999999999</v>
      </c>
      <c r="AG67" s="13">
        <f>VLOOKUP(A:A,[1]TDSheet!$A:$AG,33,0)</f>
        <v>379.24360000000001</v>
      </c>
      <c r="AH67" s="13">
        <f>VLOOKUP(A:A,[3]TDSheet!$A:$D,4,0)</f>
        <v>320.601</v>
      </c>
      <c r="AI67" s="13" t="str">
        <f>VLOOKUP(A:A,[1]TDSheet!$A:$AI,35,0)</f>
        <v>жц</v>
      </c>
      <c r="AJ67" s="13">
        <f t="shared" si="6"/>
        <v>500</v>
      </c>
      <c r="AK67" s="13"/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168.90700000000001</v>
      </c>
      <c r="D68" s="8">
        <v>297.98599999999999</v>
      </c>
      <c r="E68" s="8">
        <v>287.452</v>
      </c>
      <c r="F68" s="8">
        <v>174.77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272.89999999999998</v>
      </c>
      <c r="K68" s="13">
        <f t="shared" si="2"/>
        <v>14.552000000000021</v>
      </c>
      <c r="L68" s="13">
        <f>VLOOKUP(A:A,[1]TDSheet!$A:$M,13,0)</f>
        <v>0</v>
      </c>
      <c r="M68" s="13">
        <f>VLOOKUP(A:A,[1]TDSheet!$A:$N,14,0)</f>
        <v>60</v>
      </c>
      <c r="N68" s="13">
        <f>VLOOKUP(A:A,[1]TDSheet!$A:$O,15,0)</f>
        <v>60</v>
      </c>
      <c r="O68" s="13">
        <f>VLOOKUP(A:A,[1]TDSheet!$A:$X,24,0)</f>
        <v>90</v>
      </c>
      <c r="P68" s="13"/>
      <c r="Q68" s="13"/>
      <c r="R68" s="13"/>
      <c r="S68" s="13"/>
      <c r="T68" s="13"/>
      <c r="U68" s="13"/>
      <c r="V68" s="13"/>
      <c r="W68" s="13">
        <f t="shared" si="3"/>
        <v>57.490400000000001</v>
      </c>
      <c r="X68" s="15">
        <v>80</v>
      </c>
      <c r="Y68" s="16">
        <f t="shared" si="4"/>
        <v>8.0843062493912026</v>
      </c>
      <c r="Z68" s="13">
        <f t="shared" si="5"/>
        <v>3.0399858063259257</v>
      </c>
      <c r="AA68" s="13"/>
      <c r="AB68" s="13"/>
      <c r="AC68" s="13">
        <f>VLOOKUP(A:A,[1]TDSheet!$A:$AC,29,0)</f>
        <v>0</v>
      </c>
      <c r="AD68" s="13">
        <f>VLOOKUP(A:A,[1]TDSheet!$A:$AD,30,0)</f>
        <v>55.565999999999995</v>
      </c>
      <c r="AE68" s="13">
        <f>VLOOKUP(A:A,[1]TDSheet!$A:$AE,31,0)</f>
        <v>58.0124</v>
      </c>
      <c r="AF68" s="13">
        <f>VLOOKUP(A:A,[1]TDSheet!$A:$AF,32,0)</f>
        <v>57.260199999999998</v>
      </c>
      <c r="AG68" s="13">
        <f>VLOOKUP(A:A,[1]TDSheet!$A:$AG,33,0)</f>
        <v>61.741200000000006</v>
      </c>
      <c r="AH68" s="13">
        <f>VLOOKUP(A:A,[3]TDSheet!$A:$D,4,0)</f>
        <v>60.671999999999997</v>
      </c>
      <c r="AI68" s="13">
        <f>VLOOKUP(A:A,[1]TDSheet!$A:$AI,35,0)</f>
        <v>0</v>
      </c>
      <c r="AJ68" s="13">
        <f t="shared" si="6"/>
        <v>80</v>
      </c>
      <c r="AK68" s="13"/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12</v>
      </c>
      <c r="C69" s="8">
        <v>123</v>
      </c>
      <c r="D69" s="8">
        <v>32</v>
      </c>
      <c r="E69" s="8">
        <v>103</v>
      </c>
      <c r="F69" s="8">
        <v>52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3">
        <f>VLOOKUP(A:A,[2]TDSheet!$A:$F,6,0)</f>
        <v>103</v>
      </c>
      <c r="K69" s="13">
        <f t="shared" si="2"/>
        <v>0</v>
      </c>
      <c r="L69" s="13">
        <f>VLOOKUP(A:A,[1]TDSheet!$A:$M,13,0)</f>
        <v>0</v>
      </c>
      <c r="M69" s="13">
        <f>VLOOKUP(A:A,[1]TDSheet!$A:$N,14,0)</f>
        <v>40</v>
      </c>
      <c r="N69" s="13">
        <f>VLOOKUP(A:A,[1]TDSheet!$A:$O,15,0)</f>
        <v>30</v>
      </c>
      <c r="O69" s="13">
        <f>VLOOKUP(A:A,[1]TDSheet!$A:$X,24,0)</f>
        <v>30</v>
      </c>
      <c r="P69" s="13"/>
      <c r="Q69" s="13"/>
      <c r="R69" s="13"/>
      <c r="S69" s="13"/>
      <c r="T69" s="13"/>
      <c r="U69" s="13"/>
      <c r="V69" s="13"/>
      <c r="W69" s="13">
        <f t="shared" si="3"/>
        <v>20.6</v>
      </c>
      <c r="X69" s="15">
        <v>30</v>
      </c>
      <c r="Y69" s="16">
        <f t="shared" si="4"/>
        <v>8.8349514563106784</v>
      </c>
      <c r="Z69" s="13">
        <f t="shared" si="5"/>
        <v>2.5242718446601939</v>
      </c>
      <c r="AA69" s="13"/>
      <c r="AB69" s="13"/>
      <c r="AC69" s="13">
        <f>VLOOKUP(A:A,[1]TDSheet!$A:$AC,29,0)</f>
        <v>0</v>
      </c>
      <c r="AD69" s="13">
        <f>VLOOKUP(A:A,[1]TDSheet!$A:$AD,30,0)</f>
        <v>21.8</v>
      </c>
      <c r="AE69" s="13">
        <f>VLOOKUP(A:A,[1]TDSheet!$A:$AE,31,0)</f>
        <v>28.2</v>
      </c>
      <c r="AF69" s="13">
        <f>VLOOKUP(A:A,[1]TDSheet!$A:$AF,32,0)</f>
        <v>24.2</v>
      </c>
      <c r="AG69" s="13">
        <f>VLOOKUP(A:A,[1]TDSheet!$A:$AG,33,0)</f>
        <v>20.2</v>
      </c>
      <c r="AH69" s="13">
        <f>VLOOKUP(A:A,[3]TDSheet!$A:$D,4,0)</f>
        <v>12</v>
      </c>
      <c r="AI69" s="13">
        <f>VLOOKUP(A:A,[1]TDSheet!$A:$AI,35,0)</f>
        <v>0</v>
      </c>
      <c r="AJ69" s="13">
        <f t="shared" si="6"/>
        <v>18</v>
      </c>
      <c r="AK69" s="13"/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111</v>
      </c>
      <c r="D70" s="8">
        <v>561</v>
      </c>
      <c r="E70" s="8">
        <v>324</v>
      </c>
      <c r="F70" s="8">
        <v>347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311</v>
      </c>
      <c r="K70" s="13">
        <f t="shared" si="2"/>
        <v>13</v>
      </c>
      <c r="L70" s="13">
        <f>VLOOKUP(A:A,[1]TDSheet!$A:$M,13,0)</f>
        <v>0</v>
      </c>
      <c r="M70" s="13">
        <f>VLOOKUP(A:A,[1]TDSheet!$A:$N,14,0)</f>
        <v>40</v>
      </c>
      <c r="N70" s="13">
        <f>VLOOKUP(A:A,[1]TDSheet!$A:$O,15,0)</f>
        <v>80</v>
      </c>
      <c r="O70" s="13">
        <f>VLOOKUP(A:A,[1]TDSheet!$A:$X,24,0)</f>
        <v>60</v>
      </c>
      <c r="P70" s="13"/>
      <c r="Q70" s="13"/>
      <c r="R70" s="13"/>
      <c r="S70" s="13"/>
      <c r="T70" s="13"/>
      <c r="U70" s="13"/>
      <c r="V70" s="13"/>
      <c r="W70" s="13">
        <f t="shared" si="3"/>
        <v>64.8</v>
      </c>
      <c r="X70" s="15">
        <v>30</v>
      </c>
      <c r="Y70" s="16">
        <f t="shared" si="4"/>
        <v>8.5956790123456788</v>
      </c>
      <c r="Z70" s="13">
        <f t="shared" si="5"/>
        <v>5.3549382716049383</v>
      </c>
      <c r="AA70" s="13"/>
      <c r="AB70" s="13"/>
      <c r="AC70" s="13">
        <f>VLOOKUP(A:A,[1]TDSheet!$A:$AC,29,0)</f>
        <v>0</v>
      </c>
      <c r="AD70" s="13">
        <f>VLOOKUP(A:A,[1]TDSheet!$A:$AD,30,0)</f>
        <v>75.599999999999994</v>
      </c>
      <c r="AE70" s="13">
        <f>VLOOKUP(A:A,[1]TDSheet!$A:$AE,31,0)</f>
        <v>74.599999999999994</v>
      </c>
      <c r="AF70" s="13">
        <f>VLOOKUP(A:A,[1]TDSheet!$A:$AF,32,0)</f>
        <v>66.400000000000006</v>
      </c>
      <c r="AG70" s="13">
        <f>VLOOKUP(A:A,[1]TDSheet!$A:$AG,33,0)</f>
        <v>89.2</v>
      </c>
      <c r="AH70" s="13">
        <f>VLOOKUP(A:A,[3]TDSheet!$A:$D,4,0)</f>
        <v>53</v>
      </c>
      <c r="AI70" s="13" t="str">
        <f>VLOOKUP(A:A,[1]TDSheet!$A:$AI,35,0)</f>
        <v>проддек-ян</v>
      </c>
      <c r="AJ70" s="13">
        <f t="shared" si="6"/>
        <v>18</v>
      </c>
      <c r="AK70" s="13"/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442</v>
      </c>
      <c r="D71" s="8">
        <v>338</v>
      </c>
      <c r="E71" s="8">
        <v>455</v>
      </c>
      <c r="F71" s="8">
        <v>315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436</v>
      </c>
      <c r="K71" s="13">
        <f t="shared" si="2"/>
        <v>19</v>
      </c>
      <c r="L71" s="13">
        <f>VLOOKUP(A:A,[1]TDSheet!$A:$M,13,0)</f>
        <v>0</v>
      </c>
      <c r="M71" s="13">
        <f>VLOOKUP(A:A,[1]TDSheet!$A:$N,14,0)</f>
        <v>90</v>
      </c>
      <c r="N71" s="13">
        <f>VLOOKUP(A:A,[1]TDSheet!$A:$O,15,0)</f>
        <v>100</v>
      </c>
      <c r="O71" s="13">
        <f>VLOOKUP(A:A,[1]TDSheet!$A:$X,24,0)</f>
        <v>130</v>
      </c>
      <c r="P71" s="13"/>
      <c r="Q71" s="13"/>
      <c r="R71" s="13"/>
      <c r="S71" s="13"/>
      <c r="T71" s="13"/>
      <c r="U71" s="13"/>
      <c r="V71" s="13"/>
      <c r="W71" s="13">
        <f t="shared" ref="W71:W108" si="7">(E71-AC71)/5</f>
        <v>91</v>
      </c>
      <c r="X71" s="15">
        <v>150</v>
      </c>
      <c r="Y71" s="16">
        <f t="shared" ref="Y71:Y108" si="8">(F71+L71+M71+N71+O71+X71)/W71</f>
        <v>8.6263736263736259</v>
      </c>
      <c r="Z71" s="13">
        <f t="shared" si="5"/>
        <v>3.4615384615384617</v>
      </c>
      <c r="AA71" s="13"/>
      <c r="AB71" s="13"/>
      <c r="AC71" s="13">
        <f>VLOOKUP(A:A,[1]TDSheet!$A:$AC,29,0)</f>
        <v>0</v>
      </c>
      <c r="AD71" s="13">
        <f>VLOOKUP(A:A,[1]TDSheet!$A:$AD,30,0)</f>
        <v>93</v>
      </c>
      <c r="AE71" s="13">
        <f>VLOOKUP(A:A,[1]TDSheet!$A:$AE,31,0)</f>
        <v>116.6</v>
      </c>
      <c r="AF71" s="13">
        <f>VLOOKUP(A:A,[1]TDSheet!$A:$AF,32,0)</f>
        <v>119.8</v>
      </c>
      <c r="AG71" s="13">
        <f>VLOOKUP(A:A,[1]TDSheet!$A:$AG,33,0)</f>
        <v>101.2</v>
      </c>
      <c r="AH71" s="13">
        <f>VLOOKUP(A:A,[3]TDSheet!$A:$D,4,0)</f>
        <v>105</v>
      </c>
      <c r="AI71" s="13" t="str">
        <f>VLOOKUP(A:A,[1]TDSheet!$A:$AI,35,0)</f>
        <v>проддек-ян</v>
      </c>
      <c r="AJ71" s="13">
        <f t="shared" si="6"/>
        <v>90</v>
      </c>
      <c r="AK71" s="13"/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8</v>
      </c>
      <c r="C72" s="8">
        <v>34.543999999999997</v>
      </c>
      <c r="D72" s="8">
        <v>325.16000000000003</v>
      </c>
      <c r="E72" s="8">
        <v>152.637</v>
      </c>
      <c r="F72" s="8">
        <v>205.77099999999999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3">
        <f>VLOOKUP(A:A,[2]TDSheet!$A:$F,6,0)</f>
        <v>162.102</v>
      </c>
      <c r="K72" s="13">
        <f t="shared" ref="K72:K108" si="9">E72-J72</f>
        <v>-9.4650000000000034</v>
      </c>
      <c r="L72" s="13">
        <f>VLOOKUP(A:A,[1]TDSheet!$A:$M,13,0)</f>
        <v>0</v>
      </c>
      <c r="M72" s="13">
        <f>VLOOKUP(A:A,[1]TDSheet!$A:$N,14,0)</f>
        <v>0</v>
      </c>
      <c r="N72" s="13">
        <f>VLOOKUP(A:A,[1]TDSheet!$A:$O,15,0)</f>
        <v>30</v>
      </c>
      <c r="O72" s="13">
        <f>VLOOKUP(A:A,[1]TDSheet!$A:$X,24,0)</f>
        <v>30</v>
      </c>
      <c r="P72" s="13"/>
      <c r="Q72" s="13"/>
      <c r="R72" s="13"/>
      <c r="S72" s="13"/>
      <c r="T72" s="13"/>
      <c r="U72" s="13"/>
      <c r="V72" s="13"/>
      <c r="W72" s="13">
        <f t="shared" si="7"/>
        <v>30.5274</v>
      </c>
      <c r="X72" s="15">
        <v>20</v>
      </c>
      <c r="Y72" s="16">
        <f t="shared" si="8"/>
        <v>9.3611313115430708</v>
      </c>
      <c r="Z72" s="13">
        <f t="shared" ref="Z72:Z108" si="10">F72/W72</f>
        <v>6.7405347327319056</v>
      </c>
      <c r="AA72" s="13"/>
      <c r="AB72" s="13"/>
      <c r="AC72" s="13">
        <f>VLOOKUP(A:A,[1]TDSheet!$A:$AC,29,0)</f>
        <v>0</v>
      </c>
      <c r="AD72" s="13">
        <f>VLOOKUP(A:A,[1]TDSheet!$A:$AD,30,0)</f>
        <v>30.602399999999999</v>
      </c>
      <c r="AE72" s="13">
        <f>VLOOKUP(A:A,[1]TDSheet!$A:$AE,31,0)</f>
        <v>30.446800000000003</v>
      </c>
      <c r="AF72" s="13">
        <f>VLOOKUP(A:A,[1]TDSheet!$A:$AF,32,0)</f>
        <v>28.325400000000002</v>
      </c>
      <c r="AG72" s="13">
        <f>VLOOKUP(A:A,[1]TDSheet!$A:$AG,33,0)</f>
        <v>43.555399999999999</v>
      </c>
      <c r="AH72" s="13">
        <f>VLOOKUP(A:A,[3]TDSheet!$A:$D,4,0)</f>
        <v>17.974</v>
      </c>
      <c r="AI72" s="13">
        <f>VLOOKUP(A:A,[1]TDSheet!$A:$AI,35,0)</f>
        <v>0</v>
      </c>
      <c r="AJ72" s="13">
        <f t="shared" ref="AJ72:AJ108" si="11">X72*H72</f>
        <v>20</v>
      </c>
      <c r="AK72" s="13"/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12</v>
      </c>
      <c r="C73" s="8">
        <v>415</v>
      </c>
      <c r="D73" s="8">
        <v>645</v>
      </c>
      <c r="E73" s="8">
        <v>706</v>
      </c>
      <c r="F73" s="8">
        <v>336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697</v>
      </c>
      <c r="K73" s="13">
        <f t="shared" si="9"/>
        <v>9</v>
      </c>
      <c r="L73" s="13">
        <f>VLOOKUP(A:A,[1]TDSheet!$A:$M,13,0)</f>
        <v>200</v>
      </c>
      <c r="M73" s="13">
        <f>VLOOKUP(A:A,[1]TDSheet!$A:$N,14,0)</f>
        <v>200</v>
      </c>
      <c r="N73" s="13">
        <f>VLOOKUP(A:A,[1]TDSheet!$A:$O,15,0)</f>
        <v>150</v>
      </c>
      <c r="O73" s="13">
        <f>VLOOKUP(A:A,[1]TDSheet!$A:$X,24,0)</f>
        <v>60</v>
      </c>
      <c r="P73" s="13"/>
      <c r="Q73" s="13"/>
      <c r="R73" s="13"/>
      <c r="S73" s="13"/>
      <c r="T73" s="13"/>
      <c r="U73" s="13"/>
      <c r="V73" s="13"/>
      <c r="W73" s="13">
        <f t="shared" si="7"/>
        <v>141.19999999999999</v>
      </c>
      <c r="X73" s="15">
        <v>200</v>
      </c>
      <c r="Y73" s="16">
        <f t="shared" si="8"/>
        <v>8.116147308781871</v>
      </c>
      <c r="Z73" s="13">
        <f t="shared" si="10"/>
        <v>2.379603399433428</v>
      </c>
      <c r="AA73" s="13"/>
      <c r="AB73" s="13"/>
      <c r="AC73" s="13">
        <f>VLOOKUP(A:A,[1]TDSheet!$A:$AC,29,0)</f>
        <v>0</v>
      </c>
      <c r="AD73" s="13">
        <f>VLOOKUP(A:A,[1]TDSheet!$A:$AD,30,0)</f>
        <v>115.4</v>
      </c>
      <c r="AE73" s="13">
        <f>VLOOKUP(A:A,[1]TDSheet!$A:$AE,31,0)</f>
        <v>146.6</v>
      </c>
      <c r="AF73" s="13">
        <f>VLOOKUP(A:A,[1]TDSheet!$A:$AF,32,0)</f>
        <v>135.4</v>
      </c>
      <c r="AG73" s="13">
        <f>VLOOKUP(A:A,[1]TDSheet!$A:$AG,33,0)</f>
        <v>138.80000000000001</v>
      </c>
      <c r="AH73" s="13">
        <f>VLOOKUP(A:A,[3]TDSheet!$A:$D,4,0)</f>
        <v>152</v>
      </c>
      <c r="AI73" s="13" t="str">
        <f>VLOOKUP(A:A,[1]TDSheet!$A:$AI,35,0)</f>
        <v>проддек-ян</v>
      </c>
      <c r="AJ73" s="13">
        <f t="shared" si="11"/>
        <v>120</v>
      </c>
      <c r="AK73" s="13"/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448</v>
      </c>
      <c r="D74" s="8">
        <v>1132</v>
      </c>
      <c r="E74" s="8">
        <v>995</v>
      </c>
      <c r="F74" s="8">
        <v>567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971</v>
      </c>
      <c r="K74" s="13">
        <f t="shared" si="9"/>
        <v>24</v>
      </c>
      <c r="L74" s="13">
        <f>VLOOKUP(A:A,[1]TDSheet!$A:$M,13,0)</f>
        <v>150</v>
      </c>
      <c r="M74" s="13">
        <f>VLOOKUP(A:A,[1]TDSheet!$A:$N,14,0)</f>
        <v>200</v>
      </c>
      <c r="N74" s="13">
        <f>VLOOKUP(A:A,[1]TDSheet!$A:$O,15,0)</f>
        <v>200</v>
      </c>
      <c r="O74" s="13">
        <f>VLOOKUP(A:A,[1]TDSheet!$A:$X,24,0)</f>
        <v>100</v>
      </c>
      <c r="P74" s="13"/>
      <c r="Q74" s="13"/>
      <c r="R74" s="13"/>
      <c r="S74" s="13"/>
      <c r="T74" s="13"/>
      <c r="U74" s="13"/>
      <c r="V74" s="13"/>
      <c r="W74" s="13">
        <f t="shared" si="7"/>
        <v>199</v>
      </c>
      <c r="X74" s="15">
        <v>300</v>
      </c>
      <c r="Y74" s="16">
        <f t="shared" si="8"/>
        <v>7.6231155778894468</v>
      </c>
      <c r="Z74" s="13">
        <f t="shared" si="10"/>
        <v>2.8492462311557789</v>
      </c>
      <c r="AA74" s="13"/>
      <c r="AB74" s="13"/>
      <c r="AC74" s="13">
        <f>VLOOKUP(A:A,[1]TDSheet!$A:$AC,29,0)</f>
        <v>0</v>
      </c>
      <c r="AD74" s="13">
        <f>VLOOKUP(A:A,[1]TDSheet!$A:$AD,30,0)</f>
        <v>192.2</v>
      </c>
      <c r="AE74" s="13">
        <f>VLOOKUP(A:A,[1]TDSheet!$A:$AE,31,0)</f>
        <v>198</v>
      </c>
      <c r="AF74" s="13">
        <f>VLOOKUP(A:A,[1]TDSheet!$A:$AF,32,0)</f>
        <v>187.2</v>
      </c>
      <c r="AG74" s="13">
        <f>VLOOKUP(A:A,[1]TDSheet!$A:$AG,33,0)</f>
        <v>208.2</v>
      </c>
      <c r="AH74" s="13">
        <f>VLOOKUP(A:A,[3]TDSheet!$A:$D,4,0)</f>
        <v>243</v>
      </c>
      <c r="AI74" s="13" t="str">
        <f>VLOOKUP(A:A,[1]TDSheet!$A:$AI,35,0)</f>
        <v>оконч</v>
      </c>
      <c r="AJ74" s="13">
        <f t="shared" si="11"/>
        <v>180</v>
      </c>
      <c r="AK74" s="13"/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591</v>
      </c>
      <c r="D75" s="8">
        <v>386</v>
      </c>
      <c r="E75" s="8">
        <v>604</v>
      </c>
      <c r="F75" s="8">
        <v>345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3">
        <f>VLOOKUP(A:A,[2]TDSheet!$A:$F,6,0)</f>
        <v>632</v>
      </c>
      <c r="K75" s="13">
        <f t="shared" si="9"/>
        <v>-28</v>
      </c>
      <c r="L75" s="13">
        <f>VLOOKUP(A:A,[1]TDSheet!$A:$M,13,0)</f>
        <v>100</v>
      </c>
      <c r="M75" s="13">
        <f>VLOOKUP(A:A,[1]TDSheet!$A:$N,14,0)</f>
        <v>150</v>
      </c>
      <c r="N75" s="13">
        <f>VLOOKUP(A:A,[1]TDSheet!$A:$O,15,0)</f>
        <v>120</v>
      </c>
      <c r="O75" s="13">
        <f>VLOOKUP(A:A,[1]TDSheet!$A:$X,24,0)</f>
        <v>200</v>
      </c>
      <c r="P75" s="13"/>
      <c r="Q75" s="13"/>
      <c r="R75" s="13"/>
      <c r="S75" s="13"/>
      <c r="T75" s="13"/>
      <c r="U75" s="13"/>
      <c r="V75" s="13"/>
      <c r="W75" s="13">
        <f t="shared" si="7"/>
        <v>120.8</v>
      </c>
      <c r="X75" s="15">
        <v>100</v>
      </c>
      <c r="Y75" s="16">
        <f t="shared" si="8"/>
        <v>8.402317880794703</v>
      </c>
      <c r="Z75" s="13">
        <f t="shared" si="10"/>
        <v>2.8559602649006623</v>
      </c>
      <c r="AA75" s="13"/>
      <c r="AB75" s="13"/>
      <c r="AC75" s="13">
        <f>VLOOKUP(A:A,[1]TDSheet!$A:$AC,29,0)</f>
        <v>0</v>
      </c>
      <c r="AD75" s="13">
        <f>VLOOKUP(A:A,[1]TDSheet!$A:$AD,30,0)</f>
        <v>127.6</v>
      </c>
      <c r="AE75" s="13">
        <f>VLOOKUP(A:A,[1]TDSheet!$A:$AE,31,0)</f>
        <v>146</v>
      </c>
      <c r="AF75" s="13">
        <f>VLOOKUP(A:A,[1]TDSheet!$A:$AF,32,0)</f>
        <v>152.19999999999999</v>
      </c>
      <c r="AG75" s="13">
        <f>VLOOKUP(A:A,[1]TDSheet!$A:$AG,33,0)</f>
        <v>127</v>
      </c>
      <c r="AH75" s="13">
        <f>VLOOKUP(A:A,[3]TDSheet!$A:$D,4,0)</f>
        <v>93</v>
      </c>
      <c r="AI75" s="13">
        <f>VLOOKUP(A:A,[1]TDSheet!$A:$AI,35,0)</f>
        <v>0</v>
      </c>
      <c r="AJ75" s="13">
        <f t="shared" si="11"/>
        <v>40</v>
      </c>
      <c r="AK75" s="13"/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459</v>
      </c>
      <c r="D76" s="8">
        <v>635</v>
      </c>
      <c r="E76" s="8">
        <v>701</v>
      </c>
      <c r="F76" s="8">
        <v>366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3">
        <f>VLOOKUP(A:A,[2]TDSheet!$A:$F,6,0)</f>
        <v>727</v>
      </c>
      <c r="K76" s="13">
        <f t="shared" si="9"/>
        <v>-26</v>
      </c>
      <c r="L76" s="13">
        <f>VLOOKUP(A:A,[1]TDSheet!$A:$M,13,0)</f>
        <v>100</v>
      </c>
      <c r="M76" s="13">
        <f>VLOOKUP(A:A,[1]TDSheet!$A:$N,14,0)</f>
        <v>120</v>
      </c>
      <c r="N76" s="13">
        <f>VLOOKUP(A:A,[1]TDSheet!$A:$O,15,0)</f>
        <v>120</v>
      </c>
      <c r="O76" s="13">
        <f>VLOOKUP(A:A,[1]TDSheet!$A:$X,24,0)</f>
        <v>200</v>
      </c>
      <c r="P76" s="13"/>
      <c r="Q76" s="13"/>
      <c r="R76" s="13"/>
      <c r="S76" s="13"/>
      <c r="T76" s="13"/>
      <c r="U76" s="13"/>
      <c r="V76" s="13"/>
      <c r="W76" s="13">
        <f t="shared" si="7"/>
        <v>140.19999999999999</v>
      </c>
      <c r="X76" s="15">
        <v>200</v>
      </c>
      <c r="Y76" s="16">
        <f t="shared" si="8"/>
        <v>7.8887303851640516</v>
      </c>
      <c r="Z76" s="13">
        <f t="shared" si="10"/>
        <v>2.61055634807418</v>
      </c>
      <c r="AA76" s="13"/>
      <c r="AB76" s="13"/>
      <c r="AC76" s="13">
        <f>VLOOKUP(A:A,[1]TDSheet!$A:$AC,29,0)</f>
        <v>0</v>
      </c>
      <c r="AD76" s="13">
        <f>VLOOKUP(A:A,[1]TDSheet!$A:$AD,30,0)</f>
        <v>136.6</v>
      </c>
      <c r="AE76" s="13">
        <f>VLOOKUP(A:A,[1]TDSheet!$A:$AE,31,0)</f>
        <v>157.80000000000001</v>
      </c>
      <c r="AF76" s="13">
        <f>VLOOKUP(A:A,[1]TDSheet!$A:$AF,32,0)</f>
        <v>143.19999999999999</v>
      </c>
      <c r="AG76" s="13">
        <f>VLOOKUP(A:A,[1]TDSheet!$A:$AG,33,0)</f>
        <v>140.19999999999999</v>
      </c>
      <c r="AH76" s="13">
        <f>VLOOKUP(A:A,[3]TDSheet!$A:$D,4,0)</f>
        <v>152</v>
      </c>
      <c r="AI76" s="13">
        <f>VLOOKUP(A:A,[1]TDSheet!$A:$AI,35,0)</f>
        <v>0</v>
      </c>
      <c r="AJ76" s="13">
        <f t="shared" si="11"/>
        <v>66</v>
      </c>
      <c r="AK76" s="13"/>
      <c r="AL76" s="13"/>
      <c r="AM76" s="13"/>
    </row>
    <row r="77" spans="1:39" s="1" customFormat="1" ht="21.95" customHeight="1" outlineLevel="1" x14ac:dyDescent="0.2">
      <c r="A77" s="7" t="s">
        <v>80</v>
      </c>
      <c r="B77" s="7" t="s">
        <v>12</v>
      </c>
      <c r="C77" s="8">
        <v>210</v>
      </c>
      <c r="D77" s="8">
        <v>709</v>
      </c>
      <c r="E77" s="8">
        <v>579</v>
      </c>
      <c r="F77" s="8">
        <v>337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3">
        <f>VLOOKUP(A:A,[2]TDSheet!$A:$F,6,0)</f>
        <v>584</v>
      </c>
      <c r="K77" s="13">
        <f t="shared" si="9"/>
        <v>-5</v>
      </c>
      <c r="L77" s="13">
        <f>VLOOKUP(A:A,[1]TDSheet!$A:$M,13,0)</f>
        <v>0</v>
      </c>
      <c r="M77" s="13">
        <f>VLOOKUP(A:A,[1]TDSheet!$A:$N,14,0)</f>
        <v>120</v>
      </c>
      <c r="N77" s="13">
        <f>VLOOKUP(A:A,[1]TDSheet!$A:$O,15,0)</f>
        <v>110</v>
      </c>
      <c r="O77" s="13">
        <f>VLOOKUP(A:A,[1]TDSheet!$A:$X,24,0)</f>
        <v>250</v>
      </c>
      <c r="P77" s="13"/>
      <c r="Q77" s="13"/>
      <c r="R77" s="13"/>
      <c r="S77" s="13"/>
      <c r="T77" s="13"/>
      <c r="U77" s="13"/>
      <c r="V77" s="13"/>
      <c r="W77" s="13">
        <f t="shared" si="7"/>
        <v>115.8</v>
      </c>
      <c r="X77" s="15">
        <v>100</v>
      </c>
      <c r="Y77" s="16">
        <f t="shared" si="8"/>
        <v>7.918825561312608</v>
      </c>
      <c r="Z77" s="13">
        <f t="shared" si="10"/>
        <v>2.9101899827288431</v>
      </c>
      <c r="AA77" s="13"/>
      <c r="AB77" s="13"/>
      <c r="AC77" s="13">
        <f>VLOOKUP(A:A,[1]TDSheet!$A:$AC,29,0)</f>
        <v>0</v>
      </c>
      <c r="AD77" s="13">
        <f>VLOOKUP(A:A,[1]TDSheet!$A:$AD,30,0)</f>
        <v>124.4</v>
      </c>
      <c r="AE77" s="13">
        <f>VLOOKUP(A:A,[1]TDSheet!$A:$AE,31,0)</f>
        <v>127</v>
      </c>
      <c r="AF77" s="13">
        <f>VLOOKUP(A:A,[1]TDSheet!$A:$AF,32,0)</f>
        <v>102</v>
      </c>
      <c r="AG77" s="13">
        <f>VLOOKUP(A:A,[1]TDSheet!$A:$AG,33,0)</f>
        <v>121.2</v>
      </c>
      <c r="AH77" s="13">
        <f>VLOOKUP(A:A,[3]TDSheet!$A:$D,4,0)</f>
        <v>76</v>
      </c>
      <c r="AI77" s="13">
        <f>VLOOKUP(A:A,[1]TDSheet!$A:$AI,35,0)</f>
        <v>0</v>
      </c>
      <c r="AJ77" s="13">
        <f t="shared" si="11"/>
        <v>35</v>
      </c>
      <c r="AK77" s="13"/>
      <c r="AL77" s="13"/>
      <c r="AM77" s="13"/>
    </row>
    <row r="78" spans="1:39" s="1" customFormat="1" ht="11.1" customHeight="1" outlineLevel="1" x14ac:dyDescent="0.2">
      <c r="A78" s="7" t="s">
        <v>81</v>
      </c>
      <c r="B78" s="7" t="s">
        <v>12</v>
      </c>
      <c r="C78" s="8">
        <v>230</v>
      </c>
      <c r="D78" s="8">
        <v>280</v>
      </c>
      <c r="E78" s="8">
        <v>343</v>
      </c>
      <c r="F78" s="8">
        <v>159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3">
        <f>VLOOKUP(A:A,[2]TDSheet!$A:$F,6,0)</f>
        <v>345</v>
      </c>
      <c r="K78" s="13">
        <f t="shared" si="9"/>
        <v>-2</v>
      </c>
      <c r="L78" s="13">
        <f>VLOOKUP(A:A,[1]TDSheet!$A:$M,13,0)</f>
        <v>60</v>
      </c>
      <c r="M78" s="13">
        <f>VLOOKUP(A:A,[1]TDSheet!$A:$N,14,0)</f>
        <v>120</v>
      </c>
      <c r="N78" s="13">
        <f>VLOOKUP(A:A,[1]TDSheet!$A:$O,15,0)</f>
        <v>100</v>
      </c>
      <c r="O78" s="13">
        <f>VLOOKUP(A:A,[1]TDSheet!$A:$X,24,0)</f>
        <v>60</v>
      </c>
      <c r="P78" s="13"/>
      <c r="Q78" s="13"/>
      <c r="R78" s="13"/>
      <c r="S78" s="13"/>
      <c r="T78" s="13"/>
      <c r="U78" s="13"/>
      <c r="V78" s="13"/>
      <c r="W78" s="13">
        <f t="shared" si="7"/>
        <v>68.599999999999994</v>
      </c>
      <c r="X78" s="15">
        <v>250</v>
      </c>
      <c r="Y78" s="16">
        <f t="shared" si="8"/>
        <v>10.918367346938776</v>
      </c>
      <c r="Z78" s="13">
        <f t="shared" si="10"/>
        <v>2.3177842565597668</v>
      </c>
      <c r="AA78" s="13"/>
      <c r="AB78" s="13"/>
      <c r="AC78" s="13">
        <f>VLOOKUP(A:A,[1]TDSheet!$A:$AC,29,0)</f>
        <v>0</v>
      </c>
      <c r="AD78" s="13">
        <f>VLOOKUP(A:A,[1]TDSheet!$A:$AD,30,0)</f>
        <v>85.8</v>
      </c>
      <c r="AE78" s="13">
        <f>VLOOKUP(A:A,[1]TDSheet!$A:$AE,31,0)</f>
        <v>84.2</v>
      </c>
      <c r="AF78" s="13">
        <f>VLOOKUP(A:A,[1]TDSheet!$A:$AF,32,0)</f>
        <v>45.6</v>
      </c>
      <c r="AG78" s="13">
        <f>VLOOKUP(A:A,[1]TDSheet!$A:$AG,33,0)</f>
        <v>65.400000000000006</v>
      </c>
      <c r="AH78" s="13">
        <f>VLOOKUP(A:A,[3]TDSheet!$A:$D,4,0)</f>
        <v>118</v>
      </c>
      <c r="AI78" s="13" t="str">
        <f>VLOOKUP(A:A,[1]TDSheet!$A:$AI,35,0)</f>
        <v>ябдек-ян</v>
      </c>
      <c r="AJ78" s="13">
        <f t="shared" si="11"/>
        <v>82.5</v>
      </c>
      <c r="AK78" s="13"/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2569</v>
      </c>
      <c r="D79" s="8">
        <v>3340</v>
      </c>
      <c r="E79" s="8">
        <v>3918</v>
      </c>
      <c r="F79" s="8">
        <v>1960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3">
        <f>VLOOKUP(A:A,[2]TDSheet!$A:$F,6,0)</f>
        <v>3955</v>
      </c>
      <c r="K79" s="13">
        <f t="shared" si="9"/>
        <v>-37</v>
      </c>
      <c r="L79" s="13">
        <f>VLOOKUP(A:A,[1]TDSheet!$A:$M,13,0)</f>
        <v>1000</v>
      </c>
      <c r="M79" s="13">
        <f>VLOOKUP(A:A,[1]TDSheet!$A:$N,14,0)</f>
        <v>1000</v>
      </c>
      <c r="N79" s="13">
        <f>VLOOKUP(A:A,[1]TDSheet!$A:$O,15,0)</f>
        <v>1000</v>
      </c>
      <c r="O79" s="13">
        <f>VLOOKUP(A:A,[1]TDSheet!$A:$X,24,0)</f>
        <v>1200</v>
      </c>
      <c r="P79" s="13"/>
      <c r="Q79" s="13"/>
      <c r="R79" s="13"/>
      <c r="S79" s="13"/>
      <c r="T79" s="13"/>
      <c r="U79" s="13"/>
      <c r="V79" s="13"/>
      <c r="W79" s="13">
        <f t="shared" si="7"/>
        <v>783.6</v>
      </c>
      <c r="X79" s="15">
        <v>2000</v>
      </c>
      <c r="Y79" s="16">
        <f t="shared" si="8"/>
        <v>10.413476263399694</v>
      </c>
      <c r="Z79" s="13">
        <f t="shared" si="10"/>
        <v>2.5012761613067891</v>
      </c>
      <c r="AA79" s="13"/>
      <c r="AB79" s="13"/>
      <c r="AC79" s="13">
        <f>VLOOKUP(A:A,[1]TDSheet!$A:$AC,29,0)</f>
        <v>0</v>
      </c>
      <c r="AD79" s="13">
        <f>VLOOKUP(A:A,[1]TDSheet!$A:$AD,30,0)</f>
        <v>1151.2</v>
      </c>
      <c r="AE79" s="13">
        <f>VLOOKUP(A:A,[1]TDSheet!$A:$AE,31,0)</f>
        <v>1078.5999999999999</v>
      </c>
      <c r="AF79" s="13">
        <f>VLOOKUP(A:A,[1]TDSheet!$A:$AF,32,0)</f>
        <v>822.6</v>
      </c>
      <c r="AG79" s="13">
        <f>VLOOKUP(A:A,[1]TDSheet!$A:$AG,33,0)</f>
        <v>800</v>
      </c>
      <c r="AH79" s="13">
        <f>VLOOKUP(A:A,[3]TDSheet!$A:$D,4,0)</f>
        <v>792</v>
      </c>
      <c r="AI79" s="13" t="str">
        <f>VLOOKUP(A:A,[1]TDSheet!$A:$AI,35,0)</f>
        <v>жк,ябдек-ян</v>
      </c>
      <c r="AJ79" s="13">
        <f t="shared" si="11"/>
        <v>700</v>
      </c>
      <c r="AK79" s="13"/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6937</v>
      </c>
      <c r="D80" s="8">
        <v>11675</v>
      </c>
      <c r="E80" s="8">
        <v>12150</v>
      </c>
      <c r="F80" s="8">
        <v>6311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3">
        <f>VLOOKUP(A:A,[2]TDSheet!$A:$F,6,0)</f>
        <v>12291</v>
      </c>
      <c r="K80" s="13">
        <f t="shared" si="9"/>
        <v>-141</v>
      </c>
      <c r="L80" s="13">
        <f>VLOOKUP(A:A,[1]TDSheet!$A:$M,13,0)</f>
        <v>1500</v>
      </c>
      <c r="M80" s="13">
        <f>VLOOKUP(A:A,[1]TDSheet!$A:$N,14,0)</f>
        <v>2000</v>
      </c>
      <c r="N80" s="13">
        <f>VLOOKUP(A:A,[1]TDSheet!$A:$O,15,0)</f>
        <v>2400</v>
      </c>
      <c r="O80" s="13">
        <f>VLOOKUP(A:A,[1]TDSheet!$A:$X,24,0)</f>
        <v>3200</v>
      </c>
      <c r="P80" s="13"/>
      <c r="Q80" s="13"/>
      <c r="R80" s="13"/>
      <c r="S80" s="13"/>
      <c r="T80" s="13"/>
      <c r="U80" s="13"/>
      <c r="V80" s="13"/>
      <c r="W80" s="13">
        <f t="shared" si="7"/>
        <v>2430</v>
      </c>
      <c r="X80" s="15">
        <v>3100</v>
      </c>
      <c r="Y80" s="16">
        <f t="shared" si="8"/>
        <v>7.6176954732510289</v>
      </c>
      <c r="Z80" s="13">
        <f t="shared" si="10"/>
        <v>2.5971193415637859</v>
      </c>
      <c r="AA80" s="13"/>
      <c r="AB80" s="13"/>
      <c r="AC80" s="13">
        <f>VLOOKUP(A:A,[1]TDSheet!$A:$AC,29,0)</f>
        <v>0</v>
      </c>
      <c r="AD80" s="13">
        <f>VLOOKUP(A:A,[1]TDSheet!$A:$AD,30,0)</f>
        <v>2090</v>
      </c>
      <c r="AE80" s="13">
        <f>VLOOKUP(A:A,[1]TDSheet!$A:$AE,31,0)</f>
        <v>2393</v>
      </c>
      <c r="AF80" s="13">
        <f>VLOOKUP(A:A,[1]TDSheet!$A:$AF,32,0)</f>
        <v>2449</v>
      </c>
      <c r="AG80" s="13">
        <f>VLOOKUP(A:A,[1]TDSheet!$A:$AG,33,0)</f>
        <v>2519.4</v>
      </c>
      <c r="AH80" s="13">
        <f>VLOOKUP(A:A,[3]TDSheet!$A:$D,4,0)</f>
        <v>2717</v>
      </c>
      <c r="AI80" s="13" t="str">
        <f>VLOOKUP(A:A,[1]TDSheet!$A:$AI,35,0)</f>
        <v>жк, яоконч</v>
      </c>
      <c r="AJ80" s="13">
        <f t="shared" si="11"/>
        <v>1085</v>
      </c>
      <c r="AK80" s="13"/>
      <c r="AL80" s="13"/>
      <c r="AM80" s="13"/>
    </row>
    <row r="81" spans="1:39" s="1" customFormat="1" ht="21.95" customHeight="1" outlineLevel="1" x14ac:dyDescent="0.2">
      <c r="A81" s="7" t="s">
        <v>84</v>
      </c>
      <c r="B81" s="7" t="s">
        <v>12</v>
      </c>
      <c r="C81" s="8">
        <v>304</v>
      </c>
      <c r="D81" s="8">
        <v>452</v>
      </c>
      <c r="E81" s="8">
        <v>443</v>
      </c>
      <c r="F81" s="8">
        <v>302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3">
        <f>VLOOKUP(A:A,[2]TDSheet!$A:$F,6,0)</f>
        <v>456</v>
      </c>
      <c r="K81" s="13">
        <f t="shared" si="9"/>
        <v>-13</v>
      </c>
      <c r="L81" s="13">
        <f>VLOOKUP(A:A,[1]TDSheet!$A:$M,13,0)</f>
        <v>0</v>
      </c>
      <c r="M81" s="13">
        <f>VLOOKUP(A:A,[1]TDSheet!$A:$N,14,0)</f>
        <v>130</v>
      </c>
      <c r="N81" s="13">
        <f>VLOOKUP(A:A,[1]TDSheet!$A:$O,15,0)</f>
        <v>100</v>
      </c>
      <c r="O81" s="13">
        <f>VLOOKUP(A:A,[1]TDSheet!$A:$X,24,0)</f>
        <v>120</v>
      </c>
      <c r="P81" s="13"/>
      <c r="Q81" s="13"/>
      <c r="R81" s="13"/>
      <c r="S81" s="13"/>
      <c r="T81" s="13"/>
      <c r="U81" s="13"/>
      <c r="V81" s="13"/>
      <c r="W81" s="13">
        <f t="shared" si="7"/>
        <v>88.6</v>
      </c>
      <c r="X81" s="15">
        <v>100</v>
      </c>
      <c r="Y81" s="16">
        <f t="shared" si="8"/>
        <v>8.4875846501128667</v>
      </c>
      <c r="Z81" s="13">
        <f t="shared" si="10"/>
        <v>3.4085778781038378</v>
      </c>
      <c r="AA81" s="13"/>
      <c r="AB81" s="13"/>
      <c r="AC81" s="13">
        <f>VLOOKUP(A:A,[1]TDSheet!$A:$AC,29,0)</f>
        <v>0</v>
      </c>
      <c r="AD81" s="13">
        <f>VLOOKUP(A:A,[1]TDSheet!$A:$AD,30,0)</f>
        <v>99.6</v>
      </c>
      <c r="AE81" s="13">
        <f>VLOOKUP(A:A,[1]TDSheet!$A:$AE,31,0)</f>
        <v>121.4</v>
      </c>
      <c r="AF81" s="13">
        <f>VLOOKUP(A:A,[1]TDSheet!$A:$AF,32,0)</f>
        <v>100.6</v>
      </c>
      <c r="AG81" s="13">
        <f>VLOOKUP(A:A,[1]TDSheet!$A:$AG,33,0)</f>
        <v>99.8</v>
      </c>
      <c r="AH81" s="13">
        <f>VLOOKUP(A:A,[3]TDSheet!$A:$D,4,0)</f>
        <v>76</v>
      </c>
      <c r="AI81" s="13">
        <f>VLOOKUP(A:A,[1]TDSheet!$A:$AI,35,0)</f>
        <v>0</v>
      </c>
      <c r="AJ81" s="13">
        <f t="shared" si="11"/>
        <v>40</v>
      </c>
      <c r="AK81" s="13"/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8</v>
      </c>
      <c r="C82" s="8">
        <v>221.86099999999999</v>
      </c>
      <c r="D82" s="8">
        <v>67.364999999999995</v>
      </c>
      <c r="E82" s="8">
        <v>242.947</v>
      </c>
      <c r="F82" s="8">
        <v>34.774000000000001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3">
        <f>VLOOKUP(A:A,[2]TDSheet!$A:$F,6,0)</f>
        <v>257.61099999999999</v>
      </c>
      <c r="K82" s="13">
        <f t="shared" si="9"/>
        <v>-14.663999999999987</v>
      </c>
      <c r="L82" s="13">
        <f>VLOOKUP(A:A,[1]TDSheet!$A:$M,13,0)</f>
        <v>100</v>
      </c>
      <c r="M82" s="13">
        <f>VLOOKUP(A:A,[1]TDSheet!$A:$N,14,0)</f>
        <v>150</v>
      </c>
      <c r="N82" s="13">
        <f>VLOOKUP(A:A,[1]TDSheet!$A:$O,15,0)</f>
        <v>80</v>
      </c>
      <c r="O82" s="13">
        <f>VLOOKUP(A:A,[1]TDSheet!$A:$X,24,0)</f>
        <v>30</v>
      </c>
      <c r="P82" s="13"/>
      <c r="Q82" s="13"/>
      <c r="R82" s="13"/>
      <c r="S82" s="13"/>
      <c r="T82" s="13"/>
      <c r="U82" s="13"/>
      <c r="V82" s="13"/>
      <c r="W82" s="13">
        <f t="shared" si="7"/>
        <v>48.589399999999998</v>
      </c>
      <c r="X82" s="15">
        <v>30</v>
      </c>
      <c r="Y82" s="16">
        <f t="shared" si="8"/>
        <v>8.7421124772069625</v>
      </c>
      <c r="Z82" s="13">
        <f t="shared" si="10"/>
        <v>0.71567049603411448</v>
      </c>
      <c r="AA82" s="13"/>
      <c r="AB82" s="13"/>
      <c r="AC82" s="13">
        <f>VLOOKUP(A:A,[1]TDSheet!$A:$AC,29,0)</f>
        <v>0</v>
      </c>
      <c r="AD82" s="13">
        <f>VLOOKUP(A:A,[1]TDSheet!$A:$AD,30,0)</f>
        <v>46.625799999999998</v>
      </c>
      <c r="AE82" s="13">
        <f>VLOOKUP(A:A,[1]TDSheet!$A:$AE,31,0)</f>
        <v>55.484400000000008</v>
      </c>
      <c r="AF82" s="13">
        <f>VLOOKUP(A:A,[1]TDSheet!$A:$AF,32,0)</f>
        <v>46.699799999999996</v>
      </c>
      <c r="AG82" s="13">
        <f>VLOOKUP(A:A,[1]TDSheet!$A:$AG,33,0)</f>
        <v>35.939</v>
      </c>
      <c r="AH82" s="13">
        <f>VLOOKUP(A:A,[3]TDSheet!$A:$D,4,0)</f>
        <v>25.837</v>
      </c>
      <c r="AI82" s="13">
        <f>VLOOKUP(A:A,[1]TDSheet!$A:$AI,35,0)</f>
        <v>0</v>
      </c>
      <c r="AJ82" s="13">
        <f t="shared" si="11"/>
        <v>30</v>
      </c>
      <c r="AK82" s="13"/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12</v>
      </c>
      <c r="C83" s="8">
        <v>279</v>
      </c>
      <c r="D83" s="8">
        <v>169</v>
      </c>
      <c r="E83" s="8">
        <v>324</v>
      </c>
      <c r="F83" s="8">
        <v>115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3">
        <f>VLOOKUP(A:A,[2]TDSheet!$A:$F,6,0)</f>
        <v>333</v>
      </c>
      <c r="K83" s="13">
        <f t="shared" si="9"/>
        <v>-9</v>
      </c>
      <c r="L83" s="13">
        <f>VLOOKUP(A:A,[1]TDSheet!$A:$M,13,0)</f>
        <v>100</v>
      </c>
      <c r="M83" s="13">
        <f>VLOOKUP(A:A,[1]TDSheet!$A:$N,14,0)</f>
        <v>200</v>
      </c>
      <c r="N83" s="13">
        <f>VLOOKUP(A:A,[1]TDSheet!$A:$O,15,0)</f>
        <v>150</v>
      </c>
      <c r="O83" s="13">
        <f>VLOOKUP(A:A,[1]TDSheet!$A:$X,24,0)</f>
        <v>0</v>
      </c>
      <c r="P83" s="13"/>
      <c r="Q83" s="13"/>
      <c r="R83" s="13"/>
      <c r="S83" s="13"/>
      <c r="T83" s="13"/>
      <c r="U83" s="13"/>
      <c r="V83" s="13"/>
      <c r="W83" s="13">
        <f t="shared" si="7"/>
        <v>64.8</v>
      </c>
      <c r="X83" s="15">
        <v>150</v>
      </c>
      <c r="Y83" s="16">
        <f t="shared" si="8"/>
        <v>11.033950617283951</v>
      </c>
      <c r="Z83" s="13">
        <f t="shared" si="10"/>
        <v>1.7746913580246915</v>
      </c>
      <c r="AA83" s="13"/>
      <c r="AB83" s="13"/>
      <c r="AC83" s="13">
        <f>VLOOKUP(A:A,[1]TDSheet!$A:$AC,29,0)</f>
        <v>0</v>
      </c>
      <c r="AD83" s="13">
        <f>VLOOKUP(A:A,[1]TDSheet!$A:$AD,30,0)</f>
        <v>53</v>
      </c>
      <c r="AE83" s="13">
        <f>VLOOKUP(A:A,[1]TDSheet!$A:$AE,31,0)</f>
        <v>60.8</v>
      </c>
      <c r="AF83" s="13">
        <f>VLOOKUP(A:A,[1]TDSheet!$A:$AF,32,0)</f>
        <v>69.599999999999994</v>
      </c>
      <c r="AG83" s="13">
        <f>VLOOKUP(A:A,[1]TDSheet!$A:$AG,33,0)</f>
        <v>54</v>
      </c>
      <c r="AH83" s="13">
        <f>VLOOKUP(A:A,[3]TDSheet!$A:$D,4,0)</f>
        <v>36</v>
      </c>
      <c r="AI83" s="13" t="str">
        <f>VLOOKUP(A:A,[1]TDSheet!$A:$AI,35,0)</f>
        <v>ябдек-ян</v>
      </c>
      <c r="AJ83" s="13">
        <f t="shared" si="11"/>
        <v>60</v>
      </c>
      <c r="AK83" s="13"/>
      <c r="AL83" s="13"/>
      <c r="AM83" s="13"/>
    </row>
    <row r="84" spans="1:39" s="1" customFormat="1" ht="11.1" customHeight="1" outlineLevel="1" x14ac:dyDescent="0.2">
      <c r="A84" s="7" t="s">
        <v>87</v>
      </c>
      <c r="B84" s="7" t="s">
        <v>8</v>
      </c>
      <c r="C84" s="8">
        <v>53.901000000000003</v>
      </c>
      <c r="D84" s="8">
        <v>72.393000000000001</v>
      </c>
      <c r="E84" s="8">
        <v>83.816000000000003</v>
      </c>
      <c r="F84" s="8">
        <v>39.567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81.650000000000006</v>
      </c>
      <c r="K84" s="13">
        <f t="shared" si="9"/>
        <v>2.1659999999999968</v>
      </c>
      <c r="L84" s="13">
        <f>VLOOKUP(A:A,[1]TDSheet!$A:$M,13,0)</f>
        <v>0</v>
      </c>
      <c r="M84" s="13">
        <f>VLOOKUP(A:A,[1]TDSheet!$A:$N,14,0)</f>
        <v>40</v>
      </c>
      <c r="N84" s="13">
        <f>VLOOKUP(A:A,[1]TDSheet!$A:$O,15,0)</f>
        <v>20</v>
      </c>
      <c r="O84" s="13">
        <f>VLOOKUP(A:A,[1]TDSheet!$A:$X,24,0)</f>
        <v>10</v>
      </c>
      <c r="P84" s="13"/>
      <c r="Q84" s="13"/>
      <c r="R84" s="13"/>
      <c r="S84" s="13"/>
      <c r="T84" s="13"/>
      <c r="U84" s="13"/>
      <c r="V84" s="13"/>
      <c r="W84" s="13">
        <f t="shared" si="7"/>
        <v>16.763200000000001</v>
      </c>
      <c r="X84" s="15">
        <v>50</v>
      </c>
      <c r="Y84" s="16">
        <f t="shared" si="8"/>
        <v>9.5188866087620507</v>
      </c>
      <c r="Z84" s="13">
        <f t="shared" si="10"/>
        <v>2.3603488594063182</v>
      </c>
      <c r="AA84" s="13"/>
      <c r="AB84" s="13"/>
      <c r="AC84" s="13">
        <f>VLOOKUP(A:A,[1]TDSheet!$A:$AC,29,0)</f>
        <v>0</v>
      </c>
      <c r="AD84" s="13">
        <f>VLOOKUP(A:A,[1]TDSheet!$A:$AD,30,0)</f>
        <v>14.442400000000001</v>
      </c>
      <c r="AE84" s="13">
        <f>VLOOKUP(A:A,[1]TDSheet!$A:$AE,31,0)</f>
        <v>13.562200000000001</v>
      </c>
      <c r="AF84" s="13">
        <f>VLOOKUP(A:A,[1]TDSheet!$A:$AF,32,0)</f>
        <v>14.677000000000001</v>
      </c>
      <c r="AG84" s="13">
        <f>VLOOKUP(A:A,[1]TDSheet!$A:$AG,33,0)</f>
        <v>14.702199999999999</v>
      </c>
      <c r="AH84" s="13">
        <f>VLOOKUP(A:A,[3]TDSheet!$A:$D,4,0)</f>
        <v>20.225999999999999</v>
      </c>
      <c r="AI84" s="13">
        <f>VLOOKUP(A:A,[1]TDSheet!$A:$AI,35,0)</f>
        <v>0</v>
      </c>
      <c r="AJ84" s="13">
        <f t="shared" si="11"/>
        <v>50</v>
      </c>
      <c r="AK84" s="13"/>
      <c r="AL84" s="13"/>
      <c r="AM84" s="13"/>
    </row>
    <row r="85" spans="1:39" s="1" customFormat="1" ht="21.95" customHeight="1" outlineLevel="1" x14ac:dyDescent="0.2">
      <c r="A85" s="7" t="s">
        <v>88</v>
      </c>
      <c r="B85" s="7" t="s">
        <v>12</v>
      </c>
      <c r="C85" s="8">
        <v>521</v>
      </c>
      <c r="D85" s="8">
        <v>363</v>
      </c>
      <c r="E85" s="8">
        <v>551</v>
      </c>
      <c r="F85" s="8">
        <v>324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3">
        <f>VLOOKUP(A:A,[2]TDSheet!$A:$F,6,0)</f>
        <v>564</v>
      </c>
      <c r="K85" s="13">
        <f t="shared" si="9"/>
        <v>-13</v>
      </c>
      <c r="L85" s="13">
        <f>VLOOKUP(A:A,[1]TDSheet!$A:$M,13,0)</f>
        <v>0</v>
      </c>
      <c r="M85" s="13">
        <f>VLOOKUP(A:A,[1]TDSheet!$A:$N,14,0)</f>
        <v>200</v>
      </c>
      <c r="N85" s="13">
        <f>VLOOKUP(A:A,[1]TDSheet!$A:$O,15,0)</f>
        <v>100</v>
      </c>
      <c r="O85" s="13">
        <f>VLOOKUP(A:A,[1]TDSheet!$A:$X,24,0)</f>
        <v>150</v>
      </c>
      <c r="P85" s="13"/>
      <c r="Q85" s="13"/>
      <c r="R85" s="13"/>
      <c r="S85" s="13"/>
      <c r="T85" s="13"/>
      <c r="U85" s="13"/>
      <c r="V85" s="13"/>
      <c r="W85" s="13">
        <f t="shared" si="7"/>
        <v>110.2</v>
      </c>
      <c r="X85" s="15">
        <v>200</v>
      </c>
      <c r="Y85" s="16">
        <f t="shared" si="8"/>
        <v>8.8384754990925583</v>
      </c>
      <c r="Z85" s="13">
        <f t="shared" si="10"/>
        <v>2.9401088929219599</v>
      </c>
      <c r="AA85" s="13"/>
      <c r="AB85" s="13"/>
      <c r="AC85" s="13">
        <f>VLOOKUP(A:A,[1]TDSheet!$A:$AC,29,0)</f>
        <v>0</v>
      </c>
      <c r="AD85" s="13">
        <f>VLOOKUP(A:A,[1]TDSheet!$A:$AD,30,0)</f>
        <v>112.8</v>
      </c>
      <c r="AE85" s="13">
        <f>VLOOKUP(A:A,[1]TDSheet!$A:$AE,31,0)</f>
        <v>137.4</v>
      </c>
      <c r="AF85" s="13">
        <f>VLOOKUP(A:A,[1]TDSheet!$A:$AF,32,0)</f>
        <v>129.80000000000001</v>
      </c>
      <c r="AG85" s="13">
        <f>VLOOKUP(A:A,[1]TDSheet!$A:$AG,33,0)</f>
        <v>114.2</v>
      </c>
      <c r="AH85" s="13">
        <f>VLOOKUP(A:A,[3]TDSheet!$A:$D,4,0)</f>
        <v>110</v>
      </c>
      <c r="AI85" s="13">
        <f>VLOOKUP(A:A,[1]TDSheet!$A:$AI,35,0)</f>
        <v>0</v>
      </c>
      <c r="AJ85" s="13">
        <f t="shared" si="11"/>
        <v>40</v>
      </c>
      <c r="AK85" s="13"/>
      <c r="AL85" s="13"/>
      <c r="AM85" s="13"/>
    </row>
    <row r="86" spans="1:39" s="1" customFormat="1" ht="11.1" customHeight="1" outlineLevel="1" x14ac:dyDescent="0.2">
      <c r="A86" s="7" t="s">
        <v>89</v>
      </c>
      <c r="B86" s="7" t="s">
        <v>12</v>
      </c>
      <c r="C86" s="8">
        <v>169</v>
      </c>
      <c r="D86" s="8">
        <v>342</v>
      </c>
      <c r="E86" s="8">
        <v>326</v>
      </c>
      <c r="F86" s="8">
        <v>185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3">
        <f>VLOOKUP(A:A,[2]TDSheet!$A:$F,6,0)</f>
        <v>324</v>
      </c>
      <c r="K86" s="13">
        <f t="shared" si="9"/>
        <v>2</v>
      </c>
      <c r="L86" s="13">
        <f>VLOOKUP(A:A,[1]TDSheet!$A:$M,13,0)</f>
        <v>60</v>
      </c>
      <c r="M86" s="13">
        <f>VLOOKUP(A:A,[1]TDSheet!$A:$N,14,0)</f>
        <v>60</v>
      </c>
      <c r="N86" s="13">
        <f>VLOOKUP(A:A,[1]TDSheet!$A:$O,15,0)</f>
        <v>80</v>
      </c>
      <c r="O86" s="13">
        <f>VLOOKUP(A:A,[1]TDSheet!$A:$X,24,0)</f>
        <v>50</v>
      </c>
      <c r="P86" s="13"/>
      <c r="Q86" s="13"/>
      <c r="R86" s="13"/>
      <c r="S86" s="13"/>
      <c r="T86" s="13"/>
      <c r="U86" s="13"/>
      <c r="V86" s="13"/>
      <c r="W86" s="13">
        <f t="shared" si="7"/>
        <v>65.2</v>
      </c>
      <c r="X86" s="15">
        <v>100</v>
      </c>
      <c r="Y86" s="16">
        <f t="shared" si="8"/>
        <v>8.205521472392638</v>
      </c>
      <c r="Z86" s="13">
        <f t="shared" si="10"/>
        <v>2.8374233128834354</v>
      </c>
      <c r="AA86" s="13"/>
      <c r="AB86" s="13"/>
      <c r="AC86" s="13">
        <f>VLOOKUP(A:A,[1]TDSheet!$A:$AC,29,0)</f>
        <v>0</v>
      </c>
      <c r="AD86" s="13">
        <f>VLOOKUP(A:A,[1]TDSheet!$A:$AD,30,0)</f>
        <v>49.6</v>
      </c>
      <c r="AE86" s="13">
        <f>VLOOKUP(A:A,[1]TDSheet!$A:$AE,31,0)</f>
        <v>65.400000000000006</v>
      </c>
      <c r="AF86" s="13">
        <f>VLOOKUP(A:A,[1]TDSheet!$A:$AF,32,0)</f>
        <v>64</v>
      </c>
      <c r="AG86" s="13">
        <f>VLOOKUP(A:A,[1]TDSheet!$A:$AG,33,0)</f>
        <v>67.599999999999994</v>
      </c>
      <c r="AH86" s="13">
        <f>VLOOKUP(A:A,[3]TDSheet!$A:$D,4,0)</f>
        <v>82</v>
      </c>
      <c r="AI86" s="13">
        <f>VLOOKUP(A:A,[1]TDSheet!$A:$AI,35,0)</f>
        <v>0</v>
      </c>
      <c r="AJ86" s="13">
        <f t="shared" si="11"/>
        <v>30</v>
      </c>
      <c r="AK86" s="13"/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8</v>
      </c>
      <c r="C87" s="8">
        <v>352.82</v>
      </c>
      <c r="D87" s="8">
        <v>416.55</v>
      </c>
      <c r="E87" s="8">
        <v>427.51499999999999</v>
      </c>
      <c r="F87" s="8">
        <v>341.005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425.04</v>
      </c>
      <c r="K87" s="13">
        <f t="shared" si="9"/>
        <v>2.4749999999999659</v>
      </c>
      <c r="L87" s="13">
        <f>VLOOKUP(A:A,[1]TDSheet!$A:$M,13,0)</f>
        <v>0</v>
      </c>
      <c r="M87" s="13">
        <f>VLOOKUP(A:A,[1]TDSheet!$A:$N,14,0)</f>
        <v>100</v>
      </c>
      <c r="N87" s="13">
        <f>VLOOKUP(A:A,[1]TDSheet!$A:$O,15,0)</f>
        <v>100</v>
      </c>
      <c r="O87" s="13">
        <f>VLOOKUP(A:A,[1]TDSheet!$A:$X,24,0)</f>
        <v>60</v>
      </c>
      <c r="P87" s="13"/>
      <c r="Q87" s="13"/>
      <c r="R87" s="13"/>
      <c r="S87" s="13"/>
      <c r="T87" s="13"/>
      <c r="U87" s="13"/>
      <c r="V87" s="13"/>
      <c r="W87" s="13">
        <f t="shared" si="7"/>
        <v>85.503</v>
      </c>
      <c r="X87" s="15">
        <v>100</v>
      </c>
      <c r="Y87" s="16">
        <f t="shared" si="8"/>
        <v>8.1986012186706905</v>
      </c>
      <c r="Z87" s="13">
        <f t="shared" si="10"/>
        <v>3.988222635463083</v>
      </c>
      <c r="AA87" s="13"/>
      <c r="AB87" s="13"/>
      <c r="AC87" s="13">
        <f>VLOOKUP(A:A,[1]TDSheet!$A:$AC,29,0)</f>
        <v>0</v>
      </c>
      <c r="AD87" s="13">
        <f>VLOOKUP(A:A,[1]TDSheet!$A:$AD,30,0)</f>
        <v>78.1708</v>
      </c>
      <c r="AE87" s="13">
        <f>VLOOKUP(A:A,[1]TDSheet!$A:$AE,31,0)</f>
        <v>98.722000000000008</v>
      </c>
      <c r="AF87" s="13">
        <f>VLOOKUP(A:A,[1]TDSheet!$A:$AF,32,0)</f>
        <v>105.10060000000001</v>
      </c>
      <c r="AG87" s="13">
        <f>VLOOKUP(A:A,[1]TDSheet!$A:$AG,33,0)</f>
        <v>98.945000000000007</v>
      </c>
      <c r="AH87" s="13">
        <f>VLOOKUP(A:A,[3]TDSheet!$A:$D,4,0)</f>
        <v>87.484999999999999</v>
      </c>
      <c r="AI87" s="13">
        <f>VLOOKUP(A:A,[1]TDSheet!$A:$AI,35,0)</f>
        <v>0</v>
      </c>
      <c r="AJ87" s="13">
        <f t="shared" si="11"/>
        <v>100</v>
      </c>
      <c r="AK87" s="13"/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2718.4630000000002</v>
      </c>
      <c r="D88" s="8">
        <v>3657.962</v>
      </c>
      <c r="E88" s="8">
        <v>3934.6840000000002</v>
      </c>
      <c r="F88" s="8">
        <v>2348.9549999999999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4040.1239999999998</v>
      </c>
      <c r="K88" s="13">
        <f t="shared" si="9"/>
        <v>-105.4399999999996</v>
      </c>
      <c r="L88" s="13">
        <f>VLOOKUP(A:A,[1]TDSheet!$A:$M,13,0)</f>
        <v>700</v>
      </c>
      <c r="M88" s="13">
        <f>VLOOKUP(A:A,[1]TDSheet!$A:$N,14,0)</f>
        <v>700</v>
      </c>
      <c r="N88" s="13">
        <f>VLOOKUP(A:A,[1]TDSheet!$A:$O,15,0)</f>
        <v>1000</v>
      </c>
      <c r="O88" s="13">
        <f>VLOOKUP(A:A,[1]TDSheet!$A:$X,24,0)</f>
        <v>1000</v>
      </c>
      <c r="P88" s="13"/>
      <c r="Q88" s="13"/>
      <c r="R88" s="13"/>
      <c r="S88" s="13"/>
      <c r="T88" s="13"/>
      <c r="U88" s="13"/>
      <c r="V88" s="13"/>
      <c r="W88" s="13">
        <f t="shared" si="7"/>
        <v>786.93680000000006</v>
      </c>
      <c r="X88" s="15">
        <v>800</v>
      </c>
      <c r="Y88" s="16">
        <f t="shared" si="8"/>
        <v>8.3220850772260224</v>
      </c>
      <c r="Z88" s="13">
        <f t="shared" si="10"/>
        <v>2.9849347495249932</v>
      </c>
      <c r="AA88" s="13"/>
      <c r="AB88" s="13"/>
      <c r="AC88" s="13">
        <f>VLOOKUP(A:A,[1]TDSheet!$A:$AC,29,0)</f>
        <v>0</v>
      </c>
      <c r="AD88" s="13">
        <f>VLOOKUP(A:A,[1]TDSheet!$A:$AD,30,0)</f>
        <v>988.82339999999999</v>
      </c>
      <c r="AE88" s="13">
        <f>VLOOKUP(A:A,[1]TDSheet!$A:$AE,31,0)</f>
        <v>849.73719999999992</v>
      </c>
      <c r="AF88" s="13">
        <f>VLOOKUP(A:A,[1]TDSheet!$A:$AF,32,0)</f>
        <v>865.69299999999998</v>
      </c>
      <c r="AG88" s="13">
        <f>VLOOKUP(A:A,[1]TDSheet!$A:$AG,33,0)</f>
        <v>842.12599999999998</v>
      </c>
      <c r="AH88" s="13">
        <f>VLOOKUP(A:A,[3]TDSheet!$A:$D,4,0)</f>
        <v>761.529</v>
      </c>
      <c r="AI88" s="13">
        <f>VLOOKUP(A:A,[1]TDSheet!$A:$AI,35,0)</f>
        <v>0</v>
      </c>
      <c r="AJ88" s="13">
        <f t="shared" si="11"/>
        <v>800</v>
      </c>
      <c r="AK88" s="13"/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3375.6289999999999</v>
      </c>
      <c r="D89" s="8">
        <v>6517.0569999999998</v>
      </c>
      <c r="E89" s="8">
        <v>6469.7430000000004</v>
      </c>
      <c r="F89" s="8">
        <v>3358.248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6595.0240000000003</v>
      </c>
      <c r="K89" s="13">
        <f t="shared" si="9"/>
        <v>-125.28099999999995</v>
      </c>
      <c r="L89" s="13">
        <f>VLOOKUP(A:A,[1]TDSheet!$A:$M,13,0)</f>
        <v>1300</v>
      </c>
      <c r="M89" s="13">
        <f>VLOOKUP(A:A,[1]TDSheet!$A:$N,14,0)</f>
        <v>1500</v>
      </c>
      <c r="N89" s="13">
        <f>VLOOKUP(A:A,[1]TDSheet!$A:$O,15,0)</f>
        <v>1400</v>
      </c>
      <c r="O89" s="13">
        <f>VLOOKUP(A:A,[1]TDSheet!$A:$X,24,0)</f>
        <v>1600</v>
      </c>
      <c r="P89" s="13"/>
      <c r="Q89" s="13"/>
      <c r="R89" s="13"/>
      <c r="S89" s="13"/>
      <c r="T89" s="13"/>
      <c r="U89" s="13"/>
      <c r="V89" s="13"/>
      <c r="W89" s="13">
        <f t="shared" si="7"/>
        <v>1293.9486000000002</v>
      </c>
      <c r="X89" s="15">
        <v>1200</v>
      </c>
      <c r="Y89" s="16">
        <f t="shared" si="8"/>
        <v>8.0051464177170555</v>
      </c>
      <c r="Z89" s="13">
        <f t="shared" si="10"/>
        <v>2.5953488415227617</v>
      </c>
      <c r="AA89" s="13"/>
      <c r="AB89" s="13"/>
      <c r="AC89" s="13">
        <f>VLOOKUP(A:A,[1]TDSheet!$A:$AC,29,0)</f>
        <v>0</v>
      </c>
      <c r="AD89" s="13">
        <f>VLOOKUP(A:A,[1]TDSheet!$A:$AD,30,0)</f>
        <v>1028.5565999999999</v>
      </c>
      <c r="AE89" s="13">
        <f>VLOOKUP(A:A,[1]TDSheet!$A:$AE,31,0)</f>
        <v>1122.0304000000001</v>
      </c>
      <c r="AF89" s="13">
        <f>VLOOKUP(A:A,[1]TDSheet!$A:$AF,32,0)</f>
        <v>1250.9821999999999</v>
      </c>
      <c r="AG89" s="13">
        <f>VLOOKUP(A:A,[1]TDSheet!$A:$AG,33,0)</f>
        <v>1312.6374000000001</v>
      </c>
      <c r="AH89" s="13">
        <f>VLOOKUP(A:A,[3]TDSheet!$A:$D,4,0)</f>
        <v>1175.7</v>
      </c>
      <c r="AI89" s="13" t="str">
        <f>VLOOKUP(A:A,[1]TDSheet!$A:$AI,35,0)</f>
        <v>проддек-ян</v>
      </c>
      <c r="AJ89" s="13">
        <f t="shared" si="11"/>
        <v>1200</v>
      </c>
      <c r="AK89" s="13"/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3911.73</v>
      </c>
      <c r="D90" s="8">
        <v>5228.607</v>
      </c>
      <c r="E90" s="8">
        <v>5945.6809999999996</v>
      </c>
      <c r="F90" s="8">
        <v>3121.9430000000002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6054.7610000000004</v>
      </c>
      <c r="K90" s="13">
        <f t="shared" si="9"/>
        <v>-109.08000000000084</v>
      </c>
      <c r="L90" s="13">
        <f>VLOOKUP(A:A,[1]TDSheet!$A:$M,13,0)</f>
        <v>1000</v>
      </c>
      <c r="M90" s="13">
        <f>VLOOKUP(A:A,[1]TDSheet!$A:$N,14,0)</f>
        <v>1800</v>
      </c>
      <c r="N90" s="13">
        <f>VLOOKUP(A:A,[1]TDSheet!$A:$O,15,0)</f>
        <v>2100</v>
      </c>
      <c r="O90" s="13">
        <f>VLOOKUP(A:A,[1]TDSheet!$A:$X,24,0)</f>
        <v>1100</v>
      </c>
      <c r="P90" s="13"/>
      <c r="Q90" s="13"/>
      <c r="R90" s="13"/>
      <c r="S90" s="13"/>
      <c r="T90" s="13"/>
      <c r="U90" s="13"/>
      <c r="V90" s="13"/>
      <c r="W90" s="13">
        <f t="shared" si="7"/>
        <v>1189.1361999999999</v>
      </c>
      <c r="X90" s="15">
        <v>800</v>
      </c>
      <c r="Y90" s="16">
        <f t="shared" si="8"/>
        <v>8.3438238613877864</v>
      </c>
      <c r="Z90" s="13">
        <f t="shared" si="10"/>
        <v>2.6253872348684704</v>
      </c>
      <c r="AA90" s="13"/>
      <c r="AB90" s="13"/>
      <c r="AC90" s="13">
        <f>VLOOKUP(A:A,[1]TDSheet!$A:$AC,29,0)</f>
        <v>0</v>
      </c>
      <c r="AD90" s="13">
        <f>VLOOKUP(A:A,[1]TDSheet!$A:$AD,30,0)</f>
        <v>1549.0896</v>
      </c>
      <c r="AE90" s="13">
        <f>VLOOKUP(A:A,[1]TDSheet!$A:$AE,31,0)</f>
        <v>1357.0478000000001</v>
      </c>
      <c r="AF90" s="13">
        <f>VLOOKUP(A:A,[1]TDSheet!$A:$AF,32,0)</f>
        <v>1260.2991999999999</v>
      </c>
      <c r="AG90" s="13">
        <f>VLOOKUP(A:A,[1]TDSheet!$A:$AG,33,0)</f>
        <v>1221.019</v>
      </c>
      <c r="AH90" s="13">
        <f>VLOOKUP(A:A,[3]TDSheet!$A:$D,4,0)</f>
        <v>1060.5440000000001</v>
      </c>
      <c r="AI90" s="13" t="str">
        <f>VLOOKUP(A:A,[1]TDSheet!$A:$AI,35,0)</f>
        <v>жк,ябдек-ян</v>
      </c>
      <c r="AJ90" s="13">
        <f t="shared" si="11"/>
        <v>800</v>
      </c>
      <c r="AK90" s="13"/>
      <c r="AL90" s="13"/>
      <c r="AM90" s="13"/>
    </row>
    <row r="91" spans="1:39" s="1" customFormat="1" ht="21.95" customHeight="1" outlineLevel="1" x14ac:dyDescent="0.2">
      <c r="A91" s="7" t="s">
        <v>94</v>
      </c>
      <c r="B91" s="7" t="s">
        <v>8</v>
      </c>
      <c r="C91" s="8">
        <v>118.622</v>
      </c>
      <c r="D91" s="8">
        <v>167.64</v>
      </c>
      <c r="E91" s="8">
        <v>156.26400000000001</v>
      </c>
      <c r="F91" s="8">
        <v>121.182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166.4</v>
      </c>
      <c r="K91" s="13">
        <f t="shared" si="9"/>
        <v>-10.135999999999996</v>
      </c>
      <c r="L91" s="13">
        <f>VLOOKUP(A:A,[1]TDSheet!$A:$M,13,0)</f>
        <v>0</v>
      </c>
      <c r="M91" s="13">
        <f>VLOOKUP(A:A,[1]TDSheet!$A:$N,14,0)</f>
        <v>0</v>
      </c>
      <c r="N91" s="13">
        <f>VLOOKUP(A:A,[1]TDSheet!$A:$O,15,0)</f>
        <v>50</v>
      </c>
      <c r="O91" s="13">
        <f>VLOOKUP(A:A,[1]TDSheet!$A:$X,24,0)</f>
        <v>30</v>
      </c>
      <c r="P91" s="13"/>
      <c r="Q91" s="13"/>
      <c r="R91" s="13"/>
      <c r="S91" s="13"/>
      <c r="T91" s="13"/>
      <c r="U91" s="13"/>
      <c r="V91" s="13"/>
      <c r="W91" s="13">
        <f t="shared" si="7"/>
        <v>31.252800000000001</v>
      </c>
      <c r="X91" s="15">
        <v>70</v>
      </c>
      <c r="Y91" s="16">
        <f t="shared" si="8"/>
        <v>8.6770465366303178</v>
      </c>
      <c r="Z91" s="13">
        <f t="shared" si="10"/>
        <v>3.8774765780986025</v>
      </c>
      <c r="AA91" s="13"/>
      <c r="AB91" s="13"/>
      <c r="AC91" s="13">
        <f>VLOOKUP(A:A,[1]TDSheet!$A:$AC,29,0)</f>
        <v>0</v>
      </c>
      <c r="AD91" s="13">
        <f>VLOOKUP(A:A,[1]TDSheet!$A:$AD,30,0)</f>
        <v>41.135199999999998</v>
      </c>
      <c r="AE91" s="13">
        <f>VLOOKUP(A:A,[1]TDSheet!$A:$AE,31,0)</f>
        <v>41.445</v>
      </c>
      <c r="AF91" s="13">
        <f>VLOOKUP(A:A,[1]TDSheet!$A:$AF,32,0)</f>
        <v>36.643000000000001</v>
      </c>
      <c r="AG91" s="13">
        <f>VLOOKUP(A:A,[1]TDSheet!$A:$AG,33,0)</f>
        <v>41.180399999999999</v>
      </c>
      <c r="AH91" s="13">
        <f>VLOOKUP(A:A,[3]TDSheet!$A:$D,4,0)</f>
        <v>35.290999999999997</v>
      </c>
      <c r="AI91" s="13">
        <f>VLOOKUP(A:A,[1]TDSheet!$A:$AI,35,0)</f>
        <v>0</v>
      </c>
      <c r="AJ91" s="13">
        <f t="shared" si="11"/>
        <v>70</v>
      </c>
      <c r="AK91" s="13"/>
      <c r="AL91" s="13"/>
      <c r="AM91" s="13"/>
    </row>
    <row r="92" spans="1:39" s="1" customFormat="1" ht="11.1" customHeight="1" outlineLevel="1" x14ac:dyDescent="0.2">
      <c r="A92" s="7" t="s">
        <v>95</v>
      </c>
      <c r="B92" s="7" t="s">
        <v>12</v>
      </c>
      <c r="C92" s="8">
        <v>53</v>
      </c>
      <c r="D92" s="8">
        <v>154</v>
      </c>
      <c r="E92" s="8">
        <v>197</v>
      </c>
      <c r="F92" s="8">
        <v>7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3">
        <f>VLOOKUP(A:A,[2]TDSheet!$A:$F,6,0)</f>
        <v>213</v>
      </c>
      <c r="K92" s="13">
        <f t="shared" si="9"/>
        <v>-16</v>
      </c>
      <c r="L92" s="13">
        <f>VLOOKUP(A:A,[1]TDSheet!$A:$M,13,0)</f>
        <v>0</v>
      </c>
      <c r="M92" s="13">
        <f>VLOOKUP(A:A,[1]TDSheet!$A:$N,14,0)</f>
        <v>250</v>
      </c>
      <c r="N92" s="13">
        <f>VLOOKUP(A:A,[1]TDSheet!$A:$O,15,0)</f>
        <v>100</v>
      </c>
      <c r="O92" s="13">
        <f>VLOOKUP(A:A,[1]TDSheet!$A:$X,24,0)</f>
        <v>0</v>
      </c>
      <c r="P92" s="13"/>
      <c r="Q92" s="13"/>
      <c r="R92" s="13"/>
      <c r="S92" s="13"/>
      <c r="T92" s="13"/>
      <c r="U92" s="13"/>
      <c r="V92" s="13"/>
      <c r="W92" s="13">
        <f t="shared" si="7"/>
        <v>39.4</v>
      </c>
      <c r="X92" s="15">
        <v>50</v>
      </c>
      <c r="Y92" s="16">
        <f t="shared" si="8"/>
        <v>10.329949238578681</v>
      </c>
      <c r="Z92" s="13">
        <f t="shared" si="10"/>
        <v>0.17766497461928935</v>
      </c>
      <c r="AA92" s="13"/>
      <c r="AB92" s="13"/>
      <c r="AC92" s="13">
        <f>VLOOKUP(A:A,[1]TDSheet!$A:$AC,29,0)</f>
        <v>0</v>
      </c>
      <c r="AD92" s="13">
        <f>VLOOKUP(A:A,[1]TDSheet!$A:$AD,30,0)</f>
        <v>24.4</v>
      </c>
      <c r="AE92" s="13">
        <f>VLOOKUP(A:A,[1]TDSheet!$A:$AE,31,0)</f>
        <v>35.4</v>
      </c>
      <c r="AF92" s="13">
        <f>VLOOKUP(A:A,[1]TDSheet!$A:$AF,32,0)</f>
        <v>22.2</v>
      </c>
      <c r="AG92" s="13">
        <f>VLOOKUP(A:A,[1]TDSheet!$A:$AG,33,0)</f>
        <v>26</v>
      </c>
      <c r="AH92" s="13">
        <f>VLOOKUP(A:A,[3]TDSheet!$A:$D,4,0)</f>
        <v>33</v>
      </c>
      <c r="AI92" s="13">
        <f>VLOOKUP(A:A,[1]TDSheet!$A:$AI,35,0)</f>
        <v>0</v>
      </c>
      <c r="AJ92" s="13">
        <f t="shared" si="11"/>
        <v>25</v>
      </c>
      <c r="AK92" s="13"/>
      <c r="AL92" s="13"/>
      <c r="AM92" s="13"/>
    </row>
    <row r="93" spans="1:39" s="1" customFormat="1" ht="11.1" customHeight="1" outlineLevel="1" x14ac:dyDescent="0.2">
      <c r="A93" s="21" t="s">
        <v>96</v>
      </c>
      <c r="B93" s="7" t="s">
        <v>8</v>
      </c>
      <c r="C93" s="8">
        <v>0.98299999999999998</v>
      </c>
      <c r="D93" s="8">
        <v>71.697999999999993</v>
      </c>
      <c r="E93" s="8">
        <v>7.3840000000000003</v>
      </c>
      <c r="F93" s="8">
        <v>65.296999999999997</v>
      </c>
      <c r="G93" s="1" t="str">
        <f>VLOOKUP(A:A,[1]TDSheet!$A:$G,7,0)</f>
        <v>выв2611</v>
      </c>
      <c r="H93" s="1">
        <f>VLOOKUP(A:A,[1]TDSheet!$A:$H,8,0)</f>
        <v>0</v>
      </c>
      <c r="I93" s="1" t="e">
        <f>VLOOKUP(A:A,[1]TDSheet!$A:$I,9,0)</f>
        <v>#N/A</v>
      </c>
      <c r="J93" s="13">
        <f>VLOOKUP(A:A,[2]TDSheet!$A:$F,6,0)</f>
        <v>11</v>
      </c>
      <c r="K93" s="13">
        <f t="shared" si="9"/>
        <v>-3.6159999999999997</v>
      </c>
      <c r="L93" s="13">
        <f>VLOOKUP(A:A,[1]TDSheet!$A:$M,13,0)</f>
        <v>0</v>
      </c>
      <c r="M93" s="13">
        <f>VLOOKUP(A:A,[1]TDSheet!$A:$N,14,0)</f>
        <v>0</v>
      </c>
      <c r="N93" s="13">
        <f>VLOOKUP(A:A,[1]TDSheet!$A:$O,15,0)</f>
        <v>0</v>
      </c>
      <c r="O93" s="13">
        <f>VLOOKUP(A:A,[1]TDSheet!$A:$X,24,0)</f>
        <v>0</v>
      </c>
      <c r="P93" s="13"/>
      <c r="Q93" s="13"/>
      <c r="R93" s="13"/>
      <c r="S93" s="13"/>
      <c r="T93" s="13"/>
      <c r="U93" s="13"/>
      <c r="V93" s="13"/>
      <c r="W93" s="13">
        <f t="shared" si="7"/>
        <v>1.4768000000000001</v>
      </c>
      <c r="X93" s="15"/>
      <c r="Y93" s="16">
        <f t="shared" si="8"/>
        <v>44.21519501625135</v>
      </c>
      <c r="Z93" s="13">
        <f t="shared" si="10"/>
        <v>44.21519501625135</v>
      </c>
      <c r="AA93" s="13"/>
      <c r="AB93" s="13"/>
      <c r="AC93" s="13">
        <f>VLOOKUP(A:A,[1]TDSheet!$A:$AC,29,0)</f>
        <v>0</v>
      </c>
      <c r="AD93" s="13">
        <f>VLOOKUP(A:A,[1]TDSheet!$A:$AD,30,0)</f>
        <v>5.3487999999999998</v>
      </c>
      <c r="AE93" s="13">
        <f>VLOOKUP(A:A,[1]TDSheet!$A:$AE,31,0)</f>
        <v>2.4050000000000002</v>
      </c>
      <c r="AF93" s="13">
        <f>VLOOKUP(A:A,[1]TDSheet!$A:$AF,32,0)</f>
        <v>1.7504000000000002</v>
      </c>
      <c r="AG93" s="13">
        <f>VLOOKUP(A:A,[1]TDSheet!$A:$AG,33,0)</f>
        <v>6.8586</v>
      </c>
      <c r="AH93" s="13">
        <f>VLOOKUP(A:A,[3]TDSheet!$A:$D,4,0)</f>
        <v>1.4279999999999999</v>
      </c>
      <c r="AI93" s="20" t="str">
        <f>VLOOKUP(A:A,[1]TDSheet!$A:$AI,35,0)</f>
        <v>выв2611</v>
      </c>
      <c r="AJ93" s="13">
        <f t="shared" si="11"/>
        <v>0</v>
      </c>
      <c r="AK93" s="13"/>
      <c r="AL93" s="13"/>
      <c r="AM93" s="13"/>
    </row>
    <row r="94" spans="1:39" s="1" customFormat="1" ht="21.95" customHeight="1" outlineLevel="1" x14ac:dyDescent="0.2">
      <c r="A94" s="7" t="s">
        <v>97</v>
      </c>
      <c r="B94" s="7" t="s">
        <v>12</v>
      </c>
      <c r="C94" s="8">
        <v>951</v>
      </c>
      <c r="D94" s="8">
        <v>1122</v>
      </c>
      <c r="E94" s="8">
        <v>1264</v>
      </c>
      <c r="F94" s="8">
        <v>774</v>
      </c>
      <c r="G94" s="1">
        <f>VLOOKUP(A:A,[1]TDSheet!$A:$G,7,0)</f>
        <v>0</v>
      </c>
      <c r="H94" s="1">
        <f>VLOOKUP(A:A,[1]TDSheet!$A:$H,8,0)</f>
        <v>0.3</v>
      </c>
      <c r="I94" s="1" t="e">
        <f>VLOOKUP(A:A,[1]TDSheet!$A:$I,9,0)</f>
        <v>#N/A</v>
      </c>
      <c r="J94" s="13">
        <f>VLOOKUP(A:A,[2]TDSheet!$A:$F,6,0)</f>
        <v>1297</v>
      </c>
      <c r="K94" s="13">
        <f t="shared" si="9"/>
        <v>-33</v>
      </c>
      <c r="L94" s="13">
        <f>VLOOKUP(A:A,[1]TDSheet!$A:$M,13,0)</f>
        <v>0</v>
      </c>
      <c r="M94" s="13">
        <f>VLOOKUP(A:A,[1]TDSheet!$A:$N,14,0)</f>
        <v>400</v>
      </c>
      <c r="N94" s="13">
        <f>VLOOKUP(A:A,[1]TDSheet!$A:$O,15,0)</f>
        <v>280</v>
      </c>
      <c r="O94" s="13">
        <f>VLOOKUP(A:A,[1]TDSheet!$A:$X,24,0)</f>
        <v>400</v>
      </c>
      <c r="P94" s="13"/>
      <c r="Q94" s="13"/>
      <c r="R94" s="13"/>
      <c r="S94" s="13"/>
      <c r="T94" s="13"/>
      <c r="U94" s="13"/>
      <c r="V94" s="13"/>
      <c r="W94" s="13">
        <f t="shared" si="7"/>
        <v>252.8</v>
      </c>
      <c r="X94" s="15">
        <v>170</v>
      </c>
      <c r="Y94" s="16">
        <f t="shared" si="8"/>
        <v>8.0063291139240498</v>
      </c>
      <c r="Z94" s="13">
        <f t="shared" si="10"/>
        <v>3.0617088607594933</v>
      </c>
      <c r="AA94" s="13"/>
      <c r="AB94" s="13"/>
      <c r="AC94" s="13">
        <f>VLOOKUP(A:A,[1]TDSheet!$A:$AC,29,0)</f>
        <v>0</v>
      </c>
      <c r="AD94" s="13">
        <f>VLOOKUP(A:A,[1]TDSheet!$A:$AD,30,0)</f>
        <v>241.4</v>
      </c>
      <c r="AE94" s="13">
        <f>VLOOKUP(A:A,[1]TDSheet!$A:$AE,31,0)</f>
        <v>336</v>
      </c>
      <c r="AF94" s="13">
        <f>VLOOKUP(A:A,[1]TDSheet!$A:$AF,32,0)</f>
        <v>291</v>
      </c>
      <c r="AG94" s="13">
        <f>VLOOKUP(A:A,[1]TDSheet!$A:$AG,33,0)</f>
        <v>273</v>
      </c>
      <c r="AH94" s="13">
        <f>VLOOKUP(A:A,[3]TDSheet!$A:$D,4,0)</f>
        <v>235</v>
      </c>
      <c r="AI94" s="13">
        <f>VLOOKUP(A:A,[1]TDSheet!$A:$AI,35,0)</f>
        <v>0</v>
      </c>
      <c r="AJ94" s="13">
        <f t="shared" si="11"/>
        <v>51</v>
      </c>
      <c r="AK94" s="13"/>
      <c r="AL94" s="13"/>
      <c r="AM94" s="13"/>
    </row>
    <row r="95" spans="1:39" s="1" customFormat="1" ht="11.1" customHeight="1" outlineLevel="1" x14ac:dyDescent="0.2">
      <c r="A95" s="7" t="s">
        <v>98</v>
      </c>
      <c r="B95" s="7" t="s">
        <v>12</v>
      </c>
      <c r="C95" s="8">
        <v>330</v>
      </c>
      <c r="D95" s="8">
        <v>944</v>
      </c>
      <c r="E95" s="8">
        <v>744</v>
      </c>
      <c r="F95" s="8">
        <v>516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756</v>
      </c>
      <c r="K95" s="13">
        <f t="shared" si="9"/>
        <v>-12</v>
      </c>
      <c r="L95" s="13">
        <f>VLOOKUP(A:A,[1]TDSheet!$A:$M,13,0)</f>
        <v>0</v>
      </c>
      <c r="M95" s="13">
        <f>VLOOKUP(A:A,[1]TDSheet!$A:$N,14,0)</f>
        <v>170</v>
      </c>
      <c r="N95" s="13">
        <f>VLOOKUP(A:A,[1]TDSheet!$A:$O,15,0)</f>
        <v>170</v>
      </c>
      <c r="O95" s="13">
        <f>VLOOKUP(A:A,[1]TDSheet!$A:$X,24,0)</f>
        <v>200</v>
      </c>
      <c r="P95" s="13"/>
      <c r="Q95" s="13"/>
      <c r="R95" s="13"/>
      <c r="S95" s="13"/>
      <c r="T95" s="13"/>
      <c r="U95" s="13"/>
      <c r="V95" s="13"/>
      <c r="W95" s="13">
        <f t="shared" si="7"/>
        <v>148.80000000000001</v>
      </c>
      <c r="X95" s="15">
        <v>150</v>
      </c>
      <c r="Y95" s="16">
        <f t="shared" si="8"/>
        <v>8.1048387096774182</v>
      </c>
      <c r="Z95" s="13">
        <f t="shared" si="10"/>
        <v>3.4677419354838706</v>
      </c>
      <c r="AA95" s="13"/>
      <c r="AB95" s="13"/>
      <c r="AC95" s="13">
        <f>VLOOKUP(A:A,[1]TDSheet!$A:$AC,29,0)</f>
        <v>0</v>
      </c>
      <c r="AD95" s="13">
        <f>VLOOKUP(A:A,[1]TDSheet!$A:$AD,30,0)</f>
        <v>128.4</v>
      </c>
      <c r="AE95" s="13">
        <f>VLOOKUP(A:A,[1]TDSheet!$A:$AE,31,0)</f>
        <v>177.4</v>
      </c>
      <c r="AF95" s="13">
        <f>VLOOKUP(A:A,[1]TDSheet!$A:$AF,32,0)</f>
        <v>145.4</v>
      </c>
      <c r="AG95" s="13">
        <f>VLOOKUP(A:A,[1]TDSheet!$A:$AG,33,0)</f>
        <v>169.2</v>
      </c>
      <c r="AH95" s="13">
        <f>VLOOKUP(A:A,[3]TDSheet!$A:$D,4,0)</f>
        <v>135</v>
      </c>
      <c r="AI95" s="13">
        <f>VLOOKUP(A:A,[1]TDSheet!$A:$AI,35,0)</f>
        <v>0</v>
      </c>
      <c r="AJ95" s="13">
        <f t="shared" si="11"/>
        <v>45</v>
      </c>
      <c r="AK95" s="13"/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530</v>
      </c>
      <c r="D96" s="8">
        <v>1422</v>
      </c>
      <c r="E96" s="8">
        <v>1460</v>
      </c>
      <c r="F96" s="8">
        <v>465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1484</v>
      </c>
      <c r="K96" s="13">
        <f t="shared" si="9"/>
        <v>-24</v>
      </c>
      <c r="L96" s="13">
        <f>VLOOKUP(A:A,[1]TDSheet!$A:$M,13,0)</f>
        <v>0</v>
      </c>
      <c r="M96" s="13">
        <f>VLOOKUP(A:A,[1]TDSheet!$A:$N,14,0)</f>
        <v>500</v>
      </c>
      <c r="N96" s="13">
        <f>VLOOKUP(A:A,[1]TDSheet!$A:$O,15,0)</f>
        <v>350</v>
      </c>
      <c r="O96" s="13">
        <f>VLOOKUP(A:A,[1]TDSheet!$A:$X,24,0)</f>
        <v>400</v>
      </c>
      <c r="P96" s="13"/>
      <c r="Q96" s="13"/>
      <c r="R96" s="13"/>
      <c r="S96" s="13"/>
      <c r="T96" s="13"/>
      <c r="U96" s="13"/>
      <c r="V96" s="13"/>
      <c r="W96" s="13">
        <f t="shared" si="7"/>
        <v>232</v>
      </c>
      <c r="X96" s="15">
        <v>150</v>
      </c>
      <c r="Y96" s="16">
        <f t="shared" si="8"/>
        <v>8.0387931034482758</v>
      </c>
      <c r="Z96" s="13">
        <f t="shared" si="10"/>
        <v>2.0043103448275863</v>
      </c>
      <c r="AA96" s="13"/>
      <c r="AB96" s="13"/>
      <c r="AC96" s="13">
        <f>VLOOKUP(A:A,[1]TDSheet!$A:$AC,29,0)</f>
        <v>300</v>
      </c>
      <c r="AD96" s="13">
        <f>VLOOKUP(A:A,[1]TDSheet!$A:$AD,30,0)</f>
        <v>185</v>
      </c>
      <c r="AE96" s="13">
        <f>VLOOKUP(A:A,[1]TDSheet!$A:$AE,31,0)</f>
        <v>223.6</v>
      </c>
      <c r="AF96" s="13">
        <f>VLOOKUP(A:A,[1]TDSheet!$A:$AF,32,0)</f>
        <v>205.6</v>
      </c>
      <c r="AG96" s="13">
        <f>VLOOKUP(A:A,[1]TDSheet!$A:$AG,33,0)</f>
        <v>219.4</v>
      </c>
      <c r="AH96" s="13">
        <f>VLOOKUP(A:A,[3]TDSheet!$A:$D,4,0)</f>
        <v>179</v>
      </c>
      <c r="AI96" s="13">
        <f>VLOOKUP(A:A,[1]TDSheet!$A:$AI,35,0)</f>
        <v>0</v>
      </c>
      <c r="AJ96" s="13">
        <f t="shared" si="11"/>
        <v>45</v>
      </c>
      <c r="AK96" s="13"/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277</v>
      </c>
      <c r="D97" s="8">
        <v>942</v>
      </c>
      <c r="E97" s="8">
        <v>742</v>
      </c>
      <c r="F97" s="8">
        <v>458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762</v>
      </c>
      <c r="K97" s="13">
        <f t="shared" si="9"/>
        <v>-20</v>
      </c>
      <c r="L97" s="13">
        <f>VLOOKUP(A:A,[1]TDSheet!$A:$M,13,0)</f>
        <v>0</v>
      </c>
      <c r="M97" s="13">
        <f>VLOOKUP(A:A,[1]TDSheet!$A:$N,14,0)</f>
        <v>250</v>
      </c>
      <c r="N97" s="13">
        <f>VLOOKUP(A:A,[1]TDSheet!$A:$O,15,0)</f>
        <v>170</v>
      </c>
      <c r="O97" s="13">
        <f>VLOOKUP(A:A,[1]TDSheet!$A:$X,24,0)</f>
        <v>200</v>
      </c>
      <c r="P97" s="13"/>
      <c r="Q97" s="13"/>
      <c r="R97" s="13"/>
      <c r="S97" s="13"/>
      <c r="T97" s="13"/>
      <c r="U97" s="13"/>
      <c r="V97" s="13"/>
      <c r="W97" s="13">
        <f t="shared" si="7"/>
        <v>148.4</v>
      </c>
      <c r="X97" s="15">
        <v>120</v>
      </c>
      <c r="Y97" s="16">
        <f t="shared" si="8"/>
        <v>8.0727762803234491</v>
      </c>
      <c r="Z97" s="13">
        <f t="shared" si="10"/>
        <v>3.0862533692722369</v>
      </c>
      <c r="AA97" s="13"/>
      <c r="AB97" s="13"/>
      <c r="AC97" s="13">
        <f>VLOOKUP(A:A,[1]TDSheet!$A:$AC,29,0)</f>
        <v>0</v>
      </c>
      <c r="AD97" s="13">
        <f>VLOOKUP(A:A,[1]TDSheet!$A:$AD,30,0)</f>
        <v>137.4</v>
      </c>
      <c r="AE97" s="13">
        <f>VLOOKUP(A:A,[1]TDSheet!$A:$AE,31,0)</f>
        <v>156.19999999999999</v>
      </c>
      <c r="AF97" s="13">
        <f>VLOOKUP(A:A,[1]TDSheet!$A:$AF,32,0)</f>
        <v>135</v>
      </c>
      <c r="AG97" s="13">
        <f>VLOOKUP(A:A,[1]TDSheet!$A:$AG,33,0)</f>
        <v>161.4</v>
      </c>
      <c r="AH97" s="13">
        <f>VLOOKUP(A:A,[3]TDSheet!$A:$D,4,0)</f>
        <v>118</v>
      </c>
      <c r="AI97" s="13">
        <f>VLOOKUP(A:A,[1]TDSheet!$A:$AI,35,0)</f>
        <v>0</v>
      </c>
      <c r="AJ97" s="13">
        <f t="shared" si="11"/>
        <v>36</v>
      </c>
      <c r="AK97" s="13"/>
      <c r="AL97" s="13"/>
      <c r="AM97" s="13"/>
    </row>
    <row r="98" spans="1:39" s="1" customFormat="1" ht="11.1" customHeight="1" outlineLevel="1" x14ac:dyDescent="0.2">
      <c r="A98" s="7" t="s">
        <v>110</v>
      </c>
      <c r="B98" s="7" t="s">
        <v>12</v>
      </c>
      <c r="C98" s="8"/>
      <c r="D98" s="8">
        <v>90</v>
      </c>
      <c r="E98" s="8">
        <v>90</v>
      </c>
      <c r="F98" s="8"/>
      <c r="G98" s="1">
        <f>VLOOKUP(A:A,[1]TDSheet!$A:$G,7,0)</f>
        <v>0</v>
      </c>
      <c r="H98" s="1">
        <f>VLOOKUP(A:A,[1]TDSheet!$A:$H,8,0)</f>
        <v>0.33</v>
      </c>
      <c r="I98" s="1" t="e">
        <f>VLOOKUP(A:A,[1]TDSheet!$A:$I,9,0)</f>
        <v>#N/A</v>
      </c>
      <c r="J98" s="13">
        <f>VLOOKUP(A:A,[2]TDSheet!$A:$F,6,0)</f>
        <v>120</v>
      </c>
      <c r="K98" s="13">
        <f t="shared" si="9"/>
        <v>-30</v>
      </c>
      <c r="L98" s="13">
        <f>VLOOKUP(A:A,[1]TDSheet!$A:$M,13,0)</f>
        <v>0</v>
      </c>
      <c r="M98" s="13">
        <f>VLOOKUP(A:A,[1]TDSheet!$A:$N,14,0)</f>
        <v>0</v>
      </c>
      <c r="N98" s="13">
        <f>VLOOKUP(A:A,[1]TDSheet!$A:$O,15,0)</f>
        <v>0</v>
      </c>
      <c r="O98" s="13">
        <f>VLOOKUP(A:A,[1]TDSheet!$A:$X,24,0)</f>
        <v>0</v>
      </c>
      <c r="P98" s="13"/>
      <c r="Q98" s="13"/>
      <c r="R98" s="13"/>
      <c r="S98" s="13"/>
      <c r="T98" s="13"/>
      <c r="U98" s="13"/>
      <c r="V98" s="13"/>
      <c r="W98" s="13">
        <f t="shared" si="7"/>
        <v>0</v>
      </c>
      <c r="X98" s="15"/>
      <c r="Y98" s="16" t="e">
        <f t="shared" si="8"/>
        <v>#DIV/0!</v>
      </c>
      <c r="Z98" s="13" t="e">
        <f t="shared" si="10"/>
        <v>#DIV/0!</v>
      </c>
      <c r="AA98" s="13"/>
      <c r="AB98" s="13"/>
      <c r="AC98" s="13">
        <f>VLOOKUP(A:A,[1]TDSheet!$A:$AC,29,0)</f>
        <v>90</v>
      </c>
      <c r="AD98" s="13">
        <f>VLOOKUP(A:A,[1]TDSheet!$A:$AD,30,0)</f>
        <v>0</v>
      </c>
      <c r="AE98" s="13">
        <f>VLOOKUP(A:A,[1]TDSheet!$A:$AE,31,0)</f>
        <v>0</v>
      </c>
      <c r="AF98" s="13">
        <f>VLOOKUP(A:A,[1]TDSheet!$A:$AF,32,0)</f>
        <v>0</v>
      </c>
      <c r="AG98" s="13">
        <f>VLOOKUP(A:A,[1]TDSheet!$A:$AG,33,0)</f>
        <v>0</v>
      </c>
      <c r="AH98" s="13">
        <v>0</v>
      </c>
      <c r="AI98" s="13">
        <f>VLOOKUP(A:A,[1]TDSheet!$A:$AI,35,0)</f>
        <v>0</v>
      </c>
      <c r="AJ98" s="13">
        <f t="shared" si="11"/>
        <v>0</v>
      </c>
      <c r="AK98" s="13"/>
      <c r="AL98" s="13"/>
      <c r="AM98" s="13"/>
    </row>
    <row r="99" spans="1:39" s="1" customFormat="1" ht="11.1" customHeight="1" outlineLevel="1" x14ac:dyDescent="0.2">
      <c r="A99" s="7" t="s">
        <v>101</v>
      </c>
      <c r="B99" s="7" t="s">
        <v>12</v>
      </c>
      <c r="C99" s="8">
        <v>121</v>
      </c>
      <c r="D99" s="8">
        <v>335</v>
      </c>
      <c r="E99" s="8">
        <v>162</v>
      </c>
      <c r="F99" s="8">
        <v>293</v>
      </c>
      <c r="G99" s="1">
        <f>VLOOKUP(A:A,[1]TDSheet!$A:$G,7,0)</f>
        <v>0</v>
      </c>
      <c r="H99" s="1">
        <f>VLOOKUP(A:A,[1]TDSheet!$A:$H,8,0)</f>
        <v>0.12</v>
      </c>
      <c r="I99" s="1">
        <f>VLOOKUP(A:A,[1]TDSheet!$A:$I,9,0)</f>
        <v>45</v>
      </c>
      <c r="J99" s="13">
        <f>VLOOKUP(A:A,[2]TDSheet!$A:$F,6,0)</f>
        <v>163</v>
      </c>
      <c r="K99" s="13">
        <f t="shared" si="9"/>
        <v>-1</v>
      </c>
      <c r="L99" s="13">
        <f>VLOOKUP(A:A,[1]TDSheet!$A:$M,13,0)</f>
        <v>0</v>
      </c>
      <c r="M99" s="13">
        <f>VLOOKUP(A:A,[1]TDSheet!$A:$N,14,0)</f>
        <v>0</v>
      </c>
      <c r="N99" s="13">
        <f>VLOOKUP(A:A,[1]TDSheet!$A:$O,15,0)</f>
        <v>0</v>
      </c>
      <c r="O99" s="13">
        <f>VLOOKUP(A:A,[1]TDSheet!$A:$X,24,0)</f>
        <v>0</v>
      </c>
      <c r="P99" s="13"/>
      <c r="Q99" s="13"/>
      <c r="R99" s="13"/>
      <c r="S99" s="13"/>
      <c r="T99" s="13"/>
      <c r="U99" s="13"/>
      <c r="V99" s="13"/>
      <c r="W99" s="13">
        <f t="shared" si="7"/>
        <v>32.4</v>
      </c>
      <c r="X99" s="15"/>
      <c r="Y99" s="16">
        <f t="shared" si="8"/>
        <v>9.0432098765432105</v>
      </c>
      <c r="Z99" s="13">
        <f t="shared" si="10"/>
        <v>9.0432098765432105</v>
      </c>
      <c r="AA99" s="13"/>
      <c r="AB99" s="13"/>
      <c r="AC99" s="13">
        <f>VLOOKUP(A:A,[1]TDSheet!$A:$AC,29,0)</f>
        <v>0</v>
      </c>
      <c r="AD99" s="13">
        <f>VLOOKUP(A:A,[1]TDSheet!$A:$AD,30,0)</f>
        <v>33</v>
      </c>
      <c r="AE99" s="13">
        <f>VLOOKUP(A:A,[1]TDSheet!$A:$AE,31,0)</f>
        <v>52.4</v>
      </c>
      <c r="AF99" s="13">
        <f>VLOOKUP(A:A,[1]TDSheet!$A:$AF,32,0)</f>
        <v>42.6</v>
      </c>
      <c r="AG99" s="13">
        <f>VLOOKUP(A:A,[1]TDSheet!$A:$AG,33,0)</f>
        <v>51.4</v>
      </c>
      <c r="AH99" s="13">
        <f>VLOOKUP(A:A,[3]TDSheet!$A:$D,4,0)</f>
        <v>36</v>
      </c>
      <c r="AI99" s="13">
        <f>VLOOKUP(A:A,[1]TDSheet!$A:$AI,35,0)</f>
        <v>0</v>
      </c>
      <c r="AJ99" s="13">
        <f t="shared" si="11"/>
        <v>0</v>
      </c>
      <c r="AK99" s="13"/>
      <c r="AL99" s="13"/>
      <c r="AM99" s="13"/>
    </row>
    <row r="100" spans="1:39" s="1" customFormat="1" ht="21.95" customHeight="1" outlineLevel="1" x14ac:dyDescent="0.2">
      <c r="A100" s="7" t="s">
        <v>102</v>
      </c>
      <c r="B100" s="7" t="s">
        <v>12</v>
      </c>
      <c r="C100" s="8">
        <v>384</v>
      </c>
      <c r="D100" s="8">
        <v>497</v>
      </c>
      <c r="E100" s="8">
        <v>385</v>
      </c>
      <c r="F100" s="8">
        <v>484</v>
      </c>
      <c r="G100" s="1">
        <f>VLOOKUP(A:A,[1]TDSheet!$A:$G,7,0)</f>
        <v>0</v>
      </c>
      <c r="H100" s="1">
        <f>VLOOKUP(A:A,[1]TDSheet!$A:$H,8,0)</f>
        <v>7.0000000000000007E-2</v>
      </c>
      <c r="I100" s="1" t="e">
        <f>VLOOKUP(A:A,[1]TDSheet!$A:$I,9,0)</f>
        <v>#N/A</v>
      </c>
      <c r="J100" s="13">
        <f>VLOOKUP(A:A,[2]TDSheet!$A:$F,6,0)</f>
        <v>395</v>
      </c>
      <c r="K100" s="13">
        <f t="shared" si="9"/>
        <v>-10</v>
      </c>
      <c r="L100" s="13">
        <f>VLOOKUP(A:A,[1]TDSheet!$A:$M,13,0)</f>
        <v>0</v>
      </c>
      <c r="M100" s="13">
        <f>VLOOKUP(A:A,[1]TDSheet!$A:$N,14,0)</f>
        <v>0</v>
      </c>
      <c r="N100" s="13">
        <f>VLOOKUP(A:A,[1]TDSheet!$A:$O,15,0)</f>
        <v>200</v>
      </c>
      <c r="O100" s="13">
        <f>VLOOKUP(A:A,[1]TDSheet!$A:$X,24,0)</f>
        <v>100</v>
      </c>
      <c r="P100" s="13"/>
      <c r="Q100" s="13"/>
      <c r="R100" s="13"/>
      <c r="S100" s="13"/>
      <c r="T100" s="13"/>
      <c r="U100" s="13"/>
      <c r="V100" s="13"/>
      <c r="W100" s="13">
        <f t="shared" si="7"/>
        <v>77</v>
      </c>
      <c r="X100" s="15"/>
      <c r="Y100" s="16">
        <f t="shared" si="8"/>
        <v>10.181818181818182</v>
      </c>
      <c r="Z100" s="13">
        <f t="shared" si="10"/>
        <v>6.2857142857142856</v>
      </c>
      <c r="AA100" s="13"/>
      <c r="AB100" s="13"/>
      <c r="AC100" s="13">
        <f>VLOOKUP(A:A,[1]TDSheet!$A:$AC,29,0)</f>
        <v>0</v>
      </c>
      <c r="AD100" s="13">
        <f>VLOOKUP(A:A,[1]TDSheet!$A:$AD,30,0)</f>
        <v>133.4</v>
      </c>
      <c r="AE100" s="13">
        <f>VLOOKUP(A:A,[1]TDSheet!$A:$AE,31,0)</f>
        <v>102.8</v>
      </c>
      <c r="AF100" s="13">
        <f>VLOOKUP(A:A,[1]TDSheet!$A:$AF,32,0)</f>
        <v>85.4</v>
      </c>
      <c r="AG100" s="13">
        <f>VLOOKUP(A:A,[1]TDSheet!$A:$AG,33,0)</f>
        <v>99</v>
      </c>
      <c r="AH100" s="13">
        <f>VLOOKUP(A:A,[3]TDSheet!$A:$D,4,0)</f>
        <v>61</v>
      </c>
      <c r="AI100" s="13" t="str">
        <f>VLOOKUP(A:A,[1]TDSheet!$A:$AI,35,0)</f>
        <v>Ларин</v>
      </c>
      <c r="AJ100" s="13">
        <f t="shared" si="11"/>
        <v>0</v>
      </c>
      <c r="AK100" s="13"/>
      <c r="AL100" s="13"/>
      <c r="AM100" s="13"/>
    </row>
    <row r="101" spans="1:39" s="1" customFormat="1" ht="11.1" customHeight="1" outlineLevel="1" x14ac:dyDescent="0.2">
      <c r="A101" s="7" t="s">
        <v>103</v>
      </c>
      <c r="B101" s="7" t="s">
        <v>12</v>
      </c>
      <c r="C101" s="8">
        <v>30</v>
      </c>
      <c r="D101" s="8">
        <v>272</v>
      </c>
      <c r="E101" s="8">
        <v>208</v>
      </c>
      <c r="F101" s="8">
        <v>92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247</v>
      </c>
      <c r="K101" s="13">
        <f t="shared" si="9"/>
        <v>-39</v>
      </c>
      <c r="L101" s="13">
        <f>VLOOKUP(A:A,[1]TDSheet!$A:$M,13,0)</f>
        <v>0</v>
      </c>
      <c r="M101" s="13">
        <f>VLOOKUP(A:A,[1]TDSheet!$A:$N,14,0)</f>
        <v>100</v>
      </c>
      <c r="N101" s="13">
        <f>VLOOKUP(A:A,[1]TDSheet!$A:$O,15,0)</f>
        <v>50</v>
      </c>
      <c r="O101" s="13">
        <f>VLOOKUP(A:A,[1]TDSheet!$A:$X,24,0)</f>
        <v>50</v>
      </c>
      <c r="P101" s="13"/>
      <c r="Q101" s="13"/>
      <c r="R101" s="13"/>
      <c r="S101" s="13"/>
      <c r="T101" s="13"/>
      <c r="U101" s="13"/>
      <c r="V101" s="13"/>
      <c r="W101" s="13">
        <f t="shared" si="7"/>
        <v>41.6</v>
      </c>
      <c r="X101" s="15">
        <v>100</v>
      </c>
      <c r="Y101" s="16">
        <f t="shared" si="8"/>
        <v>9.4230769230769234</v>
      </c>
      <c r="Z101" s="13">
        <f t="shared" si="10"/>
        <v>2.2115384615384617</v>
      </c>
      <c r="AA101" s="13"/>
      <c r="AB101" s="13"/>
      <c r="AC101" s="13">
        <f>VLOOKUP(A:A,[1]TDSheet!$A:$AC,29,0)</f>
        <v>0</v>
      </c>
      <c r="AD101" s="13">
        <f>VLOOKUP(A:A,[1]TDSheet!$A:$AD,30,0)</f>
        <v>48.2</v>
      </c>
      <c r="AE101" s="13">
        <f>VLOOKUP(A:A,[1]TDSheet!$A:$AE,31,0)</f>
        <v>59.8</v>
      </c>
      <c r="AF101" s="13">
        <f>VLOOKUP(A:A,[1]TDSheet!$A:$AF,32,0)</f>
        <v>52</v>
      </c>
      <c r="AG101" s="13">
        <f>VLOOKUP(A:A,[1]TDSheet!$A:$AG,33,0)</f>
        <v>53.6</v>
      </c>
      <c r="AH101" s="13">
        <f>VLOOKUP(A:A,[3]TDSheet!$A:$D,4,0)</f>
        <v>37</v>
      </c>
      <c r="AI101" s="13">
        <f>VLOOKUP(A:A,[1]TDSheet!$A:$AI,35,0)</f>
        <v>0</v>
      </c>
      <c r="AJ101" s="13">
        <f t="shared" si="11"/>
        <v>7.0000000000000009</v>
      </c>
      <c r="AK101" s="13"/>
      <c r="AL101" s="13"/>
      <c r="AM101" s="13"/>
    </row>
    <row r="102" spans="1:39" s="1" customFormat="1" ht="11.1" customHeight="1" outlineLevel="1" x14ac:dyDescent="0.2">
      <c r="A102" s="7" t="s">
        <v>104</v>
      </c>
      <c r="B102" s="7" t="s">
        <v>12</v>
      </c>
      <c r="C102" s="8">
        <v>388</v>
      </c>
      <c r="D102" s="8">
        <v>549</v>
      </c>
      <c r="E102" s="8">
        <v>475</v>
      </c>
      <c r="F102" s="8">
        <v>454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483</v>
      </c>
      <c r="K102" s="13">
        <f t="shared" si="9"/>
        <v>-8</v>
      </c>
      <c r="L102" s="13">
        <f>VLOOKUP(A:A,[1]TDSheet!$A:$M,13,0)</f>
        <v>0</v>
      </c>
      <c r="M102" s="13">
        <f>VLOOKUP(A:A,[1]TDSheet!$A:$N,14,0)</f>
        <v>100</v>
      </c>
      <c r="N102" s="13">
        <f>VLOOKUP(A:A,[1]TDSheet!$A:$O,15,0)</f>
        <v>150</v>
      </c>
      <c r="O102" s="13">
        <f>VLOOKUP(A:A,[1]TDSheet!$A:$X,24,0)</f>
        <v>100</v>
      </c>
      <c r="P102" s="13"/>
      <c r="Q102" s="13"/>
      <c r="R102" s="13"/>
      <c r="S102" s="13"/>
      <c r="T102" s="13"/>
      <c r="U102" s="13"/>
      <c r="V102" s="13"/>
      <c r="W102" s="13">
        <f t="shared" si="7"/>
        <v>95</v>
      </c>
      <c r="X102" s="15">
        <v>100</v>
      </c>
      <c r="Y102" s="16">
        <f t="shared" si="8"/>
        <v>9.5157894736842099</v>
      </c>
      <c r="Z102" s="13">
        <f t="shared" si="10"/>
        <v>4.7789473684210524</v>
      </c>
      <c r="AA102" s="13"/>
      <c r="AB102" s="13"/>
      <c r="AC102" s="13">
        <f>VLOOKUP(A:A,[1]TDSheet!$A:$AC,29,0)</f>
        <v>0</v>
      </c>
      <c r="AD102" s="13">
        <f>VLOOKUP(A:A,[1]TDSheet!$A:$AD,30,0)</f>
        <v>102.6</v>
      </c>
      <c r="AE102" s="13">
        <f>VLOOKUP(A:A,[1]TDSheet!$A:$AE,31,0)</f>
        <v>120.2</v>
      </c>
      <c r="AF102" s="13">
        <f>VLOOKUP(A:A,[1]TDSheet!$A:$AF,32,0)</f>
        <v>88.6</v>
      </c>
      <c r="AG102" s="13">
        <f>VLOOKUP(A:A,[1]TDSheet!$A:$AG,33,0)</f>
        <v>104.8</v>
      </c>
      <c r="AH102" s="13">
        <f>VLOOKUP(A:A,[3]TDSheet!$A:$D,4,0)</f>
        <v>82</v>
      </c>
      <c r="AI102" s="13" t="str">
        <f>VLOOKUP(A:A,[1]TDSheet!$A:$AI,35,0)</f>
        <v>Ларин</v>
      </c>
      <c r="AJ102" s="13">
        <f t="shared" si="11"/>
        <v>7.0000000000000009</v>
      </c>
      <c r="AK102" s="13"/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558</v>
      </c>
      <c r="D103" s="8">
        <v>660</v>
      </c>
      <c r="E103" s="8">
        <v>557</v>
      </c>
      <c r="F103" s="8">
        <v>652</v>
      </c>
      <c r="G103" s="1">
        <f>VLOOKUP(A:A,[1]TDSheet!$A:$G,7,0)</f>
        <v>0</v>
      </c>
      <c r="H103" s="1">
        <f>VLOOKUP(A:A,[1]TDSheet!$A:$H,8,0)</f>
        <v>7.0000000000000007E-2</v>
      </c>
      <c r="I103" s="1">
        <f>VLOOKUP(A:A,[1]TDSheet!$A:$I,9,0)</f>
        <v>90</v>
      </c>
      <c r="J103" s="13">
        <f>VLOOKUP(A:A,[2]TDSheet!$A:$F,6,0)</f>
        <v>567</v>
      </c>
      <c r="K103" s="13">
        <f t="shared" si="9"/>
        <v>-10</v>
      </c>
      <c r="L103" s="13">
        <f>VLOOKUP(A:A,[1]TDSheet!$A:$M,13,0)</f>
        <v>0</v>
      </c>
      <c r="M103" s="13">
        <f>VLOOKUP(A:A,[1]TDSheet!$A:$N,14,0)</f>
        <v>100</v>
      </c>
      <c r="N103" s="13">
        <f>VLOOKUP(A:A,[1]TDSheet!$A:$O,15,0)</f>
        <v>120</v>
      </c>
      <c r="O103" s="13">
        <f>VLOOKUP(A:A,[1]TDSheet!$A:$X,24,0)</f>
        <v>100</v>
      </c>
      <c r="P103" s="13"/>
      <c r="Q103" s="13"/>
      <c r="R103" s="13"/>
      <c r="S103" s="13"/>
      <c r="T103" s="13"/>
      <c r="U103" s="13"/>
      <c r="V103" s="13"/>
      <c r="W103" s="13">
        <f t="shared" si="7"/>
        <v>111.4</v>
      </c>
      <c r="X103" s="15">
        <v>100</v>
      </c>
      <c r="Y103" s="16">
        <f t="shared" si="8"/>
        <v>9.6229802513464993</v>
      </c>
      <c r="Z103" s="13">
        <f t="shared" si="10"/>
        <v>5.8527827648114901</v>
      </c>
      <c r="AA103" s="13"/>
      <c r="AB103" s="13"/>
      <c r="AC103" s="13">
        <f>VLOOKUP(A:A,[1]TDSheet!$A:$AC,29,0)</f>
        <v>0</v>
      </c>
      <c r="AD103" s="13">
        <f>VLOOKUP(A:A,[1]TDSheet!$A:$AD,30,0)</f>
        <v>135</v>
      </c>
      <c r="AE103" s="13">
        <f>VLOOKUP(A:A,[1]TDSheet!$A:$AE,31,0)</f>
        <v>158.19999999999999</v>
      </c>
      <c r="AF103" s="13">
        <f>VLOOKUP(A:A,[1]TDSheet!$A:$AF,32,0)</f>
        <v>122.2</v>
      </c>
      <c r="AG103" s="13">
        <f>VLOOKUP(A:A,[1]TDSheet!$A:$AG,33,0)</f>
        <v>137.4</v>
      </c>
      <c r="AH103" s="13">
        <f>VLOOKUP(A:A,[3]TDSheet!$A:$D,4,0)</f>
        <v>95</v>
      </c>
      <c r="AI103" s="13" t="str">
        <f>VLOOKUP(A:A,[1]TDSheet!$A:$AI,35,0)</f>
        <v>Ларин</v>
      </c>
      <c r="AJ103" s="13">
        <f t="shared" si="11"/>
        <v>7.0000000000000009</v>
      </c>
      <c r="AK103" s="13"/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223</v>
      </c>
      <c r="D104" s="8">
        <v>410</v>
      </c>
      <c r="E104" s="8">
        <v>264</v>
      </c>
      <c r="F104" s="8">
        <v>357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3">
        <f>VLOOKUP(A:A,[2]TDSheet!$A:$F,6,0)</f>
        <v>275</v>
      </c>
      <c r="K104" s="13">
        <f t="shared" si="9"/>
        <v>-11</v>
      </c>
      <c r="L104" s="13">
        <f>VLOOKUP(A:A,[1]TDSheet!$A:$M,13,0)</f>
        <v>0</v>
      </c>
      <c r="M104" s="13">
        <f>VLOOKUP(A:A,[1]TDSheet!$A:$N,14,0)</f>
        <v>0</v>
      </c>
      <c r="N104" s="13">
        <f>VLOOKUP(A:A,[1]TDSheet!$A:$O,15,0)</f>
        <v>50</v>
      </c>
      <c r="O104" s="13">
        <f>VLOOKUP(A:A,[1]TDSheet!$A:$X,24,0)</f>
        <v>50</v>
      </c>
      <c r="P104" s="13"/>
      <c r="Q104" s="13"/>
      <c r="R104" s="13"/>
      <c r="S104" s="13"/>
      <c r="T104" s="13"/>
      <c r="U104" s="13"/>
      <c r="V104" s="13"/>
      <c r="W104" s="13">
        <f t="shared" si="7"/>
        <v>52.8</v>
      </c>
      <c r="X104" s="15">
        <v>50</v>
      </c>
      <c r="Y104" s="16">
        <f t="shared" si="8"/>
        <v>9.6022727272727284</v>
      </c>
      <c r="Z104" s="13">
        <f t="shared" si="10"/>
        <v>6.7613636363636367</v>
      </c>
      <c r="AA104" s="13"/>
      <c r="AB104" s="13"/>
      <c r="AC104" s="13">
        <f>VLOOKUP(A:A,[1]TDSheet!$A:$AC,29,0)</f>
        <v>0</v>
      </c>
      <c r="AD104" s="13">
        <f>VLOOKUP(A:A,[1]TDSheet!$A:$AD,30,0)</f>
        <v>48.4</v>
      </c>
      <c r="AE104" s="13">
        <f>VLOOKUP(A:A,[1]TDSheet!$A:$AE,31,0)</f>
        <v>77.599999999999994</v>
      </c>
      <c r="AF104" s="13">
        <f>VLOOKUP(A:A,[1]TDSheet!$A:$AF,32,0)</f>
        <v>58.6</v>
      </c>
      <c r="AG104" s="13">
        <f>VLOOKUP(A:A,[1]TDSheet!$A:$AG,33,0)</f>
        <v>74.8</v>
      </c>
      <c r="AH104" s="13">
        <f>VLOOKUP(A:A,[3]TDSheet!$A:$D,4,0)</f>
        <v>42</v>
      </c>
      <c r="AI104" s="13">
        <f>VLOOKUP(A:A,[1]TDSheet!$A:$AI,35,0)</f>
        <v>0</v>
      </c>
      <c r="AJ104" s="13">
        <f t="shared" si="11"/>
        <v>3.5000000000000004</v>
      </c>
      <c r="AK104" s="13"/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196</v>
      </c>
      <c r="D105" s="8">
        <v>349</v>
      </c>
      <c r="E105" s="8">
        <v>194</v>
      </c>
      <c r="F105" s="8">
        <v>347</v>
      </c>
      <c r="G105" s="1">
        <f>VLOOKUP(A:A,[1]TDSheet!$A:$G,7,0)</f>
        <v>0</v>
      </c>
      <c r="H105" s="1">
        <f>VLOOKUP(A:A,[1]TDSheet!$A:$H,8,0)</f>
        <v>5.5E-2</v>
      </c>
      <c r="I105" s="1" t="e">
        <f>VLOOKUP(A:A,[1]TDSheet!$A:$I,9,0)</f>
        <v>#N/A</v>
      </c>
      <c r="J105" s="13">
        <f>VLOOKUP(A:A,[2]TDSheet!$A:$F,6,0)</f>
        <v>198</v>
      </c>
      <c r="K105" s="13">
        <f t="shared" si="9"/>
        <v>-4</v>
      </c>
      <c r="L105" s="13">
        <f>VLOOKUP(A:A,[1]TDSheet!$A:$M,13,0)</f>
        <v>0</v>
      </c>
      <c r="M105" s="13">
        <f>VLOOKUP(A:A,[1]TDSheet!$A:$N,14,0)</f>
        <v>0</v>
      </c>
      <c r="N105" s="13">
        <f>VLOOKUP(A:A,[1]TDSheet!$A:$O,15,0)</f>
        <v>0</v>
      </c>
      <c r="O105" s="13">
        <f>VLOOKUP(A:A,[1]TDSheet!$A:$X,24,0)</f>
        <v>0</v>
      </c>
      <c r="P105" s="13"/>
      <c r="Q105" s="13"/>
      <c r="R105" s="13"/>
      <c r="S105" s="13"/>
      <c r="T105" s="13"/>
      <c r="U105" s="13"/>
      <c r="V105" s="13"/>
      <c r="W105" s="13">
        <f t="shared" si="7"/>
        <v>38.799999999999997</v>
      </c>
      <c r="X105" s="15"/>
      <c r="Y105" s="16">
        <f t="shared" si="8"/>
        <v>8.9432989690721651</v>
      </c>
      <c r="Z105" s="13">
        <f t="shared" si="10"/>
        <v>8.9432989690721651</v>
      </c>
      <c r="AA105" s="13"/>
      <c r="AB105" s="13"/>
      <c r="AC105" s="13">
        <f>VLOOKUP(A:A,[1]TDSheet!$A:$AC,29,0)</f>
        <v>0</v>
      </c>
      <c r="AD105" s="13">
        <f>VLOOKUP(A:A,[1]TDSheet!$A:$AD,30,0)</f>
        <v>29.2</v>
      </c>
      <c r="AE105" s="13">
        <f>VLOOKUP(A:A,[1]TDSheet!$A:$AE,31,0)</f>
        <v>46.4</v>
      </c>
      <c r="AF105" s="13">
        <f>VLOOKUP(A:A,[1]TDSheet!$A:$AF,32,0)</f>
        <v>43.2</v>
      </c>
      <c r="AG105" s="13">
        <f>VLOOKUP(A:A,[1]TDSheet!$A:$AG,33,0)</f>
        <v>52.4</v>
      </c>
      <c r="AH105" s="13">
        <f>VLOOKUP(A:A,[3]TDSheet!$A:$D,4,0)</f>
        <v>35</v>
      </c>
      <c r="AI105" s="13">
        <f>VLOOKUP(A:A,[1]TDSheet!$A:$AI,35,0)</f>
        <v>0</v>
      </c>
      <c r="AJ105" s="13">
        <f t="shared" si="11"/>
        <v>0</v>
      </c>
      <c r="AK105" s="13"/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55</v>
      </c>
      <c r="D106" s="8">
        <v>1</v>
      </c>
      <c r="E106" s="8">
        <v>29</v>
      </c>
      <c r="F106" s="8">
        <v>26</v>
      </c>
      <c r="G106" s="1" t="str">
        <f>VLOOKUP(A:A,[1]TDSheet!$A:$G,7,0)</f>
        <v>выв2611</v>
      </c>
      <c r="H106" s="1">
        <f>VLOOKUP(A:A,[1]TDSheet!$A:$H,8,0)</f>
        <v>0</v>
      </c>
      <c r="I106" s="1" t="e">
        <f>VLOOKUP(A:A,[1]TDSheet!$A:$I,9,0)</f>
        <v>#N/A</v>
      </c>
      <c r="J106" s="13">
        <f>VLOOKUP(A:A,[2]TDSheet!$A:$F,6,0)</f>
        <v>31</v>
      </c>
      <c r="K106" s="13">
        <f t="shared" si="9"/>
        <v>-2</v>
      </c>
      <c r="L106" s="13">
        <f>VLOOKUP(A:A,[1]TDSheet!$A:$M,13,0)</f>
        <v>0</v>
      </c>
      <c r="M106" s="13">
        <f>VLOOKUP(A:A,[1]TDSheet!$A:$N,14,0)</f>
        <v>0</v>
      </c>
      <c r="N106" s="13">
        <f>VLOOKUP(A:A,[1]TDSheet!$A:$O,15,0)</f>
        <v>0</v>
      </c>
      <c r="O106" s="13">
        <f>VLOOKUP(A:A,[1]TDSheet!$A:$X,24,0)</f>
        <v>0</v>
      </c>
      <c r="P106" s="13"/>
      <c r="Q106" s="13"/>
      <c r="R106" s="13"/>
      <c r="S106" s="13"/>
      <c r="T106" s="13"/>
      <c r="U106" s="13"/>
      <c r="V106" s="13"/>
      <c r="W106" s="13">
        <f t="shared" si="7"/>
        <v>5.8</v>
      </c>
      <c r="X106" s="15"/>
      <c r="Y106" s="16">
        <f t="shared" si="8"/>
        <v>4.4827586206896557</v>
      </c>
      <c r="Z106" s="13">
        <f t="shared" si="10"/>
        <v>4.4827586206896557</v>
      </c>
      <c r="AA106" s="13"/>
      <c r="AB106" s="13"/>
      <c r="AC106" s="13">
        <f>VLOOKUP(A:A,[1]TDSheet!$A:$AC,29,0)</f>
        <v>0</v>
      </c>
      <c r="AD106" s="13">
        <f>VLOOKUP(A:A,[1]TDSheet!$A:$AD,30,0)</f>
        <v>8.6</v>
      </c>
      <c r="AE106" s="13">
        <f>VLOOKUP(A:A,[1]TDSheet!$A:$AE,31,0)</f>
        <v>0</v>
      </c>
      <c r="AF106" s="13">
        <f>VLOOKUP(A:A,[1]TDSheet!$A:$AF,32,0)</f>
        <v>3.4</v>
      </c>
      <c r="AG106" s="13">
        <f>VLOOKUP(A:A,[1]TDSheet!$A:$AG,33,0)</f>
        <v>1</v>
      </c>
      <c r="AH106" s="13">
        <f>VLOOKUP(A:A,[3]TDSheet!$A:$D,4,0)</f>
        <v>2</v>
      </c>
      <c r="AI106" s="13" t="str">
        <f>VLOOKUP(A:A,[1]TDSheet!$A:$AI,35,0)</f>
        <v>увел</v>
      </c>
      <c r="AJ106" s="13">
        <f t="shared" si="11"/>
        <v>0</v>
      </c>
      <c r="AK106" s="13"/>
      <c r="AL106" s="13"/>
      <c r="AM106" s="13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138</v>
      </c>
      <c r="D107" s="8"/>
      <c r="E107" s="8">
        <v>74</v>
      </c>
      <c r="F107" s="8">
        <v>64</v>
      </c>
      <c r="G107" s="1" t="str">
        <f>VLOOKUP(A:A,[1]TDSheet!$A:$G,7,0)</f>
        <v>нв31,10,</v>
      </c>
      <c r="H107" s="1">
        <f>VLOOKUP(A:A,[1]TDSheet!$A:$H,8,0)</f>
        <v>0.4</v>
      </c>
      <c r="I107" s="1" t="e">
        <f>VLOOKUP(A:A,[1]TDSheet!$A:$I,9,0)</f>
        <v>#N/A</v>
      </c>
      <c r="J107" s="13">
        <f>VLOOKUP(A:A,[2]TDSheet!$A:$F,6,0)</f>
        <v>74</v>
      </c>
      <c r="K107" s="13">
        <f t="shared" si="9"/>
        <v>0</v>
      </c>
      <c r="L107" s="13">
        <f>VLOOKUP(A:A,[1]TDSheet!$A:$M,13,0)</f>
        <v>0</v>
      </c>
      <c r="M107" s="13">
        <f>VLOOKUP(A:A,[1]TDSheet!$A:$N,14,0)</f>
        <v>50</v>
      </c>
      <c r="N107" s="13">
        <f>VLOOKUP(A:A,[1]TDSheet!$A:$O,15,0)</f>
        <v>30</v>
      </c>
      <c r="O107" s="13">
        <f>VLOOKUP(A:A,[1]TDSheet!$A:$X,24,0)</f>
        <v>0</v>
      </c>
      <c r="P107" s="13"/>
      <c r="Q107" s="13"/>
      <c r="R107" s="13"/>
      <c r="S107" s="13"/>
      <c r="T107" s="13"/>
      <c r="U107" s="13"/>
      <c r="V107" s="13"/>
      <c r="W107" s="13">
        <f t="shared" si="7"/>
        <v>14.8</v>
      </c>
      <c r="X107" s="15"/>
      <c r="Y107" s="16">
        <f t="shared" si="8"/>
        <v>9.7297297297297298</v>
      </c>
      <c r="Z107" s="13">
        <f t="shared" si="10"/>
        <v>4.3243243243243237</v>
      </c>
      <c r="AA107" s="13"/>
      <c r="AB107" s="13"/>
      <c r="AC107" s="13">
        <f>VLOOKUP(A:A,[1]TDSheet!$A:$AC,29,0)</f>
        <v>0</v>
      </c>
      <c r="AD107" s="13">
        <f>VLOOKUP(A:A,[1]TDSheet!$A:$AD,30,0)</f>
        <v>0</v>
      </c>
      <c r="AE107" s="13">
        <f>VLOOKUP(A:A,[1]TDSheet!$A:$AE,31,0)</f>
        <v>32.6</v>
      </c>
      <c r="AF107" s="13">
        <f>VLOOKUP(A:A,[1]TDSheet!$A:$AF,32,0)</f>
        <v>16.8</v>
      </c>
      <c r="AG107" s="13">
        <f>VLOOKUP(A:A,[1]TDSheet!$A:$AG,33,0)</f>
        <v>19</v>
      </c>
      <c r="AH107" s="13">
        <f>VLOOKUP(A:A,[3]TDSheet!$A:$D,4,0)</f>
        <v>4</v>
      </c>
      <c r="AI107" s="13" t="str">
        <f>VLOOKUP(A:A,[1]TDSheet!$A:$AI,35,0)</f>
        <v>увел</v>
      </c>
      <c r="AJ107" s="13">
        <f t="shared" si="11"/>
        <v>0</v>
      </c>
      <c r="AK107" s="13"/>
      <c r="AL107" s="13"/>
      <c r="AM107" s="13"/>
    </row>
    <row r="108" spans="1:39" s="1" customFormat="1" ht="11.1" customHeight="1" outlineLevel="1" x14ac:dyDescent="0.2">
      <c r="A108" s="7" t="s">
        <v>111</v>
      </c>
      <c r="B108" s="7" t="s">
        <v>8</v>
      </c>
      <c r="C108" s="8">
        <v>2156.944</v>
      </c>
      <c r="D108" s="8">
        <v>842.60400000000004</v>
      </c>
      <c r="E108" s="8">
        <v>1643.3520000000001</v>
      </c>
      <c r="F108" s="8">
        <v>1336.174</v>
      </c>
      <c r="G108" s="1" t="str">
        <f>VLOOKUP(A:A,[1]TDSheet!$A:$G,7,0)</f>
        <v>рот11,11,</v>
      </c>
      <c r="H108" s="1">
        <f>VLOOKUP(A:A,[1]TDSheet!$A:$H,8,0)</f>
        <v>1</v>
      </c>
      <c r="I108" s="1" t="e">
        <f>VLOOKUP(A:A,[1]TDSheet!$A:$I,9,0)</f>
        <v>#N/A</v>
      </c>
      <c r="J108" s="13">
        <f>VLOOKUP(A:A,[2]TDSheet!$A:$F,6,0)</f>
        <v>1677.6189999999999</v>
      </c>
      <c r="K108" s="13">
        <f t="shared" si="9"/>
        <v>-34.266999999999825</v>
      </c>
      <c r="L108" s="13">
        <f>VLOOKUP(A:A,[1]TDSheet!$A:$M,13,0)</f>
        <v>0</v>
      </c>
      <c r="M108" s="13">
        <f>VLOOKUP(A:A,[1]TDSheet!$A:$N,14,0)</f>
        <v>400</v>
      </c>
      <c r="N108" s="13">
        <f>VLOOKUP(A:A,[1]TDSheet!$A:$O,15,0)</f>
        <v>280</v>
      </c>
      <c r="O108" s="13">
        <f>VLOOKUP(A:A,[1]TDSheet!$A:$X,24,0)</f>
        <v>250</v>
      </c>
      <c r="P108" s="13"/>
      <c r="Q108" s="13"/>
      <c r="R108" s="13"/>
      <c r="S108" s="13"/>
      <c r="T108" s="13"/>
      <c r="U108" s="13"/>
      <c r="V108" s="13"/>
      <c r="W108" s="13">
        <f t="shared" si="7"/>
        <v>328.67040000000003</v>
      </c>
      <c r="X108" s="15">
        <v>350</v>
      </c>
      <c r="Y108" s="16">
        <f t="shared" si="8"/>
        <v>7.9598710440611624</v>
      </c>
      <c r="Z108" s="13">
        <f t="shared" si="10"/>
        <v>4.0653919549798214</v>
      </c>
      <c r="AA108" s="13"/>
      <c r="AB108" s="13"/>
      <c r="AC108" s="13">
        <f>VLOOKUP(A:A,[1]TDSheet!$A:$AC,29,0)</f>
        <v>0</v>
      </c>
      <c r="AD108" s="13">
        <f>VLOOKUP(A:A,[1]TDSheet!$A:$AD,30,0)</f>
        <v>463.44719999999995</v>
      </c>
      <c r="AE108" s="13">
        <f>VLOOKUP(A:A,[1]TDSheet!$A:$AE,31,0)</f>
        <v>417.33920000000001</v>
      </c>
      <c r="AF108" s="13">
        <f>VLOOKUP(A:A,[1]TDSheet!$A:$AF,32,0)</f>
        <v>347</v>
      </c>
      <c r="AG108" s="13">
        <f>VLOOKUP(A:A,[1]TDSheet!$A:$AG,33,0)</f>
        <v>328.1148</v>
      </c>
      <c r="AH108" s="13">
        <f>VLOOKUP(A:A,[3]TDSheet!$A:$D,4,0)</f>
        <v>392.04399999999998</v>
      </c>
      <c r="AI108" s="13">
        <f>VLOOKUP(A:A,[1]TDSheet!$A:$AI,35,0)</f>
        <v>0</v>
      </c>
      <c r="AJ108" s="13">
        <f t="shared" si="11"/>
        <v>350</v>
      </c>
      <c r="AK108" s="13"/>
      <c r="AL108" s="13"/>
      <c r="AM108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2025-11-28T09:15:21Z</dcterms:modified>
</cp:coreProperties>
</file>