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6E29D47D-A3A4-44DC-BF4E-AC9485FF0F8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7" i="1"/>
  <c r="Z206" i="1"/>
  <c r="X206" i="1"/>
  <c r="BO205" i="1"/>
  <c r="BM205" i="1"/>
  <c r="Z205" i="1"/>
  <c r="Y205" i="1"/>
  <c r="P205" i="1"/>
  <c r="Y202" i="1"/>
  <c r="X202" i="1"/>
  <c r="Z201" i="1"/>
  <c r="X201" i="1"/>
  <c r="BO200" i="1"/>
  <c r="BM200" i="1"/>
  <c r="Z200" i="1"/>
  <c r="Y200" i="1"/>
  <c r="P200" i="1"/>
  <c r="X197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Z196" i="1" s="1"/>
  <c r="Y192" i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BP184" i="1"/>
  <c r="BO184" i="1"/>
  <c r="BN184" i="1"/>
  <c r="BM184" i="1"/>
  <c r="Z184" i="1"/>
  <c r="Z188" i="1" s="1"/>
  <c r="Y184" i="1"/>
  <c r="P184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6" i="1"/>
  <c r="Y175" i="1"/>
  <c r="X175" i="1"/>
  <c r="BP174" i="1"/>
  <c r="BO174" i="1"/>
  <c r="BN174" i="1"/>
  <c r="BM174" i="1"/>
  <c r="Z174" i="1"/>
  <c r="Z175" i="1" s="1"/>
  <c r="Y174" i="1"/>
  <c r="Y176" i="1" s="1"/>
  <c r="Y172" i="1"/>
  <c r="X172" i="1"/>
  <c r="Z171" i="1"/>
  <c r="X171" i="1"/>
  <c r="BO170" i="1"/>
  <c r="BM170" i="1"/>
  <c r="Z170" i="1"/>
  <c r="Y170" i="1"/>
  <c r="P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P161" i="1"/>
  <c r="BO161" i="1"/>
  <c r="BN161" i="1"/>
  <c r="BM161" i="1"/>
  <c r="Z161" i="1"/>
  <c r="Z163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2" i="1"/>
  <c r="Y151" i="1"/>
  <c r="X151" i="1"/>
  <c r="BP150" i="1"/>
  <c r="BO150" i="1"/>
  <c r="BN150" i="1"/>
  <c r="BM150" i="1"/>
  <c r="Z150" i="1"/>
  <c r="Z151" i="1" s="1"/>
  <c r="Y150" i="1"/>
  <c r="Y152" i="1" s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P145" i="1"/>
  <c r="X142" i="1"/>
  <c r="Y141" i="1"/>
  <c r="X141" i="1"/>
  <c r="BP140" i="1"/>
  <c r="BO140" i="1"/>
  <c r="BN140" i="1"/>
  <c r="BM140" i="1"/>
  <c r="Z140" i="1"/>
  <c r="Z141" i="1" s="1"/>
  <c r="Y140" i="1"/>
  <c r="Y142" i="1" s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N134" i="1"/>
  <c r="BM134" i="1"/>
  <c r="Z134" i="1"/>
  <c r="Z136" i="1" s="1"/>
  <c r="Y134" i="1"/>
  <c r="P134" i="1"/>
  <c r="X131" i="1"/>
  <c r="X130" i="1"/>
  <c r="BP129" i="1"/>
  <c r="BO129" i="1"/>
  <c r="BN129" i="1"/>
  <c r="BM129" i="1"/>
  <c r="Z129" i="1"/>
  <c r="Y129" i="1"/>
  <c r="P129" i="1"/>
  <c r="BO128" i="1"/>
  <c r="BM128" i="1"/>
  <c r="Z128" i="1"/>
  <c r="Z130" i="1" s="1"/>
  <c r="Y128" i="1"/>
  <c r="Y131" i="1" s="1"/>
  <c r="P128" i="1"/>
  <c r="X125" i="1"/>
  <c r="X124" i="1"/>
  <c r="BO123" i="1"/>
  <c r="BM123" i="1"/>
  <c r="Z123" i="1"/>
  <c r="Y123" i="1"/>
  <c r="BP123" i="1" s="1"/>
  <c r="P123" i="1"/>
  <c r="BP122" i="1"/>
  <c r="BO122" i="1"/>
  <c r="BN122" i="1"/>
  <c r="BM122" i="1"/>
  <c r="Z122" i="1"/>
  <c r="Z124" i="1" s="1"/>
  <c r="Y122" i="1"/>
  <c r="Y124" i="1" s="1"/>
  <c r="P122" i="1"/>
  <c r="X119" i="1"/>
  <c r="Y118" i="1"/>
  <c r="X118" i="1"/>
  <c r="BP117" i="1"/>
  <c r="BO117" i="1"/>
  <c r="BN117" i="1"/>
  <c r="BM117" i="1"/>
  <c r="Z117" i="1"/>
  <c r="Z118" i="1" s="1"/>
  <c r="Y117" i="1"/>
  <c r="Y119" i="1" s="1"/>
  <c r="P117" i="1"/>
  <c r="X115" i="1"/>
  <c r="Y114" i="1"/>
  <c r="X114" i="1"/>
  <c r="BP113" i="1"/>
  <c r="BO113" i="1"/>
  <c r="BN113" i="1"/>
  <c r="BM113" i="1"/>
  <c r="Z113" i="1"/>
  <c r="Z114" i="1" s="1"/>
  <c r="Y113" i="1"/>
  <c r="Y115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Z110" i="1" s="1"/>
  <c r="Y102" i="1"/>
  <c r="Y111" i="1" s="1"/>
  <c r="P102" i="1"/>
  <c r="X99" i="1"/>
  <c r="X98" i="1"/>
  <c r="BO97" i="1"/>
  <c r="BM97" i="1"/>
  <c r="Z97" i="1"/>
  <c r="Y97" i="1"/>
  <c r="BP97" i="1" s="1"/>
  <c r="P97" i="1"/>
  <c r="BP96" i="1"/>
  <c r="BO96" i="1"/>
  <c r="BN96" i="1"/>
  <c r="BM96" i="1"/>
  <c r="Z96" i="1"/>
  <c r="Z98" i="1" s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Z92" i="1" s="1"/>
  <c r="Y86" i="1"/>
  <c r="Y93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Z71" i="1" s="1"/>
  <c r="Y69" i="1"/>
  <c r="Y72" i="1" s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5" i="1" s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6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X278" i="1" s="1"/>
  <c r="BO29" i="1"/>
  <c r="X276" i="1" s="1"/>
  <c r="BM29" i="1"/>
  <c r="Z29" i="1"/>
  <c r="Y29" i="1"/>
  <c r="BP29" i="1" s="1"/>
  <c r="P29" i="1"/>
  <c r="BP28" i="1"/>
  <c r="BO28" i="1"/>
  <c r="BN28" i="1"/>
  <c r="BM28" i="1"/>
  <c r="Z28" i="1"/>
  <c r="Z30" i="1" s="1"/>
  <c r="Y28" i="1"/>
  <c r="Y30" i="1" s="1"/>
  <c r="P28" i="1"/>
  <c r="X24" i="1"/>
  <c r="X274" i="1" s="1"/>
  <c r="Y23" i="1"/>
  <c r="X23" i="1"/>
  <c r="BP22" i="1"/>
  <c r="BO22" i="1"/>
  <c r="BN22" i="1"/>
  <c r="BM22" i="1"/>
  <c r="X275" i="1" s="1"/>
  <c r="X277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Y31" i="1" l="1"/>
  <c r="Y274" i="1" s="1"/>
  <c r="Y38" i="1"/>
  <c r="Y45" i="1"/>
  <c r="Y278" i="1" s="1"/>
  <c r="Y60" i="1"/>
  <c r="Y66" i="1"/>
  <c r="Y71" i="1"/>
  <c r="Y83" i="1"/>
  <c r="Y92" i="1"/>
  <c r="Y99" i="1"/>
  <c r="Y110" i="1"/>
  <c r="Y125" i="1"/>
  <c r="Y130" i="1"/>
  <c r="BP162" i="1"/>
  <c r="BN162" i="1"/>
  <c r="BP186" i="1"/>
  <c r="BN186" i="1"/>
  <c r="Y188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Y275" i="1" s="1"/>
  <c r="BN34" i="1"/>
  <c r="BP34" i="1"/>
  <c r="Y276" i="1" s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23" i="1"/>
  <c r="BN128" i="1"/>
  <c r="BP128" i="1"/>
  <c r="Y137" i="1"/>
  <c r="BP134" i="1"/>
  <c r="Y163" i="1"/>
  <c r="Y164" i="1"/>
  <c r="Y171" i="1"/>
  <c r="BP168" i="1"/>
  <c r="BN168" i="1"/>
  <c r="BP170" i="1"/>
  <c r="BN170" i="1"/>
  <c r="Y189" i="1"/>
  <c r="Y196" i="1"/>
  <c r="Y197" i="1"/>
  <c r="Y201" i="1"/>
  <c r="BP200" i="1"/>
  <c r="BN200" i="1"/>
  <c r="Y207" i="1"/>
  <c r="Y212" i="1"/>
  <c r="BP209" i="1"/>
  <c r="BN209" i="1"/>
  <c r="BP211" i="1"/>
  <c r="BN211" i="1"/>
  <c r="Z218" i="1"/>
  <c r="Z279" i="1" s="1"/>
  <c r="Y249" i="1"/>
  <c r="Y253" i="1"/>
  <c r="Y254" i="1"/>
  <c r="Y259" i="1"/>
  <c r="BP256" i="1"/>
  <c r="BN256" i="1"/>
  <c r="BP258" i="1"/>
  <c r="BN258" i="1"/>
  <c r="Z272" i="1"/>
  <c r="Y277" i="1" l="1"/>
  <c r="B287" i="1"/>
  <c r="C287" i="1"/>
  <c r="A287" i="1"/>
</calcChain>
</file>

<file path=xl/sharedStrings.xml><?xml version="1.0" encoding="utf-8"?>
<sst xmlns="http://schemas.openxmlformats.org/spreadsheetml/2006/main" count="1229" uniqueCount="397">
  <si>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</si>
  <si>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</si>
  <si>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</si>
  <si>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</si>
  <si>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</si>
  <si>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15.11.2025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</si>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</sst>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6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4" t="s">
        <v>0</v>
      </c>
      <c r="E1" s="290"/>
      <c r="F1" s="290"/>
      <c r="G1" s="12" t="s">
        <v>1</v>
      </c>
      <c r="H1" s="324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51" t="s">
        <v>8</v>
      </c>
      <c r="B5" s="319"/>
      <c r="C5" s="320"/>
      <c r="D5" s="326"/>
      <c r="E5" s="327"/>
      <c r="F5" s="439" t="s">
        <v>9</v>
      </c>
      <c r="G5" s="320"/>
      <c r="H5" s="326"/>
      <c r="I5" s="412"/>
      <c r="J5" s="412"/>
      <c r="K5" s="412"/>
      <c r="L5" s="412"/>
      <c r="M5" s="327"/>
      <c r="N5" s="61"/>
      <c r="P5" s="24" t="s">
        <v>10</v>
      </c>
      <c r="Q5" s="446">
        <v>45982</v>
      </c>
      <c r="R5" s="349"/>
      <c r="T5" s="371" t="s">
        <v>11</v>
      </c>
      <c r="U5" s="372"/>
      <c r="V5" s="373" t="s">
        <v>12</v>
      </c>
      <c r="W5" s="349"/>
      <c r="AB5" s="51"/>
      <c r="AC5" s="51"/>
      <c r="AD5" s="51"/>
      <c r="AE5" s="51"/>
    </row>
    <row r="6" spans="1:32" s="262" customFormat="1" ht="24" customHeight="1" x14ac:dyDescent="0.2">
      <c r="A6" s="351" t="s">
        <v>13</v>
      </c>
      <c r="B6" s="319"/>
      <c r="C6" s="320"/>
      <c r="D6" s="413" t="s">
        <v>14</v>
      </c>
      <c r="E6" s="414"/>
      <c r="F6" s="414"/>
      <c r="G6" s="414"/>
      <c r="H6" s="414"/>
      <c r="I6" s="414"/>
      <c r="J6" s="414"/>
      <c r="K6" s="414"/>
      <c r="L6" s="414"/>
      <c r="M6" s="349"/>
      <c r="N6" s="62"/>
      <c r="P6" s="24" t="s">
        <v>15</v>
      </c>
      <c r="Q6" s="449" t="str">
        <f>IF(Q5=0," ",CHOOSE(WEEKDAY(Q5,2),"Понедельник","Вторник","Среда","Четверг","Пятница","Суббота","Воскресенье"))</f>
        <v>Пятница</v>
      </c>
      <c r="R6" s="273"/>
      <c r="T6" s="377" t="s">
        <v>16</v>
      </c>
      <c r="U6" s="372"/>
      <c r="V6" s="400" t="s">
        <v>17</v>
      </c>
      <c r="W6" s="29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2"/>
      <c r="V7" s="401"/>
      <c r="W7" s="402"/>
      <c r="AB7" s="51"/>
      <c r="AC7" s="51"/>
      <c r="AD7" s="51"/>
      <c r="AE7" s="51"/>
    </row>
    <row r="8" spans="1:32" s="262" customFormat="1" ht="25.5" customHeight="1" x14ac:dyDescent="0.2">
      <c r="A8" s="456" t="s">
        <v>18</v>
      </c>
      <c r="B8" s="279"/>
      <c r="C8" s="280"/>
      <c r="D8" s="314" t="s">
        <v>19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20</v>
      </c>
      <c r="Q8" s="354">
        <v>0.375</v>
      </c>
      <c r="R8" s="308"/>
      <c r="T8" s="285"/>
      <c r="U8" s="372"/>
      <c r="V8" s="401"/>
      <c r="W8" s="402"/>
      <c r="AB8" s="51"/>
      <c r="AC8" s="51"/>
      <c r="AD8" s="51"/>
      <c r="AE8" s="51"/>
    </row>
    <row r="9" spans="1:32" s="262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9"/>
      <c r="E9" s="277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76" t="str">
        <f>IF(AND($A$9="Тип доверенности/получателя при получении в адресе перегруза:",$D$9="Разовая доверенность"),"Введите ФИО","")</f>
        <v/>
      </c>
      <c r="I9" s="277"/>
      <c r="J9" s="2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7"/>
      <c r="L9" s="277"/>
      <c r="M9" s="277"/>
      <c r="N9" s="260"/>
      <c r="P9" s="26" t="s">
        <v>21</v>
      </c>
      <c r="Q9" s="346"/>
      <c r="R9" s="347"/>
      <c r="T9" s="285"/>
      <c r="U9" s="372"/>
      <c r="V9" s="403"/>
      <c r="W9" s="404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9"/>
      <c r="E10" s="277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6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22</v>
      </c>
      <c r="Q10" s="378"/>
      <c r="R10" s="379"/>
      <c r="U10" s="24" t="s">
        <v>23</v>
      </c>
      <c r="V10" s="298" t="s">
        <v>24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8"/>
      <c r="R11" s="349"/>
      <c r="U11" s="24" t="s">
        <v>27</v>
      </c>
      <c r="V11" s="419" t="s">
        <v>28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70" t="s">
        <v>29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20"/>
      <c r="N12" s="65"/>
      <c r="P12" s="24" t="s">
        <v>30</v>
      </c>
      <c r="Q12" s="354"/>
      <c r="R12" s="308"/>
      <c r="S12" s="23"/>
      <c r="U12" s="24"/>
      <c r="V12" s="290"/>
      <c r="W12" s="285"/>
      <c r="AB12" s="51"/>
      <c r="AC12" s="51"/>
      <c r="AD12" s="51"/>
      <c r="AE12" s="51"/>
    </row>
    <row r="13" spans="1:32" s="262" customFormat="1" ht="23.25" customHeight="1" x14ac:dyDescent="0.2">
      <c r="A13" s="370" t="s">
        <v>31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20"/>
      <c r="N13" s="65"/>
      <c r="O13" s="26"/>
      <c r="P13" s="26" t="s">
        <v>32</v>
      </c>
      <c r="Q13" s="419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70" t="s">
        <v>33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6" t="s">
        <v>34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20"/>
      <c r="N15" s="66"/>
      <c r="P15" s="364" t="s">
        <v>35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58" t="s">
        <v>38</v>
      </c>
      <c r="D17" s="294" t="s">
        <v>39</v>
      </c>
      <c r="E17" s="336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35"/>
      <c r="R17" s="335"/>
      <c r="S17" s="335"/>
      <c r="T17" s="336"/>
      <c r="U17" s="453" t="s">
        <v>51</v>
      </c>
      <c r="V17" s="320"/>
      <c r="W17" s="294" t="s">
        <v>52</v>
      </c>
      <c r="X17" s="294" t="s">
        <v>53</v>
      </c>
      <c r="Y17" s="454" t="s">
        <v>54</v>
      </c>
      <c r="Z17" s="410" t="s">
        <v>55</v>
      </c>
      <c r="AA17" s="394" t="s">
        <v>56</v>
      </c>
      <c r="AB17" s="394" t="s">
        <v>57</v>
      </c>
      <c r="AC17" s="394" t="s">
        <v>58</v>
      </c>
      <c r="AD17" s="394" t="s">
        <v>59</v>
      </c>
      <c r="AE17" s="434"/>
      <c r="AF17" s="435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37"/>
      <c r="E18" s="339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7"/>
      <c r="Q18" s="338"/>
      <c r="R18" s="338"/>
      <c r="S18" s="338"/>
      <c r="T18" s="339"/>
      <c r="U18" s="70" t="s">
        <v>61</v>
      </c>
      <c r="V18" s="70" t="s">
        <v>62</v>
      </c>
      <c r="W18" s="295"/>
      <c r="X18" s="295"/>
      <c r="Y18" s="455"/>
      <c r="Z18" s="411"/>
      <c r="AA18" s="395"/>
      <c r="AB18" s="395"/>
      <c r="AC18" s="395"/>
      <c r="AD18" s="436"/>
      <c r="AE18" s="437"/>
      <c r="AF18" s="438"/>
      <c r="AG18" s="69"/>
      <c r="BD18" s="68"/>
    </row>
    <row r="19" spans="1:68" ht="27.75" customHeight="1" x14ac:dyDescent="0.2">
      <c r="A19" s="321" t="s">
        <v>63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48"/>
      <c r="AB19" s="48"/>
      <c r="AC19" s="48"/>
    </row>
    <row r="20" spans="1:68" ht="16.5" customHeight="1" x14ac:dyDescent="0.25">
      <c r="A20" s="284" t="s">
        <v>63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4" t="s">
        <v>64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272">
        <v>4607111035752</v>
      </c>
      <c r="E22" s="273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7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2"/>
      <c r="R22" s="282"/>
      <c r="S22" s="282"/>
      <c r="T22" s="283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87"/>
      <c r="P23" s="278" t="s">
        <v>73</v>
      </c>
      <c r="Q23" s="279"/>
      <c r="R23" s="279"/>
      <c r="S23" s="279"/>
      <c r="T23" s="279"/>
      <c r="U23" s="279"/>
      <c r="V23" s="280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5"/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87"/>
      <c r="P24" s="278" t="s">
        <v>73</v>
      </c>
      <c r="Q24" s="279"/>
      <c r="R24" s="279"/>
      <c r="S24" s="279"/>
      <c r="T24" s="279"/>
      <c r="U24" s="279"/>
      <c r="V24" s="280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1" t="s">
        <v>75</v>
      </c>
      <c r="B25" s="322"/>
      <c r="C25" s="322"/>
      <c r="D25" s="322"/>
      <c r="E25" s="322"/>
      <c r="F25" s="322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  <c r="AA25" s="48"/>
      <c r="AB25" s="48"/>
      <c r="AC25" s="48"/>
    </row>
    <row r="26" spans="1:68" ht="16.5" customHeight="1" x14ac:dyDescent="0.25">
      <c r="A26" s="284" t="s">
        <v>76</v>
      </c>
      <c r="B26" s="285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  <c r="AA26" s="263"/>
      <c r="AB26" s="263"/>
      <c r="AC26" s="263"/>
    </row>
    <row r="27" spans="1:68" ht="14.25" customHeight="1" x14ac:dyDescent="0.25">
      <c r="A27" s="304" t="s">
        <v>77</v>
      </c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A27" s="264"/>
      <c r="AB27" s="264"/>
      <c r="AC27" s="264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72">
        <v>4607111036537</v>
      </c>
      <c r="E28" s="273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2"/>
      <c r="R28" s="282"/>
      <c r="S28" s="282"/>
      <c r="T28" s="283"/>
      <c r="U28" s="34"/>
      <c r="V28" s="34"/>
      <c r="W28" s="35" t="s">
        <v>70</v>
      </c>
      <c r="X28" s="268">
        <v>182</v>
      </c>
      <c r="Y28" s="269">
        <f>IFERROR(IF(X28="","",X28),"")</f>
        <v>182</v>
      </c>
      <c r="Z28" s="36">
        <f>IFERROR(IF(X28="","",X28*0.00941),"")</f>
        <v>1.71262</v>
      </c>
      <c r="AA28" s="56"/>
      <c r="AB28" s="57"/>
      <c r="AC28" s="74" t="s">
        <v>82</v>
      </c>
      <c r="AG28" s="67"/>
      <c r="AJ28" s="71" t="s">
        <v>83</v>
      </c>
      <c r="AK28" s="71">
        <v>140</v>
      </c>
      <c r="BB28" s="75" t="s">
        <v>84</v>
      </c>
      <c r="BM28" s="67">
        <f>IFERROR(X28*I28,"0")</f>
        <v>349.76760000000002</v>
      </c>
      <c r="BN28" s="67">
        <f>IFERROR(Y28*I28,"0")</f>
        <v>349.76760000000002</v>
      </c>
      <c r="BO28" s="67">
        <f>IFERROR(X28/J28,"0")</f>
        <v>1.3</v>
      </c>
      <c r="BP28" s="67">
        <f>IFERROR(Y28/J28,"0")</f>
        <v>1.3</v>
      </c>
    </row>
    <row r="29" spans="1:68" ht="27" customHeight="1" x14ac:dyDescent="0.25">
      <c r="A29" s="54" t="s">
        <v>85</v>
      </c>
      <c r="B29" s="54" t="s">
        <v>86</v>
      </c>
      <c r="C29" s="31">
        <v>4301132188</v>
      </c>
      <c r="D29" s="272">
        <v>4607111036605</v>
      </c>
      <c r="E29" s="273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1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2"/>
      <c r="R29" s="282"/>
      <c r="S29" s="282"/>
      <c r="T29" s="283"/>
      <c r="U29" s="34"/>
      <c r="V29" s="34"/>
      <c r="W29" s="35" t="s">
        <v>70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84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6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7"/>
      <c r="P30" s="278" t="s">
        <v>73</v>
      </c>
      <c r="Q30" s="279"/>
      <c r="R30" s="279"/>
      <c r="S30" s="279"/>
      <c r="T30" s="279"/>
      <c r="U30" s="279"/>
      <c r="V30" s="280"/>
      <c r="W30" s="37" t="s">
        <v>70</v>
      </c>
      <c r="X30" s="270">
        <f>IFERROR(SUM(X28:X29),"0")</f>
        <v>182</v>
      </c>
      <c r="Y30" s="270">
        <f>IFERROR(SUM(Y28:Y29),"0")</f>
        <v>182</v>
      </c>
      <c r="Z30" s="270">
        <f>IFERROR(IF(Z28="",0,Z28),"0")+IFERROR(IF(Z29="",0,Z29),"0")</f>
        <v>1.71262</v>
      </c>
      <c r="AA30" s="271"/>
      <c r="AB30" s="271"/>
      <c r="AC30" s="271"/>
    </row>
    <row r="31" spans="1:68" x14ac:dyDescent="0.2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7"/>
      <c r="P31" s="278" t="s">
        <v>73</v>
      </c>
      <c r="Q31" s="279"/>
      <c r="R31" s="279"/>
      <c r="S31" s="279"/>
      <c r="T31" s="279"/>
      <c r="U31" s="279"/>
      <c r="V31" s="280"/>
      <c r="W31" s="37" t="s">
        <v>74</v>
      </c>
      <c r="X31" s="270">
        <f>IFERROR(SUMPRODUCT(X28:X29*H28:H29),"0")</f>
        <v>273</v>
      </c>
      <c r="Y31" s="270">
        <f>IFERROR(SUMPRODUCT(Y28:Y29*H28:H29),"0")</f>
        <v>273</v>
      </c>
      <c r="Z31" s="37"/>
      <c r="AA31" s="271"/>
      <c r="AB31" s="271"/>
      <c r="AC31" s="271"/>
    </row>
    <row r="32" spans="1:68" ht="16.5" customHeight="1" x14ac:dyDescent="0.25">
      <c r="A32" s="284" t="s">
        <v>87</v>
      </c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63"/>
      <c r="AB32" s="263"/>
      <c r="AC32" s="263"/>
    </row>
    <row r="33" spans="1:68" ht="14.25" customHeight="1" x14ac:dyDescent="0.25">
      <c r="A33" s="304" t="s">
        <v>64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A33" s="264"/>
      <c r="AB33" s="264"/>
      <c r="AC33" s="264"/>
    </row>
    <row r="34" spans="1:68" ht="27" customHeight="1" x14ac:dyDescent="0.25">
      <c r="A34" s="54" t="s">
        <v>88</v>
      </c>
      <c r="B34" s="54" t="s">
        <v>89</v>
      </c>
      <c r="C34" s="31">
        <v>4301071090</v>
      </c>
      <c r="D34" s="272">
        <v>4620207490075</v>
      </c>
      <c r="E34" s="273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68</v>
      </c>
      <c r="M34" s="33" t="s">
        <v>69</v>
      </c>
      <c r="N34" s="33"/>
      <c r="O34" s="32">
        <v>180</v>
      </c>
      <c r="P34" s="42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2"/>
      <c r="R34" s="282"/>
      <c r="S34" s="282"/>
      <c r="T34" s="283"/>
      <c r="U34" s="34"/>
      <c r="V34" s="34"/>
      <c r="W34" s="35" t="s">
        <v>70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90</v>
      </c>
      <c r="AG34" s="67"/>
      <c r="AJ34" s="71" t="s">
        <v>72</v>
      </c>
      <c r="AK34" s="71">
        <v>1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91</v>
      </c>
      <c r="B35" s="54" t="s">
        <v>92</v>
      </c>
      <c r="C35" s="31">
        <v>4301071092</v>
      </c>
      <c r="D35" s="272">
        <v>4620207490174</v>
      </c>
      <c r="E35" s="273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93</v>
      </c>
      <c r="M35" s="33" t="s">
        <v>69</v>
      </c>
      <c r="N35" s="33"/>
      <c r="O35" s="32">
        <v>180</v>
      </c>
      <c r="P35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2"/>
      <c r="R35" s="282"/>
      <c r="S35" s="282"/>
      <c r="T35" s="283"/>
      <c r="U35" s="34"/>
      <c r="V35" s="34"/>
      <c r="W35" s="35" t="s">
        <v>70</v>
      </c>
      <c r="X35" s="268">
        <v>24</v>
      </c>
      <c r="Y35" s="269">
        <f>IFERROR(IF(X35="","",X35),"")</f>
        <v>24</v>
      </c>
      <c r="Z35" s="36">
        <f>IFERROR(IF(X35="","",X35*0.0155),"")</f>
        <v>0.372</v>
      </c>
      <c r="AA35" s="56"/>
      <c r="AB35" s="57"/>
      <c r="AC35" s="80" t="s">
        <v>94</v>
      </c>
      <c r="AG35" s="67"/>
      <c r="AJ35" s="71" t="s">
        <v>95</v>
      </c>
      <c r="AK35" s="71">
        <v>12</v>
      </c>
      <c r="BB35" s="81" t="s">
        <v>1</v>
      </c>
      <c r="BM35" s="67">
        <f>IFERROR(X35*I35,"0")</f>
        <v>140.88</v>
      </c>
      <c r="BN35" s="67">
        <f>IFERROR(Y35*I35,"0")</f>
        <v>140.88</v>
      </c>
      <c r="BO35" s="67">
        <f>IFERROR(X35/J35,"0")</f>
        <v>0.2857142857142857</v>
      </c>
      <c r="BP35" s="67">
        <f>IFERROR(Y35/J35,"0")</f>
        <v>0.2857142857142857</v>
      </c>
    </row>
    <row r="36" spans="1:68" ht="27" customHeight="1" x14ac:dyDescent="0.25">
      <c r="A36" s="54" t="s">
        <v>96</v>
      </c>
      <c r="B36" s="54" t="s">
        <v>97</v>
      </c>
      <c r="C36" s="31">
        <v>4301071091</v>
      </c>
      <c r="D36" s="272">
        <v>4620207490044</v>
      </c>
      <c r="E36" s="273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42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2"/>
      <c r="R36" s="282"/>
      <c r="S36" s="282"/>
      <c r="T36" s="283"/>
      <c r="U36" s="34"/>
      <c r="V36" s="34"/>
      <c r="W36" s="35" t="s">
        <v>70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6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7"/>
      <c r="P37" s="278" t="s">
        <v>73</v>
      </c>
      <c r="Q37" s="279"/>
      <c r="R37" s="279"/>
      <c r="S37" s="279"/>
      <c r="T37" s="279"/>
      <c r="U37" s="279"/>
      <c r="V37" s="280"/>
      <c r="W37" s="37" t="s">
        <v>70</v>
      </c>
      <c r="X37" s="270">
        <f>IFERROR(SUM(X34:X36),"0")</f>
        <v>24</v>
      </c>
      <c r="Y37" s="270">
        <f>IFERROR(SUM(Y34:Y36),"0")</f>
        <v>24</v>
      </c>
      <c r="Z37" s="270">
        <f>IFERROR(IF(Z34="",0,Z34),"0")+IFERROR(IF(Z35="",0,Z35),"0")+IFERROR(IF(Z36="",0,Z36),"0")</f>
        <v>0.372</v>
      </c>
      <c r="AA37" s="271"/>
      <c r="AB37" s="271"/>
      <c r="AC37" s="271"/>
    </row>
    <row r="38" spans="1:68" x14ac:dyDescent="0.2">
      <c r="A38" s="285"/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7"/>
      <c r="P38" s="278" t="s">
        <v>73</v>
      </c>
      <c r="Q38" s="279"/>
      <c r="R38" s="279"/>
      <c r="S38" s="279"/>
      <c r="T38" s="279"/>
      <c r="U38" s="279"/>
      <c r="V38" s="280"/>
      <c r="W38" s="37" t="s">
        <v>74</v>
      </c>
      <c r="X38" s="270">
        <f>IFERROR(SUMPRODUCT(X34:X36*H34:H36),"0")</f>
        <v>134.39999999999998</v>
      </c>
      <c r="Y38" s="270">
        <f>IFERROR(SUMPRODUCT(Y34:Y36*H34:H36),"0")</f>
        <v>134.39999999999998</v>
      </c>
      <c r="Z38" s="37"/>
      <c r="AA38" s="271"/>
      <c r="AB38" s="271"/>
      <c r="AC38" s="271"/>
    </row>
    <row r="39" spans="1:68" ht="16.5" customHeight="1" x14ac:dyDescent="0.25">
      <c r="A39" s="284" t="s">
        <v>99</v>
      </c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63"/>
      <c r="AB39" s="263"/>
      <c r="AC39" s="263"/>
    </row>
    <row r="40" spans="1:68" ht="14.25" customHeight="1" x14ac:dyDescent="0.25">
      <c r="A40" s="304" t="s">
        <v>64</v>
      </c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64"/>
      <c r="AB40" s="264"/>
      <c r="AC40" s="264"/>
    </row>
    <row r="41" spans="1:68" ht="27" customHeight="1" x14ac:dyDescent="0.25">
      <c r="A41" s="54" t="s">
        <v>100</v>
      </c>
      <c r="B41" s="54" t="s">
        <v>101</v>
      </c>
      <c r="C41" s="31">
        <v>4301071044</v>
      </c>
      <c r="D41" s="272">
        <v>4607111039385</v>
      </c>
      <c r="E41" s="273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93</v>
      </c>
      <c r="M41" s="33" t="s">
        <v>69</v>
      </c>
      <c r="N41" s="33"/>
      <c r="O41" s="32">
        <v>180</v>
      </c>
      <c r="P41" s="4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2"/>
      <c r="R41" s="282"/>
      <c r="S41" s="282"/>
      <c r="T41" s="283"/>
      <c r="U41" s="34"/>
      <c r="V41" s="34"/>
      <c r="W41" s="35" t="s">
        <v>70</v>
      </c>
      <c r="X41" s="268">
        <v>48</v>
      </c>
      <c r="Y41" s="269">
        <f>IFERROR(IF(X41="","",X41),"")</f>
        <v>48</v>
      </c>
      <c r="Z41" s="36">
        <f>IFERROR(IF(X41="","",X41*0.0155),"")</f>
        <v>0.74399999999999999</v>
      </c>
      <c r="AA41" s="56"/>
      <c r="AB41" s="57"/>
      <c r="AC41" s="84" t="s">
        <v>102</v>
      </c>
      <c r="AG41" s="67"/>
      <c r="AJ41" s="71" t="s">
        <v>95</v>
      </c>
      <c r="AK41" s="71">
        <v>12</v>
      </c>
      <c r="BB41" s="85" t="s">
        <v>1</v>
      </c>
      <c r="BM41" s="67">
        <f>IFERROR(X41*I41,"0")</f>
        <v>350.4</v>
      </c>
      <c r="BN41" s="67">
        <f>IFERROR(Y41*I41,"0")</f>
        <v>350.4</v>
      </c>
      <c r="BO41" s="67">
        <f>IFERROR(X41/J41,"0")</f>
        <v>0.5714285714285714</v>
      </c>
      <c r="BP41" s="67">
        <f>IFERROR(Y41/J41,"0")</f>
        <v>0.5714285714285714</v>
      </c>
    </row>
    <row r="42" spans="1:68" ht="27" customHeight="1" x14ac:dyDescent="0.25">
      <c r="A42" s="54" t="s">
        <v>103</v>
      </c>
      <c r="B42" s="54" t="s">
        <v>104</v>
      </c>
      <c r="C42" s="31">
        <v>4301071031</v>
      </c>
      <c r="D42" s="272">
        <v>4607111038982</v>
      </c>
      <c r="E42" s="273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93</v>
      </c>
      <c r="M42" s="33" t="s">
        <v>69</v>
      </c>
      <c r="N42" s="33"/>
      <c r="O42" s="32">
        <v>180</v>
      </c>
      <c r="P42" s="32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2"/>
      <c r="R42" s="282"/>
      <c r="S42" s="282"/>
      <c r="T42" s="283"/>
      <c r="U42" s="34"/>
      <c r="V42" s="34"/>
      <c r="W42" s="35" t="s">
        <v>70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105</v>
      </c>
      <c r="AG42" s="67"/>
      <c r="AJ42" s="71" t="s">
        <v>95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4301071046</v>
      </c>
      <c r="D43" s="272">
        <v>4607111039354</v>
      </c>
      <c r="E43" s="273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93</v>
      </c>
      <c r="M43" s="33" t="s">
        <v>69</v>
      </c>
      <c r="N43" s="33"/>
      <c r="O43" s="32">
        <v>180</v>
      </c>
      <c r="P43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2"/>
      <c r="R43" s="282"/>
      <c r="S43" s="282"/>
      <c r="T43" s="283"/>
      <c r="U43" s="34"/>
      <c r="V43" s="34"/>
      <c r="W43" s="35" t="s">
        <v>70</v>
      </c>
      <c r="X43" s="268">
        <v>12</v>
      </c>
      <c r="Y43" s="269">
        <f>IFERROR(IF(X43="","",X43),"")</f>
        <v>12</v>
      </c>
      <c r="Z43" s="36">
        <f>IFERROR(IF(X43="","",X43*0.0155),"")</f>
        <v>0.186</v>
      </c>
      <c r="AA43" s="56"/>
      <c r="AB43" s="57"/>
      <c r="AC43" s="88" t="s">
        <v>105</v>
      </c>
      <c r="AG43" s="67"/>
      <c r="AJ43" s="71" t="s">
        <v>95</v>
      </c>
      <c r="AK43" s="71">
        <v>12</v>
      </c>
      <c r="BB43" s="89" t="s">
        <v>1</v>
      </c>
      <c r="BM43" s="67">
        <f>IFERROR(X43*I43,"0")</f>
        <v>80.635199999999998</v>
      </c>
      <c r="BN43" s="67">
        <f>IFERROR(Y43*I43,"0")</f>
        <v>80.635199999999998</v>
      </c>
      <c r="BO43" s="67">
        <f>IFERROR(X43/J43,"0")</f>
        <v>0.14285714285714285</v>
      </c>
      <c r="BP43" s="67">
        <f>IFERROR(Y43/J43,"0")</f>
        <v>0.14285714285714285</v>
      </c>
    </row>
    <row r="44" spans="1:68" ht="27" customHeight="1" x14ac:dyDescent="0.25">
      <c r="A44" s="54" t="s">
        <v>108</v>
      </c>
      <c r="B44" s="54" t="s">
        <v>109</v>
      </c>
      <c r="C44" s="31">
        <v>4301071047</v>
      </c>
      <c r="D44" s="272">
        <v>4607111039330</v>
      </c>
      <c r="E44" s="273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2"/>
      <c r="R44" s="282"/>
      <c r="S44" s="282"/>
      <c r="T44" s="283"/>
      <c r="U44" s="34"/>
      <c r="V44" s="34"/>
      <c r="W44" s="35" t="s">
        <v>70</v>
      </c>
      <c r="X44" s="268">
        <v>156</v>
      </c>
      <c r="Y44" s="269">
        <f>IFERROR(IF(X44="","",X44),"")</f>
        <v>156</v>
      </c>
      <c r="Z44" s="36">
        <f>IFERROR(IF(X44="","",X44*0.0155),"")</f>
        <v>2.4180000000000001</v>
      </c>
      <c r="AA44" s="56"/>
      <c r="AB44" s="57"/>
      <c r="AC44" s="90" t="s">
        <v>105</v>
      </c>
      <c r="AG44" s="67"/>
      <c r="AJ44" s="71" t="s">
        <v>83</v>
      </c>
      <c r="AK44" s="71">
        <v>84</v>
      </c>
      <c r="BB44" s="91" t="s">
        <v>1</v>
      </c>
      <c r="BM44" s="67">
        <f>IFERROR(X44*I44,"0")</f>
        <v>1138.8</v>
      </c>
      <c r="BN44" s="67">
        <f>IFERROR(Y44*I44,"0")</f>
        <v>1138.8</v>
      </c>
      <c r="BO44" s="67">
        <f>IFERROR(X44/J44,"0")</f>
        <v>1.8571428571428572</v>
      </c>
      <c r="BP44" s="67">
        <f>IFERROR(Y44/J44,"0")</f>
        <v>1.8571428571428572</v>
      </c>
    </row>
    <row r="45" spans="1:68" x14ac:dyDescent="0.2">
      <c r="A45" s="286"/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7"/>
      <c r="P45" s="278" t="s">
        <v>73</v>
      </c>
      <c r="Q45" s="279"/>
      <c r="R45" s="279"/>
      <c r="S45" s="279"/>
      <c r="T45" s="279"/>
      <c r="U45" s="279"/>
      <c r="V45" s="280"/>
      <c r="W45" s="37" t="s">
        <v>70</v>
      </c>
      <c r="X45" s="270">
        <f>IFERROR(SUM(X41:X44),"0")</f>
        <v>216</v>
      </c>
      <c r="Y45" s="270">
        <f>IFERROR(SUM(Y41:Y44),"0")</f>
        <v>216</v>
      </c>
      <c r="Z45" s="270">
        <f>IFERROR(IF(Z41="",0,Z41),"0")+IFERROR(IF(Z42="",0,Z42),"0")+IFERROR(IF(Z43="",0,Z43),"0")+IFERROR(IF(Z44="",0,Z44),"0")</f>
        <v>3.3479999999999999</v>
      </c>
      <c r="AA45" s="271"/>
      <c r="AB45" s="271"/>
      <c r="AC45" s="271"/>
    </row>
    <row r="46" spans="1:68" x14ac:dyDescent="0.2">
      <c r="A46" s="285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7"/>
      <c r="P46" s="278" t="s">
        <v>73</v>
      </c>
      <c r="Q46" s="279"/>
      <c r="R46" s="279"/>
      <c r="S46" s="279"/>
      <c r="T46" s="279"/>
      <c r="U46" s="279"/>
      <c r="V46" s="280"/>
      <c r="W46" s="37" t="s">
        <v>74</v>
      </c>
      <c r="X46" s="270">
        <f>IFERROR(SUMPRODUCT(X41:X44*H41:H44),"0")</f>
        <v>1504.8</v>
      </c>
      <c r="Y46" s="270">
        <f>IFERROR(SUMPRODUCT(Y41:Y44*H41:H44),"0")</f>
        <v>1504.8</v>
      </c>
      <c r="Z46" s="37"/>
      <c r="AA46" s="271"/>
      <c r="AB46" s="271"/>
      <c r="AC46" s="271"/>
    </row>
    <row r="47" spans="1:68" ht="16.5" customHeight="1" x14ac:dyDescent="0.25">
      <c r="A47" s="284" t="s">
        <v>110</v>
      </c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  <c r="AA47" s="263"/>
      <c r="AB47" s="263"/>
      <c r="AC47" s="263"/>
    </row>
    <row r="48" spans="1:68" ht="14.25" customHeight="1" x14ac:dyDescent="0.25">
      <c r="A48" s="304" t="s">
        <v>64</v>
      </c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A48" s="264"/>
      <c r="AB48" s="264"/>
      <c r="AC48" s="264"/>
    </row>
    <row r="49" spans="1:68" ht="16.5" customHeight="1" x14ac:dyDescent="0.25">
      <c r="A49" s="54" t="s">
        <v>111</v>
      </c>
      <c r="B49" s="54" t="s">
        <v>112</v>
      </c>
      <c r="C49" s="31">
        <v>4301071073</v>
      </c>
      <c r="D49" s="272">
        <v>4620207490822</v>
      </c>
      <c r="E49" s="273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2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2"/>
      <c r="R49" s="282"/>
      <c r="S49" s="282"/>
      <c r="T49" s="283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113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7"/>
      <c r="P50" s="278" t="s">
        <v>73</v>
      </c>
      <c r="Q50" s="279"/>
      <c r="R50" s="279"/>
      <c r="S50" s="279"/>
      <c r="T50" s="279"/>
      <c r="U50" s="279"/>
      <c r="V50" s="280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5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7"/>
      <c r="P51" s="278" t="s">
        <v>73</v>
      </c>
      <c r="Q51" s="279"/>
      <c r="R51" s="279"/>
      <c r="S51" s="279"/>
      <c r="T51" s="279"/>
      <c r="U51" s="279"/>
      <c r="V51" s="280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4" t="s">
        <v>77</v>
      </c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A52" s="264"/>
      <c r="AB52" s="264"/>
      <c r="AC52" s="264"/>
    </row>
    <row r="53" spans="1:68" ht="27" customHeight="1" x14ac:dyDescent="0.25">
      <c r="A53" s="54" t="s">
        <v>114</v>
      </c>
      <c r="B53" s="54" t="s">
        <v>115</v>
      </c>
      <c r="C53" s="31">
        <v>4301132194</v>
      </c>
      <c r="D53" s="272">
        <v>4607111039712</v>
      </c>
      <c r="E53" s="273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2"/>
      <c r="R53" s="282"/>
      <c r="S53" s="282"/>
      <c r="T53" s="283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116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7"/>
      <c r="P54" s="278" t="s">
        <v>73</v>
      </c>
      <c r="Q54" s="279"/>
      <c r="R54" s="279"/>
      <c r="S54" s="279"/>
      <c r="T54" s="279"/>
      <c r="U54" s="279"/>
      <c r="V54" s="280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5"/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7"/>
      <c r="P55" s="278" t="s">
        <v>73</v>
      </c>
      <c r="Q55" s="279"/>
      <c r="R55" s="279"/>
      <c r="S55" s="279"/>
      <c r="T55" s="279"/>
      <c r="U55" s="279"/>
      <c r="V55" s="280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4" t="s">
        <v>117</v>
      </c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A56" s="264"/>
      <c r="AB56" s="264"/>
      <c r="AC56" s="264"/>
    </row>
    <row r="57" spans="1:68" ht="16.5" customHeight="1" x14ac:dyDescent="0.25">
      <c r="A57" s="54" t="s">
        <v>118</v>
      </c>
      <c r="B57" s="54" t="s">
        <v>119</v>
      </c>
      <c r="C57" s="31">
        <v>4301136018</v>
      </c>
      <c r="D57" s="272">
        <v>4607111037008</v>
      </c>
      <c r="E57" s="273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2"/>
      <c r="R57" s="282"/>
      <c r="S57" s="282"/>
      <c r="T57" s="283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120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121</v>
      </c>
      <c r="B58" s="54" t="s">
        <v>122</v>
      </c>
      <c r="C58" s="31">
        <v>4301136015</v>
      </c>
      <c r="D58" s="272">
        <v>4607111037398</v>
      </c>
      <c r="E58" s="273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2"/>
      <c r="R58" s="282"/>
      <c r="S58" s="282"/>
      <c r="T58" s="283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7"/>
      <c r="P59" s="278" t="s">
        <v>73</v>
      </c>
      <c r="Q59" s="279"/>
      <c r="R59" s="279"/>
      <c r="S59" s="279"/>
      <c r="T59" s="279"/>
      <c r="U59" s="279"/>
      <c r="V59" s="280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5"/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7"/>
      <c r="P60" s="278" t="s">
        <v>73</v>
      </c>
      <c r="Q60" s="279"/>
      <c r="R60" s="279"/>
      <c r="S60" s="279"/>
      <c r="T60" s="279"/>
      <c r="U60" s="279"/>
      <c r="V60" s="280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4" t="s">
        <v>123</v>
      </c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A61" s="264"/>
      <c r="AB61" s="264"/>
      <c r="AC61" s="264"/>
    </row>
    <row r="62" spans="1:68" ht="27" customHeight="1" x14ac:dyDescent="0.25">
      <c r="A62" s="54" t="s">
        <v>124</v>
      </c>
      <c r="B62" s="54" t="s">
        <v>125</v>
      </c>
      <c r="C62" s="31">
        <v>4301135664</v>
      </c>
      <c r="D62" s="272">
        <v>4607111039705</v>
      </c>
      <c r="E62" s="273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2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2"/>
      <c r="R62" s="282"/>
      <c r="S62" s="282"/>
      <c r="T62" s="283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120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126</v>
      </c>
      <c r="B63" s="54" t="s">
        <v>127</v>
      </c>
      <c r="C63" s="31">
        <v>4301135665</v>
      </c>
      <c r="D63" s="272">
        <v>4607111039729</v>
      </c>
      <c r="E63" s="273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93</v>
      </c>
      <c r="M63" s="33" t="s">
        <v>69</v>
      </c>
      <c r="N63" s="33"/>
      <c r="O63" s="32">
        <v>365</v>
      </c>
      <c r="P63" s="34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2"/>
      <c r="R63" s="282"/>
      <c r="S63" s="282"/>
      <c r="T63" s="283"/>
      <c r="U63" s="34"/>
      <c r="V63" s="34"/>
      <c r="W63" s="35" t="s">
        <v>70</v>
      </c>
      <c r="X63" s="268">
        <v>28</v>
      </c>
      <c r="Y63" s="269">
        <f>IFERROR(IF(X63="","",X63),"")</f>
        <v>28</v>
      </c>
      <c r="Z63" s="36">
        <f>IFERROR(IF(X63="","",X63*0.00941),"")</f>
        <v>0.26347999999999999</v>
      </c>
      <c r="AA63" s="56"/>
      <c r="AB63" s="57"/>
      <c r="AC63" s="102" t="s">
        <v>128</v>
      </c>
      <c r="AG63" s="67"/>
      <c r="AJ63" s="71" t="s">
        <v>95</v>
      </c>
      <c r="AK63" s="71">
        <v>14</v>
      </c>
      <c r="BB63" s="103" t="s">
        <v>84</v>
      </c>
      <c r="BM63" s="67">
        <f>IFERROR(X63*I63,"0")</f>
        <v>43.68</v>
      </c>
      <c r="BN63" s="67">
        <f>IFERROR(Y63*I63,"0")</f>
        <v>43.68</v>
      </c>
      <c r="BO63" s="67">
        <f>IFERROR(X63/J63,"0")</f>
        <v>0.2</v>
      </c>
      <c r="BP63" s="67">
        <f>IFERROR(Y63/J63,"0")</f>
        <v>0.2</v>
      </c>
    </row>
    <row r="64" spans="1:68" ht="27" customHeight="1" x14ac:dyDescent="0.25">
      <c r="A64" s="54" t="s">
        <v>129</v>
      </c>
      <c r="B64" s="54" t="s">
        <v>130</v>
      </c>
      <c r="C64" s="31">
        <v>4301135702</v>
      </c>
      <c r="D64" s="272">
        <v>4620207490228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93</v>
      </c>
      <c r="M64" s="33" t="s">
        <v>69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2"/>
      <c r="R64" s="282"/>
      <c r="S64" s="282"/>
      <c r="T64" s="283"/>
      <c r="U64" s="34"/>
      <c r="V64" s="34"/>
      <c r="W64" s="35" t="s">
        <v>70</v>
      </c>
      <c r="X64" s="268">
        <v>28</v>
      </c>
      <c r="Y64" s="269">
        <f>IFERROR(IF(X64="","",X64),"")</f>
        <v>28</v>
      </c>
      <c r="Z64" s="36">
        <f>IFERROR(IF(X64="","",X64*0.00941),"")</f>
        <v>0.26347999999999999</v>
      </c>
      <c r="AA64" s="56"/>
      <c r="AB64" s="57"/>
      <c r="AC64" s="104" t="s">
        <v>128</v>
      </c>
      <c r="AG64" s="67"/>
      <c r="AJ64" s="71" t="s">
        <v>95</v>
      </c>
      <c r="AK64" s="71">
        <v>14</v>
      </c>
      <c r="BB64" s="105" t="s">
        <v>84</v>
      </c>
      <c r="BM64" s="67">
        <f>IFERROR(X64*I64,"0")</f>
        <v>43.68</v>
      </c>
      <c r="BN64" s="67">
        <f>IFERROR(Y64*I64,"0")</f>
        <v>43.68</v>
      </c>
      <c r="BO64" s="67">
        <f>IFERROR(X64/J64,"0")</f>
        <v>0.2</v>
      </c>
      <c r="BP64" s="67">
        <f>IFERROR(Y64/J64,"0")</f>
        <v>0.2</v>
      </c>
    </row>
    <row r="65" spans="1:68" x14ac:dyDescent="0.2">
      <c r="A65" s="286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7"/>
      <c r="P65" s="278" t="s">
        <v>73</v>
      </c>
      <c r="Q65" s="279"/>
      <c r="R65" s="279"/>
      <c r="S65" s="279"/>
      <c r="T65" s="279"/>
      <c r="U65" s="279"/>
      <c r="V65" s="280"/>
      <c r="W65" s="37" t="s">
        <v>70</v>
      </c>
      <c r="X65" s="270">
        <f>IFERROR(SUM(X62:X64),"0")</f>
        <v>56</v>
      </c>
      <c r="Y65" s="270">
        <f>IFERROR(SUM(Y62:Y64),"0")</f>
        <v>56</v>
      </c>
      <c r="Z65" s="270">
        <f>IFERROR(IF(Z62="",0,Z62),"0")+IFERROR(IF(Z63="",0,Z63),"0")+IFERROR(IF(Z64="",0,Z64),"0")</f>
        <v>0.52695999999999998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7"/>
      <c r="P66" s="278" t="s">
        <v>73</v>
      </c>
      <c r="Q66" s="279"/>
      <c r="R66" s="279"/>
      <c r="S66" s="279"/>
      <c r="T66" s="279"/>
      <c r="U66" s="279"/>
      <c r="V66" s="280"/>
      <c r="W66" s="37" t="s">
        <v>74</v>
      </c>
      <c r="X66" s="270">
        <f>IFERROR(SUMPRODUCT(X62:X64*H62:H64),"0")</f>
        <v>67.2</v>
      </c>
      <c r="Y66" s="270">
        <f>IFERROR(SUMPRODUCT(Y62:Y64*H62:H64),"0")</f>
        <v>67.2</v>
      </c>
      <c r="Z66" s="37"/>
      <c r="AA66" s="271"/>
      <c r="AB66" s="271"/>
      <c r="AC66" s="271"/>
    </row>
    <row r="67" spans="1:68" ht="16.5" customHeight="1" x14ac:dyDescent="0.25">
      <c r="A67" s="284" t="s">
        <v>131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3"/>
      <c r="AB67" s="263"/>
      <c r="AC67" s="263"/>
    </row>
    <row r="68" spans="1:68" ht="14.25" customHeight="1" x14ac:dyDescent="0.25">
      <c r="A68" s="304" t="s">
        <v>64</v>
      </c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A68" s="264"/>
      <c r="AB68" s="264"/>
      <c r="AC68" s="264"/>
    </row>
    <row r="69" spans="1:68" ht="27" customHeight="1" x14ac:dyDescent="0.25">
      <c r="A69" s="54" t="s">
        <v>132</v>
      </c>
      <c r="B69" s="54" t="s">
        <v>133</v>
      </c>
      <c r="C69" s="31">
        <v>4301070977</v>
      </c>
      <c r="D69" s="272">
        <v>4607111037411</v>
      </c>
      <c r="E69" s="273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134</v>
      </c>
      <c r="L69" s="32" t="s">
        <v>93</v>
      </c>
      <c r="M69" s="33" t="s">
        <v>69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2"/>
      <c r="R69" s="282"/>
      <c r="S69" s="282"/>
      <c r="T69" s="283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135</v>
      </c>
      <c r="AG69" s="67"/>
      <c r="AJ69" s="71" t="s">
        <v>95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136</v>
      </c>
      <c r="B70" s="54" t="s">
        <v>137</v>
      </c>
      <c r="C70" s="31">
        <v>4301070981</v>
      </c>
      <c r="D70" s="272">
        <v>4607111036728</v>
      </c>
      <c r="E70" s="273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2"/>
      <c r="R70" s="282"/>
      <c r="S70" s="282"/>
      <c r="T70" s="283"/>
      <c r="U70" s="34"/>
      <c r="V70" s="34"/>
      <c r="W70" s="35" t="s">
        <v>70</v>
      </c>
      <c r="X70" s="268">
        <v>132</v>
      </c>
      <c r="Y70" s="269">
        <f>IFERROR(IF(X70="","",X70),"")</f>
        <v>132</v>
      </c>
      <c r="Z70" s="36">
        <f>IFERROR(IF(X70="","",X70*0.00866),"")</f>
        <v>1.1431199999999999</v>
      </c>
      <c r="AA70" s="56"/>
      <c r="AB70" s="57"/>
      <c r="AC70" s="108" t="s">
        <v>135</v>
      </c>
      <c r="AG70" s="67"/>
      <c r="AJ70" s="71" t="s">
        <v>83</v>
      </c>
      <c r="AK70" s="71">
        <v>144</v>
      </c>
      <c r="BB70" s="109" t="s">
        <v>1</v>
      </c>
      <c r="BM70" s="67">
        <f>IFERROR(X70*I70,"0")</f>
        <v>688.14239999999995</v>
      </c>
      <c r="BN70" s="67">
        <f>IFERROR(Y70*I70,"0")</f>
        <v>688.14239999999995</v>
      </c>
      <c r="BO70" s="67">
        <f>IFERROR(X70/J70,"0")</f>
        <v>0.91666666666666663</v>
      </c>
      <c r="BP70" s="67">
        <f>IFERROR(Y70/J70,"0")</f>
        <v>0.91666666666666663</v>
      </c>
    </row>
    <row r="71" spans="1:68" x14ac:dyDescent="0.2">
      <c r="A71" s="286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7"/>
      <c r="P71" s="278" t="s">
        <v>73</v>
      </c>
      <c r="Q71" s="279"/>
      <c r="R71" s="279"/>
      <c r="S71" s="279"/>
      <c r="T71" s="279"/>
      <c r="U71" s="279"/>
      <c r="V71" s="280"/>
      <c r="W71" s="37" t="s">
        <v>70</v>
      </c>
      <c r="X71" s="270">
        <f>IFERROR(SUM(X69:X70),"0")</f>
        <v>132</v>
      </c>
      <c r="Y71" s="270">
        <f>IFERROR(SUM(Y69:Y70),"0")</f>
        <v>132</v>
      </c>
      <c r="Z71" s="270">
        <f>IFERROR(IF(Z69="",0,Z69),"0")+IFERROR(IF(Z70="",0,Z70),"0")</f>
        <v>1.1431199999999999</v>
      </c>
      <c r="AA71" s="271"/>
      <c r="AB71" s="271"/>
      <c r="AC71" s="271"/>
    </row>
    <row r="72" spans="1:68" x14ac:dyDescent="0.2">
      <c r="A72" s="285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7"/>
      <c r="P72" s="278" t="s">
        <v>73</v>
      </c>
      <c r="Q72" s="279"/>
      <c r="R72" s="279"/>
      <c r="S72" s="279"/>
      <c r="T72" s="279"/>
      <c r="U72" s="279"/>
      <c r="V72" s="280"/>
      <c r="W72" s="37" t="s">
        <v>74</v>
      </c>
      <c r="X72" s="270">
        <f>IFERROR(SUMPRODUCT(X69:X70*H69:H70),"0")</f>
        <v>660</v>
      </c>
      <c r="Y72" s="270">
        <f>IFERROR(SUMPRODUCT(Y69:Y70*H69:H70),"0")</f>
        <v>660</v>
      </c>
      <c r="Z72" s="37"/>
      <c r="AA72" s="271"/>
      <c r="AB72" s="271"/>
      <c r="AC72" s="271"/>
    </row>
    <row r="73" spans="1:68" ht="16.5" customHeight="1" x14ac:dyDescent="0.25">
      <c r="A73" s="284" t="s">
        <v>138</v>
      </c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63"/>
      <c r="AB73" s="263"/>
      <c r="AC73" s="263"/>
    </row>
    <row r="74" spans="1:68" ht="14.25" customHeight="1" x14ac:dyDescent="0.25">
      <c r="A74" s="304" t="s">
        <v>123</v>
      </c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A74" s="264"/>
      <c r="AB74" s="264"/>
      <c r="AC74" s="264"/>
    </row>
    <row r="75" spans="1:68" ht="27" customHeight="1" x14ac:dyDescent="0.25">
      <c r="A75" s="54" t="s">
        <v>139</v>
      </c>
      <c r="B75" s="54" t="s">
        <v>140</v>
      </c>
      <c r="C75" s="31">
        <v>4301135574</v>
      </c>
      <c r="D75" s="272">
        <v>4607111033659</v>
      </c>
      <c r="E75" s="273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93</v>
      </c>
      <c r="M75" s="33" t="s">
        <v>69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2"/>
      <c r="R75" s="282"/>
      <c r="S75" s="282"/>
      <c r="T75" s="283"/>
      <c r="U75" s="34"/>
      <c r="V75" s="34"/>
      <c r="W75" s="35" t="s">
        <v>70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141</v>
      </c>
      <c r="AG75" s="67"/>
      <c r="AJ75" s="71" t="s">
        <v>95</v>
      </c>
      <c r="AK75" s="71">
        <v>14</v>
      </c>
      <c r="BB75" s="111" t="s">
        <v>84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6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7"/>
      <c r="P76" s="278" t="s">
        <v>73</v>
      </c>
      <c r="Q76" s="279"/>
      <c r="R76" s="279"/>
      <c r="S76" s="279"/>
      <c r="T76" s="279"/>
      <c r="U76" s="279"/>
      <c r="V76" s="280"/>
      <c r="W76" s="37" t="s">
        <v>70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7"/>
      <c r="P77" s="278" t="s">
        <v>73</v>
      </c>
      <c r="Q77" s="279"/>
      <c r="R77" s="279"/>
      <c r="S77" s="279"/>
      <c r="T77" s="279"/>
      <c r="U77" s="279"/>
      <c r="V77" s="280"/>
      <c r="W77" s="37" t="s">
        <v>74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142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4" t="s">
        <v>143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144</v>
      </c>
      <c r="B80" s="54" t="s">
        <v>145</v>
      </c>
      <c r="C80" s="31">
        <v>4301131047</v>
      </c>
      <c r="D80" s="272">
        <v>4607111034120</v>
      </c>
      <c r="E80" s="273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93</v>
      </c>
      <c r="M80" s="33" t="s">
        <v>69</v>
      </c>
      <c r="N80" s="33"/>
      <c r="O80" s="32">
        <v>180</v>
      </c>
      <c r="P80" s="40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2"/>
      <c r="R80" s="282"/>
      <c r="S80" s="282"/>
      <c r="T80" s="283"/>
      <c r="U80" s="34"/>
      <c r="V80" s="34"/>
      <c r="W80" s="35" t="s">
        <v>70</v>
      </c>
      <c r="X80" s="268">
        <v>28</v>
      </c>
      <c r="Y80" s="269">
        <f>IFERROR(IF(X80="","",X80),"")</f>
        <v>28</v>
      </c>
      <c r="Z80" s="36">
        <f>IFERROR(IF(X80="","",X80*0.01788),"")</f>
        <v>0.50063999999999997</v>
      </c>
      <c r="AA80" s="56"/>
      <c r="AB80" s="57"/>
      <c r="AC80" s="112" t="s">
        <v>146</v>
      </c>
      <c r="AG80" s="67"/>
      <c r="AJ80" s="71" t="s">
        <v>95</v>
      </c>
      <c r="AK80" s="71">
        <v>14</v>
      </c>
      <c r="BB80" s="113" t="s">
        <v>84</v>
      </c>
      <c r="BM80" s="67">
        <f>IFERROR(X80*I80,"0")</f>
        <v>120.50080000000001</v>
      </c>
      <c r="BN80" s="67">
        <f>IFERROR(Y80*I80,"0")</f>
        <v>120.50080000000001</v>
      </c>
      <c r="BO80" s="67">
        <f>IFERROR(X80/J80,"0")</f>
        <v>0.4</v>
      </c>
      <c r="BP80" s="67">
        <f>IFERROR(Y80/J80,"0")</f>
        <v>0.4</v>
      </c>
    </row>
    <row r="81" spans="1:68" ht="27" customHeight="1" x14ac:dyDescent="0.25">
      <c r="A81" s="54" t="s">
        <v>147</v>
      </c>
      <c r="B81" s="54" t="s">
        <v>148</v>
      </c>
      <c r="C81" s="31">
        <v>4301131046</v>
      </c>
      <c r="D81" s="272">
        <v>4607111034137</v>
      </c>
      <c r="E81" s="273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93</v>
      </c>
      <c r="M81" s="33" t="s">
        <v>69</v>
      </c>
      <c r="N81" s="33"/>
      <c r="O81" s="32">
        <v>180</v>
      </c>
      <c r="P81" s="29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2"/>
      <c r="R81" s="282"/>
      <c r="S81" s="282"/>
      <c r="T81" s="283"/>
      <c r="U81" s="34"/>
      <c r="V81" s="34"/>
      <c r="W81" s="35" t="s">
        <v>70</v>
      </c>
      <c r="X81" s="268">
        <v>28</v>
      </c>
      <c r="Y81" s="269">
        <f>IFERROR(IF(X81="","",X81),"")</f>
        <v>28</v>
      </c>
      <c r="Z81" s="36">
        <f>IFERROR(IF(X81="","",X81*0.01788),"")</f>
        <v>0.50063999999999997</v>
      </c>
      <c r="AA81" s="56"/>
      <c r="AB81" s="57"/>
      <c r="AC81" s="114" t="s">
        <v>149</v>
      </c>
      <c r="AG81" s="67"/>
      <c r="AJ81" s="71" t="s">
        <v>95</v>
      </c>
      <c r="AK81" s="71">
        <v>14</v>
      </c>
      <c r="BB81" s="115" t="s">
        <v>84</v>
      </c>
      <c r="BM81" s="67">
        <f>IFERROR(X81*I81,"0")</f>
        <v>120.50080000000001</v>
      </c>
      <c r="BN81" s="67">
        <f>IFERROR(Y81*I81,"0")</f>
        <v>120.50080000000001</v>
      </c>
      <c r="BO81" s="67">
        <f>IFERROR(X81/J81,"0")</f>
        <v>0.4</v>
      </c>
      <c r="BP81" s="67">
        <f>IFERROR(Y81/J81,"0")</f>
        <v>0.4</v>
      </c>
    </row>
    <row r="82" spans="1:68" x14ac:dyDescent="0.2">
      <c r="A82" s="286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7"/>
      <c r="P82" s="278" t="s">
        <v>73</v>
      </c>
      <c r="Q82" s="279"/>
      <c r="R82" s="279"/>
      <c r="S82" s="279"/>
      <c r="T82" s="279"/>
      <c r="U82" s="279"/>
      <c r="V82" s="280"/>
      <c r="W82" s="37" t="s">
        <v>70</v>
      </c>
      <c r="X82" s="270">
        <f>IFERROR(SUM(X80:X81),"0")</f>
        <v>56</v>
      </c>
      <c r="Y82" s="270">
        <f>IFERROR(SUM(Y80:Y81),"0")</f>
        <v>56</v>
      </c>
      <c r="Z82" s="270">
        <f>IFERROR(IF(Z80="",0,Z80),"0")+IFERROR(IF(Z81="",0,Z81),"0")</f>
        <v>1.0012799999999999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7"/>
      <c r="P83" s="278" t="s">
        <v>73</v>
      </c>
      <c r="Q83" s="279"/>
      <c r="R83" s="279"/>
      <c r="S83" s="279"/>
      <c r="T83" s="279"/>
      <c r="U83" s="279"/>
      <c r="V83" s="280"/>
      <c r="W83" s="37" t="s">
        <v>74</v>
      </c>
      <c r="X83" s="270">
        <f>IFERROR(SUMPRODUCT(X80:X81*H80:H81),"0")</f>
        <v>201.6</v>
      </c>
      <c r="Y83" s="270">
        <f>IFERROR(SUMPRODUCT(Y80:Y81*H80:H81),"0")</f>
        <v>201.6</v>
      </c>
      <c r="Z83" s="37"/>
      <c r="AA83" s="271"/>
      <c r="AB83" s="271"/>
      <c r="AC83" s="271"/>
    </row>
    <row r="84" spans="1:68" ht="16.5" customHeight="1" x14ac:dyDescent="0.25">
      <c r="A84" s="284" t="s">
        <v>150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4" t="s">
        <v>123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151</v>
      </c>
      <c r="B86" s="54" t="s">
        <v>152</v>
      </c>
      <c r="C86" s="31">
        <v>4301135763</v>
      </c>
      <c r="D86" s="272">
        <v>4620207491027</v>
      </c>
      <c r="E86" s="273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93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2"/>
      <c r="R86" s="282"/>
      <c r="S86" s="282"/>
      <c r="T86" s="283"/>
      <c r="U86" s="34"/>
      <c r="V86" s="34"/>
      <c r="W86" s="35" t="s">
        <v>70</v>
      </c>
      <c r="X86" s="268">
        <v>14</v>
      </c>
      <c r="Y86" s="269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141</v>
      </c>
      <c r="AG86" s="67"/>
      <c r="AJ86" s="71" t="s">
        <v>95</v>
      </c>
      <c r="AK86" s="71">
        <v>14</v>
      </c>
      <c r="BB86" s="117" t="s">
        <v>84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customHeight="1" x14ac:dyDescent="0.25">
      <c r="A87" s="54" t="s">
        <v>153</v>
      </c>
      <c r="B87" s="54" t="s">
        <v>154</v>
      </c>
      <c r="C87" s="31">
        <v>4301135793</v>
      </c>
      <c r="D87" s="272">
        <v>4620207491003</v>
      </c>
      <c r="E87" s="273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8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2"/>
      <c r="R87" s="282"/>
      <c r="S87" s="282"/>
      <c r="T87" s="283"/>
      <c r="U87" s="34"/>
      <c r="V87" s="34"/>
      <c r="W87" s="35" t="s">
        <v>70</v>
      </c>
      <c r="X87" s="268">
        <v>84</v>
      </c>
      <c r="Y87" s="269">
        <f t="shared" si="0"/>
        <v>84</v>
      </c>
      <c r="Z87" s="36">
        <f t="shared" si="1"/>
        <v>1.5019199999999999</v>
      </c>
      <c r="AA87" s="56"/>
      <c r="AB87" s="57"/>
      <c r="AC87" s="118" t="s">
        <v>141</v>
      </c>
      <c r="AG87" s="67"/>
      <c r="AJ87" s="71" t="s">
        <v>83</v>
      </c>
      <c r="AK87" s="71">
        <v>70</v>
      </c>
      <c r="BB87" s="119" t="s">
        <v>84</v>
      </c>
      <c r="BM87" s="67">
        <f t="shared" si="2"/>
        <v>301.0224</v>
      </c>
      <c r="BN87" s="67">
        <f t="shared" si="3"/>
        <v>301.0224</v>
      </c>
      <c r="BO87" s="67">
        <f t="shared" si="4"/>
        <v>1.2</v>
      </c>
      <c r="BP87" s="67">
        <f t="shared" si="5"/>
        <v>1.2</v>
      </c>
    </row>
    <row r="88" spans="1:68" ht="27" customHeight="1" x14ac:dyDescent="0.25">
      <c r="A88" s="54" t="s">
        <v>155</v>
      </c>
      <c r="B88" s="54" t="s">
        <v>156</v>
      </c>
      <c r="C88" s="31">
        <v>4301135768</v>
      </c>
      <c r="D88" s="272">
        <v>4620207491034</v>
      </c>
      <c r="E88" s="273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2"/>
      <c r="R88" s="282"/>
      <c r="S88" s="282"/>
      <c r="T88" s="283"/>
      <c r="U88" s="34"/>
      <c r="V88" s="34"/>
      <c r="W88" s="35" t="s">
        <v>70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157</v>
      </c>
      <c r="AG88" s="67"/>
      <c r="AJ88" s="71" t="s">
        <v>72</v>
      </c>
      <c r="AK88" s="71">
        <v>1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158</v>
      </c>
      <c r="B89" s="54" t="s">
        <v>159</v>
      </c>
      <c r="C89" s="31">
        <v>4301135760</v>
      </c>
      <c r="D89" s="272">
        <v>4620207491010</v>
      </c>
      <c r="E89" s="273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8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2"/>
      <c r="R89" s="282"/>
      <c r="S89" s="282"/>
      <c r="T89" s="283"/>
      <c r="U89" s="34"/>
      <c r="V89" s="34"/>
      <c r="W89" s="35" t="s">
        <v>70</v>
      </c>
      <c r="X89" s="268">
        <v>112</v>
      </c>
      <c r="Y89" s="269">
        <f t="shared" si="0"/>
        <v>112</v>
      </c>
      <c r="Z89" s="36">
        <f t="shared" si="1"/>
        <v>2.0025599999999999</v>
      </c>
      <c r="AA89" s="56"/>
      <c r="AB89" s="57"/>
      <c r="AC89" s="122" t="s">
        <v>141</v>
      </c>
      <c r="AG89" s="67"/>
      <c r="AJ89" s="71" t="s">
        <v>83</v>
      </c>
      <c r="AK89" s="71">
        <v>70</v>
      </c>
      <c r="BB89" s="123" t="s">
        <v>84</v>
      </c>
      <c r="BM89" s="67">
        <f t="shared" si="2"/>
        <v>401.36320000000001</v>
      </c>
      <c r="BN89" s="67">
        <f t="shared" si="3"/>
        <v>401.36320000000001</v>
      </c>
      <c r="BO89" s="67">
        <f t="shared" si="4"/>
        <v>1.6</v>
      </c>
      <c r="BP89" s="67">
        <f t="shared" si="5"/>
        <v>1.6</v>
      </c>
    </row>
    <row r="90" spans="1:68" ht="27" customHeight="1" x14ac:dyDescent="0.25">
      <c r="A90" s="54" t="s">
        <v>160</v>
      </c>
      <c r="B90" s="54" t="s">
        <v>161</v>
      </c>
      <c r="C90" s="31">
        <v>4301135571</v>
      </c>
      <c r="D90" s="272">
        <v>4607111035028</v>
      </c>
      <c r="E90" s="273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68</v>
      </c>
      <c r="M90" s="33" t="s">
        <v>69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2"/>
      <c r="R90" s="282"/>
      <c r="S90" s="282"/>
      <c r="T90" s="283"/>
      <c r="U90" s="34"/>
      <c r="V90" s="34"/>
      <c r="W90" s="35" t="s">
        <v>70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141</v>
      </c>
      <c r="AG90" s="67"/>
      <c r="AJ90" s="71" t="s">
        <v>72</v>
      </c>
      <c r="AK90" s="71">
        <v>1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162</v>
      </c>
      <c r="B91" s="54" t="s">
        <v>163</v>
      </c>
      <c r="C91" s="31">
        <v>4301135285</v>
      </c>
      <c r="D91" s="272">
        <v>4607111036407</v>
      </c>
      <c r="E91" s="273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93</v>
      </c>
      <c r="M91" s="33" t="s">
        <v>69</v>
      </c>
      <c r="N91" s="33"/>
      <c r="O91" s="32">
        <v>180</v>
      </c>
      <c r="P91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2"/>
      <c r="R91" s="282"/>
      <c r="S91" s="282"/>
      <c r="T91" s="283"/>
      <c r="U91" s="34"/>
      <c r="V91" s="34"/>
      <c r="W91" s="35" t="s">
        <v>70</v>
      </c>
      <c r="X91" s="268">
        <v>14</v>
      </c>
      <c r="Y91" s="269">
        <f t="shared" si="0"/>
        <v>14</v>
      </c>
      <c r="Z91" s="36">
        <f t="shared" si="1"/>
        <v>0.25031999999999999</v>
      </c>
      <c r="AA91" s="56"/>
      <c r="AB91" s="57"/>
      <c r="AC91" s="126" t="s">
        <v>164</v>
      </c>
      <c r="AG91" s="67"/>
      <c r="AJ91" s="71" t="s">
        <v>95</v>
      </c>
      <c r="AK91" s="71">
        <v>14</v>
      </c>
      <c r="BB91" s="127" t="s">
        <v>84</v>
      </c>
      <c r="BM91" s="67">
        <f t="shared" si="2"/>
        <v>63.408800000000006</v>
      </c>
      <c r="BN91" s="67">
        <f t="shared" si="3"/>
        <v>63.408800000000006</v>
      </c>
      <c r="BO91" s="67">
        <f t="shared" si="4"/>
        <v>0.2</v>
      </c>
      <c r="BP91" s="67">
        <f t="shared" si="5"/>
        <v>0.2</v>
      </c>
    </row>
    <row r="92" spans="1:68" x14ac:dyDescent="0.2">
      <c r="A92" s="286"/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7"/>
      <c r="P92" s="278" t="s">
        <v>73</v>
      </c>
      <c r="Q92" s="279"/>
      <c r="R92" s="279"/>
      <c r="S92" s="279"/>
      <c r="T92" s="279"/>
      <c r="U92" s="279"/>
      <c r="V92" s="280"/>
      <c r="W92" s="37" t="s">
        <v>70</v>
      </c>
      <c r="X92" s="270">
        <f>IFERROR(SUM(X86:X91),"0")</f>
        <v>224</v>
      </c>
      <c r="Y92" s="270">
        <f>IFERROR(SUM(Y86:Y91),"0")</f>
        <v>224</v>
      </c>
      <c r="Z92" s="270">
        <f>IFERROR(IF(Z86="",0,Z86),"0")+IFERROR(IF(Z87="",0,Z87),"0")+IFERROR(IF(Z88="",0,Z88),"0")+IFERROR(IF(Z89="",0,Z89),"0")+IFERROR(IF(Z90="",0,Z90),"0")+IFERROR(IF(Z91="",0,Z91),"0")</f>
        <v>4.0051199999999998</v>
      </c>
      <c r="AA92" s="271"/>
      <c r="AB92" s="271"/>
      <c r="AC92" s="271"/>
    </row>
    <row r="93" spans="1:68" x14ac:dyDescent="0.2">
      <c r="A93" s="285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7"/>
      <c r="P93" s="278" t="s">
        <v>73</v>
      </c>
      <c r="Q93" s="279"/>
      <c r="R93" s="279"/>
      <c r="S93" s="279"/>
      <c r="T93" s="279"/>
      <c r="U93" s="279"/>
      <c r="V93" s="280"/>
      <c r="W93" s="37" t="s">
        <v>74</v>
      </c>
      <c r="X93" s="270">
        <f>IFERROR(SUMPRODUCT(X86:X91*H86:H91),"0")</f>
        <v>663.59999999999991</v>
      </c>
      <c r="Y93" s="270">
        <f>IFERROR(SUMPRODUCT(Y86:Y91*H86:H91),"0")</f>
        <v>663.59999999999991</v>
      </c>
      <c r="Z93" s="37"/>
      <c r="AA93" s="271"/>
      <c r="AB93" s="271"/>
      <c r="AC93" s="271"/>
    </row>
    <row r="94" spans="1:68" ht="16.5" customHeight="1" x14ac:dyDescent="0.25">
      <c r="A94" s="284" t="s">
        <v>165</v>
      </c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  <c r="AA94" s="263"/>
      <c r="AB94" s="263"/>
      <c r="AC94" s="263"/>
    </row>
    <row r="95" spans="1:68" ht="14.25" customHeight="1" x14ac:dyDescent="0.25">
      <c r="A95" s="304" t="s">
        <v>117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4"/>
      <c r="AB95" s="264"/>
      <c r="AC95" s="264"/>
    </row>
    <row r="96" spans="1:68" ht="27" customHeight="1" x14ac:dyDescent="0.25">
      <c r="A96" s="54" t="s">
        <v>166</v>
      </c>
      <c r="B96" s="54" t="s">
        <v>167</v>
      </c>
      <c r="C96" s="31">
        <v>4301136070</v>
      </c>
      <c r="D96" s="272">
        <v>4607025784012</v>
      </c>
      <c r="E96" s="273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93</v>
      </c>
      <c r="M96" s="33" t="s">
        <v>69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2"/>
      <c r="R96" s="282"/>
      <c r="S96" s="282"/>
      <c r="T96" s="283"/>
      <c r="U96" s="34"/>
      <c r="V96" s="34"/>
      <c r="W96" s="35" t="s">
        <v>70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168</v>
      </c>
      <c r="AG96" s="67"/>
      <c r="AJ96" s="71" t="s">
        <v>95</v>
      </c>
      <c r="AK96" s="71">
        <v>14</v>
      </c>
      <c r="BB96" s="129" t="s">
        <v>84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169</v>
      </c>
      <c r="B97" s="54" t="s">
        <v>170</v>
      </c>
      <c r="C97" s="31">
        <v>4301136079</v>
      </c>
      <c r="D97" s="272">
        <v>4607025784319</v>
      </c>
      <c r="E97" s="273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33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2"/>
      <c r="R97" s="282"/>
      <c r="S97" s="282"/>
      <c r="T97" s="283"/>
      <c r="U97" s="34"/>
      <c r="V97" s="34"/>
      <c r="W97" s="35" t="s">
        <v>70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141</v>
      </c>
      <c r="AG97" s="67"/>
      <c r="AJ97" s="71" t="s">
        <v>72</v>
      </c>
      <c r="AK97" s="71">
        <v>1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6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87"/>
      <c r="P98" s="278" t="s">
        <v>73</v>
      </c>
      <c r="Q98" s="279"/>
      <c r="R98" s="279"/>
      <c r="S98" s="279"/>
      <c r="T98" s="279"/>
      <c r="U98" s="279"/>
      <c r="V98" s="280"/>
      <c r="W98" s="37" t="s">
        <v>70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x14ac:dyDescent="0.2">
      <c r="A99" s="285"/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87"/>
      <c r="P99" s="278" t="s">
        <v>73</v>
      </c>
      <c r="Q99" s="279"/>
      <c r="R99" s="279"/>
      <c r="S99" s="279"/>
      <c r="T99" s="279"/>
      <c r="U99" s="279"/>
      <c r="V99" s="280"/>
      <c r="W99" s="37" t="s">
        <v>74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customHeight="1" x14ac:dyDescent="0.25">
      <c r="A100" s="284" t="s">
        <v>171</v>
      </c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A100" s="263"/>
      <c r="AB100" s="263"/>
      <c r="AC100" s="263"/>
    </row>
    <row r="101" spans="1:68" ht="14.25" customHeight="1" x14ac:dyDescent="0.25">
      <c r="A101" s="304" t="s">
        <v>64</v>
      </c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A101" s="264"/>
      <c r="AB101" s="264"/>
      <c r="AC101" s="264"/>
    </row>
    <row r="102" spans="1:68" ht="27" customHeight="1" x14ac:dyDescent="0.25">
      <c r="A102" s="54" t="s">
        <v>172</v>
      </c>
      <c r="B102" s="54" t="s">
        <v>173</v>
      </c>
      <c r="C102" s="31">
        <v>4301071074</v>
      </c>
      <c r="D102" s="272">
        <v>4620207491157</v>
      </c>
      <c r="E102" s="273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93</v>
      </c>
      <c r="M102" s="33" t="s">
        <v>69</v>
      </c>
      <c r="N102" s="33"/>
      <c r="O102" s="32">
        <v>180</v>
      </c>
      <c r="P102" s="42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2"/>
      <c r="R102" s="282"/>
      <c r="S102" s="282"/>
      <c r="T102" s="283"/>
      <c r="U102" s="34"/>
      <c r="V102" s="34"/>
      <c r="W102" s="35" t="s">
        <v>70</v>
      </c>
      <c r="X102" s="268">
        <v>36</v>
      </c>
      <c r="Y102" s="269">
        <f t="shared" ref="Y102:Y109" si="6">IFERROR(IF(X102="","",X102),"")</f>
        <v>36</v>
      </c>
      <c r="Z102" s="36">
        <f t="shared" ref="Z102:Z109" si="7">IFERROR(IF(X102="","",X102*0.0155),"")</f>
        <v>0.55800000000000005</v>
      </c>
      <c r="AA102" s="56"/>
      <c r="AB102" s="57"/>
      <c r="AC102" s="132" t="s">
        <v>174</v>
      </c>
      <c r="AG102" s="67"/>
      <c r="AJ102" s="71" t="s">
        <v>95</v>
      </c>
      <c r="AK102" s="71">
        <v>12</v>
      </c>
      <c r="BB102" s="133" t="s">
        <v>1</v>
      </c>
      <c r="BM102" s="67">
        <f t="shared" ref="BM102:BM109" si="8">IFERROR(X102*I102,"0")</f>
        <v>262.08</v>
      </c>
      <c r="BN102" s="67">
        <f t="shared" ref="BN102:BN109" si="9">IFERROR(Y102*I102,"0")</f>
        <v>262.08</v>
      </c>
      <c r="BO102" s="67">
        <f t="shared" ref="BO102:BO109" si="10">IFERROR(X102/J102,"0")</f>
        <v>0.42857142857142855</v>
      </c>
      <c r="BP102" s="67">
        <f t="shared" ref="BP102:BP109" si="11">IFERROR(Y102/J102,"0")</f>
        <v>0.42857142857142855</v>
      </c>
    </row>
    <row r="103" spans="1:68" ht="27" customHeight="1" x14ac:dyDescent="0.25">
      <c r="A103" s="54" t="s">
        <v>175</v>
      </c>
      <c r="B103" s="54" t="s">
        <v>176</v>
      </c>
      <c r="C103" s="31">
        <v>4301071051</v>
      </c>
      <c r="D103" s="272">
        <v>4607111039262</v>
      </c>
      <c r="E103" s="273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93</v>
      </c>
      <c r="M103" s="33" t="s">
        <v>69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2"/>
      <c r="R103" s="282"/>
      <c r="S103" s="282"/>
      <c r="T103" s="283"/>
      <c r="U103" s="34"/>
      <c r="V103" s="34"/>
      <c r="W103" s="35" t="s">
        <v>70</v>
      </c>
      <c r="X103" s="268">
        <v>24</v>
      </c>
      <c r="Y103" s="269">
        <f t="shared" si="6"/>
        <v>24</v>
      </c>
      <c r="Z103" s="36">
        <f t="shared" si="7"/>
        <v>0.372</v>
      </c>
      <c r="AA103" s="56"/>
      <c r="AB103" s="57"/>
      <c r="AC103" s="134" t="s">
        <v>135</v>
      </c>
      <c r="AG103" s="67"/>
      <c r="AJ103" s="71" t="s">
        <v>95</v>
      </c>
      <c r="AK103" s="71">
        <v>12</v>
      </c>
      <c r="BB103" s="135" t="s">
        <v>1</v>
      </c>
      <c r="BM103" s="67">
        <f t="shared" si="8"/>
        <v>161.2704</v>
      </c>
      <c r="BN103" s="67">
        <f t="shared" si="9"/>
        <v>161.2704</v>
      </c>
      <c r="BO103" s="67">
        <f t="shared" si="10"/>
        <v>0.2857142857142857</v>
      </c>
      <c r="BP103" s="67">
        <f t="shared" si="11"/>
        <v>0.2857142857142857</v>
      </c>
    </row>
    <row r="104" spans="1:68" ht="27" customHeight="1" x14ac:dyDescent="0.25">
      <c r="A104" s="54" t="s">
        <v>177</v>
      </c>
      <c r="B104" s="54" t="s">
        <v>178</v>
      </c>
      <c r="C104" s="31">
        <v>4301071038</v>
      </c>
      <c r="D104" s="272">
        <v>4607111039248</v>
      </c>
      <c r="E104" s="273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29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2"/>
      <c r="R104" s="282"/>
      <c r="S104" s="282"/>
      <c r="T104" s="283"/>
      <c r="U104" s="34"/>
      <c r="V104" s="34"/>
      <c r="W104" s="35" t="s">
        <v>70</v>
      </c>
      <c r="X104" s="268">
        <v>96</v>
      </c>
      <c r="Y104" s="269">
        <f t="shared" si="6"/>
        <v>96</v>
      </c>
      <c r="Z104" s="36">
        <f t="shared" si="7"/>
        <v>1.488</v>
      </c>
      <c r="AA104" s="56"/>
      <c r="AB104" s="57"/>
      <c r="AC104" s="136" t="s">
        <v>135</v>
      </c>
      <c r="AG104" s="67"/>
      <c r="AJ104" s="71" t="s">
        <v>83</v>
      </c>
      <c r="AK104" s="71">
        <v>84</v>
      </c>
      <c r="BB104" s="137" t="s">
        <v>1</v>
      </c>
      <c r="BM104" s="67">
        <f t="shared" si="8"/>
        <v>700.8</v>
      </c>
      <c r="BN104" s="67">
        <f t="shared" si="9"/>
        <v>700.8</v>
      </c>
      <c r="BO104" s="67">
        <f t="shared" si="10"/>
        <v>1.1428571428571428</v>
      </c>
      <c r="BP104" s="67">
        <f t="shared" si="11"/>
        <v>1.1428571428571428</v>
      </c>
    </row>
    <row r="105" spans="1:68" ht="27" customHeight="1" x14ac:dyDescent="0.25">
      <c r="A105" s="54" t="s">
        <v>179</v>
      </c>
      <c r="B105" s="54" t="s">
        <v>180</v>
      </c>
      <c r="C105" s="31">
        <v>4301070979</v>
      </c>
      <c r="D105" s="272">
        <v>4607111037145</v>
      </c>
      <c r="E105" s="273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2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2"/>
      <c r="R105" s="282"/>
      <c r="S105" s="282"/>
      <c r="T105" s="283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181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182</v>
      </c>
      <c r="B106" s="54" t="s">
        <v>183</v>
      </c>
      <c r="C106" s="31">
        <v>4301071049</v>
      </c>
      <c r="D106" s="272">
        <v>4607111039293</v>
      </c>
      <c r="E106" s="273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93</v>
      </c>
      <c r="M106" s="33" t="s">
        <v>69</v>
      </c>
      <c r="N106" s="33"/>
      <c r="O106" s="32">
        <v>180</v>
      </c>
      <c r="P106" s="41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2"/>
      <c r="R106" s="282"/>
      <c r="S106" s="282"/>
      <c r="T106" s="283"/>
      <c r="U106" s="34"/>
      <c r="V106" s="34"/>
      <c r="W106" s="35" t="s">
        <v>70</v>
      </c>
      <c r="X106" s="268">
        <v>24</v>
      </c>
      <c r="Y106" s="269">
        <f t="shared" si="6"/>
        <v>24</v>
      </c>
      <c r="Z106" s="36">
        <f t="shared" si="7"/>
        <v>0.372</v>
      </c>
      <c r="AA106" s="56"/>
      <c r="AB106" s="57"/>
      <c r="AC106" s="140" t="s">
        <v>135</v>
      </c>
      <c r="AG106" s="67"/>
      <c r="AJ106" s="71" t="s">
        <v>95</v>
      </c>
      <c r="AK106" s="71">
        <v>12</v>
      </c>
      <c r="BB106" s="141" t="s">
        <v>1</v>
      </c>
      <c r="BM106" s="67">
        <f t="shared" si="8"/>
        <v>161.2704</v>
      </c>
      <c r="BN106" s="67">
        <f t="shared" si="9"/>
        <v>161.2704</v>
      </c>
      <c r="BO106" s="67">
        <f t="shared" si="10"/>
        <v>0.2857142857142857</v>
      </c>
      <c r="BP106" s="67">
        <f t="shared" si="11"/>
        <v>0.2857142857142857</v>
      </c>
    </row>
    <row r="107" spans="1:68" ht="27" customHeight="1" x14ac:dyDescent="0.25">
      <c r="A107" s="54" t="s">
        <v>184</v>
      </c>
      <c r="B107" s="54" t="s">
        <v>185</v>
      </c>
      <c r="C107" s="31">
        <v>4301071039</v>
      </c>
      <c r="D107" s="272">
        <v>4607111039279</v>
      </c>
      <c r="E107" s="273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4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2"/>
      <c r="R107" s="282"/>
      <c r="S107" s="282"/>
      <c r="T107" s="283"/>
      <c r="U107" s="34"/>
      <c r="V107" s="34"/>
      <c r="W107" s="35" t="s">
        <v>70</v>
      </c>
      <c r="X107" s="268">
        <v>264</v>
      </c>
      <c r="Y107" s="269">
        <f t="shared" si="6"/>
        <v>264</v>
      </c>
      <c r="Z107" s="36">
        <f t="shared" si="7"/>
        <v>4.0919999999999996</v>
      </c>
      <c r="AA107" s="56"/>
      <c r="AB107" s="57"/>
      <c r="AC107" s="142" t="s">
        <v>135</v>
      </c>
      <c r="AG107" s="67"/>
      <c r="AJ107" s="71" t="s">
        <v>83</v>
      </c>
      <c r="AK107" s="71">
        <v>84</v>
      </c>
      <c r="BB107" s="143" t="s">
        <v>1</v>
      </c>
      <c r="BM107" s="67">
        <f t="shared" si="8"/>
        <v>1927.2</v>
      </c>
      <c r="BN107" s="67">
        <f t="shared" si="9"/>
        <v>1927.2</v>
      </c>
      <c r="BO107" s="67">
        <f t="shared" si="10"/>
        <v>3.1428571428571428</v>
      </c>
      <c r="BP107" s="67">
        <f t="shared" si="11"/>
        <v>3.1428571428571428</v>
      </c>
    </row>
    <row r="108" spans="1:68" ht="27" customHeight="1" x14ac:dyDescent="0.25">
      <c r="A108" s="54" t="s">
        <v>186</v>
      </c>
      <c r="B108" s="54" t="s">
        <v>187</v>
      </c>
      <c r="C108" s="31">
        <v>4301070978</v>
      </c>
      <c r="D108" s="272">
        <v>4607111037435</v>
      </c>
      <c r="E108" s="273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39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2"/>
      <c r="R108" s="282"/>
      <c r="S108" s="282"/>
      <c r="T108" s="283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188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t="27" customHeight="1" x14ac:dyDescent="0.25">
      <c r="A109" s="54" t="s">
        <v>189</v>
      </c>
      <c r="B109" s="54" t="s">
        <v>190</v>
      </c>
      <c r="C109" s="31">
        <v>4301071075</v>
      </c>
      <c r="D109" s="272">
        <v>4620207491102</v>
      </c>
      <c r="E109" s="273"/>
      <c r="F109" s="267">
        <v>0.7</v>
      </c>
      <c r="G109" s="32">
        <v>10</v>
      </c>
      <c r="H109" s="267">
        <v>7</v>
      </c>
      <c r="I109" s="267">
        <v>7.23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0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282"/>
      <c r="R109" s="282"/>
      <c r="S109" s="282"/>
      <c r="T109" s="283"/>
      <c r="U109" s="34"/>
      <c r="V109" s="34"/>
      <c r="W109" s="35" t="s">
        <v>70</v>
      </c>
      <c r="X109" s="268">
        <v>60</v>
      </c>
      <c r="Y109" s="269">
        <f t="shared" si="6"/>
        <v>60</v>
      </c>
      <c r="Z109" s="36">
        <f t="shared" si="7"/>
        <v>0.92999999999999994</v>
      </c>
      <c r="AA109" s="56"/>
      <c r="AB109" s="57"/>
      <c r="AC109" s="146" t="s">
        <v>191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433.8</v>
      </c>
      <c r="BN109" s="67">
        <f t="shared" si="9"/>
        <v>433.8</v>
      </c>
      <c r="BO109" s="67">
        <f t="shared" si="10"/>
        <v>0.7142857142857143</v>
      </c>
      <c r="BP109" s="67">
        <f t="shared" si="11"/>
        <v>0.7142857142857143</v>
      </c>
    </row>
    <row r="110" spans="1:68" x14ac:dyDescent="0.2">
      <c r="A110" s="286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7"/>
      <c r="P110" s="278" t="s">
        <v>73</v>
      </c>
      <c r="Q110" s="279"/>
      <c r="R110" s="279"/>
      <c r="S110" s="279"/>
      <c r="T110" s="279"/>
      <c r="U110" s="279"/>
      <c r="V110" s="280"/>
      <c r="W110" s="37" t="s">
        <v>70</v>
      </c>
      <c r="X110" s="270">
        <f>IFERROR(SUM(X102:X109),"0")</f>
        <v>504</v>
      </c>
      <c r="Y110" s="270">
        <f>IFERROR(SUM(Y102:Y109),"0")</f>
        <v>504</v>
      </c>
      <c r="Z110" s="270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7.8119999999999994</v>
      </c>
      <c r="AA110" s="271"/>
      <c r="AB110" s="271"/>
      <c r="AC110" s="271"/>
    </row>
    <row r="111" spans="1:68" x14ac:dyDescent="0.2">
      <c r="A111" s="285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7"/>
      <c r="P111" s="278" t="s">
        <v>73</v>
      </c>
      <c r="Q111" s="279"/>
      <c r="R111" s="279"/>
      <c r="S111" s="279"/>
      <c r="T111" s="279"/>
      <c r="U111" s="279"/>
      <c r="V111" s="280"/>
      <c r="W111" s="37" t="s">
        <v>74</v>
      </c>
      <c r="X111" s="270">
        <f>IFERROR(SUMPRODUCT(X102:X109*H102:H109),"0")</f>
        <v>3499.2</v>
      </c>
      <c r="Y111" s="270">
        <f>IFERROR(SUMPRODUCT(Y102:Y109*H102:H109),"0")</f>
        <v>3499.2</v>
      </c>
      <c r="Z111" s="37"/>
      <c r="AA111" s="271"/>
      <c r="AB111" s="271"/>
      <c r="AC111" s="271"/>
    </row>
    <row r="112" spans="1:68" ht="14.25" customHeight="1" x14ac:dyDescent="0.25">
      <c r="A112" s="304" t="s">
        <v>123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192</v>
      </c>
      <c r="B113" s="54" t="s">
        <v>193</v>
      </c>
      <c r="C113" s="31">
        <v>4301135826</v>
      </c>
      <c r="D113" s="272">
        <v>4620207490983</v>
      </c>
      <c r="E113" s="273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3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2"/>
      <c r="R113" s="282"/>
      <c r="S113" s="282"/>
      <c r="T113" s="283"/>
      <c r="U113" s="34"/>
      <c r="V113" s="34"/>
      <c r="W113" s="35" t="s">
        <v>70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194</v>
      </c>
      <c r="AG113" s="67"/>
      <c r="AJ113" s="71" t="s">
        <v>72</v>
      </c>
      <c r="AK113" s="71">
        <v>1</v>
      </c>
      <c r="BB113" s="149" t="s">
        <v>84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x14ac:dyDescent="0.2">
      <c r="A114" s="286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7"/>
      <c r="P114" s="278" t="s">
        <v>73</v>
      </c>
      <c r="Q114" s="279"/>
      <c r="R114" s="279"/>
      <c r="S114" s="279"/>
      <c r="T114" s="279"/>
      <c r="U114" s="279"/>
      <c r="V114" s="280"/>
      <c r="W114" s="37" t="s">
        <v>70</v>
      </c>
      <c r="X114" s="270">
        <f>IFERROR(SUM(X113:X113),"0")</f>
        <v>0</v>
      </c>
      <c r="Y114" s="270">
        <f>IFERROR(SUM(Y113:Y113),"0")</f>
        <v>0</v>
      </c>
      <c r="Z114" s="270">
        <f>IFERROR(IF(Z113="",0,Z113),"0")</f>
        <v>0</v>
      </c>
      <c r="AA114" s="271"/>
      <c r="AB114" s="271"/>
      <c r="AC114" s="271"/>
    </row>
    <row r="115" spans="1:68" x14ac:dyDescent="0.2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87"/>
      <c r="P115" s="278" t="s">
        <v>73</v>
      </c>
      <c r="Q115" s="279"/>
      <c r="R115" s="279"/>
      <c r="S115" s="279"/>
      <c r="T115" s="279"/>
      <c r="U115" s="279"/>
      <c r="V115" s="280"/>
      <c r="W115" s="37" t="s">
        <v>74</v>
      </c>
      <c r="X115" s="270">
        <f>IFERROR(SUMPRODUCT(X113:X113*H113:H113),"0")</f>
        <v>0</v>
      </c>
      <c r="Y115" s="270">
        <f>IFERROR(SUMPRODUCT(Y113:Y113*H113:H113),"0")</f>
        <v>0</v>
      </c>
      <c r="Z115" s="37"/>
      <c r="AA115" s="271"/>
      <c r="AB115" s="271"/>
      <c r="AC115" s="271"/>
    </row>
    <row r="116" spans="1:68" ht="14.25" customHeight="1" x14ac:dyDescent="0.25">
      <c r="A116" s="304" t="s">
        <v>195</v>
      </c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  <c r="AA116" s="264"/>
      <c r="AB116" s="264"/>
      <c r="AC116" s="264"/>
    </row>
    <row r="117" spans="1:68" ht="27" customHeight="1" x14ac:dyDescent="0.25">
      <c r="A117" s="54" t="s">
        <v>196</v>
      </c>
      <c r="B117" s="54" t="s">
        <v>197</v>
      </c>
      <c r="C117" s="31">
        <v>4301071094</v>
      </c>
      <c r="D117" s="272">
        <v>4620207491140</v>
      </c>
      <c r="E117" s="273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2"/>
      <c r="R117" s="282"/>
      <c r="S117" s="282"/>
      <c r="T117" s="283"/>
      <c r="U117" s="34"/>
      <c r="V117" s="34"/>
      <c r="W117" s="35" t="s">
        <v>70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198</v>
      </c>
      <c r="AG117" s="67"/>
      <c r="AJ117" s="71" t="s">
        <v>72</v>
      </c>
      <c r="AK117" s="71">
        <v>1</v>
      </c>
      <c r="BB117" s="151" t="s">
        <v>84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286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7"/>
      <c r="P118" s="278" t="s">
        <v>73</v>
      </c>
      <c r="Q118" s="279"/>
      <c r="R118" s="279"/>
      <c r="S118" s="279"/>
      <c r="T118" s="279"/>
      <c r="U118" s="279"/>
      <c r="V118" s="280"/>
      <c r="W118" s="37" t="s">
        <v>70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x14ac:dyDescent="0.2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87"/>
      <c r="P119" s="278" t="s">
        <v>73</v>
      </c>
      <c r="Q119" s="279"/>
      <c r="R119" s="279"/>
      <c r="S119" s="279"/>
      <c r="T119" s="279"/>
      <c r="U119" s="279"/>
      <c r="V119" s="280"/>
      <c r="W119" s="37" t="s">
        <v>74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customHeight="1" x14ac:dyDescent="0.25">
      <c r="A120" s="284" t="s">
        <v>199</v>
      </c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  <c r="AA120" s="263"/>
      <c r="AB120" s="263"/>
      <c r="AC120" s="263"/>
    </row>
    <row r="121" spans="1:68" ht="14.25" customHeight="1" x14ac:dyDescent="0.25">
      <c r="A121" s="304" t="s">
        <v>123</v>
      </c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  <c r="AA121" s="264"/>
      <c r="AB121" s="264"/>
      <c r="AC121" s="264"/>
    </row>
    <row r="122" spans="1:68" ht="27" customHeight="1" x14ac:dyDescent="0.25">
      <c r="A122" s="54" t="s">
        <v>200</v>
      </c>
      <c r="B122" s="54" t="s">
        <v>201</v>
      </c>
      <c r="C122" s="31">
        <v>4301135555</v>
      </c>
      <c r="D122" s="272">
        <v>4607111034014</v>
      </c>
      <c r="E122" s="273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81</v>
      </c>
      <c r="M122" s="33" t="s">
        <v>69</v>
      </c>
      <c r="N122" s="33"/>
      <c r="O122" s="32">
        <v>180</v>
      </c>
      <c r="P122" s="36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2"/>
      <c r="R122" s="282"/>
      <c r="S122" s="282"/>
      <c r="T122" s="283"/>
      <c r="U122" s="34"/>
      <c r="V122" s="34"/>
      <c r="W122" s="35" t="s">
        <v>70</v>
      </c>
      <c r="X122" s="268">
        <v>168</v>
      </c>
      <c r="Y122" s="269">
        <f>IFERROR(IF(X122="","",X122),"")</f>
        <v>168</v>
      </c>
      <c r="Z122" s="36">
        <f>IFERROR(IF(X122="","",X122*0.01788),"")</f>
        <v>3.0038399999999998</v>
      </c>
      <c r="AA122" s="56"/>
      <c r="AB122" s="57"/>
      <c r="AC122" s="152" t="s">
        <v>202</v>
      </c>
      <c r="AG122" s="67"/>
      <c r="AJ122" s="71" t="s">
        <v>83</v>
      </c>
      <c r="AK122" s="71">
        <v>70</v>
      </c>
      <c r="BB122" s="153" t="s">
        <v>84</v>
      </c>
      <c r="BM122" s="67">
        <f>IFERROR(X122*I122,"0")</f>
        <v>622.20479999999998</v>
      </c>
      <c r="BN122" s="67">
        <f>IFERROR(Y122*I122,"0")</f>
        <v>622.20479999999998</v>
      </c>
      <c r="BO122" s="67">
        <f>IFERROR(X122/J122,"0")</f>
        <v>2.4</v>
      </c>
      <c r="BP122" s="67">
        <f>IFERROR(Y122/J122,"0")</f>
        <v>2.4</v>
      </c>
    </row>
    <row r="123" spans="1:68" ht="27" customHeight="1" x14ac:dyDescent="0.25">
      <c r="A123" s="54" t="s">
        <v>203</v>
      </c>
      <c r="B123" s="54" t="s">
        <v>204</v>
      </c>
      <c r="C123" s="31">
        <v>4301135532</v>
      </c>
      <c r="D123" s="272">
        <v>4607111033994</v>
      </c>
      <c r="E123" s="273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80</v>
      </c>
      <c r="L123" s="32" t="s">
        <v>81</v>
      </c>
      <c r="M123" s="33" t="s">
        <v>69</v>
      </c>
      <c r="N123" s="33"/>
      <c r="O123" s="32">
        <v>180</v>
      </c>
      <c r="P123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2"/>
      <c r="R123" s="282"/>
      <c r="S123" s="282"/>
      <c r="T123" s="283"/>
      <c r="U123" s="34"/>
      <c r="V123" s="34"/>
      <c r="W123" s="35" t="s">
        <v>70</v>
      </c>
      <c r="X123" s="268">
        <v>252</v>
      </c>
      <c r="Y123" s="269">
        <f>IFERROR(IF(X123="","",X123),"")</f>
        <v>252</v>
      </c>
      <c r="Z123" s="36">
        <f>IFERROR(IF(X123="","",X123*0.01788),"")</f>
        <v>4.5057600000000004</v>
      </c>
      <c r="AA123" s="56"/>
      <c r="AB123" s="57"/>
      <c r="AC123" s="154" t="s">
        <v>141</v>
      </c>
      <c r="AG123" s="67"/>
      <c r="AJ123" s="71" t="s">
        <v>83</v>
      </c>
      <c r="AK123" s="71">
        <v>70</v>
      </c>
      <c r="BB123" s="155" t="s">
        <v>84</v>
      </c>
      <c r="BM123" s="67">
        <f>IFERROR(X123*I123,"0")</f>
        <v>933.30719999999997</v>
      </c>
      <c r="BN123" s="67">
        <f>IFERROR(Y123*I123,"0")</f>
        <v>933.30719999999997</v>
      </c>
      <c r="BO123" s="67">
        <f>IFERROR(X123/J123,"0")</f>
        <v>3.6</v>
      </c>
      <c r="BP123" s="67">
        <f>IFERROR(Y123/J123,"0")</f>
        <v>3.6</v>
      </c>
    </row>
    <row r="124" spans="1:68" x14ac:dyDescent="0.2">
      <c r="A124" s="286"/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7"/>
      <c r="P124" s="278" t="s">
        <v>73</v>
      </c>
      <c r="Q124" s="279"/>
      <c r="R124" s="279"/>
      <c r="S124" s="279"/>
      <c r="T124" s="279"/>
      <c r="U124" s="279"/>
      <c r="V124" s="280"/>
      <c r="W124" s="37" t="s">
        <v>70</v>
      </c>
      <c r="X124" s="270">
        <f>IFERROR(SUM(X122:X123),"0")</f>
        <v>420</v>
      </c>
      <c r="Y124" s="270">
        <f>IFERROR(SUM(Y122:Y123),"0")</f>
        <v>420</v>
      </c>
      <c r="Z124" s="270">
        <f>IFERROR(IF(Z122="",0,Z122),"0")+IFERROR(IF(Z123="",0,Z123),"0")</f>
        <v>7.5096000000000007</v>
      </c>
      <c r="AA124" s="271"/>
      <c r="AB124" s="271"/>
      <c r="AC124" s="271"/>
    </row>
    <row r="125" spans="1:68" x14ac:dyDescent="0.2">
      <c r="A125" s="285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7"/>
      <c r="P125" s="278" t="s">
        <v>73</v>
      </c>
      <c r="Q125" s="279"/>
      <c r="R125" s="279"/>
      <c r="S125" s="279"/>
      <c r="T125" s="279"/>
      <c r="U125" s="279"/>
      <c r="V125" s="280"/>
      <c r="W125" s="37" t="s">
        <v>74</v>
      </c>
      <c r="X125" s="270">
        <f>IFERROR(SUMPRODUCT(X122:X123*H122:H123),"0")</f>
        <v>1260</v>
      </c>
      <c r="Y125" s="270">
        <f>IFERROR(SUMPRODUCT(Y122:Y123*H122:H123),"0")</f>
        <v>1260</v>
      </c>
      <c r="Z125" s="37"/>
      <c r="AA125" s="271"/>
      <c r="AB125" s="271"/>
      <c r="AC125" s="271"/>
    </row>
    <row r="126" spans="1:68" ht="16.5" customHeight="1" x14ac:dyDescent="0.25">
      <c r="A126" s="284" t="s">
        <v>205</v>
      </c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  <c r="AA126" s="263"/>
      <c r="AB126" s="263"/>
      <c r="AC126" s="263"/>
    </row>
    <row r="127" spans="1:68" ht="14.25" customHeight="1" x14ac:dyDescent="0.25">
      <c r="A127" s="304" t="s">
        <v>123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206</v>
      </c>
      <c r="B128" s="54" t="s">
        <v>207</v>
      </c>
      <c r="C128" s="31">
        <v>4301135824</v>
      </c>
      <c r="D128" s="272">
        <v>4607111039095</v>
      </c>
      <c r="E128" s="273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3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2"/>
      <c r="R128" s="282"/>
      <c r="S128" s="282"/>
      <c r="T128" s="283"/>
      <c r="U128" s="34"/>
      <c r="V128" s="34"/>
      <c r="W128" s="35" t="s">
        <v>70</v>
      </c>
      <c r="X128" s="268">
        <v>14</v>
      </c>
      <c r="Y128" s="269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208</v>
      </c>
      <c r="AG128" s="67"/>
      <c r="AJ128" s="71" t="s">
        <v>72</v>
      </c>
      <c r="AK128" s="71">
        <v>1</v>
      </c>
      <c r="BB128" s="157" t="s">
        <v>84</v>
      </c>
      <c r="BM128" s="67">
        <f>IFERROR(X128*I128,"0")</f>
        <v>52.472000000000001</v>
      </c>
      <c r="BN128" s="67">
        <f>IFERROR(Y128*I128,"0")</f>
        <v>52.472000000000001</v>
      </c>
      <c r="BO128" s="67">
        <f>IFERROR(X128/J128,"0")</f>
        <v>0.2</v>
      </c>
      <c r="BP128" s="67">
        <f>IFERROR(Y128/J128,"0")</f>
        <v>0.2</v>
      </c>
    </row>
    <row r="129" spans="1:68" ht="16.5" customHeight="1" x14ac:dyDescent="0.25">
      <c r="A129" s="54" t="s">
        <v>209</v>
      </c>
      <c r="B129" s="54" t="s">
        <v>210</v>
      </c>
      <c r="C129" s="31">
        <v>4301135550</v>
      </c>
      <c r="D129" s="272">
        <v>4607111034199</v>
      </c>
      <c r="E129" s="273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80</v>
      </c>
      <c r="L129" s="32" t="s">
        <v>81</v>
      </c>
      <c r="M129" s="33" t="s">
        <v>69</v>
      </c>
      <c r="N129" s="33"/>
      <c r="O129" s="32">
        <v>180</v>
      </c>
      <c r="P12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2"/>
      <c r="R129" s="282"/>
      <c r="S129" s="282"/>
      <c r="T129" s="283"/>
      <c r="U129" s="34"/>
      <c r="V129" s="34"/>
      <c r="W129" s="35" t="s">
        <v>70</v>
      </c>
      <c r="X129" s="268">
        <v>112</v>
      </c>
      <c r="Y129" s="269">
        <f>IFERROR(IF(X129="","",X129),"")</f>
        <v>112</v>
      </c>
      <c r="Z129" s="36">
        <f>IFERROR(IF(X129="","",X129*0.01788),"")</f>
        <v>2.0025599999999999</v>
      </c>
      <c r="AA129" s="56"/>
      <c r="AB129" s="57"/>
      <c r="AC129" s="158" t="s">
        <v>211</v>
      </c>
      <c r="AG129" s="67"/>
      <c r="AJ129" s="71" t="s">
        <v>83</v>
      </c>
      <c r="AK129" s="71">
        <v>70</v>
      </c>
      <c r="BB129" s="159" t="s">
        <v>84</v>
      </c>
      <c r="BM129" s="67">
        <f>IFERROR(X129*I129,"0")</f>
        <v>414.80319999999995</v>
      </c>
      <c r="BN129" s="67">
        <f>IFERROR(Y129*I129,"0")</f>
        <v>414.80319999999995</v>
      </c>
      <c r="BO129" s="67">
        <f>IFERROR(X129/J129,"0")</f>
        <v>1.6</v>
      </c>
      <c r="BP129" s="67">
        <f>IFERROR(Y129/J129,"0")</f>
        <v>1.6</v>
      </c>
    </row>
    <row r="130" spans="1:68" x14ac:dyDescent="0.2">
      <c r="A130" s="286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7"/>
      <c r="P130" s="278" t="s">
        <v>73</v>
      </c>
      <c r="Q130" s="279"/>
      <c r="R130" s="279"/>
      <c r="S130" s="279"/>
      <c r="T130" s="279"/>
      <c r="U130" s="279"/>
      <c r="V130" s="280"/>
      <c r="W130" s="37" t="s">
        <v>70</v>
      </c>
      <c r="X130" s="270">
        <f>IFERROR(SUM(X128:X129),"0")</f>
        <v>126</v>
      </c>
      <c r="Y130" s="270">
        <f>IFERROR(SUM(Y128:Y129),"0")</f>
        <v>126</v>
      </c>
      <c r="Z130" s="270">
        <f>IFERROR(IF(Z128="",0,Z128),"0")+IFERROR(IF(Z129="",0,Z129),"0")</f>
        <v>2.2528799999999998</v>
      </c>
      <c r="AA130" s="271"/>
      <c r="AB130" s="271"/>
      <c r="AC130" s="271"/>
    </row>
    <row r="131" spans="1:68" x14ac:dyDescent="0.2">
      <c r="A131" s="285"/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7"/>
      <c r="P131" s="278" t="s">
        <v>73</v>
      </c>
      <c r="Q131" s="279"/>
      <c r="R131" s="279"/>
      <c r="S131" s="279"/>
      <c r="T131" s="279"/>
      <c r="U131" s="279"/>
      <c r="V131" s="280"/>
      <c r="W131" s="37" t="s">
        <v>74</v>
      </c>
      <c r="X131" s="270">
        <f>IFERROR(SUMPRODUCT(X128:X129*H128:H129),"0")</f>
        <v>378</v>
      </c>
      <c r="Y131" s="270">
        <f>IFERROR(SUMPRODUCT(Y128:Y129*H128:H129),"0")</f>
        <v>378</v>
      </c>
      <c r="Z131" s="37"/>
      <c r="AA131" s="271"/>
      <c r="AB131" s="271"/>
      <c r="AC131" s="271"/>
    </row>
    <row r="132" spans="1:68" ht="16.5" customHeight="1" x14ac:dyDescent="0.25">
      <c r="A132" s="284" t="s">
        <v>212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3"/>
      <c r="AB132" s="263"/>
      <c r="AC132" s="263"/>
    </row>
    <row r="133" spans="1:68" ht="14.25" customHeight="1" x14ac:dyDescent="0.25">
      <c r="A133" s="304" t="s">
        <v>123</v>
      </c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  <c r="AA133" s="264"/>
      <c r="AB133" s="264"/>
      <c r="AC133" s="264"/>
    </row>
    <row r="134" spans="1:68" ht="27" customHeight="1" x14ac:dyDescent="0.25">
      <c r="A134" s="54" t="s">
        <v>213</v>
      </c>
      <c r="B134" s="54" t="s">
        <v>214</v>
      </c>
      <c r="C134" s="31">
        <v>4301135753</v>
      </c>
      <c r="D134" s="272">
        <v>4620207490914</v>
      </c>
      <c r="E134" s="273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5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2"/>
      <c r="R134" s="282"/>
      <c r="S134" s="282"/>
      <c r="T134" s="283"/>
      <c r="U134" s="34"/>
      <c r="V134" s="34"/>
      <c r="W134" s="35" t="s">
        <v>70</v>
      </c>
      <c r="X134" s="268">
        <v>28</v>
      </c>
      <c r="Y134" s="269">
        <f>IFERROR(IF(X134="","",X134),"")</f>
        <v>28</v>
      </c>
      <c r="Z134" s="36">
        <f>IFERROR(IF(X134="","",X134*0.01788),"")</f>
        <v>0.50063999999999997</v>
      </c>
      <c r="AA134" s="56"/>
      <c r="AB134" s="57"/>
      <c r="AC134" s="160" t="s">
        <v>202</v>
      </c>
      <c r="AG134" s="67"/>
      <c r="AJ134" s="71" t="s">
        <v>72</v>
      </c>
      <c r="AK134" s="71">
        <v>1</v>
      </c>
      <c r="BB134" s="161" t="s">
        <v>84</v>
      </c>
      <c r="BM134" s="67">
        <f>IFERROR(X134*I134,"0")</f>
        <v>75.040000000000006</v>
      </c>
      <c r="BN134" s="67">
        <f>IFERROR(Y134*I134,"0")</f>
        <v>75.040000000000006</v>
      </c>
      <c r="BO134" s="67">
        <f>IFERROR(X134/J134,"0")</f>
        <v>0.4</v>
      </c>
      <c r="BP134" s="67">
        <f>IFERROR(Y134/J134,"0")</f>
        <v>0.4</v>
      </c>
    </row>
    <row r="135" spans="1:68" ht="27" customHeight="1" x14ac:dyDescent="0.25">
      <c r="A135" s="54" t="s">
        <v>215</v>
      </c>
      <c r="B135" s="54" t="s">
        <v>216</v>
      </c>
      <c r="C135" s="31">
        <v>4301135778</v>
      </c>
      <c r="D135" s="272">
        <v>4620207490853</v>
      </c>
      <c r="E135" s="273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80</v>
      </c>
      <c r="L135" s="32" t="s">
        <v>93</v>
      </c>
      <c r="M135" s="33" t="s">
        <v>69</v>
      </c>
      <c r="N135" s="33"/>
      <c r="O135" s="32">
        <v>180</v>
      </c>
      <c r="P135" s="43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2"/>
      <c r="R135" s="282"/>
      <c r="S135" s="282"/>
      <c r="T135" s="283"/>
      <c r="U135" s="34"/>
      <c r="V135" s="34"/>
      <c r="W135" s="35" t="s">
        <v>70</v>
      </c>
      <c r="X135" s="268">
        <v>126</v>
      </c>
      <c r="Y135" s="269">
        <f>IFERROR(IF(X135="","",X135),"")</f>
        <v>126</v>
      </c>
      <c r="Z135" s="36">
        <f>IFERROR(IF(X135="","",X135*0.01788),"")</f>
        <v>2.2528800000000002</v>
      </c>
      <c r="AA135" s="56"/>
      <c r="AB135" s="57"/>
      <c r="AC135" s="162" t="s">
        <v>202</v>
      </c>
      <c r="AG135" s="67"/>
      <c r="AJ135" s="71" t="s">
        <v>95</v>
      </c>
      <c r="AK135" s="71">
        <v>14</v>
      </c>
      <c r="BB135" s="163" t="s">
        <v>84</v>
      </c>
      <c r="BM135" s="67">
        <f>IFERROR(X135*I135,"0")</f>
        <v>337.68</v>
      </c>
      <c r="BN135" s="67">
        <f>IFERROR(Y135*I135,"0")</f>
        <v>337.68</v>
      </c>
      <c r="BO135" s="67">
        <f>IFERROR(X135/J135,"0")</f>
        <v>1.8</v>
      </c>
      <c r="BP135" s="67">
        <f>IFERROR(Y135/J135,"0")</f>
        <v>1.8</v>
      </c>
    </row>
    <row r="136" spans="1:68" x14ac:dyDescent="0.2">
      <c r="A136" s="286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7"/>
      <c r="P136" s="278" t="s">
        <v>73</v>
      </c>
      <c r="Q136" s="279"/>
      <c r="R136" s="279"/>
      <c r="S136" s="279"/>
      <c r="T136" s="279"/>
      <c r="U136" s="279"/>
      <c r="V136" s="280"/>
      <c r="W136" s="37" t="s">
        <v>70</v>
      </c>
      <c r="X136" s="270">
        <f>IFERROR(SUM(X134:X135),"0")</f>
        <v>154</v>
      </c>
      <c r="Y136" s="270">
        <f>IFERROR(SUM(Y134:Y135),"0")</f>
        <v>154</v>
      </c>
      <c r="Z136" s="270">
        <f>IFERROR(IF(Z134="",0,Z134),"0")+IFERROR(IF(Z135="",0,Z135),"0")</f>
        <v>2.75352</v>
      </c>
      <c r="AA136" s="271"/>
      <c r="AB136" s="271"/>
      <c r="AC136" s="271"/>
    </row>
    <row r="137" spans="1:68" x14ac:dyDescent="0.2">
      <c r="A137" s="285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7"/>
      <c r="P137" s="278" t="s">
        <v>73</v>
      </c>
      <c r="Q137" s="279"/>
      <c r="R137" s="279"/>
      <c r="S137" s="279"/>
      <c r="T137" s="279"/>
      <c r="U137" s="279"/>
      <c r="V137" s="280"/>
      <c r="W137" s="37" t="s">
        <v>74</v>
      </c>
      <c r="X137" s="270">
        <f>IFERROR(SUMPRODUCT(X134:X135*H134:H135),"0")</f>
        <v>369.59999999999997</v>
      </c>
      <c r="Y137" s="270">
        <f>IFERROR(SUMPRODUCT(Y134:Y135*H134:H135),"0")</f>
        <v>369.59999999999997</v>
      </c>
      <c r="Z137" s="37"/>
      <c r="AA137" s="271"/>
      <c r="AB137" s="271"/>
      <c r="AC137" s="271"/>
    </row>
    <row r="138" spans="1:68" ht="16.5" customHeight="1" x14ac:dyDescent="0.25">
      <c r="A138" s="284" t="s">
        <v>217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3"/>
      <c r="AB138" s="263"/>
      <c r="AC138" s="263"/>
    </row>
    <row r="139" spans="1:68" ht="14.25" customHeight="1" x14ac:dyDescent="0.25">
      <c r="A139" s="304" t="s">
        <v>123</v>
      </c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  <c r="AA139" s="264"/>
      <c r="AB139" s="264"/>
      <c r="AC139" s="264"/>
    </row>
    <row r="140" spans="1:68" ht="27" customHeight="1" x14ac:dyDescent="0.25">
      <c r="A140" s="54" t="s">
        <v>218</v>
      </c>
      <c r="B140" s="54" t="s">
        <v>219</v>
      </c>
      <c r="C140" s="31">
        <v>4301135570</v>
      </c>
      <c r="D140" s="272">
        <v>4607111035806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80</v>
      </c>
      <c r="L140" s="32" t="s">
        <v>93</v>
      </c>
      <c r="M140" s="33" t="s">
        <v>69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2"/>
      <c r="R140" s="282"/>
      <c r="S140" s="282"/>
      <c r="T140" s="283"/>
      <c r="U140" s="34"/>
      <c r="V140" s="34"/>
      <c r="W140" s="35" t="s">
        <v>70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64" t="s">
        <v>220</v>
      </c>
      <c r="AG140" s="67"/>
      <c r="AJ140" s="71" t="s">
        <v>95</v>
      </c>
      <c r="AK140" s="71">
        <v>14</v>
      </c>
      <c r="BB140" s="165" t="s">
        <v>84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6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7"/>
      <c r="P141" s="278" t="s">
        <v>73</v>
      </c>
      <c r="Q141" s="279"/>
      <c r="R141" s="279"/>
      <c r="S141" s="279"/>
      <c r="T141" s="279"/>
      <c r="U141" s="279"/>
      <c r="V141" s="280"/>
      <c r="W141" s="37" t="s">
        <v>70</v>
      </c>
      <c r="X141" s="270">
        <f>IFERROR(SUM(X140:X140),"0")</f>
        <v>0</v>
      </c>
      <c r="Y141" s="270">
        <f>IFERROR(SUM(Y140:Y140),"0")</f>
        <v>0</v>
      </c>
      <c r="Z141" s="270">
        <f>IFERROR(IF(Z140="",0,Z140),"0")</f>
        <v>0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7"/>
      <c r="P142" s="278" t="s">
        <v>73</v>
      </c>
      <c r="Q142" s="279"/>
      <c r="R142" s="279"/>
      <c r="S142" s="279"/>
      <c r="T142" s="279"/>
      <c r="U142" s="279"/>
      <c r="V142" s="280"/>
      <c r="W142" s="37" t="s">
        <v>74</v>
      </c>
      <c r="X142" s="270">
        <f>IFERROR(SUMPRODUCT(X140:X140*H140:H140),"0")</f>
        <v>0</v>
      </c>
      <c r="Y142" s="270">
        <f>IFERROR(SUMPRODUCT(Y140:Y140*H140:H140),"0")</f>
        <v>0</v>
      </c>
      <c r="Z142" s="37"/>
      <c r="AA142" s="271"/>
      <c r="AB142" s="271"/>
      <c r="AC142" s="271"/>
    </row>
    <row r="143" spans="1:68" ht="16.5" customHeight="1" x14ac:dyDescent="0.25">
      <c r="A143" s="284" t="s">
        <v>221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4" t="s">
        <v>123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16.5" customHeight="1" x14ac:dyDescent="0.25">
      <c r="A145" s="54" t="s">
        <v>222</v>
      </c>
      <c r="B145" s="54" t="s">
        <v>223</v>
      </c>
      <c r="C145" s="31">
        <v>4301135607</v>
      </c>
      <c r="D145" s="272">
        <v>4607111039613</v>
      </c>
      <c r="E145" s="273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80</v>
      </c>
      <c r="L145" s="32" t="s">
        <v>93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2"/>
      <c r="R145" s="282"/>
      <c r="S145" s="282"/>
      <c r="T145" s="283"/>
      <c r="U145" s="34"/>
      <c r="V145" s="34"/>
      <c r="W145" s="35" t="s">
        <v>70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208</v>
      </c>
      <c r="AG145" s="67"/>
      <c r="AJ145" s="71" t="s">
        <v>95</v>
      </c>
      <c r="AK145" s="71">
        <v>14</v>
      </c>
      <c r="BB145" s="167" t="s">
        <v>84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86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7"/>
      <c r="P146" s="278" t="s">
        <v>73</v>
      </c>
      <c r="Q146" s="279"/>
      <c r="R146" s="279"/>
      <c r="S146" s="279"/>
      <c r="T146" s="279"/>
      <c r="U146" s="279"/>
      <c r="V146" s="280"/>
      <c r="W146" s="37" t="s">
        <v>70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x14ac:dyDescent="0.2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7"/>
      <c r="P147" s="278" t="s">
        <v>73</v>
      </c>
      <c r="Q147" s="279"/>
      <c r="R147" s="279"/>
      <c r="S147" s="279"/>
      <c r="T147" s="279"/>
      <c r="U147" s="279"/>
      <c r="V147" s="280"/>
      <c r="W147" s="37" t="s">
        <v>74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customHeight="1" x14ac:dyDescent="0.25">
      <c r="A148" s="284" t="s">
        <v>224</v>
      </c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A148" s="263"/>
      <c r="AB148" s="263"/>
      <c r="AC148" s="263"/>
    </row>
    <row r="149" spans="1:68" ht="14.25" customHeight="1" x14ac:dyDescent="0.25">
      <c r="A149" s="304" t="s">
        <v>195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4"/>
      <c r="AB149" s="264"/>
      <c r="AC149" s="264"/>
    </row>
    <row r="150" spans="1:68" ht="27" customHeight="1" x14ac:dyDescent="0.25">
      <c r="A150" s="54" t="s">
        <v>225</v>
      </c>
      <c r="B150" s="54" t="s">
        <v>226</v>
      </c>
      <c r="C150" s="31">
        <v>4301135540</v>
      </c>
      <c r="D150" s="272">
        <v>4607111035646</v>
      </c>
      <c r="E150" s="273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227</v>
      </c>
      <c r="L150" s="32" t="s">
        <v>68</v>
      </c>
      <c r="M150" s="33" t="s">
        <v>69</v>
      </c>
      <c r="N150" s="33"/>
      <c r="O150" s="32">
        <v>180</v>
      </c>
      <c r="P150" s="29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2"/>
      <c r="R150" s="282"/>
      <c r="S150" s="282"/>
      <c r="T150" s="283"/>
      <c r="U150" s="34"/>
      <c r="V150" s="34"/>
      <c r="W150" s="35" t="s">
        <v>70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228</v>
      </c>
      <c r="AG150" s="67"/>
      <c r="AJ150" s="71" t="s">
        <v>72</v>
      </c>
      <c r="AK150" s="71">
        <v>1</v>
      </c>
      <c r="BB150" s="169" t="s">
        <v>84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6"/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7"/>
      <c r="P151" s="278" t="s">
        <v>73</v>
      </c>
      <c r="Q151" s="279"/>
      <c r="R151" s="279"/>
      <c r="S151" s="279"/>
      <c r="T151" s="279"/>
      <c r="U151" s="279"/>
      <c r="V151" s="280"/>
      <c r="W151" s="37" t="s">
        <v>70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x14ac:dyDescent="0.2">
      <c r="A152" s="285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7"/>
      <c r="P152" s="278" t="s">
        <v>73</v>
      </c>
      <c r="Q152" s="279"/>
      <c r="R152" s="279"/>
      <c r="S152" s="279"/>
      <c r="T152" s="279"/>
      <c r="U152" s="279"/>
      <c r="V152" s="280"/>
      <c r="W152" s="37" t="s">
        <v>74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customHeight="1" x14ac:dyDescent="0.25">
      <c r="A153" s="284" t="s">
        <v>229</v>
      </c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  <c r="AA153" s="263"/>
      <c r="AB153" s="263"/>
      <c r="AC153" s="263"/>
    </row>
    <row r="154" spans="1:68" ht="14.25" customHeight="1" x14ac:dyDescent="0.25">
      <c r="A154" s="304" t="s">
        <v>123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4"/>
      <c r="AB154" s="264"/>
      <c r="AC154" s="264"/>
    </row>
    <row r="155" spans="1:68" ht="27" customHeight="1" x14ac:dyDescent="0.25">
      <c r="A155" s="54" t="s">
        <v>230</v>
      </c>
      <c r="B155" s="54" t="s">
        <v>231</v>
      </c>
      <c r="C155" s="31">
        <v>4301135591</v>
      </c>
      <c r="D155" s="272">
        <v>4607111036568</v>
      </c>
      <c r="E155" s="273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28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2"/>
      <c r="R155" s="282"/>
      <c r="S155" s="282"/>
      <c r="T155" s="283"/>
      <c r="U155" s="34"/>
      <c r="V155" s="34"/>
      <c r="W155" s="35" t="s">
        <v>70</v>
      </c>
      <c r="X155" s="268">
        <v>0</v>
      </c>
      <c r="Y155" s="269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232</v>
      </c>
      <c r="AG155" s="67"/>
      <c r="AJ155" s="71" t="s">
        <v>72</v>
      </c>
      <c r="AK155" s="71">
        <v>1</v>
      </c>
      <c r="BB155" s="171" t="s">
        <v>84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86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7"/>
      <c r="P156" s="278" t="s">
        <v>73</v>
      </c>
      <c r="Q156" s="279"/>
      <c r="R156" s="279"/>
      <c r="S156" s="279"/>
      <c r="T156" s="279"/>
      <c r="U156" s="279"/>
      <c r="V156" s="280"/>
      <c r="W156" s="37" t="s">
        <v>70</v>
      </c>
      <c r="X156" s="270">
        <f>IFERROR(SUM(X155:X155),"0")</f>
        <v>0</v>
      </c>
      <c r="Y156" s="270">
        <f>IFERROR(SUM(Y155:Y155),"0")</f>
        <v>0</v>
      </c>
      <c r="Z156" s="270">
        <f>IFERROR(IF(Z155="",0,Z155),"0")</f>
        <v>0</v>
      </c>
      <c r="AA156" s="271"/>
      <c r="AB156" s="271"/>
      <c r="AC156" s="271"/>
    </row>
    <row r="157" spans="1:68" x14ac:dyDescent="0.2">
      <c r="A157" s="285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7"/>
      <c r="P157" s="278" t="s">
        <v>73</v>
      </c>
      <c r="Q157" s="279"/>
      <c r="R157" s="279"/>
      <c r="S157" s="279"/>
      <c r="T157" s="279"/>
      <c r="U157" s="279"/>
      <c r="V157" s="280"/>
      <c r="W157" s="37" t="s">
        <v>74</v>
      </c>
      <c r="X157" s="270">
        <f>IFERROR(SUMPRODUCT(X155:X155*H155:H155),"0")</f>
        <v>0</v>
      </c>
      <c r="Y157" s="270">
        <f>IFERROR(SUMPRODUCT(Y155:Y155*H155:H155),"0")</f>
        <v>0</v>
      </c>
      <c r="Z157" s="37"/>
      <c r="AA157" s="271"/>
      <c r="AB157" s="271"/>
      <c r="AC157" s="271"/>
    </row>
    <row r="158" spans="1:68" ht="27.75" customHeight="1" x14ac:dyDescent="0.2">
      <c r="A158" s="321" t="s">
        <v>233</v>
      </c>
      <c r="B158" s="322"/>
      <c r="C158" s="322"/>
      <c r="D158" s="322"/>
      <c r="E158" s="322"/>
      <c r="F158" s="322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48"/>
      <c r="AB158" s="48"/>
      <c r="AC158" s="48"/>
    </row>
    <row r="159" spans="1:68" ht="16.5" customHeight="1" x14ac:dyDescent="0.25">
      <c r="A159" s="284" t="s">
        <v>234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4" t="s">
        <v>64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16.5" customHeight="1" x14ac:dyDescent="0.25">
      <c r="A161" s="54" t="s">
        <v>235</v>
      </c>
      <c r="B161" s="54" t="s">
        <v>236</v>
      </c>
      <c r="C161" s="31">
        <v>4301071062</v>
      </c>
      <c r="D161" s="272">
        <v>4607111036384</v>
      </c>
      <c r="E161" s="273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67</v>
      </c>
      <c r="L161" s="32" t="s">
        <v>93</v>
      </c>
      <c r="M161" s="33" t="s">
        <v>69</v>
      </c>
      <c r="N161" s="33"/>
      <c r="O161" s="32">
        <v>180</v>
      </c>
      <c r="P161" s="3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2"/>
      <c r="R161" s="282"/>
      <c r="S161" s="282"/>
      <c r="T161" s="283"/>
      <c r="U161" s="34"/>
      <c r="V161" s="34"/>
      <c r="W161" s="35" t="s">
        <v>70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95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238</v>
      </c>
      <c r="B162" s="54" t="s">
        <v>239</v>
      </c>
      <c r="C162" s="31">
        <v>4301071050</v>
      </c>
      <c r="D162" s="272">
        <v>4607111036216</v>
      </c>
      <c r="E162" s="273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67</v>
      </c>
      <c r="L162" s="32" t="s">
        <v>93</v>
      </c>
      <c r="M162" s="33" t="s">
        <v>69</v>
      </c>
      <c r="N162" s="33"/>
      <c r="O162" s="32">
        <v>180</v>
      </c>
      <c r="P162" s="41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2"/>
      <c r="R162" s="282"/>
      <c r="S162" s="282"/>
      <c r="T162" s="283"/>
      <c r="U162" s="34"/>
      <c r="V162" s="34"/>
      <c r="W162" s="35" t="s">
        <v>70</v>
      </c>
      <c r="X162" s="268">
        <v>12</v>
      </c>
      <c r="Y162" s="269">
        <f>IFERROR(IF(X162="","",X162),"")</f>
        <v>12</v>
      </c>
      <c r="Z162" s="36">
        <f>IFERROR(IF(X162="","",X162*0.00866),"")</f>
        <v>0.10391999999999998</v>
      </c>
      <c r="AA162" s="56"/>
      <c r="AB162" s="57"/>
      <c r="AC162" s="174" t="s">
        <v>240</v>
      </c>
      <c r="AG162" s="67"/>
      <c r="AJ162" s="71" t="s">
        <v>95</v>
      </c>
      <c r="AK162" s="71">
        <v>12</v>
      </c>
      <c r="BB162" s="175" t="s">
        <v>1</v>
      </c>
      <c r="BM162" s="67">
        <f>IFERROR(X162*I162,"0")</f>
        <v>62.558399999999992</v>
      </c>
      <c r="BN162" s="67">
        <f>IFERROR(Y162*I162,"0")</f>
        <v>62.558399999999992</v>
      </c>
      <c r="BO162" s="67">
        <f>IFERROR(X162/J162,"0")</f>
        <v>8.3333333333333329E-2</v>
      </c>
      <c r="BP162" s="67">
        <f>IFERROR(Y162/J162,"0")</f>
        <v>8.3333333333333329E-2</v>
      </c>
    </row>
    <row r="163" spans="1:68" x14ac:dyDescent="0.2">
      <c r="A163" s="286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7"/>
      <c r="P163" s="278" t="s">
        <v>73</v>
      </c>
      <c r="Q163" s="279"/>
      <c r="R163" s="279"/>
      <c r="S163" s="279"/>
      <c r="T163" s="279"/>
      <c r="U163" s="279"/>
      <c r="V163" s="280"/>
      <c r="W163" s="37" t="s">
        <v>70</v>
      </c>
      <c r="X163" s="270">
        <f>IFERROR(SUM(X161:X162),"0")</f>
        <v>12</v>
      </c>
      <c r="Y163" s="270">
        <f>IFERROR(SUM(Y161:Y162),"0")</f>
        <v>12</v>
      </c>
      <c r="Z163" s="270">
        <f>IFERROR(IF(Z161="",0,Z161),"0")+IFERROR(IF(Z162="",0,Z162),"0")</f>
        <v>0.10391999999999998</v>
      </c>
      <c r="AA163" s="271"/>
      <c r="AB163" s="271"/>
      <c r="AC163" s="271"/>
    </row>
    <row r="164" spans="1:68" x14ac:dyDescent="0.2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7"/>
      <c r="P164" s="278" t="s">
        <v>73</v>
      </c>
      <c r="Q164" s="279"/>
      <c r="R164" s="279"/>
      <c r="S164" s="279"/>
      <c r="T164" s="279"/>
      <c r="U164" s="279"/>
      <c r="V164" s="280"/>
      <c r="W164" s="37" t="s">
        <v>74</v>
      </c>
      <c r="X164" s="270">
        <f>IFERROR(SUMPRODUCT(X161:X162*H161:H162),"0")</f>
        <v>60</v>
      </c>
      <c r="Y164" s="270">
        <f>IFERROR(SUMPRODUCT(Y161:Y162*H161:H162),"0")</f>
        <v>60</v>
      </c>
      <c r="Z164" s="37"/>
      <c r="AA164" s="271"/>
      <c r="AB164" s="271"/>
      <c r="AC164" s="271"/>
    </row>
    <row r="165" spans="1:68" ht="27.75" customHeight="1" x14ac:dyDescent="0.2">
      <c r="A165" s="321" t="s">
        <v>241</v>
      </c>
      <c r="B165" s="322"/>
      <c r="C165" s="322"/>
      <c r="D165" s="322"/>
      <c r="E165" s="322"/>
      <c r="F165" s="322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48"/>
      <c r="AB165" s="48"/>
      <c r="AC165" s="48"/>
    </row>
    <row r="166" spans="1:68" ht="16.5" customHeight="1" x14ac:dyDescent="0.25">
      <c r="A166" s="284" t="s">
        <v>242</v>
      </c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  <c r="AA166" s="263"/>
      <c r="AB166" s="263"/>
      <c r="AC166" s="263"/>
    </row>
    <row r="167" spans="1:68" ht="14.25" customHeight="1" x14ac:dyDescent="0.25">
      <c r="A167" s="304" t="s">
        <v>77</v>
      </c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  <c r="AA167" s="264"/>
      <c r="AB167" s="264"/>
      <c r="AC167" s="264"/>
    </row>
    <row r="168" spans="1:68" ht="16.5" customHeight="1" x14ac:dyDescent="0.25">
      <c r="A168" s="54" t="s">
        <v>243</v>
      </c>
      <c r="B168" s="54" t="s">
        <v>244</v>
      </c>
      <c r="C168" s="31">
        <v>4301132179</v>
      </c>
      <c r="D168" s="272">
        <v>4607111035691</v>
      </c>
      <c r="E168" s="273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3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2"/>
      <c r="R168" s="282"/>
      <c r="S168" s="282"/>
      <c r="T168" s="283"/>
      <c r="U168" s="34"/>
      <c r="V168" s="34"/>
      <c r="W168" s="35" t="s">
        <v>70</v>
      </c>
      <c r="X168" s="268">
        <v>84</v>
      </c>
      <c r="Y168" s="269">
        <f>IFERROR(IF(X168="","",X168),"")</f>
        <v>84</v>
      </c>
      <c r="Z168" s="36">
        <f>IFERROR(IF(X168="","",X168*0.01788),"")</f>
        <v>1.5019199999999999</v>
      </c>
      <c r="AA168" s="56"/>
      <c r="AB168" s="57"/>
      <c r="AC168" s="176" t="s">
        <v>245</v>
      </c>
      <c r="AG168" s="67"/>
      <c r="AJ168" s="71" t="s">
        <v>83</v>
      </c>
      <c r="AK168" s="71">
        <v>70</v>
      </c>
      <c r="BB168" s="177" t="s">
        <v>84</v>
      </c>
      <c r="BM168" s="67">
        <f>IFERROR(X168*I168,"0")</f>
        <v>284.59199999999998</v>
      </c>
      <c r="BN168" s="67">
        <f>IFERROR(Y168*I168,"0")</f>
        <v>284.59199999999998</v>
      </c>
      <c r="BO168" s="67">
        <f>IFERROR(X168/J168,"0")</f>
        <v>1.2</v>
      </c>
      <c r="BP168" s="67">
        <f>IFERROR(Y168/J168,"0")</f>
        <v>1.2</v>
      </c>
    </row>
    <row r="169" spans="1:68" ht="27" customHeight="1" x14ac:dyDescent="0.25">
      <c r="A169" s="54" t="s">
        <v>246</v>
      </c>
      <c r="B169" s="54" t="s">
        <v>247</v>
      </c>
      <c r="C169" s="31">
        <v>4301132182</v>
      </c>
      <c r="D169" s="272">
        <v>4607111035721</v>
      </c>
      <c r="E169" s="273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365</v>
      </c>
      <c r="P169" s="3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2"/>
      <c r="R169" s="282"/>
      <c r="S169" s="282"/>
      <c r="T169" s="283"/>
      <c r="U169" s="34"/>
      <c r="V169" s="34"/>
      <c r="W169" s="35" t="s">
        <v>70</v>
      </c>
      <c r="X169" s="268">
        <v>112</v>
      </c>
      <c r="Y169" s="269">
        <f>IFERROR(IF(X169="","",X169),"")</f>
        <v>112</v>
      </c>
      <c r="Z169" s="36">
        <f>IFERROR(IF(X169="","",X169*0.01788),"")</f>
        <v>2.0025599999999999</v>
      </c>
      <c r="AA169" s="56"/>
      <c r="AB169" s="57"/>
      <c r="AC169" s="178" t="s">
        <v>248</v>
      </c>
      <c r="AG169" s="67"/>
      <c r="AJ169" s="71" t="s">
        <v>83</v>
      </c>
      <c r="AK169" s="71">
        <v>70</v>
      </c>
      <c r="BB169" s="179" t="s">
        <v>84</v>
      </c>
      <c r="BM169" s="67">
        <f>IFERROR(X169*I169,"0")</f>
        <v>379.45600000000002</v>
      </c>
      <c r="BN169" s="67">
        <f>IFERROR(Y169*I169,"0")</f>
        <v>379.45600000000002</v>
      </c>
      <c r="BO169" s="67">
        <f>IFERROR(X169/J169,"0")</f>
        <v>1.6</v>
      </c>
      <c r="BP169" s="67">
        <f>IFERROR(Y169/J169,"0")</f>
        <v>1.6</v>
      </c>
    </row>
    <row r="170" spans="1:68" ht="27" customHeight="1" x14ac:dyDescent="0.25">
      <c r="A170" s="54" t="s">
        <v>249</v>
      </c>
      <c r="B170" s="54" t="s">
        <v>250</v>
      </c>
      <c r="C170" s="31">
        <v>4301132170</v>
      </c>
      <c r="D170" s="272">
        <v>4607111038487</v>
      </c>
      <c r="E170" s="273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80</v>
      </c>
      <c r="L170" s="32" t="s">
        <v>81</v>
      </c>
      <c r="M170" s="33" t="s">
        <v>69</v>
      </c>
      <c r="N170" s="33"/>
      <c r="O170" s="32">
        <v>180</v>
      </c>
      <c r="P170" s="30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2"/>
      <c r="R170" s="282"/>
      <c r="S170" s="282"/>
      <c r="T170" s="283"/>
      <c r="U170" s="34"/>
      <c r="V170" s="34"/>
      <c r="W170" s="35" t="s">
        <v>70</v>
      </c>
      <c r="X170" s="268">
        <v>126</v>
      </c>
      <c r="Y170" s="269">
        <f>IFERROR(IF(X170="","",X170),"")</f>
        <v>126</v>
      </c>
      <c r="Z170" s="36">
        <f>IFERROR(IF(X170="","",X170*0.01788),"")</f>
        <v>2.2528800000000002</v>
      </c>
      <c r="AA170" s="56"/>
      <c r="AB170" s="57"/>
      <c r="AC170" s="180" t="s">
        <v>251</v>
      </c>
      <c r="AG170" s="67"/>
      <c r="AJ170" s="71" t="s">
        <v>83</v>
      </c>
      <c r="AK170" s="71">
        <v>70</v>
      </c>
      <c r="BB170" s="181" t="s">
        <v>84</v>
      </c>
      <c r="BM170" s="67">
        <f>IFERROR(X170*I170,"0")</f>
        <v>470.73600000000005</v>
      </c>
      <c r="BN170" s="67">
        <f>IFERROR(Y170*I170,"0")</f>
        <v>470.73600000000005</v>
      </c>
      <c r="BO170" s="67">
        <f>IFERROR(X170/J170,"0")</f>
        <v>1.8</v>
      </c>
      <c r="BP170" s="67">
        <f>IFERROR(Y170/J170,"0")</f>
        <v>1.8</v>
      </c>
    </row>
    <row r="171" spans="1:68" x14ac:dyDescent="0.2">
      <c r="A171" s="286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7"/>
      <c r="P171" s="278" t="s">
        <v>73</v>
      </c>
      <c r="Q171" s="279"/>
      <c r="R171" s="279"/>
      <c r="S171" s="279"/>
      <c r="T171" s="279"/>
      <c r="U171" s="279"/>
      <c r="V171" s="280"/>
      <c r="W171" s="37" t="s">
        <v>70</v>
      </c>
      <c r="X171" s="270">
        <f>IFERROR(SUM(X168:X170),"0")</f>
        <v>322</v>
      </c>
      <c r="Y171" s="270">
        <f>IFERROR(SUM(Y168:Y170),"0")</f>
        <v>322</v>
      </c>
      <c r="Z171" s="270">
        <f>IFERROR(IF(Z168="",0,Z168),"0")+IFERROR(IF(Z169="",0,Z169),"0")+IFERROR(IF(Z170="",0,Z170),"0")</f>
        <v>5.7573600000000003</v>
      </c>
      <c r="AA171" s="271"/>
      <c r="AB171" s="271"/>
      <c r="AC171" s="271"/>
    </row>
    <row r="172" spans="1:68" x14ac:dyDescent="0.2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7"/>
      <c r="P172" s="278" t="s">
        <v>73</v>
      </c>
      <c r="Q172" s="279"/>
      <c r="R172" s="279"/>
      <c r="S172" s="279"/>
      <c r="T172" s="279"/>
      <c r="U172" s="279"/>
      <c r="V172" s="280"/>
      <c r="W172" s="37" t="s">
        <v>74</v>
      </c>
      <c r="X172" s="270">
        <f>IFERROR(SUMPRODUCT(X168:X170*H168:H170),"0")</f>
        <v>966</v>
      </c>
      <c r="Y172" s="270">
        <f>IFERROR(SUMPRODUCT(Y168:Y170*H168:H170),"0")</f>
        <v>966</v>
      </c>
      <c r="Z172" s="37"/>
      <c r="AA172" s="271"/>
      <c r="AB172" s="271"/>
      <c r="AC172" s="271"/>
    </row>
    <row r="173" spans="1:68" ht="14.25" customHeight="1" x14ac:dyDescent="0.25">
      <c r="A173" s="304" t="s">
        <v>252</v>
      </c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  <c r="AA173" s="264"/>
      <c r="AB173" s="264"/>
      <c r="AC173" s="264"/>
    </row>
    <row r="174" spans="1:68" ht="27" customHeight="1" x14ac:dyDescent="0.25">
      <c r="A174" s="54" t="s">
        <v>253</v>
      </c>
      <c r="B174" s="54" t="s">
        <v>254</v>
      </c>
      <c r="C174" s="31">
        <v>4301051855</v>
      </c>
      <c r="D174" s="272">
        <v>4680115885875</v>
      </c>
      <c r="E174" s="273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255</v>
      </c>
      <c r="L174" s="32" t="s">
        <v>68</v>
      </c>
      <c r="M174" s="33" t="s">
        <v>256</v>
      </c>
      <c r="N174" s="33"/>
      <c r="O174" s="32">
        <v>365</v>
      </c>
      <c r="P174" s="452" t="s">
        <v>257</v>
      </c>
      <c r="Q174" s="282"/>
      <c r="R174" s="282"/>
      <c r="S174" s="282"/>
      <c r="T174" s="283"/>
      <c r="U174" s="34"/>
      <c r="V174" s="34"/>
      <c r="W174" s="35" t="s">
        <v>70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258</v>
      </c>
      <c r="AG174" s="67"/>
      <c r="AJ174" s="71" t="s">
        <v>72</v>
      </c>
      <c r="AK174" s="71">
        <v>1</v>
      </c>
      <c r="BB174" s="183" t="s">
        <v>259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6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7"/>
      <c r="P175" s="278" t="s">
        <v>73</v>
      </c>
      <c r="Q175" s="279"/>
      <c r="R175" s="279"/>
      <c r="S175" s="279"/>
      <c r="T175" s="279"/>
      <c r="U175" s="279"/>
      <c r="V175" s="280"/>
      <c r="W175" s="37" t="s">
        <v>70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x14ac:dyDescent="0.2">
      <c r="A176" s="285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7"/>
      <c r="P176" s="278" t="s">
        <v>73</v>
      </c>
      <c r="Q176" s="279"/>
      <c r="R176" s="279"/>
      <c r="S176" s="279"/>
      <c r="T176" s="279"/>
      <c r="U176" s="279"/>
      <c r="V176" s="280"/>
      <c r="W176" s="37" t="s">
        <v>74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customHeight="1" x14ac:dyDescent="0.2">
      <c r="A177" s="321" t="s">
        <v>260</v>
      </c>
      <c r="B177" s="322"/>
      <c r="C177" s="322"/>
      <c r="D177" s="322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48"/>
      <c r="AB177" s="48"/>
      <c r="AC177" s="48"/>
    </row>
    <row r="178" spans="1:68" ht="16.5" customHeight="1" x14ac:dyDescent="0.25">
      <c r="A178" s="284" t="s">
        <v>261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3"/>
      <c r="AB178" s="263"/>
      <c r="AC178" s="263"/>
    </row>
    <row r="179" spans="1:68" ht="14.25" customHeight="1" x14ac:dyDescent="0.25">
      <c r="A179" s="304" t="s">
        <v>77</v>
      </c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A179" s="264"/>
      <c r="AB179" s="264"/>
      <c r="AC179" s="264"/>
    </row>
    <row r="180" spans="1:68" ht="27" customHeight="1" x14ac:dyDescent="0.25">
      <c r="A180" s="54" t="s">
        <v>262</v>
      </c>
      <c r="B180" s="54" t="s">
        <v>263</v>
      </c>
      <c r="C180" s="31">
        <v>4301132227</v>
      </c>
      <c r="D180" s="272">
        <v>4620207491133</v>
      </c>
      <c r="E180" s="273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80</v>
      </c>
      <c r="L180" s="32" t="s">
        <v>93</v>
      </c>
      <c r="M180" s="33" t="s">
        <v>69</v>
      </c>
      <c r="N180" s="33"/>
      <c r="O180" s="32">
        <v>180</v>
      </c>
      <c r="P180" s="35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2"/>
      <c r="R180" s="282"/>
      <c r="S180" s="282"/>
      <c r="T180" s="283"/>
      <c r="U180" s="34"/>
      <c r="V180" s="34"/>
      <c r="W180" s="35" t="s">
        <v>70</v>
      </c>
      <c r="X180" s="268">
        <v>14</v>
      </c>
      <c r="Y180" s="269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84" t="s">
        <v>264</v>
      </c>
      <c r="AG180" s="67"/>
      <c r="AJ180" s="71" t="s">
        <v>95</v>
      </c>
      <c r="AK180" s="71">
        <v>14</v>
      </c>
      <c r="BB180" s="185" t="s">
        <v>84</v>
      </c>
      <c r="BM180" s="67">
        <f>IFERROR(X180*I180,"0")</f>
        <v>41.72</v>
      </c>
      <c r="BN180" s="67">
        <f>IFERROR(Y180*I180,"0")</f>
        <v>41.72</v>
      </c>
      <c r="BO180" s="67">
        <f>IFERROR(X180/J180,"0")</f>
        <v>0.2</v>
      </c>
      <c r="BP180" s="67">
        <f>IFERROR(Y180/J180,"0")</f>
        <v>0.2</v>
      </c>
    </row>
    <row r="181" spans="1:68" x14ac:dyDescent="0.2">
      <c r="A181" s="286"/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7"/>
      <c r="P181" s="278" t="s">
        <v>73</v>
      </c>
      <c r="Q181" s="279"/>
      <c r="R181" s="279"/>
      <c r="S181" s="279"/>
      <c r="T181" s="279"/>
      <c r="U181" s="279"/>
      <c r="V181" s="280"/>
      <c r="W181" s="37" t="s">
        <v>70</v>
      </c>
      <c r="X181" s="270">
        <f>IFERROR(SUM(X180:X180),"0")</f>
        <v>14</v>
      </c>
      <c r="Y181" s="270">
        <f>IFERROR(SUM(Y180:Y180),"0")</f>
        <v>14</v>
      </c>
      <c r="Z181" s="270">
        <f>IFERROR(IF(Z180="",0,Z180),"0")</f>
        <v>0.25031999999999999</v>
      </c>
      <c r="AA181" s="271"/>
      <c r="AB181" s="271"/>
      <c r="AC181" s="271"/>
    </row>
    <row r="182" spans="1:68" x14ac:dyDescent="0.2">
      <c r="A182" s="285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7"/>
      <c r="P182" s="278" t="s">
        <v>73</v>
      </c>
      <c r="Q182" s="279"/>
      <c r="R182" s="279"/>
      <c r="S182" s="279"/>
      <c r="T182" s="279"/>
      <c r="U182" s="279"/>
      <c r="V182" s="280"/>
      <c r="W182" s="37" t="s">
        <v>74</v>
      </c>
      <c r="X182" s="270">
        <f>IFERROR(SUMPRODUCT(X180:X180*H180:H180),"0")</f>
        <v>38.64</v>
      </c>
      <c r="Y182" s="270">
        <f>IFERROR(SUMPRODUCT(Y180:Y180*H180:H180),"0")</f>
        <v>38.64</v>
      </c>
      <c r="Z182" s="37"/>
      <c r="AA182" s="271"/>
      <c r="AB182" s="271"/>
      <c r="AC182" s="271"/>
    </row>
    <row r="183" spans="1:68" ht="14.25" customHeight="1" x14ac:dyDescent="0.25">
      <c r="A183" s="304" t="s">
        <v>123</v>
      </c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  <c r="AA183" s="264"/>
      <c r="AB183" s="264"/>
      <c r="AC183" s="264"/>
    </row>
    <row r="184" spans="1:68" ht="27" customHeight="1" x14ac:dyDescent="0.25">
      <c r="A184" s="54" t="s">
        <v>265</v>
      </c>
      <c r="B184" s="54" t="s">
        <v>266</v>
      </c>
      <c r="C184" s="31">
        <v>4301135707</v>
      </c>
      <c r="D184" s="272">
        <v>4620207490198</v>
      </c>
      <c r="E184" s="273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93</v>
      </c>
      <c r="M184" s="33" t="s">
        <v>69</v>
      </c>
      <c r="N184" s="33"/>
      <c r="O184" s="32">
        <v>180</v>
      </c>
      <c r="P184" s="32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2"/>
      <c r="R184" s="282"/>
      <c r="S184" s="282"/>
      <c r="T184" s="283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95</v>
      </c>
      <c r="AK184" s="71">
        <v>14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4301135829</v>
      </c>
      <c r="D185" s="272">
        <v>4620207490235</v>
      </c>
      <c r="E185" s="273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180</v>
      </c>
      <c r="P185" s="367" t="s">
        <v>270</v>
      </c>
      <c r="Q185" s="282"/>
      <c r="R185" s="282"/>
      <c r="S185" s="282"/>
      <c r="T185" s="283"/>
      <c r="U185" s="34"/>
      <c r="V185" s="34"/>
      <c r="W185" s="35" t="s">
        <v>70</v>
      </c>
      <c r="X185" s="268">
        <v>14</v>
      </c>
      <c r="Y185" s="269">
        <f>IFERROR(IF(X185="","",X185),"")</f>
        <v>14</v>
      </c>
      <c r="Z185" s="36">
        <f>IFERROR(IF(X185="","",X185*0.01788),"")</f>
        <v>0.25031999999999999</v>
      </c>
      <c r="AA185" s="56"/>
      <c r="AB185" s="57"/>
      <c r="AC185" s="188" t="s">
        <v>271</v>
      </c>
      <c r="AG185" s="67"/>
      <c r="AJ185" s="71" t="s">
        <v>72</v>
      </c>
      <c r="AK185" s="71">
        <v>1</v>
      </c>
      <c r="BB185" s="189" t="s">
        <v>84</v>
      </c>
      <c r="BM185" s="67">
        <f>IFERROR(X185*I185,"0")</f>
        <v>43.450400000000002</v>
      </c>
      <c r="BN185" s="67">
        <f>IFERROR(Y185*I185,"0")</f>
        <v>43.450400000000002</v>
      </c>
      <c r="BO185" s="67">
        <f>IFERROR(X185/J185,"0")</f>
        <v>0.2</v>
      </c>
      <c r="BP185" s="67">
        <f>IFERROR(Y185/J185,"0")</f>
        <v>0.2</v>
      </c>
    </row>
    <row r="186" spans="1:68" ht="27" customHeight="1" x14ac:dyDescent="0.25">
      <c r="A186" s="54" t="s">
        <v>272</v>
      </c>
      <c r="B186" s="54" t="s">
        <v>273</v>
      </c>
      <c r="C186" s="31">
        <v>4301135697</v>
      </c>
      <c r="D186" s="272">
        <v>4620207490259</v>
      </c>
      <c r="E186" s="273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80</v>
      </c>
      <c r="L186" s="32" t="s">
        <v>93</v>
      </c>
      <c r="M186" s="33" t="s">
        <v>69</v>
      </c>
      <c r="N186" s="33"/>
      <c r="O186" s="32">
        <v>180</v>
      </c>
      <c r="P186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2"/>
      <c r="R186" s="282"/>
      <c r="S186" s="282"/>
      <c r="T186" s="283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267</v>
      </c>
      <c r="AG186" s="67"/>
      <c r="AJ186" s="71" t="s">
        <v>95</v>
      </c>
      <c r="AK186" s="71">
        <v>14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274</v>
      </c>
      <c r="B187" s="54" t="s">
        <v>275</v>
      </c>
      <c r="C187" s="31">
        <v>4301135681</v>
      </c>
      <c r="D187" s="272">
        <v>4620207490143</v>
      </c>
      <c r="E187" s="273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4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2"/>
      <c r="R187" s="282"/>
      <c r="S187" s="282"/>
      <c r="T187" s="283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276</v>
      </c>
      <c r="AG187" s="67"/>
      <c r="AJ187" s="71" t="s">
        <v>72</v>
      </c>
      <c r="AK187" s="71">
        <v>1</v>
      </c>
      <c r="BB187" s="193" t="s">
        <v>84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6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87"/>
      <c r="P188" s="278" t="s">
        <v>73</v>
      </c>
      <c r="Q188" s="279"/>
      <c r="R188" s="279"/>
      <c r="S188" s="279"/>
      <c r="T188" s="279"/>
      <c r="U188" s="279"/>
      <c r="V188" s="280"/>
      <c r="W188" s="37" t="s">
        <v>70</v>
      </c>
      <c r="X188" s="270">
        <f>IFERROR(SUM(X184:X187),"0")</f>
        <v>14</v>
      </c>
      <c r="Y188" s="270">
        <f>IFERROR(SUM(Y184:Y187),"0")</f>
        <v>14</v>
      </c>
      <c r="Z188" s="270">
        <f>IFERROR(IF(Z184="",0,Z184),"0")+IFERROR(IF(Z185="",0,Z185),"0")+IFERROR(IF(Z186="",0,Z186),"0")+IFERROR(IF(Z187="",0,Z187),"0")</f>
        <v>0.25031999999999999</v>
      </c>
      <c r="AA188" s="271"/>
      <c r="AB188" s="271"/>
      <c r="AC188" s="271"/>
    </row>
    <row r="189" spans="1:68" x14ac:dyDescent="0.2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7"/>
      <c r="P189" s="278" t="s">
        <v>73</v>
      </c>
      <c r="Q189" s="279"/>
      <c r="R189" s="279"/>
      <c r="S189" s="279"/>
      <c r="T189" s="279"/>
      <c r="U189" s="279"/>
      <c r="V189" s="280"/>
      <c r="W189" s="37" t="s">
        <v>74</v>
      </c>
      <c r="X189" s="270">
        <f>IFERROR(SUMPRODUCT(X184:X187*H184:H187),"0")</f>
        <v>33.6</v>
      </c>
      <c r="Y189" s="270">
        <f>IFERROR(SUMPRODUCT(Y184:Y187*H184:H187),"0")</f>
        <v>33.6</v>
      </c>
      <c r="Z189" s="37"/>
      <c r="AA189" s="271"/>
      <c r="AB189" s="271"/>
      <c r="AC189" s="271"/>
    </row>
    <row r="190" spans="1:68" ht="16.5" customHeight="1" x14ac:dyDescent="0.25">
      <c r="A190" s="284" t="s">
        <v>277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3"/>
      <c r="AB190" s="263"/>
      <c r="AC190" s="263"/>
    </row>
    <row r="191" spans="1:68" ht="14.25" customHeight="1" x14ac:dyDescent="0.25">
      <c r="A191" s="304" t="s">
        <v>64</v>
      </c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A191" s="264"/>
      <c r="AB191" s="264"/>
      <c r="AC191" s="264"/>
    </row>
    <row r="192" spans="1:68" ht="27" customHeight="1" x14ac:dyDescent="0.25">
      <c r="A192" s="54" t="s">
        <v>278</v>
      </c>
      <c r="B192" s="54" t="s">
        <v>279</v>
      </c>
      <c r="C192" s="31">
        <v>4301071110</v>
      </c>
      <c r="D192" s="272">
        <v>4607111035103</v>
      </c>
      <c r="E192" s="273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2"/>
      <c r="R192" s="282"/>
      <c r="S192" s="282"/>
      <c r="T192" s="283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280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281</v>
      </c>
      <c r="B193" s="54" t="s">
        <v>282</v>
      </c>
      <c r="C193" s="31">
        <v>4301071109</v>
      </c>
      <c r="D193" s="272">
        <v>4607111035929</v>
      </c>
      <c r="E193" s="273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06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2"/>
      <c r="R193" s="282"/>
      <c r="S193" s="282"/>
      <c r="T193" s="283"/>
      <c r="U193" s="34"/>
      <c r="V193" s="34"/>
      <c r="W193" s="35" t="s">
        <v>70</v>
      </c>
      <c r="X193" s="268">
        <v>24</v>
      </c>
      <c r="Y193" s="269">
        <f>IFERROR(IF(X193="","",X193),"")</f>
        <v>24</v>
      </c>
      <c r="Z193" s="36">
        <f>IFERROR(IF(X193="","",X193*0.0155),"")</f>
        <v>0.372</v>
      </c>
      <c r="AA193" s="56"/>
      <c r="AB193" s="57"/>
      <c r="AC193" s="196" t="s">
        <v>280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179.28</v>
      </c>
      <c r="BN193" s="67">
        <f>IFERROR(Y193*I193,"0")</f>
        <v>179.28</v>
      </c>
      <c r="BO193" s="67">
        <f>IFERROR(X193/J193,"0")</f>
        <v>0.2857142857142857</v>
      </c>
      <c r="BP193" s="67">
        <f>IFERROR(Y193/J193,"0")</f>
        <v>0.2857142857142857</v>
      </c>
    </row>
    <row r="194" spans="1:68" ht="27" customHeight="1" x14ac:dyDescent="0.25">
      <c r="A194" s="54" t="s">
        <v>283</v>
      </c>
      <c r="B194" s="54" t="s">
        <v>284</v>
      </c>
      <c r="C194" s="31">
        <v>4301071106</v>
      </c>
      <c r="D194" s="272">
        <v>4607111035882</v>
      </c>
      <c r="E194" s="273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2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2"/>
      <c r="R194" s="282"/>
      <c r="S194" s="282"/>
      <c r="T194" s="283"/>
      <c r="U194" s="34"/>
      <c r="V194" s="34"/>
      <c r="W194" s="35" t="s">
        <v>70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280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285</v>
      </c>
      <c r="B195" s="54" t="s">
        <v>286</v>
      </c>
      <c r="C195" s="31">
        <v>4301071105</v>
      </c>
      <c r="D195" s="272">
        <v>4607111035110</v>
      </c>
      <c r="E195" s="273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2"/>
      <c r="R195" s="282"/>
      <c r="S195" s="282"/>
      <c r="T195" s="283"/>
      <c r="U195" s="34"/>
      <c r="V195" s="34"/>
      <c r="W195" s="35" t="s">
        <v>70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280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5"/>
      <c r="C196" s="285"/>
      <c r="D196" s="285"/>
      <c r="E196" s="285"/>
      <c r="F196" s="285"/>
      <c r="G196" s="285"/>
      <c r="H196" s="285"/>
      <c r="I196" s="285"/>
      <c r="J196" s="285"/>
      <c r="K196" s="285"/>
      <c r="L196" s="285"/>
      <c r="M196" s="285"/>
      <c r="N196" s="285"/>
      <c r="O196" s="287"/>
      <c r="P196" s="278" t="s">
        <v>73</v>
      </c>
      <c r="Q196" s="279"/>
      <c r="R196" s="279"/>
      <c r="S196" s="279"/>
      <c r="T196" s="279"/>
      <c r="U196" s="279"/>
      <c r="V196" s="280"/>
      <c r="W196" s="37" t="s">
        <v>70</v>
      </c>
      <c r="X196" s="270">
        <f>IFERROR(SUM(X192:X195),"0")</f>
        <v>24</v>
      </c>
      <c r="Y196" s="270">
        <f>IFERROR(SUM(Y192:Y195),"0")</f>
        <v>24</v>
      </c>
      <c r="Z196" s="270">
        <f>IFERROR(IF(Z192="",0,Z192),"0")+IFERROR(IF(Z193="",0,Z193),"0")+IFERROR(IF(Z194="",0,Z194),"0")+IFERROR(IF(Z195="",0,Z195),"0")</f>
        <v>0.372</v>
      </c>
      <c r="AA196" s="271"/>
      <c r="AB196" s="271"/>
      <c r="AC196" s="271"/>
    </row>
    <row r="197" spans="1:68" x14ac:dyDescent="0.2">
      <c r="A197" s="285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7"/>
      <c r="P197" s="278" t="s">
        <v>73</v>
      </c>
      <c r="Q197" s="279"/>
      <c r="R197" s="279"/>
      <c r="S197" s="279"/>
      <c r="T197" s="279"/>
      <c r="U197" s="279"/>
      <c r="V197" s="280"/>
      <c r="W197" s="37" t="s">
        <v>74</v>
      </c>
      <c r="X197" s="270">
        <f>IFERROR(SUMPRODUCT(X192:X195*H192:H195),"0")</f>
        <v>172.8</v>
      </c>
      <c r="Y197" s="270">
        <f>IFERROR(SUMPRODUCT(Y192:Y195*H192:H195),"0")</f>
        <v>172.8</v>
      </c>
      <c r="Z197" s="37"/>
      <c r="AA197" s="271"/>
      <c r="AB197" s="271"/>
      <c r="AC197" s="271"/>
    </row>
    <row r="198" spans="1:68" ht="16.5" customHeight="1" x14ac:dyDescent="0.25">
      <c r="A198" s="284" t="s">
        <v>287</v>
      </c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  <c r="AA198" s="263"/>
      <c r="AB198" s="263"/>
      <c r="AC198" s="263"/>
    </row>
    <row r="199" spans="1:68" ht="14.25" customHeight="1" x14ac:dyDescent="0.25">
      <c r="A199" s="304" t="s">
        <v>64</v>
      </c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  <c r="AA199" s="264"/>
      <c r="AB199" s="264"/>
      <c r="AC199" s="264"/>
    </row>
    <row r="200" spans="1:68" ht="27" customHeight="1" x14ac:dyDescent="0.25">
      <c r="A200" s="54" t="s">
        <v>288</v>
      </c>
      <c r="B200" s="54" t="s">
        <v>289</v>
      </c>
      <c r="C200" s="31">
        <v>4301071097</v>
      </c>
      <c r="D200" s="272">
        <v>4620207491096</v>
      </c>
      <c r="E200" s="273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93</v>
      </c>
      <c r="M200" s="33" t="s">
        <v>69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2"/>
      <c r="R200" s="282"/>
      <c r="S200" s="282"/>
      <c r="T200" s="283"/>
      <c r="U200" s="34"/>
      <c r="V200" s="34"/>
      <c r="W200" s="35" t="s">
        <v>70</v>
      </c>
      <c r="X200" s="268">
        <v>36</v>
      </c>
      <c r="Y200" s="269">
        <f>IFERROR(IF(X200="","",X200),"")</f>
        <v>36</v>
      </c>
      <c r="Z200" s="36">
        <f>IFERROR(IF(X200="","",X200*0.0155),"")</f>
        <v>0.55800000000000005</v>
      </c>
      <c r="AA200" s="56"/>
      <c r="AB200" s="57"/>
      <c r="AC200" s="202" t="s">
        <v>290</v>
      </c>
      <c r="AG200" s="67"/>
      <c r="AJ200" s="71" t="s">
        <v>95</v>
      </c>
      <c r="AK200" s="71">
        <v>12</v>
      </c>
      <c r="BB200" s="203" t="s">
        <v>1</v>
      </c>
      <c r="BM200" s="67">
        <f>IFERROR(X200*I200,"0")</f>
        <v>188.28000000000003</v>
      </c>
      <c r="BN200" s="67">
        <f>IFERROR(Y200*I200,"0")</f>
        <v>188.28000000000003</v>
      </c>
      <c r="BO200" s="67">
        <f>IFERROR(X200/J200,"0")</f>
        <v>0.42857142857142855</v>
      </c>
      <c r="BP200" s="67">
        <f>IFERROR(Y200/J200,"0")</f>
        <v>0.42857142857142855</v>
      </c>
    </row>
    <row r="201" spans="1:68" x14ac:dyDescent="0.2">
      <c r="A201" s="286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7"/>
      <c r="P201" s="278" t="s">
        <v>73</v>
      </c>
      <c r="Q201" s="279"/>
      <c r="R201" s="279"/>
      <c r="S201" s="279"/>
      <c r="T201" s="279"/>
      <c r="U201" s="279"/>
      <c r="V201" s="280"/>
      <c r="W201" s="37" t="s">
        <v>70</v>
      </c>
      <c r="X201" s="270">
        <f>IFERROR(SUM(X200:X200),"0")</f>
        <v>36</v>
      </c>
      <c r="Y201" s="270">
        <f>IFERROR(SUM(Y200:Y200),"0")</f>
        <v>36</v>
      </c>
      <c r="Z201" s="270">
        <f>IFERROR(IF(Z200="",0,Z200),"0")</f>
        <v>0.55800000000000005</v>
      </c>
      <c r="AA201" s="271"/>
      <c r="AB201" s="271"/>
      <c r="AC201" s="271"/>
    </row>
    <row r="202" spans="1:68" x14ac:dyDescent="0.2">
      <c r="A202" s="285"/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7"/>
      <c r="P202" s="278" t="s">
        <v>73</v>
      </c>
      <c r="Q202" s="279"/>
      <c r="R202" s="279"/>
      <c r="S202" s="279"/>
      <c r="T202" s="279"/>
      <c r="U202" s="279"/>
      <c r="V202" s="280"/>
      <c r="W202" s="37" t="s">
        <v>74</v>
      </c>
      <c r="X202" s="270">
        <f>IFERROR(SUMPRODUCT(X200:X200*H200:H200),"0")</f>
        <v>180</v>
      </c>
      <c r="Y202" s="270">
        <f>IFERROR(SUMPRODUCT(Y200:Y200*H200:H200),"0")</f>
        <v>180</v>
      </c>
      <c r="Z202" s="37"/>
      <c r="AA202" s="271"/>
      <c r="AB202" s="271"/>
      <c r="AC202" s="271"/>
    </row>
    <row r="203" spans="1:68" ht="16.5" customHeight="1" x14ac:dyDescent="0.25">
      <c r="A203" s="284" t="s">
        <v>291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3"/>
      <c r="AB203" s="263"/>
      <c r="AC203" s="263"/>
    </row>
    <row r="204" spans="1:68" ht="14.25" customHeight="1" x14ac:dyDescent="0.25">
      <c r="A204" s="304" t="s">
        <v>64</v>
      </c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  <c r="AA204" s="264"/>
      <c r="AB204" s="264"/>
      <c r="AC204" s="264"/>
    </row>
    <row r="205" spans="1:68" ht="27" customHeight="1" x14ac:dyDescent="0.25">
      <c r="A205" s="54" t="s">
        <v>292</v>
      </c>
      <c r="B205" s="54" t="s">
        <v>293</v>
      </c>
      <c r="C205" s="31">
        <v>4301071093</v>
      </c>
      <c r="D205" s="272">
        <v>4620207490709</v>
      </c>
      <c r="E205" s="273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35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2"/>
      <c r="R205" s="282"/>
      <c r="S205" s="282"/>
      <c r="T205" s="283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294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7"/>
      <c r="P206" s="278" t="s">
        <v>73</v>
      </c>
      <c r="Q206" s="279"/>
      <c r="R206" s="279"/>
      <c r="S206" s="279"/>
      <c r="T206" s="279"/>
      <c r="U206" s="279"/>
      <c r="V206" s="280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5"/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7"/>
      <c r="P207" s="278" t="s">
        <v>73</v>
      </c>
      <c r="Q207" s="279"/>
      <c r="R207" s="279"/>
      <c r="S207" s="279"/>
      <c r="T207" s="279"/>
      <c r="U207" s="279"/>
      <c r="V207" s="280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4" t="s">
        <v>123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295</v>
      </c>
      <c r="B209" s="54" t="s">
        <v>296</v>
      </c>
      <c r="C209" s="31">
        <v>4301135692</v>
      </c>
      <c r="D209" s="272">
        <v>4620207490570</v>
      </c>
      <c r="E209" s="273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05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2"/>
      <c r="R209" s="282"/>
      <c r="S209" s="282"/>
      <c r="T209" s="283"/>
      <c r="U209" s="34"/>
      <c r="V209" s="34"/>
      <c r="W209" s="35" t="s">
        <v>70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297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298</v>
      </c>
      <c r="B210" s="54" t="s">
        <v>299</v>
      </c>
      <c r="C210" s="31">
        <v>4301135691</v>
      </c>
      <c r="D210" s="272">
        <v>4620207490549</v>
      </c>
      <c r="E210" s="273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2"/>
      <c r="R210" s="282"/>
      <c r="S210" s="282"/>
      <c r="T210" s="283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297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300</v>
      </c>
      <c r="B211" s="54" t="s">
        <v>301</v>
      </c>
      <c r="C211" s="31">
        <v>4301135694</v>
      </c>
      <c r="D211" s="272">
        <v>4620207490501</v>
      </c>
      <c r="E211" s="273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8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2"/>
      <c r="R211" s="282"/>
      <c r="S211" s="282"/>
      <c r="T211" s="283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297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7"/>
      <c r="P212" s="278" t="s">
        <v>73</v>
      </c>
      <c r="Q212" s="279"/>
      <c r="R212" s="279"/>
      <c r="S212" s="279"/>
      <c r="T212" s="279"/>
      <c r="U212" s="279"/>
      <c r="V212" s="280"/>
      <c r="W212" s="37" t="s">
        <v>70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85"/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87"/>
      <c r="P213" s="278" t="s">
        <v>73</v>
      </c>
      <c r="Q213" s="279"/>
      <c r="R213" s="279"/>
      <c r="S213" s="279"/>
      <c r="T213" s="279"/>
      <c r="U213" s="279"/>
      <c r="V213" s="280"/>
      <c r="W213" s="37" t="s">
        <v>74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84" t="s">
        <v>302</v>
      </c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P214" s="285"/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  <c r="AA214" s="263"/>
      <c r="AB214" s="263"/>
      <c r="AC214" s="263"/>
    </row>
    <row r="215" spans="1:68" ht="14.25" customHeight="1" x14ac:dyDescent="0.25">
      <c r="A215" s="304" t="s">
        <v>64</v>
      </c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A215" s="264"/>
      <c r="AB215" s="264"/>
      <c r="AC215" s="264"/>
    </row>
    <row r="216" spans="1:68" ht="16.5" customHeight="1" x14ac:dyDescent="0.25">
      <c r="A216" s="54" t="s">
        <v>303</v>
      </c>
      <c r="B216" s="54" t="s">
        <v>304</v>
      </c>
      <c r="C216" s="31">
        <v>4301071099</v>
      </c>
      <c r="D216" s="272">
        <v>4607111039019</v>
      </c>
      <c r="E216" s="273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80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2"/>
      <c r="R216" s="282"/>
      <c r="S216" s="282"/>
      <c r="T216" s="283"/>
      <c r="U216" s="34"/>
      <c r="V216" s="34"/>
      <c r="W216" s="35" t="s">
        <v>70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305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306</v>
      </c>
      <c r="B217" s="54" t="s">
        <v>307</v>
      </c>
      <c r="C217" s="31">
        <v>4301071100</v>
      </c>
      <c r="D217" s="272">
        <v>4607111038708</v>
      </c>
      <c r="E217" s="273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92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2"/>
      <c r="R217" s="282"/>
      <c r="S217" s="282"/>
      <c r="T217" s="283"/>
      <c r="U217" s="34"/>
      <c r="V217" s="34"/>
      <c r="W217" s="35" t="s">
        <v>70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305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7"/>
      <c r="P218" s="278" t="s">
        <v>73</v>
      </c>
      <c r="Q218" s="279"/>
      <c r="R218" s="279"/>
      <c r="S218" s="279"/>
      <c r="T218" s="279"/>
      <c r="U218" s="279"/>
      <c r="V218" s="280"/>
      <c r="W218" s="37" t="s">
        <v>70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5"/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7"/>
      <c r="P219" s="278" t="s">
        <v>73</v>
      </c>
      <c r="Q219" s="279"/>
      <c r="R219" s="279"/>
      <c r="S219" s="279"/>
      <c r="T219" s="279"/>
      <c r="U219" s="279"/>
      <c r="V219" s="280"/>
      <c r="W219" s="37" t="s">
        <v>74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1" t="s">
        <v>308</v>
      </c>
      <c r="B220" s="322"/>
      <c r="C220" s="322"/>
      <c r="D220" s="322"/>
      <c r="E220" s="322"/>
      <c r="F220" s="322"/>
      <c r="G220" s="322"/>
      <c r="H220" s="322"/>
      <c r="I220" s="322"/>
      <c r="J220" s="322"/>
      <c r="K220" s="32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  <c r="AA220" s="48"/>
      <c r="AB220" s="48"/>
      <c r="AC220" s="48"/>
    </row>
    <row r="221" spans="1:68" ht="16.5" customHeight="1" x14ac:dyDescent="0.25">
      <c r="A221" s="284" t="s">
        <v>309</v>
      </c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  <c r="AA221" s="263"/>
      <c r="AB221" s="263"/>
      <c r="AC221" s="263"/>
    </row>
    <row r="222" spans="1:68" ht="14.25" customHeight="1" x14ac:dyDescent="0.25">
      <c r="A222" s="304" t="s">
        <v>64</v>
      </c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A222" s="264"/>
      <c r="AB222" s="264"/>
      <c r="AC222" s="264"/>
    </row>
    <row r="223" spans="1:68" ht="27" customHeight="1" x14ac:dyDescent="0.25">
      <c r="A223" s="54" t="s">
        <v>310</v>
      </c>
      <c r="B223" s="54" t="s">
        <v>311</v>
      </c>
      <c r="C223" s="31">
        <v>4301071036</v>
      </c>
      <c r="D223" s="272">
        <v>4607111036162</v>
      </c>
      <c r="E223" s="273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3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2"/>
      <c r="R223" s="282"/>
      <c r="S223" s="282"/>
      <c r="T223" s="283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312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7"/>
      <c r="P224" s="278" t="s">
        <v>73</v>
      </c>
      <c r="Q224" s="279"/>
      <c r="R224" s="279"/>
      <c r="S224" s="279"/>
      <c r="T224" s="279"/>
      <c r="U224" s="279"/>
      <c r="V224" s="280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5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7"/>
      <c r="P225" s="278" t="s">
        <v>73</v>
      </c>
      <c r="Q225" s="279"/>
      <c r="R225" s="279"/>
      <c r="S225" s="279"/>
      <c r="T225" s="279"/>
      <c r="U225" s="279"/>
      <c r="V225" s="280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1" t="s">
        <v>313</v>
      </c>
      <c r="B226" s="322"/>
      <c r="C226" s="322"/>
      <c r="D226" s="322"/>
      <c r="E226" s="322"/>
      <c r="F226" s="322"/>
      <c r="G226" s="322"/>
      <c r="H226" s="322"/>
      <c r="I226" s="322"/>
      <c r="J226" s="322"/>
      <c r="K226" s="32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  <c r="AA226" s="48"/>
      <c r="AB226" s="48"/>
      <c r="AC226" s="48"/>
    </row>
    <row r="227" spans="1:68" ht="16.5" customHeight="1" x14ac:dyDescent="0.25">
      <c r="A227" s="284" t="s">
        <v>314</v>
      </c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  <c r="AA227" s="263"/>
      <c r="AB227" s="263"/>
      <c r="AC227" s="263"/>
    </row>
    <row r="228" spans="1:68" ht="14.25" customHeight="1" x14ac:dyDescent="0.25">
      <c r="A228" s="304" t="s">
        <v>64</v>
      </c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A228" s="264"/>
      <c r="AB228" s="264"/>
      <c r="AC228" s="264"/>
    </row>
    <row r="229" spans="1:68" ht="27" customHeight="1" x14ac:dyDescent="0.25">
      <c r="A229" s="54" t="s">
        <v>315</v>
      </c>
      <c r="B229" s="54" t="s">
        <v>316</v>
      </c>
      <c r="C229" s="31">
        <v>4301071029</v>
      </c>
      <c r="D229" s="272">
        <v>4607111035899</v>
      </c>
      <c r="E229" s="273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81</v>
      </c>
      <c r="M229" s="33" t="s">
        <v>69</v>
      </c>
      <c r="N229" s="33"/>
      <c r="O229" s="32">
        <v>180</v>
      </c>
      <c r="P229" s="38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2"/>
      <c r="R229" s="282"/>
      <c r="S229" s="282"/>
      <c r="T229" s="283"/>
      <c r="U229" s="34"/>
      <c r="V229" s="34"/>
      <c r="W229" s="35" t="s">
        <v>70</v>
      </c>
      <c r="X229" s="268">
        <v>84</v>
      </c>
      <c r="Y229" s="269">
        <f>IFERROR(IF(X229="","",X229),"")</f>
        <v>84</v>
      </c>
      <c r="Z229" s="36">
        <f>IFERROR(IF(X229="","",X229*0.0155),"")</f>
        <v>1.302</v>
      </c>
      <c r="AA229" s="56"/>
      <c r="AB229" s="57"/>
      <c r="AC229" s="218" t="s">
        <v>240</v>
      </c>
      <c r="AG229" s="67"/>
      <c r="AJ229" s="71" t="s">
        <v>83</v>
      </c>
      <c r="AK229" s="71">
        <v>84</v>
      </c>
      <c r="BB229" s="219" t="s">
        <v>1</v>
      </c>
      <c r="BM229" s="67">
        <f>IFERROR(X229*I229,"0")</f>
        <v>442.00799999999998</v>
      </c>
      <c r="BN229" s="67">
        <f>IFERROR(Y229*I229,"0")</f>
        <v>442.00799999999998</v>
      </c>
      <c r="BO229" s="67">
        <f>IFERROR(X229/J229,"0")</f>
        <v>1</v>
      </c>
      <c r="BP229" s="67">
        <f>IFERROR(Y229/J229,"0")</f>
        <v>1</v>
      </c>
    </row>
    <row r="230" spans="1:68" x14ac:dyDescent="0.2">
      <c r="A230" s="286"/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7"/>
      <c r="P230" s="278" t="s">
        <v>73</v>
      </c>
      <c r="Q230" s="279"/>
      <c r="R230" s="279"/>
      <c r="S230" s="279"/>
      <c r="T230" s="279"/>
      <c r="U230" s="279"/>
      <c r="V230" s="280"/>
      <c r="W230" s="37" t="s">
        <v>70</v>
      </c>
      <c r="X230" s="270">
        <f>IFERROR(SUM(X229:X229),"0")</f>
        <v>84</v>
      </c>
      <c r="Y230" s="270">
        <f>IFERROR(SUM(Y229:Y229),"0")</f>
        <v>84</v>
      </c>
      <c r="Z230" s="270">
        <f>IFERROR(IF(Z229="",0,Z229),"0")</f>
        <v>1.302</v>
      </c>
      <c r="AA230" s="271"/>
      <c r="AB230" s="271"/>
      <c r="AC230" s="271"/>
    </row>
    <row r="231" spans="1:68" x14ac:dyDescent="0.2">
      <c r="A231" s="285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7"/>
      <c r="P231" s="278" t="s">
        <v>73</v>
      </c>
      <c r="Q231" s="279"/>
      <c r="R231" s="279"/>
      <c r="S231" s="279"/>
      <c r="T231" s="279"/>
      <c r="U231" s="279"/>
      <c r="V231" s="280"/>
      <c r="W231" s="37" t="s">
        <v>74</v>
      </c>
      <c r="X231" s="270">
        <f>IFERROR(SUMPRODUCT(X229:X229*H229:H229),"0")</f>
        <v>420</v>
      </c>
      <c r="Y231" s="270">
        <f>IFERROR(SUMPRODUCT(Y229:Y229*H229:H229),"0")</f>
        <v>420</v>
      </c>
      <c r="Z231" s="37"/>
      <c r="AA231" s="271"/>
      <c r="AB231" s="271"/>
      <c r="AC231" s="271"/>
    </row>
    <row r="232" spans="1:68" ht="27.75" customHeight="1" x14ac:dyDescent="0.2">
      <c r="A232" s="321" t="s">
        <v>317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  <c r="AA232" s="48"/>
      <c r="AB232" s="48"/>
      <c r="AC232" s="48"/>
    </row>
    <row r="233" spans="1:68" ht="16.5" customHeight="1" x14ac:dyDescent="0.25">
      <c r="A233" s="284" t="s">
        <v>318</v>
      </c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P233" s="285"/>
      <c r="Q233" s="285"/>
      <c r="R233" s="285"/>
      <c r="S233" s="285"/>
      <c r="T233" s="285"/>
      <c r="U233" s="285"/>
      <c r="V233" s="285"/>
      <c r="W233" s="285"/>
      <c r="X233" s="285"/>
      <c r="Y233" s="285"/>
      <c r="Z233" s="285"/>
      <c r="AA233" s="263"/>
      <c r="AB233" s="263"/>
      <c r="AC233" s="263"/>
    </row>
    <row r="234" spans="1:68" ht="14.25" customHeight="1" x14ac:dyDescent="0.25">
      <c r="A234" s="304" t="s">
        <v>319</v>
      </c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A234" s="264"/>
      <c r="AB234" s="264"/>
      <c r="AC234" s="264"/>
    </row>
    <row r="235" spans="1:68" ht="27" customHeight="1" x14ac:dyDescent="0.25">
      <c r="A235" s="54" t="s">
        <v>320</v>
      </c>
      <c r="B235" s="54" t="s">
        <v>321</v>
      </c>
      <c r="C235" s="31">
        <v>4301133004</v>
      </c>
      <c r="D235" s="272">
        <v>4607111039774</v>
      </c>
      <c r="E235" s="273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38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2"/>
      <c r="R235" s="282"/>
      <c r="S235" s="282"/>
      <c r="T235" s="283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322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5"/>
      <c r="C236" s="285"/>
      <c r="D236" s="285"/>
      <c r="E236" s="285"/>
      <c r="F236" s="285"/>
      <c r="G236" s="285"/>
      <c r="H236" s="285"/>
      <c r="I236" s="285"/>
      <c r="J236" s="285"/>
      <c r="K236" s="285"/>
      <c r="L236" s="285"/>
      <c r="M236" s="285"/>
      <c r="N236" s="285"/>
      <c r="O236" s="287"/>
      <c r="P236" s="278" t="s">
        <v>73</v>
      </c>
      <c r="Q236" s="279"/>
      <c r="R236" s="279"/>
      <c r="S236" s="279"/>
      <c r="T236" s="279"/>
      <c r="U236" s="279"/>
      <c r="V236" s="280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5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7"/>
      <c r="P237" s="278" t="s">
        <v>73</v>
      </c>
      <c r="Q237" s="279"/>
      <c r="R237" s="279"/>
      <c r="S237" s="279"/>
      <c r="T237" s="279"/>
      <c r="U237" s="279"/>
      <c r="V237" s="280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4" t="s">
        <v>123</v>
      </c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P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  <c r="AA238" s="264"/>
      <c r="AB238" s="264"/>
      <c r="AC238" s="264"/>
    </row>
    <row r="239" spans="1:68" ht="37.5" customHeight="1" x14ac:dyDescent="0.25">
      <c r="A239" s="54" t="s">
        <v>323</v>
      </c>
      <c r="B239" s="54" t="s">
        <v>324</v>
      </c>
      <c r="C239" s="31">
        <v>4301135400</v>
      </c>
      <c r="D239" s="272">
        <v>4607111039361</v>
      </c>
      <c r="E239" s="273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2"/>
      <c r="R239" s="282"/>
      <c r="S239" s="282"/>
      <c r="T239" s="283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322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7"/>
      <c r="P240" s="278" t="s">
        <v>73</v>
      </c>
      <c r="Q240" s="279"/>
      <c r="R240" s="279"/>
      <c r="S240" s="279"/>
      <c r="T240" s="279"/>
      <c r="U240" s="279"/>
      <c r="V240" s="280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5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7"/>
      <c r="P241" s="278" t="s">
        <v>73</v>
      </c>
      <c r="Q241" s="279"/>
      <c r="R241" s="279"/>
      <c r="S241" s="279"/>
      <c r="T241" s="279"/>
      <c r="U241" s="279"/>
      <c r="V241" s="280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1" t="s">
        <v>325</v>
      </c>
      <c r="B242" s="322"/>
      <c r="C242" s="322"/>
      <c r="D242" s="322"/>
      <c r="E242" s="322"/>
      <c r="F242" s="322"/>
      <c r="G242" s="322"/>
      <c r="H242" s="322"/>
      <c r="I242" s="322"/>
      <c r="J242" s="322"/>
      <c r="K242" s="32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  <c r="AA242" s="48"/>
      <c r="AB242" s="48"/>
      <c r="AC242" s="48"/>
    </row>
    <row r="243" spans="1:68" ht="16.5" customHeight="1" x14ac:dyDescent="0.25">
      <c r="A243" s="284" t="s">
        <v>325</v>
      </c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  <c r="AA243" s="263"/>
      <c r="AB243" s="263"/>
      <c r="AC243" s="263"/>
    </row>
    <row r="244" spans="1:68" ht="14.25" customHeight="1" x14ac:dyDescent="0.25">
      <c r="A244" s="304" t="s">
        <v>64</v>
      </c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  <c r="AA244" s="264"/>
      <c r="AB244" s="264"/>
      <c r="AC244" s="264"/>
    </row>
    <row r="245" spans="1:68" ht="27" customHeight="1" x14ac:dyDescent="0.25">
      <c r="A245" s="54" t="s">
        <v>326</v>
      </c>
      <c r="B245" s="54" t="s">
        <v>327</v>
      </c>
      <c r="C245" s="31">
        <v>4301071014</v>
      </c>
      <c r="D245" s="272">
        <v>4640242181264</v>
      </c>
      <c r="E245" s="273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8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2"/>
      <c r="R245" s="282"/>
      <c r="S245" s="282"/>
      <c r="T245" s="283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328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329</v>
      </c>
      <c r="B246" s="54" t="s">
        <v>330</v>
      </c>
      <c r="C246" s="31">
        <v>4301071021</v>
      </c>
      <c r="D246" s="272">
        <v>4640242181325</v>
      </c>
      <c r="E246" s="273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2"/>
      <c r="R246" s="282"/>
      <c r="S246" s="282"/>
      <c r="T246" s="283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328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331</v>
      </c>
      <c r="B247" s="54" t="s">
        <v>332</v>
      </c>
      <c r="C247" s="31">
        <v>4301070993</v>
      </c>
      <c r="D247" s="272">
        <v>4640242180670</v>
      </c>
      <c r="E247" s="273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2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2"/>
      <c r="R247" s="282"/>
      <c r="S247" s="282"/>
      <c r="T247" s="283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333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287"/>
      <c r="P248" s="278" t="s">
        <v>73</v>
      </c>
      <c r="Q248" s="279"/>
      <c r="R248" s="279"/>
      <c r="S248" s="279"/>
      <c r="T248" s="279"/>
      <c r="U248" s="279"/>
      <c r="V248" s="280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85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7"/>
      <c r="P249" s="278" t="s">
        <v>73</v>
      </c>
      <c r="Q249" s="279"/>
      <c r="R249" s="279"/>
      <c r="S249" s="279"/>
      <c r="T249" s="279"/>
      <c r="U249" s="279"/>
      <c r="V249" s="280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304" t="s">
        <v>77</v>
      </c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  <c r="AA250" s="264"/>
      <c r="AB250" s="264"/>
      <c r="AC250" s="264"/>
    </row>
    <row r="251" spans="1:68" ht="27" customHeight="1" x14ac:dyDescent="0.25">
      <c r="A251" s="54" t="s">
        <v>334</v>
      </c>
      <c r="B251" s="54" t="s">
        <v>335</v>
      </c>
      <c r="C251" s="31">
        <v>4301132080</v>
      </c>
      <c r="D251" s="272">
        <v>4640242180397</v>
      </c>
      <c r="E251" s="273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39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2"/>
      <c r="R251" s="282"/>
      <c r="S251" s="282"/>
      <c r="T251" s="283"/>
      <c r="U251" s="34"/>
      <c r="V251" s="34"/>
      <c r="W251" s="35" t="s">
        <v>70</v>
      </c>
      <c r="X251" s="268">
        <v>108</v>
      </c>
      <c r="Y251" s="269">
        <f>IFERROR(IF(X251="","",X251),"")</f>
        <v>108</v>
      </c>
      <c r="Z251" s="36">
        <f>IFERROR(IF(X251="","",X251*0.0155),"")</f>
        <v>1.6739999999999999</v>
      </c>
      <c r="AA251" s="56"/>
      <c r="AB251" s="57"/>
      <c r="AC251" s="230" t="s">
        <v>336</v>
      </c>
      <c r="AG251" s="67"/>
      <c r="AJ251" s="71" t="s">
        <v>83</v>
      </c>
      <c r="AK251" s="71">
        <v>84</v>
      </c>
      <c r="BB251" s="231" t="s">
        <v>84</v>
      </c>
      <c r="BM251" s="67">
        <f>IFERROR(X251*I251,"0")</f>
        <v>676.07999999999993</v>
      </c>
      <c r="BN251" s="67">
        <f>IFERROR(Y251*I251,"0")</f>
        <v>676.07999999999993</v>
      </c>
      <c r="BO251" s="67">
        <f>IFERROR(X251/J251,"0")</f>
        <v>1.2857142857142858</v>
      </c>
      <c r="BP251" s="67">
        <f>IFERROR(Y251/J251,"0")</f>
        <v>1.2857142857142858</v>
      </c>
    </row>
    <row r="252" spans="1:68" ht="27" customHeight="1" x14ac:dyDescent="0.25">
      <c r="A252" s="54" t="s">
        <v>337</v>
      </c>
      <c r="B252" s="54" t="s">
        <v>338</v>
      </c>
      <c r="C252" s="31">
        <v>4301132104</v>
      </c>
      <c r="D252" s="272">
        <v>4640242181219</v>
      </c>
      <c r="E252" s="273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134</v>
      </c>
      <c r="L252" s="32" t="s">
        <v>93</v>
      </c>
      <c r="M252" s="33" t="s">
        <v>69</v>
      </c>
      <c r="N252" s="33"/>
      <c r="O252" s="32">
        <v>180</v>
      </c>
      <c r="P252" s="29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2"/>
      <c r="R252" s="282"/>
      <c r="S252" s="282"/>
      <c r="T252" s="283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336</v>
      </c>
      <c r="AG252" s="67"/>
      <c r="AJ252" s="71" t="s">
        <v>95</v>
      </c>
      <c r="AK252" s="71">
        <v>18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87"/>
      <c r="P253" s="278" t="s">
        <v>73</v>
      </c>
      <c r="Q253" s="279"/>
      <c r="R253" s="279"/>
      <c r="S253" s="279"/>
      <c r="T253" s="279"/>
      <c r="U253" s="279"/>
      <c r="V253" s="280"/>
      <c r="W253" s="37" t="s">
        <v>70</v>
      </c>
      <c r="X253" s="270">
        <f>IFERROR(SUM(X251:X252),"0")</f>
        <v>108</v>
      </c>
      <c r="Y253" s="270">
        <f>IFERROR(SUM(Y251:Y252),"0")</f>
        <v>108</v>
      </c>
      <c r="Z253" s="270">
        <f>IFERROR(IF(Z251="",0,Z251),"0")+IFERROR(IF(Z252="",0,Z252),"0")</f>
        <v>1.6739999999999999</v>
      </c>
      <c r="AA253" s="271"/>
      <c r="AB253" s="271"/>
      <c r="AC253" s="271"/>
    </row>
    <row r="254" spans="1:68" x14ac:dyDescent="0.2">
      <c r="A254" s="285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7"/>
      <c r="P254" s="278" t="s">
        <v>73</v>
      </c>
      <c r="Q254" s="279"/>
      <c r="R254" s="279"/>
      <c r="S254" s="279"/>
      <c r="T254" s="279"/>
      <c r="U254" s="279"/>
      <c r="V254" s="280"/>
      <c r="W254" s="37" t="s">
        <v>74</v>
      </c>
      <c r="X254" s="270">
        <f>IFERROR(SUMPRODUCT(X251:X252*H251:H252),"0")</f>
        <v>648</v>
      </c>
      <c r="Y254" s="270">
        <f>IFERROR(SUMPRODUCT(Y251:Y252*H251:H252),"0")</f>
        <v>648</v>
      </c>
      <c r="Z254" s="37"/>
      <c r="AA254" s="271"/>
      <c r="AB254" s="271"/>
      <c r="AC254" s="271"/>
    </row>
    <row r="255" spans="1:68" ht="14.25" customHeight="1" x14ac:dyDescent="0.25">
      <c r="A255" s="304" t="s">
        <v>117</v>
      </c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  <c r="AA255" s="264"/>
      <c r="AB255" s="264"/>
      <c r="AC255" s="264"/>
    </row>
    <row r="256" spans="1:68" ht="27" customHeight="1" x14ac:dyDescent="0.25">
      <c r="A256" s="54" t="s">
        <v>339</v>
      </c>
      <c r="B256" s="54" t="s">
        <v>340</v>
      </c>
      <c r="C256" s="31">
        <v>4301136051</v>
      </c>
      <c r="D256" s="272">
        <v>4640242180304</v>
      </c>
      <c r="E256" s="273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93</v>
      </c>
      <c r="M256" s="33" t="s">
        <v>69</v>
      </c>
      <c r="N256" s="33"/>
      <c r="O256" s="32">
        <v>180</v>
      </c>
      <c r="P256" s="39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2"/>
      <c r="R256" s="282"/>
      <c r="S256" s="282"/>
      <c r="T256" s="283"/>
      <c r="U256" s="34"/>
      <c r="V256" s="34"/>
      <c r="W256" s="35" t="s">
        <v>70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341</v>
      </c>
      <c r="AG256" s="67"/>
      <c r="AJ256" s="71" t="s">
        <v>95</v>
      </c>
      <c r="AK256" s="71">
        <v>14</v>
      </c>
      <c r="BB256" s="235" t="s">
        <v>84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342</v>
      </c>
      <c r="B257" s="54" t="s">
        <v>343</v>
      </c>
      <c r="C257" s="31">
        <v>4301136053</v>
      </c>
      <c r="D257" s="272">
        <v>4640242180236</v>
      </c>
      <c r="E257" s="273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40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2"/>
      <c r="R257" s="282"/>
      <c r="S257" s="282"/>
      <c r="T257" s="283"/>
      <c r="U257" s="34"/>
      <c r="V257" s="34"/>
      <c r="W257" s="35" t="s">
        <v>70</v>
      </c>
      <c r="X257" s="268">
        <v>24</v>
      </c>
      <c r="Y257" s="269">
        <f>IFERROR(IF(X257="","",X257),"")</f>
        <v>24</v>
      </c>
      <c r="Z257" s="36">
        <f>IFERROR(IF(X257="","",X257*0.0155),"")</f>
        <v>0.372</v>
      </c>
      <c r="AA257" s="56"/>
      <c r="AB257" s="57"/>
      <c r="AC257" s="236" t="s">
        <v>341</v>
      </c>
      <c r="AG257" s="67"/>
      <c r="AJ257" s="71" t="s">
        <v>83</v>
      </c>
      <c r="AK257" s="71">
        <v>84</v>
      </c>
      <c r="BB257" s="237" t="s">
        <v>84</v>
      </c>
      <c r="BM257" s="67">
        <f>IFERROR(X257*I257,"0")</f>
        <v>125.64000000000001</v>
      </c>
      <c r="BN257" s="67">
        <f>IFERROR(Y257*I257,"0")</f>
        <v>125.64000000000001</v>
      </c>
      <c r="BO257" s="67">
        <f>IFERROR(X257/J257,"0")</f>
        <v>0.2857142857142857</v>
      </c>
      <c r="BP257" s="67">
        <f>IFERROR(Y257/J257,"0")</f>
        <v>0.2857142857142857</v>
      </c>
    </row>
    <row r="258" spans="1:68" ht="27" customHeight="1" x14ac:dyDescent="0.25">
      <c r="A258" s="54" t="s">
        <v>344</v>
      </c>
      <c r="B258" s="54" t="s">
        <v>345</v>
      </c>
      <c r="C258" s="31">
        <v>4301136052</v>
      </c>
      <c r="D258" s="272">
        <v>4640242180410</v>
      </c>
      <c r="E258" s="273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93</v>
      </c>
      <c r="M258" s="33" t="s">
        <v>69</v>
      </c>
      <c r="N258" s="33"/>
      <c r="O258" s="32">
        <v>180</v>
      </c>
      <c r="P258" s="34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2"/>
      <c r="R258" s="282"/>
      <c r="S258" s="282"/>
      <c r="T258" s="283"/>
      <c r="U258" s="34"/>
      <c r="V258" s="34"/>
      <c r="W258" s="35" t="s">
        <v>70</v>
      </c>
      <c r="X258" s="268">
        <v>14</v>
      </c>
      <c r="Y258" s="269">
        <f>IFERROR(IF(X258="","",X258),"")</f>
        <v>14</v>
      </c>
      <c r="Z258" s="36">
        <f>IFERROR(IF(X258="","",X258*0.00936),"")</f>
        <v>0.13103999999999999</v>
      </c>
      <c r="AA258" s="56"/>
      <c r="AB258" s="57"/>
      <c r="AC258" s="238" t="s">
        <v>341</v>
      </c>
      <c r="AG258" s="67"/>
      <c r="AJ258" s="71" t="s">
        <v>95</v>
      </c>
      <c r="AK258" s="71">
        <v>14</v>
      </c>
      <c r="BB258" s="239" t="s">
        <v>84</v>
      </c>
      <c r="BM258" s="67">
        <f>IFERROR(X258*I258,"0")</f>
        <v>34.048000000000002</v>
      </c>
      <c r="BN258" s="67">
        <f>IFERROR(Y258*I258,"0")</f>
        <v>34.048000000000002</v>
      </c>
      <c r="BO258" s="67">
        <f>IFERROR(X258/J258,"0")</f>
        <v>0.1111111111111111</v>
      </c>
      <c r="BP258" s="67">
        <f>IFERROR(Y258/J258,"0")</f>
        <v>0.1111111111111111</v>
      </c>
    </row>
    <row r="259" spans="1:68" x14ac:dyDescent="0.2">
      <c r="A259" s="286"/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287"/>
      <c r="P259" s="278" t="s">
        <v>73</v>
      </c>
      <c r="Q259" s="279"/>
      <c r="R259" s="279"/>
      <c r="S259" s="279"/>
      <c r="T259" s="279"/>
      <c r="U259" s="279"/>
      <c r="V259" s="280"/>
      <c r="W259" s="37" t="s">
        <v>70</v>
      </c>
      <c r="X259" s="270">
        <f>IFERROR(SUM(X256:X258),"0")</f>
        <v>38</v>
      </c>
      <c r="Y259" s="270">
        <f>IFERROR(SUM(Y256:Y258),"0")</f>
        <v>38</v>
      </c>
      <c r="Z259" s="270">
        <f>IFERROR(IF(Z256="",0,Z256),"0")+IFERROR(IF(Z257="",0,Z257),"0")+IFERROR(IF(Z258="",0,Z258),"0")</f>
        <v>0.50303999999999993</v>
      </c>
      <c r="AA259" s="271"/>
      <c r="AB259" s="271"/>
      <c r="AC259" s="271"/>
    </row>
    <row r="260" spans="1:68" x14ac:dyDescent="0.2">
      <c r="A260" s="285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7"/>
      <c r="P260" s="278" t="s">
        <v>73</v>
      </c>
      <c r="Q260" s="279"/>
      <c r="R260" s="279"/>
      <c r="S260" s="279"/>
      <c r="T260" s="279"/>
      <c r="U260" s="279"/>
      <c r="V260" s="280"/>
      <c r="W260" s="37" t="s">
        <v>74</v>
      </c>
      <c r="X260" s="270">
        <f>IFERROR(SUMPRODUCT(X256:X258*H256:H258),"0")</f>
        <v>151.36000000000001</v>
      </c>
      <c r="Y260" s="270">
        <f>IFERROR(SUMPRODUCT(Y256:Y258*H256:H258),"0")</f>
        <v>151.36000000000001</v>
      </c>
      <c r="Z260" s="37"/>
      <c r="AA260" s="271"/>
      <c r="AB260" s="271"/>
      <c r="AC260" s="271"/>
    </row>
    <row r="261" spans="1:68" ht="14.25" customHeight="1" x14ac:dyDescent="0.25">
      <c r="A261" s="304" t="s">
        <v>123</v>
      </c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P261" s="285"/>
      <c r="Q261" s="285"/>
      <c r="R261" s="285"/>
      <c r="S261" s="285"/>
      <c r="T261" s="285"/>
      <c r="U261" s="285"/>
      <c r="V261" s="285"/>
      <c r="W261" s="285"/>
      <c r="X261" s="285"/>
      <c r="Y261" s="285"/>
      <c r="Z261" s="285"/>
      <c r="AA261" s="264"/>
      <c r="AB261" s="264"/>
      <c r="AC261" s="264"/>
    </row>
    <row r="262" spans="1:68" ht="37.5" customHeight="1" x14ac:dyDescent="0.25">
      <c r="A262" s="54" t="s">
        <v>346</v>
      </c>
      <c r="B262" s="54" t="s">
        <v>347</v>
      </c>
      <c r="C262" s="31">
        <v>4301135504</v>
      </c>
      <c r="D262" s="272">
        <v>4640242181554</v>
      </c>
      <c r="E262" s="273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2"/>
      <c r="R262" s="282"/>
      <c r="S262" s="282"/>
      <c r="T262" s="283"/>
      <c r="U262" s="34"/>
      <c r="V262" s="34"/>
      <c r="W262" s="35" t="s">
        <v>70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348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349</v>
      </c>
      <c r="B263" s="54" t="s">
        <v>350</v>
      </c>
      <c r="C263" s="31">
        <v>4301135518</v>
      </c>
      <c r="D263" s="272">
        <v>4640242181561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93</v>
      </c>
      <c r="M263" s="33" t="s">
        <v>69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2"/>
      <c r="R263" s="282"/>
      <c r="S263" s="282"/>
      <c r="T263" s="283"/>
      <c r="U263" s="34"/>
      <c r="V263" s="34"/>
      <c r="W263" s="35" t="s">
        <v>70</v>
      </c>
      <c r="X263" s="268">
        <v>28</v>
      </c>
      <c r="Y263" s="269">
        <f t="shared" si="12"/>
        <v>28</v>
      </c>
      <c r="Z263" s="36">
        <f>IFERROR(IF(X263="","",X263*0.00936),"")</f>
        <v>0.26207999999999998</v>
      </c>
      <c r="AA263" s="56"/>
      <c r="AB263" s="57"/>
      <c r="AC263" s="242" t="s">
        <v>351</v>
      </c>
      <c r="AG263" s="67"/>
      <c r="AJ263" s="71" t="s">
        <v>95</v>
      </c>
      <c r="AK263" s="71">
        <v>14</v>
      </c>
      <c r="BB263" s="243" t="s">
        <v>84</v>
      </c>
      <c r="BM263" s="67">
        <f t="shared" si="13"/>
        <v>108.976</v>
      </c>
      <c r="BN263" s="67">
        <f t="shared" si="14"/>
        <v>108.976</v>
      </c>
      <c r="BO263" s="67">
        <f t="shared" si="15"/>
        <v>0.22222222222222221</v>
      </c>
      <c r="BP263" s="67">
        <f t="shared" si="16"/>
        <v>0.22222222222222221</v>
      </c>
    </row>
    <row r="264" spans="1:68" ht="27" customHeight="1" x14ac:dyDescent="0.25">
      <c r="A264" s="54" t="s">
        <v>352</v>
      </c>
      <c r="B264" s="54" t="s">
        <v>353</v>
      </c>
      <c r="C264" s="31">
        <v>4301135374</v>
      </c>
      <c r="D264" s="272">
        <v>4640242181424</v>
      </c>
      <c r="E264" s="273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93</v>
      </c>
      <c r="M264" s="33" t="s">
        <v>69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2"/>
      <c r="R264" s="282"/>
      <c r="S264" s="282"/>
      <c r="T264" s="283"/>
      <c r="U264" s="34"/>
      <c r="V264" s="34"/>
      <c r="W264" s="35" t="s">
        <v>70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348</v>
      </c>
      <c r="AG264" s="67"/>
      <c r="AJ264" s="71" t="s">
        <v>95</v>
      </c>
      <c r="AK264" s="71">
        <v>12</v>
      </c>
      <c r="BB264" s="245" t="s">
        <v>84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354</v>
      </c>
      <c r="B265" s="54" t="s">
        <v>355</v>
      </c>
      <c r="C265" s="31">
        <v>4301135405</v>
      </c>
      <c r="D265" s="272">
        <v>4640242181523</v>
      </c>
      <c r="E265" s="273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93</v>
      </c>
      <c r="M265" s="33" t="s">
        <v>69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2"/>
      <c r="R265" s="282"/>
      <c r="S265" s="282"/>
      <c r="T265" s="283"/>
      <c r="U265" s="34"/>
      <c r="V265" s="34"/>
      <c r="W265" s="35" t="s">
        <v>70</v>
      </c>
      <c r="X265" s="268">
        <v>84</v>
      </c>
      <c r="Y265" s="269">
        <f t="shared" si="12"/>
        <v>84</v>
      </c>
      <c r="Z265" s="36">
        <f t="shared" ref="Z265:Z270" si="17">IFERROR(IF(X265="","",X265*0.00936),"")</f>
        <v>0.78624000000000005</v>
      </c>
      <c r="AA265" s="56"/>
      <c r="AB265" s="57"/>
      <c r="AC265" s="246" t="s">
        <v>351</v>
      </c>
      <c r="AG265" s="67"/>
      <c r="AJ265" s="71" t="s">
        <v>95</v>
      </c>
      <c r="AK265" s="71">
        <v>14</v>
      </c>
      <c r="BB265" s="247" t="s">
        <v>84</v>
      </c>
      <c r="BM265" s="67">
        <f t="shared" si="13"/>
        <v>268.12800000000004</v>
      </c>
      <c r="BN265" s="67">
        <f t="shared" si="14"/>
        <v>268.12800000000004</v>
      </c>
      <c r="BO265" s="67">
        <f t="shared" si="15"/>
        <v>0.66666666666666663</v>
      </c>
      <c r="BP265" s="67">
        <f t="shared" si="16"/>
        <v>0.66666666666666663</v>
      </c>
    </row>
    <row r="266" spans="1:68" ht="27" customHeight="1" x14ac:dyDescent="0.25">
      <c r="A266" s="54" t="s">
        <v>356</v>
      </c>
      <c r="B266" s="54" t="s">
        <v>357</v>
      </c>
      <c r="C266" s="31">
        <v>4301135375</v>
      </c>
      <c r="D266" s="272">
        <v>4640242181486</v>
      </c>
      <c r="E266" s="273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93</v>
      </c>
      <c r="M266" s="33" t="s">
        <v>69</v>
      </c>
      <c r="N266" s="33"/>
      <c r="O266" s="32">
        <v>180</v>
      </c>
      <c r="P266" s="32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2"/>
      <c r="R266" s="282"/>
      <c r="S266" s="282"/>
      <c r="T266" s="283"/>
      <c r="U266" s="34"/>
      <c r="V266" s="34"/>
      <c r="W266" s="35" t="s">
        <v>70</v>
      </c>
      <c r="X266" s="268">
        <v>14</v>
      </c>
      <c r="Y266" s="269">
        <f t="shared" si="12"/>
        <v>14</v>
      </c>
      <c r="Z266" s="36">
        <f t="shared" si="17"/>
        <v>0.13103999999999999</v>
      </c>
      <c r="AA266" s="56"/>
      <c r="AB266" s="57"/>
      <c r="AC266" s="248" t="s">
        <v>348</v>
      </c>
      <c r="AG266" s="67"/>
      <c r="AJ266" s="71" t="s">
        <v>95</v>
      </c>
      <c r="AK266" s="71">
        <v>14</v>
      </c>
      <c r="BB266" s="249" t="s">
        <v>84</v>
      </c>
      <c r="BM266" s="67">
        <f t="shared" si="13"/>
        <v>54.488</v>
      </c>
      <c r="BN266" s="67">
        <f t="shared" si="14"/>
        <v>54.488</v>
      </c>
      <c r="BO266" s="67">
        <f t="shared" si="15"/>
        <v>0.1111111111111111</v>
      </c>
      <c r="BP266" s="67">
        <f t="shared" si="16"/>
        <v>0.1111111111111111</v>
      </c>
    </row>
    <row r="267" spans="1:68" ht="37.5" customHeight="1" x14ac:dyDescent="0.25">
      <c r="A267" s="54" t="s">
        <v>358</v>
      </c>
      <c r="B267" s="54" t="s">
        <v>359</v>
      </c>
      <c r="C267" s="31">
        <v>4301135402</v>
      </c>
      <c r="D267" s="272">
        <v>4640242181493</v>
      </c>
      <c r="E267" s="273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68</v>
      </c>
      <c r="M267" s="33" t="s">
        <v>69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2"/>
      <c r="R267" s="282"/>
      <c r="S267" s="282"/>
      <c r="T267" s="283"/>
      <c r="U267" s="34"/>
      <c r="V267" s="34"/>
      <c r="W267" s="35" t="s">
        <v>70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348</v>
      </c>
      <c r="AG267" s="67"/>
      <c r="AJ267" s="71" t="s">
        <v>72</v>
      </c>
      <c r="AK267" s="71">
        <v>1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360</v>
      </c>
      <c r="B268" s="54" t="s">
        <v>361</v>
      </c>
      <c r="C268" s="31">
        <v>4301135403</v>
      </c>
      <c r="D268" s="272">
        <v>4640242181509</v>
      </c>
      <c r="E268" s="273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2"/>
      <c r="R268" s="282"/>
      <c r="S268" s="282"/>
      <c r="T268" s="283"/>
      <c r="U268" s="34"/>
      <c r="V268" s="34"/>
      <c r="W268" s="35" t="s">
        <v>70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348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362</v>
      </c>
      <c r="B269" s="54" t="s">
        <v>363</v>
      </c>
      <c r="C269" s="31">
        <v>4301135304</v>
      </c>
      <c r="D269" s="272">
        <v>4640242181240</v>
      </c>
      <c r="E269" s="273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1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2"/>
      <c r="R269" s="282"/>
      <c r="S269" s="282"/>
      <c r="T269" s="283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348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364</v>
      </c>
      <c r="B270" s="54" t="s">
        <v>365</v>
      </c>
      <c r="C270" s="31">
        <v>4301135610</v>
      </c>
      <c r="D270" s="272">
        <v>4640242181318</v>
      </c>
      <c r="E270" s="273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2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2"/>
      <c r="R270" s="282"/>
      <c r="S270" s="282"/>
      <c r="T270" s="283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351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366</v>
      </c>
      <c r="B271" s="54" t="s">
        <v>367</v>
      </c>
      <c r="C271" s="31">
        <v>4301135306</v>
      </c>
      <c r="D271" s="272">
        <v>4640242181387</v>
      </c>
      <c r="E271" s="273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134</v>
      </c>
      <c r="L271" s="32" t="s">
        <v>68</v>
      </c>
      <c r="M271" s="33" t="s">
        <v>69</v>
      </c>
      <c r="N271" s="33"/>
      <c r="O271" s="32">
        <v>180</v>
      </c>
      <c r="P271" s="3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2"/>
      <c r="R271" s="282"/>
      <c r="S271" s="282"/>
      <c r="T271" s="283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348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287"/>
      <c r="P272" s="278" t="s">
        <v>73</v>
      </c>
      <c r="Q272" s="279"/>
      <c r="R272" s="279"/>
      <c r="S272" s="279"/>
      <c r="T272" s="279"/>
      <c r="U272" s="279"/>
      <c r="V272" s="280"/>
      <c r="W272" s="37" t="s">
        <v>70</v>
      </c>
      <c r="X272" s="270">
        <f>IFERROR(SUM(X262:X271),"0")</f>
        <v>126</v>
      </c>
      <c r="Y272" s="270">
        <f>IFERROR(SUM(Y262:Y271),"0")</f>
        <v>126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1.17936</v>
      </c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87"/>
      <c r="P273" s="278" t="s">
        <v>73</v>
      </c>
      <c r="Q273" s="279"/>
      <c r="R273" s="279"/>
      <c r="S273" s="279"/>
      <c r="T273" s="279"/>
      <c r="U273" s="279"/>
      <c r="V273" s="280"/>
      <c r="W273" s="37" t="s">
        <v>74</v>
      </c>
      <c r="X273" s="270">
        <f>IFERROR(SUMPRODUCT(X262:X271*H262:H271),"0")</f>
        <v>407.40000000000003</v>
      </c>
      <c r="Y273" s="270">
        <f>IFERROR(SUMPRODUCT(Y262:Y271*H262:H271),"0")</f>
        <v>407.40000000000003</v>
      </c>
      <c r="Z273" s="37"/>
      <c r="AA273" s="271"/>
      <c r="AB273" s="271"/>
      <c r="AC273" s="271"/>
    </row>
    <row r="274" spans="1:32" ht="15" customHeight="1" x14ac:dyDescent="0.2">
      <c r="A274" s="44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2"/>
      <c r="P274" s="318" t="s">
        <v>368</v>
      </c>
      <c r="Q274" s="319"/>
      <c r="R274" s="319"/>
      <c r="S274" s="319"/>
      <c r="T274" s="319"/>
      <c r="U274" s="319"/>
      <c r="V274" s="320"/>
      <c r="W274" s="37" t="s">
        <v>74</v>
      </c>
      <c r="X274" s="270">
        <f>IFERROR(X24+X31+X38+X46+X51+X55+X60+X66+X72+X77+X83+X93+X99+X111+X115+X119+X125+X131+X137+X142+X147+X152+X157+X164+X172+X176+X182+X189+X197+X202+X207+X213+X219+X225+X231+X237+X241+X249+X254+X260+X273,"0")</f>
        <v>12089.199999999999</v>
      </c>
      <c r="Y274" s="270">
        <f>IFERROR(Y24+Y31+Y38+Y46+Y51+Y55+Y60+Y66+Y72+Y77+Y83+Y93+Y99+Y111+Y115+Y119+Y125+Y131+Y137+Y142+Y147+Y152+Y157+Y164+Y172+Y176+Y182+Y189+Y197+Y202+Y207+Y213+Y219+Y225+Y231+Y237+Y241+Y249+Y254+Y260+Y273,"0")</f>
        <v>12089.199999999999</v>
      </c>
      <c r="Z274" s="37"/>
      <c r="AA274" s="271"/>
      <c r="AB274" s="271"/>
      <c r="AC274" s="271"/>
    </row>
    <row r="275" spans="1:32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2"/>
      <c r="P275" s="318" t="s">
        <v>369</v>
      </c>
      <c r="Q275" s="319"/>
      <c r="R275" s="319"/>
      <c r="S275" s="319"/>
      <c r="T275" s="319"/>
      <c r="U275" s="319"/>
      <c r="V275" s="320"/>
      <c r="W275" s="37" t="s">
        <v>74</v>
      </c>
      <c r="X275" s="270">
        <f>IFERROR(SUM(BM22:BM271),"0")</f>
        <v>13334.320400000002</v>
      </c>
      <c r="Y275" s="270">
        <f>IFERROR(SUM(BN22:BN271),"0")</f>
        <v>13334.320400000002</v>
      </c>
      <c r="Z275" s="37"/>
      <c r="AA275" s="271"/>
      <c r="AB275" s="271"/>
      <c r="AC275" s="271"/>
    </row>
    <row r="276" spans="1:32" x14ac:dyDescent="0.2">
      <c r="A276" s="285"/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372"/>
      <c r="P276" s="318" t="s">
        <v>370</v>
      </c>
      <c r="Q276" s="319"/>
      <c r="R276" s="319"/>
      <c r="S276" s="319"/>
      <c r="T276" s="319"/>
      <c r="U276" s="319"/>
      <c r="V276" s="320"/>
      <c r="W276" s="37" t="s">
        <v>371</v>
      </c>
      <c r="X276" s="38">
        <f>ROUNDUP(SUM(BO22:BO271),0)</f>
        <v>35</v>
      </c>
      <c r="Y276" s="38">
        <f>ROUNDUP(SUM(BP22:BP271),0)</f>
        <v>35</v>
      </c>
      <c r="Z276" s="37"/>
      <c r="AA276" s="271"/>
      <c r="AB276" s="271"/>
      <c r="AC276" s="271"/>
    </row>
    <row r="277" spans="1:32" x14ac:dyDescent="0.2">
      <c r="A277" s="285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372"/>
      <c r="P277" s="318" t="s">
        <v>372</v>
      </c>
      <c r="Q277" s="319"/>
      <c r="R277" s="319"/>
      <c r="S277" s="319"/>
      <c r="T277" s="319"/>
      <c r="U277" s="319"/>
      <c r="V277" s="320"/>
      <c r="W277" s="37" t="s">
        <v>74</v>
      </c>
      <c r="X277" s="270">
        <f>GrossWeightTotal+PalletQtyTotal*25</f>
        <v>14209.320400000002</v>
      </c>
      <c r="Y277" s="270">
        <f>GrossWeightTotalR+PalletQtyTotalR*25</f>
        <v>14209.320400000002</v>
      </c>
      <c r="Z277" s="37"/>
      <c r="AA277" s="271"/>
      <c r="AB277" s="271"/>
      <c r="AC277" s="271"/>
    </row>
    <row r="278" spans="1:32" x14ac:dyDescent="0.2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372"/>
      <c r="P278" s="318" t="s">
        <v>373</v>
      </c>
      <c r="Q278" s="319"/>
      <c r="R278" s="319"/>
      <c r="S278" s="319"/>
      <c r="T278" s="319"/>
      <c r="U278" s="319"/>
      <c r="V278" s="320"/>
      <c r="W278" s="37" t="s">
        <v>371</v>
      </c>
      <c r="X278" s="270">
        <f>IFERROR(X23+X30+X37+X45+X50+X54+X59+X65+X71+X76+X82+X92+X98+X110+X114+X118+X124+X130+X136+X141+X146+X151+X156+X163+X171+X175+X181+X188+X196+X201+X206+X212+X218+X224+X230+X236+X240+X248+X253+X259+X272,"0")</f>
        <v>2872</v>
      </c>
      <c r="Y278" s="270">
        <f>IFERROR(Y23+Y30+Y37+Y45+Y50+Y54+Y59+Y65+Y71+Y76+Y82+Y92+Y98+Y110+Y114+Y118+Y124+Y130+Y136+Y141+Y146+Y151+Y156+Y163+Y171+Y175+Y181+Y188+Y196+Y201+Y206+Y212+Y218+Y224+Y230+Y236+Y240+Y248+Y253+Y259+Y272,"0")</f>
        <v>2872</v>
      </c>
      <c r="Z278" s="37"/>
      <c r="AA278" s="271"/>
      <c r="AB278" s="271"/>
      <c r="AC278" s="271"/>
    </row>
    <row r="279" spans="1:32" ht="14.25" customHeight="1" x14ac:dyDescent="0.2">
      <c r="A279" s="285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372"/>
      <c r="P279" s="318" t="s">
        <v>374</v>
      </c>
      <c r="Q279" s="319"/>
      <c r="R279" s="319"/>
      <c r="S279" s="319"/>
      <c r="T279" s="319"/>
      <c r="U279" s="319"/>
      <c r="V279" s="320"/>
      <c r="W279" s="39" t="s">
        <v>375</v>
      </c>
      <c r="X279" s="37"/>
      <c r="Y279" s="37"/>
      <c r="Z279" s="37">
        <f>IFERROR(Z23+Z30+Z37+Z45+Z50+Z54+Z59+Z65+Z71+Z76+Z82+Z92+Z98+Z110+Z114+Z118+Z124+Z130+Z136+Z141+Z146+Z151+Z156+Z163+Z171+Z175+Z181+Z188+Z196+Z201+Z206+Z212+Z218+Z224+Z230+Z236+Z240+Z248+Z253+Z259+Z272,"0")</f>
        <v>44.387420000000006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376</v>
      </c>
      <c r="B281" s="265" t="s">
        <v>63</v>
      </c>
      <c r="C281" s="274" t="s">
        <v>75</v>
      </c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  <c r="N281" s="309"/>
      <c r="O281" s="309"/>
      <c r="P281" s="309"/>
      <c r="Q281" s="309"/>
      <c r="R281" s="309"/>
      <c r="S281" s="309"/>
      <c r="T281" s="310"/>
      <c r="U281" s="265" t="s">
        <v>233</v>
      </c>
      <c r="V281" s="265" t="s">
        <v>241</v>
      </c>
      <c r="W281" s="274" t="s">
        <v>260</v>
      </c>
      <c r="X281" s="309"/>
      <c r="Y281" s="309"/>
      <c r="Z281" s="309"/>
      <c r="AA281" s="310"/>
      <c r="AB281" s="265" t="s">
        <v>308</v>
      </c>
      <c r="AC281" s="265" t="s">
        <v>313</v>
      </c>
      <c r="AD281" s="265" t="s">
        <v>317</v>
      </c>
      <c r="AE281" s="265" t="s">
        <v>325</v>
      </c>
      <c r="AF281" s="266"/>
    </row>
    <row r="282" spans="1:32" ht="14.25" customHeight="1" thickTop="1" x14ac:dyDescent="0.2">
      <c r="A282" s="301" t="s">
        <v>377</v>
      </c>
      <c r="B282" s="274" t="s">
        <v>63</v>
      </c>
      <c r="C282" s="274" t="s">
        <v>76</v>
      </c>
      <c r="D282" s="274" t="s">
        <v>87</v>
      </c>
      <c r="E282" s="274" t="s">
        <v>99</v>
      </c>
      <c r="F282" s="274" t="s">
        <v>110</v>
      </c>
      <c r="G282" s="274" t="s">
        <v>131</v>
      </c>
      <c r="H282" s="274" t="s">
        <v>138</v>
      </c>
      <c r="I282" s="274" t="s">
        <v>142</v>
      </c>
      <c r="J282" s="274" t="s">
        <v>150</v>
      </c>
      <c r="K282" s="274" t="s">
        <v>165</v>
      </c>
      <c r="L282" s="274" t="s">
        <v>171</v>
      </c>
      <c r="M282" s="274" t="s">
        <v>199</v>
      </c>
      <c r="N282" s="266"/>
      <c r="O282" s="274" t="s">
        <v>205</v>
      </c>
      <c r="P282" s="274" t="s">
        <v>212</v>
      </c>
      <c r="Q282" s="274" t="s">
        <v>217</v>
      </c>
      <c r="R282" s="274" t="s">
        <v>221</v>
      </c>
      <c r="S282" s="274" t="s">
        <v>224</v>
      </c>
      <c r="T282" s="274" t="s">
        <v>229</v>
      </c>
      <c r="U282" s="274" t="s">
        <v>234</v>
      </c>
      <c r="V282" s="274" t="s">
        <v>242</v>
      </c>
      <c r="W282" s="274" t="s">
        <v>261</v>
      </c>
      <c r="X282" s="274" t="s">
        <v>277</v>
      </c>
      <c r="Y282" s="274" t="s">
        <v>287</v>
      </c>
      <c r="Z282" s="274" t="s">
        <v>291</v>
      </c>
      <c r="AA282" s="274" t="s">
        <v>302</v>
      </c>
      <c r="AB282" s="274" t="s">
        <v>309</v>
      </c>
      <c r="AC282" s="274" t="s">
        <v>314</v>
      </c>
      <c r="AD282" s="274" t="s">
        <v>318</v>
      </c>
      <c r="AE282" s="274" t="s">
        <v>325</v>
      </c>
      <c r="AF282" s="266"/>
    </row>
    <row r="283" spans="1:32" ht="13.5" customHeight="1" thickBot="1" x14ac:dyDescent="0.25">
      <c r="A283" s="302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66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  <c r="AB283" s="275"/>
      <c r="AC283" s="275"/>
      <c r="AD283" s="275"/>
      <c r="AE283" s="275"/>
      <c r="AF283" s="266"/>
    </row>
    <row r="284" spans="1:32" ht="18" customHeight="1" thickTop="1" thickBot="1" x14ac:dyDescent="0.25">
      <c r="A284" s="40" t="s">
        <v>378</v>
      </c>
      <c r="B284" s="46">
        <f>IFERROR(X22*H22,"0")</f>
        <v>0</v>
      </c>
      <c r="C284" s="46">
        <f>IFERROR(X28*H28,"0")+IFERROR(X29*H29,"0")</f>
        <v>273</v>
      </c>
      <c r="D284" s="46">
        <f>IFERROR(X34*H34,"0")+IFERROR(X35*H35,"0")+IFERROR(X36*H36,"0")</f>
        <v>134.39999999999998</v>
      </c>
      <c r="E284" s="46">
        <f>IFERROR(X41*H41,"0")+IFERROR(X42*H42,"0")+IFERROR(X43*H43,"0")+IFERROR(X44*H44,"0")</f>
        <v>1504.8</v>
      </c>
      <c r="F284" s="46">
        <f>IFERROR(X49*H49,"0")+IFERROR(X53*H53,"0")+IFERROR(X57*H57,"0")+IFERROR(X58*H58,"0")+IFERROR(X62*H62,"0")+IFERROR(X63*H63,"0")+IFERROR(X64*H64,"0")</f>
        <v>67.2</v>
      </c>
      <c r="G284" s="46">
        <f>IFERROR(X69*H69,"0")+IFERROR(X70*H70,"0")</f>
        <v>660</v>
      </c>
      <c r="H284" s="46">
        <f>IFERROR(X75*H75,"0")</f>
        <v>0</v>
      </c>
      <c r="I284" s="46">
        <f>IFERROR(X80*H80,"0")+IFERROR(X81*H81,"0")</f>
        <v>201.6</v>
      </c>
      <c r="J284" s="46">
        <f>IFERROR(X86*H86,"0")+IFERROR(X87*H87,"0")+IFERROR(X88*H88,"0")+IFERROR(X89*H89,"0")+IFERROR(X90*H90,"0")+IFERROR(X91*H91,"0")</f>
        <v>663.59999999999991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IFERROR(X102*H102,"0")+IFERROR(X103*H103,"0")+IFERROR(X104*H104,"0")+IFERROR(X105*H105,"0")+IFERROR(X106*H106,"0")+IFERROR(X107*H107,"0")+IFERROR(X108*H108,"0")+IFERROR(X109*H109,"0")+IFERROR(X113*H113,"0")+IFERROR(X117*H117,"0")</f>
        <v>3499.2</v>
      </c>
      <c r="M284" s="46">
        <f>IFERROR(X122*H122,"0")+IFERROR(X123*H123,"0")</f>
        <v>1260</v>
      </c>
      <c r="N284" s="266"/>
      <c r="O284" s="46">
        <f>IFERROR(X128*H128,"0")+IFERROR(X129*H129,"0")</f>
        <v>378</v>
      </c>
      <c r="P284" s="46">
        <f>IFERROR(X134*H134,"0")+IFERROR(X135*H135,"0")</f>
        <v>369.59999999999997</v>
      </c>
      <c r="Q284" s="46">
        <f>IFERROR(X140*H140,"0")</f>
        <v>0</v>
      </c>
      <c r="R284" s="46">
        <f>IFERROR(X145*H145,"0")</f>
        <v>0</v>
      </c>
      <c r="S284" s="46">
        <f>IFERROR(X150*H150,"0")</f>
        <v>0</v>
      </c>
      <c r="T284" s="46">
        <f>IFERROR(X155*H155,"0")</f>
        <v>0</v>
      </c>
      <c r="U284" s="46">
        <f>IFERROR(X161*H161,"0")+IFERROR(X162*H162,"0")</f>
        <v>60</v>
      </c>
      <c r="V284" s="46">
        <f>IFERROR(X168*H168,"0")+IFERROR(X169*H169,"0")+IFERROR(X170*H170,"0")+IFERROR(X174*H174,"0")</f>
        <v>966</v>
      </c>
      <c r="W284" s="46">
        <f>IFERROR(X180*H180,"0")+IFERROR(X184*H184,"0")+IFERROR(X185*H185,"0")+IFERROR(X186*H186,"0")+IFERROR(X187*H187,"0")</f>
        <v>72.240000000000009</v>
      </c>
      <c r="X284" s="46">
        <f>IFERROR(X192*H192,"0")+IFERROR(X193*H193,"0")+IFERROR(X194*H194,"0")+IFERROR(X195*H195,"0")</f>
        <v>172.8</v>
      </c>
      <c r="Y284" s="46">
        <f>IFERROR(X200*H200,"0")</f>
        <v>180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420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1206.76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379</v>
      </c>
      <c r="B286" s="58" t="s">
        <v>380</v>
      </c>
      <c r="C286" s="58" t="s">
        <v>381</v>
      </c>
    </row>
    <row r="287" spans="1:32" x14ac:dyDescent="0.2">
      <c r="A287" s="59">
        <f>SUMPRODUCT(--(BB:BB="ЗПФ"),--(W:W="кор"),H:H,Y:Y)+SUMPRODUCT(--(BB:BB="ЗПФ"),--(W:W="кг"),Y:Y)</f>
        <v>6631.2</v>
      </c>
      <c r="B287" s="60">
        <f>SUMPRODUCT(--(BB:BB="ПГП"),--(W:W="кор"),H:H,Y:Y)+SUMPRODUCT(--(BB:BB="ПГП"),--(W:W="кг"),Y:Y)</f>
        <v>5458.0000000000009</v>
      </c>
      <c r="C287" s="60">
        <f>SUMPRODUCT(--(BB:BB="КИЗ"),--(W:W="кор"),H:H,Y:Y)+SUMPRODUCT(--(BB:BB="КИЗ"),--(W:W="кг"),Y:Y)</f>
        <v>0</v>
      </c>
    </row>
  </sheetData>
  <sheetProtection algorithmName="SHA-512" hashValue="yIqxCzd2s94so1CbFBpX0MQFodaaOoAzXSQSWPI/LetP31azlqWE6MO8nmnSyoqEkOV/DNYWF6eHAj0RlJGuXw==" saltValue="a3ewhNqi+NreI/nc/ZCJs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J282:J283"/>
    <mergeCell ref="L282:L283"/>
    <mergeCell ref="D192:E192"/>
    <mergeCell ref="D42:E42"/>
    <mergeCell ref="D17:E18"/>
    <mergeCell ref="A151:O152"/>
    <mergeCell ref="D123:E123"/>
    <mergeCell ref="A188:O189"/>
    <mergeCell ref="A163:O164"/>
    <mergeCell ref="A52:Z52"/>
    <mergeCell ref="X17:X18"/>
    <mergeCell ref="D44:E44"/>
    <mergeCell ref="M282:M283"/>
    <mergeCell ref="W282:W283"/>
    <mergeCell ref="A118:O119"/>
    <mergeCell ref="O282:O283"/>
    <mergeCell ref="D102:E102"/>
    <mergeCell ref="Q282:Q283"/>
    <mergeCell ref="A204:Z204"/>
    <mergeCell ref="A33:Z33"/>
    <mergeCell ref="P219:V219"/>
    <mergeCell ref="P272:V272"/>
    <mergeCell ref="D271:E271"/>
    <mergeCell ref="D282:D283"/>
    <mergeCell ref="D262:E262"/>
    <mergeCell ref="A39:Z39"/>
    <mergeCell ref="D239:E239"/>
    <mergeCell ref="D266:E266"/>
    <mergeCell ref="P174:T174"/>
    <mergeCell ref="D57:E57"/>
    <mergeCell ref="P163:V163"/>
    <mergeCell ref="A153:Z153"/>
    <mergeCell ref="D268:E268"/>
    <mergeCell ref="D97:E97"/>
    <mergeCell ref="P76:V76"/>
    <mergeCell ref="A255:Z255"/>
    <mergeCell ref="Q5:R5"/>
    <mergeCell ref="F17:F18"/>
    <mergeCell ref="D107:E107"/>
    <mergeCell ref="P70:T70"/>
    <mergeCell ref="P263:T263"/>
    <mergeCell ref="Q6:R6"/>
    <mergeCell ref="P200:T200"/>
    <mergeCell ref="P134:T134"/>
    <mergeCell ref="A124:O125"/>
    <mergeCell ref="P23:V23"/>
    <mergeCell ref="V12:W12"/>
    <mergeCell ref="U17:V17"/>
    <mergeCell ref="A8:C8"/>
    <mergeCell ref="A10:C10"/>
    <mergeCell ref="A21:Z21"/>
    <mergeCell ref="D184:E184"/>
    <mergeCell ref="P58:T58"/>
    <mergeCell ref="AD17:AF18"/>
    <mergeCell ref="P142:V142"/>
    <mergeCell ref="W281:AA281"/>
    <mergeCell ref="A132:Z132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65:E265"/>
    <mergeCell ref="D216:E216"/>
    <mergeCell ref="A20:Z20"/>
    <mergeCell ref="D252:E252"/>
    <mergeCell ref="P123:T123"/>
    <mergeCell ref="A112:Z112"/>
    <mergeCell ref="P66:V66"/>
    <mergeCell ref="P137:V137"/>
    <mergeCell ref="V282:V283"/>
    <mergeCell ref="P62:T62"/>
    <mergeCell ref="P2:W3"/>
    <mergeCell ref="X282:X283"/>
    <mergeCell ref="P218:V218"/>
    <mergeCell ref="D35:E35"/>
    <mergeCell ref="A23:O24"/>
    <mergeCell ref="P64:T64"/>
    <mergeCell ref="D10:E10"/>
    <mergeCell ref="P135:T135"/>
    <mergeCell ref="F10:G10"/>
    <mergeCell ref="D34:E34"/>
    <mergeCell ref="A181:O182"/>
    <mergeCell ref="D270:E270"/>
    <mergeCell ref="P128:T128"/>
    <mergeCell ref="P197:V197"/>
    <mergeCell ref="D247:E247"/>
    <mergeCell ref="A127:Z127"/>
    <mergeCell ref="A191:Z191"/>
    <mergeCell ref="P262:T262"/>
    <mergeCell ref="D105:E105"/>
    <mergeCell ref="A178:Z178"/>
    <mergeCell ref="D170:E170"/>
    <mergeCell ref="A274:O279"/>
    <mergeCell ref="D6:M6"/>
    <mergeCell ref="P162:T162"/>
    <mergeCell ref="A85:Z85"/>
    <mergeCell ref="P106:T106"/>
    <mergeCell ref="D256:E256"/>
    <mergeCell ref="P269:T269"/>
    <mergeCell ref="P35:T35"/>
    <mergeCell ref="G17:G18"/>
    <mergeCell ref="A143:Z143"/>
    <mergeCell ref="P171:V171"/>
    <mergeCell ref="A167:Z167"/>
    <mergeCell ref="A232:Z232"/>
    <mergeCell ref="D80:E80"/>
    <mergeCell ref="P240:V240"/>
    <mergeCell ref="A114:O115"/>
    <mergeCell ref="A227:Z227"/>
    <mergeCell ref="D200:E200"/>
    <mergeCell ref="A9:C9"/>
    <mergeCell ref="A71:O72"/>
    <mergeCell ref="A179:Z179"/>
    <mergeCell ref="D58:E58"/>
    <mergeCell ref="A236:O237"/>
    <mergeCell ref="A116:Z116"/>
    <mergeCell ref="Q13:R13"/>
    <mergeCell ref="P282:P283"/>
    <mergeCell ref="F282:F283"/>
    <mergeCell ref="P22:T22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A56:Z56"/>
    <mergeCell ref="A27:Z27"/>
    <mergeCell ref="P31:V31"/>
    <mergeCell ref="A154:Z154"/>
    <mergeCell ref="A214:Z214"/>
    <mergeCell ref="Y282:Y283"/>
    <mergeCell ref="H282:H283"/>
    <mergeCell ref="P273:V273"/>
    <mergeCell ref="E282:E283"/>
    <mergeCell ref="G282:G283"/>
    <mergeCell ref="A220:Z220"/>
    <mergeCell ref="P247:T247"/>
    <mergeCell ref="P41:T41"/>
    <mergeCell ref="AA17:AA18"/>
    <mergeCell ref="H10:M10"/>
    <mergeCell ref="AC17:AC18"/>
    <mergeCell ref="P108:T108"/>
    <mergeCell ref="D89:E89"/>
    <mergeCell ref="P147:V147"/>
    <mergeCell ref="A199:Z199"/>
    <mergeCell ref="P251:T251"/>
    <mergeCell ref="A175:O176"/>
    <mergeCell ref="D128:E128"/>
    <mergeCell ref="P109:T109"/>
    <mergeCell ref="D186:E186"/>
    <mergeCell ref="D217:E217"/>
    <mergeCell ref="P193:T193"/>
    <mergeCell ref="Z17:Z18"/>
    <mergeCell ref="AB17:AB18"/>
    <mergeCell ref="D155:E155"/>
    <mergeCell ref="D22:E22"/>
    <mergeCell ref="A222:Z222"/>
    <mergeCell ref="P34:T34"/>
    <mergeCell ref="P105:T105"/>
    <mergeCell ref="D86:E86"/>
    <mergeCell ref="P49:T49"/>
    <mergeCell ref="A110:O111"/>
    <mergeCell ref="D267:E267"/>
    <mergeCell ref="P96:T96"/>
    <mergeCell ref="H17:H18"/>
    <mergeCell ref="P90:T90"/>
    <mergeCell ref="P161:T161"/>
    <mergeCell ref="P217:T217"/>
    <mergeCell ref="D269:E269"/>
    <mergeCell ref="P275:V275"/>
    <mergeCell ref="D75:E75"/>
    <mergeCell ref="P241:V241"/>
    <mergeCell ref="A50:O51"/>
    <mergeCell ref="A158:Z158"/>
    <mergeCell ref="P91:T91"/>
    <mergeCell ref="P99:V99"/>
    <mergeCell ref="A160:Z160"/>
    <mergeCell ref="P256:T256"/>
    <mergeCell ref="D257:E257"/>
    <mergeCell ref="P270:T270"/>
    <mergeCell ref="P36:T36"/>
    <mergeCell ref="D150:E150"/>
    <mergeCell ref="P107:T107"/>
    <mergeCell ref="P50:V50"/>
    <mergeCell ref="A233:Z233"/>
    <mergeCell ref="M17:M18"/>
    <mergeCell ref="Z282:Z283"/>
    <mergeCell ref="D185:E185"/>
    <mergeCell ref="AB282:AB283"/>
    <mergeCell ref="D41:E41"/>
    <mergeCell ref="T282:T283"/>
    <mergeCell ref="A208:Z208"/>
    <mergeCell ref="P60:V60"/>
    <mergeCell ref="D43:E43"/>
    <mergeCell ref="A139:Z139"/>
    <mergeCell ref="P216:T216"/>
    <mergeCell ref="P124:V124"/>
    <mergeCell ref="P151:V151"/>
    <mergeCell ref="P87:T87"/>
    <mergeCell ref="A203:Z203"/>
    <mergeCell ref="P245:T245"/>
    <mergeCell ref="A141:O142"/>
    <mergeCell ref="P211:T211"/>
    <mergeCell ref="P89:T89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254:V254"/>
    <mergeCell ref="P83:V83"/>
    <mergeCell ref="A82:O83"/>
    <mergeCell ref="A79:Z79"/>
    <mergeCell ref="T6:U9"/>
    <mergeCell ref="A30:O31"/>
    <mergeCell ref="Q10:R10"/>
    <mergeCell ref="D36:E36"/>
    <mergeCell ref="A138:Z138"/>
    <mergeCell ref="P202:V202"/>
    <mergeCell ref="A13:M13"/>
    <mergeCell ref="A230:O231"/>
    <mergeCell ref="A59:O60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62:E62"/>
    <mergeCell ref="A65:O66"/>
    <mergeCell ref="D193:E193"/>
    <mergeCell ref="D64:E64"/>
    <mergeCell ref="P235:T235"/>
    <mergeCell ref="P157:V157"/>
    <mergeCell ref="P213:V213"/>
    <mergeCell ref="P172:V172"/>
    <mergeCell ref="A40:Z40"/>
    <mergeCell ref="A67:Z67"/>
    <mergeCell ref="P152:V152"/>
    <mergeCell ref="P30:V30"/>
    <mergeCell ref="D140:E140"/>
    <mergeCell ref="V6:W9"/>
    <mergeCell ref="H5:M5"/>
    <mergeCell ref="D264:E264"/>
    <mergeCell ref="P72:V72"/>
    <mergeCell ref="P122:T122"/>
    <mergeCell ref="P43:T43"/>
    <mergeCell ref="P65:V65"/>
    <mergeCell ref="P136:V136"/>
    <mergeCell ref="A126:Z126"/>
    <mergeCell ref="D251:E251"/>
    <mergeCell ref="A12:M12"/>
    <mergeCell ref="A190:Z190"/>
    <mergeCell ref="A68:Z68"/>
    <mergeCell ref="A19:Z19"/>
    <mergeCell ref="A14:M14"/>
    <mergeCell ref="D109:E109"/>
    <mergeCell ref="P249:V249"/>
    <mergeCell ref="O17:O18"/>
    <mergeCell ref="P131:V131"/>
    <mergeCell ref="P102:T102"/>
    <mergeCell ref="P189:V189"/>
    <mergeCell ref="N17:N18"/>
    <mergeCell ref="D49:E49"/>
    <mergeCell ref="Y17:Y18"/>
    <mergeCell ref="D96:E96"/>
    <mergeCell ref="A201:O202"/>
    <mergeCell ref="P110:V110"/>
    <mergeCell ref="P15:T16"/>
    <mergeCell ref="A177:Z177"/>
    <mergeCell ref="D91:E91"/>
    <mergeCell ref="D162:E162"/>
    <mergeCell ref="P210:T210"/>
    <mergeCell ref="A196:O197"/>
    <mergeCell ref="P185:T185"/>
    <mergeCell ref="D106:E106"/>
    <mergeCell ref="A146:O147"/>
    <mergeCell ref="K17:K18"/>
    <mergeCell ref="C17:C18"/>
    <mergeCell ref="A238:Z238"/>
    <mergeCell ref="D103:E103"/>
    <mergeCell ref="D168:E168"/>
    <mergeCell ref="AA282:AA283"/>
    <mergeCell ref="AC282:AC283"/>
    <mergeCell ref="D180:E180"/>
    <mergeCell ref="D9:E9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A121:Z121"/>
    <mergeCell ref="P146:V146"/>
    <mergeCell ref="D63:E63"/>
    <mergeCell ref="P181:V181"/>
    <mergeCell ref="R282:R283"/>
    <mergeCell ref="A32:Z32"/>
    <mergeCell ref="P278:V278"/>
    <mergeCell ref="A159:Z159"/>
    <mergeCell ref="A37:O38"/>
    <mergeCell ref="Q11:R11"/>
    <mergeCell ref="P205:T205"/>
    <mergeCell ref="A6:C6"/>
    <mergeCell ref="D113:E113"/>
    <mergeCell ref="P180:T180"/>
    <mergeCell ref="D88:E88"/>
    <mergeCell ref="A259:O260"/>
    <mergeCell ref="A253:O254"/>
    <mergeCell ref="P117:T117"/>
    <mergeCell ref="Q12:R12"/>
    <mergeCell ref="P169:T169"/>
    <mergeCell ref="D90:E90"/>
    <mergeCell ref="A130:O131"/>
    <mergeCell ref="P196:V196"/>
    <mergeCell ref="P246:T246"/>
    <mergeCell ref="A250:Z250"/>
    <mergeCell ref="P51:V51"/>
    <mergeCell ref="P195:T195"/>
    <mergeCell ref="A17:A18"/>
    <mergeCell ref="P277:V277"/>
    <mergeCell ref="P113:T113"/>
    <mergeCell ref="A173:Z173"/>
    <mergeCell ref="P17:T18"/>
    <mergeCell ref="S282:S283"/>
    <mergeCell ref="A148:Z148"/>
    <mergeCell ref="P129:T129"/>
    <mergeCell ref="U282:U283"/>
    <mergeCell ref="P63:T63"/>
    <mergeCell ref="P194:T194"/>
    <mergeCell ref="A166:Z166"/>
    <mergeCell ref="D229:E229"/>
    <mergeCell ref="P187:T187"/>
    <mergeCell ref="D108:E108"/>
    <mergeCell ref="P258:T258"/>
    <mergeCell ref="P223:T223"/>
    <mergeCell ref="P201:V201"/>
    <mergeCell ref="I17:I18"/>
    <mergeCell ref="P176:V176"/>
    <mergeCell ref="D135:E135"/>
    <mergeCell ref="P114:V114"/>
    <mergeCell ref="A120:Z120"/>
    <mergeCell ref="P276:V276"/>
    <mergeCell ref="D235:E235"/>
    <mergeCell ref="B282:B283"/>
    <mergeCell ref="P93:V93"/>
    <mergeCell ref="P164:V164"/>
    <mergeCell ref="D145:E145"/>
    <mergeCell ref="D210:E210"/>
    <mergeCell ref="D209:E209"/>
    <mergeCell ref="D87:E87"/>
    <mergeCell ref="P188:V188"/>
    <mergeCell ref="D245:E245"/>
    <mergeCell ref="D122:E122"/>
    <mergeCell ref="P103:T103"/>
    <mergeCell ref="P268:T268"/>
    <mergeCell ref="P97:T97"/>
    <mergeCell ref="D211:E211"/>
    <mergeCell ref="P168:T168"/>
    <mergeCell ref="P130:V130"/>
    <mergeCell ref="A242:Z242"/>
    <mergeCell ref="P111:V111"/>
    <mergeCell ref="A234:Z234"/>
    <mergeCell ref="A244:Z244"/>
    <mergeCell ref="A100:Z100"/>
    <mergeCell ref="A165:Z165"/>
    <mergeCell ref="P125:V125"/>
    <mergeCell ref="P192:T192"/>
    <mergeCell ref="P38:V38"/>
    <mergeCell ref="H1:Q1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P175:V175"/>
    <mergeCell ref="A240:O241"/>
    <mergeCell ref="A26:Z26"/>
    <mergeCell ref="P59:V59"/>
    <mergeCell ref="P46:V46"/>
    <mergeCell ref="D1:F1"/>
    <mergeCell ref="J17:J18"/>
    <mergeCell ref="L17:L18"/>
    <mergeCell ref="A95:Z95"/>
    <mergeCell ref="Q9:R9"/>
    <mergeCell ref="A5:C5"/>
    <mergeCell ref="P209:T209"/>
    <mergeCell ref="W17:W18"/>
    <mergeCell ref="A144:Z144"/>
    <mergeCell ref="A215:Z215"/>
    <mergeCell ref="D129:E129"/>
    <mergeCell ref="D7:M7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R1:T1"/>
    <mergeCell ref="P150:T150"/>
    <mergeCell ref="A218:O219"/>
    <mergeCell ref="P28:T28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D195:E195"/>
    <mergeCell ref="V10:W10"/>
    <mergeCell ref="P170:T170"/>
    <mergeCell ref="P145:T145"/>
    <mergeCell ref="D53:E53"/>
    <mergeCell ref="A84:Z84"/>
    <mergeCell ref="A149:Z149"/>
    <mergeCell ref="D187:E187"/>
    <mergeCell ref="D174:E174"/>
    <mergeCell ref="AE282:AE283"/>
    <mergeCell ref="H9:I9"/>
    <mergeCell ref="P224:V224"/>
    <mergeCell ref="P24:V24"/>
    <mergeCell ref="P260:V260"/>
    <mergeCell ref="P259:V259"/>
    <mergeCell ref="P155:T155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9 X34 X36 X49 X53 X57:X58 X62 X88 X90 X97 X105 X108:X109 X113 X117 X128 X134 X150 X155 X174 X185 X187 X192:X195 X205 X209:X211 X216:X217 X223 X235 X239 X245:X247 X262 X267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44 X70 X87 X89 X104 X107 X122:X123 X129 X168:X170 X229 X251 X257" xr:uid="{00000000-0002-0000-0000-000012000000}">
      <formula1>IF(AK28&gt;0,OR(X28=0,AND(IF(X28-AK28&gt;=0,TRUE,FALSE),X28&gt;0,IF(X28/J28=ROUND(X28/J28,0),TRUE,FALSE))),FALSE)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5 X41:X43 X63:X64 X69 X75 X80:X81 X86 X91 X96 X102:X103 X106 X135 X140 X145 X161:X162 X180 X184 X186 X200 X252 X256 X258 X263:X266" xr:uid="{00000000-0002-0000-0000-000013000000}">
      <formula1>IF(AK35&gt;0,OR(X35=0,AND(IF(X35-AK35&gt;=0,TRUE,FALSE),X35&gt;0,IF(X35/K35=ROUND(X35/K35,0),TRUE,FALSE))),FALSE)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384</v>
      </c>
      <c r="D6" s="47" t="s">
        <v>385</v>
      </c>
      <c r="E6" s="47"/>
    </row>
    <row r="8" spans="2:8" x14ac:dyDescent="0.2">
      <c r="B8" s="47" t="s">
        <v>19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wd33a/GfMZvYU8radWRVgw1mblus+eqHOs0/v1k1rJSRSAbVZ7mKX3Ztwptx02at9wWxAV5N+vsaZy1tYgvcEw==" saltValue="DFCWgkMRrbrd7Osw7TG8h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2025-11-19T10:07:43Z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