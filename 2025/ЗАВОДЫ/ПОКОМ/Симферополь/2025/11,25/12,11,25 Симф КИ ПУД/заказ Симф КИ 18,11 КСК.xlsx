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64D4131B-5648-41A7-96ED-350F26C205E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Z422" i="1"/>
  <c r="Y422" i="1"/>
  <c r="P422" i="1"/>
  <c r="BO421" i="1"/>
  <c r="BM421" i="1"/>
  <c r="Y421" i="1"/>
  <c r="Y432" i="1" s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Y416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0" i="1"/>
  <c r="Y379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Y374" i="1" s="1"/>
  <c r="P372" i="1"/>
  <c r="X370" i="1"/>
  <c r="X369" i="1"/>
  <c r="BP368" i="1"/>
  <c r="BO368" i="1"/>
  <c r="BN368" i="1"/>
  <c r="BM368" i="1"/>
  <c r="Z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Y354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Y349" i="1" s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Y337" i="1" s="1"/>
  <c r="P335" i="1"/>
  <c r="BP334" i="1"/>
  <c r="BO334" i="1"/>
  <c r="BN334" i="1"/>
  <c r="BM334" i="1"/>
  <c r="Z334" i="1"/>
  <c r="Y334" i="1"/>
  <c r="P334" i="1"/>
  <c r="X331" i="1"/>
  <c r="Y330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Y312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Y303" i="1" s="1"/>
  <c r="P297" i="1"/>
  <c r="BP296" i="1"/>
  <c r="BO296" i="1"/>
  <c r="BN296" i="1"/>
  <c r="BM296" i="1"/>
  <c r="Z296" i="1"/>
  <c r="Y296" i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1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Y187" i="1" s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H498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F498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8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J9" i="1"/>
  <c r="F9" i="1"/>
  <c r="A9" i="1"/>
  <c r="A10" i="1" s="1"/>
  <c r="D7" i="1"/>
  <c r="Q6" i="1"/>
  <c r="P2" i="1"/>
  <c r="F10" i="1" l="1"/>
  <c r="Y31" i="1"/>
  <c r="Y492" i="1" s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4" i="1"/>
  <c r="Y150" i="1"/>
  <c r="Y171" i="1"/>
  <c r="Y177" i="1"/>
  <c r="Y188" i="1"/>
  <c r="Y192" i="1"/>
  <c r="Y204" i="1"/>
  <c r="Y216" i="1"/>
  <c r="Y220" i="1"/>
  <c r="Y235" i="1"/>
  <c r="Y239" i="1"/>
  <c r="Y243" i="1"/>
  <c r="BP255" i="1"/>
  <c r="BN255" i="1"/>
  <c r="Z255" i="1"/>
  <c r="Y259" i="1"/>
  <c r="BP264" i="1"/>
  <c r="BN264" i="1"/>
  <c r="Z264" i="1"/>
  <c r="Z267" i="1" s="1"/>
  <c r="BP273" i="1"/>
  <c r="BN273" i="1"/>
  <c r="Z273" i="1"/>
  <c r="Y275" i="1"/>
  <c r="P498" i="1"/>
  <c r="Y281" i="1"/>
  <c r="BP278" i="1"/>
  <c r="BN278" i="1"/>
  <c r="Z278" i="1"/>
  <c r="Z280" i="1" s="1"/>
  <c r="Q498" i="1"/>
  <c r="BP291" i="1"/>
  <c r="BN291" i="1"/>
  <c r="Z291" i="1"/>
  <c r="Y304" i="1"/>
  <c r="BP299" i="1"/>
  <c r="BN299" i="1"/>
  <c r="Z299" i="1"/>
  <c r="BP307" i="1"/>
  <c r="BN307" i="1"/>
  <c r="Z307" i="1"/>
  <c r="Z311" i="1" s="1"/>
  <c r="Y311" i="1"/>
  <c r="Z317" i="1"/>
  <c r="BP315" i="1"/>
  <c r="BN315" i="1"/>
  <c r="Z315" i="1"/>
  <c r="Y325" i="1"/>
  <c r="BP328" i="1"/>
  <c r="BN328" i="1"/>
  <c r="Z328" i="1"/>
  <c r="Z330" i="1" s="1"/>
  <c r="BP343" i="1"/>
  <c r="BN343" i="1"/>
  <c r="Z343" i="1"/>
  <c r="Z349" i="1" s="1"/>
  <c r="BP348" i="1"/>
  <c r="BN348" i="1"/>
  <c r="Z348" i="1"/>
  <c r="Y350" i="1"/>
  <c r="Y355" i="1"/>
  <c r="BP352" i="1"/>
  <c r="BN352" i="1"/>
  <c r="Z352" i="1"/>
  <c r="Z354" i="1" s="1"/>
  <c r="Y359" i="1"/>
  <c r="BP373" i="1"/>
  <c r="BN373" i="1"/>
  <c r="Z373" i="1"/>
  <c r="Z374" i="1" s="1"/>
  <c r="Y375" i="1"/>
  <c r="Y380" i="1"/>
  <c r="BP377" i="1"/>
  <c r="BN377" i="1"/>
  <c r="Z377" i="1"/>
  <c r="Z379" i="1" s="1"/>
  <c r="U498" i="1"/>
  <c r="BP387" i="1"/>
  <c r="BN387" i="1"/>
  <c r="Z387" i="1"/>
  <c r="BP391" i="1"/>
  <c r="BN391" i="1"/>
  <c r="Z391" i="1"/>
  <c r="Y398" i="1"/>
  <c r="BP408" i="1"/>
  <c r="BN408" i="1"/>
  <c r="Z408" i="1"/>
  <c r="BP426" i="1"/>
  <c r="BN426" i="1"/>
  <c r="Z426" i="1"/>
  <c r="BP430" i="1"/>
  <c r="BN430" i="1"/>
  <c r="Z430" i="1"/>
  <c r="Y437" i="1"/>
  <c r="BP434" i="1"/>
  <c r="BN434" i="1"/>
  <c r="Z434" i="1"/>
  <c r="Y438" i="1"/>
  <c r="BP442" i="1"/>
  <c r="BN442" i="1"/>
  <c r="Z442" i="1"/>
  <c r="Y446" i="1"/>
  <c r="BP450" i="1"/>
  <c r="BN450" i="1"/>
  <c r="Z450" i="1"/>
  <c r="Z452" i="1" s="1"/>
  <c r="Y452" i="1"/>
  <c r="B498" i="1"/>
  <c r="J498" i="1"/>
  <c r="S498" i="1"/>
  <c r="H9" i="1"/>
  <c r="X489" i="1"/>
  <c r="X490" i="1"/>
  <c r="X492" i="1"/>
  <c r="Z27" i="1"/>
  <c r="Z31" i="1" s="1"/>
  <c r="BN27" i="1"/>
  <c r="Y489" i="1" s="1"/>
  <c r="Z29" i="1"/>
  <c r="BN29" i="1"/>
  <c r="C498" i="1"/>
  <c r="Z41" i="1"/>
  <c r="Z43" i="1" s="1"/>
  <c r="BN41" i="1"/>
  <c r="Y44" i="1"/>
  <c r="Y488" i="1" s="1"/>
  <c r="D498" i="1"/>
  <c r="Z52" i="1"/>
  <c r="Z57" i="1" s="1"/>
  <c r="BN52" i="1"/>
  <c r="Z54" i="1"/>
  <c r="BN54" i="1"/>
  <c r="Z56" i="1"/>
  <c r="BN56" i="1"/>
  <c r="Y57" i="1"/>
  <c r="Z60" i="1"/>
  <c r="BN60" i="1"/>
  <c r="BP60" i="1"/>
  <c r="Y490" i="1" s="1"/>
  <c r="Z62" i="1"/>
  <c r="BN62" i="1"/>
  <c r="Z66" i="1"/>
  <c r="Z69" i="1" s="1"/>
  <c r="BN66" i="1"/>
  <c r="BP66" i="1"/>
  <c r="Z68" i="1"/>
  <c r="BN68" i="1"/>
  <c r="Z72" i="1"/>
  <c r="BN72" i="1"/>
  <c r="BP72" i="1"/>
  <c r="Z74" i="1"/>
  <c r="BN74" i="1"/>
  <c r="Z80" i="1"/>
  <c r="Z81" i="1" s="1"/>
  <c r="BN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Z100" i="1"/>
  <c r="Z103" i="1" s="1"/>
  <c r="BN100" i="1"/>
  <c r="Z102" i="1"/>
  <c r="BN102" i="1"/>
  <c r="Y103" i="1"/>
  <c r="Z106" i="1"/>
  <c r="Z109" i="1" s="1"/>
  <c r="BN106" i="1"/>
  <c r="BP106" i="1"/>
  <c r="Z108" i="1"/>
  <c r="BN108" i="1"/>
  <c r="Z112" i="1"/>
  <c r="BN112" i="1"/>
  <c r="BP112" i="1"/>
  <c r="Z114" i="1"/>
  <c r="BN114" i="1"/>
  <c r="G498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BN140" i="1"/>
  <c r="BP140" i="1"/>
  <c r="Z142" i="1"/>
  <c r="BN142" i="1"/>
  <c r="Y143" i="1"/>
  <c r="Z146" i="1"/>
  <c r="BN146" i="1"/>
  <c r="BP146" i="1"/>
  <c r="Z148" i="1"/>
  <c r="BN148" i="1"/>
  <c r="I498" i="1"/>
  <c r="Y160" i="1"/>
  <c r="Z163" i="1"/>
  <c r="Z171" i="1" s="1"/>
  <c r="BN163" i="1"/>
  <c r="Z165" i="1"/>
  <c r="BN165" i="1"/>
  <c r="Z167" i="1"/>
  <c r="BN167" i="1"/>
  <c r="Z169" i="1"/>
  <c r="BN169" i="1"/>
  <c r="Z175" i="1"/>
  <c r="Z177" i="1" s="1"/>
  <c r="BN175" i="1"/>
  <c r="Z186" i="1"/>
  <c r="Z187" i="1" s="1"/>
  <c r="BN186" i="1"/>
  <c r="Z190" i="1"/>
  <c r="Z192" i="1" s="1"/>
  <c r="BN190" i="1"/>
  <c r="BP190" i="1"/>
  <c r="Z196" i="1"/>
  <c r="Z203" i="1" s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8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Y250" i="1"/>
  <c r="L498" i="1"/>
  <c r="BP257" i="1"/>
  <c r="BN257" i="1"/>
  <c r="Z257" i="1"/>
  <c r="Z259" i="1" s="1"/>
  <c r="BP266" i="1"/>
  <c r="BN266" i="1"/>
  <c r="Z266" i="1"/>
  <c r="Y268" i="1"/>
  <c r="Y274" i="1"/>
  <c r="BP271" i="1"/>
  <c r="BN271" i="1"/>
  <c r="Z271" i="1"/>
  <c r="Z274" i="1" s="1"/>
  <c r="Y280" i="1"/>
  <c r="Z293" i="1"/>
  <c r="BP289" i="1"/>
  <c r="BN289" i="1"/>
  <c r="Z289" i="1"/>
  <c r="Y293" i="1"/>
  <c r="BP297" i="1"/>
  <c r="BN297" i="1"/>
  <c r="Z297" i="1"/>
  <c r="Z303" i="1" s="1"/>
  <c r="BP301" i="1"/>
  <c r="BN301" i="1"/>
  <c r="Z301" i="1"/>
  <c r="BP309" i="1"/>
  <c r="BN309" i="1"/>
  <c r="Z309" i="1"/>
  <c r="BP322" i="1"/>
  <c r="BN322" i="1"/>
  <c r="Z322" i="1"/>
  <c r="Z324" i="1" s="1"/>
  <c r="BP335" i="1"/>
  <c r="BN335" i="1"/>
  <c r="Z335" i="1"/>
  <c r="Z337" i="1" s="1"/>
  <c r="BP346" i="1"/>
  <c r="BN346" i="1"/>
  <c r="Z346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BP385" i="1"/>
  <c r="BN385" i="1"/>
  <c r="Z385" i="1"/>
  <c r="BP389" i="1"/>
  <c r="BN389" i="1"/>
  <c r="Z389" i="1"/>
  <c r="Z393" i="1" s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Z410" i="1" s="1"/>
  <c r="Y410" i="1"/>
  <c r="BP421" i="1"/>
  <c r="BN421" i="1"/>
  <c r="Z421" i="1"/>
  <c r="Z431" i="1" s="1"/>
  <c r="BP460" i="1"/>
  <c r="BN460" i="1"/>
  <c r="Z460" i="1"/>
  <c r="Y462" i="1"/>
  <c r="Y467" i="1"/>
  <c r="BP464" i="1"/>
  <c r="BN464" i="1"/>
  <c r="Z464" i="1"/>
  <c r="Y468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Y260" i="1"/>
  <c r="M498" i="1"/>
  <c r="Y267" i="1"/>
  <c r="Y294" i="1"/>
  <c r="R498" i="1"/>
  <c r="Y338" i="1"/>
  <c r="Y394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47" i="1"/>
  <c r="BP440" i="1"/>
  <c r="BN440" i="1"/>
  <c r="Z440" i="1"/>
  <c r="BP444" i="1"/>
  <c r="BN444" i="1"/>
  <c r="Z444" i="1"/>
  <c r="Y453" i="1"/>
  <c r="BP458" i="1"/>
  <c r="BN458" i="1"/>
  <c r="Z458" i="1"/>
  <c r="Z461" i="1" s="1"/>
  <c r="BP466" i="1"/>
  <c r="BN466" i="1"/>
  <c r="Z466" i="1"/>
  <c r="Y473" i="1"/>
  <c r="BP470" i="1"/>
  <c r="BN470" i="1"/>
  <c r="Z470" i="1"/>
  <c r="Z472" i="1" s="1"/>
  <c r="Y481" i="1"/>
  <c r="Y498" i="1"/>
  <c r="Y491" i="1" l="1"/>
  <c r="Z446" i="1"/>
  <c r="Z467" i="1"/>
  <c r="Z250" i="1"/>
  <c r="Z215" i="1"/>
  <c r="Z149" i="1"/>
  <c r="Z143" i="1"/>
  <c r="Z116" i="1"/>
  <c r="Z76" i="1"/>
  <c r="Z63" i="1"/>
  <c r="Z493" i="1" s="1"/>
  <c r="Z437" i="1"/>
  <c r="X491" i="1"/>
</calcChain>
</file>

<file path=xl/sharedStrings.xml><?xml version="1.0" encoding="utf-8"?>
<sst xmlns="http://schemas.openxmlformats.org/spreadsheetml/2006/main" count="2278" uniqueCount="763">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</sst>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0.375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200</v>
      </c>
      <c r="Y41" s="540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59.25925925925926</v>
      </c>
      <c r="Y43" s="541">
        <f>IFERROR(Y40/H40,"0")+IFERROR(Y41/H41,"0")+IFERROR(Y42/H42,"0")</f>
        <v>60</v>
      </c>
      <c r="Z43" s="541">
        <f>IFERROR(IF(Z40="",0,Z40),"0")+IFERROR(IF(Z41="",0,Z41),"0")+IFERROR(IF(Z42="",0,Z42),"0")</f>
        <v>0.64080000000000004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300</v>
      </c>
      <c r="Y44" s="541">
        <f>IFERROR(SUM(Y40:Y42),"0")</f>
        <v>308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200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270</v>
      </c>
      <c r="Y56" s="540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78.518518518518519</v>
      </c>
      <c r="Y57" s="541">
        <f>IFERROR(Y51/H51,"0")+IFERROR(Y52/H52,"0")+IFERROR(Y53/H53,"0")+IFERROR(Y54/H54,"0")+IFERROR(Y55/H55,"0")+IFERROR(Y56/H56,"0")</f>
        <v>79</v>
      </c>
      <c r="Z57" s="541">
        <f>IFERROR(IF(Z51="",0,Z51),"0")+IFERROR(IF(Z52="",0,Z52),"0")+IFERROR(IF(Z53="",0,Z53),"0")+IFERROR(IF(Z54="",0,Z54),"0")+IFERROR(IF(Z55="",0,Z55),"0")+IFERROR(IF(Z56="",0,Z56),"0")</f>
        <v>0.90182000000000007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470</v>
      </c>
      <c r="Y58" s="541">
        <f>IFERROR(SUM(Y51:Y56),"0")</f>
        <v>475.20000000000005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200</v>
      </c>
      <c r="Y60" s="540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157.5</v>
      </c>
      <c r="Y62" s="540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76.851851851851848</v>
      </c>
      <c r="Y63" s="541">
        <f>IFERROR(Y60/H60,"0")+IFERROR(Y61/H61,"0")+IFERROR(Y62/H62,"0")</f>
        <v>78</v>
      </c>
      <c r="Z63" s="541">
        <f>IFERROR(IF(Z60="",0,Z60),"0")+IFERROR(IF(Z61="",0,Z61),"0")+IFERROR(IF(Z62="",0,Z62),"0")</f>
        <v>0.74470999999999998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357.5</v>
      </c>
      <c r="Y64" s="541">
        <f>IFERROR(SUM(Y60:Y62),"0")</f>
        <v>364.5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30</v>
      </c>
      <c r="Y79" s="54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3.8461538461538463</v>
      </c>
      <c r="Y81" s="541">
        <f>IFERROR(Y79/H79,"0")+IFERROR(Y80/H80,"0")</f>
        <v>4</v>
      </c>
      <c r="Z81" s="541">
        <f>IFERROR(IF(Z79="",0,Z79),"0")+IFERROR(IF(Z80="",0,Z80),"0")</f>
        <v>7.5920000000000001E-2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30</v>
      </c>
      <c r="Y82" s="541">
        <f>IFERROR(SUM(Y79:Y80),"0")</f>
        <v>31.2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360</v>
      </c>
      <c r="Y87" s="54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89.259259259259267</v>
      </c>
      <c r="Y88" s="541">
        <f>IFERROR(Y85/H85,"0")+IFERROR(Y86/H86,"0")+IFERROR(Y87/H87,"0")</f>
        <v>90</v>
      </c>
      <c r="Z88" s="541">
        <f>IFERROR(IF(Z85="",0,Z85),"0")+IFERROR(IF(Z86="",0,Z86),"0")+IFERROR(IF(Z87="",0,Z87),"0")</f>
        <v>0.91139999999999999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460</v>
      </c>
      <c r="Y89" s="541">
        <f>IFERROR(SUM(Y85:Y87),"0")</f>
        <v>468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220</v>
      </c>
      <c r="Y91" s="540">
        <f>IFERROR(IF(X91="",0,CEILING((X91/$H91),1)*$H91),"")</f>
        <v>226.79999999999998</v>
      </c>
      <c r="Z91" s="36">
        <f>IFERROR(IF(Y91=0,"",ROUNDUP(Y91/H91,0)*0.01898),"")</f>
        <v>0.53144000000000002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233.41728395061727</v>
      </c>
      <c r="BN91" s="64">
        <f>IFERROR(Y91*I91/H91,"0")</f>
        <v>240.63199999999998</v>
      </c>
      <c r="BO91" s="64">
        <f>IFERROR(1/J91*(X91/H91),"0")</f>
        <v>0.42438271604938271</v>
      </c>
      <c r="BP91" s="64">
        <f>IFERROR(1/J91*(Y91/H91),"0")</f>
        <v>0.4375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405</v>
      </c>
      <c r="Y93" s="540">
        <f>IFERROR(IF(X93="",0,CEILING((X93/$H93),1)*$H93),"")</f>
        <v>405</v>
      </c>
      <c r="Z93" s="36">
        <f>IFERROR(IF(Y93=0,"",ROUNDUP(Y93/H93,0)*0.00651),"")</f>
        <v>0.97650000000000003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442.79999999999995</v>
      </c>
      <c r="BN93" s="64">
        <f>IFERROR(Y93*I93/H93,"0")</f>
        <v>442.79999999999995</v>
      </c>
      <c r="BO93" s="64">
        <f>IFERROR(1/J93*(X93/H93),"0")</f>
        <v>0.82417582417582425</v>
      </c>
      <c r="BP93" s="64">
        <f>IFERROR(1/J93*(Y93/H93),"0")</f>
        <v>0.82417582417582425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177.16049382716051</v>
      </c>
      <c r="Y95" s="541">
        <f>IFERROR(Y91/H91,"0")+IFERROR(Y92/H92,"0")+IFERROR(Y93/H93,"0")+IFERROR(Y94/H94,"0")</f>
        <v>178</v>
      </c>
      <c r="Z95" s="541">
        <f>IFERROR(IF(Z91="",0,Z91),"0")+IFERROR(IF(Z92="",0,Z92),"0")+IFERROR(IF(Z93="",0,Z93),"0")+IFERROR(IF(Z94="",0,Z94),"0")</f>
        <v>1.5079400000000001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625</v>
      </c>
      <c r="Y96" s="541">
        <f>IFERROR(SUM(Y91:Y94),"0")</f>
        <v>631.79999999999995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540</v>
      </c>
      <c r="Y101" s="540">
        <f>IFERROR(IF(X101="",0,CEILING((X101/$H101),1)*$H101),"")</f>
        <v>540</v>
      </c>
      <c r="Z101" s="36">
        <f>IFERROR(IF(Y101=0,"",ROUNDUP(Y101/H101,0)*0.00902),"")</f>
        <v>1.0824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562.80000000000007</v>
      </c>
      <c r="BN101" s="64">
        <f>IFERROR(Y101*I101/H101,"0")</f>
        <v>562.80000000000007</v>
      </c>
      <c r="BO101" s="64">
        <f>IFERROR(1/J101*(X101/H101),"0")</f>
        <v>0.90909090909090917</v>
      </c>
      <c r="BP101" s="64">
        <f>IFERROR(1/J101*(Y101/H101),"0")</f>
        <v>0.90909090909090917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124.62962962962963</v>
      </c>
      <c r="Y103" s="541">
        <f>IFERROR(Y99/H99,"0")+IFERROR(Y100/H100,"0")+IFERROR(Y101/H101,"0")+IFERROR(Y102/H102,"0")</f>
        <v>125</v>
      </c>
      <c r="Z103" s="541">
        <f>IFERROR(IF(Z99="",0,Z99),"0")+IFERROR(IF(Z100="",0,Z100),"0")+IFERROR(IF(Z101="",0,Z101),"0")+IFERROR(IF(Z102="",0,Z102),"0")</f>
        <v>1.1773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590</v>
      </c>
      <c r="Y104" s="541">
        <f>IFERROR(SUM(Y99:Y102),"0")</f>
        <v>594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400</v>
      </c>
      <c r="Y112" s="540">
        <f>IFERROR(IF(X112="",0,CEILING((X112/$H112),1)*$H112),"")</f>
        <v>405</v>
      </c>
      <c r="Z112" s="36">
        <f>IFERROR(IF(Y112=0,"",ROUNDUP(Y112/H112,0)*0.01898),"")</f>
        <v>0.94900000000000007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424.09876543209879</v>
      </c>
      <c r="BN112" s="64">
        <f>IFERROR(Y112*I112/H112,"0")</f>
        <v>429.4</v>
      </c>
      <c r="BO112" s="64">
        <f>IFERROR(1/J112*(X112/H112),"0")</f>
        <v>0.77160493827160492</v>
      </c>
      <c r="BP112" s="64">
        <f>IFERROR(1/J112*(Y112/H112),"0")</f>
        <v>0.78125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360</v>
      </c>
      <c r="Y114" s="540">
        <f>IFERROR(IF(X114="",0,CEILING((X114/$H114),1)*$H114),"")</f>
        <v>361.8</v>
      </c>
      <c r="Z114" s="36">
        <f>IFERROR(IF(Y114=0,"",ROUNDUP(Y114/H114,0)*0.00651),"")</f>
        <v>0.87234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393.59999999999997</v>
      </c>
      <c r="BN114" s="64">
        <f>IFERROR(Y114*I114/H114,"0")</f>
        <v>395.56799999999998</v>
      </c>
      <c r="BO114" s="64">
        <f>IFERROR(1/J114*(X114/H114),"0")</f>
        <v>0.73260073260073255</v>
      </c>
      <c r="BP114" s="64">
        <f>IFERROR(1/J114*(Y114/H114),"0")</f>
        <v>0.73626373626373631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18</v>
      </c>
      <c r="Y115" s="540">
        <f>IFERROR(IF(X115="",0,CEILING((X115/$H115),1)*$H115),"")</f>
        <v>18</v>
      </c>
      <c r="Z115" s="36">
        <f>IFERROR(IF(Y115=0,"",ROUNDUP(Y115/H115,0)*0.00651),"")</f>
        <v>6.5100000000000005E-2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19.8</v>
      </c>
      <c r="BN115" s="64">
        <f>IFERROR(Y115*I115/H115,"0")</f>
        <v>19.8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192.71604938271602</v>
      </c>
      <c r="Y116" s="541">
        <f>IFERROR(Y112/H112,"0")+IFERROR(Y113/H113,"0")+IFERROR(Y114/H114,"0")+IFERROR(Y115/H115,"0")</f>
        <v>194</v>
      </c>
      <c r="Z116" s="541">
        <f>IFERROR(IF(Z112="",0,Z112),"0")+IFERROR(IF(Z113="",0,Z113),"0")+IFERROR(IF(Z114="",0,Z114),"0")+IFERROR(IF(Z115="",0,Z115),"0")</f>
        <v>1.8864400000000001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778</v>
      </c>
      <c r="Y117" s="541">
        <f>IFERROR(SUM(Y112:Y115),"0")</f>
        <v>784.8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221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80</v>
      </c>
      <c r="Y124" s="540">
        <f>IFERROR(IF(X124="",0,CEILING((X124/$H124),1)*$H124),"")</f>
        <v>80</v>
      </c>
      <c r="Z124" s="36">
        <f>IFERROR(IF(Y124=0,"",ROUNDUP(Y124/H124,0)*0.00651),"")</f>
        <v>0.16275000000000001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84.499999999999986</v>
      </c>
      <c r="BN124" s="64">
        <f>IFERROR(Y124*I124/H124,"0")</f>
        <v>84.499999999999986</v>
      </c>
      <c r="BO124" s="64">
        <f>IFERROR(1/J124*(X124/H124),"0")</f>
        <v>0.13736263736263737</v>
      </c>
      <c r="BP124" s="64">
        <f>IFERROR(1/J124*(Y124/H124),"0")</f>
        <v>0.13736263736263737</v>
      </c>
    </row>
    <row r="125" spans="1:68" ht="27" customHeight="1" x14ac:dyDescent="0.25">
      <c r="A125" s="54" t="s">
        <v>222</v>
      </c>
      <c r="B125" s="54" t="s">
        <v>225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25</v>
      </c>
      <c r="Y126" s="541">
        <f>IFERROR(Y124/H124,"0")+IFERROR(Y125/H125,"0")</f>
        <v>25</v>
      </c>
      <c r="Z126" s="541">
        <f>IFERROR(IF(Z124="",0,Z124),"0")+IFERROR(IF(Z125="",0,Z125),"0")</f>
        <v>0.16275000000000001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80</v>
      </c>
      <c r="Y127" s="541">
        <f>IFERROR(SUM(Y124:Y125),"0")</f>
        <v>80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226</v>
      </c>
      <c r="B129" s="54" t="s">
        <v>227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230</v>
      </c>
      <c r="B134" s="54" t="s">
        <v>231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33</v>
      </c>
      <c r="Y135" s="540">
        <f>IFERROR(IF(X135="",0,CEILING((X135/$H135),1)*$H135),"")</f>
        <v>34.32</v>
      </c>
      <c r="Z135" s="36">
        <f>IFERROR(IF(Y135=0,"",ROUNDUP(Y135/H135,0)*0.00651),"")</f>
        <v>8.4629999999999997E-2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36.349999999999994</v>
      </c>
      <c r="BN135" s="64">
        <f>IFERROR(Y135*I135/H135,"0")</f>
        <v>37.803999999999995</v>
      </c>
      <c r="BO135" s="64">
        <f>IFERROR(1/J135*(X135/H135),"0")</f>
        <v>6.8681318681318687E-2</v>
      </c>
      <c r="BP135" s="64">
        <f>IFERROR(1/J135*(Y135/H135),"0")</f>
        <v>7.1428571428571438E-2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12.5</v>
      </c>
      <c r="Y136" s="541">
        <f>IFERROR(Y134/H134,"0")+IFERROR(Y135/H135,"0")</f>
        <v>13</v>
      </c>
      <c r="Z136" s="541">
        <f>IFERROR(IF(Z134="",0,Z134),"0")+IFERROR(IF(Z135="",0,Z135),"0")</f>
        <v>8.4629999999999997E-2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33</v>
      </c>
      <c r="Y137" s="541">
        <f>IFERROR(SUM(Y134:Y135),"0")</f>
        <v>34.32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233</v>
      </c>
      <c r="B140" s="54" t="s">
        <v>234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236</v>
      </c>
      <c r="B141" s="54" t="s">
        <v>237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239</v>
      </c>
      <c r="B142" s="54" t="s">
        <v>240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253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256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257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258</v>
      </c>
      <c r="B158" s="54" t="s">
        <v>259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261</v>
      </c>
      <c r="B162" s="54" t="s">
        <v>262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30</v>
      </c>
      <c r="Y163" s="540">
        <f t="shared" si="5"/>
        <v>33.6</v>
      </c>
      <c r="Z163" s="36">
        <f>IFERROR(IF(Y163=0,"",ROUNDUP(Y163/H163,0)*0.00902),"")</f>
        <v>7.2160000000000002E-2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31.785714285714285</v>
      </c>
      <c r="BN163" s="64">
        <f t="shared" si="7"/>
        <v>35.6</v>
      </c>
      <c r="BO163" s="64">
        <f t="shared" si="8"/>
        <v>5.4112554112554112E-2</v>
      </c>
      <c r="BP163" s="64">
        <f t="shared" si="9"/>
        <v>6.0606060606060608E-2</v>
      </c>
    </row>
    <row r="164" spans="1:68" ht="27" customHeight="1" x14ac:dyDescent="0.25">
      <c r="A164" s="54" t="s">
        <v>267</v>
      </c>
      <c r="B164" s="54" t="s">
        <v>268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100</v>
      </c>
      <c r="Y164" s="540">
        <f t="shared" si="5"/>
        <v>100.80000000000001</v>
      </c>
      <c r="Z164" s="36">
        <f>IFERROR(IF(Y164=0,"",ROUNDUP(Y164/H164,0)*0.00902),"")</f>
        <v>0.21648000000000001</v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104.5238095238095</v>
      </c>
      <c r="BN164" s="64">
        <f t="shared" si="7"/>
        <v>105.36</v>
      </c>
      <c r="BO164" s="64">
        <f t="shared" si="8"/>
        <v>0.18037518037518038</v>
      </c>
      <c r="BP164" s="64">
        <f t="shared" si="9"/>
        <v>0.18181818181818182</v>
      </c>
    </row>
    <row r="165" spans="1:68" ht="27" customHeight="1" x14ac:dyDescent="0.25">
      <c r="A165" s="54" t="s">
        <v>270</v>
      </c>
      <c r="B165" s="54" t="s">
        <v>271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35</v>
      </c>
      <c r="Y165" s="540">
        <f t="shared" si="5"/>
        <v>35.700000000000003</v>
      </c>
      <c r="Z165" s="36">
        <f>IFERROR(IF(Y165=0,"",ROUNDUP(Y165/H165,0)*0.00502),"")</f>
        <v>8.5339999999999999E-2</v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37.166666666666664</v>
      </c>
      <c r="BN165" s="64">
        <f t="shared" si="7"/>
        <v>37.910000000000004</v>
      </c>
      <c r="BO165" s="64">
        <f t="shared" si="8"/>
        <v>7.1225071225071226E-2</v>
      </c>
      <c r="BP165" s="64">
        <f t="shared" si="9"/>
        <v>7.2649572649572655E-2</v>
      </c>
    </row>
    <row r="166" spans="1:68" ht="27" customHeight="1" x14ac:dyDescent="0.25">
      <c r="A166" s="54" t="s">
        <v>273</v>
      </c>
      <c r="B166" s="54" t="s">
        <v>274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70</v>
      </c>
      <c r="Y166" s="540">
        <f t="shared" si="5"/>
        <v>71.400000000000006</v>
      </c>
      <c r="Z166" s="36">
        <f>IFERROR(IF(Y166=0,"",ROUNDUP(Y166/H166,0)*0.00502),"")</f>
        <v>0.17068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74.333333333333329</v>
      </c>
      <c r="BN166" s="64">
        <f t="shared" si="7"/>
        <v>75.820000000000007</v>
      </c>
      <c r="BO166" s="64">
        <f t="shared" si="8"/>
        <v>0.14245014245014245</v>
      </c>
      <c r="BP166" s="64">
        <f t="shared" si="9"/>
        <v>0.14529914529914531</v>
      </c>
    </row>
    <row r="167" spans="1:68" ht="27" customHeight="1" x14ac:dyDescent="0.25">
      <c r="A167" s="54" t="s">
        <v>275</v>
      </c>
      <c r="B167" s="54" t="s">
        <v>276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278</v>
      </c>
      <c r="B168" s="54" t="s">
        <v>279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175</v>
      </c>
      <c r="Y168" s="540">
        <f t="shared" si="5"/>
        <v>176.4</v>
      </c>
      <c r="Z168" s="36">
        <f>IFERROR(IF(Y168=0,"",ROUNDUP(Y168/H168,0)*0.00502),"")</f>
        <v>0.42168</v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183.33333333333334</v>
      </c>
      <c r="BN168" s="64">
        <f t="shared" si="7"/>
        <v>184.8</v>
      </c>
      <c r="BO168" s="64">
        <f t="shared" si="8"/>
        <v>0.35612535612535612</v>
      </c>
      <c r="BP168" s="64">
        <f t="shared" si="9"/>
        <v>0.35897435897435903</v>
      </c>
    </row>
    <row r="169" spans="1:68" ht="27" customHeight="1" x14ac:dyDescent="0.25">
      <c r="A169" s="54" t="s">
        <v>280</v>
      </c>
      <c r="B169" s="54" t="s">
        <v>281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282</v>
      </c>
      <c r="B170" s="54" t="s">
        <v>283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164.28571428571428</v>
      </c>
      <c r="Y171" s="541">
        <f>IFERROR(Y162/H162,"0")+IFERROR(Y163/H163,"0")+IFERROR(Y164/H164,"0")+IFERROR(Y165/H165,"0")+IFERROR(Y166/H166,"0")+IFERROR(Y167/H167,"0")+IFERROR(Y168/H168,"0")+IFERROR(Y169/H169,"0")+IFERROR(Y170/H170,"0")</f>
        <v>167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0.96633999999999998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410</v>
      </c>
      <c r="Y172" s="541">
        <f>IFERROR(SUM(Y162:Y170),"0")</f>
        <v>417.90000000000003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285</v>
      </c>
      <c r="B174" s="54" t="s">
        <v>286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290</v>
      </c>
      <c r="B175" s="54" t="s">
        <v>291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3.5</v>
      </c>
      <c r="Y175" s="540">
        <f>IFERROR(IF(X175="",0,CEILING((X175/$H175),1)*$H175),"")</f>
        <v>3.7800000000000002</v>
      </c>
      <c r="Z175" s="36">
        <f>IFERROR(IF(Y175=0,"",ROUNDUP(Y175/H175,0)*0.0059),"")</f>
        <v>1.77E-2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4.0277777777777777</v>
      </c>
      <c r="BN175" s="64">
        <f>IFERROR(Y175*I175/H175,"0")</f>
        <v>4.3499999999999996</v>
      </c>
      <c r="BO175" s="64">
        <f>IFERROR(1/J175*(X175/H175),"0")</f>
        <v>1.2860082304526748E-2</v>
      </c>
      <c r="BP175" s="64">
        <f>IFERROR(1/J175*(Y175/H175),"0")</f>
        <v>1.3888888888888888E-2</v>
      </c>
    </row>
    <row r="176" spans="1:68" ht="27" customHeight="1" x14ac:dyDescent="0.25">
      <c r="A176" s="54" t="s">
        <v>293</v>
      </c>
      <c r="B176" s="54" t="s">
        <v>294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7.0000000000000009</v>
      </c>
      <c r="Y176" s="540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13.888888888888889</v>
      </c>
      <c r="Y177" s="541">
        <f>IFERROR(Y174/H174,"0")+IFERROR(Y175/H175,"0")+IFERROR(Y176/H176,"0")</f>
        <v>15</v>
      </c>
      <c r="Z177" s="541">
        <f>IFERROR(IF(Z174="",0,Z174),"0")+IFERROR(IF(Z175="",0,Z175),"0")+IFERROR(IF(Z176="",0,Z176),"0")</f>
        <v>8.8499999999999995E-2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17.5</v>
      </c>
      <c r="Y178" s="541">
        <f>IFERROR(SUM(Y174:Y176),"0")</f>
        <v>18.899999999999999</v>
      </c>
      <c r="Z178" s="37"/>
      <c r="AA178" s="542"/>
      <c r="AB178" s="542"/>
      <c r="AC178" s="542"/>
    </row>
    <row r="179" spans="1:68" ht="14.25" customHeight="1" x14ac:dyDescent="0.25">
      <c r="A179" s="554" t="s">
        <v>295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296</v>
      </c>
      <c r="B180" s="54" t="s">
        <v>297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3.5</v>
      </c>
      <c r="Y180" s="540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2.7777777777777777</v>
      </c>
      <c r="Y181" s="541">
        <f>IFERROR(Y180/H180,"0")</f>
        <v>3</v>
      </c>
      <c r="Z181" s="541">
        <f>IFERROR(IF(Z180="",0,Z180),"0")</f>
        <v>1.77E-2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3.5</v>
      </c>
      <c r="Y182" s="541">
        <f>IFERROR(SUM(Y180:Y180),"0")</f>
        <v>3.7800000000000002</v>
      </c>
      <c r="Z182" s="37"/>
      <c r="AA182" s="542"/>
      <c r="AB182" s="542"/>
      <c r="AC182" s="542"/>
    </row>
    <row r="183" spans="1:68" ht="16.5" customHeight="1" x14ac:dyDescent="0.25">
      <c r="A183" s="552" t="s">
        <v>298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299</v>
      </c>
      <c r="B185" s="54" t="s">
        <v>300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302</v>
      </c>
      <c r="B186" s="54" t="s">
        <v>303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304</v>
      </c>
      <c r="B190" s="54" t="s">
        <v>305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307</v>
      </c>
      <c r="B191" s="54" t="s">
        <v>308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309</v>
      </c>
      <c r="B195" s="54" t="s">
        <v>310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120</v>
      </c>
      <c r="Y195" s="540">
        <f t="shared" ref="Y195:Y202" si="10">IFERROR(IF(X195="",0,CEILING((X195/$H195),1)*$H195),"")</f>
        <v>124.2</v>
      </c>
      <c r="Z195" s="36">
        <f>IFERROR(IF(Y195=0,"",ROUNDUP(Y195/H195,0)*0.00902),"")</f>
        <v>0.20746000000000001</v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124.2222222222222</v>
      </c>
      <c r="BN195" s="64">
        <f t="shared" ref="BN195:BN202" si="12">IFERROR(Y195*I195/H195,"0")</f>
        <v>128.57</v>
      </c>
      <c r="BO195" s="64">
        <f t="shared" ref="BO195:BO202" si="13">IFERROR(1/J195*(X195/H195),"0")</f>
        <v>0.16835016835016836</v>
      </c>
      <c r="BP195" s="64">
        <f t="shared" ref="BP195:BP202" si="14">IFERROR(1/J195*(Y195/H195),"0")</f>
        <v>0.17424242424242425</v>
      </c>
    </row>
    <row r="196" spans="1:68" ht="27" customHeight="1" x14ac:dyDescent="0.25">
      <c r="A196" s="54" t="s">
        <v>312</v>
      </c>
      <c r="B196" s="54" t="s">
        <v>313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315</v>
      </c>
      <c r="B197" s="54" t="s">
        <v>316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500</v>
      </c>
      <c r="Y197" s="540">
        <f t="shared" si="10"/>
        <v>502.20000000000005</v>
      </c>
      <c r="Z197" s="36">
        <f>IFERROR(IF(Y197=0,"",ROUNDUP(Y197/H197,0)*0.00902),"")</f>
        <v>0.83886000000000005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517.59259259259261</v>
      </c>
      <c r="BN197" s="64">
        <f t="shared" si="12"/>
        <v>519.87</v>
      </c>
      <c r="BO197" s="64">
        <f t="shared" si="13"/>
        <v>0.70145903479236804</v>
      </c>
      <c r="BP197" s="64">
        <f t="shared" si="14"/>
        <v>0.70454545454545459</v>
      </c>
    </row>
    <row r="198" spans="1:68" ht="27" customHeight="1" x14ac:dyDescent="0.25">
      <c r="A198" s="54" t="s">
        <v>318</v>
      </c>
      <c r="B198" s="54" t="s">
        <v>319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60</v>
      </c>
      <c r="Y198" s="540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62.1111111111111</v>
      </c>
      <c r="BN198" s="64">
        <f t="shared" si="12"/>
        <v>67.08</v>
      </c>
      <c r="BO198" s="64">
        <f t="shared" si="13"/>
        <v>8.4175084175084181E-2</v>
      </c>
      <c r="BP198" s="64">
        <f t="shared" si="14"/>
        <v>9.0909090909090925E-2</v>
      </c>
    </row>
    <row r="199" spans="1:68" ht="27" customHeight="1" x14ac:dyDescent="0.25">
      <c r="A199" s="54" t="s">
        <v>321</v>
      </c>
      <c r="B199" s="54" t="s">
        <v>322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90</v>
      </c>
      <c r="Y199" s="540">
        <f t="shared" si="10"/>
        <v>90</v>
      </c>
      <c r="Z199" s="36">
        <f>IFERROR(IF(Y199=0,"",ROUNDUP(Y199/H199,0)*0.00502),"")</f>
        <v>0.251</v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96.499999999999986</v>
      </c>
      <c r="BN199" s="64">
        <f t="shared" si="12"/>
        <v>96.499999999999986</v>
      </c>
      <c r="BO199" s="64">
        <f t="shared" si="13"/>
        <v>0.21367521367521369</v>
      </c>
      <c r="BP199" s="64">
        <f t="shared" si="14"/>
        <v>0.21367521367521369</v>
      </c>
    </row>
    <row r="200" spans="1:68" ht="27" customHeight="1" x14ac:dyDescent="0.25">
      <c r="A200" s="54" t="s">
        <v>323</v>
      </c>
      <c r="B200" s="54" t="s">
        <v>324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36</v>
      </c>
      <c r="Y200" s="540">
        <f t="shared" si="10"/>
        <v>36</v>
      </c>
      <c r="Z200" s="36">
        <f>IFERROR(IF(Y200=0,"",ROUNDUP(Y200/H200,0)*0.00502),"")</f>
        <v>0.1004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37.999999999999993</v>
      </c>
      <c r="BN200" s="64">
        <f t="shared" si="12"/>
        <v>37.999999999999993</v>
      </c>
      <c r="BO200" s="64">
        <f t="shared" si="13"/>
        <v>8.5470085470085472E-2</v>
      </c>
      <c r="BP200" s="64">
        <f t="shared" si="14"/>
        <v>8.5470085470085472E-2</v>
      </c>
    </row>
    <row r="201" spans="1:68" ht="27" customHeight="1" x14ac:dyDescent="0.25">
      <c r="A201" s="54" t="s">
        <v>325</v>
      </c>
      <c r="B201" s="54" t="s">
        <v>326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90</v>
      </c>
      <c r="Y201" s="540">
        <f t="shared" si="10"/>
        <v>90</v>
      </c>
      <c r="Z201" s="36">
        <f>IFERROR(IF(Y201=0,"",ROUNDUP(Y201/H201,0)*0.00502),"")</f>
        <v>0.251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95</v>
      </c>
      <c r="BN201" s="64">
        <f t="shared" si="12"/>
        <v>95</v>
      </c>
      <c r="BO201" s="64">
        <f t="shared" si="13"/>
        <v>0.21367521367521369</v>
      </c>
      <c r="BP201" s="64">
        <f t="shared" si="14"/>
        <v>0.21367521367521369</v>
      </c>
    </row>
    <row r="202" spans="1:68" ht="27" customHeight="1" x14ac:dyDescent="0.25">
      <c r="A202" s="54" t="s">
        <v>327</v>
      </c>
      <c r="B202" s="54" t="s">
        <v>328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30</v>
      </c>
      <c r="Y202" s="540">
        <f t="shared" si="10"/>
        <v>30.6</v>
      </c>
      <c r="Z202" s="36">
        <f>IFERROR(IF(Y202=0,"",ROUNDUP(Y202/H202,0)*0.00502),"")</f>
        <v>8.5339999999999999E-2</v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31.666666666666664</v>
      </c>
      <c r="BN202" s="64">
        <f t="shared" si="12"/>
        <v>32.299999999999997</v>
      </c>
      <c r="BO202" s="64">
        <f t="shared" si="13"/>
        <v>7.122507122507124E-2</v>
      </c>
      <c r="BP202" s="64">
        <f t="shared" si="14"/>
        <v>7.2649572649572655E-2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271.85185185185185</v>
      </c>
      <c r="Y203" s="541">
        <f>IFERROR(Y195/H195,"0")+IFERROR(Y196/H196,"0")+IFERROR(Y197/H197,"0")+IFERROR(Y198/H198,"0")+IFERROR(Y199/H199,"0")+IFERROR(Y200/H200,"0")+IFERROR(Y201/H201,"0")+IFERROR(Y202/H202,"0")</f>
        <v>275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1.9324999999999997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976</v>
      </c>
      <c r="Y204" s="541">
        <f>IFERROR(SUM(Y195:Y202),"0")</f>
        <v>991.80000000000007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329</v>
      </c>
      <c r="B206" s="54" t="s">
        <v>330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332</v>
      </c>
      <c r="B207" s="54" t="s">
        <v>333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100</v>
      </c>
      <c r="Y208" s="540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338</v>
      </c>
      <c r="B209" s="54" t="s">
        <v>339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280</v>
      </c>
      <c r="Y209" s="540">
        <f t="shared" si="15"/>
        <v>280.8</v>
      </c>
      <c r="Z209" s="36">
        <f t="shared" ref="Z209:Z214" si="20">IFERROR(IF(Y209=0,"",ROUNDUP(Y209/H209,0)*0.00651),"")</f>
        <v>0.76167000000000007</v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311.5</v>
      </c>
      <c r="BN209" s="64">
        <f t="shared" si="17"/>
        <v>312.39</v>
      </c>
      <c r="BO209" s="64">
        <f t="shared" si="18"/>
        <v>0.64102564102564108</v>
      </c>
      <c r="BP209" s="64">
        <f t="shared" si="19"/>
        <v>0.64285714285714302</v>
      </c>
    </row>
    <row r="210" spans="1:68" ht="27" customHeight="1" x14ac:dyDescent="0.25">
      <c r="A210" s="54" t="s">
        <v>340</v>
      </c>
      <c r="B210" s="54" t="s">
        <v>341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200</v>
      </c>
      <c r="Y211" s="540">
        <f t="shared" si="15"/>
        <v>201.6</v>
      </c>
      <c r="Z211" s="36">
        <f t="shared" si="20"/>
        <v>0.54683999999999999</v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221</v>
      </c>
      <c r="BN211" s="64">
        <f t="shared" si="17"/>
        <v>222.768</v>
      </c>
      <c r="BO211" s="64">
        <f t="shared" si="18"/>
        <v>0.45787545787545797</v>
      </c>
      <c r="BP211" s="64">
        <f t="shared" si="19"/>
        <v>0.46153846153846156</v>
      </c>
    </row>
    <row r="212" spans="1:68" ht="27" customHeight="1" x14ac:dyDescent="0.25">
      <c r="A212" s="54" t="s">
        <v>345</v>
      </c>
      <c r="B212" s="54" t="s">
        <v>346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347</v>
      </c>
      <c r="B213" s="54" t="s">
        <v>348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40</v>
      </c>
      <c r="Y213" s="540">
        <f t="shared" si="15"/>
        <v>40.799999999999997</v>
      </c>
      <c r="Z213" s="36">
        <f t="shared" si="20"/>
        <v>0.11067</v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44.20000000000001</v>
      </c>
      <c r="BN213" s="64">
        <f t="shared" si="17"/>
        <v>45.084000000000003</v>
      </c>
      <c r="BO213" s="64">
        <f t="shared" si="18"/>
        <v>9.1575091575091583E-2</v>
      </c>
      <c r="BP213" s="64">
        <f t="shared" si="19"/>
        <v>9.3406593406593408E-2</v>
      </c>
    </row>
    <row r="214" spans="1:68" ht="27" customHeight="1" x14ac:dyDescent="0.25">
      <c r="A214" s="54" t="s">
        <v>350</v>
      </c>
      <c r="B214" s="54" t="s">
        <v>351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240</v>
      </c>
      <c r="Y214" s="540">
        <f t="shared" si="15"/>
        <v>240</v>
      </c>
      <c r="Z214" s="36">
        <f t="shared" si="20"/>
        <v>0.65100000000000002</v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265.8</v>
      </c>
      <c r="BN214" s="64">
        <f t="shared" si="17"/>
        <v>265.8</v>
      </c>
      <c r="BO214" s="64">
        <f t="shared" si="18"/>
        <v>0.5494505494505495</v>
      </c>
      <c r="BP214" s="64">
        <f t="shared" si="19"/>
        <v>0.5494505494505495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328.16091954022988</v>
      </c>
      <c r="Y215" s="541">
        <f>IFERROR(Y206/H206,"0")+IFERROR(Y207/H207,"0")+IFERROR(Y208/H208,"0")+IFERROR(Y209/H209,"0")+IFERROR(Y210/H210,"0")+IFERROR(Y211/H211,"0")+IFERROR(Y212/H212,"0")+IFERROR(Y213/H213,"0")+IFERROR(Y214/H214,"0")</f>
        <v>330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2.2979400000000001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860</v>
      </c>
      <c r="Y216" s="541">
        <f>IFERROR(SUM(Y206:Y214),"0")</f>
        <v>867.59999999999991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352</v>
      </c>
      <c r="B218" s="54" t="s">
        <v>353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32</v>
      </c>
      <c r="Y218" s="540">
        <f>IFERROR(IF(X218="",0,CEILING((X218/$H218),1)*$H218),"")</f>
        <v>33.6</v>
      </c>
      <c r="Z218" s="36">
        <f>IFERROR(IF(Y218=0,"",ROUNDUP(Y218/H218,0)*0.00651),"")</f>
        <v>9.1139999999999999E-2</v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35.360000000000007</v>
      </c>
      <c r="BN218" s="64">
        <f>IFERROR(Y218*I218/H218,"0")</f>
        <v>37.128000000000007</v>
      </c>
      <c r="BO218" s="64">
        <f>IFERROR(1/J218*(X218/H218),"0")</f>
        <v>7.3260073260073263E-2</v>
      </c>
      <c r="BP218" s="64">
        <f>IFERROR(1/J218*(Y218/H218),"0")</f>
        <v>7.6923076923076941E-2</v>
      </c>
    </row>
    <row r="219" spans="1:68" ht="37.5" customHeight="1" x14ac:dyDescent="0.25">
      <c r="A219" s="54" t="s">
        <v>355</v>
      </c>
      <c r="B219" s="54" t="s">
        <v>356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28</v>
      </c>
      <c r="Y219" s="540">
        <f>IFERROR(IF(X219="",0,CEILING((X219/$H219),1)*$H219),"")</f>
        <v>28.799999999999997</v>
      </c>
      <c r="Z219" s="36">
        <f>IFERROR(IF(Y219=0,"",ROUNDUP(Y219/H219,0)*0.00651),"")</f>
        <v>7.8119999999999995E-2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30.94</v>
      </c>
      <c r="BN219" s="64">
        <f>IFERROR(Y219*I219/H219,"0")</f>
        <v>31.824000000000002</v>
      </c>
      <c r="BO219" s="64">
        <f>IFERROR(1/J219*(X219/H219),"0")</f>
        <v>6.4102564102564111E-2</v>
      </c>
      <c r="BP219" s="64">
        <f>IFERROR(1/J219*(Y219/H219),"0")</f>
        <v>6.5934065934065936E-2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25</v>
      </c>
      <c r="Y220" s="541">
        <f>IFERROR(Y218/H218,"0")+IFERROR(Y219/H219,"0")</f>
        <v>26</v>
      </c>
      <c r="Z220" s="541">
        <f>IFERROR(IF(Z218="",0,Z218),"0")+IFERROR(IF(Z219="",0,Z219),"0")</f>
        <v>0.16925999999999999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60</v>
      </c>
      <c r="Y221" s="541">
        <f>IFERROR(SUM(Y218:Y219),"0")</f>
        <v>62.4</v>
      </c>
      <c r="Z221" s="37"/>
      <c r="AA221" s="542"/>
      <c r="AB221" s="542"/>
      <c r="AC221" s="542"/>
    </row>
    <row r="222" spans="1:68" ht="16.5" customHeight="1" x14ac:dyDescent="0.25">
      <c r="A222" s="552" t="s">
        <v>358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359</v>
      </c>
      <c r="B224" s="54" t="s">
        <v>360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362</v>
      </c>
      <c r="B225" s="54" t="s">
        <v>363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70</v>
      </c>
      <c r="Y226" s="540">
        <f t="shared" si="21"/>
        <v>81.2</v>
      </c>
      <c r="Z226" s="36">
        <f>IFERROR(IF(Y226=0,"",ROUNDUP(Y226/H226,0)*0.01898),"")</f>
        <v>0.13286000000000001</v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72.474137931034477</v>
      </c>
      <c r="BN226" s="64">
        <f t="shared" si="23"/>
        <v>84.070000000000007</v>
      </c>
      <c r="BO226" s="64">
        <f t="shared" si="24"/>
        <v>9.4288793103448273E-2</v>
      </c>
      <c r="BP226" s="64">
        <f t="shared" si="25"/>
        <v>0.10937500000000001</v>
      </c>
    </row>
    <row r="227" spans="1:68" ht="27" customHeight="1" x14ac:dyDescent="0.25">
      <c r="A227" s="54" t="s">
        <v>368</v>
      </c>
      <c r="B227" s="54" t="s">
        <v>369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24</v>
      </c>
      <c r="Y227" s="540">
        <f t="shared" si="21"/>
        <v>24</v>
      </c>
      <c r="Z227" s="36">
        <f>IFERROR(IF(Y227=0,"",ROUNDUP(Y227/H227,0)*0.00902),"")</f>
        <v>5.4120000000000001E-2</v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25.14</v>
      </c>
      <c r="BN227" s="64">
        <f t="shared" si="23"/>
        <v>25.14</v>
      </c>
      <c r="BO227" s="64">
        <f t="shared" si="24"/>
        <v>4.5454545454545456E-2</v>
      </c>
      <c r="BP227" s="64">
        <f t="shared" si="25"/>
        <v>4.5454545454545456E-2</v>
      </c>
    </row>
    <row r="228" spans="1:68" ht="27" customHeight="1" x14ac:dyDescent="0.25">
      <c r="A228" s="54" t="s">
        <v>368</v>
      </c>
      <c r="B228" s="54" t="s">
        <v>370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372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376</v>
      </c>
      <c r="B231" s="54" t="s">
        <v>377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20</v>
      </c>
      <c r="Y232" s="540">
        <f t="shared" si="21"/>
        <v>20</v>
      </c>
      <c r="Z232" s="36">
        <f>IFERROR(IF(Y232=0,"",ROUNDUP(Y232/H232,0)*0.00902),"")</f>
        <v>4.5100000000000001E-2</v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20.950000000000003</v>
      </c>
      <c r="BN232" s="64">
        <f t="shared" si="23"/>
        <v>20.950000000000003</v>
      </c>
      <c r="BO232" s="64">
        <f t="shared" si="24"/>
        <v>3.787878787878788E-2</v>
      </c>
      <c r="BP232" s="64">
        <f t="shared" si="25"/>
        <v>3.787878787878788E-2</v>
      </c>
    </row>
    <row r="233" spans="1:68" ht="27" customHeight="1" x14ac:dyDescent="0.25">
      <c r="A233" s="54" t="s">
        <v>378</v>
      </c>
      <c r="B233" s="54" t="s">
        <v>380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17.03448275862069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18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0.23208000000000001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114</v>
      </c>
      <c r="Y235" s="541">
        <f>IFERROR(SUM(Y224:Y233),"0")</f>
        <v>125.2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381</v>
      </c>
      <c r="B237" s="54" t="s">
        <v>382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384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385</v>
      </c>
      <c r="B241" s="54" t="s">
        <v>386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388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389</v>
      </c>
      <c r="B245" s="54" t="s">
        <v>390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392</v>
      </c>
      <c r="B246" s="54" t="s">
        <v>393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394</v>
      </c>
      <c r="B247" s="54" t="s">
        <v>395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396</v>
      </c>
      <c r="B248" s="54" t="s">
        <v>397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398</v>
      </c>
      <c r="B249" s="54" t="s">
        <v>399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3.8888888888888893</v>
      </c>
      <c r="Y250" s="541">
        <f>IFERROR(Y245/H245,"0")+IFERROR(Y246/H246,"0")+IFERROR(Y247/H247,"0")+IFERROR(Y248/H248,"0")+IFERROR(Y249/H249,"0")</f>
        <v>4</v>
      </c>
      <c r="Z250" s="541">
        <f>IFERROR(IF(Z245="",0,Z245),"0")+IFERROR(IF(Z246="",0,Z246),"0")+IFERROR(IF(Z247="",0,Z247),"0")+IFERROR(IF(Z248="",0,Z248),"0")+IFERROR(IF(Z249="",0,Z249),"0")</f>
        <v>2.3599999999999999E-2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7.0000000000000009</v>
      </c>
      <c r="Y251" s="541">
        <f>IFERROR(SUM(Y245:Y249),"0")</f>
        <v>7.2</v>
      </c>
      <c r="Z251" s="37"/>
      <c r="AA251" s="542"/>
      <c r="AB251" s="542"/>
      <c r="AC251" s="542"/>
    </row>
    <row r="252" spans="1:68" ht="16.5" customHeight="1" x14ac:dyDescent="0.25">
      <c r="A252" s="552" t="s">
        <v>400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401</v>
      </c>
      <c r="B254" s="54" t="s">
        <v>402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404</v>
      </c>
      <c r="B255" s="54" t="s">
        <v>405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407</v>
      </c>
      <c r="B256" s="54" t="s">
        <v>408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413</v>
      </c>
      <c r="B258" s="54" t="s">
        <v>414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416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417</v>
      </c>
      <c r="B263" s="54" t="s">
        <v>418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419</v>
      </c>
      <c r="B264" s="54" t="s">
        <v>420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422</v>
      </c>
      <c r="B265" s="54" t="s">
        <v>423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424</v>
      </c>
      <c r="B266" s="54" t="s">
        <v>425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427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428</v>
      </c>
      <c r="B271" s="54" t="s">
        <v>429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431</v>
      </c>
      <c r="B272" s="54" t="s">
        <v>432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40</v>
      </c>
      <c r="Y272" s="540">
        <f>IFERROR(IF(X272="",0,CEILING((X272/$H272),1)*$H272),"")</f>
        <v>40.799999999999997</v>
      </c>
      <c r="Z272" s="36">
        <f>IFERROR(IF(Y272=0,"",ROUNDUP(Y272/H272,0)*0.00651),"")</f>
        <v>0.11067</v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44.20000000000001</v>
      </c>
      <c r="BN272" s="64">
        <f>IFERROR(Y272*I272/H272,"0")</f>
        <v>45.084000000000003</v>
      </c>
      <c r="BO272" s="64">
        <f>IFERROR(1/J272*(X272/H272),"0")</f>
        <v>9.1575091575091583E-2</v>
      </c>
      <c r="BP272" s="64">
        <f>IFERROR(1/J272*(Y272/H272),"0")</f>
        <v>9.3406593406593408E-2</v>
      </c>
    </row>
    <row r="273" spans="1:68" ht="27" customHeight="1" x14ac:dyDescent="0.25">
      <c r="A273" s="54" t="s">
        <v>434</v>
      </c>
      <c r="B273" s="54" t="s">
        <v>435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140</v>
      </c>
      <c r="Y273" s="540">
        <f>IFERROR(IF(X273="",0,CEILING((X273/$H273),1)*$H273),"")</f>
        <v>141.6</v>
      </c>
      <c r="Z273" s="36">
        <f>IFERROR(IF(Y273=0,"",ROUNDUP(Y273/H273,0)*0.00651),"")</f>
        <v>0.38408999999999999</v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150.5</v>
      </c>
      <c r="BN273" s="64">
        <f>IFERROR(Y273*I273/H273,"0")</f>
        <v>152.22</v>
      </c>
      <c r="BO273" s="64">
        <f>IFERROR(1/J273*(X273/H273),"0")</f>
        <v>0.32051282051282054</v>
      </c>
      <c r="BP273" s="64">
        <f>IFERROR(1/J273*(Y273/H273),"0")</f>
        <v>0.32417582417582419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75</v>
      </c>
      <c r="Y274" s="541">
        <f>IFERROR(Y271/H271,"0")+IFERROR(Y272/H272,"0")+IFERROR(Y273/H273,"0")</f>
        <v>76</v>
      </c>
      <c r="Z274" s="541">
        <f>IFERROR(IF(Z271="",0,Z271),"0")+IFERROR(IF(Z272="",0,Z272),"0")+IFERROR(IF(Z273="",0,Z273),"0")</f>
        <v>0.49475999999999998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180</v>
      </c>
      <c r="Y275" s="541">
        <f>IFERROR(SUM(Y271:Y273),"0")</f>
        <v>182.39999999999998</v>
      </c>
      <c r="Z275" s="37"/>
      <c r="AA275" s="542"/>
      <c r="AB275" s="542"/>
      <c r="AC275" s="542"/>
    </row>
    <row r="276" spans="1:68" ht="16.5" customHeight="1" x14ac:dyDescent="0.25">
      <c r="A276" s="552" t="s">
        <v>436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437</v>
      </c>
      <c r="B278" s="54" t="s">
        <v>438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440</v>
      </c>
      <c r="B279" s="54" t="s">
        <v>441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443</v>
      </c>
      <c r="B283" s="54" t="s">
        <v>444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446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447</v>
      </c>
      <c r="B288" s="54" t="s">
        <v>448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450</v>
      </c>
      <c r="B289" s="54" t="s">
        <v>451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453</v>
      </c>
      <c r="B290" s="54" t="s">
        <v>454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456</v>
      </c>
      <c r="B291" s="54" t="s">
        <v>457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461</v>
      </c>
      <c r="B296" s="54" t="s">
        <v>462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464</v>
      </c>
      <c r="B297" s="54" t="s">
        <v>465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467</v>
      </c>
      <c r="B298" s="54" t="s">
        <v>468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470</v>
      </c>
      <c r="B299" s="54" t="s">
        <v>471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105</v>
      </c>
      <c r="Y300" s="540">
        <f t="shared" si="26"/>
        <v>105</v>
      </c>
      <c r="Z300" s="36">
        <f>IFERROR(IF(Y300=0,"",ROUNDUP(Y300/H300,0)*0.00502),"")</f>
        <v>0.251</v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110.00000000000001</v>
      </c>
      <c r="BN300" s="64">
        <f t="shared" si="28"/>
        <v>110.00000000000001</v>
      </c>
      <c r="BO300" s="64">
        <f t="shared" si="29"/>
        <v>0.21367521367521369</v>
      </c>
      <c r="BP300" s="64">
        <f t="shared" si="30"/>
        <v>0.21367521367521369</v>
      </c>
    </row>
    <row r="301" spans="1:68" ht="27" customHeight="1" x14ac:dyDescent="0.25">
      <c r="A301" s="54" t="s">
        <v>475</v>
      </c>
      <c r="B301" s="54" t="s">
        <v>476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21</v>
      </c>
      <c r="Y302" s="540">
        <f t="shared" si="26"/>
        <v>21.6</v>
      </c>
      <c r="Z302" s="36">
        <f>IFERROR(IF(Y302=0,"",ROUNDUP(Y302/H302,0)*0.00651),"")</f>
        <v>7.8119999999999995E-2</v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23.66</v>
      </c>
      <c r="BN302" s="64">
        <f t="shared" si="28"/>
        <v>24.335999999999999</v>
      </c>
      <c r="BO302" s="64">
        <f t="shared" si="29"/>
        <v>6.4102564102564111E-2</v>
      </c>
      <c r="BP302" s="64">
        <f t="shared" si="30"/>
        <v>6.5934065934065936E-2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61.666666666666664</v>
      </c>
      <c r="Y303" s="541">
        <f>IFERROR(Y296/H296,"0")+IFERROR(Y297/H297,"0")+IFERROR(Y298/H298,"0")+IFERROR(Y299/H299,"0")+IFERROR(Y300/H300,"0")+IFERROR(Y301/H301,"0")+IFERROR(Y302/H302,"0")</f>
        <v>62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0.32911999999999997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126</v>
      </c>
      <c r="Y304" s="541">
        <f>IFERROR(SUM(Y296:Y302),"0")</f>
        <v>126.6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480</v>
      </c>
      <c r="B306" s="54" t="s">
        <v>481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483</v>
      </c>
      <c r="B307" s="54" t="s">
        <v>484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486</v>
      </c>
      <c r="B308" s="54" t="s">
        <v>487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489</v>
      </c>
      <c r="B309" s="54" t="s">
        <v>490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492</v>
      </c>
      <c r="B310" s="54" t="s">
        <v>493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495</v>
      </c>
      <c r="B314" s="54" t="s">
        <v>496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498</v>
      </c>
      <c r="B315" s="54" t="s">
        <v>499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400</v>
      </c>
      <c r="Y315" s="540">
        <f>IFERROR(IF(X315="",0,CEILING((X315/$H315),1)*$H315),"")</f>
        <v>405.59999999999997</v>
      </c>
      <c r="Z315" s="36">
        <f>IFERROR(IF(Y315=0,"",ROUNDUP(Y315/H315,0)*0.01898),"")</f>
        <v>0.98696000000000006</v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425.33333333333337</v>
      </c>
      <c r="BN315" s="64">
        <f>IFERROR(Y315*I315/H315,"0")</f>
        <v>431.28799999999995</v>
      </c>
      <c r="BO315" s="64">
        <f>IFERROR(1/J315*(X315/H315),"0")</f>
        <v>0.80128205128205132</v>
      </c>
      <c r="BP315" s="64">
        <f>IFERROR(1/J315*(Y315/H315),"0")</f>
        <v>0.8125</v>
      </c>
    </row>
    <row r="316" spans="1:68" ht="16.5" customHeight="1" x14ac:dyDescent="0.25">
      <c r="A316" s="54" t="s">
        <v>501</v>
      </c>
      <c r="B316" s="54" t="s">
        <v>502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280</v>
      </c>
      <c r="Y316" s="540">
        <f>IFERROR(IF(X316="",0,CEILING((X316/$H316),1)*$H316),"")</f>
        <v>285.60000000000002</v>
      </c>
      <c r="Z316" s="36">
        <f>IFERROR(IF(Y316=0,"",ROUNDUP(Y316/H316,0)*0.01898),"")</f>
        <v>0.64532</v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296.4666666666667</v>
      </c>
      <c r="BN316" s="64">
        <f>IFERROR(Y316*I316/H316,"0")</f>
        <v>302.39600000000002</v>
      </c>
      <c r="BO316" s="64">
        <f>IFERROR(1/J316*(X316/H316),"0")</f>
        <v>0.52083333333333326</v>
      </c>
      <c r="BP316" s="64">
        <f>IFERROR(1/J316*(Y316/H316),"0")</f>
        <v>0.53125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84.615384615384613</v>
      </c>
      <c r="Y317" s="541">
        <f>IFERROR(Y314/H314,"0")+IFERROR(Y315/H315,"0")+IFERROR(Y316/H316,"0")</f>
        <v>86</v>
      </c>
      <c r="Z317" s="541">
        <f>IFERROR(IF(Z314="",0,Z314),"0")+IFERROR(IF(Z315="",0,Z315),"0")+IFERROR(IF(Z316="",0,Z316),"0")</f>
        <v>1.6322800000000002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680</v>
      </c>
      <c r="Y318" s="541">
        <f>IFERROR(SUM(Y314:Y316),"0")</f>
        <v>691.2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504</v>
      </c>
      <c r="B320" s="54" t="s">
        <v>505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509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515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516</v>
      </c>
      <c r="B327" s="54" t="s">
        <v>517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520</v>
      </c>
      <c r="B328" s="54" t="s">
        <v>521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524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525</v>
      </c>
      <c r="B334" s="54" t="s">
        <v>526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528</v>
      </c>
      <c r="B335" s="54" t="s">
        <v>529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1015</v>
      </c>
      <c r="Y335" s="540">
        <f>IFERROR(IF(X335="",0,CEILING((X335/$H335),1)*$H335),"")</f>
        <v>1016.4000000000001</v>
      </c>
      <c r="Z335" s="36">
        <f>IFERROR(IF(Y335=0,"",ROUNDUP(Y335/H335,0)*0.00651),"")</f>
        <v>3.1508400000000001</v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1136.7999999999997</v>
      </c>
      <c r="BN335" s="64">
        <f>IFERROR(Y335*I335/H335,"0")</f>
        <v>1138.3679999999999</v>
      </c>
      <c r="BO335" s="64">
        <f>IFERROR(1/J335*(X335/H335),"0")</f>
        <v>2.6556776556776556</v>
      </c>
      <c r="BP335" s="64">
        <f>IFERROR(1/J335*(Y335/H335),"0")</f>
        <v>2.6593406593406597</v>
      </c>
    </row>
    <row r="336" spans="1:68" ht="27" customHeight="1" x14ac:dyDescent="0.25">
      <c r="A336" s="54" t="s">
        <v>531</v>
      </c>
      <c r="B336" s="54" t="s">
        <v>532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105</v>
      </c>
      <c r="Y336" s="540">
        <f>IFERROR(IF(X336="",0,CEILING((X336/$H336),1)*$H336),"")</f>
        <v>105</v>
      </c>
      <c r="Z336" s="36">
        <f>IFERROR(IF(Y336=0,"",ROUNDUP(Y336/H336,0)*0.00651),"")</f>
        <v>0.32550000000000001</v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116.99999999999999</v>
      </c>
      <c r="BN336" s="64">
        <f>IFERROR(Y336*I336/H336,"0")</f>
        <v>116.99999999999999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533.33333333333326</v>
      </c>
      <c r="Y337" s="541">
        <f>IFERROR(Y334/H334,"0")+IFERROR(Y335/H335,"0")+IFERROR(Y336/H336,"0")</f>
        <v>534</v>
      </c>
      <c r="Z337" s="541">
        <f>IFERROR(IF(Z334="",0,Z334),"0")+IFERROR(IF(Z335="",0,Z335),"0")+IFERROR(IF(Z336="",0,Z336),"0")</f>
        <v>3.47634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1120</v>
      </c>
      <c r="Y338" s="541">
        <f>IFERROR(SUM(Y334:Y336),"0")</f>
        <v>1121.4000000000001</v>
      </c>
      <c r="Z338" s="37"/>
      <c r="AA338" s="542"/>
      <c r="AB338" s="542"/>
      <c r="AC338" s="542"/>
    </row>
    <row r="339" spans="1:68" ht="27.75" customHeight="1" x14ac:dyDescent="0.2">
      <c r="A339" s="693" t="s">
        <v>534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1800</v>
      </c>
      <c r="Y342" s="540">
        <f t="shared" ref="Y342:Y348" si="31">IFERROR(IF(X342="",0,CEILING((X342/$H342),1)*$H342),"")</f>
        <v>1800</v>
      </c>
      <c r="Z342" s="36">
        <f>IFERROR(IF(Y342=0,"",ROUNDUP(Y342/H342,0)*0.02175),"")</f>
        <v>2.61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1856.4</v>
      </c>
      <c r="BN342" s="64">
        <f t="shared" ref="BN342:BN348" si="33">IFERROR(Y342*I342/H342,"0")</f>
        <v>1856.4</v>
      </c>
      <c r="BO342" s="64">
        <f t="shared" ref="BO342:BO348" si="34">IFERROR(1/J342*(X342/H342),"0")</f>
        <v>2.5</v>
      </c>
      <c r="BP342" s="64">
        <f t="shared" ref="BP342:BP348" si="35">IFERROR(1/J342*(Y342/H342),"0")</f>
        <v>2.5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1200</v>
      </c>
      <c r="Y343" s="540">
        <f t="shared" si="31"/>
        <v>1200</v>
      </c>
      <c r="Z343" s="36">
        <f>IFERROR(IF(Y343=0,"",ROUNDUP(Y343/H343,0)*0.02175),"")</f>
        <v>1.7399999999999998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1237.5999999999999</v>
      </c>
      <c r="BN343" s="64">
        <f t="shared" si="33"/>
        <v>1237.5999999999999</v>
      </c>
      <c r="BO343" s="64">
        <f t="shared" si="34"/>
        <v>1.6666666666666665</v>
      </c>
      <c r="BP343" s="64">
        <f t="shared" si="35"/>
        <v>1.6666666666666665</v>
      </c>
    </row>
    <row r="344" spans="1:68" ht="37.5" customHeight="1" x14ac:dyDescent="0.25">
      <c r="A344" s="54" t="s">
        <v>542</v>
      </c>
      <c r="B344" s="54" t="s">
        <v>543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1800</v>
      </c>
      <c r="Y344" s="540">
        <f t="shared" si="31"/>
        <v>1800</v>
      </c>
      <c r="Z344" s="36">
        <f>IFERROR(IF(Y344=0,"",ROUNDUP(Y344/H344,0)*0.02175),"")</f>
        <v>2.61</v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1856.4</v>
      </c>
      <c r="BN344" s="64">
        <f t="shared" si="33"/>
        <v>1856.4</v>
      </c>
      <c r="BO344" s="64">
        <f t="shared" si="34"/>
        <v>2.5</v>
      </c>
      <c r="BP344" s="64">
        <f t="shared" si="35"/>
        <v>2.5</v>
      </c>
    </row>
    <row r="345" spans="1:68" ht="27" customHeight="1" x14ac:dyDescent="0.25">
      <c r="A345" s="54" t="s">
        <v>545</v>
      </c>
      <c r="B345" s="54" t="s">
        <v>546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547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600</v>
      </c>
      <c r="Y345" s="540">
        <f t="shared" si="31"/>
        <v>600</v>
      </c>
      <c r="Z345" s="36">
        <f>IFERROR(IF(Y345=0,"",ROUNDUP(Y345/H345,0)*0.02175),"")</f>
        <v>0.86999999999999988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618.79999999999995</v>
      </c>
      <c r="BN345" s="64">
        <f t="shared" si="33"/>
        <v>618.79999999999995</v>
      </c>
      <c r="BO345" s="64">
        <f t="shared" si="34"/>
        <v>0.83333333333333326</v>
      </c>
      <c r="BP345" s="64">
        <f t="shared" si="35"/>
        <v>0.83333333333333326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554</v>
      </c>
      <c r="B348" s="54" t="s">
        <v>555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360</v>
      </c>
      <c r="Y349" s="541">
        <f>IFERROR(Y342/H342,"0")+IFERROR(Y343/H343,"0")+IFERROR(Y344/H344,"0")+IFERROR(Y345/H345,"0")+IFERROR(Y346/H346,"0")+IFERROR(Y347/H347,"0")+IFERROR(Y348/H348,"0")</f>
        <v>360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7.8299999999999992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5400</v>
      </c>
      <c r="Y350" s="541">
        <f>IFERROR(SUM(Y342:Y348),"0")</f>
        <v>5400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556</v>
      </c>
      <c r="B352" s="54" t="s">
        <v>557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1600</v>
      </c>
      <c r="Y352" s="540">
        <f>IFERROR(IF(X352="",0,CEILING((X352/$H352),1)*$H352),"")</f>
        <v>1605</v>
      </c>
      <c r="Z352" s="36">
        <f>IFERROR(IF(Y352=0,"",ROUNDUP(Y352/H352,0)*0.02175),"")</f>
        <v>2.3272499999999998</v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1650.1333333333334</v>
      </c>
      <c r="BN352" s="64">
        <f>IFERROR(Y352*I352/H352,"0")</f>
        <v>1655.2900000000002</v>
      </c>
      <c r="BO352" s="64">
        <f>IFERROR(1/J352*(X352/H352),"0")</f>
        <v>2.2222222222222223</v>
      </c>
      <c r="BP352" s="64">
        <f>IFERROR(1/J352*(Y352/H352),"0")</f>
        <v>2.2291666666666665</v>
      </c>
    </row>
    <row r="353" spans="1:68" ht="16.5" customHeight="1" x14ac:dyDescent="0.25">
      <c r="A353" s="54" t="s">
        <v>559</v>
      </c>
      <c r="B353" s="54" t="s">
        <v>560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106.66666666666667</v>
      </c>
      <c r="Y354" s="541">
        <f>IFERROR(Y352/H352,"0")+IFERROR(Y353/H353,"0")</f>
        <v>107</v>
      </c>
      <c r="Z354" s="541">
        <f>IFERROR(IF(Z352="",0,Z352),"0")+IFERROR(IF(Z353="",0,Z353),"0")</f>
        <v>2.3272499999999998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1600</v>
      </c>
      <c r="Y355" s="541">
        <f>IFERROR(SUM(Y352:Y353),"0")</f>
        <v>1605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561</v>
      </c>
      <c r="B357" s="54" t="s">
        <v>562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20</v>
      </c>
      <c r="Y358" s="540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2.2222222222222223</v>
      </c>
      <c r="Y359" s="541">
        <f>IFERROR(Y357/H357,"0")+IFERROR(Y358/H358,"0")</f>
        <v>3</v>
      </c>
      <c r="Z359" s="541">
        <f>IFERROR(IF(Z357="",0,Z357),"0")+IFERROR(IF(Z358="",0,Z358),"0")</f>
        <v>5.6940000000000004E-2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20</v>
      </c>
      <c r="Y360" s="541">
        <f>IFERROR(SUM(Y357:Y358),"0")</f>
        <v>27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567</v>
      </c>
      <c r="B362" s="54" t="s">
        <v>568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50</v>
      </c>
      <c r="Y362" s="540">
        <f>IFERROR(IF(X362="",0,CEILING((X362/$H362),1)*$H362),"")</f>
        <v>54</v>
      </c>
      <c r="Z362" s="36">
        <f>IFERROR(IF(Y362=0,"",ROUNDUP(Y362/H362,0)*0.01898),"")</f>
        <v>0.11388000000000001</v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52.74444444444444</v>
      </c>
      <c r="BN362" s="64">
        <f>IFERROR(Y362*I362/H362,"0")</f>
        <v>56.963999999999992</v>
      </c>
      <c r="BO362" s="64">
        <f>IFERROR(1/J362*(X362/H362),"0")</f>
        <v>8.6805555555555552E-2</v>
      </c>
      <c r="BP362" s="64">
        <f>IFERROR(1/J362*(Y362/H362),"0")</f>
        <v>9.375E-2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5.5555555555555554</v>
      </c>
      <c r="Y363" s="541">
        <f>IFERROR(Y362/H362,"0")</f>
        <v>6</v>
      </c>
      <c r="Z363" s="541">
        <f>IFERROR(IF(Z362="",0,Z362),"0")</f>
        <v>0.11388000000000001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50</v>
      </c>
      <c r="Y364" s="541">
        <f>IFERROR(SUM(Y362:Y362),"0")</f>
        <v>54</v>
      </c>
      <c r="Z364" s="37"/>
      <c r="AA364" s="542"/>
      <c r="AB364" s="542"/>
      <c r="AC364" s="542"/>
    </row>
    <row r="365" spans="1:68" ht="16.5" customHeight="1" x14ac:dyDescent="0.25">
      <c r="A365" s="552" t="s">
        <v>570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571</v>
      </c>
      <c r="B367" s="54" t="s">
        <v>572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40</v>
      </c>
      <c r="Y367" s="540">
        <f>IFERROR(IF(X367="",0,CEILING((X367/$H367),1)*$H367),"")</f>
        <v>48</v>
      </c>
      <c r="Z367" s="36">
        <f>IFERROR(IF(Y367=0,"",ROUNDUP(Y367/H367,0)*0.01898),"")</f>
        <v>7.5920000000000001E-2</v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41.366666666666667</v>
      </c>
      <c r="BN367" s="64">
        <f>IFERROR(Y367*I367/H367,"0")</f>
        <v>49.640000000000008</v>
      </c>
      <c r="BO367" s="64">
        <f>IFERROR(1/J367*(X367/H367),"0")</f>
        <v>5.2083333333333336E-2</v>
      </c>
      <c r="BP367" s="64">
        <f>IFERROR(1/J367*(Y367/H367),"0")</f>
        <v>6.25E-2</v>
      </c>
    </row>
    <row r="368" spans="1:68" ht="37.5" customHeight="1" x14ac:dyDescent="0.25">
      <c r="A368" s="54" t="s">
        <v>574</v>
      </c>
      <c r="B368" s="54" t="s">
        <v>575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3.3333333333333335</v>
      </c>
      <c r="Y369" s="541">
        <f>IFERROR(Y367/H367,"0")+IFERROR(Y368/H368,"0")</f>
        <v>4</v>
      </c>
      <c r="Z369" s="541">
        <f>IFERROR(IF(Z367="",0,Z367),"0")+IFERROR(IF(Z368="",0,Z368),"0")</f>
        <v>7.5920000000000001E-2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40</v>
      </c>
      <c r="Y370" s="541">
        <f>IFERROR(SUM(Y367:Y368),"0")</f>
        <v>48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576</v>
      </c>
      <c r="B372" s="54" t="s">
        <v>577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576</v>
      </c>
      <c r="B373" s="54" t="s">
        <v>579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581</v>
      </c>
      <c r="B377" s="54" t="s">
        <v>582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584</v>
      </c>
      <c r="B378" s="54" t="s">
        <v>585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586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587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588</v>
      </c>
      <c r="B384" s="54" t="s">
        <v>589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10</v>
      </c>
      <c r="Y384" s="540">
        <f t="shared" ref="Y384:Y392" si="36">IFERROR(IF(X384="",0,CEILING((X384/$H384),1)*$H384),"")</f>
        <v>10.8</v>
      </c>
      <c r="Z384" s="36">
        <f>IFERROR(IF(Y384=0,"",ROUNDUP(Y384/H384,0)*0.00902),"")</f>
        <v>1.804E-2</v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10.351851851851851</v>
      </c>
      <c r="BN384" s="64">
        <f t="shared" ref="BN384:BN392" si="38">IFERROR(Y384*I384/H384,"0")</f>
        <v>11.18</v>
      </c>
      <c r="BO384" s="64">
        <f t="shared" ref="BO384:BO392" si="39">IFERROR(1/J384*(X384/H384),"0")</f>
        <v>1.4029180695847361E-2</v>
      </c>
      <c r="BP384" s="64">
        <f t="shared" ref="BP384:BP392" si="40">IFERROR(1/J384*(Y384/H384),"0")</f>
        <v>1.5151515151515152E-2</v>
      </c>
    </row>
    <row r="385" spans="1:68" ht="27" customHeight="1" x14ac:dyDescent="0.25">
      <c r="A385" s="54" t="s">
        <v>591</v>
      </c>
      <c r="B385" s="54" t="s">
        <v>592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594</v>
      </c>
      <c r="B386" s="54" t="s">
        <v>595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597</v>
      </c>
      <c r="B387" s="54" t="s">
        <v>598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24.5</v>
      </c>
      <c r="Y388" s="540">
        <f t="shared" si="36"/>
        <v>25.200000000000003</v>
      </c>
      <c r="Z388" s="36">
        <f t="shared" si="41"/>
        <v>6.0240000000000002E-2</v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26.016666666666666</v>
      </c>
      <c r="BN388" s="64">
        <f t="shared" si="38"/>
        <v>26.76</v>
      </c>
      <c r="BO388" s="64">
        <f t="shared" si="39"/>
        <v>4.9857549857549859E-2</v>
      </c>
      <c r="BP388" s="64">
        <f t="shared" si="40"/>
        <v>5.1282051282051287E-2</v>
      </c>
    </row>
    <row r="389" spans="1:68" ht="37.5" customHeight="1" x14ac:dyDescent="0.25">
      <c r="A389" s="54" t="s">
        <v>601</v>
      </c>
      <c r="B389" s="54" t="s">
        <v>602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21</v>
      </c>
      <c r="Y389" s="540">
        <f t="shared" si="36"/>
        <v>21</v>
      </c>
      <c r="Z389" s="36">
        <f t="shared" si="41"/>
        <v>5.0200000000000002E-2</v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22.299999999999997</v>
      </c>
      <c r="BN389" s="64">
        <f t="shared" si="38"/>
        <v>22.299999999999997</v>
      </c>
      <c r="BO389" s="64">
        <f t="shared" si="39"/>
        <v>4.2735042735042736E-2</v>
      </c>
      <c r="BP389" s="64">
        <f t="shared" si="40"/>
        <v>4.2735042735042736E-2</v>
      </c>
    </row>
    <row r="390" spans="1:68" ht="27" customHeight="1" x14ac:dyDescent="0.25">
      <c r="A390" s="54" t="s">
        <v>604</v>
      </c>
      <c r="B390" s="54" t="s">
        <v>605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607</v>
      </c>
      <c r="B391" s="54" t="s">
        <v>608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customHeight="1" x14ac:dyDescent="0.25">
      <c r="A392" s="54" t="s">
        <v>610</v>
      </c>
      <c r="B392" s="54" t="s">
        <v>611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40.185185185185183</v>
      </c>
      <c r="Y393" s="541">
        <f>IFERROR(Y384/H384,"0")+IFERROR(Y385/H385,"0")+IFERROR(Y386/H386,"0")+IFERROR(Y387/H387,"0")+IFERROR(Y388/H388,"0")+IFERROR(Y389/H389,"0")+IFERROR(Y390/H390,"0")+IFERROR(Y391/H391,"0")+IFERROR(Y392/H392,"0")</f>
        <v>41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0.21382000000000001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90.5</v>
      </c>
      <c r="Y394" s="541">
        <f>IFERROR(SUM(Y384:Y392),"0")</f>
        <v>92.7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612</v>
      </c>
      <c r="B396" s="54" t="s">
        <v>613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615</v>
      </c>
      <c r="B397" s="54" t="s">
        <v>616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618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619</v>
      </c>
      <c r="B402" s="54" t="s">
        <v>620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622</v>
      </c>
      <c r="B406" s="54" t="s">
        <v>623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625</v>
      </c>
      <c r="B407" s="54" t="s">
        <v>626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628</v>
      </c>
      <c r="B408" s="54" t="s">
        <v>629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631</v>
      </c>
      <c r="B409" s="54" t="s">
        <v>632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633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634</v>
      </c>
      <c r="B414" s="54" t="s">
        <v>635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30</v>
      </c>
      <c r="Y414" s="540">
        <f>IFERROR(IF(X414="",0,CEILING((X414/$H414),1)*$H414),"")</f>
        <v>30</v>
      </c>
      <c r="Z414" s="36">
        <f>IFERROR(IF(Y414=0,"",ROUNDUP(Y414/H414,0)*0.00651),"")</f>
        <v>0.16275000000000001</v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52.5</v>
      </c>
      <c r="BN414" s="64">
        <f>IFERROR(Y414*I414/H414,"0")</f>
        <v>52.5</v>
      </c>
      <c r="BO414" s="64">
        <f>IFERROR(1/J414*(X414/H414),"0")</f>
        <v>0.13736263736263737</v>
      </c>
      <c r="BP414" s="64">
        <f>IFERROR(1/J414*(Y414/H414),"0")</f>
        <v>0.13736263736263737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25</v>
      </c>
      <c r="Y415" s="541">
        <f>IFERROR(Y414/H414,"0")</f>
        <v>25</v>
      </c>
      <c r="Z415" s="541">
        <f>IFERROR(IF(Z414="",0,Z414),"0")</f>
        <v>0.16275000000000001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30</v>
      </c>
      <c r="Y416" s="541">
        <f>IFERROR(SUM(Y414:Y414),"0")</f>
        <v>30</v>
      </c>
      <c r="Z416" s="37"/>
      <c r="AA416" s="542"/>
      <c r="AB416" s="542"/>
      <c r="AC416" s="542"/>
    </row>
    <row r="417" spans="1:68" ht="27.75" customHeight="1" x14ac:dyDescent="0.2">
      <c r="A417" s="693" t="s">
        <v>637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637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638</v>
      </c>
      <c r="B420" s="54" t="s">
        <v>639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80</v>
      </c>
      <c r="Y420" s="540">
        <f t="shared" ref="Y420:Y430" si="42">IFERROR(IF(X420="",0,CEILING((X420/$H420),1)*$H420),"")</f>
        <v>84.48</v>
      </c>
      <c r="Z420" s="36">
        <f t="shared" ref="Z420:Z425" si="43">IFERROR(IF(Y420=0,"",ROUNDUP(Y420/H420,0)*0.01196),"")</f>
        <v>0.19136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85.303030303030297</v>
      </c>
      <c r="BN420" s="64">
        <f t="shared" ref="BN420:BN430" si="45">IFERROR(Y420*I420/H420,"0")</f>
        <v>90.08</v>
      </c>
      <c r="BO420" s="64">
        <f t="shared" ref="BO420:BO430" si="46">IFERROR(1/J420*(X420/H420),"0")</f>
        <v>0.14568764568764569</v>
      </c>
      <c r="BP420" s="64">
        <f t="shared" ref="BP420:BP430" si="47">IFERROR(1/J420*(Y420/H420),"0")</f>
        <v>0.15384615384615385</v>
      </c>
    </row>
    <row r="421" spans="1:68" ht="27" customHeight="1" x14ac:dyDescent="0.25">
      <c r="A421" s="54" t="s">
        <v>640</v>
      </c>
      <c r="B421" s="54" t="s">
        <v>641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643</v>
      </c>
      <c r="B422" s="54" t="s">
        <v>644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100</v>
      </c>
      <c r="Y422" s="540">
        <f t="shared" si="42"/>
        <v>100.32000000000001</v>
      </c>
      <c r="Z422" s="36">
        <f t="shared" si="43"/>
        <v>0.22724</v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106.62878787878788</v>
      </c>
      <c r="BN422" s="64">
        <f t="shared" si="45"/>
        <v>106.97</v>
      </c>
      <c r="BO422" s="64">
        <f t="shared" si="46"/>
        <v>0.18210955710955709</v>
      </c>
      <c r="BP422" s="64">
        <f t="shared" si="47"/>
        <v>0.18269230769230771</v>
      </c>
    </row>
    <row r="423" spans="1:68" ht="27" customHeight="1" x14ac:dyDescent="0.25">
      <c r="A423" s="54" t="s">
        <v>646</v>
      </c>
      <c r="B423" s="54" t="s">
        <v>647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649</v>
      </c>
      <c r="B424" s="54" t="s">
        <v>650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652</v>
      </c>
      <c r="B425" s="54" t="s">
        <v>653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150</v>
      </c>
      <c r="Y425" s="540">
        <f t="shared" si="42"/>
        <v>153.12</v>
      </c>
      <c r="Z425" s="36">
        <f t="shared" si="43"/>
        <v>0.34683999999999998</v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159.94318181818181</v>
      </c>
      <c r="BN425" s="64">
        <f t="shared" si="45"/>
        <v>163.26999999999998</v>
      </c>
      <c r="BO425" s="64">
        <f t="shared" si="46"/>
        <v>0.27316433566433568</v>
      </c>
      <c r="BP425" s="64">
        <f t="shared" si="47"/>
        <v>0.27884615384615385</v>
      </c>
    </row>
    <row r="426" spans="1:68" ht="27" customHeight="1" x14ac:dyDescent="0.25">
      <c r="A426" s="54" t="s">
        <v>655</v>
      </c>
      <c r="B426" s="54" t="s">
        <v>656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78</v>
      </c>
      <c r="Y427" s="540">
        <f t="shared" si="42"/>
        <v>81.599999999999994</v>
      </c>
      <c r="Z427" s="36">
        <f>IFERROR(IF(Y427=0,"",ROUNDUP(Y427/H427,0)*0.00902),"")</f>
        <v>0.15334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112.28750000000001</v>
      </c>
      <c r="BN427" s="64">
        <f t="shared" si="45"/>
        <v>117.47</v>
      </c>
      <c r="BO427" s="64">
        <f t="shared" si="46"/>
        <v>0.12310606060606061</v>
      </c>
      <c r="BP427" s="64">
        <f t="shared" si="47"/>
        <v>0.12878787878787878</v>
      </c>
    </row>
    <row r="428" spans="1:68" ht="27" customHeight="1" x14ac:dyDescent="0.25">
      <c r="A428" s="54" t="s">
        <v>659</v>
      </c>
      <c r="B428" s="54" t="s">
        <v>660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120</v>
      </c>
      <c r="Y430" s="540">
        <f t="shared" si="42"/>
        <v>120</v>
      </c>
      <c r="Z430" s="36">
        <f>IFERROR(IF(Y430=0,"",ROUNDUP(Y430/H430,0)*0.00902),"")</f>
        <v>0.22550000000000001</v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172.75000000000003</v>
      </c>
      <c r="BN430" s="64">
        <f t="shared" si="45"/>
        <v>172.75000000000003</v>
      </c>
      <c r="BO430" s="64">
        <f t="shared" si="46"/>
        <v>0.18939393939393939</v>
      </c>
      <c r="BP430" s="64">
        <f t="shared" si="47"/>
        <v>0.18939393939393939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103.75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106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1.14428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528</v>
      </c>
      <c r="Y432" s="541">
        <f>IFERROR(SUM(Y420:Y430),"0")</f>
        <v>539.52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666</v>
      </c>
      <c r="B434" s="54" t="s">
        <v>667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120</v>
      </c>
      <c r="Y434" s="540">
        <f>IFERROR(IF(X434="",0,CEILING((X434/$H434),1)*$H434),"")</f>
        <v>121.44000000000001</v>
      </c>
      <c r="Z434" s="36">
        <f>IFERROR(IF(Y434=0,"",ROUNDUP(Y434/H434,0)*0.01196),"")</f>
        <v>0.27507999999999999</v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127.95454545454545</v>
      </c>
      <c r="BN434" s="64">
        <f>IFERROR(Y434*I434/H434,"0")</f>
        <v>129.49</v>
      </c>
      <c r="BO434" s="64">
        <f>IFERROR(1/J434*(X434/H434),"0")</f>
        <v>0.21853146853146854</v>
      </c>
      <c r="BP434" s="64">
        <f>IFERROR(1/J434*(Y434/H434),"0")</f>
        <v>0.22115384615384617</v>
      </c>
    </row>
    <row r="435" spans="1:68" ht="16.5" customHeight="1" x14ac:dyDescent="0.25">
      <c r="A435" s="54" t="s">
        <v>669</v>
      </c>
      <c r="B435" s="54" t="s">
        <v>670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671</v>
      </c>
      <c r="B436" s="54" t="s">
        <v>672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22.727272727272727</v>
      </c>
      <c r="Y437" s="541">
        <f>IFERROR(Y434/H434,"0")+IFERROR(Y435/H435,"0")+IFERROR(Y436/H436,"0")</f>
        <v>23</v>
      </c>
      <c r="Z437" s="541">
        <f>IFERROR(IF(Z434="",0,Z434),"0")+IFERROR(IF(Z435="",0,Z435),"0")+IFERROR(IF(Z436="",0,Z436),"0")</f>
        <v>0.27507999999999999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120</v>
      </c>
      <c r="Y438" s="541">
        <f>IFERROR(SUM(Y434:Y436),"0")</f>
        <v>121.44000000000001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673</v>
      </c>
      <c r="B440" s="54" t="s">
        <v>674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40</v>
      </c>
      <c r="Y440" s="540">
        <f t="shared" ref="Y440:Y445" si="48">IFERROR(IF(X440="",0,CEILING((X440/$H440),1)*$H440),"")</f>
        <v>42.24</v>
      </c>
      <c r="Z440" s="36">
        <f>IFERROR(IF(Y440=0,"",ROUNDUP(Y440/H440,0)*0.01196),"")</f>
        <v>9.5680000000000001E-2</v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42.651515151515149</v>
      </c>
      <c r="BN440" s="64">
        <f t="shared" ref="BN440:BN445" si="50">IFERROR(Y440*I440/H440,"0")</f>
        <v>45.04</v>
      </c>
      <c r="BO440" s="64">
        <f t="shared" ref="BO440:BO445" si="51">IFERROR(1/J440*(X440/H440),"0")</f>
        <v>7.2843822843822847E-2</v>
      </c>
      <c r="BP440" s="64">
        <f t="shared" ref="BP440:BP445" si="52">IFERROR(1/J440*(Y440/H440),"0")</f>
        <v>7.6923076923076927E-2</v>
      </c>
    </row>
    <row r="441" spans="1:68" ht="27" customHeight="1" x14ac:dyDescent="0.25">
      <c r="A441" s="54" t="s">
        <v>676</v>
      </c>
      <c r="B441" s="54" t="s">
        <v>677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80</v>
      </c>
      <c r="Y441" s="540">
        <f t="shared" si="48"/>
        <v>84.48</v>
      </c>
      <c r="Z441" s="36">
        <f>IFERROR(IF(Y441=0,"",ROUNDUP(Y441/H441,0)*0.01196),"")</f>
        <v>0.19136</v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85.303030303030297</v>
      </c>
      <c r="BN441" s="64">
        <f t="shared" si="50"/>
        <v>90.08</v>
      </c>
      <c r="BO441" s="64">
        <f t="shared" si="51"/>
        <v>0.14568764568764569</v>
      </c>
      <c r="BP441" s="64">
        <f t="shared" si="52"/>
        <v>0.15384615384615385</v>
      </c>
    </row>
    <row r="442" spans="1:68" ht="27" customHeight="1" x14ac:dyDescent="0.25">
      <c r="A442" s="54" t="s">
        <v>679</v>
      </c>
      <c r="B442" s="54" t="s">
        <v>680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90</v>
      </c>
      <c r="Y442" s="540">
        <f t="shared" si="48"/>
        <v>95.04</v>
      </c>
      <c r="Z442" s="36">
        <f>IFERROR(IF(Y442=0,"",ROUNDUP(Y442/H442,0)*0.01196),"")</f>
        <v>0.21528</v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95.965909090909079</v>
      </c>
      <c r="BN442" s="64">
        <f t="shared" si="50"/>
        <v>101.33999999999999</v>
      </c>
      <c r="BO442" s="64">
        <f t="shared" si="51"/>
        <v>0.16389860139860138</v>
      </c>
      <c r="BP442" s="64">
        <f t="shared" si="52"/>
        <v>0.17307692307692307</v>
      </c>
    </row>
    <row r="443" spans="1:68" ht="27" customHeight="1" x14ac:dyDescent="0.25">
      <c r="A443" s="54" t="s">
        <v>682</v>
      </c>
      <c r="B443" s="54" t="s">
        <v>683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48</v>
      </c>
      <c r="Y443" s="540">
        <f t="shared" si="48"/>
        <v>48</v>
      </c>
      <c r="Z443" s="36">
        <f>IFERROR(IF(Y443=0,"",ROUNDUP(Y443/H443,0)*0.00902),"")</f>
        <v>9.0200000000000002E-2</v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69.100000000000009</v>
      </c>
      <c r="BN443" s="64">
        <f t="shared" si="50"/>
        <v>69.100000000000009</v>
      </c>
      <c r="BO443" s="64">
        <f t="shared" si="51"/>
        <v>7.575757575757576E-2</v>
      </c>
      <c r="BP443" s="64">
        <f t="shared" si="52"/>
        <v>7.575757575757576E-2</v>
      </c>
    </row>
    <row r="444" spans="1:68" ht="27" customHeight="1" x14ac:dyDescent="0.25">
      <c r="A444" s="54" t="s">
        <v>684</v>
      </c>
      <c r="B444" s="54" t="s">
        <v>685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12</v>
      </c>
      <c r="Y444" s="540">
        <f t="shared" si="48"/>
        <v>14.399999999999999</v>
      </c>
      <c r="Z444" s="36">
        <f>IFERROR(IF(Y444=0,"",ROUNDUP(Y444/H444,0)*0.00902),"")</f>
        <v>2.7060000000000001E-2</v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16.675000000000001</v>
      </c>
      <c r="BN444" s="64">
        <f t="shared" si="50"/>
        <v>20.009999999999998</v>
      </c>
      <c r="BO444" s="64">
        <f t="shared" si="51"/>
        <v>1.893939393939394E-2</v>
      </c>
      <c r="BP444" s="64">
        <f t="shared" si="52"/>
        <v>2.2727272727272728E-2</v>
      </c>
    </row>
    <row r="445" spans="1:68" ht="27" customHeight="1" x14ac:dyDescent="0.25">
      <c r="A445" s="54" t="s">
        <v>686</v>
      </c>
      <c r="B445" s="54" t="s">
        <v>687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72</v>
      </c>
      <c r="Y445" s="540">
        <f t="shared" si="48"/>
        <v>72</v>
      </c>
      <c r="Z445" s="36">
        <f>IFERROR(IF(Y445=0,"",ROUNDUP(Y445/H445,0)*0.00902),"")</f>
        <v>0.1353</v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100.05000000000001</v>
      </c>
      <c r="BN445" s="64">
        <f t="shared" si="50"/>
        <v>100.05000000000001</v>
      </c>
      <c r="BO445" s="64">
        <f t="shared" si="51"/>
        <v>0.11363636363636365</v>
      </c>
      <c r="BP445" s="64">
        <f t="shared" si="52"/>
        <v>0.11363636363636365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67.272727272727266</v>
      </c>
      <c r="Y446" s="541">
        <f>IFERROR(Y440/H440,"0")+IFERROR(Y441/H441,"0")+IFERROR(Y442/H442,"0")+IFERROR(Y443/H443,"0")+IFERROR(Y444/H444,"0")+IFERROR(Y445/H445,"0")</f>
        <v>70</v>
      </c>
      <c r="Z446" s="541">
        <f>IFERROR(IF(Z440="",0,Z440),"0")+IFERROR(IF(Z441="",0,Z441),"0")+IFERROR(IF(Z442="",0,Z442),"0")+IFERROR(IF(Z443="",0,Z443),"0")+IFERROR(IF(Z444="",0,Z444),"0")+IFERROR(IF(Z445="",0,Z445),"0")</f>
        <v>0.75487999999999988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342</v>
      </c>
      <c r="Y447" s="541">
        <f>IFERROR(SUM(Y440:Y445),"0")</f>
        <v>356.15999999999997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688</v>
      </c>
      <c r="B449" s="54" t="s">
        <v>689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691</v>
      </c>
      <c r="B450" s="54" t="s">
        <v>692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694</v>
      </c>
      <c r="B451" s="54" t="s">
        <v>695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697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697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698</v>
      </c>
      <c r="B457" s="54" t="s">
        <v>699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701</v>
      </c>
      <c r="B458" s="54" t="s">
        <v>702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704</v>
      </c>
      <c r="B459" s="54" t="s">
        <v>705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707</v>
      </c>
      <c r="B460" s="54" t="s">
        <v>708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709</v>
      </c>
      <c r="B464" s="54" t="s">
        <v>710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712</v>
      </c>
      <c r="B465" s="54" t="s">
        <v>713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715</v>
      </c>
      <c r="B466" s="54" t="s">
        <v>716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718</v>
      </c>
      <c r="B470" s="54" t="s">
        <v>719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721</v>
      </c>
      <c r="B471" s="54" t="s">
        <v>722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724</v>
      </c>
      <c r="B475" s="54" t="s">
        <v>725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1000</v>
      </c>
      <c r="Y475" s="540">
        <f>IFERROR(IF(X475="",0,CEILING((X475/$H475),1)*$H475),"")</f>
        <v>1008</v>
      </c>
      <c r="Z475" s="36">
        <f>IFERROR(IF(Y475=0,"",ROUNDUP(Y475/H475,0)*0.01898),"")</f>
        <v>2.1257600000000001</v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1054.8888888888889</v>
      </c>
      <c r="BN475" s="64">
        <f>IFERROR(Y475*I475/H475,"0")</f>
        <v>1063.328</v>
      </c>
      <c r="BO475" s="64">
        <f>IFERROR(1/J475*(X475/H475),"0")</f>
        <v>1.7361111111111112</v>
      </c>
      <c r="BP475" s="64">
        <f>IFERROR(1/J475*(Y475/H475),"0")</f>
        <v>1.75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111.11111111111111</v>
      </c>
      <c r="Y476" s="541">
        <f>IFERROR(Y475/H475,"0")</f>
        <v>112</v>
      </c>
      <c r="Z476" s="541">
        <f>IFERROR(IF(Z475="",0,Z475),"0")</f>
        <v>2.1257600000000001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1000</v>
      </c>
      <c r="Y477" s="541">
        <f>IFERROR(SUM(Y475:Y475),"0")</f>
        <v>1008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727</v>
      </c>
      <c r="B479" s="54" t="s">
        <v>728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730</v>
      </c>
      <c r="B480" s="54" t="s">
        <v>731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733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734</v>
      </c>
      <c r="B485" s="54" t="s">
        <v>735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737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17498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17670.02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738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18566.941924749361</v>
      </c>
      <c r="Y489" s="541">
        <f>IFERROR(SUM(BN22:BN485),"0")</f>
        <v>18750.482000000004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739</v>
      </c>
      <c r="Q490" s="629"/>
      <c r="R490" s="629"/>
      <c r="S490" s="629"/>
      <c r="T490" s="629"/>
      <c r="U490" s="629"/>
      <c r="V490" s="630"/>
      <c r="W490" s="37" t="s">
        <v>740</v>
      </c>
      <c r="X490" s="38">
        <f>ROUNDUP(SUM(BO22:BO485),0)</f>
        <v>31</v>
      </c>
      <c r="Y490" s="38">
        <f>ROUNDUP(SUM(BP22:BP485),0)</f>
        <v>31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741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19341.941924749361</v>
      </c>
      <c r="Y491" s="541">
        <f>GrossWeightTotalR+PalletQtyTotalR*25</f>
        <v>19525.482000000004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742</v>
      </c>
      <c r="Q492" s="629"/>
      <c r="R492" s="629"/>
      <c r="S492" s="629"/>
      <c r="T492" s="629"/>
      <c r="U492" s="629"/>
      <c r="V492" s="630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3269.0691982559797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3299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743</v>
      </c>
      <c r="Q493" s="629"/>
      <c r="R493" s="629"/>
      <c r="S493" s="629"/>
      <c r="T493" s="629"/>
      <c r="U493" s="629"/>
      <c r="V493" s="630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34.834689999999995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256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534</v>
      </c>
      <c r="T495" s="594"/>
      <c r="U495" s="575" t="s">
        <v>586</v>
      </c>
      <c r="V495" s="593"/>
      <c r="W495" s="594"/>
      <c r="X495" s="536" t="s">
        <v>637</v>
      </c>
      <c r="Y495" s="575" t="s">
        <v>697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746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189</v>
      </c>
      <c r="G496" s="575" t="s">
        <v>221</v>
      </c>
      <c r="H496" s="575" t="s">
        <v>97</v>
      </c>
      <c r="I496" s="575" t="s">
        <v>257</v>
      </c>
      <c r="J496" s="575" t="s">
        <v>298</v>
      </c>
      <c r="K496" s="575" t="s">
        <v>358</v>
      </c>
      <c r="L496" s="575" t="s">
        <v>400</v>
      </c>
      <c r="M496" s="575" t="s">
        <v>416</v>
      </c>
      <c r="N496" s="537"/>
      <c r="O496" s="575" t="s">
        <v>427</v>
      </c>
      <c r="P496" s="575" t="s">
        <v>436</v>
      </c>
      <c r="Q496" s="575" t="s">
        <v>446</v>
      </c>
      <c r="R496" s="575" t="s">
        <v>524</v>
      </c>
      <c r="S496" s="575" t="s">
        <v>535</v>
      </c>
      <c r="T496" s="575" t="s">
        <v>570</v>
      </c>
      <c r="U496" s="575" t="s">
        <v>587</v>
      </c>
      <c r="V496" s="575" t="s">
        <v>618</v>
      </c>
      <c r="W496" s="575" t="s">
        <v>633</v>
      </c>
      <c r="X496" s="575" t="s">
        <v>637</v>
      </c>
      <c r="Y496" s="575" t="s">
        <v>697</v>
      </c>
      <c r="Z496" s="575" t="s">
        <v>733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870.90000000000009</v>
      </c>
      <c r="E498" s="46">
        <f>IFERROR(Y85*1,"0")+IFERROR(Y86*1,"0")+IFERROR(Y87*1,"0")+IFERROR(Y91*1,"0")+IFERROR(Y92*1,"0")+IFERROR(Y93*1,"0")+IFERROR(Y94*1,"0")</f>
        <v>1099.8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1378.8</v>
      </c>
      <c r="G498" s="46">
        <f>IFERROR(Y124*1,"0")+IFERROR(Y125*1,"0")+IFERROR(Y129*1,"0")+IFERROR(Y130*1,"0")+IFERROR(Y134*1,"0")+IFERROR(Y135*1,"0")</f>
        <v>114.32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440.58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1921.7999999999997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132.4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182.39999999999998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817.8</v>
      </c>
      <c r="R498" s="46">
        <f>IFERROR(Y334*1,"0")+IFERROR(Y335*1,"0")+IFERROR(Y336*1,"0")</f>
        <v>1121.4000000000001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7086</v>
      </c>
      <c r="T498" s="46">
        <f>IFERROR(Y367*1,"0")+IFERROR(Y368*1,"0")+IFERROR(Y372*1,"0")+IFERROR(Y373*1,"0")+IFERROR(Y377*1,"0")+IFERROR(Y378*1,"0")</f>
        <v>48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92.7</v>
      </c>
      <c r="V498" s="46">
        <f>IFERROR(Y402*1,"0")+IFERROR(Y406*1,"0")+IFERROR(Y407*1,"0")+IFERROR(Y408*1,"0")+IFERROR(Y409*1,"0")</f>
        <v>0</v>
      </c>
      <c r="W498" s="46">
        <f>IFERROR(Y414*1,"0")</f>
        <v>30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1017.12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1008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2025-11-12T08:31:43Z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