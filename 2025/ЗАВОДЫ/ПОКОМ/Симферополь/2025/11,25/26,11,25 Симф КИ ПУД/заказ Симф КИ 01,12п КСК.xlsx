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0F4BCDAC-F402-4D97-AE93-992F53BD944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Y89" i="1" s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Y76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Y77" i="1"/>
  <c r="BP72" i="1"/>
  <c r="BN72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H9" i="1"/>
  <c r="Y24" i="1"/>
  <c r="Y44" i="1"/>
  <c r="Y57" i="1"/>
  <c r="Z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Z142" i="1" s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BP191" i="1"/>
  <c r="BN191" i="1"/>
  <c r="Z191" i="1"/>
  <c r="Z192" i="1" s="1"/>
  <c r="Y193" i="1"/>
  <c r="Y204" i="1"/>
  <c r="BP195" i="1"/>
  <c r="BN195" i="1"/>
  <c r="Z195" i="1"/>
  <c r="Z203" i="1" s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Z267" i="1" s="1"/>
  <c r="Y267" i="1"/>
  <c r="Z274" i="1"/>
  <c r="BP272" i="1"/>
  <c r="BN272" i="1"/>
  <c r="Z272" i="1"/>
  <c r="Y274" i="1"/>
  <c r="Z32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31" i="1" l="1"/>
  <c r="Z393" i="1"/>
  <c r="Z349" i="1"/>
  <c r="Z337" i="1"/>
  <c r="Z171" i="1"/>
  <c r="Y488" i="1"/>
  <c r="Z304" i="1"/>
  <c r="Z294" i="1"/>
  <c r="Z116" i="1"/>
  <c r="Z57" i="1"/>
  <c r="Z43" i="1"/>
  <c r="Z31" i="1"/>
  <c r="Y492" i="1"/>
  <c r="Y489" i="1"/>
  <c r="Z446" i="1"/>
  <c r="Z259" i="1"/>
  <c r="Z103" i="1"/>
  <c r="Z95" i="1"/>
  <c r="Y490" i="1"/>
  <c r="Z493" i="1"/>
  <c r="Y491" i="1" l="1"/>
</calcChain>
</file>

<file path=xl/sharedStrings.xml><?xml version="1.0" encoding="utf-8"?>
<sst xmlns="http://schemas.openxmlformats.org/spreadsheetml/2006/main" count="2268" uniqueCount="760">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</sst>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8"/>
      <c r="C5" s="629"/>
      <c r="D5" s="617"/>
      <c r="E5" s="618"/>
      <c r="F5" s="822" t="s">
        <v>9</v>
      </c>
      <c r="G5" s="629"/>
      <c r="H5" s="617"/>
      <c r="I5" s="761"/>
      <c r="J5" s="761"/>
      <c r="K5" s="761"/>
      <c r="L5" s="761"/>
      <c r="M5" s="618"/>
      <c r="N5" s="58"/>
      <c r="P5" s="24" t="s">
        <v>10</v>
      </c>
      <c r="Q5" s="836">
        <v>45984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8"/>
      <c r="C6" s="629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4" t="str">
        <f>IF(Q5=0," ",CHOOSE(WEEKDAY(Q5,2),"Понедельник","Вторник","Среда","Четверг","Пятница","Суббота","Воскресенье"))</f>
        <v>Воскресенье</v>
      </c>
      <c r="R6" s="547"/>
      <c r="T6" s="704" t="s">
        <v>16</v>
      </c>
      <c r="U6" s="700"/>
      <c r="V6" s="747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18</v>
      </c>
      <c r="B8" s="558"/>
      <c r="C8" s="559"/>
      <c r="D8" s="609" t="s">
        <v>19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20</v>
      </c>
      <c r="Q8" s="658">
        <v>0.375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7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6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3" t="s">
        <v>51</v>
      </c>
      <c r="V17" s="629"/>
      <c r="W17" s="581" t="s">
        <v>52</v>
      </c>
      <c r="X17" s="581" t="s">
        <v>53</v>
      </c>
      <c r="Y17" s="854" t="s">
        <v>54</v>
      </c>
      <c r="Z17" s="759" t="s">
        <v>55</v>
      </c>
      <c r="AA17" s="738" t="s">
        <v>56</v>
      </c>
      <c r="AB17" s="738" t="s">
        <v>57</v>
      </c>
      <c r="AC17" s="738" t="s">
        <v>58</v>
      </c>
      <c r="AD17" s="738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120</v>
      </c>
      <c r="Y41" s="540">
        <f>IFERROR(IF(X41="",0,CEILING((X41/$H41),1)*$H41),"")</f>
        <v>120</v>
      </c>
      <c r="Z41" s="36">
        <f>IFERROR(IF(Y41=0,"",ROUNDUP(Y41/H41,0)*0.00902),"")</f>
        <v>0.27060000000000001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125.70000000000002</v>
      </c>
      <c r="BN41" s="64">
        <f>IFERROR(Y41*I41/H41,"0")</f>
        <v>125.70000000000002</v>
      </c>
      <c r="BO41" s="64">
        <f>IFERROR(1/J41*(X41/H41),"0")</f>
        <v>0.22727272727272729</v>
      </c>
      <c r="BP41" s="64">
        <f>IFERROR(1/J41*(Y41/H41),"0")</f>
        <v>0.22727272727272729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39.25925925925926</v>
      </c>
      <c r="Y43" s="541">
        <f>IFERROR(Y40/H40,"0")+IFERROR(Y41/H41,"0")+IFERROR(Y42/H42,"0")</f>
        <v>40</v>
      </c>
      <c r="Z43" s="541">
        <f>IFERROR(IF(Z40="",0,Z40),"0")+IFERROR(IF(Z41="",0,Z41),"0")+IFERROR(IF(Z42="",0,Z42),"0")</f>
        <v>0.46040000000000003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220</v>
      </c>
      <c r="Y44" s="541">
        <f>IFERROR(SUM(Y40:Y42),"0")</f>
        <v>228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225</v>
      </c>
      <c r="Y56" s="540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68.518518518518519</v>
      </c>
      <c r="Y57" s="541">
        <f>IFERROR(Y51/H51,"0")+IFERROR(Y52/H52,"0")+IFERROR(Y53/H53,"0")+IFERROR(Y54/H54,"0")+IFERROR(Y55/H55,"0")+IFERROR(Y56/H56,"0")</f>
        <v>69</v>
      </c>
      <c r="Z57" s="541">
        <f>IFERROR(IF(Z51="",0,Z51),"0")+IFERROR(IF(Z52="",0,Z52),"0")+IFERROR(IF(Z53="",0,Z53),"0")+IFERROR(IF(Z54="",0,Z54),"0")+IFERROR(IF(Z55="",0,Z55),"0")+IFERROR(IF(Z56="",0,Z56),"0")</f>
        <v>0.81162000000000001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425</v>
      </c>
      <c r="Y58" s="541">
        <f>IFERROR(SUM(Y51:Y56),"0")</f>
        <v>430.20000000000005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100</v>
      </c>
      <c r="Y60" s="54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135</v>
      </c>
      <c r="Y62" s="54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59.25925925925926</v>
      </c>
      <c r="Y63" s="541">
        <f>IFERROR(Y60/H60,"0")+IFERROR(Y61/H61,"0")+IFERROR(Y62/H62,"0")</f>
        <v>60</v>
      </c>
      <c r="Z63" s="541">
        <f>IFERROR(IF(Z60="",0,Z60),"0")+IFERROR(IF(Z61="",0,Z61),"0")+IFERROR(IF(Z62="",0,Z62),"0")</f>
        <v>0.51529999999999998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235</v>
      </c>
      <c r="Y64" s="541">
        <f>IFERROR(SUM(Y60:Y62),"0")</f>
        <v>243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50</v>
      </c>
      <c r="Y88" s="541">
        <f>IFERROR(Y85/H85,"0")+IFERROR(Y86/H86,"0")+IFERROR(Y87/H87,"0")</f>
        <v>50</v>
      </c>
      <c r="Z88" s="541">
        <f>IFERROR(IF(Z85="",0,Z85),"0")+IFERROR(IF(Z86="",0,Z86),"0")+IFERROR(IF(Z87="",0,Z87),"0")</f>
        <v>0.45100000000000001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225</v>
      </c>
      <c r="Y89" s="541">
        <f>IFERROR(SUM(Y85:Y87),"0")</f>
        <v>225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200</v>
      </c>
      <c r="Y91" s="540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141.35802469135803</v>
      </c>
      <c r="Y95" s="541">
        <f>IFERROR(Y91/H91,"0")+IFERROR(Y92/H92,"0")+IFERROR(Y93/H93,"0")+IFERROR(Y94/H94,"0")</f>
        <v>142</v>
      </c>
      <c r="Z95" s="541">
        <f>IFERROR(IF(Z91="",0,Z91),"0")+IFERROR(IF(Z92="",0,Z92),"0")+IFERROR(IF(Z93="",0,Z93),"0")+IFERROR(IF(Z94="",0,Z94),"0")</f>
        <v>1.23617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515</v>
      </c>
      <c r="Y96" s="541">
        <f>IFERROR(SUM(Y91:Y94),"0")</f>
        <v>518.40000000000009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192.71604938271602</v>
      </c>
      <c r="Y116" s="541">
        <f>IFERROR(Y112/H112,"0")+IFERROR(Y113/H113,"0")+IFERROR(Y114/H114,"0")+IFERROR(Y115/H115,"0")</f>
        <v>194</v>
      </c>
      <c r="Z116" s="541">
        <f>IFERROR(IF(Z112="",0,Z112),"0")+IFERROR(IF(Z113="",0,Z113),"0")+IFERROR(IF(Z114="",0,Z114),"0")+IFERROR(IF(Z115="",0,Z115),"0")</f>
        <v>1.8864400000000001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778</v>
      </c>
      <c r="Y117" s="541">
        <f>IFERROR(SUM(Y112:Y115),"0")</f>
        <v>784.8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19.8</v>
      </c>
      <c r="Y119" s="540">
        <f>IFERROR(IF(X119="",0,CEILING((X119/$H119),1)*$H119),"")</f>
        <v>19.8</v>
      </c>
      <c r="Z119" s="36">
        <f>IFERROR(IF(Y119=0,"",ROUNDUP(Y119/H119,0)*0.00651),"")</f>
        <v>6.5100000000000005E-2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22.380000000000003</v>
      </c>
      <c r="BN119" s="64">
        <f>IFERROR(Y119*I119/H119,"0")</f>
        <v>22.380000000000003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10</v>
      </c>
      <c r="Y120" s="541">
        <f>IFERROR(Y119/H119,"0")</f>
        <v>10</v>
      </c>
      <c r="Z120" s="541">
        <f>IFERROR(IF(Z119="",0,Z119),"0")</f>
        <v>6.5100000000000005E-2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19.8</v>
      </c>
      <c r="Y121" s="541">
        <f>IFERROR(SUM(Y119:Y119),"0")</f>
        <v>19.8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40</v>
      </c>
      <c r="Y124" s="540">
        <f>IFERROR(IF(X124="",0,CEILING((X124/$H124),1)*$H124),"")</f>
        <v>41.6</v>
      </c>
      <c r="Z124" s="36">
        <f>IFERROR(IF(Y124=0,"",ROUNDUP(Y124/H124,0)*0.00651),"")</f>
        <v>8.4629999999999997E-2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42.249999999999993</v>
      </c>
      <c r="BN124" s="64">
        <f>IFERROR(Y124*I124/H124,"0")</f>
        <v>43.94</v>
      </c>
      <c r="BO124" s="64">
        <f>IFERROR(1/J124*(X124/H124),"0")</f>
        <v>6.8681318681318687E-2</v>
      </c>
      <c r="BP124" s="64">
        <f>IFERROR(1/J124*(Y124/H124),"0")</f>
        <v>7.1428571428571438E-2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12.5</v>
      </c>
      <c r="Y126" s="541">
        <f>IFERROR(Y124/H124,"0")+IFERROR(Y125/H125,"0")</f>
        <v>13</v>
      </c>
      <c r="Z126" s="541">
        <f>IFERROR(IF(Z124="",0,Z124),"0")+IFERROR(IF(Z125="",0,Z125),"0")</f>
        <v>8.4629999999999997E-2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40</v>
      </c>
      <c r="Y127" s="541">
        <f>IFERROR(SUM(Y124:Y125),"0")</f>
        <v>41.6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33</v>
      </c>
      <c r="Y135" s="540">
        <f>IFERROR(IF(X135="",0,CEILING((X135/$H135),1)*$H135),"")</f>
        <v>34.32</v>
      </c>
      <c r="Z135" s="36">
        <f>IFERROR(IF(Y135=0,"",ROUNDUP(Y135/H135,0)*0.00651),"")</f>
        <v>8.4629999999999997E-2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36.349999999999994</v>
      </c>
      <c r="BN135" s="64">
        <f>IFERROR(Y135*I135/H135,"0")</f>
        <v>37.803999999999995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12.5</v>
      </c>
      <c r="Y136" s="541">
        <f>IFERROR(Y134/H134,"0")+IFERROR(Y135/H135,"0")</f>
        <v>13</v>
      </c>
      <c r="Z136" s="541">
        <f>IFERROR(IF(Z134="",0,Z134),"0")+IFERROR(IF(Z135="",0,Z135),"0")</f>
        <v>8.4629999999999997E-2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33</v>
      </c>
      <c r="Y137" s="541">
        <f>IFERROR(SUM(Y134:Y135),"0")</f>
        <v>34.32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64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73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59" t="s">
        <v>249</v>
      </c>
      <c r="Q151" s="544"/>
      <c r="R151" s="544"/>
      <c r="S151" s="544"/>
      <c r="T151" s="545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251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252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135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64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69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50</v>
      </c>
      <c r="Y163" s="540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52.261904761904752</v>
      </c>
      <c r="BN163" s="64">
        <f t="shared" si="7"/>
        <v>52.68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52.5</v>
      </c>
      <c r="Y164" s="540">
        <f t="shared" si="5"/>
        <v>52.5</v>
      </c>
      <c r="Z164" s="36">
        <f>IFERROR(IF(Y164=0,"",ROUNDUP(Y164/H164,0)*0.00502),"")</f>
        <v>0.1255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55.75</v>
      </c>
      <c r="BN164" s="64">
        <f t="shared" si="7"/>
        <v>55.75</v>
      </c>
      <c r="BO164" s="64">
        <f t="shared" si="8"/>
        <v>0.10683760683760685</v>
      </c>
      <c r="BP164" s="64">
        <f t="shared" si="9"/>
        <v>0.10683760683760685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8" t="s">
        <v>270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70</v>
      </c>
      <c r="Y166" s="540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105</v>
      </c>
      <c r="Y168" s="540">
        <f t="shared" si="5"/>
        <v>105</v>
      </c>
      <c r="Z168" s="36">
        <f>IFERROR(IF(Y168=0,"",ROUNDUP(Y168/H168,0)*0.00502),"")</f>
        <v>0.251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110.00000000000001</v>
      </c>
      <c r="BN168" s="64">
        <f t="shared" si="7"/>
        <v>110.00000000000001</v>
      </c>
      <c r="BO168" s="64">
        <f t="shared" si="8"/>
        <v>0.21367521367521369</v>
      </c>
      <c r="BP168" s="64">
        <f t="shared" si="9"/>
        <v>0.21367521367521369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120.23809523809524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121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0.65542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IFERROR(SUM(X161:X170),"0")</f>
        <v>277.5</v>
      </c>
      <c r="Y172" s="541">
        <f>IFERROR(SUM(Y161:Y170),"0")</f>
        <v>279.3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300</v>
      </c>
      <c r="Y197" s="540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55.55555555555555</v>
      </c>
      <c r="Y203" s="541">
        <f>IFERROR(Y195/H195,"0")+IFERROR(Y196/H196,"0")+IFERROR(Y197/H197,"0")+IFERROR(Y198/H198,"0")+IFERROR(Y199/H199,"0")+IFERROR(Y200/H200,"0")+IFERROR(Y201/H201,"0")+IFERROR(Y202/H202,"0")</f>
        <v>56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0.50512000000000001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300</v>
      </c>
      <c r="Y204" s="541">
        <f>IFERROR(SUM(Y195:Y202),"0")</f>
        <v>302.40000000000003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80</v>
      </c>
      <c r="Y208" s="540">
        <f t="shared" si="15"/>
        <v>87</v>
      </c>
      <c r="Z208" s="36">
        <f>IFERROR(IF(Y208=0,"",ROUNDUP(Y208/H208,0)*0.01898),"")</f>
        <v>0.1898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84.542528735632203</v>
      </c>
      <c r="BN208" s="64">
        <f t="shared" si="17"/>
        <v>91.940000000000012</v>
      </c>
      <c r="BO208" s="64">
        <f t="shared" si="18"/>
        <v>0.14367816091954025</v>
      </c>
      <c r="BP208" s="64">
        <f t="shared" si="19"/>
        <v>0.15625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120</v>
      </c>
      <c r="Y209" s="540">
        <f t="shared" si="15"/>
        <v>120</v>
      </c>
      <c r="Z209" s="36">
        <f t="shared" ref="Z209:Z214" si="20">IFERROR(IF(Y209=0,"",ROUNDUP(Y209/H209,0)*0.00651),"")</f>
        <v>0.32550000000000001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133.5</v>
      </c>
      <c r="BN209" s="64">
        <f t="shared" si="17"/>
        <v>133.5</v>
      </c>
      <c r="BO209" s="64">
        <f t="shared" si="18"/>
        <v>0.27472527472527475</v>
      </c>
      <c r="BP209" s="64">
        <f t="shared" si="19"/>
        <v>0.27472527472527475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160</v>
      </c>
      <c r="Y211" s="540">
        <f t="shared" si="15"/>
        <v>160.79999999999998</v>
      </c>
      <c r="Z211" s="36">
        <f t="shared" si="20"/>
        <v>0.43617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176.80000000000004</v>
      </c>
      <c r="BN211" s="64">
        <f t="shared" si="17"/>
        <v>177.684</v>
      </c>
      <c r="BO211" s="64">
        <f t="shared" si="18"/>
        <v>0.36630036630036633</v>
      </c>
      <c r="BP211" s="64">
        <f t="shared" si="19"/>
        <v>0.36813186813186816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60</v>
      </c>
      <c r="Y213" s="540">
        <f t="shared" si="15"/>
        <v>60</v>
      </c>
      <c r="Z213" s="36">
        <f t="shared" si="20"/>
        <v>0.16275000000000001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66.300000000000011</v>
      </c>
      <c r="BN213" s="64">
        <f t="shared" si="17"/>
        <v>66.300000000000011</v>
      </c>
      <c r="BO213" s="64">
        <f t="shared" si="18"/>
        <v>0.13736263736263737</v>
      </c>
      <c r="BP213" s="64">
        <f t="shared" si="19"/>
        <v>0.13736263736263737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120</v>
      </c>
      <c r="Y214" s="540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132.9</v>
      </c>
      <c r="BN214" s="64">
        <f t="shared" si="17"/>
        <v>132.9</v>
      </c>
      <c r="BO214" s="64">
        <f t="shared" si="18"/>
        <v>0.27472527472527475</v>
      </c>
      <c r="BP214" s="64">
        <f t="shared" si="19"/>
        <v>0.27472527472527475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200.86206896551724</v>
      </c>
      <c r="Y215" s="541">
        <f>IFERROR(Y206/H206,"0")+IFERROR(Y207/H207,"0")+IFERROR(Y208/H208,"0")+IFERROR(Y209/H209,"0")+IFERROR(Y210/H210,"0")+IFERROR(Y211/H211,"0")+IFERROR(Y212/H212,"0")+IFERROR(Y213/H213,"0")+IFERROR(Y214/H214,"0")</f>
        <v>202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1.4397199999999999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540</v>
      </c>
      <c r="Y216" s="541">
        <f>IFERROR(SUM(Y206:Y214),"0")</f>
        <v>547.79999999999995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20</v>
      </c>
      <c r="Y218" s="540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20</v>
      </c>
      <c r="Y219" s="540">
        <f>IFERROR(IF(X219="",0,CEILING((X219/$H219),1)*$H219),"")</f>
        <v>21.599999999999998</v>
      </c>
      <c r="Z219" s="36">
        <f>IFERROR(IF(Y219=0,"",ROUNDUP(Y219/H219,0)*0.00651),"")</f>
        <v>5.8590000000000003E-2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22.100000000000005</v>
      </c>
      <c r="BN219" s="64">
        <f>IFERROR(Y219*I219/H219,"0")</f>
        <v>23.868000000000002</v>
      </c>
      <c r="BO219" s="64">
        <f>IFERROR(1/J219*(X219/H219),"0")</f>
        <v>4.5787545787545791E-2</v>
      </c>
      <c r="BP219" s="64">
        <f>IFERROR(1/J219*(Y219/H219),"0")</f>
        <v>4.9450549450549455E-2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16.666666666666668</v>
      </c>
      <c r="Y220" s="541">
        <f>IFERROR(Y218/H218,"0")+IFERROR(Y219/H219,"0")</f>
        <v>18</v>
      </c>
      <c r="Z220" s="541">
        <f>IFERROR(IF(Z218="",0,Z218),"0")+IFERROR(IF(Z219="",0,Z219),"0")</f>
        <v>0.11718000000000001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40</v>
      </c>
      <c r="Y221" s="541">
        <f>IFERROR(SUM(Y218:Y219),"0")</f>
        <v>43.199999999999996</v>
      </c>
      <c r="Z221" s="37"/>
      <c r="AA221" s="542"/>
      <c r="AB221" s="542"/>
      <c r="AC221" s="542"/>
    </row>
    <row r="222" spans="1:68" ht="16.5" customHeight="1" x14ac:dyDescent="0.25">
      <c r="A222" s="552" t="s">
        <v>356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100</v>
      </c>
      <c r="Y226" s="540">
        <f t="shared" si="21"/>
        <v>104.39999999999999</v>
      </c>
      <c r="Z226" s="36">
        <f>IFERROR(IF(Y226=0,"",ROUNDUP(Y226/H226,0)*0.01898),"")</f>
        <v>0.17082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103.5344827586207</v>
      </c>
      <c r="BN226" s="64">
        <f t="shared" si="23"/>
        <v>108.08999999999999</v>
      </c>
      <c r="BO226" s="64">
        <f t="shared" si="24"/>
        <v>0.13469827586206898</v>
      </c>
      <c r="BP226" s="64">
        <f t="shared" si="25"/>
        <v>0.140625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40</v>
      </c>
      <c r="Y227" s="540">
        <f t="shared" si="21"/>
        <v>40</v>
      </c>
      <c r="Z227" s="36">
        <f>IFERROR(IF(Y227=0,"",ROUNDUP(Y227/H227,0)*0.00902),"")</f>
        <v>9.0200000000000002E-2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41.900000000000006</v>
      </c>
      <c r="BN227" s="64">
        <f t="shared" si="23"/>
        <v>41.900000000000006</v>
      </c>
      <c r="BO227" s="64">
        <f t="shared" si="24"/>
        <v>7.575757575757576E-2</v>
      </c>
      <c r="BP227" s="64">
        <f t="shared" si="25"/>
        <v>7.575757575757576E-2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18.620689655172413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19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0.26102000000000003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140</v>
      </c>
      <c r="Y235" s="541">
        <f>IFERROR(SUM(Y224:Y233),"0")</f>
        <v>144.39999999999998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382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386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398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414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425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80</v>
      </c>
      <c r="Y273" s="540">
        <f>IFERROR(IF(X273="",0,CEILING((X273/$H273),1)*$H273),"")</f>
        <v>81.599999999999994</v>
      </c>
      <c r="Z273" s="36">
        <f>IFERROR(IF(Y273=0,"",ROUNDUP(Y273/H273,0)*0.00651),"")</f>
        <v>0.22134000000000001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86</v>
      </c>
      <c r="BN273" s="64">
        <f>IFERROR(Y273*I273/H273,"0")</f>
        <v>87.72</v>
      </c>
      <c r="BO273" s="64">
        <f>IFERROR(1/J273*(X273/H273),"0")</f>
        <v>0.18315018315018317</v>
      </c>
      <c r="BP273" s="64">
        <f>IFERROR(1/J273*(Y273/H273),"0")</f>
        <v>0.18681318681318682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33.333333333333336</v>
      </c>
      <c r="Y274" s="541">
        <f>IFERROR(Y271/H271,"0")+IFERROR(Y272/H272,"0")+IFERROR(Y273/H273,"0")</f>
        <v>34</v>
      </c>
      <c r="Z274" s="541">
        <f>IFERROR(IF(Z271="",0,Z271),"0")+IFERROR(IF(Z272="",0,Z272),"0")+IFERROR(IF(Z273="",0,Z273),"0")</f>
        <v>0.22134000000000001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80</v>
      </c>
      <c r="Y275" s="541">
        <f>IFERROR(SUM(Y271:Y273),"0")</f>
        <v>81.599999999999994</v>
      </c>
      <c r="Z275" s="37"/>
      <c r="AA275" s="542"/>
      <c r="AB275" s="542"/>
      <c r="AC275" s="542"/>
    </row>
    <row r="276" spans="1:68" ht="16.5" customHeight="1" x14ac:dyDescent="0.25">
      <c r="A276" s="552" t="s">
        <v>434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3" t="s">
        <v>446</v>
      </c>
      <c r="Q284" s="544"/>
      <c r="R284" s="544"/>
      <c r="S284" s="544"/>
      <c r="T284" s="545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448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99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64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70</v>
      </c>
      <c r="Y301" s="540">
        <f t="shared" si="26"/>
        <v>71.400000000000006</v>
      </c>
      <c r="Z301" s="36">
        <f>IFERROR(IF(Y301=0,"",ROUNDUP(Y301/H301,0)*0.00502),"")</f>
        <v>0.17068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73.333333333333329</v>
      </c>
      <c r="BN301" s="64">
        <f t="shared" si="28"/>
        <v>74.8</v>
      </c>
      <c r="BO301" s="64">
        <f t="shared" si="29"/>
        <v>0.14245014245014245</v>
      </c>
      <c r="BP301" s="64">
        <f t="shared" si="30"/>
        <v>0.14529914529914531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69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1">
        <f>IFERROR(X297/H297,"0")+IFERROR(X298/H298,"0")+IFERROR(X299/H299,"0")+IFERROR(X300/H300,"0")+IFERROR(X301/H301,"0")+IFERROR(X302/H302,"0")+IFERROR(X303/H303,"0")</f>
        <v>33.333333333333329</v>
      </c>
      <c r="Y304" s="541">
        <f>IFERROR(Y297/H297,"0")+IFERROR(Y298/H298,"0")+IFERROR(Y299/H299,"0")+IFERROR(Y300/H300,"0")+IFERROR(Y301/H301,"0")+IFERROR(Y302/H302,"0")+IFERROR(Y303/H303,"0")</f>
        <v>34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0.17068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1">
        <f>IFERROR(SUM(X297:X303),"0")</f>
        <v>70</v>
      </c>
      <c r="Y305" s="541">
        <f>IFERROR(SUM(Y297:Y303),"0")</f>
        <v>71.400000000000006</v>
      </c>
      <c r="Z305" s="37"/>
      <c r="AA305" s="542"/>
      <c r="AB305" s="542"/>
      <c r="AC305" s="542"/>
    </row>
    <row r="306" spans="1:68" ht="14.25" customHeight="1" x14ac:dyDescent="0.25">
      <c r="A306" s="554" t="s">
        <v>73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40.842490842490839</v>
      </c>
      <c r="Y317" s="541">
        <f>IFERROR(Y314/H314,"0")+IFERROR(Y315/H315,"0")+IFERROR(Y316/H316,"0")</f>
        <v>42</v>
      </c>
      <c r="Z317" s="541">
        <f>IFERROR(IF(Z314="",0,Z314),"0")+IFERROR(IF(Z315="",0,Z315),"0")+IFERROR(IF(Z316="",0,Z316),"0")</f>
        <v>0.79715999999999998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320</v>
      </c>
      <c r="Y318" s="541">
        <f>IFERROR(SUM(Y314:Y316),"0")</f>
        <v>329.4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513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514</v>
      </c>
      <c r="B327" s="54" t="s">
        <v>515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522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523</v>
      </c>
      <c r="B334" s="54" t="s">
        <v>524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525</v>
      </c>
      <c r="Y335" s="540">
        <f>IFERROR(IF(X335="",0,CEILING((X335/$H335),1)*$H335),"")</f>
        <v>525</v>
      </c>
      <c r="Z335" s="36">
        <f>IFERROR(IF(Y335=0,"",ROUNDUP(Y335/H335,0)*0.00651),"")</f>
        <v>1.6274999999999999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588</v>
      </c>
      <c r="BN335" s="64">
        <f>IFERROR(Y335*I335/H335,"0")</f>
        <v>588</v>
      </c>
      <c r="BO335" s="64">
        <f>IFERROR(1/J335*(X335/H335),"0")</f>
        <v>1.3736263736263736</v>
      </c>
      <c r="BP335" s="64">
        <f>IFERROR(1/J335*(Y335/H335),"0")</f>
        <v>1.3736263736263736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350</v>
      </c>
      <c r="Y336" s="540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416.66666666666663</v>
      </c>
      <c r="Y337" s="541">
        <f>IFERROR(Y334/H334,"0")+IFERROR(Y335/H335,"0")+IFERROR(Y336/H336,"0")</f>
        <v>417</v>
      </c>
      <c r="Z337" s="541">
        <f>IFERROR(IF(Z334="",0,Z334),"0")+IFERROR(IF(Z335="",0,Z335),"0")+IFERROR(IF(Z336="",0,Z336),"0")</f>
        <v>2.7146699999999999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875</v>
      </c>
      <c r="Y338" s="541">
        <f>IFERROR(SUM(Y334:Y336),"0")</f>
        <v>875.7</v>
      </c>
      <c r="Z338" s="37"/>
      <c r="AA338" s="542"/>
      <c r="AB338" s="542"/>
      <c r="AC338" s="542"/>
    </row>
    <row r="339" spans="1:68" ht="27.75" customHeight="1" x14ac:dyDescent="0.2">
      <c r="A339" s="693" t="s">
        <v>532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533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1000</v>
      </c>
      <c r="Y342" s="540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700</v>
      </c>
      <c r="Y343" s="540">
        <f t="shared" si="31"/>
        <v>705</v>
      </c>
      <c r="Z343" s="36">
        <f>IFERROR(IF(Y343=0,"",ROUNDUP(Y343/H343,0)*0.02175),"")</f>
        <v>1.0222499999999999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721.93333333333328</v>
      </c>
      <c r="BN343" s="64">
        <f t="shared" si="33"/>
        <v>727.09</v>
      </c>
      <c r="BO343" s="64">
        <f t="shared" si="34"/>
        <v>0.9722222222222221</v>
      </c>
      <c r="BP343" s="64">
        <f t="shared" si="35"/>
        <v>0.97916666666666663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1300</v>
      </c>
      <c r="Y344" s="540">
        <f t="shared" si="31"/>
        <v>1305</v>
      </c>
      <c r="Z344" s="36">
        <f>IFERROR(IF(Y344=0,"",ROUNDUP(Y344/H344,0)*0.02175),"")</f>
        <v>1.8922499999999998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1340.7333333333333</v>
      </c>
      <c r="BN344" s="64">
        <f t="shared" si="33"/>
        <v>1345.89</v>
      </c>
      <c r="BO344" s="64">
        <f t="shared" si="34"/>
        <v>1.8055555555555556</v>
      </c>
      <c r="BP344" s="64">
        <f t="shared" si="35"/>
        <v>1.8125</v>
      </c>
    </row>
    <row r="345" spans="1:68" ht="27" customHeight="1" x14ac:dyDescent="0.25">
      <c r="A345" s="54" t="s">
        <v>543</v>
      </c>
      <c r="B345" s="54" t="s">
        <v>544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551</v>
      </c>
      <c r="B348" s="54" t="s">
        <v>552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200</v>
      </c>
      <c r="Y349" s="541">
        <f>IFERROR(Y342/H342,"0")+IFERROR(Y343/H343,"0")+IFERROR(Y344/H344,"0")+IFERROR(Y345/H345,"0")+IFERROR(Y346/H346,"0")+IFERROR(Y347/H347,"0")+IFERROR(Y348/H348,"0")</f>
        <v>201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4.3717499999999996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3000</v>
      </c>
      <c r="Y350" s="541">
        <f>IFERROR(SUM(Y342:Y348),"0")</f>
        <v>3015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900</v>
      </c>
      <c r="Y352" s="540">
        <f>IFERROR(IF(X352="",0,CEILING((X352/$H352),1)*$H352),"")</f>
        <v>900</v>
      </c>
      <c r="Z352" s="36">
        <f>IFERROR(IF(Y352=0,"",ROUNDUP(Y352/H352,0)*0.02175),"")</f>
        <v>1.3049999999999999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928.2</v>
      </c>
      <c r="BN352" s="64">
        <f>IFERROR(Y352*I352/H352,"0")</f>
        <v>928.2</v>
      </c>
      <c r="BO352" s="64">
        <f>IFERROR(1/J352*(X352/H352),"0")</f>
        <v>1.25</v>
      </c>
      <c r="BP352" s="64">
        <f>IFERROR(1/J352*(Y352/H352),"0")</f>
        <v>1.25</v>
      </c>
    </row>
    <row r="353" spans="1:68" ht="16.5" customHeight="1" x14ac:dyDescent="0.25">
      <c r="A353" s="54" t="s">
        <v>556</v>
      </c>
      <c r="B353" s="54" t="s">
        <v>557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60</v>
      </c>
      <c r="Y354" s="541">
        <f>IFERROR(Y352/H352,"0")+IFERROR(Y353/H353,"0")</f>
        <v>60</v>
      </c>
      <c r="Z354" s="541">
        <f>IFERROR(IF(Z352="",0,Z352),"0")+IFERROR(IF(Z353="",0,Z353),"0")</f>
        <v>1.3049999999999999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900</v>
      </c>
      <c r="Y355" s="541">
        <f>IFERROR(SUM(Y352:Y353),"0")</f>
        <v>900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30</v>
      </c>
      <c r="Y358" s="540">
        <f>IFERROR(IF(X358="",0,CEILING((X358/$H358),1)*$H358),"")</f>
        <v>36</v>
      </c>
      <c r="Z358" s="36">
        <f>IFERROR(IF(Y358=0,"",ROUNDUP(Y358/H358,0)*0.01898),"")</f>
        <v>7.5920000000000001E-2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31.646666666666665</v>
      </c>
      <c r="BN358" s="64">
        <f>IFERROR(Y358*I358/H358,"0")</f>
        <v>37.975999999999999</v>
      </c>
      <c r="BO358" s="64">
        <f>IFERROR(1/J358*(X358/H358),"0")</f>
        <v>5.2083333333333336E-2</v>
      </c>
      <c r="BP358" s="64">
        <f>IFERROR(1/J358*(Y358/H358),"0")</f>
        <v>6.25E-2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3.3333333333333335</v>
      </c>
      <c r="Y359" s="541">
        <f>IFERROR(Y357/H357,"0")+IFERROR(Y358/H358,"0")</f>
        <v>4</v>
      </c>
      <c r="Z359" s="541">
        <f>IFERROR(IF(Z357="",0,Z357),"0")+IFERROR(IF(Z358="",0,Z358),"0")</f>
        <v>7.5920000000000001E-2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30</v>
      </c>
      <c r="Y360" s="541">
        <f>IFERROR(SUM(Y357:Y358),"0")</f>
        <v>36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567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583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584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585</v>
      </c>
      <c r="B384" s="54" t="s">
        <v>586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588</v>
      </c>
      <c r="B385" s="54" t="s">
        <v>589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598</v>
      </c>
      <c r="B389" s="54" t="s">
        <v>599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607</v>
      </c>
      <c r="B392" s="54" t="s">
        <v>608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609</v>
      </c>
      <c r="B396" s="54" t="s">
        <v>610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612</v>
      </c>
      <c r="B397" s="54" t="s">
        <v>613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615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616</v>
      </c>
      <c r="B402" s="54" t="s">
        <v>617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619</v>
      </c>
      <c r="B406" s="54" t="s">
        <v>620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622</v>
      </c>
      <c r="B407" s="54" t="s">
        <v>623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630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631</v>
      </c>
      <c r="B414" s="54" t="s">
        <v>632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634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50</v>
      </c>
      <c r="Y420" s="540">
        <f t="shared" ref="Y420:Y430" si="42">IFERROR(IF(X420="",0,CEILING((X420/$H420),1)*$H420),"")</f>
        <v>52.800000000000004</v>
      </c>
      <c r="Z420" s="36">
        <f t="shared" ref="Z420:Z425" si="43">IFERROR(IF(Y420=0,"",ROUNDUP(Y420/H420,0)*0.01196),"")</f>
        <v>0.1196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53.314393939393938</v>
      </c>
      <c r="BN420" s="64">
        <f t="shared" ref="BN420:BN430" si="45">IFERROR(Y420*I420/H420,"0")</f>
        <v>56.3</v>
      </c>
      <c r="BO420" s="64">
        <f t="shared" ref="BO420:BO430" si="46">IFERROR(1/J420*(X420/H420),"0")</f>
        <v>9.1054778554778545E-2</v>
      </c>
      <c r="BP420" s="64">
        <f t="shared" ref="BP420:BP430" si="47">IFERROR(1/J420*(Y420/H420),"0")</f>
        <v>9.6153846153846159E-2</v>
      </c>
    </row>
    <row r="421" spans="1:68" ht="27" customHeight="1" x14ac:dyDescent="0.25">
      <c r="A421" s="54" t="s">
        <v>637</v>
      </c>
      <c r="B421" s="54" t="s">
        <v>638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646</v>
      </c>
      <c r="B424" s="54" t="s">
        <v>647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100</v>
      </c>
      <c r="Y425" s="540">
        <f t="shared" si="42"/>
        <v>100.32000000000001</v>
      </c>
      <c r="Z425" s="36">
        <f t="shared" si="43"/>
        <v>0.22724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27" customHeight="1" x14ac:dyDescent="0.25">
      <c r="A426" s="54" t="s">
        <v>652</v>
      </c>
      <c r="B426" s="54" t="s">
        <v>653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120</v>
      </c>
      <c r="Y427" s="540">
        <f t="shared" si="42"/>
        <v>120</v>
      </c>
      <c r="Z427" s="36">
        <f>IFERROR(IF(Y427=0,"",ROUNDUP(Y427/H427,0)*0.00902),"")</f>
        <v>0.22550000000000001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172.75000000000003</v>
      </c>
      <c r="BN427" s="64">
        <f t="shared" si="45"/>
        <v>172.75000000000003</v>
      </c>
      <c r="BO427" s="64">
        <f t="shared" si="46"/>
        <v>0.18939393939393939</v>
      </c>
      <c r="BP427" s="64">
        <f t="shared" si="47"/>
        <v>0.18939393939393939</v>
      </c>
    </row>
    <row r="428" spans="1:68" ht="27" customHeight="1" x14ac:dyDescent="0.25">
      <c r="A428" s="54" t="s">
        <v>656</v>
      </c>
      <c r="B428" s="54" t="s">
        <v>657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90</v>
      </c>
      <c r="Y430" s="540">
        <f t="shared" si="42"/>
        <v>91.2</v>
      </c>
      <c r="Z430" s="36">
        <f>IFERROR(IF(Y430=0,"",ROUNDUP(Y430/H430,0)*0.00902),"")</f>
        <v>0.17138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129.5625</v>
      </c>
      <c r="BN430" s="64">
        <f t="shared" si="45"/>
        <v>131.29000000000002</v>
      </c>
      <c r="BO430" s="64">
        <f t="shared" si="46"/>
        <v>0.14204545454545456</v>
      </c>
      <c r="BP430" s="64">
        <f t="shared" si="47"/>
        <v>0.14393939393939395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72.159090909090907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73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0.74371999999999994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360</v>
      </c>
      <c r="Y432" s="541">
        <f>IFERROR(SUM(Y420:Y430),"0")</f>
        <v>364.32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663</v>
      </c>
      <c r="B434" s="54" t="s">
        <v>664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666</v>
      </c>
      <c r="B435" s="54" t="s">
        <v>667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670</v>
      </c>
      <c r="B440" s="54" t="s">
        <v>671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673</v>
      </c>
      <c r="B441" s="54" t="s">
        <v>674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685</v>
      </c>
      <c r="B449" s="54" t="s">
        <v>686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688</v>
      </c>
      <c r="B450" s="54" t="s">
        <v>689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691</v>
      </c>
      <c r="B451" s="54" t="s">
        <v>692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694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694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695</v>
      </c>
      <c r="B457" s="54" t="s">
        <v>696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698</v>
      </c>
      <c r="B458" s="54" t="s">
        <v>699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400</v>
      </c>
      <c r="Y459" s="540">
        <f>IFERROR(IF(X459="",0,CEILING((X459/$H459),1)*$H459),"")</f>
        <v>408</v>
      </c>
      <c r="Z459" s="36">
        <f>IFERROR(IF(Y459=0,"",ROUNDUP(Y459/H459,0)*0.01898),"")</f>
        <v>0.64532</v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413.66666666666669</v>
      </c>
      <c r="BN459" s="64">
        <f>IFERROR(Y459*I459/H459,"0")</f>
        <v>421.94</v>
      </c>
      <c r="BO459" s="64">
        <f>IFERROR(1/J459*(X459/H459),"0")</f>
        <v>0.52083333333333337</v>
      </c>
      <c r="BP459" s="64">
        <f>IFERROR(1/J459*(Y459/H459),"0")</f>
        <v>0.53125</v>
      </c>
    </row>
    <row r="460" spans="1:68" ht="27" customHeight="1" x14ac:dyDescent="0.25">
      <c r="A460" s="54" t="s">
        <v>704</v>
      </c>
      <c r="B460" s="54" t="s">
        <v>705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33.333333333333336</v>
      </c>
      <c r="Y461" s="541">
        <f>IFERROR(Y457/H457,"0")+IFERROR(Y458/H458,"0")+IFERROR(Y459/H459,"0")+IFERROR(Y460/H460,"0")</f>
        <v>34</v>
      </c>
      <c r="Z461" s="541">
        <f>IFERROR(IF(Z457="",0,Z457),"0")+IFERROR(IF(Z458="",0,Z458),"0")+IFERROR(IF(Z459="",0,Z459),"0")+IFERROR(IF(Z460="",0,Z460),"0")</f>
        <v>0.64532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400</v>
      </c>
      <c r="Y462" s="541">
        <f>IFERROR(SUM(Y457:Y460),"0")</f>
        <v>408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706</v>
      </c>
      <c r="B464" s="54" t="s">
        <v>707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709</v>
      </c>
      <c r="B465" s="54" t="s">
        <v>710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715</v>
      </c>
      <c r="B470" s="54" t="s">
        <v>716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718</v>
      </c>
      <c r="B471" s="54" t="s">
        <v>719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1200</v>
      </c>
      <c r="Y475" s="540">
        <f>IFERROR(IF(X475="",0,CEILING((X475/$H475),1)*$H475),"")</f>
        <v>1206</v>
      </c>
      <c r="Z475" s="36">
        <f>IFERROR(IF(Y475=0,"",ROUNDUP(Y475/H475,0)*0.01898),"")</f>
        <v>2.54332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1265.8666666666666</v>
      </c>
      <c r="BN475" s="64">
        <f>IFERROR(Y475*I475/H475,"0")</f>
        <v>1272.1959999999999</v>
      </c>
      <c r="BO475" s="64">
        <f>IFERROR(1/J475*(X475/H475),"0")</f>
        <v>2.0833333333333335</v>
      </c>
      <c r="BP475" s="64">
        <f>IFERROR(1/J475*(Y475/H475),"0")</f>
        <v>2.09375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133.33333333333334</v>
      </c>
      <c r="Y476" s="541">
        <f>IFERROR(Y475/H475,"0")</f>
        <v>134</v>
      </c>
      <c r="Z476" s="541">
        <f>IFERROR(IF(Z475="",0,Z475),"0")</f>
        <v>2.54332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1200</v>
      </c>
      <c r="Y477" s="541">
        <f>IFERROR(SUM(Y475:Y475),"0")</f>
        <v>1206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724</v>
      </c>
      <c r="B479" s="54" t="s">
        <v>725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727</v>
      </c>
      <c r="B480" s="54" t="s">
        <v>728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730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731</v>
      </c>
      <c r="B485" s="54" t="s">
        <v>732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734</v>
      </c>
      <c r="Q488" s="628"/>
      <c r="R488" s="628"/>
      <c r="S488" s="628"/>
      <c r="T488" s="628"/>
      <c r="U488" s="628"/>
      <c r="V488" s="629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11023.3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11129.64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735</v>
      </c>
      <c r="Q489" s="628"/>
      <c r="R489" s="628"/>
      <c r="S489" s="628"/>
      <c r="T489" s="628"/>
      <c r="U489" s="628"/>
      <c r="V489" s="629"/>
      <c r="W489" s="37" t="s">
        <v>69</v>
      </c>
      <c r="X489" s="541">
        <f>IFERROR(SUM(BM22:BM485),"0")</f>
        <v>11708.684492254235</v>
      </c>
      <c r="Y489" s="541">
        <f>IFERROR(SUM(BN22:BN485),"0")</f>
        <v>11820.896000000002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736</v>
      </c>
      <c r="Q490" s="628"/>
      <c r="R490" s="628"/>
      <c r="S490" s="628"/>
      <c r="T490" s="628"/>
      <c r="U490" s="628"/>
      <c r="V490" s="629"/>
      <c r="W490" s="37" t="s">
        <v>737</v>
      </c>
      <c r="X490" s="38">
        <f>ROUNDUP(SUM(BO22:BO485),0)</f>
        <v>20</v>
      </c>
      <c r="Y490" s="38">
        <f>ROUNDUP(SUM(BP22:BP485),0)</f>
        <v>20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738</v>
      </c>
      <c r="Q491" s="628"/>
      <c r="R491" s="628"/>
      <c r="S491" s="628"/>
      <c r="T491" s="628"/>
      <c r="U491" s="628"/>
      <c r="V491" s="629"/>
      <c r="W491" s="37" t="s">
        <v>69</v>
      </c>
      <c r="X491" s="541">
        <f>GrossWeightTotal+PalletQtyTotal*25</f>
        <v>12208.684492254235</v>
      </c>
      <c r="Y491" s="541">
        <f>GrossWeightTotalR+PalletQtyTotalR*25</f>
        <v>12320.896000000002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739</v>
      </c>
      <c r="Q492" s="628"/>
      <c r="R492" s="628"/>
      <c r="S492" s="628"/>
      <c r="T492" s="628"/>
      <c r="U492" s="628"/>
      <c r="V492" s="629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2024.3891022770329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2040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740</v>
      </c>
      <c r="Q493" s="628"/>
      <c r="R493" s="628"/>
      <c r="S493" s="628"/>
      <c r="T493" s="628"/>
      <c r="U493" s="628"/>
      <c r="V493" s="629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22.16263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6" t="s">
        <v>97</v>
      </c>
      <c r="D495" s="594"/>
      <c r="E495" s="594"/>
      <c r="F495" s="594"/>
      <c r="G495" s="594"/>
      <c r="H495" s="595"/>
      <c r="I495" s="576" t="s">
        <v>251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532</v>
      </c>
      <c r="T495" s="595"/>
      <c r="U495" s="576" t="s">
        <v>583</v>
      </c>
      <c r="V495" s="594"/>
      <c r="W495" s="595"/>
      <c r="X495" s="536" t="s">
        <v>634</v>
      </c>
      <c r="Y495" s="576" t="s">
        <v>694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743</v>
      </c>
      <c r="B496" s="576" t="s">
        <v>63</v>
      </c>
      <c r="C496" s="576" t="s">
        <v>98</v>
      </c>
      <c r="D496" s="576" t="s">
        <v>116</v>
      </c>
      <c r="E496" s="576" t="s">
        <v>170</v>
      </c>
      <c r="F496" s="576" t="s">
        <v>189</v>
      </c>
      <c r="G496" s="576" t="s">
        <v>220</v>
      </c>
      <c r="H496" s="576" t="s">
        <v>97</v>
      </c>
      <c r="I496" s="576" t="s">
        <v>252</v>
      </c>
      <c r="J496" s="576" t="s">
        <v>297</v>
      </c>
      <c r="K496" s="576" t="s">
        <v>356</v>
      </c>
      <c r="L496" s="576" t="s">
        <v>398</v>
      </c>
      <c r="M496" s="576" t="s">
        <v>414</v>
      </c>
      <c r="N496" s="537"/>
      <c r="O496" s="576" t="s">
        <v>425</v>
      </c>
      <c r="P496" s="576" t="s">
        <v>434</v>
      </c>
      <c r="Q496" s="576" t="s">
        <v>448</v>
      </c>
      <c r="R496" s="576" t="s">
        <v>522</v>
      </c>
      <c r="S496" s="576" t="s">
        <v>533</v>
      </c>
      <c r="T496" s="576" t="s">
        <v>567</v>
      </c>
      <c r="U496" s="576" t="s">
        <v>584</v>
      </c>
      <c r="V496" s="576" t="s">
        <v>615</v>
      </c>
      <c r="W496" s="576" t="s">
        <v>630</v>
      </c>
      <c r="X496" s="576" t="s">
        <v>634</v>
      </c>
      <c r="Y496" s="576" t="s">
        <v>694</v>
      </c>
      <c r="Z496" s="576" t="s">
        <v>730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228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673.2</v>
      </c>
      <c r="E498" s="46">
        <f>IFERROR(Y85*1,"0")+IFERROR(Y86*1,"0")+IFERROR(Y87*1,"0")+IFERROR(Y91*1,"0")+IFERROR(Y92*1,"0")+IFERROR(Y93*1,"0")+IFERROR(Y94*1,"0")</f>
        <v>743.40000000000009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804.59999999999991</v>
      </c>
      <c r="G498" s="46">
        <f>IFERROR(Y124*1,"0")+IFERROR(Y125*1,"0")+IFERROR(Y129*1,"0")+IFERROR(Y130*1,"0")+IFERROR(Y134*1,"0")+IFERROR(Y135*1,"0")</f>
        <v>75.92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279.3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893.40000000000009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144.39999999999998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81.599999999999994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400.8</v>
      </c>
      <c r="R498" s="46">
        <f>IFERROR(Y334*1,"0")+IFERROR(Y335*1,"0")+IFERROR(Y336*1,"0")</f>
        <v>875.7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3951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364.32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1614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