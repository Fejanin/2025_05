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78574DE8-7480-4385-9873-51939C2F4F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0" i="1"/>
  <c r="Y379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Y317" i="1" s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Y286" i="1" s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Y275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9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0" i="1" s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N213" i="1"/>
  <c r="BM213" i="1"/>
  <c r="Z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Y172" i="1" s="1"/>
  <c r="P161" i="1"/>
  <c r="X159" i="1"/>
  <c r="X158" i="1"/>
  <c r="BO157" i="1"/>
  <c r="BM157" i="1"/>
  <c r="Y157" i="1"/>
  <c r="I498" i="1" s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X492" i="1" s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Z57" i="1" s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Z69" i="1" s="1"/>
  <c r="BN66" i="1"/>
  <c r="BP66" i="1"/>
  <c r="Z68" i="1"/>
  <c r="BN68" i="1"/>
  <c r="Y69" i="1"/>
  <c r="Z72" i="1"/>
  <c r="Z76" i="1" s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Z103" i="1" s="1"/>
  <c r="BN100" i="1"/>
  <c r="BP100" i="1"/>
  <c r="Z102" i="1"/>
  <c r="BN102" i="1"/>
  <c r="Y103" i="1"/>
  <c r="Z106" i="1"/>
  <c r="Z109" i="1" s="1"/>
  <c r="BN106" i="1"/>
  <c r="BP106" i="1"/>
  <c r="Z108" i="1"/>
  <c r="BN108" i="1"/>
  <c r="Y109" i="1"/>
  <c r="Z112" i="1"/>
  <c r="Z116" i="1" s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Y171" i="1"/>
  <c r="Y177" i="1"/>
  <c r="Y188" i="1"/>
  <c r="Y192" i="1"/>
  <c r="Y204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F9" i="1"/>
  <c r="J9" i="1"/>
  <c r="Y89" i="1"/>
  <c r="Y142" i="1"/>
  <c r="Y492" i="1" s="1"/>
  <c r="Y159" i="1"/>
  <c r="Z162" i="1"/>
  <c r="BN162" i="1"/>
  <c r="Y489" i="1" s="1"/>
  <c r="Z164" i="1"/>
  <c r="BN164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Y490" i="1" s="1"/>
  <c r="Z196" i="1"/>
  <c r="Z203" i="1" s="1"/>
  <c r="BN196" i="1"/>
  <c r="Z198" i="1"/>
  <c r="BN198" i="1"/>
  <c r="Z200" i="1"/>
  <c r="BN200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BP226" i="1"/>
  <c r="BN226" i="1"/>
  <c r="Z226" i="1"/>
  <c r="BP230" i="1"/>
  <c r="BN230" i="1"/>
  <c r="Z230" i="1"/>
  <c r="Y234" i="1"/>
  <c r="Z246" i="1"/>
  <c r="BN246" i="1"/>
  <c r="BP246" i="1"/>
  <c r="Z248" i="1"/>
  <c r="Z250" i="1" s="1"/>
  <c r="BN248" i="1"/>
  <c r="L498" i="1"/>
  <c r="Z255" i="1"/>
  <c r="Z259" i="1" s="1"/>
  <c r="BN255" i="1"/>
  <c r="BP255" i="1"/>
  <c r="Z257" i="1"/>
  <c r="BN257" i="1"/>
  <c r="Y260" i="1"/>
  <c r="M498" i="1"/>
  <c r="Y268" i="1"/>
  <c r="Z264" i="1"/>
  <c r="BN264" i="1"/>
  <c r="Z266" i="1"/>
  <c r="BN266" i="1"/>
  <c r="Y267" i="1"/>
  <c r="Z274" i="1"/>
  <c r="BP272" i="1"/>
  <c r="BN272" i="1"/>
  <c r="Z272" i="1"/>
  <c r="BP284" i="1"/>
  <c r="BN284" i="1"/>
  <c r="Z284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Y318" i="1"/>
  <c r="BP321" i="1"/>
  <c r="BN321" i="1"/>
  <c r="Z321" i="1"/>
  <c r="BP329" i="1"/>
  <c r="BN329" i="1"/>
  <c r="Z329" i="1"/>
  <c r="R498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9" i="1"/>
  <c r="BP373" i="1"/>
  <c r="BN373" i="1"/>
  <c r="Z373" i="1"/>
  <c r="Z374" i="1" s="1"/>
  <c r="Y375" i="1"/>
  <c r="Y380" i="1"/>
  <c r="BP377" i="1"/>
  <c r="BN377" i="1"/>
  <c r="Z377" i="1"/>
  <c r="Z379" i="1" s="1"/>
  <c r="U498" i="1"/>
  <c r="BP387" i="1"/>
  <c r="BN387" i="1"/>
  <c r="Z387" i="1"/>
  <c r="BP391" i="1"/>
  <c r="BN391" i="1"/>
  <c r="Z391" i="1"/>
  <c r="Y398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Z452" i="1" s="1"/>
  <c r="Y452" i="1"/>
  <c r="Z267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BP385" i="1"/>
  <c r="BN385" i="1"/>
  <c r="Z385" i="1"/>
  <c r="Z393" i="1" s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0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Z446" i="1" s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Y498" i="1"/>
  <c r="Y491" i="1" l="1"/>
  <c r="Z349" i="1"/>
  <c r="Z437" i="1"/>
  <c r="Z337" i="1"/>
  <c r="Z324" i="1"/>
  <c r="Z304" i="1"/>
  <c r="Z294" i="1"/>
  <c r="Z171" i="1"/>
  <c r="Z95" i="1"/>
  <c r="Z88" i="1"/>
  <c r="Z467" i="1"/>
  <c r="Z431" i="1"/>
  <c r="Z234" i="1"/>
  <c r="Z63" i="1"/>
  <c r="Z493" i="1" s="1"/>
  <c r="Y488" i="1"/>
  <c r="X491" i="1"/>
</calcChain>
</file>

<file path=xl/sharedStrings.xml><?xml version="1.0" encoding="utf-8"?>
<sst xmlns="http://schemas.openxmlformats.org/spreadsheetml/2006/main" count="2268" uniqueCount="760">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</sst>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45984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Воскресенье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150</v>
      </c>
      <c r="Y40" s="540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160</v>
      </c>
      <c r="Y41" s="540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53.888888888888886</v>
      </c>
      <c r="Y43" s="541">
        <f>IFERROR(Y40/H40,"0")+IFERROR(Y41/H41,"0")+IFERROR(Y42/H42,"0")</f>
        <v>54</v>
      </c>
      <c r="Z43" s="541">
        <f>IFERROR(IF(Z40="",0,Z40),"0")+IFERROR(IF(Z41="",0,Z41),"0")+IFERROR(IF(Z42="",0,Z42),"0")</f>
        <v>0.62651999999999997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310</v>
      </c>
      <c r="Y44" s="541">
        <f>IFERROR(SUM(Y40:Y42),"0")</f>
        <v>311.20000000000005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300</v>
      </c>
      <c r="Y52" s="540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87.777777777777771</v>
      </c>
      <c r="Y57" s="541">
        <f>IFERROR(Y51/H51,"0")+IFERROR(Y52/H52,"0")+IFERROR(Y53/H53,"0")+IFERROR(Y54/H54,"0")+IFERROR(Y55/H55,"0")+IFERROR(Y56/H56,"0")</f>
        <v>88</v>
      </c>
      <c r="Z57" s="541">
        <f>IFERROR(IF(Z51="",0,Z51),"0")+IFERROR(IF(Z52="",0,Z52),"0")+IFERROR(IF(Z53="",0,Z53),"0")+IFERROR(IF(Z54="",0,Z54),"0")+IFERROR(IF(Z55="",0,Z55),"0")+IFERROR(IF(Z56="",0,Z56),"0")</f>
        <v>1.07264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570</v>
      </c>
      <c r="Y58" s="541">
        <f>IFERROR(SUM(Y51:Y56),"0")</f>
        <v>572.40000000000009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100</v>
      </c>
      <c r="Y60" s="54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180</v>
      </c>
      <c r="Y62" s="54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75.925925925925924</v>
      </c>
      <c r="Y63" s="541">
        <f>IFERROR(Y60/H60,"0")+IFERROR(Y61/H61,"0")+IFERROR(Y62/H62,"0")</f>
        <v>77</v>
      </c>
      <c r="Z63" s="541">
        <f>IFERROR(IF(Z60="",0,Z60),"0")+IFERROR(IF(Z61="",0,Z61),"0")+IFERROR(IF(Z62="",0,Z62),"0")</f>
        <v>0.62597000000000003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280</v>
      </c>
      <c r="Y64" s="541">
        <f>IFERROR(SUM(Y60:Y62),"0")</f>
        <v>288.89999999999998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120</v>
      </c>
      <c r="Y85" s="540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61.111111111111114</v>
      </c>
      <c r="Y88" s="541">
        <f>IFERROR(Y85/H85,"0")+IFERROR(Y86/H86,"0")+IFERROR(Y87/H87,"0")</f>
        <v>62</v>
      </c>
      <c r="Z88" s="541">
        <f>IFERROR(IF(Z85="",0,Z85),"0")+IFERROR(IF(Z86="",0,Z86),"0")+IFERROR(IF(Z87="",0,Z87),"0")</f>
        <v>0.67876000000000003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345</v>
      </c>
      <c r="Y89" s="541">
        <f>IFERROR(SUM(Y85:Y87),"0")</f>
        <v>354.6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240</v>
      </c>
      <c r="Y91" s="540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254.63703703703703</v>
      </c>
      <c r="BN91" s="64">
        <f>IFERROR(Y91*I91/H91,"0")</f>
        <v>257.82</v>
      </c>
      <c r="BO91" s="64">
        <f>IFERROR(1/J91*(X91/H91),"0")</f>
        <v>0.46296296296296297</v>
      </c>
      <c r="BP91" s="64">
        <f>IFERROR(1/J91*(Y91/H91),"0")</f>
        <v>0.46875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146.29629629629628</v>
      </c>
      <c r="Y95" s="541">
        <f>IFERROR(Y91/H91,"0")+IFERROR(Y92/H92,"0")+IFERROR(Y93/H93,"0")+IFERROR(Y94/H94,"0")</f>
        <v>147</v>
      </c>
      <c r="Z95" s="541">
        <f>IFERROR(IF(Z91="",0,Z91),"0")+IFERROR(IF(Z92="",0,Z92),"0")+IFERROR(IF(Z93="",0,Z93),"0")+IFERROR(IF(Z94="",0,Z94),"0")</f>
        <v>1.33107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555</v>
      </c>
      <c r="Y96" s="541">
        <f>IFERROR(SUM(Y91:Y94),"0")</f>
        <v>558.90000000000009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30</v>
      </c>
      <c r="Y99" s="540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90</v>
      </c>
      <c r="Y101" s="540">
        <f>IFERROR(IF(X101="",0,CEILING((X101/$H101),1)*$H101),"")</f>
        <v>90</v>
      </c>
      <c r="Z101" s="36">
        <f>IFERROR(IF(Y101=0,"",ROUNDUP(Y101/H101,0)*0.00902),"")</f>
        <v>0.1804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93.800000000000011</v>
      </c>
      <c r="BN101" s="64">
        <f>IFERROR(Y101*I101/H101,"0")</f>
        <v>93.800000000000011</v>
      </c>
      <c r="BO101" s="64">
        <f>IFERROR(1/J101*(X101/H101),"0")</f>
        <v>0.15151515151515152</v>
      </c>
      <c r="BP101" s="64">
        <f>IFERROR(1/J101*(Y101/H101),"0")</f>
        <v>0.15151515151515152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22.777777777777779</v>
      </c>
      <c r="Y103" s="541">
        <f>IFERROR(Y99/H99,"0")+IFERROR(Y100/H100,"0")+IFERROR(Y101/H101,"0")+IFERROR(Y102/H102,"0")</f>
        <v>23</v>
      </c>
      <c r="Z103" s="541">
        <f>IFERROR(IF(Z99="",0,Z99),"0")+IFERROR(IF(Z100="",0,Z100),"0")+IFERROR(IF(Z101="",0,Z101),"0")+IFERROR(IF(Z102="",0,Z102),"0")</f>
        <v>0.23734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120</v>
      </c>
      <c r="Y104" s="541">
        <f>IFERROR(SUM(Y99:Y102),"0")</f>
        <v>122.4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550</v>
      </c>
      <c r="Y112" s="540">
        <f>IFERROR(IF(X112="",0,CEILING((X112/$H112),1)*$H112),"")</f>
        <v>550.79999999999995</v>
      </c>
      <c r="Z112" s="36">
        <f>IFERROR(IF(Y112=0,"",ROUNDUP(Y112/H112,0)*0.01898),"")</f>
        <v>1.29064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583.1358024691358</v>
      </c>
      <c r="BN112" s="64">
        <f>IFERROR(Y112*I112/H112,"0")</f>
        <v>583.98399999999992</v>
      </c>
      <c r="BO112" s="64">
        <f>IFERROR(1/J112*(X112/H112),"0")</f>
        <v>1.0609567901234569</v>
      </c>
      <c r="BP112" s="64">
        <f>IFERROR(1/J112*(Y112/H112),"0")</f>
        <v>1.0625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244.5679012345679</v>
      </c>
      <c r="Y116" s="541">
        <f>IFERROR(Y112/H112,"0")+IFERROR(Y113/H113,"0")+IFERROR(Y114/H114,"0")+IFERROR(Y115/H115,"0")</f>
        <v>245</v>
      </c>
      <c r="Z116" s="541">
        <f>IFERROR(IF(Z112="",0,Z112),"0")+IFERROR(IF(Z113="",0,Z113),"0")+IFERROR(IF(Z114="",0,Z114),"0")+IFERROR(IF(Z115="",0,Z115),"0")</f>
        <v>2.4429100000000004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1018</v>
      </c>
      <c r="Y117" s="541">
        <f>IFERROR(SUM(Y112:Y115),"0")</f>
        <v>1019.7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39.6</v>
      </c>
      <c r="Y119" s="540">
        <f>IFERROR(IF(X119="",0,CEILING((X119/$H119),1)*$H119),"")</f>
        <v>39.6</v>
      </c>
      <c r="Z119" s="36">
        <f>IFERROR(IF(Y119=0,"",ROUNDUP(Y119/H119,0)*0.00651),"")</f>
        <v>0.13020000000000001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44.760000000000005</v>
      </c>
      <c r="BN119" s="64">
        <f>IFERROR(Y119*I119/H119,"0")</f>
        <v>44.760000000000005</v>
      </c>
      <c r="BO119" s="64">
        <f>IFERROR(1/J119*(X119/H119),"0")</f>
        <v>0.1098901098901099</v>
      </c>
      <c r="BP119" s="64">
        <f>IFERROR(1/J119*(Y119/H119),"0")</f>
        <v>0.1098901098901099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20</v>
      </c>
      <c r="Y120" s="541">
        <f>IFERROR(Y119/H119,"0")</f>
        <v>20</v>
      </c>
      <c r="Z120" s="541">
        <f>IFERROR(IF(Z119="",0,Z119),"0")</f>
        <v>0.13020000000000001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39.6</v>
      </c>
      <c r="Y121" s="541">
        <f>IFERROR(SUM(Y119:Y119),"0")</f>
        <v>39.6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60</v>
      </c>
      <c r="Y124" s="540">
        <f>IFERROR(IF(X124="",0,CEILING((X124/$H124),1)*$H124),"")</f>
        <v>60.800000000000004</v>
      </c>
      <c r="Z124" s="36">
        <f>IFERROR(IF(Y124=0,"",ROUNDUP(Y124/H124,0)*0.00651),"")</f>
        <v>0.12369000000000001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63.374999999999993</v>
      </c>
      <c r="BN124" s="64">
        <f>IFERROR(Y124*I124/H124,"0")</f>
        <v>64.22</v>
      </c>
      <c r="BO124" s="64">
        <f>IFERROR(1/J124*(X124/H124),"0")</f>
        <v>0.10302197802197803</v>
      </c>
      <c r="BP124" s="64">
        <f>IFERROR(1/J124*(Y124/H124),"0")</f>
        <v>0.1043956043956044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18.75</v>
      </c>
      <c r="Y126" s="541">
        <f>IFERROR(Y124/H124,"0")+IFERROR(Y125/H125,"0")</f>
        <v>19</v>
      </c>
      <c r="Z126" s="541">
        <f>IFERROR(IF(Z124="",0,Z124),"0")+IFERROR(IF(Z125="",0,Z125),"0")</f>
        <v>0.12369000000000001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60</v>
      </c>
      <c r="Y127" s="541">
        <f>IFERROR(SUM(Y124:Y125),"0")</f>
        <v>60.800000000000004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42</v>
      </c>
      <c r="Y130" s="540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15.000000000000002</v>
      </c>
      <c r="Y131" s="541">
        <f>IFERROR(Y129/H129,"0")+IFERROR(Y130/H130,"0")</f>
        <v>15.000000000000002</v>
      </c>
      <c r="Z131" s="541">
        <f>IFERROR(IF(Z129="",0,Z129),"0")+IFERROR(IF(Z130="",0,Z130),"0")</f>
        <v>9.7650000000000001E-2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42</v>
      </c>
      <c r="Y132" s="541">
        <f>IFERROR(SUM(Y129:Y130),"0")</f>
        <v>42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39.6</v>
      </c>
      <c r="Y135" s="540">
        <f>IFERROR(IF(X135="",0,CEILING((X135/$H135),1)*$H135),"")</f>
        <v>39.6</v>
      </c>
      <c r="Z135" s="36">
        <f>IFERROR(IF(Y135=0,"",ROUNDUP(Y135/H135,0)*0.00651),"")</f>
        <v>9.7650000000000001E-2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43.62</v>
      </c>
      <c r="BN135" s="64">
        <f>IFERROR(Y135*I135/H135,"0")</f>
        <v>43.62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15</v>
      </c>
      <c r="Y136" s="541">
        <f>IFERROR(Y134/H134,"0")+IFERROR(Y135/H135,"0")</f>
        <v>15</v>
      </c>
      <c r="Z136" s="541">
        <f>IFERROR(IF(Z134="",0,Z134),"0")+IFERROR(IF(Z135="",0,Z135),"0")</f>
        <v>9.7650000000000001E-2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39.6</v>
      </c>
      <c r="Y137" s="541">
        <f>IFERROR(SUM(Y134:Y135),"0")</f>
        <v>39.6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249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251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60</v>
      </c>
      <c r="Y161" s="540">
        <f t="shared" ref="Y161:Y170" si="5">IFERROR(IF(X161="",0,CEILING((X161/$H161),1)*$H161),"")</f>
        <v>63</v>
      </c>
      <c r="Z161" s="36">
        <f>IFERROR(IF(Y161=0,"",ROUNDUP(Y161/H161,0)*0.00902),"")</f>
        <v>0.1353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63.571428571428569</v>
      </c>
      <c r="BN161" s="64">
        <f t="shared" ref="BN161:BN170" si="7">IFERROR(Y161*I161/H161,"0")</f>
        <v>66.75</v>
      </c>
      <c r="BO161" s="64">
        <f t="shared" ref="BO161:BO170" si="8">IFERROR(1/J161*(X161/H161),"0")</f>
        <v>0.10822510822510822</v>
      </c>
      <c r="BP161" s="64">
        <f t="shared" ref="BP161:BP170" si="9">IFERROR(1/J161*(Y161/H161),"0")</f>
        <v>0.11363636363636365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100</v>
      </c>
      <c r="Y163" s="540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70</v>
      </c>
      <c r="Y164" s="540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70</v>
      </c>
      <c r="Y166" s="540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140</v>
      </c>
      <c r="Y168" s="540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178.57142857142856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182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1.10164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470</v>
      </c>
      <c r="Y172" s="541">
        <f>IFERROR(SUM(Y161:Y170),"0")</f>
        <v>480.90000000000009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11.111111111111112</v>
      </c>
      <c r="Y177" s="541">
        <f>IFERROR(Y174/H174,"0")+IFERROR(Y175/H175,"0")+IFERROR(Y176/H176,"0")</f>
        <v>12</v>
      </c>
      <c r="Z177" s="541">
        <f>IFERROR(IF(Z174="",0,Z174),"0")+IFERROR(IF(Z175="",0,Z175),"0")+IFERROR(IF(Z176="",0,Z176),"0")</f>
        <v>7.0800000000000002E-2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14.000000000000002</v>
      </c>
      <c r="Y178" s="541">
        <f>IFERROR(SUM(Y174:Y176),"0")</f>
        <v>15.120000000000001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200</v>
      </c>
      <c r="Y195" s="540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80</v>
      </c>
      <c r="Y196" s="540">
        <f t="shared" si="10"/>
        <v>81</v>
      </c>
      <c r="Z196" s="36">
        <f>IFERROR(IF(Y196=0,"",ROUNDUP(Y196/H196,0)*0.00902),"")</f>
        <v>0.1353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82.81481481481481</v>
      </c>
      <c r="BN196" s="64">
        <f t="shared" si="12"/>
        <v>83.85</v>
      </c>
      <c r="BO196" s="64">
        <f t="shared" si="13"/>
        <v>0.11223344556677889</v>
      </c>
      <c r="BP196" s="64">
        <f t="shared" si="14"/>
        <v>0.11363636363636363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300</v>
      </c>
      <c r="Y197" s="540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120</v>
      </c>
      <c r="Y199" s="540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51</v>
      </c>
      <c r="Y200" s="540">
        <f t="shared" si="10"/>
        <v>52.2</v>
      </c>
      <c r="Z200" s="36">
        <f>IFERROR(IF(Y200=0,"",ROUNDUP(Y200/H200,0)*0.00502),"")</f>
        <v>0.14558000000000001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53.833333333333329</v>
      </c>
      <c r="BN200" s="64">
        <f t="shared" si="12"/>
        <v>55.1</v>
      </c>
      <c r="BO200" s="64">
        <f t="shared" si="13"/>
        <v>0.12108262108262109</v>
      </c>
      <c r="BP200" s="64">
        <f t="shared" si="14"/>
        <v>0.12393162393162395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150</v>
      </c>
      <c r="Y201" s="540">
        <f t="shared" si="10"/>
        <v>151.20000000000002</v>
      </c>
      <c r="Z201" s="36">
        <f>IFERROR(IF(Y201=0,"",ROUNDUP(Y201/H201,0)*0.00502),"")</f>
        <v>0.42168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158.33333333333334</v>
      </c>
      <c r="BN201" s="64">
        <f t="shared" si="12"/>
        <v>159.60000000000002</v>
      </c>
      <c r="BO201" s="64">
        <f t="shared" si="13"/>
        <v>0.35612535612535612</v>
      </c>
      <c r="BP201" s="64">
        <f t="shared" si="14"/>
        <v>0.35897435897435909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75</v>
      </c>
      <c r="Y202" s="540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338.51851851851853</v>
      </c>
      <c r="Y203" s="541">
        <f>IFERROR(Y195/H195,"0")+IFERROR(Y196/H196,"0")+IFERROR(Y197/H197,"0")+IFERROR(Y198/H198,"0")+IFERROR(Y199/H199,"0")+IFERROR(Y200/H200,"0")+IFERROR(Y201/H201,"0")+IFERROR(Y202/H202,"0")</f>
        <v>343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2.2058600000000004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1036</v>
      </c>
      <c r="Y204" s="541">
        <f>IFERROR(SUM(Y195:Y202),"0")</f>
        <v>1053.0000000000002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200</v>
      </c>
      <c r="Y209" s="540">
        <f t="shared" si="15"/>
        <v>201.6</v>
      </c>
      <c r="Z209" s="36">
        <f t="shared" ref="Z209:Z214" si="20">IFERROR(IF(Y209=0,"",ROUNDUP(Y209/H209,0)*0.00651),"")</f>
        <v>0.54683999999999999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222.5</v>
      </c>
      <c r="BN209" s="64">
        <f t="shared" si="17"/>
        <v>224.27999999999997</v>
      </c>
      <c r="BO209" s="64">
        <f t="shared" si="18"/>
        <v>0.45787545787545797</v>
      </c>
      <c r="BP209" s="64">
        <f t="shared" si="19"/>
        <v>0.46153846153846156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200</v>
      </c>
      <c r="Y211" s="540">
        <f t="shared" si="15"/>
        <v>201.6</v>
      </c>
      <c r="Z211" s="36">
        <f t="shared" si="20"/>
        <v>0.54683999999999999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80</v>
      </c>
      <c r="Y213" s="540">
        <f t="shared" si="15"/>
        <v>81.599999999999994</v>
      </c>
      <c r="Z213" s="36">
        <f t="shared" si="20"/>
        <v>0.22134000000000001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88.40000000000002</v>
      </c>
      <c r="BN213" s="64">
        <f t="shared" si="17"/>
        <v>90.168000000000006</v>
      </c>
      <c r="BO213" s="64">
        <f t="shared" si="18"/>
        <v>0.18315018315018317</v>
      </c>
      <c r="BP213" s="64">
        <f t="shared" si="19"/>
        <v>0.18681318681318682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200</v>
      </c>
      <c r="Y214" s="540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294.82758620689663</v>
      </c>
      <c r="Y215" s="541">
        <f>IFERROR(Y206/H206,"0")+IFERROR(Y207/H207,"0")+IFERROR(Y208/H208,"0")+IFERROR(Y209/H209,"0")+IFERROR(Y210/H210,"0")+IFERROR(Y211/H211,"0")+IFERROR(Y212/H212,"0")+IFERROR(Y213/H213,"0")+IFERROR(Y214/H214,"0")</f>
        <v>298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2.08962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780</v>
      </c>
      <c r="Y216" s="541">
        <f>IFERROR(SUM(Y206:Y214),"0")</f>
        <v>790.80000000000007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20</v>
      </c>
      <c r="Y218" s="540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40</v>
      </c>
      <c r="Y219" s="540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25</v>
      </c>
      <c r="Y220" s="541">
        <f>IFERROR(Y218/H218,"0")+IFERROR(Y219/H219,"0")</f>
        <v>26</v>
      </c>
      <c r="Z220" s="541">
        <f>IFERROR(IF(Z218="",0,Z218),"0")+IFERROR(IF(Z219="",0,Z219),"0")</f>
        <v>0.16926000000000002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60</v>
      </c>
      <c r="Y221" s="541">
        <f>IFERROR(SUM(Y218:Y219),"0")</f>
        <v>62.399999999999991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40</v>
      </c>
      <c r="Y224" s="540">
        <f t="shared" ref="Y224:Y233" si="21">IFERROR(IF(X224="",0,CEILING((X224/$H224),1)*$H224),"")</f>
        <v>46.4</v>
      </c>
      <c r="Z224" s="36">
        <f>IFERROR(IF(Y224=0,"",ROUNDUP(Y224/H224,0)*0.01898),"")</f>
        <v>7.5920000000000001E-2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41.413793103448278</v>
      </c>
      <c r="BN224" s="64">
        <f t="shared" ref="BN224:BN233" si="23">IFERROR(Y224*I224/H224,"0")</f>
        <v>48.04</v>
      </c>
      <c r="BO224" s="64">
        <f t="shared" ref="BO224:BO233" si="24">IFERROR(1/J224*(X224/H224),"0")</f>
        <v>5.387931034482759E-2</v>
      </c>
      <c r="BP224" s="64">
        <f t="shared" ref="BP224:BP233" si="25">IFERROR(1/J224*(Y224/H224),"0")</f>
        <v>6.25E-2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150</v>
      </c>
      <c r="Y226" s="540">
        <f t="shared" si="21"/>
        <v>150.79999999999998</v>
      </c>
      <c r="Z226" s="36">
        <f>IFERROR(IF(Y226=0,"",ROUNDUP(Y226/H226,0)*0.01898),"")</f>
        <v>0.24674000000000001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155.30172413793105</v>
      </c>
      <c r="BN226" s="64">
        <f t="shared" si="23"/>
        <v>156.12999999999997</v>
      </c>
      <c r="BO226" s="64">
        <f t="shared" si="24"/>
        <v>0.20204741379310345</v>
      </c>
      <c r="BP226" s="64">
        <f t="shared" si="25"/>
        <v>0.20312499999999997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80</v>
      </c>
      <c r="Y227" s="540">
        <f t="shared" si="21"/>
        <v>80</v>
      </c>
      <c r="Z227" s="36">
        <f>IFERROR(IF(Y227=0,"",ROUNDUP(Y227/H227,0)*0.00902),"")</f>
        <v>0.1804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83.800000000000011</v>
      </c>
      <c r="BN227" s="64">
        <f t="shared" si="23"/>
        <v>83.800000000000011</v>
      </c>
      <c r="BO227" s="64">
        <f t="shared" si="24"/>
        <v>0.15151515151515152</v>
      </c>
      <c r="BP227" s="64">
        <f t="shared" si="25"/>
        <v>0.15151515151515152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52</v>
      </c>
      <c r="Y232" s="540">
        <f t="shared" si="21"/>
        <v>52</v>
      </c>
      <c r="Z232" s="36">
        <f>IFERROR(IF(Y232=0,"",ROUNDUP(Y232/H232,0)*0.00902),"")</f>
        <v>0.11726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54.470000000000006</v>
      </c>
      <c r="BN232" s="64">
        <f t="shared" si="23"/>
        <v>54.470000000000006</v>
      </c>
      <c r="BO232" s="64">
        <f t="shared" si="24"/>
        <v>9.8484848484848481E-2</v>
      </c>
      <c r="BP232" s="64">
        <f t="shared" si="25"/>
        <v>9.8484848484848481E-2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49.379310344827587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50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0.62032000000000009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322</v>
      </c>
      <c r="Y235" s="541">
        <f>IFERROR(SUM(Y224:Y233),"0")</f>
        <v>329.2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3.8888888888888893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7.0000000000000009</v>
      </c>
      <c r="Y251" s="541">
        <f>IFERROR(SUM(Y245:Y249),"0")</f>
        <v>7.2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120</v>
      </c>
      <c r="Y273" s="540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129.00000000000003</v>
      </c>
      <c r="BN273" s="64">
        <f>IFERROR(Y273*I273/H273,"0")</f>
        <v>129.00000000000003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50</v>
      </c>
      <c r="Y274" s="541">
        <f>IFERROR(Y271/H271,"0")+IFERROR(Y272/H272,"0")+IFERROR(Y273/H273,"0")</f>
        <v>50</v>
      </c>
      <c r="Z274" s="541">
        <f>IFERROR(IF(Z271="",0,Z271),"0")+IFERROR(IF(Z272="",0,Z272),"0")+IFERROR(IF(Z273="",0,Z273),"0")</f>
        <v>0.32550000000000001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120</v>
      </c>
      <c r="Y275" s="541">
        <f>IFERROR(SUM(Y271:Y273),"0")</f>
        <v>120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20</v>
      </c>
      <c r="Y279" s="540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21.5</v>
      </c>
      <c r="BN279" s="64">
        <f>IFERROR(Y279*I279/H279,"0")</f>
        <v>23.22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8.3333333333333339</v>
      </c>
      <c r="Y280" s="541">
        <f>IFERROR(Y278/H278,"0")+IFERROR(Y279/H279,"0")</f>
        <v>9</v>
      </c>
      <c r="Z280" s="541">
        <f>IFERROR(IF(Z278="",0,Z278),"0")+IFERROR(IF(Z279="",0,Z279),"0")</f>
        <v>5.8590000000000003E-2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20</v>
      </c>
      <c r="Y281" s="541">
        <f>IFERROR(SUM(Y278:Y279),"0")</f>
        <v>21.599999999999998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3" t="s">
        <v>446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140</v>
      </c>
      <c r="Y301" s="540">
        <f t="shared" si="26"/>
        <v>140.70000000000002</v>
      </c>
      <c r="Z301" s="36">
        <f>IFERROR(IF(Y301=0,"",ROUNDUP(Y301/H301,0)*0.00502),"")</f>
        <v>0.33634000000000003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146.66666666666666</v>
      </c>
      <c r="BN301" s="64">
        <f t="shared" si="28"/>
        <v>147.40000000000003</v>
      </c>
      <c r="BO301" s="64">
        <f t="shared" si="29"/>
        <v>0.28490028490028491</v>
      </c>
      <c r="BP301" s="64">
        <f t="shared" si="30"/>
        <v>0.28632478632478636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24</v>
      </c>
      <c r="Y303" s="540">
        <f t="shared" si="26"/>
        <v>25.2</v>
      </c>
      <c r="Z303" s="36">
        <f>IFERROR(IF(Y303=0,"",ROUNDUP(Y303/H303,0)*0.00651),"")</f>
        <v>9.1139999999999999E-2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27.04</v>
      </c>
      <c r="BN303" s="64">
        <f t="shared" si="28"/>
        <v>28.391999999999999</v>
      </c>
      <c r="BO303" s="64">
        <f t="shared" si="29"/>
        <v>7.3260073260073263E-2</v>
      </c>
      <c r="BP303" s="64">
        <f t="shared" si="30"/>
        <v>7.6923076923076927E-2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79.999999999999986</v>
      </c>
      <c r="Y304" s="541">
        <f>IFERROR(Y297/H297,"0")+IFERROR(Y298/H298,"0")+IFERROR(Y299/H299,"0")+IFERROR(Y300/H300,"0")+IFERROR(Y301/H301,"0")+IFERROR(Y302/H302,"0")+IFERROR(Y303/H303,"0")</f>
        <v>81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0.42748000000000003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164</v>
      </c>
      <c r="Y305" s="541">
        <f>IFERROR(SUM(Y297:Y303),"0")</f>
        <v>165.9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500</v>
      </c>
      <c r="Y315" s="540">
        <f>IFERROR(IF(X315="",0,CEILING((X315/$H315),1)*$H315),"")</f>
        <v>507</v>
      </c>
      <c r="Z315" s="36">
        <f>IFERROR(IF(Y315=0,"",ROUNDUP(Y315/H315,0)*0.01898),"")</f>
        <v>1.2337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531.66666666666663</v>
      </c>
      <c r="BN315" s="64">
        <f>IFERROR(Y315*I315/H315,"0")</f>
        <v>539.11</v>
      </c>
      <c r="BO315" s="64">
        <f>IFERROR(1/J315*(X315/H315),"0")</f>
        <v>1.0016025641025641</v>
      </c>
      <c r="BP315" s="64">
        <f>IFERROR(1/J315*(Y315/H315),"0")</f>
        <v>1.015625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200</v>
      </c>
      <c r="Y316" s="540">
        <f>IFERROR(IF(X316="",0,CEILING((X316/$H316),1)*$H316),"")</f>
        <v>201.60000000000002</v>
      </c>
      <c r="Z316" s="36">
        <f>IFERROR(IF(Y316=0,"",ROUNDUP(Y316/H316,0)*0.01898),"")</f>
        <v>0.45552000000000004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211.76190476190476</v>
      </c>
      <c r="BN316" s="64">
        <f>IFERROR(Y316*I316/H316,"0")</f>
        <v>213.45600000000002</v>
      </c>
      <c r="BO316" s="64">
        <f>IFERROR(1/J316*(X316/H316),"0")</f>
        <v>0.37202380952380953</v>
      </c>
      <c r="BP316" s="64">
        <f>IFERROR(1/J316*(Y316/H316),"0")</f>
        <v>0.375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90.293040293040292</v>
      </c>
      <c r="Y317" s="541">
        <f>IFERROR(Y314/H314,"0")+IFERROR(Y315/H315,"0")+IFERROR(Y316/H316,"0")</f>
        <v>92</v>
      </c>
      <c r="Z317" s="541">
        <f>IFERROR(IF(Z314="",0,Z314),"0")+IFERROR(IF(Z315="",0,Z315),"0")+IFERROR(IF(Z316="",0,Z316),"0")</f>
        <v>1.7461600000000002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720</v>
      </c>
      <c r="Y318" s="541">
        <f>IFERROR(SUM(Y314:Y316),"0")</f>
        <v>733.80000000000007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136</v>
      </c>
      <c r="Y322" s="540">
        <f>IFERROR(IF(X322="",0,CEILING((X322/$H322),1)*$H322),"")</f>
        <v>137.69999999999999</v>
      </c>
      <c r="Z322" s="36">
        <f>IFERROR(IF(Y322=0,"",ROUNDUP(Y322/H322,0)*0.00651),"")</f>
        <v>0.35154000000000002</v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157.60000000000002</v>
      </c>
      <c r="BN322" s="64">
        <f>IFERROR(Y322*I322/H322,"0")</f>
        <v>159.57</v>
      </c>
      <c r="BO322" s="64">
        <f>IFERROR(1/J322*(X322/H322),"0")</f>
        <v>0.29304029304029305</v>
      </c>
      <c r="BP322" s="64">
        <f>IFERROR(1/J322*(Y322/H322),"0")</f>
        <v>0.2967032967032967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595</v>
      </c>
      <c r="Y323" s="540">
        <f>IFERROR(IF(X323="",0,CEILING((X323/$H323),1)*$H323),"")</f>
        <v>596.69999999999993</v>
      </c>
      <c r="Z323" s="36">
        <f>IFERROR(IF(Y323=0,"",ROUNDUP(Y323/H323,0)*0.00651),"")</f>
        <v>1.5233400000000001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672</v>
      </c>
      <c r="BN323" s="64">
        <f>IFERROR(Y323*I323/H323,"0")</f>
        <v>673.92</v>
      </c>
      <c r="BO323" s="64">
        <f>IFERROR(1/J323*(X323/H323),"0")</f>
        <v>1.2820512820512822</v>
      </c>
      <c r="BP323" s="64">
        <f>IFERROR(1/J323*(Y323/H323),"0")</f>
        <v>1.2857142857142858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286.66666666666669</v>
      </c>
      <c r="Y324" s="541">
        <f>IFERROR(Y320/H320,"0")+IFERROR(Y321/H321,"0")+IFERROR(Y322/H322,"0")+IFERROR(Y323/H323,"0")</f>
        <v>288</v>
      </c>
      <c r="Z324" s="541">
        <f>IFERROR(IF(Z320="",0,Z320),"0")+IFERROR(IF(Z321="",0,Z321),"0")+IFERROR(IF(Z322="",0,Z322),"0")+IFERROR(IF(Z323="",0,Z323),"0")</f>
        <v>1.8748800000000001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731</v>
      </c>
      <c r="Y325" s="541">
        <f>IFERROR(SUM(Y320:Y323),"0")</f>
        <v>734.39999999999986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100</v>
      </c>
      <c r="Y327" s="540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200</v>
      </c>
      <c r="Y329" s="540">
        <f>IFERROR(IF(X329="",0,CEILING((X329/$H329),1)*$H329),"")</f>
        <v>200</v>
      </c>
      <c r="Z329" s="36">
        <f>IFERROR(IF(Y329=0,"",ROUNDUP(Y329/H329,0)*0.00474),"")</f>
        <v>0.47400000000000003</v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224.00000000000003</v>
      </c>
      <c r="BN329" s="64">
        <f>IFERROR(Y329*I329/H329,"0")</f>
        <v>224.00000000000003</v>
      </c>
      <c r="BO329" s="64">
        <f>IFERROR(1/J329*(X329/H329),"0")</f>
        <v>0.42016806722689076</v>
      </c>
      <c r="BP329" s="64">
        <f>IFERROR(1/J329*(Y329/H329),"0")</f>
        <v>0.42016806722689076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150</v>
      </c>
      <c r="Y330" s="541">
        <f>IFERROR(Y327/H327,"0")+IFERROR(Y328/H328,"0")+IFERROR(Y329/H329,"0")</f>
        <v>150</v>
      </c>
      <c r="Z330" s="541">
        <f>IFERROR(IF(Z327="",0,Z327),"0")+IFERROR(IF(Z328="",0,Z328),"0")+IFERROR(IF(Z329="",0,Z329),"0")</f>
        <v>0.71100000000000008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300</v>
      </c>
      <c r="Y331" s="541">
        <f>IFERROR(SUM(Y327:Y329),"0")</f>
        <v>300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700</v>
      </c>
      <c r="Y335" s="540">
        <f>IFERROR(IF(X335="",0,CEILING((X335/$H335),1)*$H335),"")</f>
        <v>701.4</v>
      </c>
      <c r="Z335" s="36">
        <f>IFERROR(IF(Y335=0,"",ROUNDUP(Y335/H335,0)*0.00651),"")</f>
        <v>2.1743399999999999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783.99999999999989</v>
      </c>
      <c r="BN335" s="64">
        <f>IFERROR(Y335*I335/H335,"0")</f>
        <v>785.56799999999987</v>
      </c>
      <c r="BO335" s="64">
        <f>IFERROR(1/J335*(X335/H335),"0")</f>
        <v>1.8315018315018314</v>
      </c>
      <c r="BP335" s="64">
        <f>IFERROR(1/J335*(Y335/H335),"0")</f>
        <v>1.8351648351648353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350</v>
      </c>
      <c r="Y336" s="540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500</v>
      </c>
      <c r="Y337" s="541">
        <f>IFERROR(Y334/H334,"0")+IFERROR(Y335/H335,"0")+IFERROR(Y336/H336,"0")</f>
        <v>501</v>
      </c>
      <c r="Z337" s="541">
        <f>IFERROR(IF(Z334="",0,Z334),"0")+IFERROR(IF(Z335="",0,Z335),"0")+IFERROR(IF(Z336="",0,Z336),"0")</f>
        <v>3.2615099999999999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1050</v>
      </c>
      <c r="Y338" s="541">
        <f>IFERROR(SUM(Y334:Y336),"0")</f>
        <v>1052.0999999999999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1800</v>
      </c>
      <c r="Y342" s="540">
        <f t="shared" ref="Y342:Y348" si="31">IFERROR(IF(X342="",0,CEILING((X342/$H342),1)*$H342),"")</f>
        <v>1800</v>
      </c>
      <c r="Z342" s="36">
        <f>IFERROR(IF(Y342=0,"",ROUNDUP(Y342/H342,0)*0.02175),"")</f>
        <v>2.61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1856.4</v>
      </c>
      <c r="BN342" s="64">
        <f t="shared" ref="BN342:BN348" si="33">IFERROR(Y342*I342/H342,"0")</f>
        <v>1856.4</v>
      </c>
      <c r="BO342" s="64">
        <f t="shared" ref="BO342:BO348" si="34">IFERROR(1/J342*(X342/H342),"0")</f>
        <v>2.5</v>
      </c>
      <c r="BP342" s="64">
        <f t="shared" ref="BP342:BP348" si="35">IFERROR(1/J342*(Y342/H342),"0")</f>
        <v>2.5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700</v>
      </c>
      <c r="Y343" s="540">
        <f t="shared" si="31"/>
        <v>705</v>
      </c>
      <c r="Z343" s="36">
        <f>IFERROR(IF(Y343=0,"",ROUNDUP(Y343/H343,0)*0.02175),"")</f>
        <v>1.0222499999999999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721.93333333333328</v>
      </c>
      <c r="BN343" s="64">
        <f t="shared" si="33"/>
        <v>727.09</v>
      </c>
      <c r="BO343" s="64">
        <f t="shared" si="34"/>
        <v>0.9722222222222221</v>
      </c>
      <c r="BP343" s="64">
        <f t="shared" si="35"/>
        <v>0.97916666666666663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1500</v>
      </c>
      <c r="Y344" s="540">
        <f t="shared" si="31"/>
        <v>1500</v>
      </c>
      <c r="Z344" s="36">
        <f>IFERROR(IF(Y344=0,"",ROUNDUP(Y344/H344,0)*0.02175),"")</f>
        <v>2.1749999999999998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1547</v>
      </c>
      <c r="BN344" s="64">
        <f t="shared" si="33"/>
        <v>1547</v>
      </c>
      <c r="BO344" s="64">
        <f t="shared" si="34"/>
        <v>2.083333333333333</v>
      </c>
      <c r="BP344" s="64">
        <f t="shared" si="35"/>
        <v>2.083333333333333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400</v>
      </c>
      <c r="Y345" s="540">
        <f t="shared" si="31"/>
        <v>405</v>
      </c>
      <c r="Z345" s="36">
        <f>IFERROR(IF(Y345=0,"",ROUNDUP(Y345/H345,0)*0.02175),"")</f>
        <v>0.58724999999999994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412.53333333333336</v>
      </c>
      <c r="BN345" s="64">
        <f t="shared" si="33"/>
        <v>417.69</v>
      </c>
      <c r="BO345" s="64">
        <f t="shared" si="34"/>
        <v>0.55555555555555558</v>
      </c>
      <c r="BP345" s="64">
        <f t="shared" si="35"/>
        <v>0.5625</v>
      </c>
    </row>
    <row r="346" spans="1:68" ht="27" customHeight="1" x14ac:dyDescent="0.25">
      <c r="A346" s="54" t="s">
        <v>546</v>
      </c>
      <c r="B346" s="54" t="s">
        <v>547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125</v>
      </c>
      <c r="Y348" s="540">
        <f t="shared" si="31"/>
        <v>125</v>
      </c>
      <c r="Z348" s="36">
        <f>IFERROR(IF(Y348=0,"",ROUNDUP(Y348/H348,0)*0.00902),"")</f>
        <v>0.22550000000000001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129.75</v>
      </c>
      <c r="BN348" s="64">
        <f t="shared" si="33"/>
        <v>129.75</v>
      </c>
      <c r="BO348" s="64">
        <f t="shared" si="34"/>
        <v>0.18939393939393939</v>
      </c>
      <c r="BP348" s="64">
        <f t="shared" si="35"/>
        <v>0.18939393939393939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318.33333333333331</v>
      </c>
      <c r="Y349" s="541">
        <f>IFERROR(Y342/H342,"0")+IFERROR(Y343/H343,"0")+IFERROR(Y344/H344,"0")+IFERROR(Y345/H345,"0")+IFERROR(Y346/H346,"0")+IFERROR(Y347/H347,"0")+IFERROR(Y348/H348,"0")</f>
        <v>319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6.62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4525</v>
      </c>
      <c r="Y350" s="541">
        <f>IFERROR(SUM(Y342:Y348),"0")</f>
        <v>4535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16</v>
      </c>
      <c r="Y353" s="540">
        <f>IFERROR(IF(X353="",0,CEILING((X353/$H353),1)*$H353),"")</f>
        <v>16</v>
      </c>
      <c r="Z353" s="36">
        <f>IFERROR(IF(Y353=0,"",ROUNDUP(Y353/H353,0)*0.00902),"")</f>
        <v>3.6080000000000001E-2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16.760000000000002</v>
      </c>
      <c r="BN353" s="64">
        <f>IFERROR(Y353*I353/H353,"0")</f>
        <v>16.760000000000002</v>
      </c>
      <c r="BO353" s="64">
        <f>IFERROR(1/J353*(X353/H353),"0")</f>
        <v>3.0303030303030304E-2</v>
      </c>
      <c r="BP353" s="64">
        <f>IFERROR(1/J353*(Y353/H353),"0")</f>
        <v>3.0303030303030304E-2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70.666666666666671</v>
      </c>
      <c r="Y354" s="541">
        <f>IFERROR(Y352/H352,"0")+IFERROR(Y353/H353,"0")</f>
        <v>71</v>
      </c>
      <c r="Z354" s="541">
        <f>IFERROR(IF(Z352="",0,Z352),"0")+IFERROR(IF(Z353="",0,Z353),"0")</f>
        <v>1.4933299999999998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1016</v>
      </c>
      <c r="Y355" s="541">
        <f>IFERROR(SUM(Y352:Y353),"0")</f>
        <v>1021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50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5.5555555555555554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50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567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30</v>
      </c>
      <c r="Y377" s="540">
        <f>IFERROR(IF(X377="",0,CEILING((X377/$H377),1)*$H377),"")</f>
        <v>36</v>
      </c>
      <c r="Z377" s="36">
        <f>IFERROR(IF(Y377=0,"",ROUNDUP(Y377/H377,0)*0.01898),"")</f>
        <v>7.5920000000000001E-2</v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31.646666666666665</v>
      </c>
      <c r="BN377" s="64">
        <f>IFERROR(Y377*I377/H377,"0")</f>
        <v>37.975999999999999</v>
      </c>
      <c r="BO377" s="64">
        <f>IFERROR(1/J377*(X377/H377),"0")</f>
        <v>5.2083333333333336E-2</v>
      </c>
      <c r="BP377" s="64">
        <f>IFERROR(1/J377*(Y377/H377),"0")</f>
        <v>6.25E-2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3.3333333333333335</v>
      </c>
      <c r="Y379" s="541">
        <f>IFERROR(Y377/H377,"0")+IFERROR(Y378/H378,"0")</f>
        <v>4</v>
      </c>
      <c r="Z379" s="541">
        <f>IFERROR(IF(Z377="",0,Z377),"0")+IFERROR(IF(Z378="",0,Z378),"0")</f>
        <v>7.5920000000000001E-2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30</v>
      </c>
      <c r="Y380" s="541">
        <f>IFERROR(SUM(Y377:Y378),"0")</f>
        <v>36</v>
      </c>
      <c r="Z380" s="37"/>
      <c r="AA380" s="542"/>
      <c r="AB380" s="542"/>
      <c r="AC380" s="542"/>
    </row>
    <row r="381" spans="1:68" ht="27.75" customHeight="1" x14ac:dyDescent="0.2">
      <c r="A381" s="693" t="s">
        <v>583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584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585</v>
      </c>
      <c r="B384" s="54" t="s">
        <v>586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588</v>
      </c>
      <c r="B385" s="54" t="s">
        <v>589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10</v>
      </c>
      <c r="Y386" s="540">
        <f t="shared" si="36"/>
        <v>10.8</v>
      </c>
      <c r="Z386" s="36">
        <f>IFERROR(IF(Y386=0,"",ROUNDUP(Y386/H386,0)*0.00902),"")</f>
        <v>1.804E-2</v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10.351851851851851</v>
      </c>
      <c r="BN386" s="64">
        <f t="shared" si="38"/>
        <v>11.18</v>
      </c>
      <c r="BO386" s="64">
        <f t="shared" si="39"/>
        <v>1.4029180695847361E-2</v>
      </c>
      <c r="BP386" s="64">
        <f t="shared" si="40"/>
        <v>1.5151515151515152E-2</v>
      </c>
    </row>
    <row r="387" spans="1:68" ht="27" customHeight="1" x14ac:dyDescent="0.25">
      <c r="A387" s="54" t="s">
        <v>594</v>
      </c>
      <c r="B387" s="54" t="s">
        <v>595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17.5</v>
      </c>
      <c r="Y388" s="540">
        <f t="shared" si="36"/>
        <v>18.900000000000002</v>
      </c>
      <c r="Z388" s="36">
        <f t="shared" si="41"/>
        <v>4.5179999999999998E-2</v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18.583333333333332</v>
      </c>
      <c r="BN388" s="64">
        <f t="shared" si="38"/>
        <v>20.07</v>
      </c>
      <c r="BO388" s="64">
        <f t="shared" si="39"/>
        <v>3.5612535612535613E-2</v>
      </c>
      <c r="BP388" s="64">
        <f t="shared" si="40"/>
        <v>3.8461538461538464E-2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607</v>
      </c>
      <c r="B392" s="54" t="s">
        <v>608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26.851851851851848</v>
      </c>
      <c r="Y393" s="541">
        <f>IFERROR(Y384/H384,"0")+IFERROR(Y385/H385,"0")+IFERROR(Y386/H386,"0")+IFERROR(Y387/H387,"0")+IFERROR(Y388/H388,"0")+IFERROR(Y389/H389,"0")+IFERROR(Y390/H390,"0")+IFERROR(Y391/H391,"0")+IFERROR(Y392/H392,"0")</f>
        <v>28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0.14856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62.5</v>
      </c>
      <c r="Y394" s="541">
        <f>IFERROR(SUM(Y384:Y392),"0")</f>
        <v>65.400000000000006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609</v>
      </c>
      <c r="B396" s="54" t="s">
        <v>610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612</v>
      </c>
      <c r="B397" s="54" t="s">
        <v>613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615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616</v>
      </c>
      <c r="B402" s="54" t="s">
        <v>617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619</v>
      </c>
      <c r="B406" s="54" t="s">
        <v>620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622</v>
      </c>
      <c r="B407" s="54" t="s">
        <v>623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10.5</v>
      </c>
      <c r="Y409" s="540">
        <f>IFERROR(IF(X409="",0,CEILING((X409/$H409),1)*$H409),"")</f>
        <v>10.5</v>
      </c>
      <c r="Z409" s="36">
        <f>IFERROR(IF(Y409=0,"",ROUNDUP(Y409/H409,0)*0.00502),"")</f>
        <v>2.5100000000000001E-2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11.149999999999999</v>
      </c>
      <c r="BN409" s="64">
        <f>IFERROR(Y409*I409/H409,"0")</f>
        <v>11.149999999999999</v>
      </c>
      <c r="BO409" s="64">
        <f>IFERROR(1/J409*(X409/H409),"0")</f>
        <v>2.1367521367521368E-2</v>
      </c>
      <c r="BP409" s="64">
        <f>IFERROR(1/J409*(Y409/H409),"0")</f>
        <v>2.1367521367521368E-2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5</v>
      </c>
      <c r="Y410" s="541">
        <f>IFERROR(Y406/H406,"0")+IFERROR(Y407/H407,"0")+IFERROR(Y408/H408,"0")+IFERROR(Y409/H409,"0")</f>
        <v>5</v>
      </c>
      <c r="Z410" s="541">
        <f>IFERROR(IF(Z406="",0,Z406),"0")+IFERROR(IF(Z407="",0,Z407),"0")+IFERROR(IF(Z408="",0,Z408),"0")+IFERROR(IF(Z409="",0,Z409),"0")</f>
        <v>2.5100000000000001E-2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10.5</v>
      </c>
      <c r="Y411" s="541">
        <f>IFERROR(SUM(Y406:Y409),"0")</f>
        <v>10.5</v>
      </c>
      <c r="Z411" s="37"/>
      <c r="AA411" s="542"/>
      <c r="AB411" s="542"/>
      <c r="AC411" s="542"/>
    </row>
    <row r="412" spans="1:68" ht="16.5" customHeight="1" x14ac:dyDescent="0.25">
      <c r="A412" s="552" t="s">
        <v>630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40</v>
      </c>
      <c r="Y414" s="540">
        <f>IFERROR(IF(X414="",0,CEILING((X414/$H414),1)*$H414),"")</f>
        <v>40.799999999999997</v>
      </c>
      <c r="Z414" s="36">
        <f>IFERROR(IF(Y414=0,"",ROUNDUP(Y414/H414,0)*0.00651),"")</f>
        <v>0.22134000000000001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70</v>
      </c>
      <c r="BN414" s="64">
        <f>IFERROR(Y414*I414/H414,"0")</f>
        <v>71.399999999999991</v>
      </c>
      <c r="BO414" s="64">
        <f>IFERROR(1/J414*(X414/H414),"0")</f>
        <v>0.18315018315018317</v>
      </c>
      <c r="BP414" s="64">
        <f>IFERROR(1/J414*(Y414/H414),"0")</f>
        <v>0.18681318681318682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33.333333333333336</v>
      </c>
      <c r="Y415" s="541">
        <f>IFERROR(Y414/H414,"0")</f>
        <v>34</v>
      </c>
      <c r="Z415" s="541">
        <f>IFERROR(IF(Z414="",0,Z414),"0")</f>
        <v>0.22134000000000001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40</v>
      </c>
      <c r="Y416" s="541">
        <f>IFERROR(SUM(Y414:Y414),"0")</f>
        <v>40.799999999999997</v>
      </c>
      <c r="Z416" s="37"/>
      <c r="AA416" s="542"/>
      <c r="AB416" s="542"/>
      <c r="AC416" s="542"/>
    </row>
    <row r="417" spans="1:68" ht="27.75" customHeight="1" x14ac:dyDescent="0.2">
      <c r="A417" s="693" t="s">
        <v>634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634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110</v>
      </c>
      <c r="Y420" s="540">
        <f t="shared" ref="Y420:Y430" si="42">IFERROR(IF(X420="",0,CEILING((X420/$H420),1)*$H420),"")</f>
        <v>110.88000000000001</v>
      </c>
      <c r="Z420" s="36">
        <f t="shared" ref="Z420:Z425" si="43">IFERROR(IF(Y420=0,"",ROUNDUP(Y420/H420,0)*0.01196),"")</f>
        <v>0.25115999999999999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117.29166666666666</v>
      </c>
      <c r="BN420" s="64">
        <f t="shared" ref="BN420:BN430" si="45">IFERROR(Y420*I420/H420,"0")</f>
        <v>118.23</v>
      </c>
      <c r="BO420" s="64">
        <f t="shared" ref="BO420:BO430" si="46">IFERROR(1/J420*(X420/H420),"0")</f>
        <v>0.20032051282051283</v>
      </c>
      <c r="BP420" s="64">
        <f t="shared" ref="BP420:BP430" si="47">IFERROR(1/J420*(Y420/H420),"0")</f>
        <v>0.20192307692307693</v>
      </c>
    </row>
    <row r="421" spans="1:68" ht="27" customHeight="1" x14ac:dyDescent="0.25">
      <c r="A421" s="54" t="s">
        <v>637</v>
      </c>
      <c r="B421" s="54" t="s">
        <v>638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100</v>
      </c>
      <c r="Y423" s="540">
        <f t="shared" si="42"/>
        <v>100.32000000000001</v>
      </c>
      <c r="Z423" s="36">
        <f t="shared" si="43"/>
        <v>0.22724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16.5" customHeight="1" x14ac:dyDescent="0.25">
      <c r="A424" s="54" t="s">
        <v>646</v>
      </c>
      <c r="B424" s="54" t="s">
        <v>647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customHeight="1" x14ac:dyDescent="0.25">
      <c r="A426" s="54" t="s">
        <v>652</v>
      </c>
      <c r="B426" s="54" t="s">
        <v>653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120</v>
      </c>
      <c r="Y427" s="540">
        <f t="shared" si="42"/>
        <v>120</v>
      </c>
      <c r="Z427" s="36">
        <f>IFERROR(IF(Y427=0,"",ROUNDUP(Y427/H427,0)*0.00902),"")</f>
        <v>0.22550000000000001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172.75000000000003</v>
      </c>
      <c r="BN427" s="64">
        <f t="shared" si="45"/>
        <v>172.75000000000003</v>
      </c>
      <c r="BO427" s="64">
        <f t="shared" si="46"/>
        <v>0.18939393939393939</v>
      </c>
      <c r="BP427" s="64">
        <f t="shared" si="47"/>
        <v>0.18939393939393939</v>
      </c>
    </row>
    <row r="428" spans="1:68" ht="27" customHeight="1" x14ac:dyDescent="0.25">
      <c r="A428" s="54" t="s">
        <v>656</v>
      </c>
      <c r="B428" s="54" t="s">
        <v>657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118.18181818181817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119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1.27624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600</v>
      </c>
      <c r="Y432" s="541">
        <f>IFERROR(SUM(Y420:Y430),"0")</f>
        <v>604.32000000000005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140</v>
      </c>
      <c r="Y434" s="540">
        <f>IFERROR(IF(X434="",0,CEILING((X434/$H434),1)*$H434),"")</f>
        <v>142.56</v>
      </c>
      <c r="Z434" s="36">
        <f>IFERROR(IF(Y434=0,"",ROUNDUP(Y434/H434,0)*0.01196),"")</f>
        <v>0.32291999999999998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149.280303030303</v>
      </c>
      <c r="BN434" s="64">
        <f>IFERROR(Y434*I434/H434,"0")</f>
        <v>152.01</v>
      </c>
      <c r="BO434" s="64">
        <f>IFERROR(1/J434*(X434/H434),"0")</f>
        <v>0.25495337995337997</v>
      </c>
      <c r="BP434" s="64">
        <f>IFERROR(1/J434*(Y434/H434),"0")</f>
        <v>0.25961538461538464</v>
      </c>
    </row>
    <row r="435" spans="1:68" ht="16.5" customHeight="1" x14ac:dyDescent="0.25">
      <c r="A435" s="54" t="s">
        <v>666</v>
      </c>
      <c r="B435" s="54" t="s">
        <v>667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26.515151515151516</v>
      </c>
      <c r="Y437" s="541">
        <f>IFERROR(Y434/H434,"0")+IFERROR(Y435/H435,"0")+IFERROR(Y436/H436,"0")</f>
        <v>27</v>
      </c>
      <c r="Z437" s="541">
        <f>IFERROR(IF(Z434="",0,Z434),"0")+IFERROR(IF(Z435="",0,Z435),"0")+IFERROR(IF(Z436="",0,Z436),"0")</f>
        <v>0.32291999999999998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140</v>
      </c>
      <c r="Y438" s="541">
        <f>IFERROR(SUM(Y434:Y436),"0")</f>
        <v>142.56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20</v>
      </c>
      <c r="Y440" s="540">
        <f t="shared" ref="Y440:Y445" si="48">IFERROR(IF(X440="",0,CEILING((X440/$H440),1)*$H440),"")</f>
        <v>21.12</v>
      </c>
      <c r="Z440" s="36">
        <f>IFERROR(IF(Y440=0,"",ROUNDUP(Y440/H440,0)*0.01196),"")</f>
        <v>4.7840000000000001E-2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21.325757575757574</v>
      </c>
      <c r="BN440" s="64">
        <f t="shared" ref="BN440:BN445" si="50">IFERROR(Y440*I440/H440,"0")</f>
        <v>22.52</v>
      </c>
      <c r="BO440" s="64">
        <f t="shared" ref="BO440:BO445" si="51">IFERROR(1/J440*(X440/H440),"0")</f>
        <v>3.6421911421911424E-2</v>
      </c>
      <c r="BP440" s="64">
        <f t="shared" ref="BP440:BP445" si="52">IFERROR(1/J440*(Y440/H440),"0")</f>
        <v>3.8461538461538464E-2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100</v>
      </c>
      <c r="Y442" s="540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24</v>
      </c>
      <c r="Y443" s="540">
        <f t="shared" si="48"/>
        <v>24</v>
      </c>
      <c r="Z443" s="36">
        <f>IFERROR(IF(Y443=0,"",ROUNDUP(Y443/H443,0)*0.00902),"")</f>
        <v>4.5100000000000001E-2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34.550000000000004</v>
      </c>
      <c r="BN443" s="64">
        <f t="shared" si="50"/>
        <v>34.550000000000004</v>
      </c>
      <c r="BO443" s="64">
        <f t="shared" si="51"/>
        <v>3.787878787878788E-2</v>
      </c>
      <c r="BP443" s="64">
        <f t="shared" si="52"/>
        <v>3.787878787878788E-2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24</v>
      </c>
      <c r="Y444" s="540">
        <f t="shared" si="48"/>
        <v>24</v>
      </c>
      <c r="Z444" s="36">
        <f>IFERROR(IF(Y444=0,"",ROUNDUP(Y444/H444,0)*0.00902),"")</f>
        <v>4.5100000000000001E-2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33.35</v>
      </c>
      <c r="BN444" s="64">
        <f t="shared" si="50"/>
        <v>33.35</v>
      </c>
      <c r="BO444" s="64">
        <f t="shared" si="51"/>
        <v>3.787878787878788E-2</v>
      </c>
      <c r="BP444" s="64">
        <f t="shared" si="52"/>
        <v>3.787878787878788E-2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54</v>
      </c>
      <c r="Y445" s="540">
        <f t="shared" si="48"/>
        <v>57.599999999999994</v>
      </c>
      <c r="Z445" s="36">
        <f>IFERROR(IF(Y445=0,"",ROUNDUP(Y445/H445,0)*0.00902),"")</f>
        <v>0.10824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75.037500000000009</v>
      </c>
      <c r="BN445" s="64">
        <f t="shared" si="50"/>
        <v>80.039999999999992</v>
      </c>
      <c r="BO445" s="64">
        <f t="shared" si="51"/>
        <v>8.5227272727272735E-2</v>
      </c>
      <c r="BP445" s="64">
        <f t="shared" si="52"/>
        <v>9.0909090909090912E-2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43.977272727272727</v>
      </c>
      <c r="Y446" s="541">
        <f>IFERROR(Y440/H440,"0")+IFERROR(Y441/H441,"0")+IFERROR(Y442/H442,"0")+IFERROR(Y443/H443,"0")+IFERROR(Y444/H444,"0")+IFERROR(Y445/H445,"0")</f>
        <v>45</v>
      </c>
      <c r="Z446" s="541">
        <f>IFERROR(IF(Z440="",0,Z440),"0")+IFERROR(IF(Z441="",0,Z441),"0")+IFERROR(IF(Z442="",0,Z442),"0")+IFERROR(IF(Z443="",0,Z443),"0")+IFERROR(IF(Z444="",0,Z444),"0")+IFERROR(IF(Z445="",0,Z445),"0")</f>
        <v>0.47352000000000005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222</v>
      </c>
      <c r="Y447" s="541">
        <f>IFERROR(SUM(Y440:Y445),"0")</f>
        <v>227.04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685</v>
      </c>
      <c r="B449" s="54" t="s">
        <v>686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688</v>
      </c>
      <c r="B450" s="54" t="s">
        <v>689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691</v>
      </c>
      <c r="B451" s="54" t="s">
        <v>692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694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694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695</v>
      </c>
      <c r="B457" s="54" t="s">
        <v>696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698</v>
      </c>
      <c r="B458" s="54" t="s">
        <v>699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400</v>
      </c>
      <c r="Y459" s="540">
        <f>IFERROR(IF(X459="",0,CEILING((X459/$H459),1)*$H459),"")</f>
        <v>408</v>
      </c>
      <c r="Z459" s="36">
        <f>IFERROR(IF(Y459=0,"",ROUNDUP(Y459/H459,0)*0.01898),"")</f>
        <v>0.64532</v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413.66666666666669</v>
      </c>
      <c r="BN459" s="64">
        <f>IFERROR(Y459*I459/H459,"0")</f>
        <v>421.94</v>
      </c>
      <c r="BO459" s="64">
        <f>IFERROR(1/J459*(X459/H459),"0")</f>
        <v>0.52083333333333337</v>
      </c>
      <c r="BP459" s="64">
        <f>IFERROR(1/J459*(Y459/H459),"0")</f>
        <v>0.53125</v>
      </c>
    </row>
    <row r="460" spans="1:68" ht="27" customHeight="1" x14ac:dyDescent="0.25">
      <c r="A460" s="54" t="s">
        <v>704</v>
      </c>
      <c r="B460" s="54" t="s">
        <v>705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33.333333333333336</v>
      </c>
      <c r="Y461" s="541">
        <f>IFERROR(Y457/H457,"0")+IFERROR(Y458/H458,"0")+IFERROR(Y459/H459,"0")+IFERROR(Y460/H460,"0")</f>
        <v>34</v>
      </c>
      <c r="Z461" s="541">
        <f>IFERROR(IF(Z457="",0,Z457),"0")+IFERROR(IF(Z458="",0,Z458),"0")+IFERROR(IF(Z459="",0,Z459),"0")+IFERROR(IF(Z460="",0,Z460),"0")</f>
        <v>0.64532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400</v>
      </c>
      <c r="Y462" s="541">
        <f>IFERROR(SUM(Y457:Y460),"0")</f>
        <v>408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706</v>
      </c>
      <c r="B464" s="54" t="s">
        <v>707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709</v>
      </c>
      <c r="B465" s="54" t="s">
        <v>710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715</v>
      </c>
      <c r="B470" s="54" t="s">
        <v>716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718</v>
      </c>
      <c r="B471" s="54" t="s">
        <v>719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1200</v>
      </c>
      <c r="Y475" s="540">
        <f>IFERROR(IF(X475="",0,CEILING((X475/$H475),1)*$H475),"")</f>
        <v>1206</v>
      </c>
      <c r="Z475" s="36">
        <f>IFERROR(IF(Y475=0,"",ROUNDUP(Y475/H475,0)*0.01898),"")</f>
        <v>2.54332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1265.8666666666666</v>
      </c>
      <c r="BN475" s="64">
        <f>IFERROR(Y475*I475/H475,"0")</f>
        <v>1272.1959999999999</v>
      </c>
      <c r="BO475" s="64">
        <f>IFERROR(1/J475*(X475/H475),"0")</f>
        <v>2.0833333333333335</v>
      </c>
      <c r="BP475" s="64">
        <f>IFERROR(1/J475*(Y475/H475),"0")</f>
        <v>2.09375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133.33333333333334</v>
      </c>
      <c r="Y476" s="541">
        <f>IFERROR(Y475/H475,"0")</f>
        <v>134</v>
      </c>
      <c r="Z476" s="541">
        <f>IFERROR(IF(Z475="",0,Z475),"0")</f>
        <v>2.54332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1200</v>
      </c>
      <c r="Y477" s="541">
        <f>IFERROR(SUM(Y475:Y475),"0")</f>
        <v>1206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727</v>
      </c>
      <c r="B480" s="54" t="s">
        <v>728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730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731</v>
      </c>
      <c r="B485" s="54" t="s">
        <v>732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734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17469.2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17627.14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735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18654.343772356846</v>
      </c>
      <c r="Y489" s="541">
        <f>IFERROR(SUM(BN22:BN485),"0")</f>
        <v>18822.853999999999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736</v>
      </c>
      <c r="Q490" s="628"/>
      <c r="R490" s="628"/>
      <c r="S490" s="628"/>
      <c r="T490" s="628"/>
      <c r="U490" s="628"/>
      <c r="V490" s="629"/>
      <c r="W490" s="37" t="s">
        <v>737</v>
      </c>
      <c r="X490" s="38">
        <f>ROUNDUP(SUM(BO22:BO485),0)</f>
        <v>31</v>
      </c>
      <c r="Y490" s="38">
        <f>ROUNDUP(SUM(BP22:BP485),0)</f>
        <v>32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738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19429.343772356846</v>
      </c>
      <c r="Y491" s="541">
        <f>GrossWeightTotalR+PalletQtyTotalR*25</f>
        <v>19622.853999999999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739</v>
      </c>
      <c r="Q492" s="628"/>
      <c r="R492" s="628"/>
      <c r="S492" s="628"/>
      <c r="T492" s="628"/>
      <c r="U492" s="628"/>
      <c r="V492" s="629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3646.1005461120408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3677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740</v>
      </c>
      <c r="Q493" s="628"/>
      <c r="R493" s="628"/>
      <c r="S493" s="628"/>
      <c r="T493" s="628"/>
      <c r="U493" s="628"/>
      <c r="V493" s="629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36.110070000000007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251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532</v>
      </c>
      <c r="T495" s="595"/>
      <c r="U495" s="576" t="s">
        <v>583</v>
      </c>
      <c r="V495" s="594"/>
      <c r="W495" s="595"/>
      <c r="X495" s="536" t="s">
        <v>634</v>
      </c>
      <c r="Y495" s="576" t="s">
        <v>694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743</v>
      </c>
      <c r="B496" s="576" t="s">
        <v>63</v>
      </c>
      <c r="C496" s="576" t="s">
        <v>98</v>
      </c>
      <c r="D496" s="576" t="s">
        <v>116</v>
      </c>
      <c r="E496" s="576" t="s">
        <v>170</v>
      </c>
      <c r="F496" s="576" t="s">
        <v>189</v>
      </c>
      <c r="G496" s="576" t="s">
        <v>220</v>
      </c>
      <c r="H496" s="576" t="s">
        <v>97</v>
      </c>
      <c r="I496" s="576" t="s">
        <v>252</v>
      </c>
      <c r="J496" s="576" t="s">
        <v>297</v>
      </c>
      <c r="K496" s="576" t="s">
        <v>356</v>
      </c>
      <c r="L496" s="576" t="s">
        <v>398</v>
      </c>
      <c r="M496" s="576" t="s">
        <v>414</v>
      </c>
      <c r="N496" s="537"/>
      <c r="O496" s="576" t="s">
        <v>425</v>
      </c>
      <c r="P496" s="576" t="s">
        <v>434</v>
      </c>
      <c r="Q496" s="576" t="s">
        <v>448</v>
      </c>
      <c r="R496" s="576" t="s">
        <v>522</v>
      </c>
      <c r="S496" s="576" t="s">
        <v>533</v>
      </c>
      <c r="T496" s="576" t="s">
        <v>567</v>
      </c>
      <c r="U496" s="576" t="s">
        <v>584</v>
      </c>
      <c r="V496" s="576" t="s">
        <v>615</v>
      </c>
      <c r="W496" s="576" t="s">
        <v>630</v>
      </c>
      <c r="X496" s="576" t="s">
        <v>634</v>
      </c>
      <c r="Y496" s="576" t="s">
        <v>694</v>
      </c>
      <c r="Z496" s="576" t="s">
        <v>730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311.20000000000005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861.30000000000007</v>
      </c>
      <c r="E498" s="46">
        <f>IFERROR(Y85*1,"0")+IFERROR(Y86*1,"0")+IFERROR(Y87*1,"0")+IFERROR(Y91*1,"0")+IFERROR(Y92*1,"0")+IFERROR(Y93*1,"0")+IFERROR(Y94*1,"0")</f>
        <v>913.5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1181.6999999999998</v>
      </c>
      <c r="G498" s="46">
        <f>IFERROR(Y124*1,"0")+IFERROR(Y125*1,"0")+IFERROR(Y129*1,"0")+IFERROR(Y130*1,"0")+IFERROR(Y134*1,"0")+IFERROR(Y135*1,"0")</f>
        <v>142.4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496.0200000000001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1906.1999999999998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336.4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120</v>
      </c>
      <c r="P498" s="46">
        <f>IFERROR(Y278*1,"0")+IFERROR(Y279*1,"0")+IFERROR(Y283*1,"0")+IFERROR(Y284*1,"0")</f>
        <v>21.599999999999998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1934.1</v>
      </c>
      <c r="R498" s="46">
        <f>IFERROR(Y334*1,"0")+IFERROR(Y335*1,"0")+IFERROR(Y336*1,"0")</f>
        <v>1052.0999999999999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5610</v>
      </c>
      <c r="T498" s="46">
        <f>IFERROR(Y367*1,"0")+IFERROR(Y368*1,"0")+IFERROR(Y372*1,"0")+IFERROR(Y373*1,"0")+IFERROR(Y377*1,"0")+IFERROR(Y378*1,"0")</f>
        <v>36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65.400000000000006</v>
      </c>
      <c r="V498" s="46">
        <f>IFERROR(Y402*1,"0")+IFERROR(Y406*1,"0")+IFERROR(Y407*1,"0")+IFERROR(Y408*1,"0")+IFERROR(Y409*1,"0")</f>
        <v>10.5</v>
      </c>
      <c r="W498" s="46">
        <f>IFERROR(Y414*1,"0")</f>
        <v>40.799999999999997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973.92000000000019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1614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2025-11-26T08:48:27Z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