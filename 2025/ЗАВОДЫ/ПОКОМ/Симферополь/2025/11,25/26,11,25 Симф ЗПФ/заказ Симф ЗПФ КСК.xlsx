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8C4BE7CB-2361-499C-A060-614E029C4F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<sst xmlns="http://schemas.openxmlformats.org/spreadsheetml/2006/main" count="1229" uniqueCount="397">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</sst>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45982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7" t="s">
        <v>16</v>
      </c>
      <c r="U6" s="372"/>
      <c r="V6" s="400" t="s">
        <v>17</v>
      </c>
      <c r="W6" s="29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2"/>
      <c r="V7" s="401"/>
      <c r="W7" s="402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08"/>
      <c r="T8" s="285"/>
      <c r="U8" s="372"/>
      <c r="V8" s="401"/>
      <c r="W8" s="402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0"/>
      <c r="P9" s="26" t="s">
        <v>21</v>
      </c>
      <c r="Q9" s="346"/>
      <c r="R9" s="347"/>
      <c r="T9" s="285"/>
      <c r="U9" s="372"/>
      <c r="V9" s="403"/>
      <c r="W9" s="404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6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5"/>
      <c r="AB12" s="51"/>
      <c r="AC12" s="51"/>
      <c r="AD12" s="51"/>
      <c r="AE12" s="51"/>
    </row>
    <row r="13" spans="1:32" s="262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5"/>
      <c r="AB18" s="395"/>
      <c r="AC18" s="395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4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3"/>
      <c r="AB26" s="263"/>
      <c r="AC26" s="263"/>
    </row>
    <row r="27" spans="1:68" ht="14.25" customHeight="1" x14ac:dyDescent="0.25">
      <c r="A27" s="304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126</v>
      </c>
      <c r="Y28" s="269">
        <f>IFERROR(IF(X28="","",X28),"")</f>
        <v>126</v>
      </c>
      <c r="Z28" s="36">
        <f>IFERROR(IF(X28="","",X28*0.00941),"")</f>
        <v>1.1856599999999999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242.14679999999998</v>
      </c>
      <c r="BN28" s="67">
        <f>IFERROR(Y28*I28,"0")</f>
        <v>242.14679999999998</v>
      </c>
      <c r="BO28" s="67">
        <f>IFERROR(X28/J28,"0")</f>
        <v>0.9</v>
      </c>
      <c r="BP28" s="67">
        <f>IFERROR(Y28/J28,"0")</f>
        <v>0.9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3"/>
      <c r="AB32" s="263"/>
      <c r="AC32" s="263"/>
    </row>
    <row r="33" spans="1:68" ht="14.25" customHeight="1" x14ac:dyDescent="0.25">
      <c r="A33" s="304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3"/>
      <c r="AB39" s="263"/>
      <c r="AC39" s="263"/>
    </row>
    <row r="40" spans="1:68" ht="14.25" customHeight="1" x14ac:dyDescent="0.25">
      <c r="A40" s="304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36</v>
      </c>
      <c r="Y41" s="269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48</v>
      </c>
      <c r="Y42" s="269">
        <f>IFERROR(IF(X42="","",X42),"")</f>
        <v>48</v>
      </c>
      <c r="Z42" s="36">
        <f>IFERROR(IF(X42="","",X42*0.0155),"")</f>
        <v>0.74399999999999999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349.72799999999995</v>
      </c>
      <c r="BN42" s="67">
        <f>IFERROR(Y42*I42,"0")</f>
        <v>349.72799999999995</v>
      </c>
      <c r="BO42" s="67">
        <f>IFERROR(X42/J42,"0")</f>
        <v>0.5714285714285714</v>
      </c>
      <c r="BP42" s="67">
        <f>IFERROR(Y42/J42,"0")</f>
        <v>0.5714285714285714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96</v>
      </c>
      <c r="Y44" s="269">
        <f>IFERROR(IF(X44="","",X44),"")</f>
        <v>96</v>
      </c>
      <c r="Z44" s="36">
        <f>IFERROR(IF(X44="","",X44*0.0155),"")</f>
        <v>1.488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700.8</v>
      </c>
      <c r="BN44" s="67">
        <f>IFERROR(Y44*I44,"0")</f>
        <v>700.8</v>
      </c>
      <c r="BO44" s="67">
        <f>IFERROR(X44/J44,"0")</f>
        <v>1.1428571428571428</v>
      </c>
      <c r="BP44" s="67">
        <f>IFERROR(Y44/J44,"0")</f>
        <v>1.1428571428571428</v>
      </c>
    </row>
    <row r="45" spans="1:68" x14ac:dyDescent="0.2">
      <c r="A45" s="286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180</v>
      </c>
      <c r="Y45" s="270">
        <f>IFERROR(SUM(Y41:Y44),"0")</f>
        <v>180</v>
      </c>
      <c r="Z45" s="270">
        <f>IFERROR(IF(Z41="",0,Z41),"0")+IFERROR(IF(Z42="",0,Z42),"0")+IFERROR(IF(Z43="",0,Z43),"0")+IFERROR(IF(Z44="",0,Z44),"0")</f>
        <v>2.79</v>
      </c>
      <c r="AA45" s="271"/>
      <c r="AB45" s="271"/>
      <c r="AC45" s="271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1260</v>
      </c>
      <c r="Y46" s="270">
        <f>IFERROR(SUMPRODUCT(Y41:Y44*H41:H44),"0")</f>
        <v>1260</v>
      </c>
      <c r="Z46" s="37"/>
      <c r="AA46" s="271"/>
      <c r="AB46" s="271"/>
      <c r="AC46" s="271"/>
    </row>
    <row r="47" spans="1:68" ht="16.5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3"/>
      <c r="AB47" s="263"/>
      <c r="AC47" s="263"/>
    </row>
    <row r="48" spans="1:68" ht="14.25" customHeight="1" x14ac:dyDescent="0.25">
      <c r="A48" s="304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4"/>
      <c r="AB48" s="264"/>
      <c r="AC48" s="264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4"/>
      <c r="AB52" s="264"/>
      <c r="AC52" s="264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4"/>
      <c r="AB56" s="264"/>
      <c r="AC56" s="264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4"/>
      <c r="AB61" s="264"/>
      <c r="AC61" s="264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3"/>
      <c r="AB67" s="263"/>
      <c r="AC67" s="263"/>
    </row>
    <row r="68" spans="1:68" ht="14.25" customHeight="1" x14ac:dyDescent="0.25">
      <c r="A68" s="304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276</v>
      </c>
      <c r="Y70" s="269">
        <f>IFERROR(IF(X70="","",X70),"")</f>
        <v>276</v>
      </c>
      <c r="Z70" s="36">
        <f>IFERROR(IF(X70="","",X70*0.00866),"")</f>
        <v>2.3901599999999998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1438.8431999999998</v>
      </c>
      <c r="BN70" s="67">
        <f>IFERROR(Y70*I70,"0")</f>
        <v>1438.8431999999998</v>
      </c>
      <c r="BO70" s="67">
        <f>IFERROR(X70/J70,"0")</f>
        <v>1.9166666666666667</v>
      </c>
      <c r="BP70" s="67">
        <f>IFERROR(Y70/J70,"0")</f>
        <v>1.9166666666666667</v>
      </c>
    </row>
    <row r="71" spans="1:68" x14ac:dyDescent="0.2">
      <c r="A71" s="286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276</v>
      </c>
      <c r="Y71" s="270">
        <f>IFERROR(SUM(Y69:Y70),"0")</f>
        <v>276</v>
      </c>
      <c r="Z71" s="270">
        <f>IFERROR(IF(Z69="",0,Z69),"0")+IFERROR(IF(Z70="",0,Z70),"0")</f>
        <v>2.3901599999999998</v>
      </c>
      <c r="AA71" s="271"/>
      <c r="AB71" s="271"/>
      <c r="AC71" s="271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1380</v>
      </c>
      <c r="Y72" s="270">
        <f>IFERROR(SUMPRODUCT(Y69:Y70*H69:H70),"0")</f>
        <v>1380</v>
      </c>
      <c r="Z72" s="37"/>
      <c r="AA72" s="271"/>
      <c r="AB72" s="271"/>
      <c r="AC72" s="271"/>
    </row>
    <row r="73" spans="1:68" ht="16.5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3"/>
      <c r="AB73" s="263"/>
      <c r="AC73" s="263"/>
    </row>
    <row r="74" spans="1:68" ht="14.25" customHeight="1" x14ac:dyDescent="0.25">
      <c r="A74" s="304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4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14</v>
      </c>
      <c r="Y80" s="269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4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210</v>
      </c>
      <c r="Y92" s="270">
        <f>IFERROR(SUM(Y86:Y91),"0")</f>
        <v>210</v>
      </c>
      <c r="Z92" s="270">
        <f>IFERROR(IF(Z86="",0,Z86),"0")+IFERROR(IF(Z87="",0,Z87),"0")+IFERROR(IF(Z88="",0,Z88),"0")+IFERROR(IF(Z89="",0,Z89),"0")+IFERROR(IF(Z90="",0,Z90),"0")+IFERROR(IF(Z91="",0,Z91),"0")</f>
        <v>3.7547999999999999</v>
      </c>
      <c r="AA92" s="271"/>
      <c r="AB92" s="271"/>
      <c r="AC92" s="271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604.79999999999995</v>
      </c>
      <c r="Y93" s="270">
        <f>IFERROR(SUMPRODUCT(Y86:Y91*H86:H91),"0")</f>
        <v>604.79999999999995</v>
      </c>
      <c r="Z93" s="37"/>
      <c r="AA93" s="271"/>
      <c r="AB93" s="271"/>
      <c r="AC93" s="271"/>
    </row>
    <row r="94" spans="1:68" ht="16.5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3"/>
      <c r="AB94" s="263"/>
      <c r="AC94" s="263"/>
    </row>
    <row r="95" spans="1:68" ht="14.25" customHeight="1" x14ac:dyDescent="0.25">
      <c r="A95" s="304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3"/>
      <c r="AB100" s="263"/>
      <c r="AC100" s="263"/>
    </row>
    <row r="101" spans="1:68" ht="14.25" customHeight="1" x14ac:dyDescent="0.25">
      <c r="A101" s="304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12</v>
      </c>
      <c r="Y102" s="269">
        <f t="shared" ref="Y102:Y109" si="6">IFERROR(IF(X102="","",X102),"")</f>
        <v>12</v>
      </c>
      <c r="Z102" s="36">
        <f t="shared" ref="Z102:Z109" si="7">IFERROR(IF(X102="","",X102*0.0155),"")</f>
        <v>0.186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87.36</v>
      </c>
      <c r="BN102" s="67">
        <f t="shared" ref="BN102:BN109" si="9">IFERROR(Y102*I102,"0")</f>
        <v>87.36</v>
      </c>
      <c r="BO102" s="67">
        <f t="shared" ref="BO102:BO109" si="10">IFERROR(X102/J102,"0")</f>
        <v>0.14285714285714285</v>
      </c>
      <c r="BP102" s="67">
        <f t="shared" ref="BP102:BP109" si="11">IFERROR(Y102/J102,"0")</f>
        <v>0.14285714285714285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168</v>
      </c>
      <c r="Y104" s="269">
        <f t="shared" si="6"/>
        <v>168</v>
      </c>
      <c r="Z104" s="36">
        <f t="shared" si="7"/>
        <v>2.6040000000000001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1226.3999999999999</v>
      </c>
      <c r="BN104" s="67">
        <f t="shared" si="9"/>
        <v>1226.3999999999999</v>
      </c>
      <c r="BO104" s="67">
        <f t="shared" si="10"/>
        <v>2</v>
      </c>
      <c r="BP104" s="67">
        <f t="shared" si="11"/>
        <v>2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240</v>
      </c>
      <c r="Y107" s="269">
        <f t="shared" si="6"/>
        <v>240</v>
      </c>
      <c r="Z107" s="36">
        <f t="shared" si="7"/>
        <v>3.7199999999999998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1752</v>
      </c>
      <c r="BN107" s="67">
        <f t="shared" si="9"/>
        <v>1752</v>
      </c>
      <c r="BO107" s="67">
        <f t="shared" si="10"/>
        <v>2.8571428571428572</v>
      </c>
      <c r="BP107" s="67">
        <f t="shared" si="11"/>
        <v>2.8571428571428572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36</v>
      </c>
      <c r="Y109" s="269">
        <f t="shared" si="6"/>
        <v>36</v>
      </c>
      <c r="Z109" s="36">
        <f t="shared" si="7"/>
        <v>0.55800000000000005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260.28000000000003</v>
      </c>
      <c r="BN109" s="67">
        <f t="shared" si="9"/>
        <v>260.28000000000003</v>
      </c>
      <c r="BO109" s="67">
        <f t="shared" si="10"/>
        <v>0.42857142857142855</v>
      </c>
      <c r="BP109" s="67">
        <f t="shared" si="11"/>
        <v>0.42857142857142855</v>
      </c>
    </row>
    <row r="110" spans="1:68" x14ac:dyDescent="0.2">
      <c r="A110" s="286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504</v>
      </c>
      <c r="Y110" s="270">
        <f>IFERROR(SUM(Y102:Y109),"0")</f>
        <v>504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7.8119999999999994</v>
      </c>
      <c r="AA110" s="271"/>
      <c r="AB110" s="271"/>
      <c r="AC110" s="271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3499.2</v>
      </c>
      <c r="Y111" s="270">
        <f>IFERROR(SUMPRODUCT(Y102:Y109*H102:H109),"0")</f>
        <v>3499.2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12</v>
      </c>
      <c r="Y117" s="269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12</v>
      </c>
      <c r="Y118" s="270">
        <f>IFERROR(SUM(Y117:Y117),"0")</f>
        <v>12</v>
      </c>
      <c r="Z118" s="270">
        <f>IFERROR(IF(Z117="",0,Z117),"0")</f>
        <v>0.186</v>
      </c>
      <c r="AA118" s="271"/>
      <c r="AB118" s="271"/>
      <c r="AC118" s="271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72</v>
      </c>
      <c r="Y119" s="270">
        <f>IFERROR(SUMPRODUCT(Y117:Y117*H117:H117),"0")</f>
        <v>72</v>
      </c>
      <c r="Z119" s="37"/>
      <c r="AA119" s="271"/>
      <c r="AB119" s="271"/>
      <c r="AC119" s="271"/>
    </row>
    <row r="120" spans="1:68" ht="16.5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3"/>
      <c r="AB120" s="263"/>
      <c r="AC120" s="263"/>
    </row>
    <row r="121" spans="1:68" ht="14.25" customHeight="1" x14ac:dyDescent="0.25">
      <c r="A121" s="304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98</v>
      </c>
      <c r="Y122" s="269">
        <f>IFERROR(IF(X122="","",X122),"")</f>
        <v>98</v>
      </c>
      <c r="Z122" s="36">
        <f>IFERROR(IF(X122="","",X122*0.01788),"")</f>
        <v>1.75224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362.95279999999997</v>
      </c>
      <c r="BN122" s="67">
        <f>IFERROR(Y122*I122,"0")</f>
        <v>362.95279999999997</v>
      </c>
      <c r="BO122" s="67">
        <f>IFERROR(X122/J122,"0")</f>
        <v>1.4</v>
      </c>
      <c r="BP122" s="67">
        <f>IFERROR(Y122/J122,"0")</f>
        <v>1.4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224</v>
      </c>
      <c r="Y123" s="269">
        <f>IFERROR(IF(X123="","",X123),"")</f>
        <v>224</v>
      </c>
      <c r="Z123" s="36">
        <f>IFERROR(IF(X123="","",X123*0.01788),"")</f>
        <v>4.0051199999999998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829.60639999999989</v>
      </c>
      <c r="BN123" s="67">
        <f>IFERROR(Y123*I123,"0")</f>
        <v>829.60639999999989</v>
      </c>
      <c r="BO123" s="67">
        <f>IFERROR(X123/J123,"0")</f>
        <v>3.2</v>
      </c>
      <c r="BP123" s="67">
        <f>IFERROR(Y123/J123,"0")</f>
        <v>3.2</v>
      </c>
    </row>
    <row r="124" spans="1:68" x14ac:dyDescent="0.2">
      <c r="A124" s="286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322</v>
      </c>
      <c r="Y124" s="270">
        <f>IFERROR(SUM(Y122:Y123),"0")</f>
        <v>322</v>
      </c>
      <c r="Z124" s="270">
        <f>IFERROR(IF(Z122="",0,Z122),"0")+IFERROR(IF(Z123="",0,Z123),"0")</f>
        <v>5.7573600000000003</v>
      </c>
      <c r="AA124" s="271"/>
      <c r="AB124" s="271"/>
      <c r="AC124" s="271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966</v>
      </c>
      <c r="Y125" s="270">
        <f>IFERROR(SUMPRODUCT(Y122:Y123*H122:H123),"0")</f>
        <v>966</v>
      </c>
      <c r="Z125" s="37"/>
      <c r="AA125" s="271"/>
      <c r="AB125" s="271"/>
      <c r="AC125" s="271"/>
    </row>
    <row r="126" spans="1:68" ht="16.5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3"/>
      <c r="AB126" s="263"/>
      <c r="AC126" s="263"/>
    </row>
    <row r="127" spans="1:68" ht="14.25" customHeight="1" x14ac:dyDescent="0.25">
      <c r="A127" s="304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84</v>
      </c>
      <c r="Y129" s="269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6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3"/>
      <c r="AB132" s="263"/>
      <c r="AC132" s="263"/>
    </row>
    <row r="133" spans="1:68" ht="14.25" customHeight="1" x14ac:dyDescent="0.25">
      <c r="A133" s="304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28</v>
      </c>
      <c r="Y135" s="269">
        <f>IFERROR(IF(X135="","",X135),"")</f>
        <v>28</v>
      </c>
      <c r="Z135" s="36">
        <f>IFERROR(IF(X135="","",X135*0.01788),"")</f>
        <v>0.50063999999999997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75.040000000000006</v>
      </c>
      <c r="BN135" s="67">
        <f>IFERROR(Y135*I135,"0")</f>
        <v>75.040000000000006</v>
      </c>
      <c r="BO135" s="67">
        <f>IFERROR(X135/J135,"0")</f>
        <v>0.4</v>
      </c>
      <c r="BP135" s="67">
        <f>IFERROR(Y135/J135,"0")</f>
        <v>0.4</v>
      </c>
    </row>
    <row r="136" spans="1:68" x14ac:dyDescent="0.2">
      <c r="A136" s="286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3"/>
      <c r="AB138" s="263"/>
      <c r="AC138" s="263"/>
    </row>
    <row r="139" spans="1:68" ht="14.25" customHeight="1" x14ac:dyDescent="0.25">
      <c r="A139" s="304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4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14</v>
      </c>
      <c r="Y145" s="269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14</v>
      </c>
      <c r="Y146" s="270">
        <f>IFERROR(SUM(Y145:Y145),"0")</f>
        <v>14</v>
      </c>
      <c r="Z146" s="270">
        <f>IFERROR(IF(Z145="",0,Z145),"0")</f>
        <v>0.13103999999999999</v>
      </c>
      <c r="AA146" s="271"/>
      <c r="AB146" s="271"/>
      <c r="AC146" s="271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37.800000000000004</v>
      </c>
      <c r="Y147" s="270">
        <f>IFERROR(SUMPRODUCT(Y145:Y145*H145:H145),"0")</f>
        <v>37.800000000000004</v>
      </c>
      <c r="Z147" s="37"/>
      <c r="AA147" s="271"/>
      <c r="AB147" s="271"/>
      <c r="AC147" s="271"/>
    </row>
    <row r="148" spans="1:68" ht="16.5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3"/>
      <c r="AB148" s="263"/>
      <c r="AC148" s="263"/>
    </row>
    <row r="149" spans="1:68" ht="14.25" customHeight="1" x14ac:dyDescent="0.25">
      <c r="A149" s="304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4"/>
      <c r="AB149" s="264"/>
      <c r="AC149" s="264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3"/>
      <c r="AB153" s="263"/>
      <c r="AC153" s="263"/>
    </row>
    <row r="154" spans="1:68" ht="14.25" customHeight="1" x14ac:dyDescent="0.25">
      <c r="A154" s="304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4"/>
      <c r="AB154" s="264"/>
      <c r="AC154" s="264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4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96</v>
      </c>
      <c r="Y162" s="269">
        <f>IFERROR(IF(X162="","",X162),"")</f>
        <v>96</v>
      </c>
      <c r="Z162" s="36">
        <f>IFERROR(IF(X162="","",X162*0.00866),"")</f>
        <v>0.83135999999999988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500.46719999999993</v>
      </c>
      <c r="BN162" s="67">
        <f>IFERROR(Y162*I162,"0")</f>
        <v>500.46719999999993</v>
      </c>
      <c r="BO162" s="67">
        <f>IFERROR(X162/J162,"0")</f>
        <v>0.66666666666666663</v>
      </c>
      <c r="BP162" s="67">
        <f>IFERROR(Y162/J162,"0")</f>
        <v>0.66666666666666663</v>
      </c>
    </row>
    <row r="163" spans="1:68" x14ac:dyDescent="0.2">
      <c r="A163" s="28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96</v>
      </c>
      <c r="Y163" s="270">
        <f>IFERROR(SUM(Y161:Y162),"0")</f>
        <v>96</v>
      </c>
      <c r="Z163" s="270">
        <f>IFERROR(IF(Z161="",0,Z161),"0")+IFERROR(IF(Z162="",0,Z162),"0")</f>
        <v>0.83135999999999988</v>
      </c>
      <c r="AA163" s="271"/>
      <c r="AB163" s="271"/>
      <c r="AC163" s="271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480</v>
      </c>
      <c r="Y164" s="270">
        <f>IFERROR(SUMPRODUCT(Y161:Y162*H161:H162),"0")</f>
        <v>480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3"/>
      <c r="AB166" s="263"/>
      <c r="AC166" s="263"/>
    </row>
    <row r="167" spans="1:68" ht="14.25" customHeight="1" x14ac:dyDescent="0.25">
      <c r="A167" s="304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70</v>
      </c>
      <c r="Y169" s="269">
        <f>IFERROR(IF(X169="","",X169),"")</f>
        <v>70</v>
      </c>
      <c r="Z169" s="36">
        <f>IFERROR(IF(X169="","",X169*0.01788),"")</f>
        <v>1.2516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237.16</v>
      </c>
      <c r="BN169" s="67">
        <f>IFERROR(Y169*I169,"0")</f>
        <v>237.16</v>
      </c>
      <c r="BO169" s="67">
        <f>IFERROR(X169/J169,"0")</f>
        <v>1</v>
      </c>
      <c r="BP169" s="67">
        <f>IFERROR(Y169/J169,"0")</f>
        <v>1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70</v>
      </c>
      <c r="Y170" s="269">
        <f>IFERROR(IF(X170="","",X170),"")</f>
        <v>70</v>
      </c>
      <c r="Z170" s="36">
        <f>IFERROR(IF(X170="","",X170*0.01788),"")</f>
        <v>1.2516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261.52000000000004</v>
      </c>
      <c r="BN170" s="67">
        <f>IFERROR(Y170*I170,"0")</f>
        <v>261.52000000000004</v>
      </c>
      <c r="BO170" s="67">
        <f>IFERROR(X170/J170,"0")</f>
        <v>1</v>
      </c>
      <c r="BP170" s="67">
        <f>IFERROR(Y170/J170,"0")</f>
        <v>1</v>
      </c>
    </row>
    <row r="171" spans="1:68" x14ac:dyDescent="0.2">
      <c r="A171" s="286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210</v>
      </c>
      <c r="Y171" s="270">
        <f>IFERROR(SUM(Y168:Y170),"0")</f>
        <v>210</v>
      </c>
      <c r="Z171" s="270">
        <f>IFERROR(IF(Z168="",0,Z168),"0")+IFERROR(IF(Z169="",0,Z169),"0")+IFERROR(IF(Z170="",0,Z170),"0")</f>
        <v>3.7548000000000004</v>
      </c>
      <c r="AA171" s="271"/>
      <c r="AB171" s="271"/>
      <c r="AC171" s="27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630</v>
      </c>
      <c r="Y172" s="270">
        <f>IFERROR(SUMPRODUCT(Y168:Y170*H168:H170),"0")</f>
        <v>630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4"/>
      <c r="AB173" s="264"/>
      <c r="AC173" s="264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3"/>
      <c r="AB178" s="263"/>
      <c r="AC178" s="263"/>
    </row>
    <row r="179" spans="1:68" ht="14.25" customHeight="1" x14ac:dyDescent="0.25">
      <c r="A179" s="304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4"/>
      <c r="AB183" s="264"/>
      <c r="AC183" s="264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4" t="s">
        <v>277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3"/>
      <c r="AB190" s="263"/>
      <c r="AC190" s="263"/>
    </row>
    <row r="191" spans="1:68" ht="14.25" customHeight="1" x14ac:dyDescent="0.25">
      <c r="A191" s="304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4"/>
      <c r="AB191" s="264"/>
      <c r="AC191" s="264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96</v>
      </c>
      <c r="Y193" s="269">
        <f>IFERROR(IF(X193="","",X193),"")</f>
        <v>96</v>
      </c>
      <c r="Z193" s="36">
        <f>IFERROR(IF(X193="","",X193*0.0155),"")</f>
        <v>1.488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717.12</v>
      </c>
      <c r="BN193" s="67">
        <f>IFERROR(Y193*I193,"0")</f>
        <v>717.12</v>
      </c>
      <c r="BO193" s="67">
        <f>IFERROR(X193/J193,"0")</f>
        <v>1.1428571428571428</v>
      </c>
      <c r="BP193" s="67">
        <f>IFERROR(Y193/J193,"0")</f>
        <v>1.1428571428571428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96</v>
      </c>
      <c r="Y196" s="270">
        <f>IFERROR(SUM(Y192:Y195),"0")</f>
        <v>96</v>
      </c>
      <c r="Z196" s="270">
        <f>IFERROR(IF(Z192="",0,Z192),"0")+IFERROR(IF(Z193="",0,Z193),"0")+IFERROR(IF(Z194="",0,Z194),"0")+IFERROR(IF(Z195="",0,Z195),"0")</f>
        <v>1.488</v>
      </c>
      <c r="AA196" s="271"/>
      <c r="AB196" s="271"/>
      <c r="AC196" s="271"/>
    </row>
    <row r="197" spans="1:68" x14ac:dyDescent="0.2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691.2</v>
      </c>
      <c r="Y197" s="270">
        <f>IFERROR(SUMPRODUCT(Y192:Y195*H192:H195),"0")</f>
        <v>691.2</v>
      </c>
      <c r="Z197" s="37"/>
      <c r="AA197" s="271"/>
      <c r="AB197" s="271"/>
      <c r="AC197" s="271"/>
    </row>
    <row r="198" spans="1:68" ht="16.5" customHeight="1" x14ac:dyDescent="0.25">
      <c r="A198" s="284" t="s">
        <v>287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63"/>
      <c r="AB198" s="263"/>
      <c r="AC198" s="263"/>
    </row>
    <row r="199" spans="1:68" ht="14.25" customHeight="1" x14ac:dyDescent="0.25">
      <c r="A199" s="304" t="s">
        <v>64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customHeight="1" x14ac:dyDescent="0.25">
      <c r="A203" s="284" t="s">
        <v>291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3"/>
      <c r="AB203" s="263"/>
      <c r="AC203" s="263"/>
    </row>
    <row r="204" spans="1:68" ht="14.25" customHeight="1" x14ac:dyDescent="0.25">
      <c r="A204" s="304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4"/>
      <c r="AB204" s="264"/>
      <c r="AC204" s="264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4" t="s">
        <v>302</v>
      </c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63"/>
      <c r="AB214" s="263"/>
      <c r="AC214" s="263"/>
    </row>
    <row r="215" spans="1:68" ht="14.25" customHeight="1" x14ac:dyDescent="0.25">
      <c r="A215" s="304" t="s">
        <v>64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4"/>
      <c r="AB215" s="264"/>
      <c r="AC215" s="264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4" t="s">
        <v>309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3"/>
      <c r="AB221" s="263"/>
      <c r="AC221" s="263"/>
    </row>
    <row r="222" spans="1:68" ht="14.25" customHeight="1" x14ac:dyDescent="0.25">
      <c r="A222" s="304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4"/>
      <c r="AB222" s="264"/>
      <c r="AC222" s="264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4" t="s">
        <v>314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3"/>
      <c r="AB227" s="263"/>
      <c r="AC227" s="263"/>
    </row>
    <row r="228" spans="1:68" ht="14.25" customHeight="1" x14ac:dyDescent="0.25">
      <c r="A228" s="304" t="s">
        <v>64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60</v>
      </c>
      <c r="Y229" s="269">
        <f>IFERROR(IF(X229="","",X229),"")</f>
        <v>60</v>
      </c>
      <c r="Z229" s="36">
        <f>IFERROR(IF(X229="","",X229*0.0155),"")</f>
        <v>0.92999999999999994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315.71999999999997</v>
      </c>
      <c r="BN229" s="67">
        <f>IFERROR(Y229*I229,"0")</f>
        <v>315.71999999999997</v>
      </c>
      <c r="BO229" s="67">
        <f>IFERROR(X229/J229,"0")</f>
        <v>0.7142857142857143</v>
      </c>
      <c r="BP229" s="67">
        <f>IFERROR(Y229/J229,"0")</f>
        <v>0.7142857142857143</v>
      </c>
    </row>
    <row r="230" spans="1:68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60</v>
      </c>
      <c r="Y230" s="270">
        <f>IFERROR(SUM(Y229:Y229),"0")</f>
        <v>60</v>
      </c>
      <c r="Z230" s="270">
        <f>IFERROR(IF(Z229="",0,Z229),"0")</f>
        <v>0.92999999999999994</v>
      </c>
      <c r="AA230" s="271"/>
      <c r="AB230" s="271"/>
      <c r="AC230" s="271"/>
    </row>
    <row r="231" spans="1:68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300</v>
      </c>
      <c r="Y231" s="270">
        <f>IFERROR(SUMPRODUCT(Y229:Y229*H229:H229),"0")</f>
        <v>300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4" t="s">
        <v>318</v>
      </c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63"/>
      <c r="AB233" s="263"/>
      <c r="AC233" s="263"/>
    </row>
    <row r="234" spans="1:68" ht="14.25" customHeight="1" x14ac:dyDescent="0.25">
      <c r="A234" s="304" t="s">
        <v>319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4"/>
      <c r="AB234" s="264"/>
      <c r="AC234" s="264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4"/>
      <c r="AB238" s="264"/>
      <c r="AC238" s="264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4" t="s">
        <v>325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3"/>
      <c r="AB243" s="263"/>
      <c r="AC243" s="263"/>
    </row>
    <row r="244" spans="1:68" ht="14.25" customHeight="1" x14ac:dyDescent="0.25">
      <c r="A244" s="304" t="s">
        <v>64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4"/>
      <c r="AB244" s="264"/>
      <c r="AC244" s="264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9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276</v>
      </c>
      <c r="Y257" s="269">
        <f>IFERROR(IF(X257="","",X257),"")</f>
        <v>276</v>
      </c>
      <c r="Z257" s="36">
        <f>IFERROR(IF(X257="","",X257*0.0155),"")</f>
        <v>4.2779999999999996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1444.8600000000001</v>
      </c>
      <c r="BN257" s="67">
        <f>IFERROR(Y257*I257,"0")</f>
        <v>1444.8600000000001</v>
      </c>
      <c r="BO257" s="67">
        <f>IFERROR(X257/J257,"0")</f>
        <v>3.2857142857142856</v>
      </c>
      <c r="BP257" s="67">
        <f>IFERROR(Y257/J257,"0")</f>
        <v>3.2857142857142856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14</v>
      </c>
      <c r="Y258" s="269">
        <f>IFERROR(IF(X258="","",X258),"")</f>
        <v>14</v>
      </c>
      <c r="Z258" s="36">
        <f>IFERROR(IF(X258="","",X258*0.00936),"")</f>
        <v>0.13103999999999999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34.048000000000002</v>
      </c>
      <c r="BN258" s="67">
        <f>IFERROR(Y258*I258,"0")</f>
        <v>34.048000000000002</v>
      </c>
      <c r="BO258" s="67">
        <f>IFERROR(X258/J258,"0")</f>
        <v>0.1111111111111111</v>
      </c>
      <c r="BP258" s="67">
        <f>IFERROR(Y258/J258,"0")</f>
        <v>0.1111111111111111</v>
      </c>
    </row>
    <row r="259" spans="1:68" x14ac:dyDescent="0.2">
      <c r="A259" s="286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290</v>
      </c>
      <c r="Y259" s="270">
        <f>IFERROR(SUM(Y256:Y258),"0")</f>
        <v>290</v>
      </c>
      <c r="Z259" s="270">
        <f>IFERROR(IF(Z256="",0,Z256),"0")+IFERROR(IF(Z257="",0,Z257),"0")+IFERROR(IF(Z258="",0,Z258),"0")</f>
        <v>4.4090399999999992</v>
      </c>
      <c r="AA259" s="271"/>
      <c r="AB259" s="271"/>
      <c r="AC259" s="271"/>
    </row>
    <row r="260" spans="1:68" x14ac:dyDescent="0.2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1411.36</v>
      </c>
      <c r="Y260" s="270">
        <f>IFERROR(SUMPRODUCT(Y256:Y258*H256:H258),"0")</f>
        <v>1411.36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140</v>
      </c>
      <c r="Y262" s="269">
        <f t="shared" ref="Y262:Y271" si="12">IFERROR(IF(X262="","",X262),"")</f>
        <v>140</v>
      </c>
      <c r="Z262" s="36">
        <f>IFERROR(IF(X262="","",X262*0.00936),"")</f>
        <v>1.3104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446.88</v>
      </c>
      <c r="BN262" s="67">
        <f t="shared" ref="BN262:BN271" si="14">IFERROR(Y262*I262,"0")</f>
        <v>446.88</v>
      </c>
      <c r="BO262" s="67">
        <f t="shared" ref="BO262:BO271" si="15">IFERROR(X262/J262,"0")</f>
        <v>1.1111111111111112</v>
      </c>
      <c r="BP262" s="67">
        <f t="shared" ref="BP262:BP271" si="16">IFERROR(Y262/J262,"0")</f>
        <v>1.1111111111111112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126</v>
      </c>
      <c r="Y263" s="269">
        <f t="shared" si="12"/>
        <v>126</v>
      </c>
      <c r="Z263" s="36">
        <f>IFERROR(IF(X263="","",X263*0.00936),"")</f>
        <v>1.17936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490.392</v>
      </c>
      <c r="BN263" s="67">
        <f t="shared" si="14"/>
        <v>490.392</v>
      </c>
      <c r="BO263" s="67">
        <f t="shared" si="15"/>
        <v>1</v>
      </c>
      <c r="BP263" s="67">
        <f t="shared" si="16"/>
        <v>1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182</v>
      </c>
      <c r="Y265" s="269">
        <f t="shared" si="12"/>
        <v>182</v>
      </c>
      <c r="Z265" s="36">
        <f t="shared" ref="Z265:Z270" si="17">IFERROR(IF(X265="","",X265*0.00936),"")</f>
        <v>1.7035200000000001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580.94400000000007</v>
      </c>
      <c r="BN265" s="67">
        <f t="shared" si="14"/>
        <v>580.94400000000007</v>
      </c>
      <c r="BO265" s="67">
        <f t="shared" si="15"/>
        <v>1.4444444444444444</v>
      </c>
      <c r="BP265" s="67">
        <f t="shared" si="16"/>
        <v>1.4444444444444444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474</v>
      </c>
      <c r="Y272" s="270">
        <f>IFERROR(SUM(Y262:Y271),"0")</f>
        <v>474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4.5103199999999992</v>
      </c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1550</v>
      </c>
      <c r="Y273" s="270">
        <f>IFERROR(SUMPRODUCT(Y262:Y271*H262:H271),"0")</f>
        <v>1550</v>
      </c>
      <c r="Z273" s="37"/>
      <c r="AA273" s="271"/>
      <c r="AB273" s="271"/>
      <c r="AC273" s="271"/>
    </row>
    <row r="274" spans="1:32" ht="15" customHeight="1" x14ac:dyDescent="0.2">
      <c r="A274" s="44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14080.56</v>
      </c>
      <c r="Y274" s="270">
        <f>IFERROR(Y24+Y31+Y38+Y46+Y51+Y55+Y60+Y66+Y72+Y77+Y83+Y93+Y99+Y111+Y115+Y119+Y125+Y131+Y137+Y142+Y147+Y152+Y157+Y164+Y172+Y176+Y182+Y189+Y197+Y202+Y207+Y213+Y219+Y225+Y231+Y237+Y241+Y249+Y254+Y260+Y273,"0")</f>
        <v>14080.56</v>
      </c>
      <c r="Z274" s="37"/>
      <c r="AA274" s="271"/>
      <c r="AB274" s="271"/>
      <c r="AC274" s="271"/>
    </row>
    <row r="275" spans="1:32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15221.197999999999</v>
      </c>
      <c r="Y275" s="270">
        <f>IFERROR(SUM(BN22:BN271),"0")</f>
        <v>15221.197999999999</v>
      </c>
      <c r="Z275" s="37"/>
      <c r="AA275" s="271"/>
      <c r="AB275" s="271"/>
      <c r="AC275" s="271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16096.197999999999</v>
      </c>
      <c r="Y277" s="270">
        <f>GrossWeightTotalR+PalletQtyTotalR*25</f>
        <v>16096.197999999999</v>
      </c>
      <c r="Z277" s="37"/>
      <c r="AA277" s="271"/>
      <c r="AB277" s="271"/>
      <c r="AC277" s="271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3120</v>
      </c>
      <c r="Y278" s="270">
        <f>IFERROR(Y23+Y30+Y37+Y45+Y50+Y54+Y59+Y65+Y71+Y76+Y82+Y92+Y98+Y110+Y114+Y118+Y124+Y130+Y136+Y141+Y146+Y151+Y156+Y163+Y171+Y175+Y181+Y188+Y196+Y201+Y206+Y212+Y218+Y224+Y230+Y236+Y240+Y248+Y253+Y259+Y272,"0")</f>
        <v>3120</v>
      </c>
      <c r="Z278" s="37"/>
      <c r="AA278" s="271"/>
      <c r="AB278" s="271"/>
      <c r="AC278" s="271"/>
    </row>
    <row r="279" spans="1:32" ht="14.25" customHeight="1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44.172059999999995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5" t="s">
        <v>233</v>
      </c>
      <c r="V281" s="265" t="s">
        <v>241</v>
      </c>
      <c r="W281" s="274" t="s">
        <v>260</v>
      </c>
      <c r="X281" s="309"/>
      <c r="Y281" s="309"/>
      <c r="Z281" s="309"/>
      <c r="AA281" s="310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87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6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6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6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1260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1380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604.79999999999995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3571.2</v>
      </c>
      <c r="M284" s="46">
        <f>IFERROR(X122*H122,"0")+IFERROR(X123*H123,"0")</f>
        <v>966</v>
      </c>
      <c r="N284" s="266"/>
      <c r="O284" s="46">
        <f>IFERROR(X128*H128,"0")+IFERROR(X129*H129,"0")</f>
        <v>294</v>
      </c>
      <c r="P284" s="46">
        <f>IFERROR(X134*H134,"0")+IFERROR(X135*H135,"0")</f>
        <v>100.80000000000001</v>
      </c>
      <c r="Q284" s="46">
        <f>IFERROR(X140*H140,"0")</f>
        <v>0</v>
      </c>
      <c r="R284" s="46">
        <f>IFERROR(X145*H145,"0")</f>
        <v>37.800000000000004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480</v>
      </c>
      <c r="V284" s="46">
        <f>IFERROR(X168*H168,"0")+IFERROR(X169*H169,"0")+IFERROR(X170*H170,"0")+IFERROR(X174*H174,"0")</f>
        <v>630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691.2</v>
      </c>
      <c r="Y284" s="46">
        <f>IFERROR(X200*H200,"0")</f>
        <v>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300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3465.3599999999997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7670.4</v>
      </c>
      <c r="B287" s="60">
        <f>SUMPRODUCT(--(BB:BB="ПГП"),--(W:W="кор"),H:H,Y:Y)+SUMPRODUCT(--(BB:BB="ПГП"),--(W:W="кг"),Y:Y)</f>
        <v>6410.1599999999989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D262:E262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D6:M6"/>
    <mergeCell ref="P162:T162"/>
    <mergeCell ref="A85:Z85"/>
    <mergeCell ref="P106:T106"/>
    <mergeCell ref="D256:E256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9:C9"/>
    <mergeCell ref="A71:O72"/>
    <mergeCell ref="A179:Z179"/>
    <mergeCell ref="D58:E58"/>
    <mergeCell ref="A236:O237"/>
    <mergeCell ref="A116:Z116"/>
    <mergeCell ref="Q13:R13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D106:E106"/>
    <mergeCell ref="A146:O147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B282:B283"/>
    <mergeCell ref="P93:V93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P38:V38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