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187F9E6-E5EA-4050-98EC-0DD845505E7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N75" i="1"/>
  <c r="BM75" i="1"/>
  <c r="Z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43" i="1" l="1"/>
  <c r="Z127" i="1"/>
  <c r="Z82" i="1"/>
  <c r="Y31" i="1"/>
  <c r="Y43" i="1"/>
  <c r="Y493" i="1" s="1"/>
  <c r="Y58" i="1"/>
  <c r="Y64" i="1"/>
  <c r="Y70" i="1"/>
  <c r="Y77" i="1"/>
  <c r="BP81" i="1"/>
  <c r="BN81" i="1"/>
  <c r="Z81" i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Z172" i="1" s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Z268" i="1" s="1"/>
  <c r="Y268" i="1"/>
  <c r="Z275" i="1"/>
  <c r="BP273" i="1"/>
  <c r="BN273" i="1"/>
  <c r="Z273" i="1"/>
  <c r="Y275" i="1"/>
  <c r="D499" i="1"/>
  <c r="H9" i="1"/>
  <c r="B499" i="1"/>
  <c r="X490" i="1"/>
  <c r="X492" i="1" s="1"/>
  <c r="X491" i="1"/>
  <c r="X493" i="1"/>
  <c r="Y24" i="1"/>
  <c r="Z27" i="1"/>
  <c r="Z31" i="1" s="1"/>
  <c r="BN27" i="1"/>
  <c r="Z29" i="1"/>
  <c r="BN29" i="1"/>
  <c r="C499" i="1"/>
  <c r="Z41" i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7" i="1" s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Z204" i="1" s="1"/>
  <c r="BP203" i="1"/>
  <c r="BN203" i="1"/>
  <c r="Z203" i="1"/>
  <c r="Y205" i="1"/>
  <c r="Y216" i="1"/>
  <c r="BP207" i="1"/>
  <c r="BN207" i="1"/>
  <c r="Z207" i="1"/>
  <c r="Z216" i="1" s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Z338" i="1" s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Z462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Z325" i="1" s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68" i="1"/>
  <c r="Z394" i="1"/>
  <c r="Z304" i="1"/>
  <c r="Z294" i="1"/>
  <c r="Z318" i="1"/>
  <c r="Z312" i="1"/>
  <c r="Z96" i="1"/>
  <c r="Z69" i="1"/>
  <c r="Z494" i="1" s="1"/>
  <c r="Y489" i="1"/>
  <c r="Z89" i="1"/>
  <c r="Z432" i="1"/>
  <c r="Z260" i="1"/>
  <c r="Z144" i="1"/>
  <c r="Z110" i="1"/>
</calcChain>
</file>

<file path=xl/sharedStrings.xml><?xml version="1.0" encoding="utf-8"?>
<sst xmlns="http://schemas.openxmlformats.org/spreadsheetml/2006/main" count="2287" uniqueCount="764">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</sst>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45963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Воскресенье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0.375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104.02777777777777</v>
      </c>
      <c r="BN40" s="64">
        <f>IFERROR(Y40*I40/H40,"0")</f>
        <v>112.34999999999998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140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147.35</v>
      </c>
      <c r="BN41" s="64">
        <f>IFERROR(Y41*I41/H41,"0")</f>
        <v>147.35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44.25925925925926</v>
      </c>
      <c r="Y43" s="543">
        <f>IFERROR(Y40/H40,"0")+IFERROR(Y41/H41,"0")+IFERROR(Y42/H42,"0")</f>
        <v>45</v>
      </c>
      <c r="Z43" s="543">
        <f>IFERROR(IF(Z40="",0,Z40),"0")+IFERROR(IF(Z41="",0,Z41),"0")+IFERROR(IF(Z42="",0,Z42),"0")</f>
        <v>0.50549999999999995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240</v>
      </c>
      <c r="Y44" s="543">
        <f>IFERROR(SUM(Y40:Y42),"0")</f>
        <v>248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208.05555555555554</v>
      </c>
      <c r="BN52" s="64">
        <f t="shared" si="2"/>
        <v>213.46499999999997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180</v>
      </c>
      <c r="Y56" s="542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188.39999999999998</v>
      </c>
      <c r="BN56" s="64">
        <f t="shared" si="2"/>
        <v>188.39999999999998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58.518518518518519</v>
      </c>
      <c r="Y57" s="543">
        <f>IFERROR(Y51/H51,"0")+IFERROR(Y52/H52,"0")+IFERROR(Y53/H53,"0")+IFERROR(Y54/H54,"0")+IFERROR(Y55/H55,"0")+IFERROR(Y56/H56,"0")</f>
        <v>59</v>
      </c>
      <c r="Z57" s="543">
        <f>IFERROR(IF(Z51="",0,Z51),"0")+IFERROR(IF(Z52="",0,Z52),"0")+IFERROR(IF(Z53="",0,Z53),"0")+IFERROR(IF(Z54="",0,Z54),"0")+IFERROR(IF(Z55="",0,Z55),"0")+IFERROR(IF(Z56="",0,Z56),"0")</f>
        <v>0.72141999999999995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380</v>
      </c>
      <c r="Y58" s="543">
        <f>IFERROR(SUM(Y51:Y56),"0")</f>
        <v>385.20000000000005</v>
      </c>
      <c r="Z58" s="37"/>
      <c r="AA58" s="544"/>
      <c r="AB58" s="544"/>
      <c r="AC58" s="544"/>
    </row>
    <row r="59" spans="1:68" ht="14.25" customHeight="1" x14ac:dyDescent="0.25">
      <c r="A59" s="557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104.02777777777777</v>
      </c>
      <c r="BN60" s="64">
        <f>IFERROR(Y60*I60/H60,"0")</f>
        <v>112.34999999999998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180</v>
      </c>
      <c r="Y62" s="542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75.925925925925924</v>
      </c>
      <c r="Y63" s="543">
        <f>IFERROR(Y60/H60,"0")+IFERROR(Y61/H61,"0")+IFERROR(Y62/H62,"0")</f>
        <v>77</v>
      </c>
      <c r="Z63" s="543">
        <f>IFERROR(IF(Z60="",0,Z60),"0")+IFERROR(IF(Z61="",0,Z61),"0")+IFERROR(IF(Z62="",0,Z62),"0")</f>
        <v>0.62597000000000003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280</v>
      </c>
      <c r="Y64" s="543">
        <f>IFERROR(SUM(Y60:Y62),"0")</f>
        <v>288.89999999999998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152</v>
      </c>
      <c r="B72" s="54" t="s">
        <v>153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165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customHeight="1" x14ac:dyDescent="0.25">
      <c r="A84" s="558" t="s">
        <v>172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200</v>
      </c>
      <c r="Y86" s="542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/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360</v>
      </c>
      <c r="Y88" s="542">
        <f>IFERROR(IF(X88="",0,CEILING((X88/$H88),1)*$H88),"")</f>
        <v>360</v>
      </c>
      <c r="Z88" s="36">
        <f>IFERROR(IF(Y88=0,"",ROUNDUP(Y88/H88,0)*0.00902),"")</f>
        <v>0.72160000000000002</v>
      </c>
      <c r="AA88" s="56"/>
      <c r="AB88" s="57"/>
      <c r="AC88" s="133" t="s">
        <v>175</v>
      </c>
      <c r="AG88" s="64"/>
      <c r="AJ88" s="68" t="s">
        <v>106</v>
      </c>
      <c r="AK88" s="68">
        <v>4.5</v>
      </c>
      <c r="BB88" s="134" t="s">
        <v>1</v>
      </c>
      <c r="BM88" s="64">
        <f>IFERROR(X88*I88/H88,"0")</f>
        <v>376.79999999999995</v>
      </c>
      <c r="BN88" s="64">
        <f>IFERROR(Y88*I88/H88,"0")</f>
        <v>376.79999999999995</v>
      </c>
      <c r="BO88" s="64">
        <f>IFERROR(1/J88*(X88/H88),"0")</f>
        <v>0.60606060606060608</v>
      </c>
      <c r="BP88" s="64">
        <f>IFERROR(1/J88*(Y88/H88),"0")</f>
        <v>0.60606060606060608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98.518518518518519</v>
      </c>
      <c r="Y89" s="543">
        <f>IFERROR(Y86/H86,"0")+IFERROR(Y87/H87,"0")+IFERROR(Y88/H88,"0")</f>
        <v>99</v>
      </c>
      <c r="Z89" s="543">
        <f>IFERROR(IF(Z86="",0,Z86),"0")+IFERROR(IF(Z87="",0,Z87),"0")+IFERROR(IF(Z88="",0,Z88),"0")</f>
        <v>1.08222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560</v>
      </c>
      <c r="Y90" s="543">
        <f>IFERROR(SUM(Y86:Y88),"0")</f>
        <v>565.20000000000005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350</v>
      </c>
      <c r="Y92" s="542">
        <f>IFERROR(IF(X92="",0,CEILING((X92/$H92),1)*$H92),"")</f>
        <v>356.4</v>
      </c>
      <c r="Z92" s="36">
        <f>IFERROR(IF(Y92=0,"",ROUNDUP(Y92/H92,0)*0.01898),"")</f>
        <v>0.83511999999999997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372.42592592592598</v>
      </c>
      <c r="BN92" s="64">
        <f>IFERROR(Y92*I92/H92,"0")</f>
        <v>379.23599999999993</v>
      </c>
      <c r="BO92" s="64">
        <f>IFERROR(1/J92*(X92/H92),"0")</f>
        <v>0.67515432098765438</v>
      </c>
      <c r="BP92" s="64">
        <f>IFERROR(1/J92*(Y92/H92),"0")</f>
        <v>0.6875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270</v>
      </c>
      <c r="Y94" s="542">
        <f>IFERROR(IF(X94="",0,CEILING((X94/$H94),1)*$H94),"")</f>
        <v>270</v>
      </c>
      <c r="Z94" s="36">
        <f>IFERROR(IF(Y94=0,"",ROUNDUP(Y94/H94,0)*0.00651),"")</f>
        <v>0.65100000000000002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295.2</v>
      </c>
      <c r="BN94" s="64">
        <f>IFERROR(Y94*I94/H94,"0")</f>
        <v>295.2</v>
      </c>
      <c r="BO94" s="64">
        <f>IFERROR(1/J94*(X94/H94),"0")</f>
        <v>0.5494505494505495</v>
      </c>
      <c r="BP94" s="64">
        <f>IFERROR(1/J94*(Y94/H94),"0")</f>
        <v>0.5494505494505495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143.20987654320987</v>
      </c>
      <c r="Y96" s="543">
        <f>IFERROR(Y92/H92,"0")+IFERROR(Y93/H93,"0")+IFERROR(Y94/H94,"0")+IFERROR(Y95/H95,"0")</f>
        <v>144</v>
      </c>
      <c r="Z96" s="543">
        <f>IFERROR(IF(Z92="",0,Z92),"0")+IFERROR(IF(Z93="",0,Z93),"0")+IFERROR(IF(Z94="",0,Z94),"0")+IFERROR(IF(Z95="",0,Z95),"0")</f>
        <v>1.4861200000000001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620</v>
      </c>
      <c r="Y97" s="543">
        <f>IFERROR(SUM(Y92:Y95),"0")</f>
        <v>626.4</v>
      </c>
      <c r="Z97" s="37"/>
      <c r="AA97" s="544"/>
      <c r="AB97" s="544"/>
      <c r="AC97" s="544"/>
    </row>
    <row r="98" spans="1:68" ht="16.5" customHeight="1" x14ac:dyDescent="0.25">
      <c r="A98" s="558" t="s">
        <v>191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199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720</v>
      </c>
      <c r="Y102" s="542">
        <f>IFERROR(IF(X102="",0,CEILING((X102/$H102),1)*$H102),"")</f>
        <v>720</v>
      </c>
      <c r="Z102" s="36">
        <f>IFERROR(IF(Y102=0,"",ROUNDUP(Y102/H102,0)*0.00902),"")</f>
        <v>1.4432</v>
      </c>
      <c r="AA102" s="56"/>
      <c r="AB102" s="57"/>
      <c r="AC102" s="147" t="s">
        <v>194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753.59999999999991</v>
      </c>
      <c r="BN102" s="64">
        <f>IFERROR(Y102*I102/H102,"0")</f>
        <v>753.59999999999991</v>
      </c>
      <c r="BO102" s="64">
        <f>IFERROR(1/J102*(X102/H102),"0")</f>
        <v>1.2121212121212122</v>
      </c>
      <c r="BP102" s="64">
        <f>IFERROR(1/J102*(Y102/H102),"0")</f>
        <v>1.2121212121212122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160</v>
      </c>
      <c r="Y104" s="543">
        <f>IFERROR(Y100/H100,"0")+IFERROR(Y101/H101,"0")+IFERROR(Y102/H102,"0")+IFERROR(Y103/H103,"0")</f>
        <v>160</v>
      </c>
      <c r="Z104" s="543">
        <f>IFERROR(IF(Z100="",0,Z100),"0")+IFERROR(IF(Z101="",0,Z101),"0")+IFERROR(IF(Z102="",0,Z102),"0")+IFERROR(IF(Z103="",0,Z103),"0")</f>
        <v>1.4432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720</v>
      </c>
      <c r="Y105" s="543">
        <f>IFERROR(SUM(Y100:Y103),"0")</f>
        <v>720</v>
      </c>
      <c r="Z105" s="37"/>
      <c r="AA105" s="544"/>
      <c r="AB105" s="544"/>
      <c r="AC105" s="544"/>
    </row>
    <row r="106" spans="1:68" ht="14.25" customHeight="1" x14ac:dyDescent="0.25">
      <c r="A106" s="557" t="s">
        <v>135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216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270</v>
      </c>
      <c r="Y115" s="542">
        <f>IFERROR(IF(X115="",0,CEILING((X115/$H115),1)*$H115),"")</f>
        <v>270</v>
      </c>
      <c r="Z115" s="36">
        <f>IFERROR(IF(Y115=0,"",ROUNDUP(Y115/H115,0)*0.00651),"")</f>
        <v>0.65100000000000002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295.2</v>
      </c>
      <c r="BN115" s="64">
        <f>IFERROR(Y115*I115/H115,"0")</f>
        <v>295.2</v>
      </c>
      <c r="BO115" s="64">
        <f>IFERROR(1/J115*(X115/H115),"0")</f>
        <v>0.5494505494505495</v>
      </c>
      <c r="BP115" s="64">
        <f>IFERROR(1/J115*(Y115/H115),"0")</f>
        <v>0.5494505494505495</v>
      </c>
    </row>
    <row r="116" spans="1:68" ht="16.5" customHeight="1" x14ac:dyDescent="0.25">
      <c r="A116" s="54" t="s">
        <v>217</v>
      </c>
      <c r="B116" s="54" t="s">
        <v>218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 t="s">
        <v>216</v>
      </c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30</v>
      </c>
      <c r="Y116" s="542">
        <f>IFERROR(IF(X116="",0,CEILING((X116/$H116),1)*$H116),"")</f>
        <v>30.6</v>
      </c>
      <c r="Z116" s="36">
        <f>IFERROR(IF(Y116=0,"",ROUNDUP(Y116/H116,0)*0.00651),"")</f>
        <v>0.11067</v>
      </c>
      <c r="AA116" s="56"/>
      <c r="AB116" s="57"/>
      <c r="AC116" s="163" t="s">
        <v>219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33</v>
      </c>
      <c r="BN116" s="64">
        <f>IFERROR(Y116*I116/H116,"0")</f>
        <v>33.659999999999997</v>
      </c>
      <c r="BO116" s="64">
        <f>IFERROR(1/J116*(X116/H116),"0")</f>
        <v>9.1575091575091583E-2</v>
      </c>
      <c r="BP116" s="64">
        <f>IFERROR(1/J116*(Y116/H116),"0")</f>
        <v>9.3406593406593408E-2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116.66666666666667</v>
      </c>
      <c r="Y117" s="543">
        <f>IFERROR(Y113/H113,"0")+IFERROR(Y114/H114,"0")+IFERROR(Y115/H115,"0")+IFERROR(Y116/H116,"0")</f>
        <v>117</v>
      </c>
      <c r="Z117" s="543">
        <f>IFERROR(IF(Z113="",0,Z113),"0")+IFERROR(IF(Z114="",0,Z114),"0")+IFERROR(IF(Z115="",0,Z115),"0")+IFERROR(IF(Z116="",0,Z116),"0")</f>
        <v>0.76167000000000007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300</v>
      </c>
      <c r="Y118" s="543">
        <f>IFERROR(SUM(Y113:Y116),"0")</f>
        <v>300.60000000000002</v>
      </c>
      <c r="Z118" s="37"/>
      <c r="AA118" s="544"/>
      <c r="AB118" s="544"/>
      <c r="AC118" s="544"/>
    </row>
    <row r="119" spans="1:68" ht="14.25" customHeight="1" x14ac:dyDescent="0.25">
      <c r="A119" s="557" t="s">
        <v>165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220</v>
      </c>
      <c r="B120" s="54" t="s">
        <v>221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 t="s">
        <v>216</v>
      </c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39.6</v>
      </c>
      <c r="Y120" s="542">
        <f>IFERROR(IF(X120="",0,CEILING((X120/$H120),1)*$H120),"")</f>
        <v>39.6</v>
      </c>
      <c r="Z120" s="36">
        <f>IFERROR(IF(Y120=0,"",ROUNDUP(Y120/H120,0)*0.00651),"")</f>
        <v>0.13020000000000001</v>
      </c>
      <c r="AA120" s="56"/>
      <c r="AB120" s="57"/>
      <c r="AC120" s="165" t="s">
        <v>222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44.760000000000005</v>
      </c>
      <c r="BN120" s="64">
        <f>IFERROR(Y120*I120/H120,"0")</f>
        <v>44.760000000000005</v>
      </c>
      <c r="BO120" s="64">
        <f>IFERROR(1/J120*(X120/H120),"0")</f>
        <v>0.1098901098901099</v>
      </c>
      <c r="BP120" s="64">
        <f>IFERROR(1/J120*(Y120/H120),"0")</f>
        <v>0.1098901098901099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20</v>
      </c>
      <c r="Y121" s="543">
        <f>IFERROR(Y120/H120,"0")</f>
        <v>20</v>
      </c>
      <c r="Z121" s="543">
        <f>IFERROR(IF(Z120="",0,Z120),"0")</f>
        <v>0.13020000000000001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39.6</v>
      </c>
      <c r="Y122" s="543">
        <f>IFERROR(SUM(Y120:Y120),"0")</f>
        <v>39.6</v>
      </c>
      <c r="Z122" s="37"/>
      <c r="AA122" s="544"/>
      <c r="AB122" s="544"/>
      <c r="AC122" s="544"/>
    </row>
    <row r="123" spans="1:68" ht="16.5" customHeight="1" x14ac:dyDescent="0.25">
      <c r="A123" s="558" t="s">
        <v>223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224</v>
      </c>
      <c r="B125" s="54" t="s">
        <v>225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216</v>
      </c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72</v>
      </c>
      <c r="Y125" s="542">
        <f>IFERROR(IF(X125="",0,CEILING((X125/$H125),1)*$H125),"")</f>
        <v>73.600000000000009</v>
      </c>
      <c r="Z125" s="36">
        <f>IFERROR(IF(Y125=0,"",ROUNDUP(Y125/H125,0)*0.00651),"")</f>
        <v>0.14973</v>
      </c>
      <c r="AA125" s="56"/>
      <c r="AB125" s="57"/>
      <c r="AC125" s="167" t="s">
        <v>226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76.05</v>
      </c>
      <c r="BN125" s="64">
        <f>IFERROR(Y125*I125/H125,"0")</f>
        <v>77.740000000000009</v>
      </c>
      <c r="BO125" s="64">
        <f>IFERROR(1/J125*(X125/H125),"0")</f>
        <v>0.12362637362637363</v>
      </c>
      <c r="BP125" s="64">
        <f>IFERROR(1/J125*(Y125/H125),"0")</f>
        <v>0.1263736263736264</v>
      </c>
    </row>
    <row r="126" spans="1:68" ht="27" customHeight="1" x14ac:dyDescent="0.25">
      <c r="A126" s="54" t="s">
        <v>224</v>
      </c>
      <c r="B126" s="54" t="s">
        <v>227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226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22.5</v>
      </c>
      <c r="Y127" s="543">
        <f>IFERROR(Y125/H125,"0")+IFERROR(Y126/H126,"0")</f>
        <v>23</v>
      </c>
      <c r="Z127" s="543">
        <f>IFERROR(IF(Z125="",0,Z125),"0")+IFERROR(IF(Z126="",0,Z126),"0")</f>
        <v>0.14973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72</v>
      </c>
      <c r="Y128" s="543">
        <f>IFERROR(SUM(Y125:Y126),"0")</f>
        <v>73.600000000000009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228</v>
      </c>
      <c r="B130" s="54" t="s">
        <v>229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228</v>
      </c>
      <c r="B131" s="54" t="s">
        <v>231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216</v>
      </c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230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232</v>
      </c>
      <c r="B135" s="54" t="s">
        <v>233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232</v>
      </c>
      <c r="B136" s="54" t="s">
        <v>234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 t="s">
        <v>216</v>
      </c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62.7</v>
      </c>
      <c r="Y136" s="542">
        <f>IFERROR(IF(X136="",0,CEILING((X136/$H136),1)*$H136),"")</f>
        <v>63.36</v>
      </c>
      <c r="Z136" s="36">
        <f>IFERROR(IF(Y136=0,"",ROUNDUP(Y136/H136,0)*0.00651),"")</f>
        <v>0.15623999999999999</v>
      </c>
      <c r="AA136" s="56"/>
      <c r="AB136" s="57"/>
      <c r="AC136" s="177" t="s">
        <v>226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69.064999999999998</v>
      </c>
      <c r="BN136" s="64">
        <f>IFERROR(Y136*I136/H136,"0")</f>
        <v>69.792000000000002</v>
      </c>
      <c r="BO136" s="64">
        <f>IFERROR(1/J136*(X136/H136),"0")</f>
        <v>0.1304945054945055</v>
      </c>
      <c r="BP136" s="64">
        <f>IFERROR(1/J136*(Y136/H136),"0")</f>
        <v>0.13186813186813187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23.75</v>
      </c>
      <c r="Y137" s="543">
        <f>IFERROR(Y135/H135,"0")+IFERROR(Y136/H136,"0")</f>
        <v>24</v>
      </c>
      <c r="Z137" s="543">
        <f>IFERROR(IF(Z135="",0,Z135),"0")+IFERROR(IF(Z136="",0,Z136),"0")</f>
        <v>0.15623999999999999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62.7</v>
      </c>
      <c r="Y138" s="543">
        <f>IFERROR(SUM(Y135:Y136),"0")</f>
        <v>63.36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235</v>
      </c>
      <c r="B141" s="54" t="s">
        <v>236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237</v>
      </c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242</v>
      </c>
      <c r="B143" s="54" t="s">
        <v>243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254</v>
      </c>
      <c r="B153" s="54" t="s">
        <v>255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256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237</v>
      </c>
      <c r="AC153" s="191" t="s">
        <v>257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258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259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135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260</v>
      </c>
      <c r="B159" s="54" t="s">
        <v>261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262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263</v>
      </c>
      <c r="B163" s="54" t="s">
        <v>264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199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80</v>
      </c>
      <c r="Y163" s="542">
        <f t="shared" ref="Y163:Y171" si="5">IFERROR(IF(X163="",0,CEILING((X163/$H163),1)*$H163),"")</f>
        <v>84</v>
      </c>
      <c r="Z163" s="36">
        <f>IFERROR(IF(Y163=0,"",ROUNDUP(Y163/H163,0)*0.00902),"")</f>
        <v>0.1804</v>
      </c>
      <c r="AA163" s="56"/>
      <c r="AB163" s="57"/>
      <c r="AC163" s="195" t="s">
        <v>265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85.142857142857125</v>
      </c>
      <c r="BN163" s="64">
        <f t="shared" ref="BN163:BN171" si="7">IFERROR(Y163*I163/H163,"0")</f>
        <v>89.399999999999991</v>
      </c>
      <c r="BO163" s="64">
        <f t="shared" ref="BO163:BO171" si="8">IFERROR(1/J163*(X163/H163),"0")</f>
        <v>0.14430014430014429</v>
      </c>
      <c r="BP163" s="64">
        <f t="shared" ref="BP163:BP171" si="9">IFERROR(1/J163*(Y163/H163),"0")</f>
        <v>0.15151515151515152</v>
      </c>
    </row>
    <row r="164" spans="1:68" ht="27" customHeight="1" x14ac:dyDescent="0.25">
      <c r="A164" s="54" t="s">
        <v>266</v>
      </c>
      <c r="B164" s="54" t="s">
        <v>267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 t="s">
        <v>199</v>
      </c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80</v>
      </c>
      <c r="Y165" s="542">
        <f t="shared" si="5"/>
        <v>84</v>
      </c>
      <c r="Z165" s="36">
        <f>IFERROR(IF(Y165=0,"",ROUNDUP(Y165/H165,0)*0.00902),"")</f>
        <v>0.1804</v>
      </c>
      <c r="AA165" s="56"/>
      <c r="AB165" s="57"/>
      <c r="AC165" s="199" t="s">
        <v>271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84</v>
      </c>
      <c r="BN165" s="64">
        <f t="shared" si="7"/>
        <v>88.199999999999989</v>
      </c>
      <c r="BO165" s="64">
        <f t="shared" si="8"/>
        <v>0.14430014430014429</v>
      </c>
      <c r="BP165" s="64">
        <f t="shared" si="9"/>
        <v>0.15151515151515152</v>
      </c>
    </row>
    <row r="166" spans="1:68" ht="27" customHeight="1" x14ac:dyDescent="0.25">
      <c r="A166" s="54" t="s">
        <v>272</v>
      </c>
      <c r="B166" s="54" t="s">
        <v>273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274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122.5</v>
      </c>
      <c r="Y166" s="542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265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130.08333333333334</v>
      </c>
      <c r="BN166" s="64">
        <f t="shared" si="7"/>
        <v>131.57</v>
      </c>
      <c r="BO166" s="64">
        <f t="shared" si="8"/>
        <v>0.2492877492877493</v>
      </c>
      <c r="BP166" s="64">
        <f t="shared" si="9"/>
        <v>0.25213675213675218</v>
      </c>
    </row>
    <row r="167" spans="1:68" ht="27" customHeight="1" x14ac:dyDescent="0.25">
      <c r="A167" s="54" t="s">
        <v>275</v>
      </c>
      <c r="B167" s="54" t="s">
        <v>276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274</v>
      </c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105</v>
      </c>
      <c r="Y167" s="542">
        <f t="shared" si="5"/>
        <v>105</v>
      </c>
      <c r="Z167" s="36">
        <f>IFERROR(IF(Y167=0,"",ROUNDUP(Y167/H167,0)*0.00502),"")</f>
        <v>0.251</v>
      </c>
      <c r="AA167" s="56"/>
      <c r="AB167" s="57"/>
      <c r="AC167" s="203" t="s">
        <v>268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111.5</v>
      </c>
      <c r="BN167" s="64">
        <f t="shared" si="7"/>
        <v>111.5</v>
      </c>
      <c r="BO167" s="64">
        <f t="shared" si="8"/>
        <v>0.21367521367521369</v>
      </c>
      <c r="BP167" s="64">
        <f t="shared" si="9"/>
        <v>0.21367521367521369</v>
      </c>
    </row>
    <row r="168" spans="1:68" ht="27" customHeight="1" x14ac:dyDescent="0.25">
      <c r="A168" s="54" t="s">
        <v>277</v>
      </c>
      <c r="B168" s="54" t="s">
        <v>278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274</v>
      </c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175</v>
      </c>
      <c r="Y169" s="542">
        <f t="shared" si="5"/>
        <v>176.4</v>
      </c>
      <c r="Z169" s="36">
        <f>IFERROR(IF(Y169=0,"",ROUNDUP(Y169/H169,0)*0.00502),"")</f>
        <v>0.42168</v>
      </c>
      <c r="AA169" s="56"/>
      <c r="AB169" s="57"/>
      <c r="AC169" s="207" t="s">
        <v>271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183.33333333333334</v>
      </c>
      <c r="BN169" s="64">
        <f t="shared" si="7"/>
        <v>184.8</v>
      </c>
      <c r="BO169" s="64">
        <f t="shared" si="8"/>
        <v>0.35612535612535612</v>
      </c>
      <c r="BP169" s="64">
        <f t="shared" si="9"/>
        <v>0.35897435897435903</v>
      </c>
    </row>
    <row r="170" spans="1:68" ht="27" customHeight="1" x14ac:dyDescent="0.25">
      <c r="A170" s="54" t="s">
        <v>282</v>
      </c>
      <c r="B170" s="54" t="s">
        <v>283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284</v>
      </c>
      <c r="B171" s="54" t="s">
        <v>285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286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229.76190476190476</v>
      </c>
      <c r="Y172" s="543">
        <f>IFERROR(Y163/H163,"0")+IFERROR(Y164/H164,"0")+IFERROR(Y165/H165,"0")+IFERROR(Y166/H166,"0")+IFERROR(Y167/H167,"0")+IFERROR(Y168/H168,"0")+IFERROR(Y169/H169,"0")+IFERROR(Y170/H170,"0")+IFERROR(Y171/H171,"0")</f>
        <v>233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1.3296600000000001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562.5</v>
      </c>
      <c r="Y173" s="543">
        <f>IFERROR(SUM(Y163:Y171),"0")</f>
        <v>573.29999999999995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287</v>
      </c>
      <c r="B175" s="54" t="s">
        <v>288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289</v>
      </c>
      <c r="L175" s="32"/>
      <c r="M175" s="33" t="s">
        <v>290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289</v>
      </c>
      <c r="L176" s="32"/>
      <c r="M176" s="33" t="s">
        <v>290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294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ht="27" customHeight="1" x14ac:dyDescent="0.25">
      <c r="A177" s="54" t="s">
        <v>295</v>
      </c>
      <c r="B177" s="54" t="s">
        <v>296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289</v>
      </c>
      <c r="L177" s="32"/>
      <c r="M177" s="33" t="s">
        <v>290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14</v>
      </c>
      <c r="Y177" s="542">
        <f>IFERROR(IF(X177="",0,CEILING((X177/$H177),1)*$H177),"")</f>
        <v>15.120000000000001</v>
      </c>
      <c r="Z177" s="36">
        <f>IFERROR(IF(Y177=0,"",ROUNDUP(Y177/H177,0)*0.0059),"")</f>
        <v>7.0800000000000002E-2</v>
      </c>
      <c r="AA177" s="56"/>
      <c r="AB177" s="57"/>
      <c r="AC177" s="217" t="s">
        <v>294</v>
      </c>
      <c r="AG177" s="64"/>
      <c r="AJ177" s="68"/>
      <c r="AK177" s="68">
        <v>0</v>
      </c>
      <c r="BB177" s="218" t="s">
        <v>1</v>
      </c>
      <c r="BM177" s="64">
        <f>IFERROR(X177*I177/H177,"0")</f>
        <v>16.111111111111111</v>
      </c>
      <c r="BN177" s="64">
        <f>IFERROR(Y177*I177/H177,"0")</f>
        <v>17.399999999999999</v>
      </c>
      <c r="BO177" s="64">
        <f>IFERROR(1/J177*(X177/H177),"0")</f>
        <v>5.1440329218106991E-2</v>
      </c>
      <c r="BP177" s="64">
        <f>IFERROR(1/J177*(Y177/H177),"0")</f>
        <v>5.5555555555555552E-2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27.777777777777779</v>
      </c>
      <c r="Y178" s="543">
        <f>IFERROR(Y175/H175,"0")+IFERROR(Y176/H176,"0")+IFERROR(Y177/H177,"0")</f>
        <v>30</v>
      </c>
      <c r="Z178" s="543">
        <f>IFERROR(IF(Z175="",0,Z175),"0")+IFERROR(IF(Z176="",0,Z176),"0")+IFERROR(IF(Z177="",0,Z177),"0")</f>
        <v>0.17699999999999999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35</v>
      </c>
      <c r="Y179" s="543">
        <f>IFERROR(SUM(Y175:Y177),"0")</f>
        <v>37.799999999999997</v>
      </c>
      <c r="Z179" s="37"/>
      <c r="AA179" s="544"/>
      <c r="AB179" s="544"/>
      <c r="AC179" s="544"/>
    </row>
    <row r="180" spans="1:68" ht="14.25" customHeight="1" x14ac:dyDescent="0.25">
      <c r="A180" s="557" t="s">
        <v>297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298</v>
      </c>
      <c r="B181" s="54" t="s">
        <v>299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289</v>
      </c>
      <c r="L181" s="32"/>
      <c r="M181" s="33" t="s">
        <v>290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14</v>
      </c>
      <c r="Y181" s="542">
        <f>IFERROR(IF(X181="",0,CEILING((X181/$H181),1)*$H181),"")</f>
        <v>15.120000000000001</v>
      </c>
      <c r="Z181" s="36">
        <f>IFERROR(IF(Y181=0,"",ROUNDUP(Y181/H181,0)*0.0059),"")</f>
        <v>7.0800000000000002E-2</v>
      </c>
      <c r="AA181" s="56"/>
      <c r="AB181" s="57"/>
      <c r="AC181" s="219" t="s">
        <v>294</v>
      </c>
      <c r="AG181" s="64"/>
      <c r="AJ181" s="68"/>
      <c r="AK181" s="68">
        <v>0</v>
      </c>
      <c r="BB181" s="220" t="s">
        <v>1</v>
      </c>
      <c r="BM181" s="64">
        <f>IFERROR(X181*I181/H181,"0")</f>
        <v>16.111111111111111</v>
      </c>
      <c r="BN181" s="64">
        <f>IFERROR(Y181*I181/H181,"0")</f>
        <v>17.399999999999999</v>
      </c>
      <c r="BO181" s="64">
        <f>IFERROR(1/J181*(X181/H181),"0")</f>
        <v>5.1440329218106991E-2</v>
      </c>
      <c r="BP181" s="64">
        <f>IFERROR(1/J181*(Y181/H181),"0")</f>
        <v>5.5555555555555552E-2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11.111111111111111</v>
      </c>
      <c r="Y182" s="543">
        <f>IFERROR(Y181/H181,"0")</f>
        <v>12</v>
      </c>
      <c r="Z182" s="543">
        <f>IFERROR(IF(Z181="",0,Z181),"0")</f>
        <v>7.0800000000000002E-2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14</v>
      </c>
      <c r="Y183" s="543">
        <f>IFERROR(SUM(Y181:Y181),"0")</f>
        <v>15.120000000000001</v>
      </c>
      <c r="Z183" s="37"/>
      <c r="AA183" s="544"/>
      <c r="AB183" s="544"/>
      <c r="AC183" s="544"/>
    </row>
    <row r="184" spans="1:68" ht="16.5" customHeight="1" x14ac:dyDescent="0.25">
      <c r="A184" s="558" t="s">
        <v>300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301</v>
      </c>
      <c r="B186" s="54" t="s">
        <v>302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303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304</v>
      </c>
      <c r="B187" s="54" t="s">
        <v>305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303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135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306</v>
      </c>
      <c r="B191" s="54" t="s">
        <v>307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308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309</v>
      </c>
      <c r="B192" s="54" t="s">
        <v>310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308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311</v>
      </c>
      <c r="B196" s="54" t="s">
        <v>312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199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124.66666666666667</v>
      </c>
      <c r="BN196" s="64">
        <f t="shared" ref="BN196:BN203" si="12">IFERROR(Y196*I196/H196,"0")</f>
        <v>129.03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customHeight="1" x14ac:dyDescent="0.25">
      <c r="A197" s="54" t="s">
        <v>314</v>
      </c>
      <c r="B197" s="54" t="s">
        <v>315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199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199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100</v>
      </c>
      <c r="Y198" s="542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103.88888888888889</v>
      </c>
      <c r="BN198" s="64">
        <f t="shared" si="12"/>
        <v>106.59000000000002</v>
      </c>
      <c r="BO198" s="64">
        <f t="shared" si="13"/>
        <v>0.14029180695847362</v>
      </c>
      <c r="BP198" s="64">
        <f t="shared" si="14"/>
        <v>0.14393939393939395</v>
      </c>
    </row>
    <row r="199" spans="1:68" ht="27" customHeight="1" x14ac:dyDescent="0.25">
      <c r="A199" s="54" t="s">
        <v>320</v>
      </c>
      <c r="B199" s="54" t="s">
        <v>321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199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322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323</v>
      </c>
      <c r="B200" s="54" t="s">
        <v>324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274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120</v>
      </c>
      <c r="Y200" s="542">
        <f t="shared" si="10"/>
        <v>120.60000000000001</v>
      </c>
      <c r="Z200" s="36">
        <f>IFERROR(IF(Y200=0,"",ROUNDUP(Y200/H200,0)*0.00502),"")</f>
        <v>0.33634000000000003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128.66666666666666</v>
      </c>
      <c r="BN200" s="64">
        <f t="shared" si="12"/>
        <v>129.31</v>
      </c>
      <c r="BO200" s="64">
        <f t="shared" si="13"/>
        <v>0.28490028490028496</v>
      </c>
      <c r="BP200" s="64">
        <f t="shared" si="14"/>
        <v>0.28632478632478636</v>
      </c>
    </row>
    <row r="201" spans="1:68" ht="27" customHeight="1" x14ac:dyDescent="0.25">
      <c r="A201" s="54" t="s">
        <v>325</v>
      </c>
      <c r="B201" s="54" t="s">
        <v>326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274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60</v>
      </c>
      <c r="Y201" s="542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327</v>
      </c>
      <c r="B202" s="54" t="s">
        <v>328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274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75</v>
      </c>
      <c r="Y202" s="542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329</v>
      </c>
      <c r="B203" s="54" t="s">
        <v>330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274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54</v>
      </c>
      <c r="Y203" s="542">
        <f t="shared" si="10"/>
        <v>54</v>
      </c>
      <c r="Z203" s="36">
        <f>IFERROR(IF(Y203=0,"",ROUNDUP(Y203/H203,0)*0.00502),"")</f>
        <v>0.15060000000000001</v>
      </c>
      <c r="AA203" s="56"/>
      <c r="AB203" s="57"/>
      <c r="AC203" s="243" t="s">
        <v>322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56.999999999999993</v>
      </c>
      <c r="BN203" s="64">
        <f t="shared" si="12"/>
        <v>56.999999999999993</v>
      </c>
      <c r="BO203" s="64">
        <f t="shared" si="13"/>
        <v>0.12820512820512822</v>
      </c>
      <c r="BP203" s="64">
        <f t="shared" si="14"/>
        <v>0.12820512820512822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212.40740740740742</v>
      </c>
      <c r="Y204" s="543">
        <f>IFERROR(Y196/H196,"0")+IFERROR(Y197/H197,"0")+IFERROR(Y198/H198,"0")+IFERROR(Y199/H199,"0")+IFERROR(Y200/H200,"0")+IFERROR(Y201/H201,"0")+IFERROR(Y202/H202,"0")+IFERROR(Y203/H203,"0")</f>
        <v>215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1.2473000000000001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529</v>
      </c>
      <c r="Y205" s="543">
        <f>IFERROR(SUM(Y196:Y203),"0")</f>
        <v>538.20000000000005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331</v>
      </c>
      <c r="B207" s="54" t="s">
        <v>332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120</v>
      </c>
      <c r="Y209" s="542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339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127.15862068965518</v>
      </c>
      <c r="BN209" s="64">
        <f t="shared" si="17"/>
        <v>129.06599999999997</v>
      </c>
      <c r="BO209" s="64">
        <f t="shared" si="18"/>
        <v>0.21551724137931036</v>
      </c>
      <c r="BP209" s="64">
        <f t="shared" si="19"/>
        <v>0.21875</v>
      </c>
    </row>
    <row r="210" spans="1:68" ht="27" customHeight="1" x14ac:dyDescent="0.25">
      <c r="A210" s="54" t="s">
        <v>340</v>
      </c>
      <c r="B210" s="54" t="s">
        <v>341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216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280</v>
      </c>
      <c r="Y210" s="542">
        <f t="shared" si="15"/>
        <v>280.8</v>
      </c>
      <c r="Z210" s="36">
        <f t="shared" ref="Z210:Z215" si="20">IFERROR(IF(Y210=0,"",ROUNDUP(Y210/H210,0)*0.00651),"")</f>
        <v>0.76167000000000007</v>
      </c>
      <c r="AA210" s="56"/>
      <c r="AB210" s="57"/>
      <c r="AC210" s="251" t="s">
        <v>333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311.5</v>
      </c>
      <c r="BN210" s="64">
        <f t="shared" si="17"/>
        <v>312.39</v>
      </c>
      <c r="BO210" s="64">
        <f t="shared" si="18"/>
        <v>0.64102564102564108</v>
      </c>
      <c r="BP210" s="64">
        <f t="shared" si="19"/>
        <v>0.64285714285714302</v>
      </c>
    </row>
    <row r="211" spans="1:68" ht="27" customHeight="1" x14ac:dyDescent="0.25">
      <c r="A211" s="54" t="s">
        <v>342</v>
      </c>
      <c r="B211" s="54" t="s">
        <v>343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344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345</v>
      </c>
      <c r="B212" s="54" t="s">
        <v>346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216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360</v>
      </c>
      <c r="Y212" s="542">
        <f t="shared" si="15"/>
        <v>360</v>
      </c>
      <c r="Z212" s="36">
        <f t="shared" si="20"/>
        <v>0.97650000000000003</v>
      </c>
      <c r="AA212" s="56"/>
      <c r="AB212" s="57"/>
      <c r="AC212" s="255" t="s">
        <v>339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397.8</v>
      </c>
      <c r="BN212" s="64">
        <f t="shared" si="17"/>
        <v>397.8</v>
      </c>
      <c r="BO212" s="64">
        <f t="shared" si="18"/>
        <v>0.82417582417582425</v>
      </c>
      <c r="BP212" s="64">
        <f t="shared" si="19"/>
        <v>0.82417582417582425</v>
      </c>
    </row>
    <row r="213" spans="1:68" ht="27" customHeight="1" x14ac:dyDescent="0.25">
      <c r="A213" s="54" t="s">
        <v>347</v>
      </c>
      <c r="B213" s="54" t="s">
        <v>348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339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351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132.60000000000002</v>
      </c>
      <c r="BN214" s="64">
        <f t="shared" si="17"/>
        <v>132.60000000000002</v>
      </c>
      <c r="BO214" s="64">
        <f t="shared" si="18"/>
        <v>0.27472527472527475</v>
      </c>
      <c r="BP214" s="64">
        <f t="shared" si="19"/>
        <v>0.27472527472527475</v>
      </c>
    </row>
    <row r="215" spans="1:68" ht="27" customHeight="1" x14ac:dyDescent="0.25">
      <c r="A215" s="54" t="s">
        <v>352</v>
      </c>
      <c r="B215" s="54" t="s">
        <v>353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216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260</v>
      </c>
      <c r="Y215" s="542">
        <f t="shared" si="15"/>
        <v>261.59999999999997</v>
      </c>
      <c r="Z215" s="36">
        <f t="shared" si="20"/>
        <v>0.70959000000000005</v>
      </c>
      <c r="AA215" s="56"/>
      <c r="AB215" s="57"/>
      <c r="AC215" s="261" t="s">
        <v>336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287.95</v>
      </c>
      <c r="BN215" s="64">
        <f t="shared" si="17"/>
        <v>289.72199999999998</v>
      </c>
      <c r="BO215" s="64">
        <f t="shared" si="18"/>
        <v>0.59523809523809534</v>
      </c>
      <c r="BP215" s="64">
        <f t="shared" si="19"/>
        <v>0.59890109890109888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438.79310344827593</v>
      </c>
      <c r="Y216" s="543">
        <f>IFERROR(Y207/H207,"0")+IFERROR(Y208/H208,"0")+IFERROR(Y209/H209,"0")+IFERROR(Y210/H210,"0")+IFERROR(Y211/H211,"0")+IFERROR(Y212/H212,"0")+IFERROR(Y213/H213,"0")+IFERROR(Y214/H214,"0")+IFERROR(Y215/H215,"0")</f>
        <v>440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3.03898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1140</v>
      </c>
      <c r="Y217" s="543">
        <f>IFERROR(SUM(Y207:Y215),"0")</f>
        <v>1144.2</v>
      </c>
      <c r="Z217" s="37"/>
      <c r="AA217" s="544"/>
      <c r="AB217" s="544"/>
      <c r="AC217" s="544"/>
    </row>
    <row r="218" spans="1:68" ht="14.25" customHeight="1" x14ac:dyDescent="0.25">
      <c r="A218" s="557" t="s">
        <v>165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354</v>
      </c>
      <c r="B219" s="54" t="s">
        <v>355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216</v>
      </c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36</v>
      </c>
      <c r="Y219" s="542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39.780000000000008</v>
      </c>
      <c r="BN219" s="64">
        <f>IFERROR(Y219*I219/H219,"0")</f>
        <v>39.780000000000008</v>
      </c>
      <c r="BO219" s="64">
        <f>IFERROR(1/J219*(X219/H219),"0")</f>
        <v>8.241758241758243E-2</v>
      </c>
      <c r="BP219" s="64">
        <f>IFERROR(1/J219*(Y219/H219),"0")</f>
        <v>8.241758241758243E-2</v>
      </c>
    </row>
    <row r="220" spans="1:68" ht="37.5" customHeight="1" x14ac:dyDescent="0.25">
      <c r="A220" s="54" t="s">
        <v>357</v>
      </c>
      <c r="B220" s="54" t="s">
        <v>358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216</v>
      </c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24</v>
      </c>
      <c r="Y220" s="542">
        <f>IFERROR(IF(X220="",0,CEILING((X220/$H220),1)*$H220),"")</f>
        <v>24</v>
      </c>
      <c r="Z220" s="36">
        <f>IFERROR(IF(Y220=0,"",ROUNDUP(Y220/H220,0)*0.00651),"")</f>
        <v>6.5100000000000005E-2</v>
      </c>
      <c r="AA220" s="56"/>
      <c r="AB220" s="57"/>
      <c r="AC220" s="265" t="s">
        <v>359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26.520000000000003</v>
      </c>
      <c r="BN220" s="64">
        <f>IFERROR(Y220*I220/H220,"0")</f>
        <v>26.520000000000003</v>
      </c>
      <c r="BO220" s="64">
        <f>IFERROR(1/J220*(X220/H220),"0")</f>
        <v>5.4945054945054951E-2</v>
      </c>
      <c r="BP220" s="64">
        <f>IFERROR(1/J220*(Y220/H220),"0")</f>
        <v>5.4945054945054951E-2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25</v>
      </c>
      <c r="Y221" s="543">
        <f>IFERROR(Y219/H219,"0")+IFERROR(Y220/H220,"0")</f>
        <v>25</v>
      </c>
      <c r="Z221" s="543">
        <f>IFERROR(IF(Z219="",0,Z219),"0")+IFERROR(IF(Z220="",0,Z220),"0")</f>
        <v>0.16275000000000001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60</v>
      </c>
      <c r="Y222" s="543">
        <f>IFERROR(SUM(Y219:Y220),"0")</f>
        <v>60</v>
      </c>
      <c r="Z222" s="37"/>
      <c r="AA222" s="544"/>
      <c r="AB222" s="544"/>
      <c r="AC222" s="544"/>
    </row>
    <row r="223" spans="1:68" ht="16.5" customHeight="1" x14ac:dyDescent="0.25">
      <c r="A223" s="558" t="s">
        <v>360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361</v>
      </c>
      <c r="B225" s="54" t="s">
        <v>362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30</v>
      </c>
      <c r="Y225" s="542">
        <f t="shared" ref="Y225:Y234" si="21">IFERROR(IF(X225="",0,CEILING((X225/$H225),1)*$H225),"")</f>
        <v>34.799999999999997</v>
      </c>
      <c r="Z225" s="36">
        <f>IFERROR(IF(Y225=0,"",ROUNDUP(Y225/H225,0)*0.01898),"")</f>
        <v>5.6940000000000004E-2</v>
      </c>
      <c r="AA225" s="56"/>
      <c r="AB225" s="57"/>
      <c r="AC225" s="267" t="s">
        <v>363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31.125000000000004</v>
      </c>
      <c r="BN225" s="64">
        <f t="shared" ref="BN225:BN234" si="23">IFERROR(Y225*I225/H225,"0")</f>
        <v>36.104999999999997</v>
      </c>
      <c r="BO225" s="64">
        <f t="shared" ref="BO225:BO234" si="24">IFERROR(1/J225*(X225/H225),"0")</f>
        <v>4.0409482758620691E-2</v>
      </c>
      <c r="BP225" s="64">
        <f t="shared" ref="BP225:BP234" si="25">IFERROR(1/J225*(Y225/H225),"0")</f>
        <v>4.6875E-2</v>
      </c>
    </row>
    <row r="226" spans="1:68" ht="27" customHeight="1" x14ac:dyDescent="0.25">
      <c r="A226" s="54" t="s">
        <v>364</v>
      </c>
      <c r="B226" s="54" t="s">
        <v>365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100</v>
      </c>
      <c r="Y227" s="542">
        <f t="shared" si="21"/>
        <v>104.39999999999999</v>
      </c>
      <c r="Z227" s="36">
        <f>IFERROR(IF(Y227=0,"",ROUNDUP(Y227/H227,0)*0.01898),"")</f>
        <v>0.17082</v>
      </c>
      <c r="AA227" s="56"/>
      <c r="AB227" s="57"/>
      <c r="AC227" s="271" t="s">
        <v>369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103.75</v>
      </c>
      <c r="BN227" s="64">
        <f t="shared" si="23"/>
        <v>108.315</v>
      </c>
      <c r="BO227" s="64">
        <f t="shared" si="24"/>
        <v>0.13469827586206898</v>
      </c>
      <c r="BP227" s="64">
        <f t="shared" si="25"/>
        <v>0.140625</v>
      </c>
    </row>
    <row r="228" spans="1:68" ht="27" customHeight="1" x14ac:dyDescent="0.25">
      <c r="A228" s="54" t="s">
        <v>370</v>
      </c>
      <c r="B228" s="54" t="s">
        <v>371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 t="s">
        <v>199</v>
      </c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60</v>
      </c>
      <c r="Y228" s="542">
        <f t="shared" si="21"/>
        <v>60</v>
      </c>
      <c r="Z228" s="36">
        <f>IFERROR(IF(Y228=0,"",ROUNDUP(Y228/H228,0)*0.00902),"")</f>
        <v>0.1353</v>
      </c>
      <c r="AA228" s="56"/>
      <c r="AB228" s="57"/>
      <c r="AC228" s="273" t="s">
        <v>363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63.15</v>
      </c>
      <c r="BN228" s="64">
        <f t="shared" si="23"/>
        <v>63.15</v>
      </c>
      <c r="BO228" s="64">
        <f t="shared" si="24"/>
        <v>0.11363636363636365</v>
      </c>
      <c r="BP228" s="64">
        <f t="shared" si="25"/>
        <v>0.11363636363636365</v>
      </c>
    </row>
    <row r="229" spans="1:68" ht="27" customHeight="1" x14ac:dyDescent="0.25">
      <c r="A229" s="54" t="s">
        <v>370</v>
      </c>
      <c r="B229" s="54" t="s">
        <v>372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375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380</v>
      </c>
      <c r="B233" s="54" t="s">
        <v>381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199</v>
      </c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80</v>
      </c>
      <c r="Y233" s="542">
        <f t="shared" si="21"/>
        <v>80</v>
      </c>
      <c r="Z233" s="36">
        <f>IFERROR(IF(Y233=0,"",ROUNDUP(Y233/H233,0)*0.00902),"")</f>
        <v>0.1804</v>
      </c>
      <c r="AA233" s="56"/>
      <c r="AB233" s="57"/>
      <c r="AC233" s="283" t="s">
        <v>369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84.2</v>
      </c>
      <c r="BN233" s="64">
        <f t="shared" si="23"/>
        <v>84.2</v>
      </c>
      <c r="BO233" s="64">
        <f t="shared" si="24"/>
        <v>0.15151515151515152</v>
      </c>
      <c r="BP233" s="64">
        <f t="shared" si="25"/>
        <v>0.15151515151515152</v>
      </c>
    </row>
    <row r="234" spans="1:68" ht="27" customHeight="1" x14ac:dyDescent="0.25">
      <c r="A234" s="54" t="s">
        <v>380</v>
      </c>
      <c r="B234" s="54" t="s">
        <v>382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46.206896551724142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47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0.54346000000000005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270</v>
      </c>
      <c r="Y236" s="543">
        <f>IFERROR(SUM(Y225:Y234),"0")</f>
        <v>279.2</v>
      </c>
      <c r="Z236" s="37"/>
      <c r="AA236" s="544"/>
      <c r="AB236" s="544"/>
      <c r="AC236" s="544"/>
    </row>
    <row r="237" spans="1:68" ht="14.25" customHeight="1" x14ac:dyDescent="0.25">
      <c r="A237" s="557" t="s">
        <v>135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383</v>
      </c>
      <c r="B238" s="54" t="s">
        <v>384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385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386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387</v>
      </c>
      <c r="B242" s="54" t="s">
        <v>388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289</v>
      </c>
      <c r="L242" s="32"/>
      <c r="M242" s="33" t="s">
        <v>290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12</v>
      </c>
      <c r="Y242" s="542">
        <f>IFERROR(IF(X242="",0,CEILING((X242/$H242),1)*$H242),"")</f>
        <v>12.6</v>
      </c>
      <c r="Z242" s="36">
        <f>IFERROR(IF(Y242=0,"",ROUNDUP(Y242/H242,0)*0.0059),"")</f>
        <v>4.1299999999999996E-2</v>
      </c>
      <c r="AA242" s="56"/>
      <c r="AB242" s="57"/>
      <c r="AC242" s="289" t="s">
        <v>389</v>
      </c>
      <c r="AG242" s="64"/>
      <c r="AJ242" s="68"/>
      <c r="AK242" s="68">
        <v>0</v>
      </c>
      <c r="BB242" s="290" t="s">
        <v>1</v>
      </c>
      <c r="BM242" s="64">
        <f>IFERROR(X242*I242/H242,"0")</f>
        <v>13.166666666666668</v>
      </c>
      <c r="BN242" s="64">
        <f>IFERROR(Y242*I242/H242,"0")</f>
        <v>13.825000000000001</v>
      </c>
      <c r="BO242" s="64">
        <f>IFERROR(1/J242*(X242/H242),"0")</f>
        <v>3.0864197530864192E-2</v>
      </c>
      <c r="BP242" s="64">
        <f>IFERROR(1/J242*(Y242/H242),"0")</f>
        <v>3.2407407407407406E-2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6.6666666666666661</v>
      </c>
      <c r="Y243" s="543">
        <f>IFERROR(Y242/H242,"0")</f>
        <v>7</v>
      </c>
      <c r="Z243" s="543">
        <f>IFERROR(IF(Z242="",0,Z242),"0")</f>
        <v>4.1299999999999996E-2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12</v>
      </c>
      <c r="Y244" s="543">
        <f>IFERROR(SUM(Y242:Y242),"0")</f>
        <v>12.6</v>
      </c>
      <c r="Z244" s="37"/>
      <c r="AA244" s="544"/>
      <c r="AB244" s="544"/>
      <c r="AC244" s="544"/>
    </row>
    <row r="245" spans="1:68" ht="14.25" customHeight="1" x14ac:dyDescent="0.25">
      <c r="A245" s="557" t="s">
        <v>390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391</v>
      </c>
      <c r="B246" s="54" t="s">
        <v>392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289</v>
      </c>
      <c r="L246" s="32"/>
      <c r="M246" s="33" t="s">
        <v>290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394</v>
      </c>
      <c r="B247" s="54" t="s">
        <v>395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289</v>
      </c>
      <c r="L247" s="32"/>
      <c r="M247" s="33" t="s">
        <v>290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14</v>
      </c>
      <c r="Y247" s="542">
        <f>IFERROR(IF(X247="",0,CEILING((X247/$H247),1)*$H247),"")</f>
        <v>14.4</v>
      </c>
      <c r="Z247" s="36">
        <f>IFERROR(IF(Y247=0,"",ROUNDUP(Y247/H247,0)*0.0059),"")</f>
        <v>4.7199999999999999E-2</v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15.361111111111112</v>
      </c>
      <c r="BN247" s="64">
        <f>IFERROR(Y247*I247/H247,"0")</f>
        <v>15.8</v>
      </c>
      <c r="BO247" s="64">
        <f>IFERROR(1/J247*(X247/H247),"0")</f>
        <v>3.6008230452674893E-2</v>
      </c>
      <c r="BP247" s="64">
        <f>IFERROR(1/J247*(Y247/H247),"0")</f>
        <v>3.7037037037037035E-2</v>
      </c>
    </row>
    <row r="248" spans="1:68" ht="27" customHeight="1" x14ac:dyDescent="0.25">
      <c r="A248" s="54" t="s">
        <v>396</v>
      </c>
      <c r="B248" s="54" t="s">
        <v>397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289</v>
      </c>
      <c r="L248" s="32"/>
      <c r="M248" s="33" t="s">
        <v>290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11</v>
      </c>
      <c r="Y248" s="542">
        <f>IFERROR(IF(X248="",0,CEILING((X248/$H248),1)*$H248),"")</f>
        <v>11.700000000000001</v>
      </c>
      <c r="Z248" s="36">
        <f>IFERROR(IF(Y248=0,"",ROUNDUP(Y248/H248,0)*0.0059),"")</f>
        <v>7.6700000000000004E-2</v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13.322222222222223</v>
      </c>
      <c r="BN248" s="64">
        <f>IFERROR(Y248*I248/H248,"0")</f>
        <v>14.170000000000002</v>
      </c>
      <c r="BO248" s="64">
        <f>IFERROR(1/J248*(X248/H248),"0")</f>
        <v>5.6584362139917688E-2</v>
      </c>
      <c r="BP248" s="64">
        <f>IFERROR(1/J248*(Y248/H248),"0")</f>
        <v>6.0185185185185182E-2</v>
      </c>
    </row>
    <row r="249" spans="1:68" ht="27" customHeight="1" x14ac:dyDescent="0.25">
      <c r="A249" s="54" t="s">
        <v>398</v>
      </c>
      <c r="B249" s="54" t="s">
        <v>399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289</v>
      </c>
      <c r="L249" s="32"/>
      <c r="M249" s="33" t="s">
        <v>290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400</v>
      </c>
      <c r="B250" s="54" t="s">
        <v>401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289</v>
      </c>
      <c r="L250" s="32"/>
      <c r="M250" s="33" t="s">
        <v>290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393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20</v>
      </c>
      <c r="Y251" s="543">
        <f>IFERROR(Y246/H246,"0")+IFERROR(Y247/H247,"0")+IFERROR(Y248/H248,"0")+IFERROR(Y249/H249,"0")+IFERROR(Y250/H250,"0")</f>
        <v>21</v>
      </c>
      <c r="Z251" s="543">
        <f>IFERROR(IF(Z246="",0,Z246),"0")+IFERROR(IF(Z247="",0,Z247),"0")+IFERROR(IF(Z248="",0,Z248),"0")+IFERROR(IF(Z249="",0,Z249),"0")+IFERROR(IF(Z250="",0,Z250),"0")</f>
        <v>0.12390000000000001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25</v>
      </c>
      <c r="Y252" s="543">
        <f>IFERROR(SUM(Y246:Y250),"0")</f>
        <v>26.1</v>
      </c>
      <c r="Z252" s="37"/>
      <c r="AA252" s="544"/>
      <c r="AB252" s="544"/>
      <c r="AC252" s="544"/>
    </row>
    <row r="253" spans="1:68" ht="16.5" customHeight="1" x14ac:dyDescent="0.25">
      <c r="A253" s="558" t="s">
        <v>402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403</v>
      </c>
      <c r="B255" s="54" t="s">
        <v>404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406</v>
      </c>
      <c r="B256" s="54" t="s">
        <v>407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412</v>
      </c>
      <c r="B258" s="54" t="s">
        <v>413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415</v>
      </c>
      <c r="B259" s="54" t="s">
        <v>416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417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419</v>
      </c>
      <c r="B264" s="54" t="s">
        <v>420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424</v>
      </c>
      <c r="B266" s="54" t="s">
        <v>425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369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426</v>
      </c>
      <c r="B267" s="54" t="s">
        <v>427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428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429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430</v>
      </c>
      <c r="B272" s="54" t="s">
        <v>431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216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120</v>
      </c>
      <c r="Y273" s="542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435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132.60000000000002</v>
      </c>
      <c r="BN273" s="64">
        <f>IFERROR(Y273*I273/H273,"0")</f>
        <v>132.60000000000002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ht="27" customHeight="1" x14ac:dyDescent="0.25">
      <c r="A274" s="54" t="s">
        <v>436</v>
      </c>
      <c r="B274" s="54" t="s">
        <v>437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88</v>
      </c>
      <c r="Y274" s="542">
        <f>IFERROR(IF(X274="",0,CEILING((X274/$H274),1)*$H274),"")</f>
        <v>88.8</v>
      </c>
      <c r="Z274" s="36">
        <f>IFERROR(IF(Y274=0,"",ROUNDUP(Y274/H274,0)*0.00651),"")</f>
        <v>0.24087</v>
      </c>
      <c r="AA274" s="56"/>
      <c r="AB274" s="57"/>
      <c r="AC274" s="323" t="s">
        <v>432</v>
      </c>
      <c r="AG274" s="64"/>
      <c r="AJ274" s="68" t="s">
        <v>106</v>
      </c>
      <c r="AK274" s="68">
        <v>2.4</v>
      </c>
      <c r="BB274" s="324" t="s">
        <v>1</v>
      </c>
      <c r="BM274" s="64">
        <f>IFERROR(X274*I274/H274,"0")</f>
        <v>94.600000000000009</v>
      </c>
      <c r="BN274" s="64">
        <f>IFERROR(Y274*I274/H274,"0")</f>
        <v>95.46</v>
      </c>
      <c r="BO274" s="64">
        <f>IFERROR(1/J274*(X274/H274),"0")</f>
        <v>0.2014652014652015</v>
      </c>
      <c r="BP274" s="64">
        <f>IFERROR(1/J274*(Y274/H274),"0")</f>
        <v>0.20329670329670332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86.666666666666671</v>
      </c>
      <c r="Y275" s="543">
        <f>IFERROR(Y272/H272,"0")+IFERROR(Y273/H273,"0")+IFERROR(Y274/H274,"0")</f>
        <v>87</v>
      </c>
      <c r="Z275" s="543">
        <f>IFERROR(IF(Z272="",0,Z272),"0")+IFERROR(IF(Z273="",0,Z273),"0")+IFERROR(IF(Z274="",0,Z274),"0")</f>
        <v>0.56637000000000004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208</v>
      </c>
      <c r="Y276" s="543">
        <f>IFERROR(SUM(Y272:Y274),"0")</f>
        <v>208.8</v>
      </c>
      <c r="Z276" s="37"/>
      <c r="AA276" s="544"/>
      <c r="AB276" s="544"/>
      <c r="AC276" s="544"/>
    </row>
    <row r="277" spans="1:68" ht="16.5" customHeight="1" x14ac:dyDescent="0.25">
      <c r="A277" s="558" t="s">
        <v>438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439</v>
      </c>
      <c r="B279" s="54" t="s">
        <v>440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442</v>
      </c>
      <c r="B280" s="54" t="s">
        <v>443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20</v>
      </c>
      <c r="Y280" s="542">
        <f>IFERROR(IF(X280="",0,CEILING((X280/$H280),1)*$H280),"")</f>
        <v>21.599999999999998</v>
      </c>
      <c r="Z280" s="36">
        <f>IFERROR(IF(Y280=0,"",ROUNDUP(Y280/H280,0)*0.00651),"")</f>
        <v>5.8590000000000003E-2</v>
      </c>
      <c r="AA280" s="56"/>
      <c r="AB280" s="57"/>
      <c r="AC280" s="327" t="s">
        <v>444</v>
      </c>
      <c r="AG280" s="64"/>
      <c r="AJ280" s="68"/>
      <c r="AK280" s="68">
        <v>0</v>
      </c>
      <c r="BB280" s="328" t="s">
        <v>1</v>
      </c>
      <c r="BM280" s="64">
        <f>IFERROR(X280*I280/H280,"0")</f>
        <v>21.5</v>
      </c>
      <c r="BN280" s="64">
        <f>IFERROR(Y280*I280/H280,"0")</f>
        <v>23.22</v>
      </c>
      <c r="BO280" s="64">
        <f>IFERROR(1/J280*(X280/H280),"0")</f>
        <v>4.5787545787545791E-2</v>
      </c>
      <c r="BP280" s="64">
        <f>IFERROR(1/J280*(Y280/H280),"0")</f>
        <v>4.9450549450549455E-2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8.3333333333333339</v>
      </c>
      <c r="Y281" s="543">
        <f>IFERROR(Y279/H279,"0")+IFERROR(Y280/H280,"0")</f>
        <v>9</v>
      </c>
      <c r="Z281" s="543">
        <f>IFERROR(IF(Z279="",0,Z279),"0")+IFERROR(IF(Z280="",0,Z280),"0")</f>
        <v>5.8590000000000003E-2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20</v>
      </c>
      <c r="Y282" s="543">
        <f>IFERROR(SUM(Y279:Y280),"0")</f>
        <v>21.599999999999998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445</v>
      </c>
      <c r="B284" s="54" t="s">
        <v>446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274</v>
      </c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274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70</v>
      </c>
      <c r="Y301" s="542">
        <f t="shared" si="26"/>
        <v>71.400000000000006</v>
      </c>
      <c r="Z301" s="36">
        <f>IFERROR(IF(Y301=0,"",ROUNDUP(Y301/H301,0)*0.00502),"")</f>
        <v>0.17068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73.333333333333329</v>
      </c>
      <c r="BN301" s="64">
        <f t="shared" si="28"/>
        <v>74.8</v>
      </c>
      <c r="BO301" s="64">
        <f t="shared" si="29"/>
        <v>0.14245014245014245</v>
      </c>
      <c r="BP301" s="64">
        <f t="shared" si="30"/>
        <v>0.14529914529914531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216</v>
      </c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33.333333333333329</v>
      </c>
      <c r="Y304" s="543">
        <f>IFERROR(Y297/H297,"0")+IFERROR(Y298/H298,"0")+IFERROR(Y299/H299,"0")+IFERROR(Y300/H300,"0")+IFERROR(Y301/H301,"0")+IFERROR(Y302/H302,"0")+IFERROR(Y303/H303,"0")</f>
        <v>34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0.17068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70</v>
      </c>
      <c r="Y305" s="543">
        <f>IFERROR(SUM(Y297:Y303),"0")</f>
        <v>71.400000000000006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40</v>
      </c>
      <c r="Y315" s="542">
        <f>IFERROR(IF(X315="",0,CEILING((X315/$H315),1)*$H315),"")</f>
        <v>42</v>
      </c>
      <c r="Z315" s="36">
        <f>IFERROR(IF(Y315=0,"",ROUNDUP(Y315/H315,0)*0.01898),"")</f>
        <v>9.4899999999999998E-2</v>
      </c>
      <c r="AA315" s="56"/>
      <c r="AB315" s="57"/>
      <c r="AC315" s="365" t="s">
        <v>499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42.471428571428568</v>
      </c>
      <c r="BN315" s="64">
        <f>IFERROR(Y315*I315/H315,"0")</f>
        <v>44.594999999999999</v>
      </c>
      <c r="BO315" s="64">
        <f>IFERROR(1/J315*(X315/H315),"0")</f>
        <v>7.4404761904761904E-2</v>
      </c>
      <c r="BP315" s="64">
        <f>IFERROR(1/J315*(Y315/H315),"0")</f>
        <v>7.8125E-2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502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319.96153846153851</v>
      </c>
      <c r="BN316" s="64">
        <f>IFERROR(Y316*I316/H316,"0")</f>
        <v>324.44100000000003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300</v>
      </c>
      <c r="Y317" s="542">
        <f>IFERROR(IF(X317="",0,CEILING((X317/$H317),1)*$H317),"")</f>
        <v>302.40000000000003</v>
      </c>
      <c r="Z317" s="36">
        <f>IFERROR(IF(Y317=0,"",ROUNDUP(Y317/H317,0)*0.01898),"")</f>
        <v>0.68328</v>
      </c>
      <c r="AA317" s="56"/>
      <c r="AB317" s="57"/>
      <c r="AC317" s="369" t="s">
        <v>505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318.53571428571428</v>
      </c>
      <c r="BN317" s="64">
        <f>IFERROR(Y317*I317/H317,"0")</f>
        <v>321.084</v>
      </c>
      <c r="BO317" s="64">
        <f>IFERROR(1/J317*(X317/H317),"0")</f>
        <v>0.5580357142857143</v>
      </c>
      <c r="BP317" s="64">
        <f>IFERROR(1/J317*(Y317/H317),"0")</f>
        <v>0.5625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78.937728937728934</v>
      </c>
      <c r="Y318" s="543">
        <f>IFERROR(Y315/H315,"0")+IFERROR(Y316/H316,"0")+IFERROR(Y317/H317,"0")</f>
        <v>80</v>
      </c>
      <c r="Z318" s="543">
        <f>IFERROR(IF(Z315="",0,Z315),"0")+IFERROR(IF(Z316="",0,Z316),"0")+IFERROR(IF(Z317="",0,Z317),"0")</f>
        <v>1.5184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640</v>
      </c>
      <c r="Y319" s="543">
        <f>IFERROR(SUM(Y315:Y317),"0")</f>
        <v>648.6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216</v>
      </c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517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216</v>
      </c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216</v>
      </c>
      <c r="M330" s="33" t="s">
        <v>520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526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1050</v>
      </c>
      <c r="Y336" s="542">
        <f>IFERROR(IF(X336="",0,CEILING((X336/$H336),1)*$H336),"")</f>
        <v>1050</v>
      </c>
      <c r="Z336" s="36">
        <f>IFERROR(IF(Y336=0,"",ROUNDUP(Y336/H336,0)*0.00651),"")</f>
        <v>3.2549999999999999</v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1176</v>
      </c>
      <c r="BN336" s="64">
        <f>IFERROR(Y336*I336/H336,"0")</f>
        <v>1176</v>
      </c>
      <c r="BO336" s="64">
        <f>IFERROR(1/J336*(X336/H336),"0")</f>
        <v>2.7472527472527473</v>
      </c>
      <c r="BP336" s="64">
        <f>IFERROR(1/J336*(Y336/H336),"0")</f>
        <v>2.7472527472527473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216</v>
      </c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489.99999999999989</v>
      </c>
      <c r="Y337" s="542">
        <f>IFERROR(IF(X337="",0,CEILING((X337/$H337),1)*$H337),"")</f>
        <v>491.40000000000003</v>
      </c>
      <c r="Z337" s="36">
        <f>IFERROR(IF(Y337=0,"",ROUNDUP(Y337/H337,0)*0.00651),"")</f>
        <v>1.5233400000000001</v>
      </c>
      <c r="AA337" s="56"/>
      <c r="AB337" s="57"/>
      <c r="AC337" s="389" t="s">
        <v>535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545.99999999999977</v>
      </c>
      <c r="BN337" s="64">
        <f>IFERROR(Y337*I337/H337,"0")</f>
        <v>547.55999999999995</v>
      </c>
      <c r="BO337" s="64">
        <f>IFERROR(1/J337*(X337/H337),"0")</f>
        <v>1.2820512820512817</v>
      </c>
      <c r="BP337" s="64">
        <f>IFERROR(1/J337*(Y337/H337),"0")</f>
        <v>1.2857142857142858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733.33333333333326</v>
      </c>
      <c r="Y338" s="543">
        <f>IFERROR(Y335/H335,"0")+IFERROR(Y336/H336,"0")+IFERROR(Y337/H337,"0")</f>
        <v>734</v>
      </c>
      <c r="Z338" s="543">
        <f>IFERROR(IF(Z335="",0,Z335),"0")+IFERROR(IF(Z336="",0,Z336),"0")+IFERROR(IF(Z337="",0,Z337),"0")</f>
        <v>4.77834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1540</v>
      </c>
      <c r="Y339" s="543">
        <f>IFERROR(SUM(Y335:Y337),"0")</f>
        <v>1541.4</v>
      </c>
      <c r="Z339" s="37"/>
      <c r="AA339" s="544"/>
      <c r="AB339" s="544"/>
      <c r="AC339" s="544"/>
    </row>
    <row r="340" spans="1:68" ht="27.75" customHeight="1" x14ac:dyDescent="0.2">
      <c r="A340" s="639" t="s">
        <v>536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537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15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600</v>
      </c>
      <c r="Y344" s="542">
        <f t="shared" si="31"/>
        <v>600</v>
      </c>
      <c r="Z344" s="36">
        <f>IFERROR(IF(Y344=0,"",ROUNDUP(Y344/H344,0)*0.02175),"")</f>
        <v>0.86999999999999988</v>
      </c>
      <c r="AA344" s="56"/>
      <c r="AB344" s="57"/>
      <c r="AC344" s="393" t="s">
        <v>543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619.20000000000005</v>
      </c>
      <c r="BN344" s="64">
        <f t="shared" si="33"/>
        <v>619.20000000000005</v>
      </c>
      <c r="BO344" s="64">
        <f t="shared" si="34"/>
        <v>0.83333333333333326</v>
      </c>
      <c r="BP344" s="64">
        <f t="shared" si="35"/>
        <v>0.83333333333333326</v>
      </c>
    </row>
    <row r="345" spans="1:68" ht="27" customHeight="1" x14ac:dyDescent="0.25">
      <c r="A345" s="54" t="s">
        <v>544</v>
      </c>
      <c r="B345" s="54" t="s">
        <v>545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37.5" customHeight="1" x14ac:dyDescent="0.25">
      <c r="A346" s="54" t="s">
        <v>547</v>
      </c>
      <c r="B346" s="54" t="s">
        <v>548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/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500</v>
      </c>
      <c r="Y346" s="542">
        <f t="shared" si="31"/>
        <v>510</v>
      </c>
      <c r="Z346" s="36">
        <f>IFERROR(IF(Y346=0,"",ROUNDUP(Y346/H346,0)*0.02175),"")</f>
        <v>0.73949999999999994</v>
      </c>
      <c r="AA346" s="56"/>
      <c r="AB346" s="57"/>
      <c r="AC346" s="397" t="s">
        <v>549</v>
      </c>
      <c r="AG346" s="64"/>
      <c r="AJ346" s="68" t="s">
        <v>106</v>
      </c>
      <c r="AK346" s="68">
        <v>15</v>
      </c>
      <c r="BB346" s="398" t="s">
        <v>1</v>
      </c>
      <c r="BM346" s="64">
        <f t="shared" si="32"/>
        <v>516</v>
      </c>
      <c r="BN346" s="64">
        <f t="shared" si="33"/>
        <v>526.32000000000005</v>
      </c>
      <c r="BO346" s="64">
        <f t="shared" si="34"/>
        <v>0.69444444444444442</v>
      </c>
      <c r="BP346" s="64">
        <f t="shared" si="35"/>
        <v>0.70833333333333326</v>
      </c>
    </row>
    <row r="347" spans="1:68" ht="27" customHeight="1" x14ac:dyDescent="0.25">
      <c r="A347" s="54" t="s">
        <v>550</v>
      </c>
      <c r="B347" s="54" t="s">
        <v>551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552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553</v>
      </c>
      <c r="B348" s="54" t="s">
        <v>554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555</v>
      </c>
      <c r="B349" s="54" t="s">
        <v>556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25</v>
      </c>
      <c r="Y349" s="542">
        <f t="shared" si="31"/>
        <v>25</v>
      </c>
      <c r="Z349" s="36">
        <f>IFERROR(IF(Y349=0,"",ROUNDUP(Y349/H349,0)*0.00902),"")</f>
        <v>4.5100000000000001E-2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26.05</v>
      </c>
      <c r="BN349" s="64">
        <f t="shared" si="33"/>
        <v>26.05</v>
      </c>
      <c r="BO349" s="64">
        <f t="shared" si="34"/>
        <v>3.787878787878788E-2</v>
      </c>
      <c r="BP349" s="64">
        <f t="shared" si="35"/>
        <v>3.787878787878788E-2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78.333333333333343</v>
      </c>
      <c r="Y350" s="543">
        <f>IFERROR(Y343/H343,"0")+IFERROR(Y344/H344,"0")+IFERROR(Y345/H345,"0")+IFERROR(Y346/H346,"0")+IFERROR(Y347/H347,"0")+IFERROR(Y348/H348,"0")+IFERROR(Y349/H349,"0")</f>
        <v>79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1.6545999999999996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1125</v>
      </c>
      <c r="Y351" s="543">
        <f>IFERROR(SUM(Y343:Y349),"0")</f>
        <v>1135</v>
      </c>
      <c r="Z351" s="37"/>
      <c r="AA351" s="544"/>
      <c r="AB351" s="544"/>
      <c r="AC351" s="544"/>
    </row>
    <row r="352" spans="1:68" ht="14.25" customHeight="1" x14ac:dyDescent="0.25">
      <c r="A352" s="557" t="s">
        <v>135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557</v>
      </c>
      <c r="B353" s="54" t="s">
        <v>558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559</v>
      </c>
      <c r="AG353" s="64"/>
      <c r="AJ353" s="68" t="s">
        <v>106</v>
      </c>
      <c r="AK353" s="68">
        <v>15</v>
      </c>
      <c r="BB353" s="406" t="s">
        <v>1</v>
      </c>
      <c r="BM353" s="64">
        <f>IFERROR(X353*I353/H353,"0")</f>
        <v>516</v>
      </c>
      <c r="BN353" s="64">
        <f>IFERROR(Y353*I353/H353,"0")</f>
        <v>526.32000000000005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customHeight="1" x14ac:dyDescent="0.25">
      <c r="A354" s="54" t="s">
        <v>560</v>
      </c>
      <c r="B354" s="54" t="s">
        <v>561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12</v>
      </c>
      <c r="Y354" s="542">
        <f>IFERROR(IF(X354="",0,CEILING((X354/$H354),1)*$H354),"")</f>
        <v>12</v>
      </c>
      <c r="Z354" s="36">
        <f>IFERROR(IF(Y354=0,"",ROUNDUP(Y354/H354,0)*0.00902),"")</f>
        <v>2.7060000000000001E-2</v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12.629999999999999</v>
      </c>
      <c r="BN354" s="64">
        <f>IFERROR(Y354*I354/H354,"0")</f>
        <v>12.629999999999999</v>
      </c>
      <c r="BO354" s="64">
        <f>IFERROR(1/J354*(X354/H354),"0")</f>
        <v>2.2727272727272728E-2</v>
      </c>
      <c r="BP354" s="64">
        <f>IFERROR(1/J354*(Y354/H354),"0")</f>
        <v>2.2727272727272728E-2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36.333333333333336</v>
      </c>
      <c r="Y355" s="543">
        <f>IFERROR(Y353/H353,"0")+IFERROR(Y354/H354,"0")</f>
        <v>37</v>
      </c>
      <c r="Z355" s="543">
        <f>IFERROR(IF(Z353="",0,Z353),"0")+IFERROR(IF(Z354="",0,Z354),"0")</f>
        <v>0.76655999999999991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512</v>
      </c>
      <c r="Y356" s="543">
        <f>IFERROR(SUM(Y353:Y354),"0")</f>
        <v>522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562</v>
      </c>
      <c r="B358" s="54" t="s">
        <v>563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564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565</v>
      </c>
      <c r="B359" s="54" t="s">
        <v>566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567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568</v>
      </c>
      <c r="B363" s="54" t="s">
        <v>569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3" t="s">
        <v>570</v>
      </c>
      <c r="AG363" s="64"/>
      <c r="AJ363" s="68"/>
      <c r="AK363" s="68">
        <v>0</v>
      </c>
      <c r="BB363" s="414" t="s">
        <v>1</v>
      </c>
      <c r="BM363" s="64">
        <f>IFERROR(X363*I363/H363,"0")</f>
        <v>21.153333333333332</v>
      </c>
      <c r="BN363" s="64">
        <f>IFERROR(Y363*I363/H363,"0")</f>
        <v>28.556999999999999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2.2222222222222223</v>
      </c>
      <c r="Y364" s="543">
        <f>IFERROR(Y363/H363,"0")</f>
        <v>3</v>
      </c>
      <c r="Z364" s="543">
        <f>IFERROR(IF(Z363="",0,Z363),"0")</f>
        <v>5.6940000000000004E-2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20</v>
      </c>
      <c r="Y365" s="543">
        <f>IFERROR(SUM(Y363:Y363),"0")</f>
        <v>27</v>
      </c>
      <c r="Z365" s="37"/>
      <c r="AA365" s="544"/>
      <c r="AB365" s="544"/>
      <c r="AC365" s="544"/>
    </row>
    <row r="366" spans="1:68" ht="16.5" customHeight="1" x14ac:dyDescent="0.25">
      <c r="A366" s="558" t="s">
        <v>571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572</v>
      </c>
      <c r="B368" s="54" t="s">
        <v>573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574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575</v>
      </c>
      <c r="B369" s="54" t="s">
        <v>576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574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577</v>
      </c>
      <c r="B373" s="54" t="s">
        <v>578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577</v>
      </c>
      <c r="B374" s="54" t="s">
        <v>580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582</v>
      </c>
      <c r="B378" s="54" t="s">
        <v>583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30</v>
      </c>
      <c r="Y378" s="542">
        <f>IFERROR(IF(X378="",0,CEILING((X378/$H378),1)*$H378),"")</f>
        <v>36</v>
      </c>
      <c r="Z378" s="36">
        <f>IFERROR(IF(Y378=0,"",ROUNDUP(Y378/H378,0)*0.01898),"")</f>
        <v>7.5920000000000001E-2</v>
      </c>
      <c r="AA378" s="56"/>
      <c r="AB378" s="57"/>
      <c r="AC378" s="423" t="s">
        <v>584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31.73</v>
      </c>
      <c r="BN378" s="64">
        <f>IFERROR(Y378*I378/H378,"0")</f>
        <v>38.076000000000001</v>
      </c>
      <c r="BO378" s="64">
        <f>IFERROR(1/J378*(X378/H378),"0")</f>
        <v>5.2083333333333336E-2</v>
      </c>
      <c r="BP378" s="64">
        <f>IFERROR(1/J378*(Y378/H378),"0")</f>
        <v>6.25E-2</v>
      </c>
    </row>
    <row r="379" spans="1:68" ht="27" customHeight="1" x14ac:dyDescent="0.25">
      <c r="A379" s="54" t="s">
        <v>585</v>
      </c>
      <c r="B379" s="54" t="s">
        <v>586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3.3333333333333335</v>
      </c>
      <c r="Y380" s="543">
        <f>IFERROR(Y378/H378,"0")+IFERROR(Y379/H379,"0")</f>
        <v>4</v>
      </c>
      <c r="Z380" s="543">
        <f>IFERROR(IF(Z378="",0,Z378),"0")+IFERROR(IF(Z379="",0,Z379),"0")</f>
        <v>7.5920000000000001E-2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30</v>
      </c>
      <c r="Y381" s="543">
        <f>IFERROR(SUM(Y378:Y379),"0")</f>
        <v>36</v>
      </c>
      <c r="Z381" s="37"/>
      <c r="AA381" s="544"/>
      <c r="AB381" s="544"/>
      <c r="AC381" s="544"/>
    </row>
    <row r="382" spans="1:68" ht="27.75" customHeight="1" x14ac:dyDescent="0.2">
      <c r="A382" s="639" t="s">
        <v>587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588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589</v>
      </c>
      <c r="B385" s="54" t="s">
        <v>590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591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592</v>
      </c>
      <c r="B386" s="54" t="s">
        <v>593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594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595</v>
      </c>
      <c r="B387" s="54" t="s">
        <v>596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10</v>
      </c>
      <c r="Y387" s="542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597</v>
      </c>
      <c r="AG387" s="64"/>
      <c r="AJ387" s="68"/>
      <c r="AK387" s="68">
        <v>0</v>
      </c>
      <c r="BB387" s="432" t="s">
        <v>1</v>
      </c>
      <c r="BM387" s="64">
        <f t="shared" si="37"/>
        <v>10.388888888888889</v>
      </c>
      <c r="BN387" s="64">
        <f t="shared" si="38"/>
        <v>11.22</v>
      </c>
      <c r="BO387" s="64">
        <f t="shared" si="39"/>
        <v>1.4029180695847361E-2</v>
      </c>
      <c r="BP387" s="64">
        <f t="shared" si="40"/>
        <v>1.5151515151515152E-2</v>
      </c>
    </row>
    <row r="388" spans="1:68" ht="27" customHeight="1" x14ac:dyDescent="0.25">
      <c r="A388" s="54" t="s">
        <v>598</v>
      </c>
      <c r="B388" s="54" t="s">
        <v>599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591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274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42</v>
      </c>
      <c r="Y389" s="542">
        <f t="shared" si="36"/>
        <v>42</v>
      </c>
      <c r="Z389" s="36">
        <f t="shared" si="41"/>
        <v>0.1004</v>
      </c>
      <c r="AA389" s="56"/>
      <c r="AB389" s="57"/>
      <c r="AC389" s="435" t="s">
        <v>591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44.599999999999994</v>
      </c>
      <c r="BN389" s="64">
        <f t="shared" si="38"/>
        <v>44.599999999999994</v>
      </c>
      <c r="BO389" s="64">
        <f t="shared" si="39"/>
        <v>8.5470085470085472E-2</v>
      </c>
      <c r="BP389" s="64">
        <f t="shared" si="40"/>
        <v>8.5470085470085472E-2</v>
      </c>
    </row>
    <row r="390" spans="1:68" ht="37.5" customHeight="1" x14ac:dyDescent="0.25">
      <c r="A390" s="54" t="s">
        <v>602</v>
      </c>
      <c r="B390" s="54" t="s">
        <v>603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274</v>
      </c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28</v>
      </c>
      <c r="Y390" s="542">
        <f t="shared" si="36"/>
        <v>29.400000000000002</v>
      </c>
      <c r="Z390" s="36">
        <f t="shared" si="41"/>
        <v>7.0280000000000009E-2</v>
      </c>
      <c r="AA390" s="56"/>
      <c r="AB390" s="57"/>
      <c r="AC390" s="437" t="s">
        <v>604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29.733333333333331</v>
      </c>
      <c r="BN390" s="64">
        <f t="shared" si="38"/>
        <v>31.22</v>
      </c>
      <c r="BO390" s="64">
        <f t="shared" si="39"/>
        <v>5.6980056980056981E-2</v>
      </c>
      <c r="BP390" s="64">
        <f t="shared" si="40"/>
        <v>5.9829059829059839E-2</v>
      </c>
    </row>
    <row r="391" spans="1:68" ht="27" customHeight="1" x14ac:dyDescent="0.25">
      <c r="A391" s="54" t="s">
        <v>605</v>
      </c>
      <c r="B391" s="54" t="s">
        <v>606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608</v>
      </c>
      <c r="B392" s="54" t="s">
        <v>609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274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87.5</v>
      </c>
      <c r="Y392" s="542">
        <f t="shared" si="36"/>
        <v>88.2</v>
      </c>
      <c r="Z392" s="36">
        <f t="shared" si="41"/>
        <v>0.21084</v>
      </c>
      <c r="AA392" s="56"/>
      <c r="AB392" s="57"/>
      <c r="AC392" s="441" t="s">
        <v>610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92.916666666666657</v>
      </c>
      <c r="BN392" s="64">
        <f t="shared" si="38"/>
        <v>93.66</v>
      </c>
      <c r="BO392" s="64">
        <f t="shared" si="39"/>
        <v>0.17806267806267806</v>
      </c>
      <c r="BP392" s="64">
        <f t="shared" si="40"/>
        <v>0.17948717948717952</v>
      </c>
    </row>
    <row r="393" spans="1:68" ht="37.5" customHeight="1" x14ac:dyDescent="0.25">
      <c r="A393" s="54" t="s">
        <v>611</v>
      </c>
      <c r="B393" s="54" t="s">
        <v>612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607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76.851851851851848</v>
      </c>
      <c r="Y394" s="543">
        <f>IFERROR(Y385/H385,"0")+IFERROR(Y386/H386,"0")+IFERROR(Y387/H387,"0")+IFERROR(Y388/H388,"0")+IFERROR(Y389/H389,"0")+IFERROR(Y390/H390,"0")+IFERROR(Y391/H391,"0")+IFERROR(Y392/H392,"0")+IFERROR(Y393/H393,"0")</f>
        <v>78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0.39956000000000003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167.5</v>
      </c>
      <c r="Y395" s="543">
        <f>IFERROR(SUM(Y385:Y393),"0")</f>
        <v>170.4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613</v>
      </c>
      <c r="B397" s="54" t="s">
        <v>614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615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616</v>
      </c>
      <c r="B398" s="54" t="s">
        <v>617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618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619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620</v>
      </c>
      <c r="B403" s="54" t="s">
        <v>621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622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623</v>
      </c>
      <c r="B407" s="54" t="s">
        <v>624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625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626</v>
      </c>
      <c r="B408" s="54" t="s">
        <v>627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628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629</v>
      </c>
      <c r="B409" s="54" t="s">
        <v>630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631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632</v>
      </c>
      <c r="B410" s="54" t="s">
        <v>633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17.5</v>
      </c>
      <c r="Y410" s="542">
        <f>IFERROR(IF(X410="",0,CEILING((X410/$H410),1)*$H410),"")</f>
        <v>18.900000000000002</v>
      </c>
      <c r="Z410" s="36">
        <f>IFERROR(IF(Y410=0,"",ROUNDUP(Y410/H410,0)*0.00502),"")</f>
        <v>4.5179999999999998E-2</v>
      </c>
      <c r="AA410" s="56"/>
      <c r="AB410" s="57"/>
      <c r="AC410" s="457" t="s">
        <v>631</v>
      </c>
      <c r="AG410" s="64"/>
      <c r="AJ410" s="68"/>
      <c r="AK410" s="68">
        <v>0</v>
      </c>
      <c r="BB410" s="458" t="s">
        <v>1</v>
      </c>
      <c r="BM410" s="64">
        <f>IFERROR(X410*I410/H410,"0")</f>
        <v>18.583333333333332</v>
      </c>
      <c r="BN410" s="64">
        <f>IFERROR(Y410*I410/H410,"0")</f>
        <v>20.07</v>
      </c>
      <c r="BO410" s="64">
        <f>IFERROR(1/J410*(X410/H410),"0")</f>
        <v>3.5612535612535613E-2</v>
      </c>
      <c r="BP410" s="64">
        <f>IFERROR(1/J410*(Y410/H410),"0")</f>
        <v>3.8461538461538464E-2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8.3333333333333321</v>
      </c>
      <c r="Y411" s="543">
        <f>IFERROR(Y407/H407,"0")+IFERROR(Y408/H408,"0")+IFERROR(Y409/H409,"0")+IFERROR(Y410/H410,"0")</f>
        <v>9</v>
      </c>
      <c r="Z411" s="543">
        <f>IFERROR(IF(Z407="",0,Z407),"0")+IFERROR(IF(Z408="",0,Z408),"0")+IFERROR(IF(Z409="",0,Z409),"0")+IFERROR(IF(Z410="",0,Z410),"0")</f>
        <v>4.5179999999999998E-2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17.5</v>
      </c>
      <c r="Y412" s="543">
        <f>IFERROR(SUM(Y407:Y410),"0")</f>
        <v>18.900000000000002</v>
      </c>
      <c r="Z412" s="37"/>
      <c r="AA412" s="544"/>
      <c r="AB412" s="544"/>
      <c r="AC412" s="544"/>
    </row>
    <row r="413" spans="1:68" ht="16.5" customHeight="1" x14ac:dyDescent="0.25">
      <c r="A413" s="558" t="s">
        <v>634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635</v>
      </c>
      <c r="B415" s="54" t="s">
        <v>636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216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40</v>
      </c>
      <c r="Y415" s="542">
        <f>IFERROR(IF(X415="",0,CEILING((X415/$H415),1)*$H415),"")</f>
        <v>40.799999999999997</v>
      </c>
      <c r="Z415" s="36">
        <f>IFERROR(IF(Y415=0,"",ROUNDUP(Y415/H415,0)*0.00651),"")</f>
        <v>0.22134000000000001</v>
      </c>
      <c r="AA415" s="56"/>
      <c r="AB415" s="57"/>
      <c r="AC415" s="459" t="s">
        <v>637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70</v>
      </c>
      <c r="BN415" s="64">
        <f>IFERROR(Y415*I415/H415,"0")</f>
        <v>71.399999999999991</v>
      </c>
      <c r="BO415" s="64">
        <f>IFERROR(1/J415*(X415/H415),"0")</f>
        <v>0.18315018315018317</v>
      </c>
      <c r="BP415" s="64">
        <f>IFERROR(1/J415*(Y415/H415),"0")</f>
        <v>0.18681318681318682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33.333333333333336</v>
      </c>
      <c r="Y416" s="543">
        <f>IFERROR(Y415/H415,"0")</f>
        <v>34</v>
      </c>
      <c r="Z416" s="543">
        <f>IFERROR(IF(Z415="",0,Z415),"0")</f>
        <v>0.22134000000000001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40</v>
      </c>
      <c r="Y417" s="543">
        <f>IFERROR(SUM(Y415:Y415),"0")</f>
        <v>40.799999999999997</v>
      </c>
      <c r="Z417" s="37"/>
      <c r="AA417" s="544"/>
      <c r="AB417" s="544"/>
      <c r="AC417" s="544"/>
    </row>
    <row r="418" spans="1:68" ht="27.75" customHeight="1" x14ac:dyDescent="0.2">
      <c r="A418" s="639" t="s">
        <v>638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639</v>
      </c>
      <c r="B421" s="54" t="s">
        <v>640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53.409090909090907</v>
      </c>
      <c r="BN421" s="64">
        <f t="shared" ref="BN421:BN431" si="45">IFERROR(Y421*I421/H421,"0")</f>
        <v>56.400000000000006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customHeight="1" x14ac:dyDescent="0.25">
      <c r="A422" s="54" t="s">
        <v>641</v>
      </c>
      <c r="B422" s="54" t="s">
        <v>642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643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644</v>
      </c>
      <c r="B423" s="54" t="s">
        <v>645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200</v>
      </c>
      <c r="Y423" s="542">
        <f t="shared" si="42"/>
        <v>200.64000000000001</v>
      </c>
      <c r="Z423" s="36">
        <f t="shared" si="43"/>
        <v>0.45448</v>
      </c>
      <c r="AA423" s="56"/>
      <c r="AB423" s="57"/>
      <c r="AC423" s="465" t="s">
        <v>646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213.63636363636363</v>
      </c>
      <c r="BN423" s="64">
        <f t="shared" si="45"/>
        <v>214.32</v>
      </c>
      <c r="BO423" s="64">
        <f t="shared" si="46"/>
        <v>0.36421911421911418</v>
      </c>
      <c r="BP423" s="64">
        <f t="shared" si="47"/>
        <v>0.36538461538461542</v>
      </c>
    </row>
    <row r="424" spans="1:68" ht="27" customHeight="1" x14ac:dyDescent="0.25">
      <c r="A424" s="54" t="s">
        <v>647</v>
      </c>
      <c r="B424" s="54" t="s">
        <v>648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649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650</v>
      </c>
      <c r="B425" s="54" t="s">
        <v>651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652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653</v>
      </c>
      <c r="B426" s="54" t="s">
        <v>654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140</v>
      </c>
      <c r="Y426" s="542">
        <f t="shared" si="42"/>
        <v>142.56</v>
      </c>
      <c r="Z426" s="36">
        <f t="shared" si="43"/>
        <v>0.32291999999999998</v>
      </c>
      <c r="AA426" s="56"/>
      <c r="AB426" s="57"/>
      <c r="AC426" s="471" t="s">
        <v>655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149.54545454545453</v>
      </c>
      <c r="BN426" s="64">
        <f t="shared" si="45"/>
        <v>152.27999999999997</v>
      </c>
      <c r="BO426" s="64">
        <f t="shared" si="46"/>
        <v>0.25495337995337997</v>
      </c>
      <c r="BP426" s="64">
        <f t="shared" si="47"/>
        <v>0.25961538461538464</v>
      </c>
    </row>
    <row r="427" spans="1:68" ht="27" customHeight="1" x14ac:dyDescent="0.25">
      <c r="A427" s="54" t="s">
        <v>656</v>
      </c>
      <c r="B427" s="54" t="s">
        <v>657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132</v>
      </c>
      <c r="Y428" s="542">
        <f t="shared" si="42"/>
        <v>134.4</v>
      </c>
      <c r="Z428" s="36">
        <f>IFERROR(IF(Y428=0,"",ROUNDUP(Y428/H428,0)*0.00902),"")</f>
        <v>0.25256000000000001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190.57500000000002</v>
      </c>
      <c r="BN428" s="64">
        <f t="shared" si="45"/>
        <v>194.04000000000002</v>
      </c>
      <c r="BO428" s="64">
        <f t="shared" si="46"/>
        <v>0.20833333333333334</v>
      </c>
      <c r="BP428" s="64">
        <f t="shared" si="47"/>
        <v>0.21212121212121215</v>
      </c>
    </row>
    <row r="429" spans="1:68" ht="27" customHeight="1" x14ac:dyDescent="0.25">
      <c r="A429" s="54" t="s">
        <v>660</v>
      </c>
      <c r="B429" s="54" t="s">
        <v>661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132</v>
      </c>
      <c r="Y431" s="542">
        <f t="shared" si="42"/>
        <v>134.4</v>
      </c>
      <c r="Z431" s="36">
        <f>IFERROR(IF(Y431=0,"",ROUNDUP(Y431/H431,0)*0.00902),"")</f>
        <v>0.25256000000000001</v>
      </c>
      <c r="AA431" s="56"/>
      <c r="AB431" s="57"/>
      <c r="AC431" s="481" t="s">
        <v>655</v>
      </c>
      <c r="AG431" s="64"/>
      <c r="AJ431" s="68"/>
      <c r="AK431" s="68">
        <v>0</v>
      </c>
      <c r="BB431" s="482" t="s">
        <v>1</v>
      </c>
      <c r="BM431" s="64">
        <f t="shared" si="44"/>
        <v>190.57500000000002</v>
      </c>
      <c r="BN431" s="64">
        <f t="shared" si="45"/>
        <v>194.04000000000002</v>
      </c>
      <c r="BO431" s="64">
        <f t="shared" si="46"/>
        <v>0.20833333333333334</v>
      </c>
      <c r="BP431" s="64">
        <f t="shared" si="47"/>
        <v>0.21212121212121215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128.86363636363637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1.40212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654</v>
      </c>
      <c r="Y433" s="543">
        <f>IFERROR(SUM(Y421:Y431),"0")</f>
        <v>664.8</v>
      </c>
      <c r="Z433" s="37"/>
      <c r="AA433" s="544"/>
      <c r="AB433" s="544"/>
      <c r="AC433" s="544"/>
    </row>
    <row r="434" spans="1:68" ht="14.25" customHeight="1" x14ac:dyDescent="0.25">
      <c r="A434" s="557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667</v>
      </c>
      <c r="B435" s="54" t="s">
        <v>668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669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669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672</v>
      </c>
      <c r="B437" s="54" t="s">
        <v>673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674</v>
      </c>
      <c r="B441" s="54" t="s">
        <v>675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676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53.409090909090907</v>
      </c>
      <c r="BN441" s="64">
        <f t="shared" ref="BN441:BN446" si="50">IFERROR(Y441*I441/H441,"0")</f>
        <v>56.400000000000006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677</v>
      </c>
      <c r="B442" s="54" t="s">
        <v>678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679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106.81818181818181</v>
      </c>
      <c r="BN442" s="64">
        <f t="shared" si="50"/>
        <v>107.16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680</v>
      </c>
      <c r="B443" s="54" t="s">
        <v>681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120</v>
      </c>
      <c r="Y443" s="542">
        <f t="shared" si="48"/>
        <v>121.44000000000001</v>
      </c>
      <c r="Z443" s="36">
        <f>IFERROR(IF(Y443=0,"",ROUNDUP(Y443/H443,0)*0.01196),"")</f>
        <v>0.27507999999999999</v>
      </c>
      <c r="AA443" s="56"/>
      <c r="AB443" s="57"/>
      <c r="AC443" s="493" t="s">
        <v>682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128.18181818181816</v>
      </c>
      <c r="BN443" s="64">
        <f t="shared" si="50"/>
        <v>129.72</v>
      </c>
      <c r="BO443" s="64">
        <f t="shared" si="51"/>
        <v>0.21853146853146854</v>
      </c>
      <c r="BP443" s="64">
        <f t="shared" si="52"/>
        <v>0.22115384615384617</v>
      </c>
    </row>
    <row r="444" spans="1:68" ht="27" customHeight="1" x14ac:dyDescent="0.25">
      <c r="A444" s="54" t="s">
        <v>683</v>
      </c>
      <c r="B444" s="54" t="s">
        <v>684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 t="s">
        <v>199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676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 t="s">
        <v>199</v>
      </c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679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 t="s">
        <v>199</v>
      </c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90</v>
      </c>
      <c r="Y446" s="542">
        <f t="shared" si="48"/>
        <v>91.2</v>
      </c>
      <c r="Z446" s="36">
        <f>IFERROR(IF(Y446=0,"",ROUNDUP(Y446/H446,0)*0.00902),"")</f>
        <v>0.17138</v>
      </c>
      <c r="AA446" s="56"/>
      <c r="AB446" s="57"/>
      <c r="AC446" s="499" t="s">
        <v>682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125.43750000000001</v>
      </c>
      <c r="BN446" s="64">
        <f t="shared" si="50"/>
        <v>127.11000000000001</v>
      </c>
      <c r="BO446" s="64">
        <f t="shared" si="51"/>
        <v>0.14204545454545456</v>
      </c>
      <c r="BP446" s="64">
        <f t="shared" si="52"/>
        <v>0.14393939393939395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69.886363636363626</v>
      </c>
      <c r="Y447" s="543">
        <f>IFERROR(Y441/H441,"0")+IFERROR(Y442/H442,"0")+IFERROR(Y443/H443,"0")+IFERROR(Y444/H444,"0")+IFERROR(Y445/H445,"0")+IFERROR(Y446/H446,"0")</f>
        <v>71</v>
      </c>
      <c r="Z447" s="543">
        <f>IFERROR(IF(Z441="",0,Z441),"0")+IFERROR(IF(Z442="",0,Z442),"0")+IFERROR(IF(Z443="",0,Z443),"0")+IFERROR(IF(Z444="",0,Z444),"0")+IFERROR(IF(Z445="",0,Z445),"0")+IFERROR(IF(Z446="",0,Z446),"0")</f>
        <v>0.79330000000000001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360</v>
      </c>
      <c r="Y448" s="543">
        <f>IFERROR(SUM(Y441:Y446),"0")</f>
        <v>365.76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689</v>
      </c>
      <c r="B450" s="54" t="s">
        <v>690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691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692</v>
      </c>
      <c r="B451" s="54" t="s">
        <v>693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694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697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698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699</v>
      </c>
      <c r="B458" s="54" t="s">
        <v>700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701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702</v>
      </c>
      <c r="B459" s="54" t="s">
        <v>703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704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705</v>
      </c>
      <c r="B460" s="54" t="s">
        <v>706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708</v>
      </c>
      <c r="B461" s="54" t="s">
        <v>709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701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710</v>
      </c>
      <c r="B465" s="54" t="s">
        <v>711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712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713</v>
      </c>
      <c r="B466" s="54" t="s">
        <v>714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716</v>
      </c>
      <c r="B467" s="54" t="s">
        <v>717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718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719</v>
      </c>
      <c r="B471" s="54" t="s">
        <v>720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722</v>
      </c>
      <c r="B472" s="54" t="s">
        <v>723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724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725</v>
      </c>
      <c r="B476" s="54" t="s">
        <v>726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400</v>
      </c>
      <c r="Y476" s="542">
        <f>IFERROR(IF(X476="",0,CEILING((X476/$H476),1)*$H476),"")</f>
        <v>405</v>
      </c>
      <c r="Z476" s="36">
        <f>IFERROR(IF(Y476=0,"",ROUNDUP(Y476/H476,0)*0.01898),"")</f>
        <v>0.85409999999999997</v>
      </c>
      <c r="AA476" s="56"/>
      <c r="AB476" s="57"/>
      <c r="AC476" s="525" t="s">
        <v>727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423.06666666666666</v>
      </c>
      <c r="BN476" s="64">
        <f>IFERROR(Y476*I476/H476,"0")</f>
        <v>428.35500000000002</v>
      </c>
      <c r="BO476" s="64">
        <f>IFERROR(1/J476*(X476/H476),"0")</f>
        <v>0.69444444444444442</v>
      </c>
      <c r="BP476" s="64">
        <f>IFERROR(1/J476*(Y476/H476),"0")</f>
        <v>0.703125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44.444444444444443</v>
      </c>
      <c r="Y477" s="543">
        <f>IFERROR(Y476/H476,"0")</f>
        <v>45</v>
      </c>
      <c r="Z477" s="543">
        <f>IFERROR(IF(Z476="",0,Z476),"0")</f>
        <v>0.85409999999999997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400</v>
      </c>
      <c r="Y478" s="543">
        <f>IFERROR(SUM(Y476:Y476),"0")</f>
        <v>405</v>
      </c>
      <c r="Z478" s="37"/>
      <c r="AA478" s="544"/>
      <c r="AB478" s="544"/>
      <c r="AC478" s="544"/>
    </row>
    <row r="479" spans="1:68" ht="14.25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728</v>
      </c>
      <c r="B480" s="54" t="s">
        <v>729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730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733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735</v>
      </c>
      <c r="B486" s="54" t="s">
        <v>736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737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738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11725.8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11874.839999999998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739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12691.213585077123</v>
      </c>
      <c r="Y490" s="543">
        <f>IFERROR(SUM(BN22:BN486),"0")</f>
        <v>12851.378999999995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740</v>
      </c>
      <c r="Q491" s="634"/>
      <c r="R491" s="634"/>
      <c r="S491" s="634"/>
      <c r="T491" s="634"/>
      <c r="U491" s="634"/>
      <c r="V491" s="635"/>
      <c r="W491" s="37" t="s">
        <v>741</v>
      </c>
      <c r="X491" s="38">
        <f>ROUNDUP(SUM(BO22:BO486),0)</f>
        <v>23</v>
      </c>
      <c r="Y491" s="38">
        <f>ROUNDUP(SUM(BP22:BP486),0)</f>
        <v>24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742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13266.213585077123</v>
      </c>
      <c r="Y492" s="543">
        <f>GrossWeightTotalR+PalletQtyTotalR*25</f>
        <v>13451.378999999995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743</v>
      </c>
      <c r="Q493" s="634"/>
      <c r="R493" s="634"/>
      <c r="S493" s="634"/>
      <c r="T493" s="634"/>
      <c r="U493" s="634"/>
      <c r="V493" s="635"/>
      <c r="W493" s="37" t="s">
        <v>741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3203.6132139465476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3233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744</v>
      </c>
      <c r="Q494" s="634"/>
      <c r="R494" s="634"/>
      <c r="S494" s="634"/>
      <c r="T494" s="634"/>
      <c r="U494" s="634"/>
      <c r="V494" s="635"/>
      <c r="W494" s="39" t="s">
        <v>745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27.159420000000001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746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258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536</v>
      </c>
      <c r="T496" s="625"/>
      <c r="U496" s="591" t="s">
        <v>587</v>
      </c>
      <c r="V496" s="662"/>
      <c r="W496" s="625"/>
      <c r="X496" s="538" t="s">
        <v>638</v>
      </c>
      <c r="Y496" s="591" t="s">
        <v>698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747</v>
      </c>
      <c r="B497" s="591" t="s">
        <v>63</v>
      </c>
      <c r="C497" s="591" t="s">
        <v>98</v>
      </c>
      <c r="D497" s="591" t="s">
        <v>116</v>
      </c>
      <c r="E497" s="591" t="s">
        <v>172</v>
      </c>
      <c r="F497" s="591" t="s">
        <v>191</v>
      </c>
      <c r="G497" s="591" t="s">
        <v>223</v>
      </c>
      <c r="H497" s="591" t="s">
        <v>97</v>
      </c>
      <c r="I497" s="591" t="s">
        <v>259</v>
      </c>
      <c r="J497" s="591" t="s">
        <v>300</v>
      </c>
      <c r="K497" s="591" t="s">
        <v>360</v>
      </c>
      <c r="L497" s="591" t="s">
        <v>402</v>
      </c>
      <c r="M497" s="591" t="s">
        <v>418</v>
      </c>
      <c r="N497" s="539"/>
      <c r="O497" s="591" t="s">
        <v>429</v>
      </c>
      <c r="P497" s="591" t="s">
        <v>438</v>
      </c>
      <c r="Q497" s="591" t="s">
        <v>448</v>
      </c>
      <c r="R497" s="591" t="s">
        <v>526</v>
      </c>
      <c r="S497" s="591" t="s">
        <v>537</v>
      </c>
      <c r="T497" s="591" t="s">
        <v>571</v>
      </c>
      <c r="U497" s="591" t="s">
        <v>588</v>
      </c>
      <c r="V497" s="591" t="s">
        <v>619</v>
      </c>
      <c r="W497" s="591" t="s">
        <v>634</v>
      </c>
      <c r="X497" s="591" t="s">
        <v>638</v>
      </c>
      <c r="Y497" s="591" t="s">
        <v>698</v>
      </c>
      <c r="Z497" s="591" t="s">
        <v>734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748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674.1</v>
      </c>
      <c r="E499" s="46">
        <f>IFERROR(Y86*1,"0")+IFERROR(Y87*1,"0")+IFERROR(Y88*1,"0")+IFERROR(Y92*1,"0")+IFERROR(Y93*1,"0")+IFERROR(Y94*1,"0")+IFERROR(Y95*1,"0")</f>
        <v>1191.5999999999999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1060.2</v>
      </c>
      <c r="G499" s="46">
        <f>IFERROR(Y125*1,"0")+IFERROR(Y126*1,"0")+IFERROR(Y130*1,"0")+IFERROR(Y131*1,"0")+IFERROR(Y135*1,"0")+IFERROR(Y136*1,"0")</f>
        <v>136.96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626.21999999999991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1742.3999999999999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317.89999999999998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208.8</v>
      </c>
      <c r="P499" s="46">
        <f>IFERROR(Y279*1,"0")+IFERROR(Y280*1,"0")+IFERROR(Y284*1,"0")</f>
        <v>21.599999999999998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720</v>
      </c>
      <c r="R499" s="46">
        <f>IFERROR(Y335*1,"0")+IFERROR(Y336*1,"0")+IFERROR(Y337*1,"0")</f>
        <v>1541.4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1684</v>
      </c>
      <c r="T499" s="46">
        <f>IFERROR(Y368*1,"0")+IFERROR(Y369*1,"0")+IFERROR(Y373*1,"0")+IFERROR(Y374*1,"0")+IFERROR(Y378*1,"0")+IFERROR(Y379*1,"0")</f>
        <v>36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170.4</v>
      </c>
      <c r="V499" s="46">
        <f>IFERROR(Y403*1,"0")+IFERROR(Y407*1,"0")+IFERROR(Y408*1,"0")+IFERROR(Y409*1,"0")+IFERROR(Y410*1,"0")</f>
        <v>18.900000000000002</v>
      </c>
      <c r="W499" s="46">
        <f>IFERROR(Y415*1,"0")</f>
        <v>40.799999999999997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1030.56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405</v>
      </c>
      <c r="Z499" s="46">
        <f>IFERROR(Y486*1,"0")</f>
        <v>0</v>
      </c>
      <c r="AB499" s="52"/>
      <c r="AC499" s="52"/>
      <c r="AF499" s="539"/>
    </row>
  </sheetData>
  <sheetProtection algorithmName="SHA-512" hashValue="jxcKGzMwVxciPEatQOeQRsssMx474UBCYIG5sYfjIDtnxdmcup2P5agk3IiLxblen5Jt+8ISGJl4FAbWsB//Ag==" saltValue="fc50rVAIzIeJH209v19R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80 X86 X88 X92 X100 X102 X107 X113 X115:X116 X120 X125 X131 X136 X163:X167 X169 X196:X203 X209:X210 X212 X214:X215 X219:X220 X225 X227:X228 X233 X273:X274 X300:X301 X303 X315:X317 X323:X324 X328 X330 X336:X337 X343:X346 X353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52"/>
    </row>
    <row r="3" spans="2:8" x14ac:dyDescent="0.2">
      <c r="B3" s="47" t="s">
        <v>750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751</v>
      </c>
      <c r="D6" s="47" t="s">
        <v>752</v>
      </c>
      <c r="E6" s="47"/>
    </row>
    <row r="8" spans="2:8" x14ac:dyDescent="0.2">
      <c r="B8" s="47" t="s">
        <v>19</v>
      </c>
      <c r="C8" s="47" t="s">
        <v>751</v>
      </c>
      <c r="D8" s="47"/>
      <c r="E8" s="47"/>
    </row>
    <row r="10" spans="2:8" x14ac:dyDescent="0.2">
      <c r="B10" s="47" t="s">
        <v>753</v>
      </c>
      <c r="C10" s="47"/>
      <c r="D10" s="47"/>
      <c r="E10" s="47"/>
    </row>
    <row r="11" spans="2:8" x14ac:dyDescent="0.2">
      <c r="B11" s="47" t="s">
        <v>754</v>
      </c>
      <c r="C11" s="47"/>
      <c r="D11" s="47"/>
      <c r="E11" s="47"/>
    </row>
    <row r="12" spans="2:8" x14ac:dyDescent="0.2">
      <c r="B12" s="47" t="s">
        <v>755</v>
      </c>
      <c r="C12" s="47"/>
      <c r="D12" s="47"/>
      <c r="E12" s="47"/>
    </row>
    <row r="13" spans="2:8" x14ac:dyDescent="0.2">
      <c r="B13" s="47" t="s">
        <v>756</v>
      </c>
      <c r="C13" s="47"/>
      <c r="D13" s="47"/>
      <c r="E13" s="47"/>
    </row>
    <row r="14" spans="2:8" x14ac:dyDescent="0.2">
      <c r="B14" s="47" t="s">
        <v>757</v>
      </c>
      <c r="C14" s="47"/>
      <c r="D14" s="47"/>
      <c r="E14" s="47"/>
    </row>
    <row r="15" spans="2:8" x14ac:dyDescent="0.2">
      <c r="B15" s="47" t="s">
        <v>758</v>
      </c>
      <c r="C15" s="47"/>
      <c r="D15" s="47"/>
      <c r="E15" s="47"/>
    </row>
    <row r="16" spans="2:8" x14ac:dyDescent="0.2">
      <c r="B16" s="47" t="s">
        <v>759</v>
      </c>
      <c r="C16" s="47"/>
      <c r="D16" s="47"/>
      <c r="E16" s="47"/>
    </row>
    <row r="17" spans="2:5" x14ac:dyDescent="0.2">
      <c r="B17" s="47" t="s">
        <v>760</v>
      </c>
      <c r="C17" s="47"/>
      <c r="D17" s="47"/>
      <c r="E17" s="47"/>
    </row>
    <row r="18" spans="2:5" x14ac:dyDescent="0.2">
      <c r="B18" s="47" t="s">
        <v>761</v>
      </c>
      <c r="C18" s="47"/>
      <c r="D18" s="47"/>
      <c r="E18" s="47"/>
    </row>
    <row r="19" spans="2:5" x14ac:dyDescent="0.2">
      <c r="B19" s="47" t="s">
        <v>762</v>
      </c>
      <c r="C19" s="47"/>
      <c r="D19" s="47"/>
      <c r="E19" s="47"/>
    </row>
    <row r="20" spans="2:5" x14ac:dyDescent="0.2">
      <c r="B20" s="47" t="s">
        <v>763</v>
      </c>
      <c r="C20" s="47"/>
      <c r="D20" s="47"/>
      <c r="E20" s="47"/>
    </row>
  </sheetData>
  <sheetProtection algorithmName="SHA-512" hashValue="OyvJncyvqPShECLlzSagBgM8D8fisHUyfxLBG2W+Q7REZnTxWjtCj0uAsWiaALqfBk/F6mszjELCQXnx4sIvTA==" saltValue="KbNkS0wKR7DAX73FWdlmF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2025-11-05T07:50:58Z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