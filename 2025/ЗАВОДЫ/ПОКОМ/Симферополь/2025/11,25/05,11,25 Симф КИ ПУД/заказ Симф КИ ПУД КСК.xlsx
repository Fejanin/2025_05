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5B8CF100-E033-4F5C-A4B9-448A79D9F8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31" i="1" l="1"/>
  <c r="Z137" i="1"/>
  <c r="Z57" i="1"/>
  <c r="Y31" i="1"/>
  <c r="Y493" i="1" s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Z89" i="1" s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Z172" i="1" s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Z318" i="1" s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Y492" i="1" l="1"/>
  <c r="Z394" i="1"/>
  <c r="Z312" i="1"/>
  <c r="Y489" i="1"/>
  <c r="Z438" i="1"/>
  <c r="Z447" i="1"/>
  <c r="Z432" i="1"/>
  <c r="Z350" i="1"/>
  <c r="Z325" i="1"/>
  <c r="Z338" i="1"/>
  <c r="Z216" i="1"/>
  <c r="Z77" i="1"/>
  <c r="Z63" i="1"/>
  <c r="Z494" i="1" s="1"/>
  <c r="X492" i="1"/>
  <c r="Z268" i="1"/>
  <c r="Z260" i="1"/>
  <c r="Z251" i="1"/>
  <c r="Z144" i="1"/>
  <c r="Z110" i="1"/>
</calcChain>
</file>

<file path=xl/sharedStrings.xml><?xml version="1.0" encoding="utf-8"?>
<sst xmlns="http://schemas.openxmlformats.org/spreadsheetml/2006/main" count="2151" uniqueCount="762">
  <si>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</si>
  <si>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</si>
  <si>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</si>
  <si>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</si>
  <si>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</si>
  <si>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</si>
  <si>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</si>
  <si>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</si>
  <si>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</si>
  <si>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</si>
  <si>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</si>
  <si>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</si>
  <si>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</si>
  <si>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</si>
  <si>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</si>
  <si>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</si>
  <si>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</si>
  <si>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</si>
  <si>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</si>
  <si>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</si>
  <si>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</si>
  <si>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</si>
  <si>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</si>
  <si>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</si>
  <si>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</si>
  <si>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</si>
  <si>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</si>
  <si>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</si>
  <si>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</si>
  <si>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</si>
  <si>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</si>
  <si>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</si>
  <si>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</si>
  <si>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</si>
  <si>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</si>
  <si>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</si>
  <si>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</si>
  <si>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</si>
  <si>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</si>
  <si>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</si>
  <si>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</si>
  <si>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</si>
  <si>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</si>
  <si>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</si>
  <si>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</si>
  <si>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</si>
  <si>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</si>
  <si>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</si>
  <si>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</si>
  <si>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</si>
  <si>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</si>
  <si>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</si>
  <si>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</si>
  <si>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</si>
  <si>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</si>
  <si>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</si>
  <si>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</si>
  <si>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</si>
  <si>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</si>
  <si>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</si>
  <si>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</si>
  <si>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</si>
  <si>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</si>
  <si>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</si>
  <si>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</si>
  <si>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</si>
  <si>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</si>
  <si>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</si>
  <si>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</si>
  <si>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</si>
  <si>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</si>
  <si>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</si>
  <si>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</si>
  <si>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</si>
  <si>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</si>
  <si>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</si>
  <si>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</si>
  <si>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</si>
  <si>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</si>
  <si>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</si>
  <si>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</si>
  <si>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</si>
  <si>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</si>
  <si>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</si>
  <si>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</si>
  <si>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</si>
  <si>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</si>
  <si>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</si>
  <si>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</si>
  <si>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</si>
  <si>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</si>
  <si>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</si>
  <si>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</si>
  <si>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</si>
  <si>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</si>
  <si>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</si>
  <si>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</si>
  <si>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</si>
  <si>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</si>
  <si>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</si>
  <si>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</si>
  <si>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</si>
  <si>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</si>
  <si>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</si>
  <si>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</si>
  <si>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</si>
  <si>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</si>
  <si>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</si>
  <si>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Короб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</si>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</sst>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45968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Пятница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0.375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104</v>
      </c>
      <c r="AG41" s="64"/>
      <c r="AJ41" s="68" t="s">
        <v>108</v>
      </c>
      <c r="AK41" s="68">
        <v>4</v>
      </c>
      <c r="BB41" s="86" t="s">
        <v>1</v>
      </c>
      <c r="BM41" s="64">
        <f>IFERROR(X41*I41/H41,"0")</f>
        <v>336.8</v>
      </c>
      <c r="BN41" s="64">
        <f>IFERROR(Y41*I41/H41,"0")</f>
        <v>336.8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80</v>
      </c>
      <c r="Y43" s="543">
        <f>IFERROR(Y40/H40,"0")+IFERROR(Y41/H41,"0")+IFERROR(Y42/H42,"0")</f>
        <v>80</v>
      </c>
      <c r="Z43" s="543">
        <f>IFERROR(IF(Z40="",0,Z40),"0")+IFERROR(IF(Z41="",0,Z41),"0")+IFERROR(IF(Z42="",0,Z42),"0")</f>
        <v>0.72160000000000002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320</v>
      </c>
      <c r="Y44" s="543">
        <f>IFERROR(SUM(Y40:Y42),"0")</f>
        <v>320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111</v>
      </c>
      <c r="B46" s="54" t="s">
        <v>112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114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115</v>
      </c>
      <c r="B51" s="54" t="s">
        <v>116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118</v>
      </c>
      <c r="B52" s="54" t="s">
        <v>119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124</v>
      </c>
      <c r="B54" s="54" t="s">
        <v>125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132</v>
      </c>
      <c r="AG56" s="64"/>
      <c r="AJ56" s="68" t="s">
        <v>108</v>
      </c>
      <c r="AK56" s="68">
        <v>4.5</v>
      </c>
      <c r="BB56" s="102" t="s">
        <v>1</v>
      </c>
      <c r="BM56" s="64">
        <f t="shared" si="1"/>
        <v>235.5</v>
      </c>
      <c r="BN56" s="64">
        <f t="shared" si="2"/>
        <v>235.5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50</v>
      </c>
      <c r="Y57" s="543">
        <f>IFERROR(Y51/H51,"0")+IFERROR(Y52/H52,"0")+IFERROR(Y53/H53,"0")+IFERROR(Y54/H54,"0")+IFERROR(Y55/H55,"0")+IFERROR(Y56/H56,"0")</f>
        <v>50</v>
      </c>
      <c r="Z57" s="543">
        <f>IFERROR(IF(Z51="",0,Z51),"0")+IFERROR(IF(Z52="",0,Z52),"0")+IFERROR(IF(Z53="",0,Z53),"0")+IFERROR(IF(Z54="",0,Z54),"0")+IFERROR(IF(Z55="",0,Z55),"0")+IFERROR(IF(Z56="",0,Z56),"0")</f>
        <v>0.45100000000000001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225</v>
      </c>
      <c r="Y58" s="543">
        <f>IFERROR(SUM(Y51:Y56),"0")</f>
        <v>225</v>
      </c>
      <c r="Z58" s="37"/>
      <c r="AA58" s="544"/>
      <c r="AB58" s="544"/>
      <c r="AC58" s="544"/>
    </row>
    <row r="59" spans="1:68" ht="14.25" customHeight="1" x14ac:dyDescent="0.25">
      <c r="A59" s="557" t="s">
        <v>133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134</v>
      </c>
      <c r="B60" s="54" t="s">
        <v>135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137</v>
      </c>
      <c r="B61" s="54" t="s">
        <v>138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139</v>
      </c>
      <c r="B62" s="54" t="s">
        <v>140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141</v>
      </c>
      <c r="B66" s="54" t="s">
        <v>142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144</v>
      </c>
      <c r="B67" s="54" t="s">
        <v>145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150</v>
      </c>
      <c r="B72" s="54" t="s">
        <v>151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153</v>
      </c>
      <c r="B73" s="54" t="s">
        <v>154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156</v>
      </c>
      <c r="B74" s="54" t="s">
        <v>157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155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160</v>
      </c>
      <c r="B76" s="54" t="s">
        <v>161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164</v>
      </c>
      <c r="B80" s="54" t="s">
        <v>165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/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167</v>
      </c>
      <c r="B81" s="54" t="s">
        <v>168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107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171</v>
      </c>
      <c r="B86" s="54" t="s">
        <v>172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/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107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107</v>
      </c>
      <c r="L88" s="32"/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540</v>
      </c>
      <c r="Y88" s="542">
        <f>IFERROR(IF(X88="",0,CEILING((X88/$H88),1)*$H88),"")</f>
        <v>540</v>
      </c>
      <c r="Z88" s="36">
        <f>IFERROR(IF(Y88=0,"",ROUNDUP(Y88/H88,0)*0.00902),"")</f>
        <v>1.0824</v>
      </c>
      <c r="AA88" s="56"/>
      <c r="AB88" s="57"/>
      <c r="AC88" s="133" t="s">
        <v>173</v>
      </c>
      <c r="AG88" s="64"/>
      <c r="AJ88" s="68" t="s">
        <v>108</v>
      </c>
      <c r="AK88" s="68">
        <v>4.5</v>
      </c>
      <c r="BB88" s="134" t="s">
        <v>1</v>
      </c>
      <c r="BM88" s="64">
        <f>IFERROR(X88*I88/H88,"0")</f>
        <v>565.20000000000005</v>
      </c>
      <c r="BN88" s="64">
        <f>IFERROR(Y88*I88/H88,"0")</f>
        <v>565.20000000000005</v>
      </c>
      <c r="BO88" s="64">
        <f>IFERROR(1/J88*(X88/H88),"0")</f>
        <v>0.90909090909090917</v>
      </c>
      <c r="BP88" s="64">
        <f>IFERROR(1/J88*(Y88/H88),"0")</f>
        <v>0.90909090909090917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120</v>
      </c>
      <c r="Y89" s="543">
        <f>IFERROR(Y86/H86,"0")+IFERROR(Y87/H87,"0")+IFERROR(Y88/H88,"0")</f>
        <v>120</v>
      </c>
      <c r="Z89" s="543">
        <f>IFERROR(IF(Z86="",0,Z86),"0")+IFERROR(IF(Z87="",0,Z87),"0")+IFERROR(IF(Z88="",0,Z88),"0")</f>
        <v>1.0824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540</v>
      </c>
      <c r="Y90" s="543">
        <f>IFERROR(SUM(Y86:Y88),"0")</f>
        <v>540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178</v>
      </c>
      <c r="B92" s="54" t="s">
        <v>179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/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184</v>
      </c>
      <c r="B94" s="54" t="s">
        <v>185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631.80000000000007</v>
      </c>
      <c r="Y94" s="542">
        <f>IFERROR(IF(X94="",0,CEILING((X94/$H94),1)*$H94),"")</f>
        <v>631.80000000000007</v>
      </c>
      <c r="Z94" s="36">
        <f>IFERROR(IF(Y94=0,"",ROUNDUP(Y94/H94,0)*0.00651),"")</f>
        <v>1.5233400000000001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690.76800000000003</v>
      </c>
      <c r="BN94" s="64">
        <f>IFERROR(Y94*I94/H94,"0")</f>
        <v>690.76800000000003</v>
      </c>
      <c r="BO94" s="64">
        <f>IFERROR(1/J94*(X94/H94),"0")</f>
        <v>1.2857142857142858</v>
      </c>
      <c r="BP94" s="64">
        <f>IFERROR(1/J94*(Y94/H94),"0")</f>
        <v>1.2857142857142858</v>
      </c>
    </row>
    <row r="95" spans="1:68" ht="16.5" customHeight="1" x14ac:dyDescent="0.25">
      <c r="A95" s="54" t="s">
        <v>186</v>
      </c>
      <c r="B95" s="54" t="s">
        <v>187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234</v>
      </c>
      <c r="Y96" s="543">
        <f>IFERROR(Y92/H92,"0")+IFERROR(Y93/H93,"0")+IFERROR(Y94/H94,"0")+IFERROR(Y95/H95,"0")</f>
        <v>234</v>
      </c>
      <c r="Z96" s="543">
        <f>IFERROR(IF(Z92="",0,Z92),"0")+IFERROR(IF(Z93="",0,Z93),"0")+IFERROR(IF(Z94="",0,Z94),"0")+IFERROR(IF(Z95="",0,Z95),"0")</f>
        <v>1.5233400000000001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631.80000000000007</v>
      </c>
      <c r="Y97" s="543">
        <f>IFERROR(SUM(Y92:Y95),"0")</f>
        <v>631.80000000000007</v>
      </c>
      <c r="Z97" s="37"/>
      <c r="AA97" s="544"/>
      <c r="AB97" s="544"/>
      <c r="AC97" s="544"/>
    </row>
    <row r="98" spans="1:68" ht="16.5" customHeight="1" x14ac:dyDescent="0.25">
      <c r="A98" s="558" t="s">
        <v>189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190</v>
      </c>
      <c r="B100" s="54" t="s">
        <v>191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/>
      <c r="M100" s="33" t="s">
        <v>103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107</v>
      </c>
      <c r="L101" s="32"/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107</v>
      </c>
      <c r="L102" s="32" t="s">
        <v>197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990</v>
      </c>
      <c r="Y102" s="542">
        <f>IFERROR(IF(X102="",0,CEILING((X102/$H102),1)*$H102),"")</f>
        <v>990</v>
      </c>
      <c r="Z102" s="36">
        <f>IFERROR(IF(Y102=0,"",ROUNDUP(Y102/H102,0)*0.00902),"")</f>
        <v>1.9843999999999999</v>
      </c>
      <c r="AA102" s="56"/>
      <c r="AB102" s="57"/>
      <c r="AC102" s="147" t="s">
        <v>192</v>
      </c>
      <c r="AG102" s="64"/>
      <c r="AJ102" s="68" t="s">
        <v>108</v>
      </c>
      <c r="AK102" s="68">
        <v>54</v>
      </c>
      <c r="BB102" s="148" t="s">
        <v>1</v>
      </c>
      <c r="BM102" s="64">
        <f>IFERROR(X102*I102/H102,"0")</f>
        <v>1036.1999999999998</v>
      </c>
      <c r="BN102" s="64">
        <f>IFERROR(Y102*I102/H102,"0")</f>
        <v>1036.1999999999998</v>
      </c>
      <c r="BO102" s="64">
        <f>IFERROR(1/J102*(X102/H102),"0")</f>
        <v>1.6666666666666667</v>
      </c>
      <c r="BP102" s="64">
        <f>IFERROR(1/J102*(Y102/H102),"0")</f>
        <v>1.6666666666666667</v>
      </c>
    </row>
    <row r="103" spans="1:68" ht="37.5" customHeight="1" x14ac:dyDescent="0.25">
      <c r="A103" s="54" t="s">
        <v>198</v>
      </c>
      <c r="B103" s="54" t="s">
        <v>199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107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220</v>
      </c>
      <c r="Y104" s="543">
        <f>IFERROR(Y100/H100,"0")+IFERROR(Y101/H101,"0")+IFERROR(Y102/H102,"0")+IFERROR(Y103/H103,"0")</f>
        <v>220</v>
      </c>
      <c r="Z104" s="543">
        <f>IFERROR(IF(Z100="",0,Z100),"0")+IFERROR(IF(Z101="",0,Z101),"0")+IFERROR(IF(Z102="",0,Z102),"0")+IFERROR(IF(Z103="",0,Z103),"0")</f>
        <v>1.9843999999999999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990</v>
      </c>
      <c r="Y105" s="543">
        <f>IFERROR(SUM(Y100:Y103),"0")</f>
        <v>990</v>
      </c>
      <c r="Z105" s="37"/>
      <c r="AA105" s="544"/>
      <c r="AB105" s="544"/>
      <c r="AC105" s="544"/>
    </row>
    <row r="106" spans="1:68" ht="14.25" customHeight="1" x14ac:dyDescent="0.25">
      <c r="A106" s="557" t="s">
        <v>133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200</v>
      </c>
      <c r="B107" s="54" t="s">
        <v>201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103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205</v>
      </c>
      <c r="B109" s="54" t="s">
        <v>206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103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207</v>
      </c>
      <c r="B113" s="54" t="s">
        <v>208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/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212</v>
      </c>
      <c r="B115" s="54" t="s">
        <v>213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214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540</v>
      </c>
      <c r="Y115" s="542">
        <f>IFERROR(IF(X115="",0,CEILING((X115/$H115),1)*$H115),"")</f>
        <v>540</v>
      </c>
      <c r="Z115" s="36">
        <f>IFERROR(IF(Y115=0,"",ROUNDUP(Y115/H115,0)*0.00651),"")</f>
        <v>1.302</v>
      </c>
      <c r="AA115" s="56"/>
      <c r="AB115" s="57"/>
      <c r="AC115" s="161" t="s">
        <v>209</v>
      </c>
      <c r="AG115" s="64"/>
      <c r="AJ115" s="68" t="s">
        <v>108</v>
      </c>
      <c r="AK115" s="68">
        <v>37.799999999999997</v>
      </c>
      <c r="BB115" s="162" t="s">
        <v>1</v>
      </c>
      <c r="BM115" s="64">
        <f>IFERROR(X115*I115/H115,"0")</f>
        <v>590.4</v>
      </c>
      <c r="BN115" s="64">
        <f>IFERROR(Y115*I115/H115,"0")</f>
        <v>590.4</v>
      </c>
      <c r="BO115" s="64">
        <f>IFERROR(1/J115*(X115/H115),"0")</f>
        <v>1.098901098901099</v>
      </c>
      <c r="BP115" s="64">
        <f>IFERROR(1/J115*(Y115/H115),"0")</f>
        <v>1.098901098901099</v>
      </c>
    </row>
    <row r="116" spans="1:68" ht="16.5" customHeight="1" x14ac:dyDescent="0.25">
      <c r="A116" s="54" t="s">
        <v>215</v>
      </c>
      <c r="B116" s="54" t="s">
        <v>216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200</v>
      </c>
      <c r="Y117" s="543">
        <f>IFERROR(Y113/H113,"0")+IFERROR(Y114/H114,"0")+IFERROR(Y115/H115,"0")+IFERROR(Y116/H116,"0")</f>
        <v>200</v>
      </c>
      <c r="Z117" s="543">
        <f>IFERROR(IF(Z113="",0,Z113),"0")+IFERROR(IF(Z114="",0,Z114),"0")+IFERROR(IF(Z115="",0,Z115),"0")+IFERROR(IF(Z116="",0,Z116),"0")</f>
        <v>1.302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540</v>
      </c>
      <c r="Y118" s="543">
        <f>IFERROR(SUM(Y113:Y116),"0")</f>
        <v>540</v>
      </c>
      <c r="Z118" s="37"/>
      <c r="AA118" s="544"/>
      <c r="AB118" s="544"/>
      <c r="AC118" s="544"/>
    </row>
    <row r="119" spans="1:68" ht="14.25" customHeight="1" x14ac:dyDescent="0.25">
      <c r="A119" s="557" t="s">
        <v>163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218</v>
      </c>
      <c r="B120" s="54" t="s">
        <v>219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220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222</v>
      </c>
      <c r="B125" s="54" t="s">
        <v>223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222</v>
      </c>
      <c r="B126" s="54" t="s">
        <v>225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224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226</v>
      </c>
      <c r="B130" s="54" t="s">
        <v>227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226</v>
      </c>
      <c r="B131" s="54" t="s">
        <v>229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228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230</v>
      </c>
      <c r="B135" s="54" t="s">
        <v>231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230</v>
      </c>
      <c r="B136" s="54" t="s">
        <v>232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224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233</v>
      </c>
      <c r="B141" s="54" t="s">
        <v>234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103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235</v>
      </c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237</v>
      </c>
      <c r="B142" s="54" t="s">
        <v>238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107</v>
      </c>
      <c r="L142" s="32"/>
      <c r="M142" s="33" t="s">
        <v>103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240</v>
      </c>
      <c r="B143" s="54" t="s">
        <v>241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103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243</v>
      </c>
      <c r="B147" s="54" t="s">
        <v>244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103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246</v>
      </c>
      <c r="B148" s="54" t="s">
        <v>247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249</v>
      </c>
      <c r="B149" s="54" t="s">
        <v>250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252</v>
      </c>
      <c r="B153" s="54" t="s">
        <v>253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254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235</v>
      </c>
      <c r="AC153" s="191" t="s">
        <v>255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256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257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133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258</v>
      </c>
      <c r="B159" s="54" t="s">
        <v>259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260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261</v>
      </c>
      <c r="B163" s="54" t="s">
        <v>262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266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270</v>
      </c>
      <c r="B166" s="54" t="s">
        <v>271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272</v>
      </c>
      <c r="B167" s="54" t="s">
        <v>273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274</v>
      </c>
      <c r="B168" s="54" t="s">
        <v>275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276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277</v>
      </c>
      <c r="B169" s="54" t="s">
        <v>278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279</v>
      </c>
      <c r="B170" s="54" t="s">
        <v>280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281</v>
      </c>
      <c r="B171" s="54" t="s">
        <v>282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0</v>
      </c>
      <c r="Y173" s="543">
        <f>IFERROR(SUM(Y163:Y171),"0")</f>
        <v>0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284</v>
      </c>
      <c r="B175" s="54" t="s">
        <v>285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288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289</v>
      </c>
      <c r="B176" s="54" t="s">
        <v>290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292</v>
      </c>
      <c r="B177" s="54" t="s">
        <v>293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286</v>
      </c>
      <c r="L177" s="32"/>
      <c r="M177" s="33" t="s">
        <v>287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291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294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295</v>
      </c>
      <c r="B181" s="54" t="s">
        <v>296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286</v>
      </c>
      <c r="L181" s="32"/>
      <c r="M181" s="33" t="s">
        <v>287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291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297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298</v>
      </c>
      <c r="B186" s="54" t="s">
        <v>299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103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301</v>
      </c>
      <c r="B187" s="54" t="s">
        <v>302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103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300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133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303</v>
      </c>
      <c r="B191" s="54" t="s">
        <v>304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103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306</v>
      </c>
      <c r="B192" s="54" t="s">
        <v>307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103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305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308</v>
      </c>
      <c r="B196" s="54" t="s">
        <v>309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310</v>
      </c>
      <c r="AG196" s="64"/>
      <c r="AJ196" s="68"/>
      <c r="AK196" s="68">
        <v>0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311</v>
      </c>
      <c r="B197" s="54" t="s">
        <v>312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313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314</v>
      </c>
      <c r="B198" s="54" t="s">
        <v>315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316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317</v>
      </c>
      <c r="B199" s="54" t="s">
        <v>318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107</v>
      </c>
      <c r="L199" s="32"/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319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320</v>
      </c>
      <c r="B200" s="54" t="s">
        <v>321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322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180</v>
      </c>
      <c r="Y200" s="542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310</v>
      </c>
      <c r="AG200" s="64"/>
      <c r="AJ200" s="68" t="s">
        <v>108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customHeight="1" x14ac:dyDescent="0.25">
      <c r="A201" s="54" t="s">
        <v>323</v>
      </c>
      <c r="B201" s="54" t="s">
        <v>324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313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316</v>
      </c>
      <c r="AG202" s="64"/>
      <c r="AJ202" s="68"/>
      <c r="AK202" s="68">
        <v>0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327</v>
      </c>
      <c r="B203" s="54" t="s">
        <v>328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319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150</v>
      </c>
      <c r="Y204" s="543">
        <f>IFERROR(Y196/H196,"0")+IFERROR(Y197/H197,"0")+IFERROR(Y198/H198,"0")+IFERROR(Y199/H199,"0")+IFERROR(Y200/H200,"0")+IFERROR(Y201/H201,"0")+IFERROR(Y202/H202,"0")+IFERROR(Y203/H203,"0")</f>
        <v>150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0.753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270</v>
      </c>
      <c r="Y205" s="543">
        <f>IFERROR(SUM(Y196:Y203),"0")</f>
        <v>270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329</v>
      </c>
      <c r="B207" s="54" t="s">
        <v>330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331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332</v>
      </c>
      <c r="B208" s="54" t="s">
        <v>333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334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335</v>
      </c>
      <c r="B209" s="54" t="s">
        <v>336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337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331</v>
      </c>
      <c r="AG210" s="64"/>
      <c r="AJ210" s="68" t="s">
        <v>108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customHeight="1" x14ac:dyDescent="0.25">
      <c r="A211" s="54" t="s">
        <v>340</v>
      </c>
      <c r="B211" s="54" t="s">
        <v>341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342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160.80000000000001</v>
      </c>
      <c r="Y212" s="542">
        <f t="shared" si="15"/>
        <v>160.79999999999998</v>
      </c>
      <c r="Z212" s="36">
        <f t="shared" si="20"/>
        <v>0.43617</v>
      </c>
      <c r="AA212" s="56"/>
      <c r="AB212" s="57"/>
      <c r="AC212" s="255" t="s">
        <v>337</v>
      </c>
      <c r="AG212" s="64"/>
      <c r="AJ212" s="68" t="s">
        <v>108</v>
      </c>
      <c r="AK212" s="68">
        <v>33.6</v>
      </c>
      <c r="BB212" s="256" t="s">
        <v>1</v>
      </c>
      <c r="BM212" s="64">
        <f t="shared" si="16"/>
        <v>177.68400000000003</v>
      </c>
      <c r="BN212" s="64">
        <f t="shared" si="17"/>
        <v>177.684</v>
      </c>
      <c r="BO212" s="64">
        <f t="shared" si="18"/>
        <v>0.36813186813186821</v>
      </c>
      <c r="BP212" s="64">
        <f t="shared" si="19"/>
        <v>0.36813186813186816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/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/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334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167</v>
      </c>
      <c r="Y216" s="543">
        <f>IFERROR(Y207/H207,"0")+IFERROR(Y208/H208,"0")+IFERROR(Y209/H209,"0")+IFERROR(Y210/H210,"0")+IFERROR(Y211/H211,"0")+IFERROR(Y212/H212,"0")+IFERROR(Y213/H213,"0")+IFERROR(Y214/H214,"0")+IFERROR(Y215/H215,"0")</f>
        <v>167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1.08717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400.8</v>
      </c>
      <c r="Y217" s="543">
        <f>IFERROR(SUM(Y207:Y215),"0")</f>
        <v>400.79999999999995</v>
      </c>
      <c r="Z217" s="37"/>
      <c r="AA217" s="544"/>
      <c r="AB217" s="544"/>
      <c r="AC217" s="544"/>
    </row>
    <row r="218" spans="1:68" ht="14.25" customHeight="1" x14ac:dyDescent="0.25">
      <c r="A218" s="557" t="s">
        <v>163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8" t="s">
        <v>358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103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107</v>
      </c>
      <c r="L231" s="32"/>
      <c r="M231" s="33" t="s">
        <v>103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103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107</v>
      </c>
      <c r="L234" s="32"/>
      <c r="M234" s="33" t="s">
        <v>103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133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19.8</v>
      </c>
      <c r="Y238" s="542">
        <f>IFERROR(IF(X238="",0,CEILING((X238/$H238),1)*$H238),"")</f>
        <v>19.8</v>
      </c>
      <c r="Z238" s="36">
        <f>IFERROR(IF(Y238=0,"",ROUNDUP(Y238/H238,0)*0.00502),"")</f>
        <v>5.0200000000000002E-2</v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20.800000000000004</v>
      </c>
      <c r="BN238" s="64">
        <f>IFERROR(Y238*I238/H238,"0")</f>
        <v>20.800000000000004</v>
      </c>
      <c r="BO238" s="64">
        <f>IFERROR(1/J238*(X238/H238),"0")</f>
        <v>4.2735042735042736E-2</v>
      </c>
      <c r="BP238" s="64">
        <f>IFERROR(1/J238*(Y238/H238),"0")</f>
        <v>4.2735042735042736E-2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10</v>
      </c>
      <c r="Y239" s="543">
        <f>IFERROR(Y238/H238,"0")</f>
        <v>10</v>
      </c>
      <c r="Z239" s="543">
        <f>IFERROR(IF(Z238="",0,Z238),"0")</f>
        <v>5.0200000000000002E-2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19.8</v>
      </c>
      <c r="Y240" s="543">
        <f>IFERROR(SUM(Y238:Y238),"0")</f>
        <v>19.8</v>
      </c>
      <c r="Z240" s="37"/>
      <c r="AA240" s="544"/>
      <c r="AB240" s="544"/>
      <c r="AC240" s="544"/>
    </row>
    <row r="241" spans="1:68" ht="14.25" customHeight="1" x14ac:dyDescent="0.25">
      <c r="A241" s="557" t="s">
        <v>384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286</v>
      </c>
      <c r="L242" s="32"/>
      <c r="M242" s="33" t="s">
        <v>287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388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286</v>
      </c>
      <c r="L250" s="32"/>
      <c r="M250" s="33" t="s">
        <v>287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400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103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107</v>
      </c>
      <c r="L259" s="32"/>
      <c r="M259" s="33" t="s">
        <v>103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416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104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103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436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163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/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107</v>
      </c>
      <c r="L322" s="32"/>
      <c r="M322" s="33" t="s">
        <v>94</v>
      </c>
      <c r="N322" s="33"/>
      <c r="O322" s="32">
        <v>180</v>
      </c>
      <c r="P322" s="720" t="s">
        <v>509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515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518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518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524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1016.4</v>
      </c>
      <c r="Y336" s="542">
        <f>IFERROR(IF(X336="",0,CEILING((X336/$H336),1)*$H336),"")</f>
        <v>1016.4000000000001</v>
      </c>
      <c r="Z336" s="36">
        <f>IFERROR(IF(Y336=0,"",ROUNDUP(Y336/H336,0)*0.00651),"")</f>
        <v>3.1508400000000001</v>
      </c>
      <c r="AA336" s="56"/>
      <c r="AB336" s="57"/>
      <c r="AC336" s="387" t="s">
        <v>530</v>
      </c>
      <c r="AG336" s="64"/>
      <c r="AJ336" s="68" t="s">
        <v>108</v>
      </c>
      <c r="AK336" s="68">
        <v>29.4</v>
      </c>
      <c r="BB336" s="388" t="s">
        <v>1</v>
      </c>
      <c r="BM336" s="64">
        <f>IFERROR(X336*I336/H336,"0")</f>
        <v>1138.3679999999999</v>
      </c>
      <c r="BN336" s="64">
        <f>IFERROR(Y336*I336/H336,"0")</f>
        <v>1138.3679999999999</v>
      </c>
      <c r="BO336" s="64">
        <f>IFERROR(1/J336*(X336/H336),"0")</f>
        <v>2.6593406593406592</v>
      </c>
      <c r="BP336" s="64">
        <f>IFERROR(1/J336*(Y336/H336),"0")</f>
        <v>2.6593406593406597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315</v>
      </c>
      <c r="Y337" s="542">
        <f>IFERROR(IF(X337="",0,CEILING((X337/$H337),1)*$H337),"")</f>
        <v>315</v>
      </c>
      <c r="Z337" s="36">
        <f>IFERROR(IF(Y337=0,"",ROUNDUP(Y337/H337,0)*0.00651),"")</f>
        <v>0.97650000000000003</v>
      </c>
      <c r="AA337" s="56"/>
      <c r="AB337" s="57"/>
      <c r="AC337" s="389" t="s">
        <v>533</v>
      </c>
      <c r="AG337" s="64"/>
      <c r="AJ337" s="68" t="s">
        <v>108</v>
      </c>
      <c r="AK337" s="68">
        <v>29.4</v>
      </c>
      <c r="BB337" s="390" t="s">
        <v>1</v>
      </c>
      <c r="BM337" s="64">
        <f>IFERROR(X337*I337/H337,"0")</f>
        <v>350.99999999999994</v>
      </c>
      <c r="BN337" s="64">
        <f>IFERROR(Y337*I337/H337,"0")</f>
        <v>350.99999999999994</v>
      </c>
      <c r="BO337" s="64">
        <f>IFERROR(1/J337*(X337/H337),"0")</f>
        <v>0.82417582417582425</v>
      </c>
      <c r="BP337" s="64">
        <f>IFERROR(1/J337*(Y337/H337),"0")</f>
        <v>0.82417582417582425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634</v>
      </c>
      <c r="Y338" s="543">
        <f>IFERROR(Y335/H335,"0")+IFERROR(Y336/H336,"0")+IFERROR(Y337/H337,"0")</f>
        <v>634</v>
      </c>
      <c r="Z338" s="543">
        <f>IFERROR(IF(Z335="",0,Z335),"0")+IFERROR(IF(Z336="",0,Z336),"0")+IFERROR(IF(Z337="",0,Z337),"0")</f>
        <v>4.1273400000000002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1331.4</v>
      </c>
      <c r="Y339" s="543">
        <f>IFERROR(SUM(Y335:Y337),"0")</f>
        <v>1331.4</v>
      </c>
      <c r="Z339" s="37"/>
      <c r="AA339" s="544"/>
      <c r="AB339" s="544"/>
      <c r="AC339" s="544"/>
    </row>
    <row r="340" spans="1:68" ht="27.75" customHeight="1" x14ac:dyDescent="0.2">
      <c r="A340" s="639" t="s">
        <v>534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535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45</v>
      </c>
      <c r="Y343" s="542">
        <f t="shared" ref="Y343:Y349" si="31">IFERROR(IF(X343="",0,CEILING((X343/$H343),1)*$H343),"")</f>
        <v>45</v>
      </c>
      <c r="Z343" s="36">
        <f>IFERROR(IF(Y343=0,"",ROUNDUP(Y343/H343,0)*0.02175),"")</f>
        <v>6.5250000000000002E-2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46.440000000000005</v>
      </c>
      <c r="BN343" s="64">
        <f t="shared" ref="BN343:BN349" si="33">IFERROR(Y343*I343/H343,"0")</f>
        <v>46.440000000000005</v>
      </c>
      <c r="BO343" s="64">
        <f t="shared" ref="BO343:BO349" si="34">IFERROR(1/J343*(X343/H343),"0")</f>
        <v>6.25E-2</v>
      </c>
      <c r="BP343" s="64">
        <f t="shared" ref="BP343:BP349" si="35">IFERROR(1/J343*(Y343/H343),"0")</f>
        <v>6.25E-2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545</v>
      </c>
      <c r="B346" s="54" t="s">
        <v>546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30</v>
      </c>
      <c r="Y346" s="542">
        <f t="shared" si="31"/>
        <v>30</v>
      </c>
      <c r="Z346" s="36">
        <f>IFERROR(IF(Y346=0,"",ROUNDUP(Y346/H346,0)*0.02175),"")</f>
        <v>4.3499999999999997E-2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30.96</v>
      </c>
      <c r="BN346" s="64">
        <f t="shared" si="33"/>
        <v>30.96</v>
      </c>
      <c r="BO346" s="64">
        <f t="shared" si="34"/>
        <v>4.1666666666666664E-2</v>
      </c>
      <c r="BP346" s="64">
        <f t="shared" si="35"/>
        <v>4.1666666666666664E-2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107</v>
      </c>
      <c r="L347" s="32"/>
      <c r="M347" s="33" t="s">
        <v>103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107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547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</v>
      </c>
      <c r="Y350" s="543">
        <f>IFERROR(Y343/H343,"0")+IFERROR(Y344/H344,"0")+IFERROR(Y345/H345,"0")+IFERROR(Y346/H346,"0")+IFERROR(Y347/H347,"0")+IFERROR(Y348/H348,"0")+IFERROR(Y349/H349,"0")</f>
        <v>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0.10875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75</v>
      </c>
      <c r="Y351" s="543">
        <f>IFERROR(SUM(Y343:Y349),"0")</f>
        <v>75</v>
      </c>
      <c r="Z351" s="37"/>
      <c r="AA351" s="544"/>
      <c r="AB351" s="544"/>
      <c r="AC351" s="544"/>
    </row>
    <row r="352" spans="1:68" ht="14.25" customHeight="1" x14ac:dyDescent="0.25">
      <c r="A352" s="557" t="s">
        <v>133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103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45</v>
      </c>
      <c r="Y353" s="542">
        <f>IFERROR(IF(X353="",0,CEILING((X353/$H353),1)*$H353),"")</f>
        <v>45</v>
      </c>
      <c r="Z353" s="36">
        <f>IFERROR(IF(Y353=0,"",ROUNDUP(Y353/H353,0)*0.02175),"")</f>
        <v>6.5250000000000002E-2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46.440000000000005</v>
      </c>
      <c r="BN353" s="64">
        <f>IFERROR(Y353*I353/H353,"0")</f>
        <v>46.440000000000005</v>
      </c>
      <c r="BO353" s="64">
        <f>IFERROR(1/J353*(X353/H353),"0")</f>
        <v>6.25E-2</v>
      </c>
      <c r="BP353" s="64">
        <f>IFERROR(1/J353*(Y353/H353),"0")</f>
        <v>6.25E-2</v>
      </c>
    </row>
    <row r="354" spans="1:68" ht="16.5" customHeight="1" x14ac:dyDescent="0.25">
      <c r="A354" s="54" t="s">
        <v>558</v>
      </c>
      <c r="B354" s="54" t="s">
        <v>559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107</v>
      </c>
      <c r="L354" s="32"/>
      <c r="M354" s="33" t="s">
        <v>103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557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3</v>
      </c>
      <c r="Y355" s="543">
        <f>IFERROR(Y353/H353,"0")+IFERROR(Y354/H354,"0")</f>
        <v>3</v>
      </c>
      <c r="Z355" s="543">
        <f>IFERROR(IF(Z353="",0,Z353),"0")+IFERROR(IF(Z354="",0,Z354),"0")</f>
        <v>6.5250000000000002E-2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45</v>
      </c>
      <c r="Y356" s="543">
        <f>IFERROR(SUM(Y353:Y354),"0")</f>
        <v>45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163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569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107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/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9" t="s">
        <v>585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133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322</v>
      </c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 t="s">
        <v>108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641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7" t="s">
        <v>133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696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133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133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736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5388.8000000000011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5388.8000000000011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737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5821.5599999999986</v>
      </c>
      <c r="Y490" s="543">
        <f>IFERROR(SUM(BN22:BN486),"0")</f>
        <v>5821.5599999999986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738</v>
      </c>
      <c r="Q491" s="634"/>
      <c r="R491" s="634"/>
      <c r="S491" s="634"/>
      <c r="T491" s="634"/>
      <c r="U491" s="634"/>
      <c r="V491" s="635"/>
      <c r="W491" s="37" t="s">
        <v>739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740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6121.5599999999986</v>
      </c>
      <c r="Y492" s="543">
        <f>GrossWeightTotalR+PalletQtyTotalR*25</f>
        <v>6121.5599999999986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741</v>
      </c>
      <c r="Q493" s="634"/>
      <c r="R493" s="634"/>
      <c r="S493" s="634"/>
      <c r="T493" s="634"/>
      <c r="U493" s="634"/>
      <c r="V493" s="635"/>
      <c r="W493" s="37" t="s">
        <v>739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1873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1873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742</v>
      </c>
      <c r="Q494" s="634"/>
      <c r="R494" s="634"/>
      <c r="S494" s="634"/>
      <c r="T494" s="634"/>
      <c r="U494" s="634"/>
      <c r="V494" s="635"/>
      <c r="W494" s="39" t="s">
        <v>743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13.256450000000003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256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534</v>
      </c>
      <c r="T496" s="625"/>
      <c r="U496" s="591" t="s">
        <v>585</v>
      </c>
      <c r="V496" s="662"/>
      <c r="W496" s="625"/>
      <c r="X496" s="538" t="s">
        <v>636</v>
      </c>
      <c r="Y496" s="591" t="s">
        <v>696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745</v>
      </c>
      <c r="B497" s="591" t="s">
        <v>63</v>
      </c>
      <c r="C497" s="591" t="s">
        <v>98</v>
      </c>
      <c r="D497" s="591" t="s">
        <v>114</v>
      </c>
      <c r="E497" s="591" t="s">
        <v>170</v>
      </c>
      <c r="F497" s="591" t="s">
        <v>189</v>
      </c>
      <c r="G497" s="591" t="s">
        <v>221</v>
      </c>
      <c r="H497" s="591" t="s">
        <v>97</v>
      </c>
      <c r="I497" s="591" t="s">
        <v>257</v>
      </c>
      <c r="J497" s="591" t="s">
        <v>297</v>
      </c>
      <c r="K497" s="591" t="s">
        <v>358</v>
      </c>
      <c r="L497" s="591" t="s">
        <v>400</v>
      </c>
      <c r="M497" s="591" t="s">
        <v>416</v>
      </c>
      <c r="N497" s="539"/>
      <c r="O497" s="591" t="s">
        <v>427</v>
      </c>
      <c r="P497" s="591" t="s">
        <v>436</v>
      </c>
      <c r="Q497" s="591" t="s">
        <v>446</v>
      </c>
      <c r="R497" s="591" t="s">
        <v>524</v>
      </c>
      <c r="S497" s="591" t="s">
        <v>535</v>
      </c>
      <c r="T497" s="591" t="s">
        <v>569</v>
      </c>
      <c r="U497" s="591" t="s">
        <v>586</v>
      </c>
      <c r="V497" s="591" t="s">
        <v>617</v>
      </c>
      <c r="W497" s="591" t="s">
        <v>632</v>
      </c>
      <c r="X497" s="591" t="s">
        <v>636</v>
      </c>
      <c r="Y497" s="591" t="s">
        <v>696</v>
      </c>
      <c r="Z497" s="591" t="s">
        <v>732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225</v>
      </c>
      <c r="E499" s="46">
        <f>IFERROR(Y86*1,"0")+IFERROR(Y87*1,"0")+IFERROR(Y88*1,"0")+IFERROR(Y92*1,"0")+IFERROR(Y93*1,"0")+IFERROR(Y94*1,"0")+IFERROR(Y95*1,"0")</f>
        <v>1171.8000000000002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1530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670.8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19.8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1331.4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120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qnHQ86wsXm2CrVi99440h8YEzbwLTuql2mimuoJyCVovAsI1OVZyCxbt1Hfdjrd9OZ64JPoPt4D3+mWKPqahTQ==" saltValue="1IQ0smbwJthmT4bpaw3Tt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56 X88 X102 X115 X200 X210 X212 X336:X337 X410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F3CeWoWTntOTJxgzRfvrM51fph3LHR2u2rSPtbuD+BrQv0/FmmQE5/xhDdbvGfaVLFANgE/wM0snEpxtdargg==" saltValue="F0TzEKijFG51F9Mca9OVb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