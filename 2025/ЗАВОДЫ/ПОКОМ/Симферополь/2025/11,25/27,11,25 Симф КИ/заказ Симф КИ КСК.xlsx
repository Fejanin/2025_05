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6E06BE3A-8A4A-44B4-A30F-94801931487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Y220" i="1"/>
  <c r="X220" i="1"/>
  <c r="BP219" i="1"/>
  <c r="BO219" i="1"/>
  <c r="BN219" i="1"/>
  <c r="BM219" i="1"/>
  <c r="Z219" i="1"/>
  <c r="Y219" i="1"/>
  <c r="P219" i="1"/>
  <c r="BO218" i="1"/>
  <c r="BN218" i="1"/>
  <c r="BM218" i="1"/>
  <c r="Z218" i="1"/>
  <c r="Z220" i="1" s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92" i="1" s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Z148" i="1"/>
  <c r="BP146" i="1"/>
  <c r="BN146" i="1"/>
  <c r="Z146" i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D498" i="1"/>
  <c r="H9" i="1"/>
  <c r="B498" i="1"/>
  <c r="X489" i="1"/>
  <c r="X491" i="1" s="1"/>
  <c r="X490" i="1"/>
  <c r="X492" i="1"/>
  <c r="Y24" i="1"/>
  <c r="Z27" i="1"/>
  <c r="Z31" i="1" s="1"/>
  <c r="BN27" i="1"/>
  <c r="Y489" i="1" s="1"/>
  <c r="Z29" i="1"/>
  <c r="BN29" i="1"/>
  <c r="C498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0" i="1" s="1"/>
  <c r="Z62" i="1"/>
  <c r="BN62" i="1"/>
  <c r="Z66" i="1"/>
  <c r="BN66" i="1"/>
  <c r="BP66" i="1"/>
  <c r="Z68" i="1"/>
  <c r="BN68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Z215" i="1" s="1"/>
  <c r="Y215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Z274" i="1"/>
  <c r="BP272" i="1"/>
  <c r="BN272" i="1"/>
  <c r="Z272" i="1"/>
  <c r="Y274" i="1"/>
  <c r="BP321" i="1"/>
  <c r="BN321" i="1"/>
  <c r="Z321" i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Z410" i="1" s="1"/>
  <c r="Y411" i="1"/>
  <c r="BP422" i="1"/>
  <c r="BN422" i="1"/>
  <c r="Z422" i="1"/>
  <c r="BP458" i="1"/>
  <c r="BN458" i="1"/>
  <c r="Z458" i="1"/>
  <c r="Z461" i="1" s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BP315" i="1"/>
  <c r="BN315" i="1"/>
  <c r="Z315" i="1"/>
  <c r="Z317" i="1" s="1"/>
  <c r="Y324" i="1"/>
  <c r="BP323" i="1"/>
  <c r="BN323" i="1"/>
  <c r="Z323" i="1"/>
  <c r="Z324" i="1" s="1"/>
  <c r="Y330" i="1"/>
  <c r="BP327" i="1"/>
  <c r="BN327" i="1"/>
  <c r="Z327" i="1"/>
  <c r="Z330" i="1" s="1"/>
  <c r="BP336" i="1"/>
  <c r="BN336" i="1"/>
  <c r="Z336" i="1"/>
  <c r="S498" i="1"/>
  <c r="Y349" i="1"/>
  <c r="BP342" i="1"/>
  <c r="BN342" i="1"/>
  <c r="Z342" i="1"/>
  <c r="Z349" i="1" s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91" i="1" l="1"/>
  <c r="Z446" i="1"/>
  <c r="Z431" i="1"/>
  <c r="Z267" i="1"/>
  <c r="Z259" i="1"/>
  <c r="Z250" i="1"/>
  <c r="Z393" i="1"/>
  <c r="Z337" i="1"/>
  <c r="Z304" i="1"/>
  <c r="Z294" i="1"/>
  <c r="Z116" i="1"/>
  <c r="Z203" i="1"/>
  <c r="Z171" i="1"/>
  <c r="Z69" i="1"/>
  <c r="Z493" i="1" s="1"/>
  <c r="Y488" i="1"/>
</calcChain>
</file>

<file path=xl/sharedStrings.xml><?xml version="1.0" encoding="utf-8"?>
<sst xmlns="http://schemas.openxmlformats.org/spreadsheetml/2006/main" count="2268" uniqueCount="760">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</sst>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8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8"/>
      <c r="C5" s="629"/>
      <c r="D5" s="617"/>
      <c r="E5" s="618"/>
      <c r="F5" s="822" t="s">
        <v>9</v>
      </c>
      <c r="G5" s="629"/>
      <c r="H5" s="617"/>
      <c r="I5" s="761"/>
      <c r="J5" s="761"/>
      <c r="K5" s="761"/>
      <c r="L5" s="761"/>
      <c r="M5" s="618"/>
      <c r="N5" s="58"/>
      <c r="P5" s="24" t="s">
        <v>10</v>
      </c>
      <c r="Q5" s="836">
        <v>45984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8"/>
      <c r="C6" s="629"/>
      <c r="D6" s="764" t="s">
        <v>14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15</v>
      </c>
      <c r="Q6" s="844" t="str">
        <f>IF(Q5=0," ",CHOOSE(WEEKDAY(Q5,2),"Понедельник","Вторник","Среда","Четверг","Пятница","Суббота","Воскресенье"))</f>
        <v>Воскресенье</v>
      </c>
      <c r="R6" s="547"/>
      <c r="T6" s="704" t="s">
        <v>16</v>
      </c>
      <c r="U6" s="700"/>
      <c r="V6" s="747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18</v>
      </c>
      <c r="B8" s="558"/>
      <c r="C8" s="559"/>
      <c r="D8" s="609" t="s">
        <v>19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20</v>
      </c>
      <c r="Q8" s="658">
        <v>0.375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7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6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3" t="s">
        <v>51</v>
      </c>
      <c r="V17" s="629"/>
      <c r="W17" s="581" t="s">
        <v>52</v>
      </c>
      <c r="X17" s="581" t="s">
        <v>53</v>
      </c>
      <c r="Y17" s="854" t="s">
        <v>54</v>
      </c>
      <c r="Z17" s="759" t="s">
        <v>55</v>
      </c>
      <c r="AA17" s="738" t="s">
        <v>56</v>
      </c>
      <c r="AB17" s="738" t="s">
        <v>57</v>
      </c>
      <c r="AC17" s="738" t="s">
        <v>58</v>
      </c>
      <c r="AD17" s="738" t="s">
        <v>59</v>
      </c>
      <c r="AE17" s="816"/>
      <c r="AF17" s="817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50</v>
      </c>
      <c r="Y40" s="540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100</v>
      </c>
      <c r="Y41" s="540">
        <f>IFERROR(IF(X41="",0,CEILING((X41/$H41),1)*$H41),"")</f>
        <v>100</v>
      </c>
      <c r="Z41" s="36">
        <f>IFERROR(IF(Y41=0,"",ROUNDUP(Y41/H41,0)*0.00902),"")</f>
        <v>0.22550000000000001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104.75000000000001</v>
      </c>
      <c r="BN41" s="64">
        <f>IFERROR(Y41*I41/H41,"0")</f>
        <v>104.75000000000001</v>
      </c>
      <c r="BO41" s="64">
        <f>IFERROR(1/J41*(X41/H41),"0")</f>
        <v>0.18939393939393939</v>
      </c>
      <c r="BP41" s="64">
        <f>IFERROR(1/J41*(Y41/H41),"0")</f>
        <v>0.18939393939393939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29.62962962962963</v>
      </c>
      <c r="Y43" s="541">
        <f>IFERROR(Y40/H40,"0")+IFERROR(Y41/H41,"0")+IFERROR(Y42/H42,"0")</f>
        <v>30</v>
      </c>
      <c r="Z43" s="541">
        <f>IFERROR(IF(Z40="",0,Z40),"0")+IFERROR(IF(Z41="",0,Z41),"0")+IFERROR(IF(Z42="",0,Z42),"0")</f>
        <v>0.32040000000000002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150</v>
      </c>
      <c r="Y44" s="541">
        <f>IFERROR(SUM(Y40:Y42),"0")</f>
        <v>154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50</v>
      </c>
      <c r="Y52" s="540">
        <f t="shared" si="0"/>
        <v>54</v>
      </c>
      <c r="Z52" s="36">
        <f>IFERROR(IF(Y52=0,"",ROUNDUP(Y52/H52,0)*0.01898),"")</f>
        <v>9.4899999999999998E-2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51.898148148148145</v>
      </c>
      <c r="BN52" s="64">
        <f t="shared" si="2"/>
        <v>56.05</v>
      </c>
      <c r="BO52" s="64">
        <f t="shared" si="3"/>
        <v>7.2337962962962965E-2</v>
      </c>
      <c r="BP52" s="64">
        <f t="shared" si="4"/>
        <v>7.8125E-2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180</v>
      </c>
      <c r="Y56" s="540">
        <f t="shared" si="0"/>
        <v>180</v>
      </c>
      <c r="Z56" s="36">
        <f>IFERROR(IF(Y56=0,"",ROUNDUP(Y56/H56,0)*0.00902),"")</f>
        <v>0.36080000000000001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187.60000000000002</v>
      </c>
      <c r="BN56" s="64">
        <f t="shared" si="2"/>
        <v>187.60000000000002</v>
      </c>
      <c r="BO56" s="64">
        <f t="shared" si="3"/>
        <v>0.30303030303030304</v>
      </c>
      <c r="BP56" s="64">
        <f t="shared" si="4"/>
        <v>0.30303030303030304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44.629629629629633</v>
      </c>
      <c r="Y57" s="541">
        <f>IFERROR(Y51/H51,"0")+IFERROR(Y52/H52,"0")+IFERROR(Y53/H53,"0")+IFERROR(Y54/H54,"0")+IFERROR(Y55/H55,"0")+IFERROR(Y56/H56,"0")</f>
        <v>45</v>
      </c>
      <c r="Z57" s="541">
        <f>IFERROR(IF(Z51="",0,Z51),"0")+IFERROR(IF(Z52="",0,Z52),"0")+IFERROR(IF(Z53="",0,Z53),"0")+IFERROR(IF(Z54="",0,Z54),"0")+IFERROR(IF(Z55="",0,Z55),"0")+IFERROR(IF(Z56="",0,Z56),"0")</f>
        <v>0.45569999999999999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230</v>
      </c>
      <c r="Y58" s="541">
        <f>IFERROR(SUM(Y51:Y56),"0")</f>
        <v>234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180</v>
      </c>
      <c r="Y60" s="540">
        <f>IFERROR(IF(X60="",0,CEILING((X60/$H60),1)*$H60),"")</f>
        <v>183.60000000000002</v>
      </c>
      <c r="Z60" s="36">
        <f>IFERROR(IF(Y60=0,"",ROUNDUP(Y60/H60,0)*0.01898),"")</f>
        <v>0.32266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186.83333333333334</v>
      </c>
      <c r="BN60" s="64">
        <f>IFERROR(Y60*I60/H60,"0")</f>
        <v>190.57000000000002</v>
      </c>
      <c r="BO60" s="64">
        <f>IFERROR(1/J60*(X60/H60),"0")</f>
        <v>0.26041666666666663</v>
      </c>
      <c r="BP60" s="64">
        <f>IFERROR(1/J60*(Y60/H60),"0")</f>
        <v>0.265625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180</v>
      </c>
      <c r="Y62" s="540">
        <f>IFERROR(IF(X62="",0,CEILING((X62/$H62),1)*$H62),"")</f>
        <v>180.9</v>
      </c>
      <c r="Z62" s="36">
        <f>IFERROR(IF(Y62=0,"",ROUNDUP(Y62/H62,0)*0.00651),"")</f>
        <v>0.43617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191.99999999999997</v>
      </c>
      <c r="BN62" s="64">
        <f>IFERROR(Y62*I62/H62,"0")</f>
        <v>192.95999999999998</v>
      </c>
      <c r="BO62" s="64">
        <f>IFERROR(1/J62*(X62/H62),"0")</f>
        <v>0.36630036630036628</v>
      </c>
      <c r="BP62" s="64">
        <f>IFERROR(1/J62*(Y62/H62),"0")</f>
        <v>0.36813186813186816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83.333333333333314</v>
      </c>
      <c r="Y63" s="541">
        <f>IFERROR(Y60/H60,"0")+IFERROR(Y61/H61,"0")+IFERROR(Y62/H62,"0")</f>
        <v>84</v>
      </c>
      <c r="Z63" s="541">
        <f>IFERROR(IF(Z60="",0,Z60),"0")+IFERROR(IF(Z61="",0,Z61),"0")+IFERROR(IF(Z62="",0,Z62),"0")</f>
        <v>0.75883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360</v>
      </c>
      <c r="Y64" s="541">
        <f>IFERROR(SUM(Y60:Y62),"0")</f>
        <v>364.5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30</v>
      </c>
      <c r="Y79" s="540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3.8461538461538463</v>
      </c>
      <c r="Y81" s="541">
        <f>IFERROR(Y79/H79,"0")+IFERROR(Y80/H80,"0")</f>
        <v>4</v>
      </c>
      <c r="Z81" s="541">
        <f>IFERROR(IF(Z79="",0,Z79),"0")+IFERROR(IF(Z80="",0,Z80),"0")</f>
        <v>7.5920000000000001E-2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30</v>
      </c>
      <c r="Y82" s="541">
        <f>IFERROR(SUM(Y79:Y80),"0")</f>
        <v>31.2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100</v>
      </c>
      <c r="Y85" s="540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450</v>
      </c>
      <c r="Y87" s="540">
        <f>IFERROR(IF(X87="",0,CEILING((X87/$H87),1)*$H87),"")</f>
        <v>450</v>
      </c>
      <c r="Z87" s="36">
        <f>IFERROR(IF(Y87=0,"",ROUNDUP(Y87/H87,0)*0.00902),"")</f>
        <v>0.90200000000000002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469</v>
      </c>
      <c r="BN87" s="64">
        <f>IFERROR(Y87*I87/H87,"0")</f>
        <v>469</v>
      </c>
      <c r="BO87" s="64">
        <f>IFERROR(1/J87*(X87/H87),"0")</f>
        <v>0.75757575757575757</v>
      </c>
      <c r="BP87" s="64">
        <f>IFERROR(1/J87*(Y87/H87),"0")</f>
        <v>0.75757575757575757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109.25925925925927</v>
      </c>
      <c r="Y88" s="541">
        <f>IFERROR(Y85/H85,"0")+IFERROR(Y86/H86,"0")+IFERROR(Y87/H87,"0")</f>
        <v>110</v>
      </c>
      <c r="Z88" s="541">
        <f>IFERROR(IF(Z85="",0,Z85),"0")+IFERROR(IF(Z86="",0,Z86),"0")+IFERROR(IF(Z87="",0,Z87),"0")</f>
        <v>1.0918000000000001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550</v>
      </c>
      <c r="Y89" s="541">
        <f>IFERROR(SUM(Y85:Y87),"0")</f>
        <v>558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350</v>
      </c>
      <c r="Y91" s="540">
        <f>IFERROR(IF(X91="",0,CEILING((X91/$H91),1)*$H91),"")</f>
        <v>356.4</v>
      </c>
      <c r="Z91" s="36">
        <f>IFERROR(IF(Y91=0,"",ROUNDUP(Y91/H91,0)*0.01898),"")</f>
        <v>0.83511999999999997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371.34567901234567</v>
      </c>
      <c r="BN91" s="64">
        <f>IFERROR(Y91*I91/H91,"0")</f>
        <v>378.13599999999997</v>
      </c>
      <c r="BO91" s="64">
        <f>IFERROR(1/J91*(X91/H91),"0")</f>
        <v>0.67515432098765438</v>
      </c>
      <c r="BP91" s="64">
        <f>IFERROR(1/J91*(Y91/H91),"0")</f>
        <v>0.6875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270</v>
      </c>
      <c r="Y93" s="540">
        <f>IFERROR(IF(X93="",0,CEILING((X93/$H93),1)*$H93),"")</f>
        <v>270</v>
      </c>
      <c r="Z93" s="36">
        <f>IFERROR(IF(Y93=0,"",ROUNDUP(Y93/H93,0)*0.00651),"")</f>
        <v>0.65100000000000002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295.2</v>
      </c>
      <c r="BN93" s="64">
        <f>IFERROR(Y93*I93/H93,"0")</f>
        <v>295.2</v>
      </c>
      <c r="BO93" s="64">
        <f>IFERROR(1/J93*(X93/H93),"0")</f>
        <v>0.5494505494505495</v>
      </c>
      <c r="BP93" s="64">
        <f>IFERROR(1/J93*(Y93/H93),"0")</f>
        <v>0.5494505494505495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143.20987654320987</v>
      </c>
      <c r="Y95" s="541">
        <f>IFERROR(Y91/H91,"0")+IFERROR(Y92/H92,"0")+IFERROR(Y93/H93,"0")+IFERROR(Y94/H94,"0")</f>
        <v>144</v>
      </c>
      <c r="Z95" s="541">
        <f>IFERROR(IF(Z91="",0,Z91),"0")+IFERROR(IF(Z92="",0,Z92),"0")+IFERROR(IF(Z93="",0,Z93),"0")+IFERROR(IF(Z94="",0,Z94),"0")</f>
        <v>1.4861200000000001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620</v>
      </c>
      <c r="Y96" s="541">
        <f>IFERROR(SUM(Y91:Y94),"0")</f>
        <v>626.4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50</v>
      </c>
      <c r="Y99" s="54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585</v>
      </c>
      <c r="Y101" s="540">
        <f>IFERROR(IF(X101="",0,CEILING((X101/$H101),1)*$H101),"")</f>
        <v>585</v>
      </c>
      <c r="Z101" s="36">
        <f>IFERROR(IF(Y101=0,"",ROUNDUP(Y101/H101,0)*0.00902),"")</f>
        <v>1.1726000000000001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609.70000000000005</v>
      </c>
      <c r="BN101" s="64">
        <f>IFERROR(Y101*I101/H101,"0")</f>
        <v>609.70000000000005</v>
      </c>
      <c r="BO101" s="64">
        <f>IFERROR(1/J101*(X101/H101),"0")</f>
        <v>0.98484848484848486</v>
      </c>
      <c r="BP101" s="64">
        <f>IFERROR(1/J101*(Y101/H101),"0")</f>
        <v>0.98484848484848486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134.62962962962962</v>
      </c>
      <c r="Y103" s="541">
        <f>IFERROR(Y99/H99,"0")+IFERROR(Y100/H100,"0")+IFERROR(Y101/H101,"0")+IFERROR(Y102/H102,"0")</f>
        <v>135</v>
      </c>
      <c r="Z103" s="541">
        <f>IFERROR(IF(Z99="",0,Z99),"0")+IFERROR(IF(Z100="",0,Z100),"0")+IFERROR(IF(Z101="",0,Z101),"0")+IFERROR(IF(Z102="",0,Z102),"0")</f>
        <v>1.2675000000000001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635</v>
      </c>
      <c r="Y104" s="541">
        <f>IFERROR(SUM(Y99:Y102),"0")</f>
        <v>639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320</v>
      </c>
      <c r="Y112" s="540">
        <f>IFERROR(IF(X112="",0,CEILING((X112/$H112),1)*$H112),"")</f>
        <v>324</v>
      </c>
      <c r="Z112" s="36">
        <f>IFERROR(IF(Y112=0,"",ROUNDUP(Y112/H112,0)*0.01898),"")</f>
        <v>0.75919999999999999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339.27901234567901</v>
      </c>
      <c r="BN112" s="64">
        <f>IFERROR(Y112*I112/H112,"0")</f>
        <v>343.52</v>
      </c>
      <c r="BO112" s="64">
        <f>IFERROR(1/J112*(X112/H112),"0")</f>
        <v>0.61728395061728403</v>
      </c>
      <c r="BP112" s="64">
        <f>IFERROR(1/J112*(Y112/H112),"0")</f>
        <v>0.625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405</v>
      </c>
      <c r="Y114" s="540">
        <f>IFERROR(IF(X114="",0,CEILING((X114/$H114),1)*$H114),"")</f>
        <v>405</v>
      </c>
      <c r="Z114" s="36">
        <f>IFERROR(IF(Y114=0,"",ROUNDUP(Y114/H114,0)*0.00651),"")</f>
        <v>0.97650000000000003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442.79999999999995</v>
      </c>
      <c r="BN114" s="64">
        <f>IFERROR(Y114*I114/H114,"0")</f>
        <v>442.79999999999995</v>
      </c>
      <c r="BO114" s="64">
        <f>IFERROR(1/J114*(X114/H114),"0")</f>
        <v>0.82417582417582425</v>
      </c>
      <c r="BP114" s="64">
        <f>IFERROR(1/J114*(Y114/H114),"0")</f>
        <v>0.82417582417582425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15</v>
      </c>
      <c r="Y115" s="540">
        <f>IFERROR(IF(X115="",0,CEILING((X115/$H115),1)*$H115),"")</f>
        <v>16.2</v>
      </c>
      <c r="Z115" s="36">
        <f>IFERROR(IF(Y115=0,"",ROUNDUP(Y115/H115,0)*0.00651),"")</f>
        <v>5.8590000000000003E-2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16.5</v>
      </c>
      <c r="BN115" s="64">
        <f>IFERROR(Y115*I115/H115,"0")</f>
        <v>17.82</v>
      </c>
      <c r="BO115" s="64">
        <f>IFERROR(1/J115*(X115/H115),"0")</f>
        <v>4.5787545787545791E-2</v>
      </c>
      <c r="BP115" s="64">
        <f>IFERROR(1/J115*(Y115/H115),"0")</f>
        <v>4.9450549450549455E-2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197.83950617283952</v>
      </c>
      <c r="Y116" s="541">
        <f>IFERROR(Y112/H112,"0")+IFERROR(Y113/H113,"0")+IFERROR(Y114/H114,"0")+IFERROR(Y115/H115,"0")</f>
        <v>199</v>
      </c>
      <c r="Z116" s="541">
        <f>IFERROR(IF(Z112="",0,Z112),"0")+IFERROR(IF(Z113="",0,Z113),"0")+IFERROR(IF(Z114="",0,Z114),"0")+IFERROR(IF(Z115="",0,Z115),"0")</f>
        <v>1.7942899999999999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740</v>
      </c>
      <c r="Y117" s="541">
        <f>IFERROR(SUM(Y112:Y115),"0")</f>
        <v>745.2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19.8</v>
      </c>
      <c r="Y119" s="540">
        <f>IFERROR(IF(X119="",0,CEILING((X119/$H119),1)*$H119),"")</f>
        <v>19.8</v>
      </c>
      <c r="Z119" s="36">
        <f>IFERROR(IF(Y119=0,"",ROUNDUP(Y119/H119,0)*0.00651),"")</f>
        <v>6.5100000000000005E-2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22.380000000000003</v>
      </c>
      <c r="BN119" s="64">
        <f>IFERROR(Y119*I119/H119,"0")</f>
        <v>22.380000000000003</v>
      </c>
      <c r="BO119" s="64">
        <f>IFERROR(1/J119*(X119/H119),"0")</f>
        <v>5.4945054945054951E-2</v>
      </c>
      <c r="BP119" s="64">
        <f>IFERROR(1/J119*(Y119/H119),"0")</f>
        <v>5.4945054945054951E-2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10</v>
      </c>
      <c r="Y120" s="541">
        <f>IFERROR(Y119/H119,"0")</f>
        <v>10</v>
      </c>
      <c r="Z120" s="541">
        <f>IFERROR(IF(Z119="",0,Z119),"0")</f>
        <v>6.5100000000000005E-2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19.8</v>
      </c>
      <c r="Y121" s="541">
        <f>IFERROR(SUM(Y119:Y119),"0")</f>
        <v>19.8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80</v>
      </c>
      <c r="Y124" s="540">
        <f>IFERROR(IF(X124="",0,CEILING((X124/$H124),1)*$H124),"")</f>
        <v>80</v>
      </c>
      <c r="Z124" s="36">
        <f>IFERROR(IF(Y124=0,"",ROUNDUP(Y124/H124,0)*0.00651),"")</f>
        <v>0.16275000000000001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84.499999999999986</v>
      </c>
      <c r="BN124" s="64">
        <f>IFERROR(Y124*I124/H124,"0")</f>
        <v>84.499999999999986</v>
      </c>
      <c r="BO124" s="64">
        <f>IFERROR(1/J124*(X124/H124),"0")</f>
        <v>0.13736263736263737</v>
      </c>
      <c r="BP124" s="64">
        <f>IFERROR(1/J124*(Y124/H124),"0")</f>
        <v>0.13736263736263737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25</v>
      </c>
      <c r="Y126" s="541">
        <f>IFERROR(Y124/H124,"0")+IFERROR(Y125/H125,"0")</f>
        <v>25</v>
      </c>
      <c r="Z126" s="541">
        <f>IFERROR(IF(Z124="",0,Z124),"0")+IFERROR(IF(Z125="",0,Z125),"0")</f>
        <v>0.16275000000000001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80</v>
      </c>
      <c r="Y127" s="541">
        <f>IFERROR(SUM(Y124:Y125),"0")</f>
        <v>80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87.5</v>
      </c>
      <c r="Y130" s="540">
        <f>IFERROR(IF(X130="",0,CEILING((X130/$H130),1)*$H130),"")</f>
        <v>89.6</v>
      </c>
      <c r="Z130" s="36">
        <f>IFERROR(IF(Y130=0,"",ROUNDUP(Y130/H130,0)*0.00651),"")</f>
        <v>0.20832000000000001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95.875</v>
      </c>
      <c r="BN130" s="64">
        <f>IFERROR(Y130*I130/H130,"0")</f>
        <v>98.175999999999988</v>
      </c>
      <c r="BO130" s="64">
        <f>IFERROR(1/J130*(X130/H130),"0")</f>
        <v>0.17170329670329673</v>
      </c>
      <c r="BP130" s="64">
        <f>IFERROR(1/J130*(Y130/H130),"0")</f>
        <v>0.17582417582417584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31.250000000000004</v>
      </c>
      <c r="Y131" s="541">
        <f>IFERROR(Y129/H129,"0")+IFERROR(Y130/H130,"0")</f>
        <v>32</v>
      </c>
      <c r="Z131" s="541">
        <f>IFERROR(IF(Z129="",0,Z129),"0")+IFERROR(IF(Z130="",0,Z130),"0")</f>
        <v>0.20832000000000001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87.5</v>
      </c>
      <c r="Y132" s="541">
        <f>IFERROR(SUM(Y129:Y130),"0")</f>
        <v>89.6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66</v>
      </c>
      <c r="Y135" s="540">
        <f>IFERROR(IF(X135="",0,CEILING((X135/$H135),1)*$H135),"")</f>
        <v>66</v>
      </c>
      <c r="Z135" s="36">
        <f>IFERROR(IF(Y135=0,"",ROUNDUP(Y135/H135,0)*0.00651),"")</f>
        <v>0.16275000000000001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72.699999999999989</v>
      </c>
      <c r="BN135" s="64">
        <f>IFERROR(Y135*I135/H135,"0")</f>
        <v>72.699999999999989</v>
      </c>
      <c r="BO135" s="64">
        <f>IFERROR(1/J135*(X135/H135),"0")</f>
        <v>0.13736263736263737</v>
      </c>
      <c r="BP135" s="64">
        <f>IFERROR(1/J135*(Y135/H135),"0")</f>
        <v>0.13736263736263737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25</v>
      </c>
      <c r="Y136" s="541">
        <f>IFERROR(Y134/H134,"0")+IFERROR(Y135/H135,"0")</f>
        <v>25</v>
      </c>
      <c r="Z136" s="541">
        <f>IFERROR(IF(Z134="",0,Z134),"0")+IFERROR(IF(Z135="",0,Z135),"0")</f>
        <v>0.16275000000000001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66</v>
      </c>
      <c r="Y137" s="541">
        <f>IFERROR(SUM(Y134:Y135),"0")</f>
        <v>66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64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69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73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59" t="s">
        <v>249</v>
      </c>
      <c r="Q151" s="544"/>
      <c r="R151" s="544"/>
      <c r="S151" s="544"/>
      <c r="T151" s="545"/>
      <c r="U151" s="34"/>
      <c r="V151" s="34"/>
      <c r="W151" s="35" t="s">
        <v>69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251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252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135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69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64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69</v>
      </c>
      <c r="X161" s="539">
        <v>50</v>
      </c>
      <c r="Y161" s="540">
        <f t="shared" ref="Y161:Y170" si="5">IFERROR(IF(X161="",0,CEILING((X161/$H161),1)*$H161),"")</f>
        <v>50.400000000000006</v>
      </c>
      <c r="Z161" s="36">
        <f>IFERROR(IF(Y161=0,"",ROUNDUP(Y161/H161,0)*0.00902),"")</f>
        <v>0.10824</v>
      </c>
      <c r="AA161" s="56"/>
      <c r="AB161" s="57"/>
      <c r="AC161" s="191" t="s">
        <v>258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52.976190476190474</v>
      </c>
      <c r="BN161" s="64">
        <f t="shared" ref="BN161:BN170" si="7">IFERROR(Y161*I161/H161,"0")</f>
        <v>53.400000000000006</v>
      </c>
      <c r="BO161" s="64">
        <f t="shared" ref="BO161:BO170" si="8">IFERROR(1/J161*(X161/H161),"0")</f>
        <v>9.0187590187590191E-2</v>
      </c>
      <c r="BP161" s="64">
        <f t="shared" ref="BP161:BP170" si="9">IFERROR(1/J161*(Y161/H161),"0")</f>
        <v>9.0909090909090912E-2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30</v>
      </c>
      <c r="Y162" s="540">
        <f t="shared" si="5"/>
        <v>33.6</v>
      </c>
      <c r="Z162" s="36">
        <f>IFERROR(IF(Y162=0,"",ROUNDUP(Y162/H162,0)*0.00902),"")</f>
        <v>7.2160000000000002E-2</v>
      </c>
      <c r="AA162" s="56"/>
      <c r="AB162" s="57"/>
      <c r="AC162" s="193" t="s">
        <v>261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31.785714285714285</v>
      </c>
      <c r="BN162" s="64">
        <f t="shared" si="7"/>
        <v>35.6</v>
      </c>
      <c r="BO162" s="64">
        <f t="shared" si="8"/>
        <v>5.4112554112554112E-2</v>
      </c>
      <c r="BP162" s="64">
        <f t="shared" si="9"/>
        <v>6.0606060606060608E-2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80</v>
      </c>
      <c r="Y163" s="540">
        <f t="shared" si="5"/>
        <v>84</v>
      </c>
      <c r="Z163" s="36">
        <f>IFERROR(IF(Y163=0,"",ROUNDUP(Y163/H163,0)*0.00902),"")</f>
        <v>0.1804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83.619047619047606</v>
      </c>
      <c r="BN163" s="64">
        <f t="shared" si="7"/>
        <v>87.8</v>
      </c>
      <c r="BO163" s="64">
        <f t="shared" si="8"/>
        <v>0.14430014430014429</v>
      </c>
      <c r="BP163" s="64">
        <f t="shared" si="9"/>
        <v>0.15151515151515152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70</v>
      </c>
      <c r="Y164" s="540">
        <f t="shared" si="5"/>
        <v>71.400000000000006</v>
      </c>
      <c r="Z164" s="36">
        <f>IFERROR(IF(Y164=0,"",ROUNDUP(Y164/H164,0)*0.00502),"")</f>
        <v>0.17068</v>
      </c>
      <c r="AA164" s="56"/>
      <c r="AB164" s="57"/>
      <c r="AC164" s="197" t="s">
        <v>258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74.333333333333329</v>
      </c>
      <c r="BN164" s="64">
        <f t="shared" si="7"/>
        <v>75.820000000000007</v>
      </c>
      <c r="BO164" s="64">
        <f t="shared" si="8"/>
        <v>0.14245014245014245</v>
      </c>
      <c r="BP164" s="64">
        <f t="shared" si="9"/>
        <v>0.14529914529914531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8" t="s">
        <v>270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87.5</v>
      </c>
      <c r="Y166" s="540">
        <f t="shared" si="5"/>
        <v>88.2</v>
      </c>
      <c r="Z166" s="36">
        <f>IFERROR(IF(Y166=0,"",ROUNDUP(Y166/H166,0)*0.00502),"")</f>
        <v>0.21084</v>
      </c>
      <c r="AA166" s="56"/>
      <c r="AB166" s="57"/>
      <c r="AC166" s="201" t="s">
        <v>261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92.916666666666657</v>
      </c>
      <c r="BN166" s="64">
        <f t="shared" si="7"/>
        <v>93.66</v>
      </c>
      <c r="BO166" s="64">
        <f t="shared" si="8"/>
        <v>0.17806267806267806</v>
      </c>
      <c r="BP166" s="64">
        <f t="shared" si="9"/>
        <v>0.17948717948717952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140</v>
      </c>
      <c r="Y168" s="540">
        <f t="shared" si="5"/>
        <v>140.70000000000002</v>
      </c>
      <c r="Z168" s="36">
        <f>IFERROR(IF(Y168=0,"",ROUNDUP(Y168/H168,0)*0.00502),"")</f>
        <v>0.33634000000000003</v>
      </c>
      <c r="AA168" s="56"/>
      <c r="AB168" s="57"/>
      <c r="AC168" s="205" t="s">
        <v>264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146.66666666666666</v>
      </c>
      <c r="BN168" s="64">
        <f t="shared" si="7"/>
        <v>147.40000000000003</v>
      </c>
      <c r="BO168" s="64">
        <f t="shared" si="8"/>
        <v>0.28490028490028491</v>
      </c>
      <c r="BP168" s="64">
        <f t="shared" si="9"/>
        <v>0.28632478632478636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179.76190476190473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183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1.07866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IFERROR(SUM(X161:X170),"0")</f>
        <v>457.5</v>
      </c>
      <c r="Y172" s="541">
        <f>IFERROR(SUM(Y161:Y170),"0")</f>
        <v>468.30000000000007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7.0000000000000009</v>
      </c>
      <c r="Y174" s="540">
        <f>IFERROR(IF(X174="",0,CEILING((X174/$H174),1)*$H174),"")</f>
        <v>7.5600000000000005</v>
      </c>
      <c r="Z174" s="36">
        <f>IFERROR(IF(Y174=0,"",ROUNDUP(Y174/H174,0)*0.0059),"")</f>
        <v>3.5400000000000001E-2</v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8.0555555555555554</v>
      </c>
      <c r="BN174" s="64">
        <f>IFERROR(Y174*I174/H174,"0")</f>
        <v>8.6999999999999993</v>
      </c>
      <c r="BO174" s="64">
        <f>IFERROR(1/J174*(X174/H174),"0")</f>
        <v>2.5720164609053499E-2</v>
      </c>
      <c r="BP174" s="64">
        <f>IFERROR(1/J174*(Y174/H174),"0")</f>
        <v>2.7777777777777776E-2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7.0000000000000009</v>
      </c>
      <c r="Y175" s="540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7.0000000000000009</v>
      </c>
      <c r="Y176" s="540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16.666666666666668</v>
      </c>
      <c r="Y177" s="541">
        <f>IFERROR(Y174/H174,"0")+IFERROR(Y175/H175,"0")+IFERROR(Y176/H176,"0")</f>
        <v>18</v>
      </c>
      <c r="Z177" s="541">
        <f>IFERROR(IF(Z174="",0,Z174),"0")+IFERROR(IF(Z175="",0,Z175),"0")+IFERROR(IF(Z176="",0,Z176),"0")</f>
        <v>0.1062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21.000000000000004</v>
      </c>
      <c r="Y178" s="541">
        <f>IFERROR(SUM(Y174:Y176),"0")</f>
        <v>22.68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3.5</v>
      </c>
      <c r="Y180" s="540">
        <f>IFERROR(IF(X180="",0,CEILING((X180/$H180),1)*$H180),"")</f>
        <v>3.7800000000000002</v>
      </c>
      <c r="Z180" s="36">
        <f>IFERROR(IF(Y180=0,"",ROUNDUP(Y180/H180,0)*0.0059),"")</f>
        <v>1.77E-2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4.0277777777777777</v>
      </c>
      <c r="BN180" s="64">
        <f>IFERROR(Y180*I180/H180,"0")</f>
        <v>4.3499999999999996</v>
      </c>
      <c r="BO180" s="64">
        <f>IFERROR(1/J180*(X180/H180),"0")</f>
        <v>1.2860082304526748E-2</v>
      </c>
      <c r="BP180" s="64">
        <f>IFERROR(1/J180*(Y180/H180),"0")</f>
        <v>1.3888888888888888E-2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2.7777777777777777</v>
      </c>
      <c r="Y181" s="541">
        <f>IFERROR(Y180/H180,"0")</f>
        <v>3</v>
      </c>
      <c r="Z181" s="541">
        <f>IFERROR(IF(Z180="",0,Z180),"0")</f>
        <v>1.77E-2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3.5</v>
      </c>
      <c r="Y182" s="541">
        <f>IFERROR(SUM(Y180:Y180),"0")</f>
        <v>3.7800000000000002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50</v>
      </c>
      <c r="Y196" s="540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400</v>
      </c>
      <c r="Y197" s="540">
        <f t="shared" si="10"/>
        <v>405</v>
      </c>
      <c r="Z197" s="36">
        <f>IFERROR(IF(Y197=0,"",ROUNDUP(Y197/H197,0)*0.00902),"")</f>
        <v>0.67649999999999999</v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414.07407407407402</v>
      </c>
      <c r="BN197" s="64">
        <f t="shared" si="12"/>
        <v>419.24999999999994</v>
      </c>
      <c r="BO197" s="64">
        <f t="shared" si="13"/>
        <v>0.5611672278338945</v>
      </c>
      <c r="BP197" s="64">
        <f t="shared" si="14"/>
        <v>0.56818181818181823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90</v>
      </c>
      <c r="Y198" s="540">
        <f t="shared" si="10"/>
        <v>91.800000000000011</v>
      </c>
      <c r="Z198" s="36">
        <f>IFERROR(IF(Y198=0,"",ROUNDUP(Y198/H198,0)*0.00902),"")</f>
        <v>0.15334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93.166666666666657</v>
      </c>
      <c r="BN198" s="64">
        <f t="shared" si="12"/>
        <v>95.03</v>
      </c>
      <c r="BO198" s="64">
        <f t="shared" si="13"/>
        <v>0.12626262626262624</v>
      </c>
      <c r="BP198" s="64">
        <f t="shared" si="14"/>
        <v>0.12878787878787878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120</v>
      </c>
      <c r="Y199" s="540">
        <f t="shared" si="10"/>
        <v>120.60000000000001</v>
      </c>
      <c r="Z199" s="36">
        <f>IFERROR(IF(Y199=0,"",ROUNDUP(Y199/H199,0)*0.00502),"")</f>
        <v>0.33634000000000003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128.66666666666666</v>
      </c>
      <c r="BN199" s="64">
        <f t="shared" si="12"/>
        <v>129.31</v>
      </c>
      <c r="BO199" s="64">
        <f t="shared" si="13"/>
        <v>0.28490028490028496</v>
      </c>
      <c r="BP199" s="64">
        <f t="shared" si="14"/>
        <v>0.28632478632478636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60</v>
      </c>
      <c r="Y200" s="540">
        <f t="shared" si="10"/>
        <v>61.2</v>
      </c>
      <c r="Z200" s="36">
        <f>IFERROR(IF(Y200=0,"",ROUNDUP(Y200/H200,0)*0.00502),"")</f>
        <v>0.17068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63.333333333333329</v>
      </c>
      <c r="BN200" s="64">
        <f t="shared" si="12"/>
        <v>64.599999999999994</v>
      </c>
      <c r="BO200" s="64">
        <f t="shared" si="13"/>
        <v>0.14245014245014248</v>
      </c>
      <c r="BP200" s="64">
        <f t="shared" si="14"/>
        <v>0.14529914529914531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267</v>
      </c>
      <c r="M201" s="33" t="s">
        <v>68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120</v>
      </c>
      <c r="Y201" s="540">
        <f t="shared" si="10"/>
        <v>120.60000000000001</v>
      </c>
      <c r="Z201" s="36">
        <f>IFERROR(IF(Y201=0,"",ROUNDUP(Y201/H201,0)*0.00502),"")</f>
        <v>0.33634000000000003</v>
      </c>
      <c r="AA201" s="56"/>
      <c r="AB201" s="57"/>
      <c r="AC201" s="239" t="s">
        <v>316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126.66666666666666</v>
      </c>
      <c r="BN201" s="64">
        <f t="shared" si="12"/>
        <v>127.30000000000001</v>
      </c>
      <c r="BO201" s="64">
        <f t="shared" si="13"/>
        <v>0.28490028490028496</v>
      </c>
      <c r="BP201" s="64">
        <f t="shared" si="14"/>
        <v>0.28632478632478636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60</v>
      </c>
      <c r="Y202" s="540">
        <f t="shared" si="10"/>
        <v>61.2</v>
      </c>
      <c r="Z202" s="36">
        <f>IFERROR(IF(Y202=0,"",ROUNDUP(Y202/H202,0)*0.00502),"")</f>
        <v>0.17068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63.333333333333329</v>
      </c>
      <c r="BN202" s="64">
        <f t="shared" si="12"/>
        <v>64.599999999999994</v>
      </c>
      <c r="BO202" s="64">
        <f t="shared" si="13"/>
        <v>0.14245014245014248</v>
      </c>
      <c r="BP202" s="64">
        <f t="shared" si="14"/>
        <v>0.14529914529914531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300</v>
      </c>
      <c r="Y203" s="541">
        <f>IFERROR(Y195/H195,"0")+IFERROR(Y196/H196,"0")+IFERROR(Y197/H197,"0")+IFERROR(Y198/H198,"0")+IFERROR(Y199/H199,"0")+IFERROR(Y200/H200,"0")+IFERROR(Y201/H201,"0")+IFERROR(Y202/H202,"0")</f>
        <v>304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1.93408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900</v>
      </c>
      <c r="Y204" s="541">
        <f>IFERROR(SUM(Y195:Y202),"0")</f>
        <v>914.40000000000009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200</v>
      </c>
      <c r="Y208" s="540">
        <f t="shared" si="15"/>
        <v>200.1</v>
      </c>
      <c r="Z208" s="36">
        <f>IFERROR(IF(Y208=0,"",ROUNDUP(Y208/H208,0)*0.01898),"")</f>
        <v>0.43653999999999998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211.35632183908049</v>
      </c>
      <c r="BN208" s="64">
        <f t="shared" si="17"/>
        <v>211.46200000000005</v>
      </c>
      <c r="BO208" s="64">
        <f t="shared" si="18"/>
        <v>0.35919540229885061</v>
      </c>
      <c r="BP208" s="64">
        <f t="shared" si="19"/>
        <v>0.359375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280</v>
      </c>
      <c r="Y209" s="540">
        <f t="shared" si="15"/>
        <v>280.8</v>
      </c>
      <c r="Z209" s="36">
        <f t="shared" ref="Z209:Z214" si="20">IFERROR(IF(Y209=0,"",ROUNDUP(Y209/H209,0)*0.00651),"")</f>
        <v>0.76167000000000007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311.5</v>
      </c>
      <c r="BN209" s="64">
        <f t="shared" si="17"/>
        <v>312.39</v>
      </c>
      <c r="BO209" s="64">
        <f t="shared" si="18"/>
        <v>0.64102564102564108</v>
      </c>
      <c r="BP209" s="64">
        <f t="shared" si="19"/>
        <v>0.64285714285714302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520</v>
      </c>
      <c r="Y211" s="540">
        <f t="shared" si="15"/>
        <v>520.79999999999995</v>
      </c>
      <c r="Z211" s="36">
        <f t="shared" si="20"/>
        <v>1.4126700000000001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574.6</v>
      </c>
      <c r="BN211" s="64">
        <f t="shared" si="17"/>
        <v>575.48400000000004</v>
      </c>
      <c r="BO211" s="64">
        <f t="shared" si="18"/>
        <v>1.1904761904761907</v>
      </c>
      <c r="BP211" s="64">
        <f t="shared" si="19"/>
        <v>1.1923076923076923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120</v>
      </c>
      <c r="Y213" s="540">
        <f t="shared" si="15"/>
        <v>120</v>
      </c>
      <c r="Z213" s="36">
        <f t="shared" si="20"/>
        <v>0.32550000000000001</v>
      </c>
      <c r="AA213" s="56"/>
      <c r="AB213" s="57"/>
      <c r="AC213" s="257" t="s">
        <v>347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132.60000000000002</v>
      </c>
      <c r="BN213" s="64">
        <f t="shared" si="17"/>
        <v>132.60000000000002</v>
      </c>
      <c r="BO213" s="64">
        <f t="shared" si="18"/>
        <v>0.27472527472527475</v>
      </c>
      <c r="BP213" s="64">
        <f t="shared" si="19"/>
        <v>0.27472527472527475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200</v>
      </c>
      <c r="Y214" s="540">
        <f t="shared" si="15"/>
        <v>201.6</v>
      </c>
      <c r="Z214" s="36">
        <f t="shared" si="20"/>
        <v>0.54683999999999999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221.50000000000003</v>
      </c>
      <c r="BN214" s="64">
        <f t="shared" si="17"/>
        <v>223.27200000000002</v>
      </c>
      <c r="BO214" s="64">
        <f t="shared" si="18"/>
        <v>0.45787545787545797</v>
      </c>
      <c r="BP214" s="64">
        <f t="shared" si="19"/>
        <v>0.46153846153846156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489.65517241379314</v>
      </c>
      <c r="Y215" s="541">
        <f>IFERROR(Y206/H206,"0")+IFERROR(Y207/H207,"0")+IFERROR(Y208/H208,"0")+IFERROR(Y209/H209,"0")+IFERROR(Y210/H210,"0")+IFERROR(Y211/H211,"0")+IFERROR(Y212/H212,"0")+IFERROR(Y213/H213,"0")+IFERROR(Y214/H214,"0")</f>
        <v>491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3.4832199999999998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1320</v>
      </c>
      <c r="Y216" s="541">
        <f>IFERROR(SUM(Y206:Y214),"0")</f>
        <v>1323.2999999999997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12</v>
      </c>
      <c r="Y218" s="540">
        <f>IFERROR(IF(X218="",0,CEILING((X218/$H218),1)*$H218),"")</f>
        <v>12</v>
      </c>
      <c r="Z218" s="36">
        <f>IFERROR(IF(Y218=0,"",ROUNDUP(Y218/H218,0)*0.00651),"")</f>
        <v>3.2550000000000003E-2</v>
      </c>
      <c r="AA218" s="56"/>
      <c r="AB218" s="57"/>
      <c r="AC218" s="261" t="s">
        <v>352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13.260000000000002</v>
      </c>
      <c r="BN218" s="64">
        <f>IFERROR(Y218*I218/H218,"0")</f>
        <v>13.260000000000002</v>
      </c>
      <c r="BO218" s="64">
        <f>IFERROR(1/J218*(X218/H218),"0")</f>
        <v>2.7472527472527476E-2</v>
      </c>
      <c r="BP218" s="64">
        <f>IFERROR(1/J218*(Y218/H218),"0")</f>
        <v>2.7472527472527476E-2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32</v>
      </c>
      <c r="Y219" s="540">
        <f>IFERROR(IF(X219="",0,CEILING((X219/$H219),1)*$H219),"")</f>
        <v>33.6</v>
      </c>
      <c r="Z219" s="36">
        <f>IFERROR(IF(Y219=0,"",ROUNDUP(Y219/H219,0)*0.00651),"")</f>
        <v>9.1139999999999999E-2</v>
      </c>
      <c r="AA219" s="56"/>
      <c r="AB219" s="57"/>
      <c r="AC219" s="263" t="s">
        <v>355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35.360000000000007</v>
      </c>
      <c r="BN219" s="64">
        <f>IFERROR(Y219*I219/H219,"0")</f>
        <v>37.128000000000007</v>
      </c>
      <c r="BO219" s="64">
        <f>IFERROR(1/J219*(X219/H219),"0")</f>
        <v>7.3260073260073263E-2</v>
      </c>
      <c r="BP219" s="64">
        <f>IFERROR(1/J219*(Y219/H219),"0")</f>
        <v>7.6923076923076941E-2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18.333333333333336</v>
      </c>
      <c r="Y220" s="541">
        <f>IFERROR(Y218/H218,"0")+IFERROR(Y219/H219,"0")</f>
        <v>19</v>
      </c>
      <c r="Z220" s="541">
        <f>IFERROR(IF(Z218="",0,Z218),"0")+IFERROR(IF(Z219="",0,Z219),"0")</f>
        <v>0.12368999999999999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44</v>
      </c>
      <c r="Y221" s="541">
        <f>IFERROR(SUM(Y218:Y219),"0")</f>
        <v>45.6</v>
      </c>
      <c r="Z221" s="37"/>
      <c r="AA221" s="542"/>
      <c r="AB221" s="542"/>
      <c r="AC221" s="542"/>
    </row>
    <row r="222" spans="1:68" ht="16.5" customHeight="1" x14ac:dyDescent="0.25">
      <c r="A222" s="552" t="s">
        <v>356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10</v>
      </c>
      <c r="Y224" s="540">
        <f t="shared" ref="Y224:Y233" si="21">IFERROR(IF(X224="",0,CEILING((X224/$H224),1)*$H224),"")</f>
        <v>11.6</v>
      </c>
      <c r="Z224" s="36">
        <f>IFERROR(IF(Y224=0,"",ROUNDUP(Y224/H224,0)*0.01898),"")</f>
        <v>1.898E-2</v>
      </c>
      <c r="AA224" s="56"/>
      <c r="AB224" s="57"/>
      <c r="AC224" s="265" t="s">
        <v>359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10.353448275862069</v>
      </c>
      <c r="BN224" s="64">
        <f t="shared" ref="BN224:BN233" si="23">IFERROR(Y224*I224/H224,"0")</f>
        <v>12.01</v>
      </c>
      <c r="BO224" s="64">
        <f t="shared" ref="BO224:BO233" si="24">IFERROR(1/J224*(X224/H224),"0")</f>
        <v>1.3469827586206897E-2</v>
      </c>
      <c r="BP224" s="64">
        <f t="shared" ref="BP224:BP233" si="25">IFERROR(1/J224*(Y224/H224),"0")</f>
        <v>1.5625E-2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30</v>
      </c>
      <c r="Y226" s="540">
        <f t="shared" si="21"/>
        <v>34.799999999999997</v>
      </c>
      <c r="Z226" s="36">
        <f>IFERROR(IF(Y226=0,"",ROUNDUP(Y226/H226,0)*0.01898),"")</f>
        <v>5.6940000000000004E-2</v>
      </c>
      <c r="AA226" s="56"/>
      <c r="AB226" s="57"/>
      <c r="AC226" s="269" t="s">
        <v>365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31.06034482758621</v>
      </c>
      <c r="BN226" s="64">
        <f t="shared" si="23"/>
        <v>36.03</v>
      </c>
      <c r="BO226" s="64">
        <f t="shared" si="24"/>
        <v>4.0409482758620691E-2</v>
      </c>
      <c r="BP226" s="64">
        <f t="shared" si="25"/>
        <v>4.6875E-2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48</v>
      </c>
      <c r="Y232" s="540">
        <f t="shared" si="21"/>
        <v>48</v>
      </c>
      <c r="Z232" s="36">
        <f>IFERROR(IF(Y232=0,"",ROUNDUP(Y232/H232,0)*0.00902),"")</f>
        <v>0.10824</v>
      </c>
      <c r="AA232" s="56"/>
      <c r="AB232" s="57"/>
      <c r="AC232" s="281" t="s">
        <v>365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50.28</v>
      </c>
      <c r="BN232" s="64">
        <f t="shared" si="23"/>
        <v>50.28</v>
      </c>
      <c r="BO232" s="64">
        <f t="shared" si="24"/>
        <v>9.0909090909090912E-2</v>
      </c>
      <c r="BP232" s="64">
        <f t="shared" si="25"/>
        <v>9.0909090909090912E-2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15.448275862068966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16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0.18415999999999999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88</v>
      </c>
      <c r="Y235" s="541">
        <f>IFERROR(SUM(Y224:Y233),"0")</f>
        <v>94.4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382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386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3.5</v>
      </c>
      <c r="Y246" s="540">
        <f>IFERROR(IF(X246="",0,CEILING((X246/$H246),1)*$H246),"")</f>
        <v>3.6</v>
      </c>
      <c r="Z246" s="36">
        <f>IFERROR(IF(Y246=0,"",ROUNDUP(Y246/H246,0)*0.0059),"")</f>
        <v>1.18E-2</v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3.8402777777777781</v>
      </c>
      <c r="BN246" s="64">
        <f>IFERROR(Y246*I246/H246,"0")</f>
        <v>3.95</v>
      </c>
      <c r="BO246" s="64">
        <f>IFERROR(1/J246*(X246/H246),"0")</f>
        <v>9.0020576131687232E-3</v>
      </c>
      <c r="BP246" s="64">
        <f>IFERROR(1/J246*(Y246/H246),"0")</f>
        <v>9.2592592592592587E-3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1.9444444444444444</v>
      </c>
      <c r="Y250" s="541">
        <f>IFERROR(Y245/H245,"0")+IFERROR(Y246/H246,"0")+IFERROR(Y247/H247,"0")+IFERROR(Y248/H248,"0")+IFERROR(Y249/H249,"0")</f>
        <v>2</v>
      </c>
      <c r="Z250" s="541">
        <f>IFERROR(IF(Z245="",0,Z245),"0")+IFERROR(IF(Z246="",0,Z246),"0")+IFERROR(IF(Z247="",0,Z247),"0")+IFERROR(IF(Z248="",0,Z248),"0")+IFERROR(IF(Z249="",0,Z249),"0")</f>
        <v>1.18E-2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3.5</v>
      </c>
      <c r="Y251" s="541">
        <f>IFERROR(SUM(Y245:Y249),"0")</f>
        <v>3.6</v>
      </c>
      <c r="Z251" s="37"/>
      <c r="AA251" s="542"/>
      <c r="AB251" s="542"/>
      <c r="AC251" s="542"/>
    </row>
    <row r="252" spans="1:68" ht="16.5" customHeight="1" x14ac:dyDescent="0.25">
      <c r="A252" s="552" t="s">
        <v>398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414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425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80</v>
      </c>
      <c r="Y272" s="540">
        <f>IFERROR(IF(X272="",0,CEILING((X272/$H272),1)*$H272),"")</f>
        <v>81.599999999999994</v>
      </c>
      <c r="Z272" s="36">
        <f>IFERROR(IF(Y272=0,"",ROUNDUP(Y272/H272,0)*0.00651),"")</f>
        <v>0.22134000000000001</v>
      </c>
      <c r="AA272" s="56"/>
      <c r="AB272" s="57"/>
      <c r="AC272" s="319" t="s">
        <v>431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88.40000000000002</v>
      </c>
      <c r="BN272" s="64">
        <f>IFERROR(Y272*I272/H272,"0")</f>
        <v>90.168000000000006</v>
      </c>
      <c r="BO272" s="64">
        <f>IFERROR(1/J272*(X272/H272),"0")</f>
        <v>0.18315018315018317</v>
      </c>
      <c r="BP272" s="64">
        <f>IFERROR(1/J272*(Y272/H272),"0")</f>
        <v>0.18681318681318682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140</v>
      </c>
      <c r="Y273" s="540">
        <f>IFERROR(IF(X273="",0,CEILING((X273/$H273),1)*$H273),"")</f>
        <v>141.6</v>
      </c>
      <c r="Z273" s="36">
        <f>IFERROR(IF(Y273=0,"",ROUNDUP(Y273/H273,0)*0.00651),"")</f>
        <v>0.38408999999999999</v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150.5</v>
      </c>
      <c r="BN273" s="64">
        <f>IFERROR(Y273*I273/H273,"0")</f>
        <v>152.22</v>
      </c>
      <c r="BO273" s="64">
        <f>IFERROR(1/J273*(X273/H273),"0")</f>
        <v>0.32051282051282054</v>
      </c>
      <c r="BP273" s="64">
        <f>IFERROR(1/J273*(Y273/H273),"0")</f>
        <v>0.32417582417582419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91.666666666666671</v>
      </c>
      <c r="Y274" s="541">
        <f>IFERROR(Y271/H271,"0")+IFERROR(Y272/H272,"0")+IFERROR(Y273/H273,"0")</f>
        <v>93</v>
      </c>
      <c r="Z274" s="541">
        <f>IFERROR(IF(Z271="",0,Z271),"0")+IFERROR(IF(Z272="",0,Z272),"0")+IFERROR(IF(Z273="",0,Z273),"0")</f>
        <v>0.60543000000000002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220</v>
      </c>
      <c r="Y275" s="541">
        <f>IFERROR(SUM(Y271:Y273),"0")</f>
        <v>223.2</v>
      </c>
      <c r="Z275" s="37"/>
      <c r="AA275" s="542"/>
      <c r="AB275" s="542"/>
      <c r="AC275" s="542"/>
    </row>
    <row r="276" spans="1:68" ht="16.5" customHeight="1" x14ac:dyDescent="0.25">
      <c r="A276" s="552" t="s">
        <v>434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3" t="s">
        <v>446</v>
      </c>
      <c r="Q284" s="544"/>
      <c r="R284" s="544"/>
      <c r="S284" s="544"/>
      <c r="T284" s="545"/>
      <c r="U284" s="34"/>
      <c r="V284" s="34"/>
      <c r="W284" s="35" t="s">
        <v>69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448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99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69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64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67</v>
      </c>
      <c r="L300" s="32" t="s">
        <v>267</v>
      </c>
      <c r="M300" s="33" t="s">
        <v>68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175</v>
      </c>
      <c r="Y301" s="540">
        <f t="shared" si="26"/>
        <v>176.4</v>
      </c>
      <c r="Z301" s="36">
        <f>IFERROR(IF(Y301=0,"",ROUNDUP(Y301/H301,0)*0.00502),"")</f>
        <v>0.42168</v>
      </c>
      <c r="AA301" s="56"/>
      <c r="AB301" s="57"/>
      <c r="AC301" s="349" t="s">
        <v>476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183.33333333333334</v>
      </c>
      <c r="BN301" s="64">
        <f t="shared" si="28"/>
        <v>184.8</v>
      </c>
      <c r="BO301" s="64">
        <f t="shared" si="29"/>
        <v>0.35612535612535612</v>
      </c>
      <c r="BP301" s="64">
        <f t="shared" si="30"/>
        <v>0.35897435897435903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69</v>
      </c>
      <c r="X303" s="539">
        <v>21</v>
      </c>
      <c r="Y303" s="540">
        <f t="shared" si="26"/>
        <v>21.6</v>
      </c>
      <c r="Z303" s="36">
        <f>IFERROR(IF(Y303=0,"",ROUNDUP(Y303/H303,0)*0.00651),"")</f>
        <v>7.8119999999999995E-2</v>
      </c>
      <c r="AA303" s="56"/>
      <c r="AB303" s="57"/>
      <c r="AC303" s="353" t="s">
        <v>481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23.66</v>
      </c>
      <c r="BN303" s="64">
        <f t="shared" si="28"/>
        <v>24.335999999999999</v>
      </c>
      <c r="BO303" s="64">
        <f t="shared" si="29"/>
        <v>6.4102564102564111E-2</v>
      </c>
      <c r="BP303" s="64">
        <f t="shared" si="30"/>
        <v>6.5934065934065936E-2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1">
        <f>IFERROR(X297/H297,"0")+IFERROR(X298/H298,"0")+IFERROR(X299/H299,"0")+IFERROR(X300/H300,"0")+IFERROR(X301/H301,"0")+IFERROR(X302/H302,"0")+IFERROR(X303/H303,"0")</f>
        <v>95</v>
      </c>
      <c r="Y304" s="541">
        <f>IFERROR(Y297/H297,"0")+IFERROR(Y298/H298,"0")+IFERROR(Y299/H299,"0")+IFERROR(Y300/H300,"0")+IFERROR(Y301/H301,"0")+IFERROR(Y302/H302,"0")+IFERROR(Y303/H303,"0")</f>
        <v>96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0.49980000000000002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1">
        <f>IFERROR(SUM(X297:X303),"0")</f>
        <v>196</v>
      </c>
      <c r="Y305" s="541">
        <f>IFERROR(SUM(Y297:Y303),"0")</f>
        <v>198</v>
      </c>
      <c r="Z305" s="37"/>
      <c r="AA305" s="542"/>
      <c r="AB305" s="542"/>
      <c r="AC305" s="542"/>
    </row>
    <row r="306" spans="1:68" ht="14.25" customHeight="1" x14ac:dyDescent="0.25">
      <c r="A306" s="554" t="s">
        <v>73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40</v>
      </c>
      <c r="Y314" s="540">
        <f>IFERROR(IF(X314="",0,CEILING((X314/$H314),1)*$H314),"")</f>
        <v>42</v>
      </c>
      <c r="Z314" s="36">
        <f>IFERROR(IF(Y314=0,"",ROUNDUP(Y314/H314,0)*0.01898),"")</f>
        <v>9.4899999999999998E-2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42.352380952380948</v>
      </c>
      <c r="BN314" s="64">
        <f>IFERROR(Y314*I314/H314,"0")</f>
        <v>44.47</v>
      </c>
      <c r="BO314" s="64">
        <f>IFERROR(1/J314*(X314/H314),"0")</f>
        <v>7.4404761904761904E-2</v>
      </c>
      <c r="BP314" s="64">
        <f>IFERROR(1/J314*(Y314/H314),"0")</f>
        <v>7.8125E-2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300</v>
      </c>
      <c r="Y315" s="540">
        <f>IFERROR(IF(X315="",0,CEILING((X315/$H315),1)*$H315),"")</f>
        <v>304.2</v>
      </c>
      <c r="Z315" s="36">
        <f>IFERROR(IF(Y315=0,"",ROUNDUP(Y315/H315,0)*0.01898),"")</f>
        <v>0.74021999999999999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319.00000000000006</v>
      </c>
      <c r="BN315" s="64">
        <f>IFERROR(Y315*I315/H315,"0")</f>
        <v>323.46600000000001</v>
      </c>
      <c r="BO315" s="64">
        <f>IFERROR(1/J315*(X315/H315),"0")</f>
        <v>0.60096153846153844</v>
      </c>
      <c r="BP315" s="64">
        <f>IFERROR(1/J315*(Y315/H315),"0")</f>
        <v>0.609375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300</v>
      </c>
      <c r="Y316" s="540">
        <f>IFERROR(IF(X316="",0,CEILING((X316/$H316),1)*$H316),"")</f>
        <v>302.40000000000003</v>
      </c>
      <c r="Z316" s="36">
        <f>IFERROR(IF(Y316=0,"",ROUNDUP(Y316/H316,0)*0.01898),"")</f>
        <v>0.68328</v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317.64285714285711</v>
      </c>
      <c r="BN316" s="64">
        <f>IFERROR(Y316*I316/H316,"0")</f>
        <v>320.18400000000003</v>
      </c>
      <c r="BO316" s="64">
        <f>IFERROR(1/J316*(X316/H316),"0")</f>
        <v>0.5580357142857143</v>
      </c>
      <c r="BP316" s="64">
        <f>IFERROR(1/J316*(Y316/H316),"0")</f>
        <v>0.5625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78.937728937728934</v>
      </c>
      <c r="Y317" s="541">
        <f>IFERROR(Y314/H314,"0")+IFERROR(Y315/H315,"0")+IFERROR(Y316/H316,"0")</f>
        <v>80</v>
      </c>
      <c r="Z317" s="541">
        <f>IFERROR(IF(Z314="",0,Z314),"0")+IFERROR(IF(Z315="",0,Z315),"0")+IFERROR(IF(Z316="",0,Z316),"0")</f>
        <v>1.5184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640</v>
      </c>
      <c r="Y318" s="541">
        <f>IFERROR(SUM(Y314:Y316),"0")</f>
        <v>648.6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510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513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514</v>
      </c>
      <c r="B327" s="54" t="s">
        <v>515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213</v>
      </c>
      <c r="M327" s="33" t="s">
        <v>516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517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518</v>
      </c>
      <c r="B328" s="54" t="s">
        <v>519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516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517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213</v>
      </c>
      <c r="M329" s="33" t="s">
        <v>516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517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522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523</v>
      </c>
      <c r="B334" s="54" t="s">
        <v>524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525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526</v>
      </c>
      <c r="B335" s="54" t="s">
        <v>527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1120</v>
      </c>
      <c r="Y335" s="540">
        <f>IFERROR(IF(X335="",0,CEILING((X335/$H335),1)*$H335),"")</f>
        <v>1121.4000000000001</v>
      </c>
      <c r="Z335" s="36">
        <f>IFERROR(IF(Y335=0,"",ROUNDUP(Y335/H335,0)*0.00651),"")</f>
        <v>3.47634</v>
      </c>
      <c r="AA335" s="56"/>
      <c r="AB335" s="57"/>
      <c r="AC335" s="385" t="s">
        <v>528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1254.3999999999999</v>
      </c>
      <c r="BN335" s="64">
        <f>IFERROR(Y335*I335/H335,"0")</f>
        <v>1255.9679999999998</v>
      </c>
      <c r="BO335" s="64">
        <f>IFERROR(1/J335*(X335/H335),"0")</f>
        <v>2.9304029304029302</v>
      </c>
      <c r="BP335" s="64">
        <f>IFERROR(1/J335*(Y335/H335),"0")</f>
        <v>2.9340659340659343</v>
      </c>
    </row>
    <row r="336" spans="1:68" ht="27" customHeight="1" x14ac:dyDescent="0.25">
      <c r="A336" s="54" t="s">
        <v>529</v>
      </c>
      <c r="B336" s="54" t="s">
        <v>530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420</v>
      </c>
      <c r="Y336" s="540">
        <f>IFERROR(IF(X336="",0,CEILING((X336/$H336),1)*$H336),"")</f>
        <v>420</v>
      </c>
      <c r="Z336" s="36">
        <f>IFERROR(IF(Y336=0,"",ROUNDUP(Y336/H336,0)*0.00651),"")</f>
        <v>1.302</v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467.99999999999994</v>
      </c>
      <c r="BN336" s="64">
        <f>IFERROR(Y336*I336/H336,"0")</f>
        <v>467.99999999999994</v>
      </c>
      <c r="BO336" s="64">
        <f>IFERROR(1/J336*(X336/H336),"0")</f>
        <v>1.098901098901099</v>
      </c>
      <c r="BP336" s="64">
        <f>IFERROR(1/J336*(Y336/H336),"0")</f>
        <v>1.098901098901099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733.33333333333326</v>
      </c>
      <c r="Y337" s="541">
        <f>IFERROR(Y334/H334,"0")+IFERROR(Y335/H335,"0")+IFERROR(Y336/H336,"0")</f>
        <v>734</v>
      </c>
      <c r="Z337" s="541">
        <f>IFERROR(IF(Z334="",0,Z334),"0")+IFERROR(IF(Z335="",0,Z335),"0")+IFERROR(IF(Z336="",0,Z336),"0")</f>
        <v>4.77834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1540</v>
      </c>
      <c r="Y338" s="541">
        <f>IFERROR(SUM(Y334:Y336),"0")</f>
        <v>1541.4</v>
      </c>
      <c r="Z338" s="37"/>
      <c r="AA338" s="542"/>
      <c r="AB338" s="542"/>
      <c r="AC338" s="542"/>
    </row>
    <row r="339" spans="1:68" ht="27.75" customHeight="1" x14ac:dyDescent="0.2">
      <c r="A339" s="693" t="s">
        <v>532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533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534</v>
      </c>
      <c r="B342" s="54" t="s">
        <v>535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1100</v>
      </c>
      <c r="Y342" s="540">
        <f t="shared" ref="Y342:Y348" si="31">IFERROR(IF(X342="",0,CEILING((X342/$H342),1)*$H342),"")</f>
        <v>1110</v>
      </c>
      <c r="Z342" s="36">
        <f>IFERROR(IF(Y342=0,"",ROUNDUP(Y342/H342,0)*0.02175),"")</f>
        <v>1.6094999999999999</v>
      </c>
      <c r="AA342" s="56"/>
      <c r="AB342" s="57"/>
      <c r="AC342" s="389" t="s">
        <v>536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1134.4666666666667</v>
      </c>
      <c r="BN342" s="64">
        <f t="shared" ref="BN342:BN348" si="33">IFERROR(Y342*I342/H342,"0")</f>
        <v>1144.78</v>
      </c>
      <c r="BO342" s="64">
        <f t="shared" ref="BO342:BO348" si="34">IFERROR(1/J342*(X342/H342),"0")</f>
        <v>1.5277777777777777</v>
      </c>
      <c r="BP342" s="64">
        <f t="shared" ref="BP342:BP348" si="35">IFERROR(1/J342*(Y342/H342),"0")</f>
        <v>1.5416666666666665</v>
      </c>
    </row>
    <row r="343" spans="1:68" ht="27" customHeight="1" x14ac:dyDescent="0.25">
      <c r="A343" s="54" t="s">
        <v>537</v>
      </c>
      <c r="B343" s="54" t="s">
        <v>538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1000</v>
      </c>
      <c r="Y343" s="540">
        <f t="shared" si="31"/>
        <v>1005</v>
      </c>
      <c r="Z343" s="36">
        <f>IFERROR(IF(Y343=0,"",ROUNDUP(Y343/H343,0)*0.02175),"")</f>
        <v>1.4572499999999999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si="32"/>
        <v>1031.3333333333333</v>
      </c>
      <c r="BN343" s="64">
        <f t="shared" si="33"/>
        <v>1036.49</v>
      </c>
      <c r="BO343" s="64">
        <f t="shared" si="34"/>
        <v>1.3888888888888888</v>
      </c>
      <c r="BP343" s="64">
        <f t="shared" si="35"/>
        <v>1.3958333333333333</v>
      </c>
    </row>
    <row r="344" spans="1:68" ht="37.5" customHeight="1" x14ac:dyDescent="0.25">
      <c r="A344" s="54" t="s">
        <v>540</v>
      </c>
      <c r="B344" s="54" t="s">
        <v>541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1600</v>
      </c>
      <c r="Y344" s="540">
        <f t="shared" si="31"/>
        <v>1605</v>
      </c>
      <c r="Z344" s="36">
        <f>IFERROR(IF(Y344=0,"",ROUNDUP(Y344/H344,0)*0.02175),"")</f>
        <v>2.3272499999999998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2"/>
        <v>1650.1333333333334</v>
      </c>
      <c r="BN344" s="64">
        <f t="shared" si="33"/>
        <v>1655.2900000000002</v>
      </c>
      <c r="BO344" s="64">
        <f t="shared" si="34"/>
        <v>2.2222222222222223</v>
      </c>
      <c r="BP344" s="64">
        <f t="shared" si="35"/>
        <v>2.2291666666666665</v>
      </c>
    </row>
    <row r="345" spans="1:68" ht="27" customHeight="1" x14ac:dyDescent="0.25">
      <c r="A345" s="54" t="s">
        <v>543</v>
      </c>
      <c r="B345" s="54" t="s">
        <v>544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250</v>
      </c>
      <c r="Y345" s="540">
        <f t="shared" si="31"/>
        <v>255</v>
      </c>
      <c r="Z345" s="36">
        <f>IFERROR(IF(Y345=0,"",ROUNDUP(Y345/H345,0)*0.02175),"")</f>
        <v>0.36974999999999997</v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2"/>
        <v>257.83333333333331</v>
      </c>
      <c r="BN345" s="64">
        <f t="shared" si="33"/>
        <v>262.99</v>
      </c>
      <c r="BO345" s="64">
        <f t="shared" si="34"/>
        <v>0.34722222222222221</v>
      </c>
      <c r="BP345" s="64">
        <f t="shared" si="35"/>
        <v>0.35416666666666663</v>
      </c>
    </row>
    <row r="346" spans="1:68" ht="27" customHeight="1" x14ac:dyDescent="0.25">
      <c r="A346" s="54" t="s">
        <v>546</v>
      </c>
      <c r="B346" s="54" t="s">
        <v>547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549</v>
      </c>
      <c r="B347" s="54" t="s">
        <v>550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539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551</v>
      </c>
      <c r="B348" s="54" t="s">
        <v>552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263.33333333333337</v>
      </c>
      <c r="Y349" s="541">
        <f>IFERROR(Y342/H342,"0")+IFERROR(Y343/H343,"0")+IFERROR(Y344/H344,"0")+IFERROR(Y345/H345,"0")+IFERROR(Y346/H346,"0")+IFERROR(Y347/H347,"0")+IFERROR(Y348/H348,"0")</f>
        <v>265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5.7637499999999999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3950</v>
      </c>
      <c r="Y350" s="541">
        <f>IFERROR(SUM(Y342:Y348),"0")</f>
        <v>3975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553</v>
      </c>
      <c r="B352" s="54" t="s">
        <v>554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1300</v>
      </c>
      <c r="Y352" s="540">
        <f>IFERROR(IF(X352="",0,CEILING((X352/$H352),1)*$H352),"")</f>
        <v>1305</v>
      </c>
      <c r="Z352" s="36">
        <f>IFERROR(IF(Y352=0,"",ROUNDUP(Y352/H352,0)*0.02175),"")</f>
        <v>1.8922499999999998</v>
      </c>
      <c r="AA352" s="56"/>
      <c r="AB352" s="57"/>
      <c r="AC352" s="403" t="s">
        <v>555</v>
      </c>
      <c r="AG352" s="64"/>
      <c r="AJ352" s="68"/>
      <c r="AK352" s="68">
        <v>0</v>
      </c>
      <c r="BB352" s="404" t="s">
        <v>1</v>
      </c>
      <c r="BM352" s="64">
        <f>IFERROR(X352*I352/H352,"0")</f>
        <v>1340.7333333333333</v>
      </c>
      <c r="BN352" s="64">
        <f>IFERROR(Y352*I352/H352,"0")</f>
        <v>1345.89</v>
      </c>
      <c r="BO352" s="64">
        <f>IFERROR(1/J352*(X352/H352),"0")</f>
        <v>1.8055555555555556</v>
      </c>
      <c r="BP352" s="64">
        <f>IFERROR(1/J352*(Y352/H352),"0")</f>
        <v>1.8125</v>
      </c>
    </row>
    <row r="353" spans="1:68" ht="16.5" customHeight="1" x14ac:dyDescent="0.25">
      <c r="A353" s="54" t="s">
        <v>556</v>
      </c>
      <c r="B353" s="54" t="s">
        <v>557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555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86.666666666666671</v>
      </c>
      <c r="Y354" s="541">
        <f>IFERROR(Y352/H352,"0")+IFERROR(Y353/H353,"0")</f>
        <v>87</v>
      </c>
      <c r="Z354" s="541">
        <f>IFERROR(IF(Z352="",0,Z352),"0")+IFERROR(IF(Z353="",0,Z353),"0")</f>
        <v>1.8922499999999998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1300</v>
      </c>
      <c r="Y355" s="541">
        <f>IFERROR(SUM(Y352:Y353),"0")</f>
        <v>1305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558</v>
      </c>
      <c r="B357" s="54" t="s">
        <v>559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50</v>
      </c>
      <c r="Y358" s="540">
        <f>IFERROR(IF(X358="",0,CEILING((X358/$H358),1)*$H358),"")</f>
        <v>54</v>
      </c>
      <c r="Z358" s="36">
        <f>IFERROR(IF(Y358=0,"",ROUNDUP(Y358/H358,0)*0.01898),"")</f>
        <v>0.11388000000000001</v>
      </c>
      <c r="AA358" s="56"/>
      <c r="AB358" s="57"/>
      <c r="AC358" s="409" t="s">
        <v>563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52.74444444444444</v>
      </c>
      <c r="BN358" s="64">
        <f>IFERROR(Y358*I358/H358,"0")</f>
        <v>56.963999999999992</v>
      </c>
      <c r="BO358" s="64">
        <f>IFERROR(1/J358*(X358/H358),"0")</f>
        <v>8.6805555555555552E-2</v>
      </c>
      <c r="BP358" s="64">
        <f>IFERROR(1/J358*(Y358/H358),"0")</f>
        <v>9.375E-2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5.5555555555555554</v>
      </c>
      <c r="Y359" s="541">
        <f>IFERROR(Y357/H357,"0")+IFERROR(Y358/H358,"0")</f>
        <v>6</v>
      </c>
      <c r="Z359" s="541">
        <f>IFERROR(IF(Z357="",0,Z357),"0")+IFERROR(IF(Z358="",0,Z358),"0")</f>
        <v>0.11388000000000001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50</v>
      </c>
      <c r="Y360" s="541">
        <f>IFERROR(SUM(Y357:Y358),"0")</f>
        <v>54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30</v>
      </c>
      <c r="Y362" s="540">
        <f>IFERROR(IF(X362="",0,CEILING((X362/$H362),1)*$H362),"")</f>
        <v>36</v>
      </c>
      <c r="Z362" s="36">
        <f>IFERROR(IF(Y362=0,"",ROUNDUP(Y362/H362,0)*0.01898),"")</f>
        <v>7.5920000000000001E-2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31.646666666666665</v>
      </c>
      <c r="BN362" s="64">
        <f>IFERROR(Y362*I362/H362,"0")</f>
        <v>37.975999999999999</v>
      </c>
      <c r="BO362" s="64">
        <f>IFERROR(1/J362*(X362/H362),"0")</f>
        <v>5.2083333333333336E-2</v>
      </c>
      <c r="BP362" s="64">
        <f>IFERROR(1/J362*(Y362/H362),"0")</f>
        <v>6.25E-2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3.3333333333333335</v>
      </c>
      <c r="Y363" s="541">
        <f>IFERROR(Y362/H362,"0")</f>
        <v>4</v>
      </c>
      <c r="Z363" s="541">
        <f>IFERROR(IF(Z362="",0,Z362),"0")</f>
        <v>7.5920000000000001E-2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30</v>
      </c>
      <c r="Y364" s="541">
        <f>IFERROR(SUM(Y362:Y362),"0")</f>
        <v>36</v>
      </c>
      <c r="Z364" s="37"/>
      <c r="AA364" s="542"/>
      <c r="AB364" s="542"/>
      <c r="AC364" s="542"/>
    </row>
    <row r="365" spans="1:68" ht="16.5" customHeight="1" x14ac:dyDescent="0.25">
      <c r="A365" s="552" t="s">
        <v>567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30</v>
      </c>
      <c r="Y367" s="540">
        <f>IFERROR(IF(X367="",0,CEILING((X367/$H367),1)*$H367),"")</f>
        <v>36</v>
      </c>
      <c r="Z367" s="36">
        <f>IFERROR(IF(Y367=0,"",ROUNDUP(Y367/H367,0)*0.01898),"")</f>
        <v>5.6940000000000004E-2</v>
      </c>
      <c r="AA367" s="56"/>
      <c r="AB367" s="57"/>
      <c r="AC367" s="413" t="s">
        <v>570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31.025000000000002</v>
      </c>
      <c r="BN367" s="64">
        <f>IFERROR(Y367*I367/H367,"0")</f>
        <v>37.229999999999997</v>
      </c>
      <c r="BO367" s="64">
        <f>IFERROR(1/J367*(X367/H367),"0")</f>
        <v>3.90625E-2</v>
      </c>
      <c r="BP367" s="64">
        <f>IFERROR(1/J367*(Y367/H367),"0")</f>
        <v>4.6875E-2</v>
      </c>
    </row>
    <row r="368" spans="1:68" ht="37.5" customHeight="1" x14ac:dyDescent="0.25">
      <c r="A368" s="54" t="s">
        <v>571</v>
      </c>
      <c r="B368" s="54" t="s">
        <v>572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2.5</v>
      </c>
      <c r="Y369" s="541">
        <f>IFERROR(Y367/H367,"0")+IFERROR(Y368/H368,"0")</f>
        <v>3</v>
      </c>
      <c r="Z369" s="541">
        <f>IFERROR(IF(Z367="",0,Z367),"0")+IFERROR(IF(Z368="",0,Z368),"0")</f>
        <v>5.6940000000000004E-2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30</v>
      </c>
      <c r="Y370" s="541">
        <f>IFERROR(SUM(Y367:Y368),"0")</f>
        <v>36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573</v>
      </c>
      <c r="B372" s="54" t="s">
        <v>574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573</v>
      </c>
      <c r="B373" s="54" t="s">
        <v>576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580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581</v>
      </c>
      <c r="B378" s="54" t="s">
        <v>582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693" t="s">
        <v>583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584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585</v>
      </c>
      <c r="B384" s="54" t="s">
        <v>586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587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588</v>
      </c>
      <c r="B385" s="54" t="s">
        <v>589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587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267</v>
      </c>
      <c r="M388" s="33" t="s">
        <v>68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14</v>
      </c>
      <c r="Y388" s="540">
        <f t="shared" si="36"/>
        <v>14.700000000000001</v>
      </c>
      <c r="Z388" s="36">
        <f t="shared" si="41"/>
        <v>3.5140000000000005E-2</v>
      </c>
      <c r="AA388" s="56"/>
      <c r="AB388" s="57"/>
      <c r="AC388" s="433" t="s">
        <v>587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14.866666666666665</v>
      </c>
      <c r="BN388" s="64">
        <f t="shared" si="38"/>
        <v>15.61</v>
      </c>
      <c r="BO388" s="64">
        <f t="shared" si="39"/>
        <v>2.8490028490028491E-2</v>
      </c>
      <c r="BP388" s="64">
        <f t="shared" si="40"/>
        <v>2.9914529914529919E-2</v>
      </c>
    </row>
    <row r="389" spans="1:68" ht="37.5" customHeight="1" x14ac:dyDescent="0.25">
      <c r="A389" s="54" t="s">
        <v>598</v>
      </c>
      <c r="B389" s="54" t="s">
        <v>599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267</v>
      </c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28</v>
      </c>
      <c r="Y389" s="540">
        <f t="shared" si="36"/>
        <v>29.400000000000002</v>
      </c>
      <c r="Z389" s="36">
        <f t="shared" si="41"/>
        <v>7.0280000000000009E-2</v>
      </c>
      <c r="AA389" s="56"/>
      <c r="AB389" s="57"/>
      <c r="AC389" s="435" t="s">
        <v>600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29.733333333333331</v>
      </c>
      <c r="BN389" s="64">
        <f t="shared" si="38"/>
        <v>31.22</v>
      </c>
      <c r="BO389" s="64">
        <f t="shared" si="39"/>
        <v>5.6980056980056981E-2</v>
      </c>
      <c r="BP389" s="64">
        <f t="shared" si="40"/>
        <v>5.9829059829059839E-2</v>
      </c>
    </row>
    <row r="390" spans="1:68" ht="27" customHeight="1" x14ac:dyDescent="0.25">
      <c r="A390" s="54" t="s">
        <v>601</v>
      </c>
      <c r="B390" s="54" t="s">
        <v>602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267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35</v>
      </c>
      <c r="Y391" s="540">
        <f t="shared" si="36"/>
        <v>35.700000000000003</v>
      </c>
      <c r="Z391" s="36">
        <f t="shared" si="41"/>
        <v>8.5339999999999999E-2</v>
      </c>
      <c r="AA391" s="56"/>
      <c r="AB391" s="57"/>
      <c r="AC391" s="439" t="s">
        <v>606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37.166666666666664</v>
      </c>
      <c r="BN391" s="64">
        <f t="shared" si="38"/>
        <v>37.910000000000004</v>
      </c>
      <c r="BO391" s="64">
        <f t="shared" si="39"/>
        <v>7.1225071225071226E-2</v>
      </c>
      <c r="BP391" s="64">
        <f t="shared" si="40"/>
        <v>7.2649572649572655E-2</v>
      </c>
    </row>
    <row r="392" spans="1:68" ht="37.5" customHeight="1" x14ac:dyDescent="0.25">
      <c r="A392" s="54" t="s">
        <v>607</v>
      </c>
      <c r="B392" s="54" t="s">
        <v>608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36.666666666666664</v>
      </c>
      <c r="Y393" s="541">
        <f>IFERROR(Y384/H384,"0")+IFERROR(Y385/H385,"0")+IFERROR(Y386/H386,"0")+IFERROR(Y387/H387,"0")+IFERROR(Y388/H388,"0")+IFERROR(Y389/H389,"0")+IFERROR(Y390/H390,"0")+IFERROR(Y391/H391,"0")+IFERROR(Y392/H392,"0")</f>
        <v>38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0.19076000000000001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77</v>
      </c>
      <c r="Y394" s="541">
        <f>IFERROR(SUM(Y384:Y392),"0")</f>
        <v>79.800000000000011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609</v>
      </c>
      <c r="B396" s="54" t="s">
        <v>610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611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612</v>
      </c>
      <c r="B397" s="54" t="s">
        <v>613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615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616</v>
      </c>
      <c r="B402" s="54" t="s">
        <v>617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618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619</v>
      </c>
      <c r="B406" s="54" t="s">
        <v>620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621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622</v>
      </c>
      <c r="B407" s="54" t="s">
        <v>623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10.5</v>
      </c>
      <c r="Y409" s="540">
        <f>IFERROR(IF(X409="",0,CEILING((X409/$H409),1)*$H409),"")</f>
        <v>10.5</v>
      </c>
      <c r="Z409" s="36">
        <f>IFERROR(IF(Y409=0,"",ROUNDUP(Y409/H409,0)*0.00502),"")</f>
        <v>2.5100000000000001E-2</v>
      </c>
      <c r="AA409" s="56"/>
      <c r="AB409" s="57"/>
      <c r="AC409" s="455" t="s">
        <v>627</v>
      </c>
      <c r="AG409" s="64"/>
      <c r="AJ409" s="68"/>
      <c r="AK409" s="68">
        <v>0</v>
      </c>
      <c r="BB409" s="456" t="s">
        <v>1</v>
      </c>
      <c r="BM409" s="64">
        <f>IFERROR(X409*I409/H409,"0")</f>
        <v>11.149999999999999</v>
      </c>
      <c r="BN409" s="64">
        <f>IFERROR(Y409*I409/H409,"0")</f>
        <v>11.149999999999999</v>
      </c>
      <c r="BO409" s="64">
        <f>IFERROR(1/J409*(X409/H409),"0")</f>
        <v>2.1367521367521368E-2</v>
      </c>
      <c r="BP409" s="64">
        <f>IFERROR(1/J409*(Y409/H409),"0")</f>
        <v>2.1367521367521368E-2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5</v>
      </c>
      <c r="Y410" s="541">
        <f>IFERROR(Y406/H406,"0")+IFERROR(Y407/H407,"0")+IFERROR(Y408/H408,"0")+IFERROR(Y409/H409,"0")</f>
        <v>5</v>
      </c>
      <c r="Z410" s="541">
        <f>IFERROR(IF(Z406="",0,Z406),"0")+IFERROR(IF(Z407="",0,Z407),"0")+IFERROR(IF(Z408="",0,Z408),"0")+IFERROR(IF(Z409="",0,Z409),"0")</f>
        <v>2.5100000000000001E-2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10.5</v>
      </c>
      <c r="Y411" s="541">
        <f>IFERROR(SUM(Y406:Y409),"0")</f>
        <v>10.5</v>
      </c>
      <c r="Z411" s="37"/>
      <c r="AA411" s="542"/>
      <c r="AB411" s="542"/>
      <c r="AC411" s="542"/>
    </row>
    <row r="412" spans="1:68" ht="16.5" customHeight="1" x14ac:dyDescent="0.25">
      <c r="A412" s="552" t="s">
        <v>630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631</v>
      </c>
      <c r="B414" s="54" t="s">
        <v>632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213</v>
      </c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30</v>
      </c>
      <c r="Y414" s="540">
        <f>IFERROR(IF(X414="",0,CEILING((X414/$H414),1)*$H414),"")</f>
        <v>30</v>
      </c>
      <c r="Z414" s="36">
        <f>IFERROR(IF(Y414=0,"",ROUNDUP(Y414/H414,0)*0.00651),"")</f>
        <v>0.16275000000000001</v>
      </c>
      <c r="AA414" s="56"/>
      <c r="AB414" s="57"/>
      <c r="AC414" s="457" t="s">
        <v>633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52.5</v>
      </c>
      <c r="BN414" s="64">
        <f>IFERROR(Y414*I414/H414,"0")</f>
        <v>52.5</v>
      </c>
      <c r="BO414" s="64">
        <f>IFERROR(1/J414*(X414/H414),"0")</f>
        <v>0.13736263736263737</v>
      </c>
      <c r="BP414" s="64">
        <f>IFERROR(1/J414*(Y414/H414),"0")</f>
        <v>0.13736263736263737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25</v>
      </c>
      <c r="Y415" s="541">
        <f>IFERROR(Y414/H414,"0")</f>
        <v>25</v>
      </c>
      <c r="Z415" s="541">
        <f>IFERROR(IF(Z414="",0,Z414),"0")</f>
        <v>0.16275000000000001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30</v>
      </c>
      <c r="Y416" s="541">
        <f>IFERROR(SUM(Y414:Y414),"0")</f>
        <v>30</v>
      </c>
      <c r="Z416" s="37"/>
      <c r="AA416" s="542"/>
      <c r="AB416" s="542"/>
      <c r="AC416" s="542"/>
    </row>
    <row r="417" spans="1:68" ht="27.75" customHeight="1" x14ac:dyDescent="0.2">
      <c r="A417" s="693" t="s">
        <v>634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634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635</v>
      </c>
      <c r="B420" s="54" t="s">
        <v>636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120</v>
      </c>
      <c r="Y420" s="540">
        <f t="shared" ref="Y420:Y430" si="42">IFERROR(IF(X420="",0,CEILING((X420/$H420),1)*$H420),"")</f>
        <v>121.44000000000001</v>
      </c>
      <c r="Z420" s="36">
        <f t="shared" ref="Z420:Z425" si="43">IFERROR(IF(Y420=0,"",ROUNDUP(Y420/H420,0)*0.01196),"")</f>
        <v>0.27507999999999999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127.95454545454545</v>
      </c>
      <c r="BN420" s="64">
        <f t="shared" ref="BN420:BN430" si="45">IFERROR(Y420*I420/H420,"0")</f>
        <v>129.49</v>
      </c>
      <c r="BO420" s="64">
        <f t="shared" ref="BO420:BO430" si="46">IFERROR(1/J420*(X420/H420),"0")</f>
        <v>0.21853146853146854</v>
      </c>
      <c r="BP420" s="64">
        <f t="shared" ref="BP420:BP430" si="47">IFERROR(1/J420*(Y420/H420),"0")</f>
        <v>0.22115384615384617</v>
      </c>
    </row>
    <row r="421" spans="1:68" ht="27" customHeight="1" x14ac:dyDescent="0.25">
      <c r="A421" s="54" t="s">
        <v>637</v>
      </c>
      <c r="B421" s="54" t="s">
        <v>638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639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60</v>
      </c>
      <c r="Y423" s="540">
        <f t="shared" si="42"/>
        <v>63.36</v>
      </c>
      <c r="Z423" s="36">
        <f t="shared" si="43"/>
        <v>0.14352000000000001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63.977272727272727</v>
      </c>
      <c r="BN423" s="64">
        <f t="shared" si="45"/>
        <v>67.559999999999988</v>
      </c>
      <c r="BO423" s="64">
        <f t="shared" si="46"/>
        <v>0.10926573426573427</v>
      </c>
      <c r="BP423" s="64">
        <f t="shared" si="47"/>
        <v>0.11538461538461539</v>
      </c>
    </row>
    <row r="424" spans="1:68" ht="16.5" customHeight="1" x14ac:dyDescent="0.25">
      <c r="A424" s="54" t="s">
        <v>646</v>
      </c>
      <c r="B424" s="54" t="s">
        <v>647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200</v>
      </c>
      <c r="Y425" s="540">
        <f t="shared" si="42"/>
        <v>200.64000000000001</v>
      </c>
      <c r="Z425" s="36">
        <f t="shared" si="43"/>
        <v>0.45448</v>
      </c>
      <c r="AA425" s="56"/>
      <c r="AB425" s="57"/>
      <c r="AC425" s="469" t="s">
        <v>651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213.25757575757575</v>
      </c>
      <c r="BN425" s="64">
        <f t="shared" si="45"/>
        <v>213.94</v>
      </c>
      <c r="BO425" s="64">
        <f t="shared" si="46"/>
        <v>0.36421911421911418</v>
      </c>
      <c r="BP425" s="64">
        <f t="shared" si="47"/>
        <v>0.36538461538461542</v>
      </c>
    </row>
    <row r="426" spans="1:68" ht="27" customHeight="1" x14ac:dyDescent="0.25">
      <c r="A426" s="54" t="s">
        <v>652</v>
      </c>
      <c r="B426" s="54" t="s">
        <v>653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36</v>
      </c>
      <c r="Y427" s="540">
        <f t="shared" si="42"/>
        <v>38.4</v>
      </c>
      <c r="Z427" s="36">
        <f>IFERROR(IF(Y427=0,"",ROUNDUP(Y427/H427,0)*0.00902),"")</f>
        <v>7.2160000000000002E-2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51.825000000000003</v>
      </c>
      <c r="BN427" s="64">
        <f t="shared" si="45"/>
        <v>55.28</v>
      </c>
      <c r="BO427" s="64">
        <f t="shared" si="46"/>
        <v>5.6818181818181823E-2</v>
      </c>
      <c r="BP427" s="64">
        <f t="shared" si="47"/>
        <v>6.0606060606060608E-2</v>
      </c>
    </row>
    <row r="428" spans="1:68" ht="27" customHeight="1" x14ac:dyDescent="0.25">
      <c r="A428" s="54" t="s">
        <v>656</v>
      </c>
      <c r="B428" s="54" t="s">
        <v>657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60</v>
      </c>
      <c r="Y430" s="540">
        <f t="shared" si="42"/>
        <v>62.4</v>
      </c>
      <c r="Z430" s="36">
        <f>IFERROR(IF(Y430=0,"",ROUNDUP(Y430/H430,0)*0.00902),"")</f>
        <v>0.11726</v>
      </c>
      <c r="AA430" s="56"/>
      <c r="AB430" s="57"/>
      <c r="AC430" s="479" t="s">
        <v>651</v>
      </c>
      <c r="AG430" s="64"/>
      <c r="AJ430" s="68"/>
      <c r="AK430" s="68">
        <v>0</v>
      </c>
      <c r="BB430" s="480" t="s">
        <v>1</v>
      </c>
      <c r="BM430" s="64">
        <f t="shared" si="44"/>
        <v>86.375000000000014</v>
      </c>
      <c r="BN430" s="64">
        <f t="shared" si="45"/>
        <v>89.830000000000013</v>
      </c>
      <c r="BO430" s="64">
        <f t="shared" si="46"/>
        <v>9.4696969696969696E-2</v>
      </c>
      <c r="BP430" s="64">
        <f t="shared" si="47"/>
        <v>9.8484848484848481E-2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91.969696969696969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94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1.0625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476</v>
      </c>
      <c r="Y432" s="541">
        <f>IFERROR(SUM(Y420:Y430),"0")</f>
        <v>486.24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663</v>
      </c>
      <c r="B434" s="54" t="s">
        <v>664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200</v>
      </c>
      <c r="Y434" s="540">
        <f>IFERROR(IF(X434="",0,CEILING((X434/$H434),1)*$H434),"")</f>
        <v>200.64000000000001</v>
      </c>
      <c r="Z434" s="36">
        <f>IFERROR(IF(Y434=0,"",ROUNDUP(Y434/H434,0)*0.01196),"")</f>
        <v>0.45448</v>
      </c>
      <c r="AA434" s="56"/>
      <c r="AB434" s="57"/>
      <c r="AC434" s="481" t="s">
        <v>665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213.25757575757575</v>
      </c>
      <c r="BN434" s="64">
        <f>IFERROR(Y434*I434/H434,"0")</f>
        <v>213.94</v>
      </c>
      <c r="BO434" s="64">
        <f>IFERROR(1/J434*(X434/H434),"0")</f>
        <v>0.36421911421911418</v>
      </c>
      <c r="BP434" s="64">
        <f>IFERROR(1/J434*(Y434/H434),"0")</f>
        <v>0.36538461538461542</v>
      </c>
    </row>
    <row r="435" spans="1:68" ht="16.5" customHeight="1" x14ac:dyDescent="0.25">
      <c r="A435" s="54" t="s">
        <v>666</v>
      </c>
      <c r="B435" s="54" t="s">
        <v>667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665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668</v>
      </c>
      <c r="B436" s="54" t="s">
        <v>669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37.878787878787875</v>
      </c>
      <c r="Y437" s="541">
        <f>IFERROR(Y434/H434,"0")+IFERROR(Y435/H435,"0")+IFERROR(Y436/H436,"0")</f>
        <v>38</v>
      </c>
      <c r="Z437" s="541">
        <f>IFERROR(IF(Z434="",0,Z434),"0")+IFERROR(IF(Z435="",0,Z435),"0")+IFERROR(IF(Z436="",0,Z436),"0")</f>
        <v>0.45448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200</v>
      </c>
      <c r="Y438" s="541">
        <f>IFERROR(SUM(Y434:Y436),"0")</f>
        <v>200.64000000000001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670</v>
      </c>
      <c r="B440" s="54" t="s">
        <v>671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100</v>
      </c>
      <c r="Y440" s="540">
        <f t="shared" ref="Y440:Y445" si="48">IFERROR(IF(X440="",0,CEILING((X440/$H440),1)*$H440),"")</f>
        <v>100.32000000000001</v>
      </c>
      <c r="Z440" s="36">
        <f>IFERROR(IF(Y440=0,"",ROUNDUP(Y440/H440,0)*0.01196),"")</f>
        <v>0.22724</v>
      </c>
      <c r="AA440" s="56"/>
      <c r="AB440" s="57"/>
      <c r="AC440" s="487" t="s">
        <v>672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106.62878787878788</v>
      </c>
      <c r="BN440" s="64">
        <f t="shared" ref="BN440:BN445" si="50">IFERROR(Y440*I440/H440,"0")</f>
        <v>106.97</v>
      </c>
      <c r="BO440" s="64">
        <f t="shared" ref="BO440:BO445" si="51">IFERROR(1/J440*(X440/H440),"0")</f>
        <v>0.18210955710955709</v>
      </c>
      <c r="BP440" s="64">
        <f t="shared" ref="BP440:BP445" si="52">IFERROR(1/J440*(Y440/H440),"0")</f>
        <v>0.18269230769230771</v>
      </c>
    </row>
    <row r="441" spans="1:68" ht="27" customHeight="1" x14ac:dyDescent="0.25">
      <c r="A441" s="54" t="s">
        <v>673</v>
      </c>
      <c r="B441" s="54" t="s">
        <v>674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80</v>
      </c>
      <c r="Y441" s="540">
        <f t="shared" si="48"/>
        <v>84.48</v>
      </c>
      <c r="Z441" s="36">
        <f>IFERROR(IF(Y441=0,"",ROUNDUP(Y441/H441,0)*0.01196),"")</f>
        <v>0.19136</v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85.303030303030297</v>
      </c>
      <c r="BN441" s="64">
        <f t="shared" si="50"/>
        <v>90.08</v>
      </c>
      <c r="BO441" s="64">
        <f t="shared" si="51"/>
        <v>0.14568764568764569</v>
      </c>
      <c r="BP441" s="64">
        <f t="shared" si="52"/>
        <v>0.15384615384615385</v>
      </c>
    </row>
    <row r="442" spans="1:68" ht="27" customHeight="1" x14ac:dyDescent="0.25">
      <c r="A442" s="54" t="s">
        <v>676</v>
      </c>
      <c r="B442" s="54" t="s">
        <v>677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50</v>
      </c>
      <c r="Y442" s="540">
        <f t="shared" si="48"/>
        <v>52.800000000000004</v>
      </c>
      <c r="Z442" s="36">
        <f>IFERROR(IF(Y442=0,"",ROUNDUP(Y442/H442,0)*0.01196),"")</f>
        <v>0.1196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53.314393939393938</v>
      </c>
      <c r="BN442" s="64">
        <f t="shared" si="50"/>
        <v>56.3</v>
      </c>
      <c r="BO442" s="64">
        <f t="shared" si="51"/>
        <v>9.1054778554778545E-2</v>
      </c>
      <c r="BP442" s="64">
        <f t="shared" si="52"/>
        <v>9.6153846153846159E-2</v>
      </c>
    </row>
    <row r="443" spans="1:68" ht="27" customHeight="1" x14ac:dyDescent="0.25">
      <c r="A443" s="54" t="s">
        <v>679</v>
      </c>
      <c r="B443" s="54" t="s">
        <v>680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110</v>
      </c>
      <c r="M443" s="33" t="s">
        <v>104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36</v>
      </c>
      <c r="Y443" s="540">
        <f t="shared" si="48"/>
        <v>38.4</v>
      </c>
      <c r="Z443" s="36">
        <f>IFERROR(IF(Y443=0,"",ROUNDUP(Y443/H443,0)*0.00902),"")</f>
        <v>7.2160000000000002E-2</v>
      </c>
      <c r="AA443" s="56"/>
      <c r="AB443" s="57"/>
      <c r="AC443" s="493" t="s">
        <v>672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51.825000000000003</v>
      </c>
      <c r="BN443" s="64">
        <f t="shared" si="50"/>
        <v>55.28</v>
      </c>
      <c r="BO443" s="64">
        <f t="shared" si="51"/>
        <v>5.6818181818181823E-2</v>
      </c>
      <c r="BP443" s="64">
        <f t="shared" si="52"/>
        <v>6.0606060606060608E-2</v>
      </c>
    </row>
    <row r="444" spans="1:68" ht="27" customHeight="1" x14ac:dyDescent="0.25">
      <c r="A444" s="54" t="s">
        <v>681</v>
      </c>
      <c r="B444" s="54" t="s">
        <v>682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110</v>
      </c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18</v>
      </c>
      <c r="Y444" s="540">
        <f t="shared" si="48"/>
        <v>19.2</v>
      </c>
      <c r="Z444" s="36">
        <f>IFERROR(IF(Y444=0,"",ROUNDUP(Y444/H444,0)*0.00902),"")</f>
        <v>3.6080000000000001E-2</v>
      </c>
      <c r="AA444" s="56"/>
      <c r="AB444" s="57"/>
      <c r="AC444" s="495" t="s">
        <v>675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25.012500000000003</v>
      </c>
      <c r="BN444" s="64">
        <f t="shared" si="50"/>
        <v>26.68</v>
      </c>
      <c r="BO444" s="64">
        <f t="shared" si="51"/>
        <v>2.8409090909090912E-2</v>
      </c>
      <c r="BP444" s="64">
        <f t="shared" si="52"/>
        <v>3.0303030303030304E-2</v>
      </c>
    </row>
    <row r="445" spans="1:68" ht="27" customHeight="1" x14ac:dyDescent="0.25">
      <c r="A445" s="54" t="s">
        <v>683</v>
      </c>
      <c r="B445" s="54" t="s">
        <v>684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78</v>
      </c>
      <c r="Y445" s="540">
        <f t="shared" si="48"/>
        <v>81.599999999999994</v>
      </c>
      <c r="Z445" s="36">
        <f>IFERROR(IF(Y445=0,"",ROUNDUP(Y445/H445,0)*0.00902),"")</f>
        <v>0.15334</v>
      </c>
      <c r="AA445" s="56"/>
      <c r="AB445" s="57"/>
      <c r="AC445" s="497" t="s">
        <v>678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108.3875</v>
      </c>
      <c r="BN445" s="64">
        <f t="shared" si="50"/>
        <v>113.38999999999999</v>
      </c>
      <c r="BO445" s="64">
        <f t="shared" si="51"/>
        <v>0.12310606060606061</v>
      </c>
      <c r="BP445" s="64">
        <f t="shared" si="52"/>
        <v>0.12878787878787878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71.060606060606062</v>
      </c>
      <c r="Y446" s="541">
        <f>IFERROR(Y440/H440,"0")+IFERROR(Y441/H441,"0")+IFERROR(Y442/H442,"0")+IFERROR(Y443/H443,"0")+IFERROR(Y444/H444,"0")+IFERROR(Y445/H445,"0")</f>
        <v>74</v>
      </c>
      <c r="Z446" s="541">
        <f>IFERROR(IF(Z440="",0,Z440),"0")+IFERROR(IF(Z441="",0,Z441),"0")+IFERROR(IF(Z442="",0,Z442),"0")+IFERROR(IF(Z443="",0,Z443),"0")+IFERROR(IF(Z444="",0,Z444),"0")+IFERROR(IF(Z445="",0,Z445),"0")</f>
        <v>0.79978000000000005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362</v>
      </c>
      <c r="Y447" s="541">
        <f>IFERROR(SUM(Y440:Y445),"0")</f>
        <v>376.79999999999995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685</v>
      </c>
      <c r="B449" s="54" t="s">
        <v>686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687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688</v>
      </c>
      <c r="B450" s="54" t="s">
        <v>689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691</v>
      </c>
      <c r="B451" s="54" t="s">
        <v>692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694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694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695</v>
      </c>
      <c r="B457" s="54" t="s">
        <v>696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697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698</v>
      </c>
      <c r="B458" s="54" t="s">
        <v>699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697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706</v>
      </c>
      <c r="B464" s="54" t="s">
        <v>707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708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709</v>
      </c>
      <c r="B465" s="54" t="s">
        <v>710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715</v>
      </c>
      <c r="B470" s="54" t="s">
        <v>716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718</v>
      </c>
      <c r="B471" s="54" t="s">
        <v>719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721</v>
      </c>
      <c r="B475" s="54" t="s">
        <v>722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700</v>
      </c>
      <c r="Y475" s="540">
        <f>IFERROR(IF(X475="",0,CEILING((X475/$H475),1)*$H475),"")</f>
        <v>702</v>
      </c>
      <c r="Z475" s="36">
        <f>IFERROR(IF(Y475=0,"",ROUNDUP(Y475/H475,0)*0.01898),"")</f>
        <v>1.48044</v>
      </c>
      <c r="AA475" s="56"/>
      <c r="AB475" s="57"/>
      <c r="AC475" s="523" t="s">
        <v>723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738.42222222222222</v>
      </c>
      <c r="BN475" s="64">
        <f>IFERROR(Y475*I475/H475,"0")</f>
        <v>740.53199999999993</v>
      </c>
      <c r="BO475" s="64">
        <f>IFERROR(1/J475*(X475/H475),"0")</f>
        <v>1.2152777777777777</v>
      </c>
      <c r="BP475" s="64">
        <f>IFERROR(1/J475*(Y475/H475),"0")</f>
        <v>1.21875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77.777777777777771</v>
      </c>
      <c r="Y476" s="541">
        <f>IFERROR(Y475/H475,"0")</f>
        <v>78</v>
      </c>
      <c r="Z476" s="541">
        <f>IFERROR(IF(Z475="",0,Z475),"0")</f>
        <v>1.48044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700</v>
      </c>
      <c r="Y477" s="541">
        <f>IFERROR(SUM(Y475:Y475),"0")</f>
        <v>702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724</v>
      </c>
      <c r="B479" s="54" t="s">
        <v>725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726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727</v>
      </c>
      <c r="B480" s="54" t="s">
        <v>728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730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731</v>
      </c>
      <c r="B485" s="54" t="s">
        <v>732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733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734</v>
      </c>
      <c r="Q488" s="628"/>
      <c r="R488" s="628"/>
      <c r="S488" s="628"/>
      <c r="T488" s="628"/>
      <c r="U488" s="628"/>
      <c r="V488" s="629"/>
      <c r="W488" s="37" t="s">
        <v>69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16217.3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16386.939999999999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735</v>
      </c>
      <c r="Q489" s="628"/>
      <c r="R489" s="628"/>
      <c r="S489" s="628"/>
      <c r="T489" s="628"/>
      <c r="U489" s="628"/>
      <c r="V489" s="629"/>
      <c r="W489" s="37" t="s">
        <v>69</v>
      </c>
      <c r="X489" s="541">
        <f>IFERROR(SUM(BM22:BM485),"0")</f>
        <v>17276.894897968152</v>
      </c>
      <c r="Y489" s="541">
        <f>IFERROR(SUM(BN22:BN485),"0")</f>
        <v>17459.772000000001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736</v>
      </c>
      <c r="Q490" s="628"/>
      <c r="R490" s="628"/>
      <c r="S490" s="628"/>
      <c r="T490" s="628"/>
      <c r="U490" s="628"/>
      <c r="V490" s="629"/>
      <c r="W490" s="37" t="s">
        <v>737</v>
      </c>
      <c r="X490" s="38">
        <f>ROUNDUP(SUM(BO22:BO485),0)</f>
        <v>30</v>
      </c>
      <c r="Y490" s="38">
        <f>ROUNDUP(SUM(BP22:BP485),0)</f>
        <v>30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738</v>
      </c>
      <c r="Q491" s="628"/>
      <c r="R491" s="628"/>
      <c r="S491" s="628"/>
      <c r="T491" s="628"/>
      <c r="U491" s="628"/>
      <c r="V491" s="629"/>
      <c r="W491" s="37" t="s">
        <v>69</v>
      </c>
      <c r="X491" s="541">
        <f>GrossWeightTotal+PalletQtyTotal*25</f>
        <v>18026.894897968152</v>
      </c>
      <c r="Y491" s="541">
        <f>GrossWeightTotalR+PalletQtyTotalR*25</f>
        <v>18209.772000000001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739</v>
      </c>
      <c r="Q492" s="628"/>
      <c r="R492" s="628"/>
      <c r="S492" s="628"/>
      <c r="T492" s="628"/>
      <c r="U492" s="628"/>
      <c r="V492" s="629"/>
      <c r="W492" s="37" t="s">
        <v>737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3567.894746483827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3599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740</v>
      </c>
      <c r="Q493" s="628"/>
      <c r="R493" s="628"/>
      <c r="S493" s="628"/>
      <c r="T493" s="628"/>
      <c r="U493" s="628"/>
      <c r="V493" s="629"/>
      <c r="W493" s="39" t="s">
        <v>741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34.269510000000004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742</v>
      </c>
      <c r="B495" s="536" t="s">
        <v>63</v>
      </c>
      <c r="C495" s="576" t="s">
        <v>97</v>
      </c>
      <c r="D495" s="594"/>
      <c r="E495" s="594"/>
      <c r="F495" s="594"/>
      <c r="G495" s="594"/>
      <c r="H495" s="595"/>
      <c r="I495" s="576" t="s">
        <v>251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532</v>
      </c>
      <c r="T495" s="595"/>
      <c r="U495" s="576" t="s">
        <v>583</v>
      </c>
      <c r="V495" s="594"/>
      <c r="W495" s="595"/>
      <c r="X495" s="536" t="s">
        <v>634</v>
      </c>
      <c r="Y495" s="576" t="s">
        <v>694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743</v>
      </c>
      <c r="B496" s="576" t="s">
        <v>63</v>
      </c>
      <c r="C496" s="576" t="s">
        <v>98</v>
      </c>
      <c r="D496" s="576" t="s">
        <v>116</v>
      </c>
      <c r="E496" s="576" t="s">
        <v>170</v>
      </c>
      <c r="F496" s="576" t="s">
        <v>189</v>
      </c>
      <c r="G496" s="576" t="s">
        <v>220</v>
      </c>
      <c r="H496" s="576" t="s">
        <v>97</v>
      </c>
      <c r="I496" s="576" t="s">
        <v>252</v>
      </c>
      <c r="J496" s="576" t="s">
        <v>297</v>
      </c>
      <c r="K496" s="576" t="s">
        <v>356</v>
      </c>
      <c r="L496" s="576" t="s">
        <v>398</v>
      </c>
      <c r="M496" s="576" t="s">
        <v>414</v>
      </c>
      <c r="N496" s="537"/>
      <c r="O496" s="576" t="s">
        <v>425</v>
      </c>
      <c r="P496" s="576" t="s">
        <v>434</v>
      </c>
      <c r="Q496" s="576" t="s">
        <v>448</v>
      </c>
      <c r="R496" s="576" t="s">
        <v>522</v>
      </c>
      <c r="S496" s="576" t="s">
        <v>533</v>
      </c>
      <c r="T496" s="576" t="s">
        <v>567</v>
      </c>
      <c r="U496" s="576" t="s">
        <v>584</v>
      </c>
      <c r="V496" s="576" t="s">
        <v>615</v>
      </c>
      <c r="W496" s="576" t="s">
        <v>630</v>
      </c>
      <c r="X496" s="576" t="s">
        <v>634</v>
      </c>
      <c r="Y496" s="576" t="s">
        <v>694</v>
      </c>
      <c r="Z496" s="576" t="s">
        <v>730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744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154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629.70000000000005</v>
      </c>
      <c r="E498" s="46">
        <f>IFERROR(Y85*1,"0")+IFERROR(Y86*1,"0")+IFERROR(Y87*1,"0")+IFERROR(Y91*1,"0")+IFERROR(Y92*1,"0")+IFERROR(Y93*1,"0")+IFERROR(Y94*1,"0")</f>
        <v>1184.4000000000001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1404</v>
      </c>
      <c r="G498" s="46">
        <f>IFERROR(Y124*1,"0")+IFERROR(Y125*1,"0")+IFERROR(Y129*1,"0")+IFERROR(Y130*1,"0")+IFERROR(Y134*1,"0")+IFERROR(Y135*1,"0")</f>
        <v>235.6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494.76000000000005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2283.2999999999997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98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223.2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846.60000000000014</v>
      </c>
      <c r="R498" s="46">
        <f>IFERROR(Y334*1,"0")+IFERROR(Y335*1,"0")+IFERROR(Y336*1,"0")</f>
        <v>1541.4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5370</v>
      </c>
      <c r="T498" s="46">
        <f>IFERROR(Y367*1,"0")+IFERROR(Y368*1,"0")+IFERROR(Y372*1,"0")+IFERROR(Y373*1,"0")+IFERROR(Y377*1,"0")+IFERROR(Y378*1,"0")</f>
        <v>36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79.800000000000011</v>
      </c>
      <c r="V498" s="46">
        <f>IFERROR(Y402*1,"0")+IFERROR(Y406*1,"0")+IFERROR(Y407*1,"0")+IFERROR(Y408*1,"0")+IFERROR(Y409*1,"0")</f>
        <v>10.5</v>
      </c>
      <c r="W498" s="46">
        <f>IFERROR(Y414*1,"0")</f>
        <v>30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1063.68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702</v>
      </c>
      <c r="Z498" s="46">
        <f>IFERROR(Y485*1,"0")</f>
        <v>0</v>
      </c>
      <c r="AB498" s="52"/>
      <c r="AC498" s="52"/>
      <c r="AF498" s="537"/>
    </row>
  </sheetData>
  <sheetProtection algorithmName="SHA-512" hashValue="W+O4siZ4YXqSEc5N34jhOgSS5DeTPwp7FDdNyN6JAAgMF/lk6l0HOp1QrZu8KnX3Sl2e/XS87xNuxAUX55tBUw==" saltValue="zYwnMC9l+1epbj79IcWAG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8:X389 X391 X414 X420 X423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745</v>
      </c>
      <c r="H1" s="52"/>
    </row>
    <row r="3" spans="2:8" x14ac:dyDescent="0.2">
      <c r="B3" s="47" t="s">
        <v>746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747</v>
      </c>
      <c r="D6" s="47" t="s">
        <v>748</v>
      </c>
      <c r="E6" s="47"/>
    </row>
    <row r="8" spans="2:8" x14ac:dyDescent="0.2">
      <c r="B8" s="47" t="s">
        <v>19</v>
      </c>
      <c r="C8" s="47" t="s">
        <v>747</v>
      </c>
      <c r="D8" s="47"/>
      <c r="E8" s="47"/>
    </row>
    <row r="10" spans="2:8" x14ac:dyDescent="0.2">
      <c r="B10" s="47" t="s">
        <v>749</v>
      </c>
      <c r="C10" s="47"/>
      <c r="D10" s="47"/>
      <c r="E10" s="47"/>
    </row>
    <row r="11" spans="2:8" x14ac:dyDescent="0.2">
      <c r="B11" s="47" t="s">
        <v>750</v>
      </c>
      <c r="C11" s="47"/>
      <c r="D11" s="47"/>
      <c r="E11" s="47"/>
    </row>
    <row r="12" spans="2:8" x14ac:dyDescent="0.2">
      <c r="B12" s="47" t="s">
        <v>751</v>
      </c>
      <c r="C12" s="47"/>
      <c r="D12" s="47"/>
      <c r="E12" s="47"/>
    </row>
    <row r="13" spans="2:8" x14ac:dyDescent="0.2">
      <c r="B13" s="47" t="s">
        <v>752</v>
      </c>
      <c r="C13" s="47"/>
      <c r="D13" s="47"/>
      <c r="E13" s="47"/>
    </row>
    <row r="14" spans="2:8" x14ac:dyDescent="0.2">
      <c r="B14" s="47" t="s">
        <v>753</v>
      </c>
      <c r="C14" s="47"/>
      <c r="D14" s="47"/>
      <c r="E14" s="47"/>
    </row>
    <row r="15" spans="2:8" x14ac:dyDescent="0.2">
      <c r="B15" s="47" t="s">
        <v>754</v>
      </c>
      <c r="C15" s="47"/>
      <c r="D15" s="47"/>
      <c r="E15" s="47"/>
    </row>
    <row r="16" spans="2:8" x14ac:dyDescent="0.2">
      <c r="B16" s="47" t="s">
        <v>755</v>
      </c>
      <c r="C16" s="47"/>
      <c r="D16" s="47"/>
      <c r="E16" s="47"/>
    </row>
    <row r="17" spans="2:5" x14ac:dyDescent="0.2">
      <c r="B17" s="47" t="s">
        <v>756</v>
      </c>
      <c r="C17" s="47"/>
      <c r="D17" s="47"/>
      <c r="E17" s="47"/>
    </row>
    <row r="18" spans="2:5" x14ac:dyDescent="0.2">
      <c r="B18" s="47" t="s">
        <v>757</v>
      </c>
      <c r="C18" s="47"/>
      <c r="D18" s="47"/>
      <c r="E18" s="47"/>
    </row>
    <row r="19" spans="2:5" x14ac:dyDescent="0.2">
      <c r="B19" s="47" t="s">
        <v>758</v>
      </c>
      <c r="C19" s="47"/>
      <c r="D19" s="47"/>
      <c r="E19" s="47"/>
    </row>
    <row r="20" spans="2:5" x14ac:dyDescent="0.2">
      <c r="B20" s="47" t="s">
        <v>759</v>
      </c>
      <c r="C20" s="47"/>
      <c r="D20" s="47"/>
      <c r="E20" s="47"/>
    </row>
  </sheetData>
  <sheetProtection algorithmName="SHA-512" hashValue="LxWtGco2CWqg5YHYdCqbo6vhExLfVtMbOEKQY0MNvurS4GEwy8P7bkBvSsDOthwkdl0Kg458e+ih5RmbTSevYA==" saltValue="aVk9yet3IEWJlbRV+Fgm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2025-11-27T09:20:41Z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