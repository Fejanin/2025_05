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11,25 Симф КИ ПУД\"/>
    </mc:Choice>
  </mc:AlternateContent>
  <xr:revisionPtr revIDLastSave="0" documentId="13_ncr:1_{3A78A699-6794-4FFA-BDA6-06CEA9C928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09" i="1" l="1"/>
  <c r="AL24" i="1" l="1"/>
  <c r="AL109" i="1"/>
  <c r="AK24" i="1"/>
  <c r="AK109" i="1"/>
  <c r="AJ24" i="1"/>
  <c r="AJ109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3" i="1"/>
  <c r="AI34" i="1"/>
  <c r="AI36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7" i="1"/>
  <c r="Z8" i="1"/>
  <c r="Z16" i="1"/>
  <c r="Z20" i="1"/>
  <c r="Z24" i="1"/>
  <c r="Z28" i="1"/>
  <c r="Z32" i="1"/>
  <c r="Z36" i="1"/>
  <c r="Z44" i="1"/>
  <c r="Z48" i="1"/>
  <c r="Z52" i="1"/>
  <c r="Z60" i="1"/>
  <c r="Z68" i="1"/>
  <c r="Z72" i="1"/>
  <c r="Z76" i="1"/>
  <c r="Z80" i="1"/>
  <c r="Z84" i="1"/>
  <c r="Z88" i="1"/>
  <c r="Z92" i="1"/>
  <c r="Z96" i="1"/>
  <c r="Z100" i="1"/>
  <c r="Z104" i="1"/>
  <c r="Z108" i="1"/>
  <c r="Z109" i="1"/>
  <c r="Y109" i="1"/>
  <c r="W8" i="1"/>
  <c r="W9" i="1"/>
  <c r="Z9" i="1" s="1"/>
  <c r="W11" i="1"/>
  <c r="W13" i="1"/>
  <c r="Z13" i="1" s="1"/>
  <c r="W14" i="1"/>
  <c r="Z14" i="1" s="1"/>
  <c r="W15" i="1"/>
  <c r="Z15" i="1" s="1"/>
  <c r="W16" i="1"/>
  <c r="W17" i="1"/>
  <c r="Z17" i="1" s="1"/>
  <c r="W18" i="1"/>
  <c r="Z18" i="1" s="1"/>
  <c r="W19" i="1"/>
  <c r="Z19" i="1" s="1"/>
  <c r="W20" i="1"/>
  <c r="W21" i="1"/>
  <c r="Z21" i="1" s="1"/>
  <c r="W23" i="1"/>
  <c r="Z23" i="1" s="1"/>
  <c r="W24" i="1"/>
  <c r="Y24" i="1" s="1"/>
  <c r="W25" i="1"/>
  <c r="Z25" i="1" s="1"/>
  <c r="W26" i="1"/>
  <c r="Z26" i="1" s="1"/>
  <c r="W27" i="1"/>
  <c r="Z27" i="1" s="1"/>
  <c r="W28" i="1"/>
  <c r="W29" i="1"/>
  <c r="Z29" i="1" s="1"/>
  <c r="W30" i="1"/>
  <c r="Z30" i="1" s="1"/>
  <c r="W31" i="1"/>
  <c r="Z31" i="1" s="1"/>
  <c r="W32" i="1"/>
  <c r="W33" i="1"/>
  <c r="Z33" i="1" s="1"/>
  <c r="W34" i="1"/>
  <c r="Z34" i="1" s="1"/>
  <c r="W35" i="1"/>
  <c r="Z35" i="1" s="1"/>
  <c r="W36" i="1"/>
  <c r="W37" i="1"/>
  <c r="Z37" i="1" s="1"/>
  <c r="W39" i="1"/>
  <c r="Z39" i="1" s="1"/>
  <c r="W41" i="1"/>
  <c r="Z41" i="1" s="1"/>
  <c r="W42" i="1"/>
  <c r="Z42" i="1" s="1"/>
  <c r="W43" i="1"/>
  <c r="Z43" i="1" s="1"/>
  <c r="W44" i="1"/>
  <c r="W45" i="1"/>
  <c r="Z45" i="1" s="1"/>
  <c r="W46" i="1"/>
  <c r="Z46" i="1" s="1"/>
  <c r="W47" i="1"/>
  <c r="Z47" i="1" s="1"/>
  <c r="W48" i="1"/>
  <c r="W49" i="1"/>
  <c r="Z49" i="1" s="1"/>
  <c r="W50" i="1"/>
  <c r="Z50" i="1" s="1"/>
  <c r="W51" i="1"/>
  <c r="Z51" i="1" s="1"/>
  <c r="W52" i="1"/>
  <c r="W53" i="1"/>
  <c r="Z53" i="1" s="1"/>
  <c r="W54" i="1"/>
  <c r="Z54" i="1" s="1"/>
  <c r="W55" i="1"/>
  <c r="Z55" i="1" s="1"/>
  <c r="W58" i="1"/>
  <c r="Z58" i="1" s="1"/>
  <c r="W59" i="1"/>
  <c r="Z59" i="1" s="1"/>
  <c r="W60" i="1"/>
  <c r="W61" i="1"/>
  <c r="Z61" i="1" s="1"/>
  <c r="W62" i="1"/>
  <c r="Z62" i="1" s="1"/>
  <c r="W63" i="1"/>
  <c r="Z63" i="1" s="1"/>
  <c r="W65" i="1"/>
  <c r="Z65" i="1" s="1"/>
  <c r="W66" i="1"/>
  <c r="Z66" i="1" s="1"/>
  <c r="W67" i="1"/>
  <c r="Z67" i="1" s="1"/>
  <c r="W68" i="1"/>
  <c r="W69" i="1"/>
  <c r="Z69" i="1" s="1"/>
  <c r="W70" i="1"/>
  <c r="Z70" i="1" s="1"/>
  <c r="W71" i="1"/>
  <c r="Z71" i="1" s="1"/>
  <c r="W72" i="1"/>
  <c r="W73" i="1"/>
  <c r="Z73" i="1" s="1"/>
  <c r="W74" i="1"/>
  <c r="Z74" i="1" s="1"/>
  <c r="W75" i="1"/>
  <c r="Z75" i="1" s="1"/>
  <c r="W76" i="1"/>
  <c r="W77" i="1"/>
  <c r="Z77" i="1" s="1"/>
  <c r="W78" i="1"/>
  <c r="Z78" i="1" s="1"/>
  <c r="W79" i="1"/>
  <c r="Z79" i="1" s="1"/>
  <c r="W80" i="1"/>
  <c r="W82" i="1"/>
  <c r="Z82" i="1" s="1"/>
  <c r="W83" i="1"/>
  <c r="Z83" i="1" s="1"/>
  <c r="W84" i="1"/>
  <c r="W85" i="1"/>
  <c r="Z85" i="1" s="1"/>
  <c r="W86" i="1"/>
  <c r="Z86" i="1" s="1"/>
  <c r="W87" i="1"/>
  <c r="Z87" i="1" s="1"/>
  <c r="W88" i="1"/>
  <c r="W89" i="1"/>
  <c r="Z89" i="1" s="1"/>
  <c r="W92" i="1"/>
  <c r="W93" i="1"/>
  <c r="Z93" i="1" s="1"/>
  <c r="W94" i="1"/>
  <c r="Z94" i="1" s="1"/>
  <c r="W95" i="1"/>
  <c r="Z95" i="1" s="1"/>
  <c r="W96" i="1"/>
  <c r="W98" i="1"/>
  <c r="Z98" i="1" s="1"/>
  <c r="W99" i="1"/>
  <c r="Z99" i="1" s="1"/>
  <c r="W100" i="1"/>
  <c r="W101" i="1"/>
  <c r="Z101" i="1" s="1"/>
  <c r="W102" i="1"/>
  <c r="Z102" i="1" s="1"/>
  <c r="W103" i="1"/>
  <c r="Z103" i="1" s="1"/>
  <c r="W104" i="1"/>
  <c r="W105" i="1"/>
  <c r="Z105" i="1" s="1"/>
  <c r="W106" i="1"/>
  <c r="Z106" i="1" s="1"/>
  <c r="W107" i="1"/>
  <c r="Z107" i="1" s="1"/>
  <c r="W108" i="1"/>
  <c r="W7" i="1"/>
  <c r="Z7" i="1" s="1"/>
  <c r="AC10" i="1"/>
  <c r="W10" i="1" s="1"/>
  <c r="Z10" i="1" s="1"/>
  <c r="AC11" i="1"/>
  <c r="AC12" i="1"/>
  <c r="W12" i="1" s="1"/>
  <c r="Z12" i="1" s="1"/>
  <c r="AC22" i="1"/>
  <c r="W22" i="1" s="1"/>
  <c r="Z22" i="1" s="1"/>
  <c r="AC38" i="1"/>
  <c r="W38" i="1" s="1"/>
  <c r="Z38" i="1" s="1"/>
  <c r="AC39" i="1"/>
  <c r="AC40" i="1"/>
  <c r="W40" i="1" s="1"/>
  <c r="Z40" i="1" s="1"/>
  <c r="AC56" i="1"/>
  <c r="W56" i="1" s="1"/>
  <c r="Z56" i="1" s="1"/>
  <c r="AC57" i="1"/>
  <c r="W57" i="1" s="1"/>
  <c r="Z57" i="1" s="1"/>
  <c r="AC64" i="1"/>
  <c r="W64" i="1" s="1"/>
  <c r="Z64" i="1" s="1"/>
  <c r="AC81" i="1"/>
  <c r="W81" i="1" s="1"/>
  <c r="Z81" i="1" s="1"/>
  <c r="AC90" i="1"/>
  <c r="W90" i="1" s="1"/>
  <c r="Z90" i="1" s="1"/>
  <c r="AC91" i="1"/>
  <c r="W91" i="1" s="1"/>
  <c r="Z91" i="1" s="1"/>
  <c r="AC95" i="1"/>
  <c r="AC97" i="1"/>
  <c r="W97" i="1" s="1"/>
  <c r="Z97" i="1" s="1"/>
  <c r="AC99" i="1"/>
  <c r="L8" i="1"/>
  <c r="Y8" i="1" s="1"/>
  <c r="L9" i="1"/>
  <c r="Y9" i="1" s="1"/>
  <c r="L10" i="1"/>
  <c r="L11" i="1"/>
  <c r="L12" i="1"/>
  <c r="L13" i="1"/>
  <c r="Y13" i="1" s="1"/>
  <c r="L14" i="1"/>
  <c r="Y14" i="1" s="1"/>
  <c r="L15" i="1"/>
  <c r="L16" i="1"/>
  <c r="Y16" i="1" s="1"/>
  <c r="L17" i="1"/>
  <c r="Y17" i="1" s="1"/>
  <c r="L18" i="1"/>
  <c r="Y18" i="1" s="1"/>
  <c r="L19" i="1"/>
  <c r="L20" i="1"/>
  <c r="Y20" i="1" s="1"/>
  <c r="L21" i="1"/>
  <c r="Y21" i="1" s="1"/>
  <c r="L22" i="1"/>
  <c r="L23" i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L39" i="1"/>
  <c r="Y39" i="1" s="1"/>
  <c r="L40" i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7" i="1"/>
  <c r="Y107" i="1" s="1"/>
  <c r="L108" i="1"/>
  <c r="Y108" i="1" s="1"/>
  <c r="L7" i="1"/>
  <c r="Y7" i="1" s="1"/>
  <c r="K9" i="1"/>
  <c r="K11" i="1"/>
  <c r="K13" i="1"/>
  <c r="K15" i="1"/>
  <c r="K17" i="1"/>
  <c r="K19" i="1"/>
  <c r="K21" i="1"/>
  <c r="K23" i="1"/>
  <c r="K25" i="1"/>
  <c r="K27" i="1"/>
  <c r="K29" i="1"/>
  <c r="K31" i="1"/>
  <c r="K33" i="1"/>
  <c r="K35" i="1"/>
  <c r="K37" i="1"/>
  <c r="K39" i="1"/>
  <c r="K41" i="1"/>
  <c r="K43" i="1"/>
  <c r="K45" i="1"/>
  <c r="K47" i="1"/>
  <c r="K49" i="1"/>
  <c r="K51" i="1"/>
  <c r="K53" i="1"/>
  <c r="K55" i="1"/>
  <c r="K57" i="1"/>
  <c r="K59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1" i="1"/>
  <c r="K93" i="1"/>
  <c r="K95" i="1"/>
  <c r="K97" i="1"/>
  <c r="K99" i="1"/>
  <c r="K101" i="1"/>
  <c r="K103" i="1"/>
  <c r="K105" i="1"/>
  <c r="K107" i="1"/>
  <c r="K109" i="1"/>
  <c r="J8" i="1"/>
  <c r="K8" i="1" s="1"/>
  <c r="J9" i="1"/>
  <c r="J10" i="1"/>
  <c r="K10" i="1" s="1"/>
  <c r="J11" i="1"/>
  <c r="J12" i="1"/>
  <c r="K12" i="1" s="1"/>
  <c r="J13" i="1"/>
  <c r="J14" i="1"/>
  <c r="K14" i="1" s="1"/>
  <c r="J15" i="1"/>
  <c r="J16" i="1"/>
  <c r="K16" i="1" s="1"/>
  <c r="J17" i="1"/>
  <c r="J18" i="1"/>
  <c r="K18" i="1" s="1"/>
  <c r="J19" i="1"/>
  <c r="J20" i="1"/>
  <c r="K20" i="1" s="1"/>
  <c r="J21" i="1"/>
  <c r="J22" i="1"/>
  <c r="K22" i="1" s="1"/>
  <c r="J23" i="1"/>
  <c r="J24" i="1"/>
  <c r="K24" i="1" s="1"/>
  <c r="J25" i="1"/>
  <c r="J26" i="1"/>
  <c r="K26" i="1" s="1"/>
  <c r="J27" i="1"/>
  <c r="J28" i="1"/>
  <c r="K28" i="1" s="1"/>
  <c r="J29" i="1"/>
  <c r="J30" i="1"/>
  <c r="K30" i="1" s="1"/>
  <c r="J31" i="1"/>
  <c r="J32" i="1"/>
  <c r="K32" i="1" s="1"/>
  <c r="J33" i="1"/>
  <c r="J34" i="1"/>
  <c r="K34" i="1" s="1"/>
  <c r="J35" i="1"/>
  <c r="J36" i="1"/>
  <c r="K36" i="1" s="1"/>
  <c r="J37" i="1"/>
  <c r="J38" i="1"/>
  <c r="K38" i="1" s="1"/>
  <c r="J39" i="1"/>
  <c r="J40" i="1"/>
  <c r="K40" i="1" s="1"/>
  <c r="J41" i="1"/>
  <c r="J42" i="1"/>
  <c r="K42" i="1" s="1"/>
  <c r="J43" i="1"/>
  <c r="J44" i="1"/>
  <c r="K44" i="1" s="1"/>
  <c r="J45" i="1"/>
  <c r="J46" i="1"/>
  <c r="K46" i="1" s="1"/>
  <c r="J47" i="1"/>
  <c r="J48" i="1"/>
  <c r="K48" i="1" s="1"/>
  <c r="J49" i="1"/>
  <c r="J50" i="1"/>
  <c r="K50" i="1" s="1"/>
  <c r="J51" i="1"/>
  <c r="J52" i="1"/>
  <c r="K52" i="1" s="1"/>
  <c r="J53" i="1"/>
  <c r="J54" i="1"/>
  <c r="K54" i="1" s="1"/>
  <c r="J55" i="1"/>
  <c r="J56" i="1"/>
  <c r="K56" i="1" s="1"/>
  <c r="J57" i="1"/>
  <c r="J58" i="1"/>
  <c r="K58" i="1" s="1"/>
  <c r="J59" i="1"/>
  <c r="J60" i="1"/>
  <c r="K60" i="1" s="1"/>
  <c r="J61" i="1"/>
  <c r="J62" i="1"/>
  <c r="K62" i="1" s="1"/>
  <c r="J63" i="1"/>
  <c r="J64" i="1"/>
  <c r="K64" i="1" s="1"/>
  <c r="J65" i="1"/>
  <c r="J66" i="1"/>
  <c r="K66" i="1" s="1"/>
  <c r="J67" i="1"/>
  <c r="J68" i="1"/>
  <c r="K68" i="1" s="1"/>
  <c r="J69" i="1"/>
  <c r="J70" i="1"/>
  <c r="K70" i="1" s="1"/>
  <c r="J71" i="1"/>
  <c r="J72" i="1"/>
  <c r="K72" i="1" s="1"/>
  <c r="J73" i="1"/>
  <c r="J74" i="1"/>
  <c r="K74" i="1" s="1"/>
  <c r="J75" i="1"/>
  <c r="J76" i="1"/>
  <c r="K76" i="1" s="1"/>
  <c r="J77" i="1"/>
  <c r="J78" i="1"/>
  <c r="K78" i="1" s="1"/>
  <c r="J79" i="1"/>
  <c r="J80" i="1"/>
  <c r="K80" i="1" s="1"/>
  <c r="J81" i="1"/>
  <c r="J82" i="1"/>
  <c r="K82" i="1" s="1"/>
  <c r="J83" i="1"/>
  <c r="J84" i="1"/>
  <c r="K84" i="1" s="1"/>
  <c r="J85" i="1"/>
  <c r="J86" i="1"/>
  <c r="K86" i="1" s="1"/>
  <c r="J87" i="1"/>
  <c r="J88" i="1"/>
  <c r="K88" i="1" s="1"/>
  <c r="J89" i="1"/>
  <c r="J90" i="1"/>
  <c r="K90" i="1" s="1"/>
  <c r="J91" i="1"/>
  <c r="J92" i="1"/>
  <c r="K92" i="1" s="1"/>
  <c r="J93" i="1"/>
  <c r="J94" i="1"/>
  <c r="K94" i="1" s="1"/>
  <c r="J95" i="1"/>
  <c r="J96" i="1"/>
  <c r="K96" i="1" s="1"/>
  <c r="J97" i="1"/>
  <c r="J98" i="1"/>
  <c r="K98" i="1" s="1"/>
  <c r="J99" i="1"/>
  <c r="J100" i="1"/>
  <c r="K100" i="1" s="1"/>
  <c r="J101" i="1"/>
  <c r="J102" i="1"/>
  <c r="K102" i="1" s="1"/>
  <c r="J103" i="1"/>
  <c r="J104" i="1"/>
  <c r="K104" i="1" s="1"/>
  <c r="J105" i="1"/>
  <c r="J106" i="1"/>
  <c r="K106" i="1" s="1"/>
  <c r="J107" i="1"/>
  <c r="J108" i="1"/>
  <c r="K108" i="1" s="1"/>
  <c r="J109" i="1"/>
  <c r="J7" i="1"/>
  <c r="K7" i="1" s="1"/>
  <c r="AB6" i="1"/>
  <c r="AD6" i="1"/>
  <c r="AA6" i="1"/>
  <c r="M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AL7" i="1" l="1"/>
  <c r="AK7" i="1"/>
  <c r="AJ7" i="1"/>
  <c r="AK107" i="1"/>
  <c r="AL107" i="1"/>
  <c r="AJ107" i="1"/>
  <c r="AK103" i="1"/>
  <c r="AL103" i="1"/>
  <c r="AJ103" i="1"/>
  <c r="AK99" i="1"/>
  <c r="AL99" i="1"/>
  <c r="AJ99" i="1"/>
  <c r="AK95" i="1"/>
  <c r="AL95" i="1"/>
  <c r="AJ95" i="1"/>
  <c r="AK91" i="1"/>
  <c r="AL91" i="1"/>
  <c r="AJ91" i="1"/>
  <c r="AK87" i="1"/>
  <c r="AL87" i="1"/>
  <c r="AJ87" i="1"/>
  <c r="AK83" i="1"/>
  <c r="AL83" i="1"/>
  <c r="AJ83" i="1"/>
  <c r="AK79" i="1"/>
  <c r="AL79" i="1"/>
  <c r="AJ79" i="1"/>
  <c r="AK75" i="1"/>
  <c r="AL75" i="1"/>
  <c r="AJ75" i="1"/>
  <c r="AK71" i="1"/>
  <c r="AL71" i="1"/>
  <c r="AJ71" i="1"/>
  <c r="AK67" i="1"/>
  <c r="AL67" i="1"/>
  <c r="AJ67" i="1"/>
  <c r="AK63" i="1"/>
  <c r="AL63" i="1"/>
  <c r="AJ63" i="1"/>
  <c r="AK59" i="1"/>
  <c r="AL59" i="1"/>
  <c r="AJ59" i="1"/>
  <c r="AK55" i="1"/>
  <c r="AL55" i="1"/>
  <c r="AJ55" i="1"/>
  <c r="AK51" i="1"/>
  <c r="AL51" i="1"/>
  <c r="AJ51" i="1"/>
  <c r="AK47" i="1"/>
  <c r="AL47" i="1"/>
  <c r="AJ47" i="1"/>
  <c r="AK43" i="1"/>
  <c r="AL43" i="1"/>
  <c r="AJ43" i="1"/>
  <c r="AK39" i="1"/>
  <c r="AL39" i="1"/>
  <c r="AJ39" i="1"/>
  <c r="AK35" i="1"/>
  <c r="AL35" i="1"/>
  <c r="AJ35" i="1"/>
  <c r="AK31" i="1"/>
  <c r="AL31" i="1"/>
  <c r="AJ31" i="1"/>
  <c r="AK27" i="1"/>
  <c r="AL27" i="1"/>
  <c r="AJ27" i="1"/>
  <c r="AL22" i="1"/>
  <c r="AK22" i="1"/>
  <c r="AJ22" i="1"/>
  <c r="AL18" i="1"/>
  <c r="AK18" i="1"/>
  <c r="AJ18" i="1"/>
  <c r="AL14" i="1"/>
  <c r="AK14" i="1"/>
  <c r="AJ14" i="1"/>
  <c r="AL12" i="1"/>
  <c r="AJ12" i="1"/>
  <c r="AK12" i="1"/>
  <c r="AL10" i="1"/>
  <c r="AK10" i="1"/>
  <c r="AJ10" i="1"/>
  <c r="AL8" i="1"/>
  <c r="AJ8" i="1"/>
  <c r="AK8" i="1"/>
  <c r="AL108" i="1"/>
  <c r="AK108" i="1"/>
  <c r="AJ108" i="1"/>
  <c r="AL106" i="1"/>
  <c r="AJ106" i="1"/>
  <c r="AK106" i="1"/>
  <c r="AL104" i="1"/>
  <c r="AK104" i="1"/>
  <c r="AJ104" i="1"/>
  <c r="AL102" i="1"/>
  <c r="AJ102" i="1"/>
  <c r="AK102" i="1"/>
  <c r="AL100" i="1"/>
  <c r="AK100" i="1"/>
  <c r="AJ100" i="1"/>
  <c r="AL98" i="1"/>
  <c r="AJ98" i="1"/>
  <c r="AK98" i="1"/>
  <c r="AL96" i="1"/>
  <c r="AK96" i="1"/>
  <c r="AJ96" i="1"/>
  <c r="AL94" i="1"/>
  <c r="AJ94" i="1"/>
  <c r="AK94" i="1"/>
  <c r="AL92" i="1"/>
  <c r="AK92" i="1"/>
  <c r="AJ92" i="1"/>
  <c r="AL90" i="1"/>
  <c r="AJ90" i="1"/>
  <c r="AK90" i="1"/>
  <c r="AL88" i="1"/>
  <c r="AK88" i="1"/>
  <c r="AJ88" i="1"/>
  <c r="AL86" i="1"/>
  <c r="AJ86" i="1"/>
  <c r="AK86" i="1"/>
  <c r="AL84" i="1"/>
  <c r="AK84" i="1"/>
  <c r="AJ84" i="1"/>
  <c r="AL82" i="1"/>
  <c r="AJ82" i="1"/>
  <c r="AK82" i="1"/>
  <c r="AL80" i="1"/>
  <c r="AK80" i="1"/>
  <c r="AJ80" i="1"/>
  <c r="AL78" i="1"/>
  <c r="AJ78" i="1"/>
  <c r="AK78" i="1"/>
  <c r="AL76" i="1"/>
  <c r="AK76" i="1"/>
  <c r="AJ76" i="1"/>
  <c r="AL74" i="1"/>
  <c r="AK74" i="1"/>
  <c r="AJ74" i="1"/>
  <c r="AL72" i="1"/>
  <c r="AJ72" i="1"/>
  <c r="AK72" i="1"/>
  <c r="AL70" i="1"/>
  <c r="AK70" i="1"/>
  <c r="AJ70" i="1"/>
  <c r="AL68" i="1"/>
  <c r="AK68" i="1"/>
  <c r="AJ68" i="1"/>
  <c r="AL66" i="1"/>
  <c r="AK66" i="1"/>
  <c r="AJ66" i="1"/>
  <c r="AL64" i="1"/>
  <c r="AJ64" i="1"/>
  <c r="AK64" i="1"/>
  <c r="AL62" i="1"/>
  <c r="AK62" i="1"/>
  <c r="AJ62" i="1"/>
  <c r="AL60" i="1"/>
  <c r="AJ60" i="1"/>
  <c r="AK60" i="1"/>
  <c r="AL58" i="1"/>
  <c r="AK58" i="1"/>
  <c r="AJ58" i="1"/>
  <c r="AL56" i="1"/>
  <c r="AJ56" i="1"/>
  <c r="AK56" i="1"/>
  <c r="AL54" i="1"/>
  <c r="AK54" i="1"/>
  <c r="AJ54" i="1"/>
  <c r="AL52" i="1"/>
  <c r="AJ52" i="1"/>
  <c r="AK52" i="1"/>
  <c r="AL50" i="1"/>
  <c r="AK50" i="1"/>
  <c r="AJ50" i="1"/>
  <c r="AL48" i="1"/>
  <c r="AJ48" i="1"/>
  <c r="AK48" i="1"/>
  <c r="AL46" i="1"/>
  <c r="AK46" i="1"/>
  <c r="AJ46" i="1"/>
  <c r="AL44" i="1"/>
  <c r="AJ44" i="1"/>
  <c r="AK44" i="1"/>
  <c r="AL42" i="1"/>
  <c r="AK42" i="1"/>
  <c r="AJ42" i="1"/>
  <c r="AL40" i="1"/>
  <c r="AJ40" i="1"/>
  <c r="AK40" i="1"/>
  <c r="AL38" i="1"/>
  <c r="AK38" i="1"/>
  <c r="AJ38" i="1"/>
  <c r="AL36" i="1"/>
  <c r="AJ36" i="1"/>
  <c r="AK36" i="1"/>
  <c r="AL34" i="1"/>
  <c r="AK34" i="1"/>
  <c r="AJ34" i="1"/>
  <c r="AL32" i="1"/>
  <c r="AJ32" i="1"/>
  <c r="AK32" i="1"/>
  <c r="AL30" i="1"/>
  <c r="AK30" i="1"/>
  <c r="AJ30" i="1"/>
  <c r="AL28" i="1"/>
  <c r="AJ28" i="1"/>
  <c r="AK28" i="1"/>
  <c r="AL26" i="1"/>
  <c r="AK26" i="1"/>
  <c r="AJ26" i="1"/>
  <c r="AK23" i="1"/>
  <c r="AL23" i="1"/>
  <c r="AJ23" i="1"/>
  <c r="AK21" i="1"/>
  <c r="AL21" i="1"/>
  <c r="AJ21" i="1"/>
  <c r="AK19" i="1"/>
  <c r="AL19" i="1"/>
  <c r="AJ19" i="1"/>
  <c r="AK17" i="1"/>
  <c r="AL17" i="1"/>
  <c r="AJ17" i="1"/>
  <c r="AK15" i="1"/>
  <c r="AL15" i="1"/>
  <c r="AJ15" i="1"/>
  <c r="AK13" i="1"/>
  <c r="AL13" i="1"/>
  <c r="AJ13" i="1"/>
  <c r="AK11" i="1"/>
  <c r="AL11" i="1"/>
  <c r="AJ11" i="1"/>
  <c r="AK9" i="1"/>
  <c r="AL9" i="1"/>
  <c r="AJ9" i="1"/>
  <c r="Y90" i="1"/>
  <c r="Y64" i="1"/>
  <c r="Y56" i="1"/>
  <c r="Y40" i="1"/>
  <c r="Y38" i="1"/>
  <c r="AC6" i="1"/>
  <c r="AL105" i="1"/>
  <c r="AK105" i="1"/>
  <c r="AJ105" i="1"/>
  <c r="AL101" i="1"/>
  <c r="AK101" i="1"/>
  <c r="AJ101" i="1"/>
  <c r="AL97" i="1"/>
  <c r="AK97" i="1"/>
  <c r="AJ97" i="1"/>
  <c r="AL93" i="1"/>
  <c r="AK93" i="1"/>
  <c r="AJ93" i="1"/>
  <c r="AL89" i="1"/>
  <c r="AK89" i="1"/>
  <c r="AJ89" i="1"/>
  <c r="AL85" i="1"/>
  <c r="AK85" i="1"/>
  <c r="AJ85" i="1"/>
  <c r="AL81" i="1"/>
  <c r="AK81" i="1"/>
  <c r="AJ81" i="1"/>
  <c r="AL77" i="1"/>
  <c r="AK77" i="1"/>
  <c r="AJ77" i="1"/>
  <c r="AK73" i="1"/>
  <c r="AL73" i="1"/>
  <c r="AJ73" i="1"/>
  <c r="AK69" i="1"/>
  <c r="AL69" i="1"/>
  <c r="AJ69" i="1"/>
  <c r="AK65" i="1"/>
  <c r="AL65" i="1"/>
  <c r="AJ65" i="1"/>
  <c r="AK61" i="1"/>
  <c r="AL61" i="1"/>
  <c r="AJ61" i="1"/>
  <c r="AK57" i="1"/>
  <c r="AL57" i="1"/>
  <c r="AJ57" i="1"/>
  <c r="AK53" i="1"/>
  <c r="AL53" i="1"/>
  <c r="AJ53" i="1"/>
  <c r="AK49" i="1"/>
  <c r="AL49" i="1"/>
  <c r="AJ49" i="1"/>
  <c r="AK45" i="1"/>
  <c r="AL45" i="1"/>
  <c r="AJ45" i="1"/>
  <c r="AK41" i="1"/>
  <c r="AL41" i="1"/>
  <c r="AJ41" i="1"/>
  <c r="AK37" i="1"/>
  <c r="AL37" i="1"/>
  <c r="AJ37" i="1"/>
  <c r="AK33" i="1"/>
  <c r="AL33" i="1"/>
  <c r="AJ33" i="1"/>
  <c r="AK29" i="1"/>
  <c r="AL29" i="1"/>
  <c r="AJ29" i="1"/>
  <c r="AK25" i="1"/>
  <c r="AL25" i="1"/>
  <c r="AJ25" i="1"/>
  <c r="AL20" i="1"/>
  <c r="AJ20" i="1"/>
  <c r="AK20" i="1"/>
  <c r="AL16" i="1"/>
  <c r="AL6" i="1" s="1"/>
  <c r="AJ16" i="1"/>
  <c r="AK16" i="1"/>
  <c r="AK6" i="1" s="1"/>
  <c r="Y22" i="1"/>
  <c r="Y12" i="1"/>
  <c r="Y10" i="1"/>
  <c r="W6" i="1"/>
  <c r="Z11" i="1"/>
  <c r="Y23" i="1"/>
  <c r="Y19" i="1"/>
  <c r="Y15" i="1"/>
  <c r="Y11" i="1"/>
  <c r="AF6" i="1"/>
  <c r="AJ6" i="1"/>
  <c r="AH6" i="1"/>
  <c r="AG6" i="1"/>
  <c r="AE6" i="1"/>
  <c r="L6" i="1"/>
  <c r="K6" i="1"/>
  <c r="J6" i="1"/>
</calcChain>
</file>

<file path=xl/sharedStrings.xml><?xml version="1.0" encoding="utf-8"?>
<sst xmlns="http://schemas.openxmlformats.org/spreadsheetml/2006/main" count="262" uniqueCount="139">
  <si>
    <t>Период: 12.11.2025 - 19.11.2025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</si>
  <si>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</si>
  <si>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</si>
  <si>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</si>
  <si>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</si>
  <si>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</si>
  <si>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</si>
  <si>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</si>
  <si>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</si>
  <si>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</si>
  <si>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</si>
  <si>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</si>
  <si>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</si>
  <si>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</si>
  <si>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</si>
  <si>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</si>
  <si>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</si>
  <si>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</si>
  <si>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</si>
  <si>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</si>
  <si>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</si>
  <si>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</si>
  <si>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</si>
  <si>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</si>
  <si>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</si>
  <si>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</si>
  <si>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</si>
  <si>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</si>
  <si>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</si>
  <si>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</si>
  <si>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</si>
  <si>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</si>
  <si>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</si>
  <si>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</si>
  <si>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</si>
  <si>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</si>
  <si>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</si>
  <si>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</si>
  <si>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</si>
  <si>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</si>
  <si>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</si>
  <si>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</si>
  <si>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</si>
  <si>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</si>
  <si>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</si>
  <si>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</si>
  <si>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</si>
  <si>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</si>
  <si>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</si>
  <si>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</si>
  <si>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</si>
  <si>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</si>
  <si>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</si>
  <si>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</si>
  <si>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</si>
  <si>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</si>
  <si>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</si>
  <si>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</si>
  <si>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</si>
  <si>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</si>
  <si>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</si>
  <si>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</si>
  <si>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</si>
  <si>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</si>
  <si>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</si>
  <si>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</si>
  <si>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</si>
  <si>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</si>
  <si>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</si>
  <si>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</si>
  <si>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</si>
  <si>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</si>
  <si>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</si>
  <si>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</si>
  <si>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</si>
  <si>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</si>
  <si>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</si>
  <si>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</si>
  <si>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</si>
  <si>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</si>
  <si>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</si>
  <si>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</si>
  <si>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</si>
  <si>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</si>
  <si>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</si>
  <si>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</si>
  <si>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</si>
  <si>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</si>
  <si>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</si>
  <si>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</si>
  <si>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</si>
  <si>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</si>
  <si>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</si>
  <si>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</si>
  <si>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</si>
  <si>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</si>
  <si>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</si>
  <si>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</si>
  <si>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</si>
  <si>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</si>
  <si>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</si>
  <si>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</si>
  <si>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</si>
  <si>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</si>
  <si>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</si>
  <si>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</si>
  <si>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</si>
  <si>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</si>
  <si>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</si>
  <si>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</si>
  <si>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</si>
  <si>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</si>
  <si>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</si>
  <si>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</si>
  <si>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</si>
  <si>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</si>
  <si>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</si>
  <si>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</si>
  <si>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</si>
  <si>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</si>
  <si>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</si>
  <si>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</si>
  <si>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</si>
  <si>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</si>
  <si>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</si>
  <si>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</si>
  <si>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</si>
  <si>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</si>
  <si>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20,11,</t>
  </si>
  <si>
    <t>24,11,</t>
  </si>
  <si>
    <t>25,11,</t>
  </si>
  <si>
    <t>24,10,</t>
  </si>
  <si>
    <t>31,10,</t>
  </si>
  <si>
    <t>07,11,</t>
  </si>
  <si>
    <t>14,11,</t>
  </si>
  <si>
    <t>19,11,</t>
  </si>
  <si>
    <t>14,5т</t>
  </si>
  <si>
    <t>17т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</si>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</sst>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  <xf numFmtId="164" fontId="7" fillId="5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4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3-19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9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8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07.11.2025 - 14.11.2025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14,11,</v>
          </cell>
          <cell r="M5" t="str">
            <v>17,11,</v>
          </cell>
          <cell r="N5" t="str">
            <v>18,11,</v>
          </cell>
          <cell r="O5" t="str">
            <v>19,11,</v>
          </cell>
          <cell r="X5" t="str">
            <v>20,11,</v>
          </cell>
          <cell r="AD5" t="str">
            <v>17,10,</v>
          </cell>
          <cell r="AE5" t="str">
            <v>24,10,</v>
          </cell>
          <cell r="AF5" t="str">
            <v>31,10,</v>
          </cell>
          <cell r="AG5" t="str">
            <v>07,11,</v>
          </cell>
          <cell r="AH5" t="str">
            <v>14,11,</v>
          </cell>
        </row>
        <row r="6">
          <cell r="E6">
            <v>135882.90999999997</v>
          </cell>
          <cell r="F6">
            <v>74525.174000000014</v>
          </cell>
          <cell r="J6">
            <v>137831.40100000001</v>
          </cell>
          <cell r="K6">
            <v>-1948.4909999999998</v>
          </cell>
          <cell r="L6">
            <v>33150</v>
          </cell>
          <cell r="M6">
            <v>14390</v>
          </cell>
          <cell r="N6">
            <v>26430</v>
          </cell>
          <cell r="O6">
            <v>26790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24538.180799999998</v>
          </cell>
          <cell r="X6">
            <v>27550</v>
          </cell>
          <cell r="AA6">
            <v>0</v>
          </cell>
          <cell r="AB6">
            <v>0</v>
          </cell>
          <cell r="AC6">
            <v>13192.006000000001</v>
          </cell>
          <cell r="AD6">
            <v>23426.147000000001</v>
          </cell>
          <cell r="AE6">
            <v>24088.576399999998</v>
          </cell>
          <cell r="AF6">
            <v>23851.667400000002</v>
          </cell>
          <cell r="AG6">
            <v>26027.048600000009</v>
          </cell>
          <cell r="AH6">
            <v>24321.401000000005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604.37400000000002</v>
          </cell>
          <cell r="D7">
            <v>530.92399999999998</v>
          </cell>
          <cell r="E7">
            <v>436.02100000000002</v>
          </cell>
          <cell r="F7">
            <v>695.245</v>
          </cell>
          <cell r="G7" t="str">
            <v>н</v>
          </cell>
          <cell r="H7">
            <v>1</v>
          </cell>
          <cell r="I7">
            <v>45</v>
          </cell>
          <cell r="J7">
            <v>441.1</v>
          </cell>
          <cell r="K7">
            <v>-5.0790000000000077</v>
          </cell>
          <cell r="L7">
            <v>100</v>
          </cell>
          <cell r="M7">
            <v>100</v>
          </cell>
          <cell r="N7">
            <v>100</v>
          </cell>
          <cell r="O7">
            <v>0</v>
          </cell>
          <cell r="W7">
            <v>87.2042</v>
          </cell>
          <cell r="X7">
            <v>50</v>
          </cell>
          <cell r="Y7">
            <v>11.986177271278217</v>
          </cell>
          <cell r="Z7">
            <v>7.9726091174507649</v>
          </cell>
          <cell r="AC7">
            <v>0</v>
          </cell>
          <cell r="AD7">
            <v>82.852400000000003</v>
          </cell>
          <cell r="AE7">
            <v>84.582799999999992</v>
          </cell>
          <cell r="AF7">
            <v>87.911199999999994</v>
          </cell>
          <cell r="AG7">
            <v>94.776800000000009</v>
          </cell>
          <cell r="AH7">
            <v>93.245000000000005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213.792</v>
          </cell>
          <cell r="D8">
            <v>2202.8200000000002</v>
          </cell>
          <cell r="E8">
            <v>1366.4559999999999</v>
          </cell>
          <cell r="F8">
            <v>1014.653</v>
          </cell>
          <cell r="G8" t="str">
            <v>ябл</v>
          </cell>
          <cell r="H8">
            <v>1</v>
          </cell>
          <cell r="I8">
            <v>45</v>
          </cell>
          <cell r="J8">
            <v>1438.5619999999999</v>
          </cell>
          <cell r="K8">
            <v>-72.105999999999995</v>
          </cell>
          <cell r="L8">
            <v>450</v>
          </cell>
          <cell r="M8">
            <v>0</v>
          </cell>
          <cell r="N8">
            <v>220</v>
          </cell>
          <cell r="O8">
            <v>400</v>
          </cell>
          <cell r="W8">
            <v>273.2912</v>
          </cell>
          <cell r="X8">
            <v>150</v>
          </cell>
          <cell r="Y8">
            <v>8.1768201830135769</v>
          </cell>
          <cell r="Z8">
            <v>3.7127174237589795</v>
          </cell>
          <cell r="AC8">
            <v>0</v>
          </cell>
          <cell r="AD8">
            <v>106.05799999999999</v>
          </cell>
          <cell r="AE8">
            <v>100.5042</v>
          </cell>
          <cell r="AF8">
            <v>119.49480000000001</v>
          </cell>
          <cell r="AG8">
            <v>323.37479999999999</v>
          </cell>
          <cell r="AH8">
            <v>206.27099999999999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1217.9739999999999</v>
          </cell>
          <cell r="D9">
            <v>1564.7170000000001</v>
          </cell>
          <cell r="E9">
            <v>1779.722</v>
          </cell>
          <cell r="F9">
            <v>959.59400000000005</v>
          </cell>
          <cell r="G9">
            <v>0</v>
          </cell>
          <cell r="H9">
            <v>1</v>
          </cell>
          <cell r="I9">
            <v>45</v>
          </cell>
          <cell r="J9">
            <v>1781.9929999999999</v>
          </cell>
          <cell r="K9">
            <v>-2.2709999999999582</v>
          </cell>
          <cell r="L9">
            <v>400</v>
          </cell>
          <cell r="M9">
            <v>500</v>
          </cell>
          <cell r="N9">
            <v>400</v>
          </cell>
          <cell r="O9">
            <v>300</v>
          </cell>
          <cell r="W9">
            <v>355.94439999999997</v>
          </cell>
          <cell r="X9">
            <v>300</v>
          </cell>
          <cell r="Y9">
            <v>8.0338221362662274</v>
          </cell>
          <cell r="Z9">
            <v>2.6959098106333466</v>
          </cell>
          <cell r="AC9">
            <v>0</v>
          </cell>
          <cell r="AD9">
            <v>403.12939999999998</v>
          </cell>
          <cell r="AE9">
            <v>415.6112</v>
          </cell>
          <cell r="AF9">
            <v>431.65020000000004</v>
          </cell>
          <cell r="AG9">
            <v>369.14879999999999</v>
          </cell>
          <cell r="AH9">
            <v>309.57900000000001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606</v>
          </cell>
          <cell r="D10">
            <v>3124</v>
          </cell>
          <cell r="E10">
            <v>2779</v>
          </cell>
          <cell r="F10">
            <v>902</v>
          </cell>
          <cell r="G10" t="str">
            <v>ябл</v>
          </cell>
          <cell r="H10">
            <v>0.4</v>
          </cell>
          <cell r="I10">
            <v>45</v>
          </cell>
          <cell r="J10">
            <v>2834</v>
          </cell>
          <cell r="K10">
            <v>-55</v>
          </cell>
          <cell r="L10">
            <v>500</v>
          </cell>
          <cell r="M10">
            <v>400</v>
          </cell>
          <cell r="N10">
            <v>500</v>
          </cell>
          <cell r="O10">
            <v>500</v>
          </cell>
          <cell r="W10">
            <v>395.8</v>
          </cell>
          <cell r="X10">
            <v>350</v>
          </cell>
          <cell r="Y10">
            <v>7.9636179888832741</v>
          </cell>
          <cell r="Z10">
            <v>2.2789287518948962</v>
          </cell>
          <cell r="AC10">
            <v>800</v>
          </cell>
          <cell r="AD10">
            <v>427.6</v>
          </cell>
          <cell r="AE10">
            <v>444.2</v>
          </cell>
          <cell r="AF10">
            <v>402.2</v>
          </cell>
          <cell r="AG10">
            <v>397.6</v>
          </cell>
          <cell r="AH10">
            <v>421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1655</v>
          </cell>
          <cell r="D11">
            <v>5617</v>
          </cell>
          <cell r="E11">
            <v>5068</v>
          </cell>
          <cell r="F11">
            <v>2127</v>
          </cell>
          <cell r="G11">
            <v>0</v>
          </cell>
          <cell r="H11">
            <v>0.45</v>
          </cell>
          <cell r="I11">
            <v>45</v>
          </cell>
          <cell r="J11">
            <v>5141</v>
          </cell>
          <cell r="K11">
            <v>-73</v>
          </cell>
          <cell r="L11">
            <v>800</v>
          </cell>
          <cell r="M11">
            <v>0</v>
          </cell>
          <cell r="N11">
            <v>900</v>
          </cell>
          <cell r="O11">
            <v>900</v>
          </cell>
          <cell r="W11">
            <v>732.8</v>
          </cell>
          <cell r="X11">
            <v>1100</v>
          </cell>
          <cell r="Y11">
            <v>7.9516921397379914</v>
          </cell>
          <cell r="Z11">
            <v>2.9025655021834065</v>
          </cell>
          <cell r="AC11">
            <v>1404</v>
          </cell>
          <cell r="AD11">
            <v>929.2</v>
          </cell>
          <cell r="AE11">
            <v>882.6</v>
          </cell>
          <cell r="AF11">
            <v>795.6</v>
          </cell>
          <cell r="AG11">
            <v>785.4</v>
          </cell>
          <cell r="AH11">
            <v>841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1066</v>
          </cell>
          <cell r="D12">
            <v>6099</v>
          </cell>
          <cell r="E12">
            <v>5017</v>
          </cell>
          <cell r="F12">
            <v>2080</v>
          </cell>
          <cell r="G12">
            <v>0</v>
          </cell>
          <cell r="H12">
            <v>0.45</v>
          </cell>
          <cell r="I12">
            <v>45</v>
          </cell>
          <cell r="J12">
            <v>5079</v>
          </cell>
          <cell r="K12">
            <v>-62</v>
          </cell>
          <cell r="L12">
            <v>900</v>
          </cell>
          <cell r="M12">
            <v>600</v>
          </cell>
          <cell r="N12">
            <v>800</v>
          </cell>
          <cell r="O12">
            <v>1100</v>
          </cell>
          <cell r="W12">
            <v>763.4</v>
          </cell>
          <cell r="X12">
            <v>700</v>
          </cell>
          <cell r="Y12">
            <v>8.0953628504060777</v>
          </cell>
          <cell r="Z12">
            <v>2.7246528687450877</v>
          </cell>
          <cell r="AC12">
            <v>1200</v>
          </cell>
          <cell r="AD12">
            <v>676</v>
          </cell>
          <cell r="AE12">
            <v>644.20000000000005</v>
          </cell>
          <cell r="AF12">
            <v>649.4</v>
          </cell>
          <cell r="AG12">
            <v>807.8</v>
          </cell>
          <cell r="AH12">
            <v>667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28</v>
          </cell>
          <cell r="D13">
            <v>134</v>
          </cell>
          <cell r="E13">
            <v>64</v>
          </cell>
          <cell r="F13">
            <v>94</v>
          </cell>
          <cell r="G13">
            <v>0</v>
          </cell>
          <cell r="H13">
            <v>0.4</v>
          </cell>
          <cell r="I13">
            <v>50</v>
          </cell>
          <cell r="J13">
            <v>66</v>
          </cell>
          <cell r="K13">
            <v>-2</v>
          </cell>
          <cell r="L13">
            <v>20</v>
          </cell>
          <cell r="M13">
            <v>0</v>
          </cell>
          <cell r="N13">
            <v>0</v>
          </cell>
          <cell r="O13">
            <v>0</v>
          </cell>
          <cell r="W13">
            <v>12.8</v>
          </cell>
          <cell r="Y13">
            <v>8.90625</v>
          </cell>
          <cell r="Z13">
            <v>7.34375</v>
          </cell>
          <cell r="AC13">
            <v>0</v>
          </cell>
          <cell r="AD13">
            <v>12.2</v>
          </cell>
          <cell r="AE13">
            <v>12</v>
          </cell>
          <cell r="AF13">
            <v>14.6</v>
          </cell>
          <cell r="AG13">
            <v>19.399999999999999</v>
          </cell>
          <cell r="AH13">
            <v>10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115</v>
          </cell>
          <cell r="D14">
            <v>500</v>
          </cell>
          <cell r="E14">
            <v>343</v>
          </cell>
          <cell r="F14">
            <v>269</v>
          </cell>
          <cell r="G14">
            <v>0</v>
          </cell>
          <cell r="H14">
            <v>0.17</v>
          </cell>
          <cell r="I14">
            <v>180</v>
          </cell>
          <cell r="J14">
            <v>346</v>
          </cell>
          <cell r="K14">
            <v>-3</v>
          </cell>
          <cell r="L14">
            <v>500</v>
          </cell>
          <cell r="M14">
            <v>0</v>
          </cell>
          <cell r="N14">
            <v>0</v>
          </cell>
          <cell r="O14">
            <v>0</v>
          </cell>
          <cell r="W14">
            <v>68.599999999999994</v>
          </cell>
          <cell r="Y14">
            <v>11.20991253644315</v>
          </cell>
          <cell r="Z14">
            <v>3.9212827988338197</v>
          </cell>
          <cell r="AC14">
            <v>0</v>
          </cell>
          <cell r="AD14">
            <v>56</v>
          </cell>
          <cell r="AE14">
            <v>55.2</v>
          </cell>
          <cell r="AF14">
            <v>60.4</v>
          </cell>
          <cell r="AG14">
            <v>77</v>
          </cell>
          <cell r="AH14">
            <v>49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180</v>
          </cell>
          <cell r="D15">
            <v>430</v>
          </cell>
          <cell r="E15">
            <v>340</v>
          </cell>
          <cell r="F15">
            <v>266</v>
          </cell>
          <cell r="G15">
            <v>0</v>
          </cell>
          <cell r="H15">
            <v>0.3</v>
          </cell>
          <cell r="I15">
            <v>40</v>
          </cell>
          <cell r="J15">
            <v>348</v>
          </cell>
          <cell r="K15">
            <v>-8</v>
          </cell>
          <cell r="L15">
            <v>70</v>
          </cell>
          <cell r="M15">
            <v>0</v>
          </cell>
          <cell r="N15">
            <v>70</v>
          </cell>
          <cell r="O15">
            <v>80</v>
          </cell>
          <cell r="W15">
            <v>68</v>
          </cell>
          <cell r="X15">
            <v>60</v>
          </cell>
          <cell r="Y15">
            <v>8.0294117647058822</v>
          </cell>
          <cell r="Z15">
            <v>3.9117647058823528</v>
          </cell>
          <cell r="AC15">
            <v>0</v>
          </cell>
          <cell r="AD15">
            <v>80.400000000000006</v>
          </cell>
          <cell r="AE15">
            <v>76.2</v>
          </cell>
          <cell r="AF15">
            <v>80.599999999999994</v>
          </cell>
          <cell r="AG15">
            <v>81.400000000000006</v>
          </cell>
          <cell r="AH15">
            <v>62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379</v>
          </cell>
          <cell r="D16">
            <v>2522</v>
          </cell>
          <cell r="E16">
            <v>1341</v>
          </cell>
          <cell r="F16">
            <v>1546</v>
          </cell>
          <cell r="G16">
            <v>0</v>
          </cell>
          <cell r="H16">
            <v>0.17</v>
          </cell>
          <cell r="I16">
            <v>180</v>
          </cell>
          <cell r="J16">
            <v>1382</v>
          </cell>
          <cell r="K16">
            <v>-41</v>
          </cell>
          <cell r="L16">
            <v>2000</v>
          </cell>
          <cell r="M16">
            <v>0</v>
          </cell>
          <cell r="N16">
            <v>0</v>
          </cell>
          <cell r="O16">
            <v>0</v>
          </cell>
          <cell r="W16">
            <v>268.2</v>
          </cell>
          <cell r="Y16">
            <v>13.221476510067115</v>
          </cell>
          <cell r="Z16">
            <v>5.7643549589858321</v>
          </cell>
          <cell r="AC16">
            <v>0</v>
          </cell>
          <cell r="AD16">
            <v>274</v>
          </cell>
          <cell r="AE16">
            <v>268.60000000000002</v>
          </cell>
          <cell r="AF16">
            <v>272</v>
          </cell>
          <cell r="AG16">
            <v>335.6</v>
          </cell>
          <cell r="AH16">
            <v>248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436</v>
          </cell>
          <cell r="D17">
            <v>451</v>
          </cell>
          <cell r="E17">
            <v>321</v>
          </cell>
          <cell r="F17">
            <v>554</v>
          </cell>
          <cell r="G17">
            <v>0</v>
          </cell>
          <cell r="H17">
            <v>0.35</v>
          </cell>
          <cell r="I17">
            <v>45</v>
          </cell>
          <cell r="J17">
            <v>325</v>
          </cell>
          <cell r="K17">
            <v>-4</v>
          </cell>
          <cell r="L17">
            <v>100</v>
          </cell>
          <cell r="M17">
            <v>70</v>
          </cell>
          <cell r="N17">
            <v>70</v>
          </cell>
          <cell r="O17">
            <v>0</v>
          </cell>
          <cell r="W17">
            <v>64.2</v>
          </cell>
          <cell r="Y17">
            <v>12.367601246105918</v>
          </cell>
          <cell r="Z17">
            <v>8.6292834890965722</v>
          </cell>
          <cell r="AC17">
            <v>0</v>
          </cell>
          <cell r="AD17">
            <v>47.4</v>
          </cell>
          <cell r="AE17">
            <v>48.8</v>
          </cell>
          <cell r="AF17">
            <v>70</v>
          </cell>
          <cell r="AG17">
            <v>73.400000000000006</v>
          </cell>
          <cell r="AH17">
            <v>80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30</v>
          </cell>
          <cell r="D18">
            <v>192</v>
          </cell>
          <cell r="E18">
            <v>79</v>
          </cell>
          <cell r="F18">
            <v>143</v>
          </cell>
          <cell r="G18" t="str">
            <v>н</v>
          </cell>
          <cell r="H18">
            <v>0.35</v>
          </cell>
          <cell r="I18">
            <v>45</v>
          </cell>
          <cell r="J18">
            <v>79</v>
          </cell>
          <cell r="K18">
            <v>0</v>
          </cell>
          <cell r="L18">
            <v>40</v>
          </cell>
          <cell r="M18">
            <v>0</v>
          </cell>
          <cell r="N18">
            <v>0</v>
          </cell>
          <cell r="O18">
            <v>0</v>
          </cell>
          <cell r="W18">
            <v>15.8</v>
          </cell>
          <cell r="Y18">
            <v>11.582278481012658</v>
          </cell>
          <cell r="Z18">
            <v>9.0506329113924053</v>
          </cell>
          <cell r="AC18">
            <v>0</v>
          </cell>
          <cell r="AD18">
            <v>21.6</v>
          </cell>
          <cell r="AE18">
            <v>21.6</v>
          </cell>
          <cell r="AF18">
            <v>17.8</v>
          </cell>
          <cell r="AG18">
            <v>27.2</v>
          </cell>
          <cell r="AH18">
            <v>19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205</v>
          </cell>
          <cell r="D19">
            <v>482</v>
          </cell>
          <cell r="E19">
            <v>375</v>
          </cell>
          <cell r="F19">
            <v>311</v>
          </cell>
          <cell r="G19">
            <v>0</v>
          </cell>
          <cell r="H19">
            <v>0.35</v>
          </cell>
          <cell r="I19">
            <v>45</v>
          </cell>
          <cell r="J19">
            <v>375</v>
          </cell>
          <cell r="K19">
            <v>0</v>
          </cell>
          <cell r="L19">
            <v>100</v>
          </cell>
          <cell r="M19">
            <v>50</v>
          </cell>
          <cell r="N19">
            <v>60</v>
          </cell>
          <cell r="O19">
            <v>30</v>
          </cell>
          <cell r="W19">
            <v>75</v>
          </cell>
          <cell r="X19">
            <v>100</v>
          </cell>
          <cell r="Y19">
            <v>8.68</v>
          </cell>
          <cell r="Z19">
            <v>4.1466666666666665</v>
          </cell>
          <cell r="AC19">
            <v>0</v>
          </cell>
          <cell r="AD19">
            <v>30.4</v>
          </cell>
          <cell r="AE19">
            <v>27.8</v>
          </cell>
          <cell r="AF19">
            <v>28.8</v>
          </cell>
          <cell r="AG19">
            <v>85.8</v>
          </cell>
          <cell r="AH19">
            <v>86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104</v>
          </cell>
          <cell r="D20">
            <v>770</v>
          </cell>
          <cell r="E20">
            <v>579</v>
          </cell>
          <cell r="F20">
            <v>289</v>
          </cell>
          <cell r="G20">
            <v>0</v>
          </cell>
          <cell r="H20">
            <v>0.35</v>
          </cell>
          <cell r="I20">
            <v>45</v>
          </cell>
          <cell r="J20">
            <v>586</v>
          </cell>
          <cell r="K20">
            <v>-7</v>
          </cell>
          <cell r="L20">
            <v>150</v>
          </cell>
          <cell r="M20">
            <v>100</v>
          </cell>
          <cell r="N20">
            <v>100</v>
          </cell>
          <cell r="O20">
            <v>50</v>
          </cell>
          <cell r="W20">
            <v>115.8</v>
          </cell>
          <cell r="X20">
            <v>300</v>
          </cell>
          <cell r="Y20">
            <v>8.5405872193436956</v>
          </cell>
          <cell r="Z20">
            <v>2.4956822107081176</v>
          </cell>
          <cell r="AC20">
            <v>0</v>
          </cell>
          <cell r="AD20">
            <v>106</v>
          </cell>
          <cell r="AE20">
            <v>99.8</v>
          </cell>
          <cell r="AF20">
            <v>105</v>
          </cell>
          <cell r="AG20">
            <v>111.2</v>
          </cell>
          <cell r="AH20">
            <v>177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373.32299999999998</v>
          </cell>
          <cell r="D21">
            <v>523.774</v>
          </cell>
          <cell r="E21">
            <v>641.59199999999998</v>
          </cell>
          <cell r="F21">
            <v>248.51900000000001</v>
          </cell>
          <cell r="G21">
            <v>0</v>
          </cell>
          <cell r="H21">
            <v>1</v>
          </cell>
          <cell r="I21">
            <v>50</v>
          </cell>
          <cell r="J21">
            <v>610.63199999999995</v>
          </cell>
          <cell r="K21">
            <v>30.960000000000036</v>
          </cell>
          <cell r="L21">
            <v>150</v>
          </cell>
          <cell r="M21">
            <v>150</v>
          </cell>
          <cell r="N21">
            <v>120</v>
          </cell>
          <cell r="O21">
            <v>230</v>
          </cell>
          <cell r="W21">
            <v>128.3184</v>
          </cell>
          <cell r="X21">
            <v>130</v>
          </cell>
          <cell r="Y21">
            <v>8.0153664634222377</v>
          </cell>
          <cell r="Z21">
            <v>1.9367370540779811</v>
          </cell>
          <cell r="AC21">
            <v>0</v>
          </cell>
          <cell r="AD21">
            <v>118.7548</v>
          </cell>
          <cell r="AE21">
            <v>129.5308</v>
          </cell>
          <cell r="AF21">
            <v>120.2912</v>
          </cell>
          <cell r="AG21">
            <v>114.94680000000001</v>
          </cell>
          <cell r="AH21">
            <v>95.331000000000003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3770.7089999999998</v>
          </cell>
          <cell r="D22">
            <v>4129.7579999999998</v>
          </cell>
          <cell r="E22">
            <v>5027.2449999999999</v>
          </cell>
          <cell r="F22">
            <v>2818.1959999999999</v>
          </cell>
          <cell r="G22">
            <v>0</v>
          </cell>
          <cell r="H22">
            <v>1</v>
          </cell>
          <cell r="I22">
            <v>50</v>
          </cell>
          <cell r="J22">
            <v>5091.5029999999997</v>
          </cell>
          <cell r="K22">
            <v>-64.257999999999811</v>
          </cell>
          <cell r="L22">
            <v>1000</v>
          </cell>
          <cell r="M22">
            <v>500</v>
          </cell>
          <cell r="N22">
            <v>1600</v>
          </cell>
          <cell r="O22">
            <v>700</v>
          </cell>
          <cell r="W22">
            <v>996.44439999999997</v>
          </cell>
          <cell r="X22">
            <v>1500</v>
          </cell>
          <cell r="Y22">
            <v>8.1471640565193599</v>
          </cell>
          <cell r="Z22">
            <v>2.8282521332851087</v>
          </cell>
          <cell r="AC22">
            <v>45.023000000000003</v>
          </cell>
          <cell r="AD22">
            <v>1027.8863999999999</v>
          </cell>
          <cell r="AE22">
            <v>984.81000000000006</v>
          </cell>
          <cell r="AF22">
            <v>1017.8922</v>
          </cell>
          <cell r="AG22">
            <v>958.80060000000014</v>
          </cell>
          <cell r="AH22">
            <v>1116.136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134.99600000000001</v>
          </cell>
          <cell r="D23">
            <v>366.34699999999998</v>
          </cell>
          <cell r="E23">
            <v>337.87200000000001</v>
          </cell>
          <cell r="F23">
            <v>157.286</v>
          </cell>
          <cell r="G23">
            <v>0</v>
          </cell>
          <cell r="H23">
            <v>1</v>
          </cell>
          <cell r="I23">
            <v>50</v>
          </cell>
          <cell r="J23">
            <v>330.19600000000003</v>
          </cell>
          <cell r="K23">
            <v>7.6759999999999877</v>
          </cell>
          <cell r="L23">
            <v>60</v>
          </cell>
          <cell r="M23">
            <v>110</v>
          </cell>
          <cell r="N23">
            <v>80</v>
          </cell>
          <cell r="O23">
            <v>80</v>
          </cell>
          <cell r="W23">
            <v>67.574399999999997</v>
          </cell>
          <cell r="X23">
            <v>60</v>
          </cell>
          <cell r="Y23">
            <v>8.0990138277217412</v>
          </cell>
          <cell r="Z23">
            <v>2.32759743334754</v>
          </cell>
          <cell r="AC23">
            <v>0</v>
          </cell>
          <cell r="AD23">
            <v>70.167000000000002</v>
          </cell>
          <cell r="AE23">
            <v>66.6798</v>
          </cell>
          <cell r="AF23">
            <v>68.246200000000002</v>
          </cell>
          <cell r="AG23">
            <v>62.67</v>
          </cell>
          <cell r="AH23">
            <v>45.84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1172.2429999999999</v>
          </cell>
          <cell r="D24">
            <v>581.61800000000005</v>
          </cell>
          <cell r="E24">
            <v>1736.4480000000001</v>
          </cell>
          <cell r="F24">
            <v>1352</v>
          </cell>
          <cell r="G24">
            <v>0</v>
          </cell>
          <cell r="H24">
            <v>1</v>
          </cell>
          <cell r="I24">
            <v>60</v>
          </cell>
          <cell r="J24">
            <v>1875.72</v>
          </cell>
          <cell r="K24">
            <v>-139.27199999999993</v>
          </cell>
          <cell r="L24">
            <v>500</v>
          </cell>
          <cell r="M24">
            <v>900</v>
          </cell>
          <cell r="N24">
            <v>600</v>
          </cell>
          <cell r="O24">
            <v>130</v>
          </cell>
          <cell r="W24">
            <v>347.28960000000001</v>
          </cell>
          <cell r="X24">
            <v>300</v>
          </cell>
          <cell r="Y24">
            <v>10.890046808196963</v>
          </cell>
          <cell r="Z24">
            <v>3.8930045702491523</v>
          </cell>
          <cell r="AC24">
            <v>0</v>
          </cell>
          <cell r="AD24">
            <v>356.36039999999997</v>
          </cell>
          <cell r="AE24">
            <v>431.96559999999999</v>
          </cell>
          <cell r="AF24">
            <v>463.44719999999995</v>
          </cell>
          <cell r="AG24">
            <v>417.33920000000001</v>
          </cell>
          <cell r="AH24">
            <v>-0.2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214.279</v>
          </cell>
          <cell r="D25">
            <v>838.72199999999998</v>
          </cell>
          <cell r="E25">
            <v>702.322</v>
          </cell>
          <cell r="F25">
            <v>343.72199999999998</v>
          </cell>
          <cell r="G25">
            <v>0</v>
          </cell>
          <cell r="H25">
            <v>1</v>
          </cell>
          <cell r="I25">
            <v>50</v>
          </cell>
          <cell r="J25">
            <v>685.03200000000004</v>
          </cell>
          <cell r="K25">
            <v>17.289999999999964</v>
          </cell>
          <cell r="L25">
            <v>150</v>
          </cell>
          <cell r="M25">
            <v>150</v>
          </cell>
          <cell r="N25">
            <v>150</v>
          </cell>
          <cell r="O25">
            <v>200</v>
          </cell>
          <cell r="W25">
            <v>140.46440000000001</v>
          </cell>
          <cell r="X25">
            <v>130</v>
          </cell>
          <cell r="Y25">
            <v>8.0000484108428882</v>
          </cell>
          <cell r="Z25">
            <v>2.4470399617269569</v>
          </cell>
          <cell r="AC25">
            <v>0</v>
          </cell>
          <cell r="AD25">
            <v>127.974</v>
          </cell>
          <cell r="AE25">
            <v>125.70099999999999</v>
          </cell>
          <cell r="AF25">
            <v>130.32900000000001</v>
          </cell>
          <cell r="AG25">
            <v>139.90299999999999</v>
          </cell>
          <cell r="AH25">
            <v>102.27800000000001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34.200000000000003</v>
          </cell>
          <cell r="D26">
            <v>265.44900000000001</v>
          </cell>
          <cell r="E26">
            <v>171.75399999999999</v>
          </cell>
          <cell r="F26">
            <v>127.895</v>
          </cell>
          <cell r="G26">
            <v>0</v>
          </cell>
          <cell r="H26">
            <v>1</v>
          </cell>
          <cell r="I26">
            <v>60</v>
          </cell>
          <cell r="J26">
            <v>163.107</v>
          </cell>
          <cell r="K26">
            <v>8.6469999999999914</v>
          </cell>
          <cell r="L26">
            <v>30</v>
          </cell>
          <cell r="M26">
            <v>30</v>
          </cell>
          <cell r="N26">
            <v>40</v>
          </cell>
          <cell r="O26">
            <v>50</v>
          </cell>
          <cell r="W26">
            <v>34.3508</v>
          </cell>
          <cell r="Y26">
            <v>8.0899134809087414</v>
          </cell>
          <cell r="Z26">
            <v>3.7232029530607731</v>
          </cell>
          <cell r="AC26">
            <v>0</v>
          </cell>
          <cell r="AD26">
            <v>29.461399999999998</v>
          </cell>
          <cell r="AE26">
            <v>34.070399999999999</v>
          </cell>
          <cell r="AF26">
            <v>31.187799999999999</v>
          </cell>
          <cell r="AG26">
            <v>37.2498</v>
          </cell>
          <cell r="AH26">
            <v>13.21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171.37</v>
          </cell>
          <cell r="D27">
            <v>523.65800000000002</v>
          </cell>
          <cell r="E27">
            <v>385.67899999999997</v>
          </cell>
          <cell r="F27">
            <v>298.83199999999999</v>
          </cell>
          <cell r="G27">
            <v>0</v>
          </cell>
          <cell r="H27">
            <v>1</v>
          </cell>
          <cell r="I27">
            <v>60</v>
          </cell>
          <cell r="J27">
            <v>378.01299999999998</v>
          </cell>
          <cell r="K27">
            <v>7.6659999999999968</v>
          </cell>
          <cell r="L27">
            <v>100</v>
          </cell>
          <cell r="M27">
            <v>0</v>
          </cell>
          <cell r="N27">
            <v>80</v>
          </cell>
          <cell r="O27">
            <v>100</v>
          </cell>
          <cell r="W27">
            <v>77.135799999999989</v>
          </cell>
          <cell r="X27">
            <v>50</v>
          </cell>
          <cell r="Y27">
            <v>8.1522717078191977</v>
          </cell>
          <cell r="Z27">
            <v>3.8741025567894547</v>
          </cell>
          <cell r="AC27">
            <v>0</v>
          </cell>
          <cell r="AD27">
            <v>90.177199999999999</v>
          </cell>
          <cell r="AE27">
            <v>92.053200000000004</v>
          </cell>
          <cell r="AF27">
            <v>80.45320000000001</v>
          </cell>
          <cell r="AG27">
            <v>89.840599999999995</v>
          </cell>
          <cell r="AH27">
            <v>47.475999999999999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42.954999999999998</v>
          </cell>
          <cell r="D28">
            <v>662.59</v>
          </cell>
          <cell r="E28">
            <v>365.59800000000001</v>
          </cell>
          <cell r="F28">
            <v>330.29500000000002</v>
          </cell>
          <cell r="G28">
            <v>0</v>
          </cell>
          <cell r="H28">
            <v>1</v>
          </cell>
          <cell r="I28">
            <v>60</v>
          </cell>
          <cell r="J28">
            <v>354.803</v>
          </cell>
          <cell r="K28">
            <v>10.795000000000016</v>
          </cell>
          <cell r="L28">
            <v>80</v>
          </cell>
          <cell r="M28">
            <v>0</v>
          </cell>
          <cell r="N28">
            <v>90</v>
          </cell>
          <cell r="O28">
            <v>50</v>
          </cell>
          <cell r="W28">
            <v>73.119600000000005</v>
          </cell>
          <cell r="X28">
            <v>40</v>
          </cell>
          <cell r="Y28">
            <v>8.0730064168841196</v>
          </cell>
          <cell r="Z28">
            <v>4.5171882778352179</v>
          </cell>
          <cell r="AC28">
            <v>0</v>
          </cell>
          <cell r="AD28">
            <v>71.119</v>
          </cell>
          <cell r="AE28">
            <v>64.119200000000006</v>
          </cell>
          <cell r="AF28">
            <v>69.344000000000008</v>
          </cell>
          <cell r="AG28">
            <v>90.138199999999998</v>
          </cell>
          <cell r="AH28">
            <v>53.103000000000002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25.193999999999999</v>
          </cell>
          <cell r="D29">
            <v>180.15</v>
          </cell>
          <cell r="E29">
            <v>90.906000000000006</v>
          </cell>
          <cell r="F29">
            <v>111.486</v>
          </cell>
          <cell r="G29">
            <v>0</v>
          </cell>
          <cell r="H29">
            <v>1</v>
          </cell>
          <cell r="I29">
            <v>30</v>
          </cell>
          <cell r="J29">
            <v>88.991</v>
          </cell>
          <cell r="K29">
            <v>1.9150000000000063</v>
          </cell>
          <cell r="L29">
            <v>20</v>
          </cell>
          <cell r="M29">
            <v>0</v>
          </cell>
          <cell r="N29">
            <v>0</v>
          </cell>
          <cell r="O29">
            <v>20</v>
          </cell>
          <cell r="W29">
            <v>18.1812</v>
          </cell>
          <cell r="Y29">
            <v>8.3320132884518063</v>
          </cell>
          <cell r="Z29">
            <v>6.1319384859085213</v>
          </cell>
          <cell r="AC29">
            <v>0</v>
          </cell>
          <cell r="AD29">
            <v>20.693000000000001</v>
          </cell>
          <cell r="AE29">
            <v>24.480799999999999</v>
          </cell>
          <cell r="AF29">
            <v>18.97</v>
          </cell>
          <cell r="AG29">
            <v>23.8978</v>
          </cell>
          <cell r="AH29">
            <v>11.161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84.926000000000002</v>
          </cell>
          <cell r="D30">
            <v>152.17500000000001</v>
          </cell>
          <cell r="E30">
            <v>175.48599999999999</v>
          </cell>
          <cell r="F30">
            <v>61.615000000000002</v>
          </cell>
          <cell r="G30" t="str">
            <v>н</v>
          </cell>
          <cell r="H30">
            <v>1</v>
          </cell>
          <cell r="I30">
            <v>30</v>
          </cell>
          <cell r="J30">
            <v>165.01</v>
          </cell>
          <cell r="K30">
            <v>10.475999999999999</v>
          </cell>
          <cell r="L30">
            <v>20</v>
          </cell>
          <cell r="M30">
            <v>60</v>
          </cell>
          <cell r="N30">
            <v>50</v>
          </cell>
          <cell r="O30">
            <v>50</v>
          </cell>
          <cell r="W30">
            <v>35.097200000000001</v>
          </cell>
          <cell r="X30">
            <v>30</v>
          </cell>
          <cell r="Y30">
            <v>7.7389364393740809</v>
          </cell>
          <cell r="Z30">
            <v>1.7555531495389947</v>
          </cell>
          <cell r="AC30">
            <v>0</v>
          </cell>
          <cell r="AD30">
            <v>29.468200000000003</v>
          </cell>
          <cell r="AE30">
            <v>31.802</v>
          </cell>
          <cell r="AF30">
            <v>28.157999999999998</v>
          </cell>
          <cell r="AG30">
            <v>26.245800000000003</v>
          </cell>
          <cell r="AH30">
            <v>18.837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866.21799999999996</v>
          </cell>
          <cell r="D31">
            <v>1894.165</v>
          </cell>
          <cell r="E31">
            <v>1691.05</v>
          </cell>
          <cell r="F31">
            <v>1058.722</v>
          </cell>
          <cell r="G31">
            <v>0</v>
          </cell>
          <cell r="H31">
            <v>1</v>
          </cell>
          <cell r="I31">
            <v>30</v>
          </cell>
          <cell r="J31">
            <v>1701.5909999999999</v>
          </cell>
          <cell r="K31">
            <v>-10.54099999999994</v>
          </cell>
          <cell r="L31">
            <v>300</v>
          </cell>
          <cell r="M31">
            <v>400</v>
          </cell>
          <cell r="N31">
            <v>400</v>
          </cell>
          <cell r="O31">
            <v>400</v>
          </cell>
          <cell r="W31">
            <v>338.21</v>
          </cell>
          <cell r="X31">
            <v>300</v>
          </cell>
          <cell r="Y31">
            <v>8.4525058395671326</v>
          </cell>
          <cell r="Z31">
            <v>3.1303687058336536</v>
          </cell>
          <cell r="AC31">
            <v>0</v>
          </cell>
          <cell r="AD31">
            <v>279.43580000000003</v>
          </cell>
          <cell r="AE31">
            <v>299.11279999999999</v>
          </cell>
          <cell r="AF31">
            <v>285.83479999999997</v>
          </cell>
          <cell r="AG31">
            <v>333.99520000000001</v>
          </cell>
          <cell r="AH31">
            <v>312.76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11.994</v>
          </cell>
          <cell r="D32">
            <v>216.29499999999999</v>
          </cell>
          <cell r="E32">
            <v>60.29</v>
          </cell>
          <cell r="F32">
            <v>162.13499999999999</v>
          </cell>
          <cell r="G32">
            <v>0</v>
          </cell>
          <cell r="H32">
            <v>1</v>
          </cell>
          <cell r="I32">
            <v>40</v>
          </cell>
          <cell r="J32">
            <v>67.3</v>
          </cell>
          <cell r="K32">
            <v>-7.009999999999998</v>
          </cell>
          <cell r="L32">
            <v>30</v>
          </cell>
          <cell r="M32">
            <v>0</v>
          </cell>
          <cell r="N32">
            <v>0</v>
          </cell>
          <cell r="O32">
            <v>0</v>
          </cell>
          <cell r="W32">
            <v>12.058</v>
          </cell>
          <cell r="Y32">
            <v>15.934234533090065</v>
          </cell>
          <cell r="Z32">
            <v>13.446259744567922</v>
          </cell>
          <cell r="AC32">
            <v>0</v>
          </cell>
          <cell r="AD32">
            <v>13.860800000000001</v>
          </cell>
          <cell r="AE32">
            <v>12.873799999999999</v>
          </cell>
          <cell r="AF32">
            <v>15.5458</v>
          </cell>
          <cell r="AG32">
            <v>26.287799999999997</v>
          </cell>
          <cell r="AH32">
            <v>13.148</v>
          </cell>
          <cell r="AI32" t="str">
            <v>увел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101.571</v>
          </cell>
          <cell r="D33">
            <v>40.44</v>
          </cell>
          <cell r="E33">
            <v>104.408</v>
          </cell>
          <cell r="F33">
            <v>33.234999999999999</v>
          </cell>
          <cell r="G33" t="str">
            <v>н</v>
          </cell>
          <cell r="H33">
            <v>1</v>
          </cell>
          <cell r="I33">
            <v>35</v>
          </cell>
          <cell r="J33">
            <v>105.7</v>
          </cell>
          <cell r="K33">
            <v>-1.2920000000000016</v>
          </cell>
          <cell r="L33">
            <v>20</v>
          </cell>
          <cell r="M33">
            <v>50</v>
          </cell>
          <cell r="N33">
            <v>20</v>
          </cell>
          <cell r="O33">
            <v>40</v>
          </cell>
          <cell r="W33">
            <v>20.881599999999999</v>
          </cell>
          <cell r="X33">
            <v>20</v>
          </cell>
          <cell r="Y33">
            <v>8.7749501953873281</v>
          </cell>
          <cell r="Z33">
            <v>1.5915925982683319</v>
          </cell>
          <cell r="AC33">
            <v>0</v>
          </cell>
          <cell r="AD33">
            <v>14.953800000000001</v>
          </cell>
          <cell r="AE33">
            <v>19.1478</v>
          </cell>
          <cell r="AF33">
            <v>24.717599999999997</v>
          </cell>
          <cell r="AG33">
            <v>14.8332</v>
          </cell>
          <cell r="AH33">
            <v>10.366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251.08799999999999</v>
          </cell>
          <cell r="D34">
            <v>1672.9110000000001</v>
          </cell>
          <cell r="E34">
            <v>1206.8399999999999</v>
          </cell>
          <cell r="F34">
            <v>695.37199999999996</v>
          </cell>
          <cell r="G34">
            <v>0</v>
          </cell>
          <cell r="H34">
            <v>1</v>
          </cell>
          <cell r="I34">
            <v>30</v>
          </cell>
          <cell r="J34">
            <v>1142.164</v>
          </cell>
          <cell r="K34">
            <v>64.675999999999931</v>
          </cell>
          <cell r="L34">
            <v>250</v>
          </cell>
          <cell r="M34">
            <v>150</v>
          </cell>
          <cell r="N34">
            <v>280</v>
          </cell>
          <cell r="O34">
            <v>330</v>
          </cell>
          <cell r="W34">
            <v>241.36799999999999</v>
          </cell>
          <cell r="X34">
            <v>200</v>
          </cell>
          <cell r="Y34">
            <v>7.8940538928109767</v>
          </cell>
          <cell r="Z34">
            <v>2.8809618507838652</v>
          </cell>
          <cell r="AC34">
            <v>0</v>
          </cell>
          <cell r="AD34">
            <v>230.59859999999998</v>
          </cell>
          <cell r="AE34">
            <v>217.14540000000002</v>
          </cell>
          <cell r="AF34">
            <v>215.05100000000002</v>
          </cell>
          <cell r="AG34">
            <v>257.40559999999999</v>
          </cell>
          <cell r="AH34">
            <v>182.46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30.094999999999999</v>
          </cell>
          <cell r="E35">
            <v>18.248000000000001</v>
          </cell>
          <cell r="F35">
            <v>11.847</v>
          </cell>
          <cell r="G35" t="str">
            <v>н</v>
          </cell>
          <cell r="H35">
            <v>1</v>
          </cell>
          <cell r="I35">
            <v>45</v>
          </cell>
          <cell r="J35">
            <v>20</v>
          </cell>
          <cell r="K35">
            <v>-1.7519999999999989</v>
          </cell>
          <cell r="L35">
            <v>0</v>
          </cell>
          <cell r="M35">
            <v>10</v>
          </cell>
          <cell r="N35">
            <v>0</v>
          </cell>
          <cell r="O35">
            <v>10</v>
          </cell>
          <cell r="W35">
            <v>3.6496000000000004</v>
          </cell>
          <cell r="Y35">
            <v>8.7261617711530022</v>
          </cell>
          <cell r="Z35">
            <v>3.246109162647961</v>
          </cell>
          <cell r="AC35">
            <v>0</v>
          </cell>
          <cell r="AD35">
            <v>2.5466000000000002</v>
          </cell>
          <cell r="AE35">
            <v>3.6136000000000004</v>
          </cell>
          <cell r="AF35">
            <v>1.4474</v>
          </cell>
          <cell r="AG35">
            <v>0.88719999999999999</v>
          </cell>
          <cell r="AH35">
            <v>2.762</v>
          </cell>
          <cell r="AI35">
            <v>0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0.88700000000000001</v>
          </cell>
          <cell r="D36">
            <v>10.717000000000001</v>
          </cell>
          <cell r="E36">
            <v>5.3730000000000002</v>
          </cell>
          <cell r="F36">
            <v>6.2309999999999999</v>
          </cell>
          <cell r="G36" t="str">
            <v>н</v>
          </cell>
          <cell r="H36">
            <v>1</v>
          </cell>
          <cell r="I36">
            <v>45</v>
          </cell>
          <cell r="J36">
            <v>5.7</v>
          </cell>
          <cell r="K36">
            <v>-0.32699999999999996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W36">
            <v>1.0746</v>
          </cell>
          <cell r="Y36">
            <v>5.7984366275823565</v>
          </cell>
          <cell r="Z36">
            <v>5.7984366275823565</v>
          </cell>
          <cell r="AC36">
            <v>0</v>
          </cell>
          <cell r="AD36">
            <v>0.71440000000000003</v>
          </cell>
          <cell r="AE36">
            <v>0.71460000000000001</v>
          </cell>
          <cell r="AF36">
            <v>0.35980000000000001</v>
          </cell>
          <cell r="AG36">
            <v>0.36280000000000001</v>
          </cell>
          <cell r="AH36">
            <v>0</v>
          </cell>
          <cell r="AI36">
            <v>0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23.856000000000002</v>
          </cell>
          <cell r="E37">
            <v>15.93</v>
          </cell>
          <cell r="F37">
            <v>7.9260000000000002</v>
          </cell>
          <cell r="G37" t="str">
            <v>н</v>
          </cell>
          <cell r="H37">
            <v>1</v>
          </cell>
          <cell r="I37">
            <v>45</v>
          </cell>
          <cell r="J37">
            <v>17.32</v>
          </cell>
          <cell r="K37">
            <v>-1.3900000000000006</v>
          </cell>
          <cell r="L37">
            <v>0</v>
          </cell>
          <cell r="M37">
            <v>10</v>
          </cell>
          <cell r="N37">
            <v>10</v>
          </cell>
          <cell r="O37">
            <v>0</v>
          </cell>
          <cell r="W37">
            <v>3.1859999999999999</v>
          </cell>
          <cell r="Y37">
            <v>8.7652228499686142</v>
          </cell>
          <cell r="Z37">
            <v>2.487758945386064</v>
          </cell>
          <cell r="AC37">
            <v>0</v>
          </cell>
          <cell r="AD37">
            <v>1.27</v>
          </cell>
          <cell r="AE37">
            <v>3.4386000000000001</v>
          </cell>
          <cell r="AF37">
            <v>1.4361999999999999</v>
          </cell>
          <cell r="AG37">
            <v>1.4232</v>
          </cell>
          <cell r="AH37">
            <v>0.88700000000000001</v>
          </cell>
          <cell r="AI37">
            <v>0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961</v>
          </cell>
          <cell r="D38">
            <v>1443</v>
          </cell>
          <cell r="E38">
            <v>1466</v>
          </cell>
          <cell r="F38">
            <v>904</v>
          </cell>
          <cell r="G38">
            <v>0</v>
          </cell>
          <cell r="H38">
            <v>0.35</v>
          </cell>
          <cell r="I38">
            <v>40</v>
          </cell>
          <cell r="J38">
            <v>1488</v>
          </cell>
          <cell r="K38">
            <v>-22</v>
          </cell>
          <cell r="L38">
            <v>400</v>
          </cell>
          <cell r="M38">
            <v>200</v>
          </cell>
          <cell r="N38">
            <v>300</v>
          </cell>
          <cell r="O38">
            <v>300</v>
          </cell>
          <cell r="W38">
            <v>293.2</v>
          </cell>
          <cell r="X38">
            <v>500</v>
          </cell>
          <cell r="Y38">
            <v>8.8813096862210106</v>
          </cell>
          <cell r="Z38">
            <v>3.0832196452933154</v>
          </cell>
          <cell r="AC38">
            <v>0</v>
          </cell>
          <cell r="AD38">
            <v>240.6</v>
          </cell>
          <cell r="AE38">
            <v>244.2</v>
          </cell>
          <cell r="AF38">
            <v>255.4</v>
          </cell>
          <cell r="AG38">
            <v>291</v>
          </cell>
          <cell r="AH38">
            <v>335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328</v>
          </cell>
          <cell r="D39">
            <v>5388</v>
          </cell>
          <cell r="E39">
            <v>3706</v>
          </cell>
          <cell r="F39">
            <v>1952</v>
          </cell>
          <cell r="G39">
            <v>0</v>
          </cell>
          <cell r="H39">
            <v>0.4</v>
          </cell>
          <cell r="I39">
            <v>40</v>
          </cell>
          <cell r="J39">
            <v>3762</v>
          </cell>
          <cell r="K39">
            <v>-56</v>
          </cell>
          <cell r="L39">
            <v>1000</v>
          </cell>
          <cell r="M39">
            <v>200</v>
          </cell>
          <cell r="N39">
            <v>500</v>
          </cell>
          <cell r="O39">
            <v>1000</v>
          </cell>
          <cell r="W39">
            <v>660.8</v>
          </cell>
          <cell r="X39">
            <v>500</v>
          </cell>
          <cell r="Y39">
            <v>7.796610169491526</v>
          </cell>
          <cell r="Z39">
            <v>2.9539951573849881</v>
          </cell>
          <cell r="AC39">
            <v>402</v>
          </cell>
          <cell r="AD39">
            <v>556.79999999999995</v>
          </cell>
          <cell r="AE39">
            <v>596.4</v>
          </cell>
          <cell r="AF39">
            <v>566.20000000000005</v>
          </cell>
          <cell r="AG39">
            <v>727.6</v>
          </cell>
          <cell r="AH39">
            <v>537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449</v>
          </cell>
          <cell r="D40">
            <v>9453</v>
          </cell>
          <cell r="E40">
            <v>7640</v>
          </cell>
          <cell r="F40">
            <v>2213</v>
          </cell>
          <cell r="G40">
            <v>0</v>
          </cell>
          <cell r="H40">
            <v>0.45</v>
          </cell>
          <cell r="I40">
            <v>45</v>
          </cell>
          <cell r="J40">
            <v>7706</v>
          </cell>
          <cell r="K40">
            <v>-66</v>
          </cell>
          <cell r="L40">
            <v>1400</v>
          </cell>
          <cell r="M40">
            <v>1100</v>
          </cell>
          <cell r="N40">
            <v>1200</v>
          </cell>
          <cell r="O40">
            <v>1400</v>
          </cell>
          <cell r="W40">
            <v>1088</v>
          </cell>
          <cell r="X40">
            <v>1300</v>
          </cell>
          <cell r="Y40">
            <v>7.9163602941176467</v>
          </cell>
          <cell r="Z40">
            <v>2.0340073529411766</v>
          </cell>
          <cell r="AC40">
            <v>2200</v>
          </cell>
          <cell r="AD40">
            <v>647.79999999999995</v>
          </cell>
          <cell r="AE40">
            <v>773.8</v>
          </cell>
          <cell r="AF40">
            <v>882.6</v>
          </cell>
          <cell r="AG40">
            <v>1069.4000000000001</v>
          </cell>
          <cell r="AH40">
            <v>1125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342.26</v>
          </cell>
          <cell r="D41">
            <v>644.23400000000004</v>
          </cell>
          <cell r="E41">
            <v>571.33399999999995</v>
          </cell>
          <cell r="F41">
            <v>408.05399999999997</v>
          </cell>
          <cell r="G41">
            <v>0</v>
          </cell>
          <cell r="H41">
            <v>1</v>
          </cell>
          <cell r="I41">
            <v>40</v>
          </cell>
          <cell r="J41">
            <v>555.19899999999996</v>
          </cell>
          <cell r="K41">
            <v>16.134999999999991</v>
          </cell>
          <cell r="L41">
            <v>100</v>
          </cell>
          <cell r="M41">
            <v>50</v>
          </cell>
          <cell r="N41">
            <v>100</v>
          </cell>
          <cell r="O41">
            <v>150</v>
          </cell>
          <cell r="W41">
            <v>114.26679999999999</v>
          </cell>
          <cell r="X41">
            <v>100</v>
          </cell>
          <cell r="Y41">
            <v>7.9467876933632517</v>
          </cell>
          <cell r="Z41">
            <v>3.5710635110110722</v>
          </cell>
          <cell r="AC41">
            <v>0</v>
          </cell>
          <cell r="AD41">
            <v>297.20479999999998</v>
          </cell>
          <cell r="AE41">
            <v>279.22719999999998</v>
          </cell>
          <cell r="AF41">
            <v>271.0308</v>
          </cell>
          <cell r="AG41">
            <v>134.76479999999998</v>
          </cell>
          <cell r="AH41">
            <v>90.634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381</v>
          </cell>
          <cell r="D42">
            <v>2029</v>
          </cell>
          <cell r="E42">
            <v>1116</v>
          </cell>
          <cell r="F42">
            <v>1265</v>
          </cell>
          <cell r="G42">
            <v>0</v>
          </cell>
          <cell r="H42">
            <v>0.1</v>
          </cell>
          <cell r="I42">
            <v>730</v>
          </cell>
          <cell r="J42">
            <v>1149</v>
          </cell>
          <cell r="K42">
            <v>-33</v>
          </cell>
          <cell r="L42">
            <v>1500</v>
          </cell>
          <cell r="M42">
            <v>0</v>
          </cell>
          <cell r="N42">
            <v>0</v>
          </cell>
          <cell r="O42">
            <v>0</v>
          </cell>
          <cell r="W42">
            <v>223.2</v>
          </cell>
          <cell r="Y42">
            <v>12.387992831541219</v>
          </cell>
          <cell r="Z42">
            <v>5.6675627240143376</v>
          </cell>
          <cell r="AC42">
            <v>0</v>
          </cell>
          <cell r="AD42">
            <v>147.4</v>
          </cell>
          <cell r="AE42">
            <v>174.4</v>
          </cell>
          <cell r="AF42">
            <v>173.2</v>
          </cell>
          <cell r="AG42">
            <v>247</v>
          </cell>
          <cell r="AH42">
            <v>201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129</v>
          </cell>
          <cell r="D43">
            <v>1807</v>
          </cell>
          <cell r="E43">
            <v>1017</v>
          </cell>
          <cell r="F43">
            <v>878</v>
          </cell>
          <cell r="G43">
            <v>0</v>
          </cell>
          <cell r="H43">
            <v>0.35</v>
          </cell>
          <cell r="I43">
            <v>40</v>
          </cell>
          <cell r="J43">
            <v>1052</v>
          </cell>
          <cell r="K43">
            <v>-35</v>
          </cell>
          <cell r="L43">
            <v>300</v>
          </cell>
          <cell r="M43">
            <v>0</v>
          </cell>
          <cell r="N43">
            <v>100</v>
          </cell>
          <cell r="O43">
            <v>220</v>
          </cell>
          <cell r="W43">
            <v>203.4</v>
          </cell>
          <cell r="X43">
            <v>120</v>
          </cell>
          <cell r="Y43">
            <v>7.9547689282202558</v>
          </cell>
          <cell r="Z43">
            <v>4.3166175024582101</v>
          </cell>
          <cell r="AC43">
            <v>0</v>
          </cell>
          <cell r="AD43">
            <v>210</v>
          </cell>
          <cell r="AE43">
            <v>212.8</v>
          </cell>
          <cell r="AF43">
            <v>181.2</v>
          </cell>
          <cell r="AG43">
            <v>260.2</v>
          </cell>
          <cell r="AH43">
            <v>159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51.502000000000002</v>
          </cell>
          <cell r="D44">
            <v>409.714</v>
          </cell>
          <cell r="E44">
            <v>254.71100000000001</v>
          </cell>
          <cell r="F44">
            <v>205.053</v>
          </cell>
          <cell r="G44">
            <v>0</v>
          </cell>
          <cell r="H44">
            <v>1</v>
          </cell>
          <cell r="I44">
            <v>40</v>
          </cell>
          <cell r="J44">
            <v>259.32</v>
          </cell>
          <cell r="K44">
            <v>-4.6089999999999804</v>
          </cell>
          <cell r="L44">
            <v>80</v>
          </cell>
          <cell r="M44">
            <v>0</v>
          </cell>
          <cell r="N44">
            <v>0</v>
          </cell>
          <cell r="O44">
            <v>70</v>
          </cell>
          <cell r="W44">
            <v>50.9422</v>
          </cell>
          <cell r="X44">
            <v>60</v>
          </cell>
          <cell r="Y44">
            <v>8.1475279826941129</v>
          </cell>
          <cell r="Z44">
            <v>4.025208962314152</v>
          </cell>
          <cell r="AC44">
            <v>0</v>
          </cell>
          <cell r="AD44">
            <v>51.191199999999995</v>
          </cell>
          <cell r="AE44">
            <v>44.755600000000001</v>
          </cell>
          <cell r="AF44">
            <v>42.6492</v>
          </cell>
          <cell r="AG44">
            <v>59.303200000000004</v>
          </cell>
          <cell r="AH44">
            <v>58.4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75</v>
          </cell>
          <cell r="D45">
            <v>1182</v>
          </cell>
          <cell r="E45">
            <v>685</v>
          </cell>
          <cell r="F45">
            <v>560</v>
          </cell>
          <cell r="G45">
            <v>0</v>
          </cell>
          <cell r="H45">
            <v>0.4</v>
          </cell>
          <cell r="I45">
            <v>35</v>
          </cell>
          <cell r="J45">
            <v>698</v>
          </cell>
          <cell r="K45">
            <v>-13</v>
          </cell>
          <cell r="L45">
            <v>180</v>
          </cell>
          <cell r="M45">
            <v>0</v>
          </cell>
          <cell r="N45">
            <v>100</v>
          </cell>
          <cell r="O45">
            <v>150</v>
          </cell>
          <cell r="W45">
            <v>137</v>
          </cell>
          <cell r="X45">
            <v>100</v>
          </cell>
          <cell r="Y45">
            <v>7.9562043795620436</v>
          </cell>
          <cell r="Z45">
            <v>4.0875912408759127</v>
          </cell>
          <cell r="AC45">
            <v>0</v>
          </cell>
          <cell r="AD45">
            <v>130</v>
          </cell>
          <cell r="AE45">
            <v>137.19999999999999</v>
          </cell>
          <cell r="AF45">
            <v>128.80000000000001</v>
          </cell>
          <cell r="AG45">
            <v>170.8</v>
          </cell>
          <cell r="AH45">
            <v>113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653</v>
          </cell>
          <cell r="D46">
            <v>2166</v>
          </cell>
          <cell r="E46">
            <v>1741</v>
          </cell>
          <cell r="F46">
            <v>1051</v>
          </cell>
          <cell r="G46">
            <v>0</v>
          </cell>
          <cell r="H46">
            <v>0.4</v>
          </cell>
          <cell r="I46">
            <v>40</v>
          </cell>
          <cell r="J46">
            <v>1774</v>
          </cell>
          <cell r="K46">
            <v>-33</v>
          </cell>
          <cell r="L46">
            <v>500</v>
          </cell>
          <cell r="M46">
            <v>0</v>
          </cell>
          <cell r="N46">
            <v>350</v>
          </cell>
          <cell r="O46">
            <v>550</v>
          </cell>
          <cell r="W46">
            <v>348.2</v>
          </cell>
          <cell r="X46">
            <v>300</v>
          </cell>
          <cell r="Y46">
            <v>7.9006318207926478</v>
          </cell>
          <cell r="Z46">
            <v>3.0183802412406662</v>
          </cell>
          <cell r="AC46">
            <v>0</v>
          </cell>
          <cell r="AD46">
            <v>335.4</v>
          </cell>
          <cell r="AE46">
            <v>337.6</v>
          </cell>
          <cell r="AF46">
            <v>339.8</v>
          </cell>
          <cell r="AG46">
            <v>388</v>
          </cell>
          <cell r="AH46">
            <v>369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81.867999999999995</v>
          </cell>
          <cell r="D47">
            <v>181.886</v>
          </cell>
          <cell r="E47">
            <v>161.029</v>
          </cell>
          <cell r="F47">
            <v>101.994</v>
          </cell>
          <cell r="G47" t="str">
            <v>лид, я</v>
          </cell>
          <cell r="H47">
            <v>1</v>
          </cell>
          <cell r="I47">
            <v>40</v>
          </cell>
          <cell r="J47">
            <v>160.77000000000001</v>
          </cell>
          <cell r="K47">
            <v>0.25899999999998613</v>
          </cell>
          <cell r="L47">
            <v>30</v>
          </cell>
          <cell r="M47">
            <v>30</v>
          </cell>
          <cell r="N47">
            <v>30</v>
          </cell>
          <cell r="O47">
            <v>30</v>
          </cell>
          <cell r="W47">
            <v>32.205799999999996</v>
          </cell>
          <cell r="X47">
            <v>40</v>
          </cell>
          <cell r="Y47">
            <v>8.1349943177936908</v>
          </cell>
          <cell r="Z47">
            <v>3.1669450844257869</v>
          </cell>
          <cell r="AC47">
            <v>0</v>
          </cell>
          <cell r="AD47">
            <v>30.436599999999999</v>
          </cell>
          <cell r="AE47">
            <v>28.909199999999998</v>
          </cell>
          <cell r="AF47">
            <v>29.4846</v>
          </cell>
          <cell r="AG47">
            <v>32.495800000000003</v>
          </cell>
          <cell r="AH47">
            <v>36.101999999999997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295.39800000000002</v>
          </cell>
          <cell r="D48">
            <v>639.74800000000005</v>
          </cell>
          <cell r="E48">
            <v>607.32899999999995</v>
          </cell>
          <cell r="F48">
            <v>320.52199999999999</v>
          </cell>
          <cell r="G48">
            <v>0</v>
          </cell>
          <cell r="H48">
            <v>1</v>
          </cell>
          <cell r="I48">
            <v>40</v>
          </cell>
          <cell r="J48">
            <v>612.47</v>
          </cell>
          <cell r="K48">
            <v>-5.1410000000000764</v>
          </cell>
          <cell r="L48">
            <v>120</v>
          </cell>
          <cell r="M48">
            <v>100</v>
          </cell>
          <cell r="N48">
            <v>100</v>
          </cell>
          <cell r="O48">
            <v>170</v>
          </cell>
          <cell r="W48">
            <v>121.46579999999999</v>
          </cell>
          <cell r="X48">
            <v>150</v>
          </cell>
          <cell r="Y48">
            <v>7.9077567512830775</v>
          </cell>
          <cell r="Z48">
            <v>2.6387839210707873</v>
          </cell>
          <cell r="AC48">
            <v>0</v>
          </cell>
          <cell r="AD48">
            <v>126.9648</v>
          </cell>
          <cell r="AE48">
            <v>131.483</v>
          </cell>
          <cell r="AF48">
            <v>130.7636</v>
          </cell>
          <cell r="AG48">
            <v>126.36060000000001</v>
          </cell>
          <cell r="AH48">
            <v>135.17400000000001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234</v>
          </cell>
          <cell r="D49">
            <v>1757</v>
          </cell>
          <cell r="E49">
            <v>1237</v>
          </cell>
          <cell r="F49">
            <v>724</v>
          </cell>
          <cell r="G49" t="str">
            <v>лид, я</v>
          </cell>
          <cell r="H49">
            <v>0.35</v>
          </cell>
          <cell r="I49">
            <v>40</v>
          </cell>
          <cell r="J49">
            <v>1267</v>
          </cell>
          <cell r="K49">
            <v>-30</v>
          </cell>
          <cell r="L49">
            <v>300</v>
          </cell>
          <cell r="M49">
            <v>0</v>
          </cell>
          <cell r="N49">
            <v>200</v>
          </cell>
          <cell r="O49">
            <v>400</v>
          </cell>
          <cell r="W49">
            <v>247.4</v>
          </cell>
          <cell r="X49">
            <v>300</v>
          </cell>
          <cell r="Y49">
            <v>7.7768795472918351</v>
          </cell>
          <cell r="Z49">
            <v>2.9264349232012932</v>
          </cell>
          <cell r="AC49">
            <v>0</v>
          </cell>
          <cell r="AD49">
            <v>243</v>
          </cell>
          <cell r="AE49">
            <v>249.6</v>
          </cell>
          <cell r="AF49">
            <v>215.4</v>
          </cell>
          <cell r="AG49">
            <v>271.2</v>
          </cell>
          <cell r="AH49">
            <v>263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189</v>
          </cell>
          <cell r="D50">
            <v>3000</v>
          </cell>
          <cell r="E50">
            <v>2077</v>
          </cell>
          <cell r="F50">
            <v>1065</v>
          </cell>
          <cell r="G50">
            <v>0</v>
          </cell>
          <cell r="H50">
            <v>0.35</v>
          </cell>
          <cell r="I50">
            <v>40</v>
          </cell>
          <cell r="J50">
            <v>2110</v>
          </cell>
          <cell r="K50">
            <v>-33</v>
          </cell>
          <cell r="L50">
            <v>600</v>
          </cell>
          <cell r="M50">
            <v>0</v>
          </cell>
          <cell r="N50">
            <v>500</v>
          </cell>
          <cell r="O50">
            <v>600</v>
          </cell>
          <cell r="W50">
            <v>415.4</v>
          </cell>
          <cell r="X50">
            <v>500</v>
          </cell>
          <cell r="Y50">
            <v>7.8598940779971116</v>
          </cell>
          <cell r="Z50">
            <v>2.5637939335580167</v>
          </cell>
          <cell r="AC50">
            <v>0</v>
          </cell>
          <cell r="AD50">
            <v>400.2</v>
          </cell>
          <cell r="AE50">
            <v>363.4</v>
          </cell>
          <cell r="AF50">
            <v>337.6</v>
          </cell>
          <cell r="AG50">
            <v>449.6</v>
          </cell>
          <cell r="AH50">
            <v>435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332</v>
          </cell>
          <cell r="D51">
            <v>1609</v>
          </cell>
          <cell r="E51">
            <v>1099</v>
          </cell>
          <cell r="F51">
            <v>802</v>
          </cell>
          <cell r="G51">
            <v>0</v>
          </cell>
          <cell r="H51">
            <v>0.4</v>
          </cell>
          <cell r="I51">
            <v>35</v>
          </cell>
          <cell r="J51">
            <v>1143</v>
          </cell>
          <cell r="K51">
            <v>-44</v>
          </cell>
          <cell r="L51">
            <v>250</v>
          </cell>
          <cell r="M51">
            <v>0</v>
          </cell>
          <cell r="N51">
            <v>100</v>
          </cell>
          <cell r="O51">
            <v>450</v>
          </cell>
          <cell r="W51">
            <v>219.8</v>
          </cell>
          <cell r="X51">
            <v>140</v>
          </cell>
          <cell r="Y51">
            <v>7.9253867151956321</v>
          </cell>
          <cell r="Z51">
            <v>3.6487716105550501</v>
          </cell>
          <cell r="AC51">
            <v>0</v>
          </cell>
          <cell r="AD51">
            <v>215.8</v>
          </cell>
          <cell r="AE51">
            <v>234.4</v>
          </cell>
          <cell r="AF51">
            <v>220.4</v>
          </cell>
          <cell r="AG51">
            <v>258.8</v>
          </cell>
          <cell r="AH51">
            <v>176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260.637</v>
          </cell>
          <cell r="D52">
            <v>1096.248</v>
          </cell>
          <cell r="E52">
            <v>856.26700000000005</v>
          </cell>
          <cell r="F52">
            <v>487.04899999999998</v>
          </cell>
          <cell r="G52">
            <v>0</v>
          </cell>
          <cell r="H52">
            <v>1</v>
          </cell>
          <cell r="I52">
            <v>50</v>
          </cell>
          <cell r="J52">
            <v>850.85</v>
          </cell>
          <cell r="K52">
            <v>5.41700000000003</v>
          </cell>
          <cell r="L52">
            <v>200</v>
          </cell>
          <cell r="M52">
            <v>120</v>
          </cell>
          <cell r="N52">
            <v>200</v>
          </cell>
          <cell r="O52">
            <v>200</v>
          </cell>
          <cell r="W52">
            <v>171.2534</v>
          </cell>
          <cell r="X52">
            <v>160</v>
          </cell>
          <cell r="Y52">
            <v>7.982609396368189</v>
          </cell>
          <cell r="Z52">
            <v>2.8440252865052607</v>
          </cell>
          <cell r="AC52">
            <v>0</v>
          </cell>
          <cell r="AD52">
            <v>179.28460000000001</v>
          </cell>
          <cell r="AE52">
            <v>162.78479999999999</v>
          </cell>
          <cell r="AF52">
            <v>158.79159999999999</v>
          </cell>
          <cell r="AG52">
            <v>182.1566</v>
          </cell>
          <cell r="AH52">
            <v>150.03800000000001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127.42100000000001</v>
          </cell>
          <cell r="D53">
            <v>920.55</v>
          </cell>
          <cell r="E53">
            <v>667.70799999999997</v>
          </cell>
          <cell r="F53">
            <v>377.54899999999998</v>
          </cell>
          <cell r="G53" t="str">
            <v>н</v>
          </cell>
          <cell r="H53">
            <v>1</v>
          </cell>
          <cell r="I53">
            <v>50</v>
          </cell>
          <cell r="J53">
            <v>663.65</v>
          </cell>
          <cell r="K53">
            <v>4.0579999999999927</v>
          </cell>
          <cell r="L53">
            <v>250</v>
          </cell>
          <cell r="M53">
            <v>100</v>
          </cell>
          <cell r="N53">
            <v>100</v>
          </cell>
          <cell r="O53">
            <v>0</v>
          </cell>
          <cell r="W53">
            <v>133.54159999999999</v>
          </cell>
          <cell r="X53">
            <v>240</v>
          </cell>
          <cell r="Y53">
            <v>7.9941306678967461</v>
          </cell>
          <cell r="Z53">
            <v>2.8272014113954005</v>
          </cell>
          <cell r="AC53">
            <v>0</v>
          </cell>
          <cell r="AD53">
            <v>108.68499999999999</v>
          </cell>
          <cell r="AE53">
            <v>141.30500000000001</v>
          </cell>
          <cell r="AF53">
            <v>145.9974</v>
          </cell>
          <cell r="AG53">
            <v>158.88640000000001</v>
          </cell>
          <cell r="AH53">
            <v>153.798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37.279000000000003</v>
          </cell>
          <cell r="E54">
            <v>4.4939999999999998</v>
          </cell>
          <cell r="F54">
            <v>32.784999999999997</v>
          </cell>
          <cell r="G54" t="str">
            <v>выв24,10,</v>
          </cell>
          <cell r="H54">
            <v>0</v>
          </cell>
          <cell r="I54">
            <v>50</v>
          </cell>
          <cell r="J54">
            <v>24.2</v>
          </cell>
          <cell r="K54">
            <v>-19.706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W54">
            <v>0.89879999999999993</v>
          </cell>
          <cell r="Y54">
            <v>36.476412995104582</v>
          </cell>
          <cell r="Z54">
            <v>36.476412995104582</v>
          </cell>
          <cell r="AC54">
            <v>0</v>
          </cell>
          <cell r="AD54">
            <v>4.2228000000000003</v>
          </cell>
          <cell r="AE54">
            <v>5.7248000000000001</v>
          </cell>
          <cell r="AF54">
            <v>4.2081999999999997</v>
          </cell>
          <cell r="AG54">
            <v>5.1107999999999993</v>
          </cell>
          <cell r="AH54">
            <v>0</v>
          </cell>
          <cell r="AI54" t="str">
            <v>увел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1966.0119999999999</v>
          </cell>
          <cell r="D55">
            <v>4941.2529999999997</v>
          </cell>
          <cell r="E55">
            <v>4766.0159999999996</v>
          </cell>
          <cell r="F55">
            <v>2117.8960000000002</v>
          </cell>
          <cell r="G55">
            <v>0</v>
          </cell>
          <cell r="H55">
            <v>1</v>
          </cell>
          <cell r="I55">
            <v>40</v>
          </cell>
          <cell r="J55">
            <v>4661.6049999999996</v>
          </cell>
          <cell r="K55">
            <v>104.41100000000006</v>
          </cell>
          <cell r="L55">
            <v>900</v>
          </cell>
          <cell r="M55">
            <v>1100</v>
          </cell>
          <cell r="N55">
            <v>1000</v>
          </cell>
          <cell r="O55">
            <v>1300</v>
          </cell>
          <cell r="W55">
            <v>953.20319999999992</v>
          </cell>
          <cell r="X55">
            <v>1100</v>
          </cell>
          <cell r="Y55">
            <v>7.8869814956559114</v>
          </cell>
          <cell r="Z55">
            <v>2.2218725241375608</v>
          </cell>
          <cell r="AC55">
            <v>0</v>
          </cell>
          <cell r="AD55">
            <v>898.62180000000012</v>
          </cell>
          <cell r="AE55">
            <v>1001.78</v>
          </cell>
          <cell r="AF55">
            <v>958.94159999999988</v>
          </cell>
          <cell r="AG55">
            <v>940.26700000000005</v>
          </cell>
          <cell r="AH55">
            <v>1000.004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632</v>
          </cell>
          <cell r="D56">
            <v>3689</v>
          </cell>
          <cell r="E56">
            <v>2973</v>
          </cell>
          <cell r="F56">
            <v>1272</v>
          </cell>
          <cell r="G56">
            <v>0</v>
          </cell>
          <cell r="H56">
            <v>0.45</v>
          </cell>
          <cell r="I56">
            <v>50</v>
          </cell>
          <cell r="J56">
            <v>3097</v>
          </cell>
          <cell r="K56">
            <v>-124</v>
          </cell>
          <cell r="L56">
            <v>600</v>
          </cell>
          <cell r="M56">
            <v>200</v>
          </cell>
          <cell r="N56">
            <v>600</v>
          </cell>
          <cell r="O56">
            <v>600</v>
          </cell>
          <cell r="W56">
            <v>494.6</v>
          </cell>
          <cell r="X56">
            <v>600</v>
          </cell>
          <cell r="Y56">
            <v>7.828548321876263</v>
          </cell>
          <cell r="Z56">
            <v>2.5717751718560451</v>
          </cell>
          <cell r="AC56">
            <v>500</v>
          </cell>
          <cell r="AD56">
            <v>472</v>
          </cell>
          <cell r="AE56">
            <v>440.6</v>
          </cell>
          <cell r="AF56">
            <v>471.2</v>
          </cell>
          <cell r="AG56">
            <v>520.6</v>
          </cell>
          <cell r="AH56">
            <v>566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2859</v>
          </cell>
          <cell r="D57">
            <v>5312</v>
          </cell>
          <cell r="E57">
            <v>5045</v>
          </cell>
          <cell r="F57">
            <v>3030</v>
          </cell>
          <cell r="G57">
            <v>0</v>
          </cell>
          <cell r="H57">
            <v>0.45</v>
          </cell>
          <cell r="I57">
            <v>50</v>
          </cell>
          <cell r="J57">
            <v>5153</v>
          </cell>
          <cell r="K57">
            <v>-108</v>
          </cell>
          <cell r="L57">
            <v>1000</v>
          </cell>
          <cell r="M57">
            <v>500</v>
          </cell>
          <cell r="N57">
            <v>800</v>
          </cell>
          <cell r="O57">
            <v>500</v>
          </cell>
          <cell r="W57">
            <v>769</v>
          </cell>
          <cell r="X57">
            <v>500</v>
          </cell>
          <cell r="Y57">
            <v>8.2314694408322495</v>
          </cell>
          <cell r="Z57">
            <v>3.9401820546163848</v>
          </cell>
          <cell r="AC57">
            <v>1200</v>
          </cell>
          <cell r="AD57">
            <v>782.2</v>
          </cell>
          <cell r="AE57">
            <v>723.2</v>
          </cell>
          <cell r="AF57">
            <v>719.8</v>
          </cell>
          <cell r="AG57">
            <v>850</v>
          </cell>
          <cell r="AH57">
            <v>797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151</v>
          </cell>
          <cell r="D58">
            <v>2433</v>
          </cell>
          <cell r="E58">
            <v>1502</v>
          </cell>
          <cell r="F58">
            <v>1011</v>
          </cell>
          <cell r="G58">
            <v>0</v>
          </cell>
          <cell r="H58">
            <v>0.45</v>
          </cell>
          <cell r="I58">
            <v>50</v>
          </cell>
          <cell r="J58">
            <v>1554</v>
          </cell>
          <cell r="K58">
            <v>-52</v>
          </cell>
          <cell r="L58">
            <v>400</v>
          </cell>
          <cell r="M58">
            <v>100</v>
          </cell>
          <cell r="N58">
            <v>350</v>
          </cell>
          <cell r="O58">
            <v>450</v>
          </cell>
          <cell r="W58">
            <v>300.39999999999998</v>
          </cell>
          <cell r="X58">
            <v>100</v>
          </cell>
          <cell r="Y58">
            <v>8.0259653794940089</v>
          </cell>
          <cell r="Z58">
            <v>3.3655126498002668</v>
          </cell>
          <cell r="AC58">
            <v>0</v>
          </cell>
          <cell r="AD58">
            <v>335.8</v>
          </cell>
          <cell r="AE58">
            <v>289.2</v>
          </cell>
          <cell r="AF58">
            <v>266.2</v>
          </cell>
          <cell r="AG58">
            <v>349.2</v>
          </cell>
          <cell r="AH58">
            <v>250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118</v>
          </cell>
          <cell r="D59">
            <v>381</v>
          </cell>
          <cell r="E59">
            <v>310</v>
          </cell>
          <cell r="F59">
            <v>175</v>
          </cell>
          <cell r="G59">
            <v>0</v>
          </cell>
          <cell r="H59">
            <v>0.4</v>
          </cell>
          <cell r="I59">
            <v>40</v>
          </cell>
          <cell r="J59">
            <v>339</v>
          </cell>
          <cell r="K59">
            <v>-29</v>
          </cell>
          <cell r="L59">
            <v>70</v>
          </cell>
          <cell r="M59">
            <v>70</v>
          </cell>
          <cell r="N59">
            <v>70</v>
          </cell>
          <cell r="O59">
            <v>70</v>
          </cell>
          <cell r="W59">
            <v>62</v>
          </cell>
          <cell r="X59">
            <v>50</v>
          </cell>
          <cell r="Y59">
            <v>8.1451612903225801</v>
          </cell>
          <cell r="Z59">
            <v>2.8225806451612905</v>
          </cell>
          <cell r="AC59">
            <v>0</v>
          </cell>
          <cell r="AD59">
            <v>57.4</v>
          </cell>
          <cell r="AE59">
            <v>60.6</v>
          </cell>
          <cell r="AF59">
            <v>55.8</v>
          </cell>
          <cell r="AG59">
            <v>65.599999999999994</v>
          </cell>
          <cell r="AH59">
            <v>53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55</v>
          </cell>
          <cell r="D60">
            <v>358</v>
          </cell>
          <cell r="E60">
            <v>339</v>
          </cell>
          <cell r="F60">
            <v>65</v>
          </cell>
          <cell r="G60">
            <v>0</v>
          </cell>
          <cell r="H60">
            <v>0.4</v>
          </cell>
          <cell r="I60">
            <v>40</v>
          </cell>
          <cell r="J60">
            <v>360</v>
          </cell>
          <cell r="K60">
            <v>-21</v>
          </cell>
          <cell r="L60">
            <v>60</v>
          </cell>
          <cell r="M60">
            <v>100</v>
          </cell>
          <cell r="N60">
            <v>80</v>
          </cell>
          <cell r="O60">
            <v>130</v>
          </cell>
          <cell r="W60">
            <v>67.8</v>
          </cell>
          <cell r="X60">
            <v>100</v>
          </cell>
          <cell r="Y60">
            <v>7.890855457227139</v>
          </cell>
          <cell r="Z60">
            <v>0.95870206489675525</v>
          </cell>
          <cell r="AC60">
            <v>0</v>
          </cell>
          <cell r="AD60">
            <v>53.8</v>
          </cell>
          <cell r="AE60">
            <v>55.4</v>
          </cell>
          <cell r="AF60">
            <v>51.4</v>
          </cell>
          <cell r="AG60">
            <v>54.2</v>
          </cell>
          <cell r="AH60">
            <v>65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163.232</v>
          </cell>
          <cell r="D61">
            <v>1290.289</v>
          </cell>
          <cell r="E61">
            <v>851.87900000000002</v>
          </cell>
          <cell r="F61">
            <v>576.01300000000003</v>
          </cell>
          <cell r="G61">
            <v>0</v>
          </cell>
          <cell r="H61">
            <v>1</v>
          </cell>
          <cell r="I61">
            <v>50</v>
          </cell>
          <cell r="J61">
            <v>864.10299999999995</v>
          </cell>
          <cell r="K61">
            <v>-12.223999999999933</v>
          </cell>
          <cell r="L61">
            <v>200</v>
          </cell>
          <cell r="M61">
            <v>200</v>
          </cell>
          <cell r="N61">
            <v>200</v>
          </cell>
          <cell r="O61">
            <v>100</v>
          </cell>
          <cell r="W61">
            <v>170.3758</v>
          </cell>
          <cell r="X61">
            <v>100</v>
          </cell>
          <cell r="Y61">
            <v>8.0763406540130696</v>
          </cell>
          <cell r="Z61">
            <v>3.3808381237241441</v>
          </cell>
          <cell r="AC61">
            <v>0</v>
          </cell>
          <cell r="AD61">
            <v>178.95999999999998</v>
          </cell>
          <cell r="AE61">
            <v>150.10219999999998</v>
          </cell>
          <cell r="AF61">
            <v>152.75139999999999</v>
          </cell>
          <cell r="AG61">
            <v>191.50619999999998</v>
          </cell>
          <cell r="AH61">
            <v>158.202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-37</v>
          </cell>
          <cell r="D62">
            <v>1214</v>
          </cell>
          <cell r="E62">
            <v>813</v>
          </cell>
          <cell r="F62">
            <v>350</v>
          </cell>
          <cell r="G62">
            <v>0</v>
          </cell>
          <cell r="H62">
            <v>0.1</v>
          </cell>
          <cell r="I62">
            <v>730</v>
          </cell>
          <cell r="J62">
            <v>829</v>
          </cell>
          <cell r="K62">
            <v>-16</v>
          </cell>
          <cell r="L62">
            <v>1000</v>
          </cell>
          <cell r="M62">
            <v>0</v>
          </cell>
          <cell r="N62">
            <v>0</v>
          </cell>
          <cell r="O62">
            <v>0</v>
          </cell>
          <cell r="W62">
            <v>162.6</v>
          </cell>
          <cell r="Y62">
            <v>8.3025830258302591</v>
          </cell>
          <cell r="Z62">
            <v>2.1525215252152523</v>
          </cell>
          <cell r="AC62">
            <v>0</v>
          </cell>
          <cell r="AD62">
            <v>99.4</v>
          </cell>
          <cell r="AE62">
            <v>104.8</v>
          </cell>
          <cell r="AF62">
            <v>107.2</v>
          </cell>
          <cell r="AG62">
            <v>123</v>
          </cell>
          <cell r="AH62">
            <v>126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411.35300000000001</v>
          </cell>
          <cell r="D63">
            <v>69.918999999999997</v>
          </cell>
          <cell r="E63">
            <v>264.47000000000003</v>
          </cell>
          <cell r="F63">
            <v>214.08099999999999</v>
          </cell>
          <cell r="G63">
            <v>0</v>
          </cell>
          <cell r="H63">
            <v>1</v>
          </cell>
          <cell r="I63">
            <v>50</v>
          </cell>
          <cell r="J63">
            <v>267.89100000000002</v>
          </cell>
          <cell r="K63">
            <v>-3.4209999999999923</v>
          </cell>
          <cell r="L63">
            <v>50</v>
          </cell>
          <cell r="M63">
            <v>0</v>
          </cell>
          <cell r="N63">
            <v>50</v>
          </cell>
          <cell r="O63">
            <v>70</v>
          </cell>
          <cell r="W63">
            <v>52.894000000000005</v>
          </cell>
          <cell r="X63">
            <v>30</v>
          </cell>
          <cell r="Y63">
            <v>7.8285060687412553</v>
          </cell>
          <cell r="Z63">
            <v>4.0473588686807567</v>
          </cell>
          <cell r="AC63">
            <v>0</v>
          </cell>
          <cell r="AD63">
            <v>196.79580000000001</v>
          </cell>
          <cell r="AE63">
            <v>192.26159999999999</v>
          </cell>
          <cell r="AF63">
            <v>163.58420000000001</v>
          </cell>
          <cell r="AG63">
            <v>52.838800000000006</v>
          </cell>
          <cell r="AH63">
            <v>48.499000000000002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268</v>
          </cell>
          <cell r="D64">
            <v>5063</v>
          </cell>
          <cell r="E64">
            <v>3486</v>
          </cell>
          <cell r="F64">
            <v>1801</v>
          </cell>
          <cell r="G64">
            <v>0</v>
          </cell>
          <cell r="H64">
            <v>0.4</v>
          </cell>
          <cell r="I64">
            <v>40</v>
          </cell>
          <cell r="J64">
            <v>3520</v>
          </cell>
          <cell r="K64">
            <v>-34</v>
          </cell>
          <cell r="L64">
            <v>700</v>
          </cell>
          <cell r="M64">
            <v>0</v>
          </cell>
          <cell r="N64">
            <v>700</v>
          </cell>
          <cell r="O64">
            <v>700</v>
          </cell>
          <cell r="W64">
            <v>577.20000000000005</v>
          </cell>
          <cell r="X64">
            <v>600</v>
          </cell>
          <cell r="Y64">
            <v>7.7979902979902977</v>
          </cell>
          <cell r="Z64">
            <v>3.1202356202356198</v>
          </cell>
          <cell r="AC64">
            <v>600</v>
          </cell>
          <cell r="AD64">
            <v>535</v>
          </cell>
          <cell r="AE64">
            <v>556.4</v>
          </cell>
          <cell r="AF64">
            <v>516.6</v>
          </cell>
          <cell r="AG64">
            <v>648.79999999999995</v>
          </cell>
          <cell r="AH64">
            <v>594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489</v>
          </cell>
          <cell r="D65">
            <v>3418</v>
          </cell>
          <cell r="E65">
            <v>2418</v>
          </cell>
          <cell r="F65">
            <v>1429</v>
          </cell>
          <cell r="G65">
            <v>0</v>
          </cell>
          <cell r="H65">
            <v>0.4</v>
          </cell>
          <cell r="I65">
            <v>40</v>
          </cell>
          <cell r="J65">
            <v>2473</v>
          </cell>
          <cell r="K65">
            <v>-55</v>
          </cell>
          <cell r="L65">
            <v>600</v>
          </cell>
          <cell r="M65">
            <v>100</v>
          </cell>
          <cell r="N65">
            <v>600</v>
          </cell>
          <cell r="O65">
            <v>550</v>
          </cell>
          <cell r="W65">
            <v>483.6</v>
          </cell>
          <cell r="X65">
            <v>500</v>
          </cell>
          <cell r="Y65">
            <v>7.8143093465674109</v>
          </cell>
          <cell r="Z65">
            <v>2.9549214226633582</v>
          </cell>
          <cell r="AC65">
            <v>0</v>
          </cell>
          <cell r="AD65">
            <v>459.4</v>
          </cell>
          <cell r="AE65">
            <v>470.8</v>
          </cell>
          <cell r="AF65">
            <v>450.8</v>
          </cell>
          <cell r="AG65">
            <v>529.6</v>
          </cell>
          <cell r="AH65">
            <v>470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92.96</v>
          </cell>
          <cell r="D66">
            <v>863.96199999999999</v>
          </cell>
          <cell r="E66">
            <v>530.42700000000002</v>
          </cell>
          <cell r="F66">
            <v>381.40699999999998</v>
          </cell>
          <cell r="G66" t="str">
            <v>ябл</v>
          </cell>
          <cell r="H66">
            <v>1</v>
          </cell>
          <cell r="I66">
            <v>40</v>
          </cell>
          <cell r="J66">
            <v>538.08100000000002</v>
          </cell>
          <cell r="K66">
            <v>-7.6539999999999964</v>
          </cell>
          <cell r="L66">
            <v>120</v>
          </cell>
          <cell r="M66">
            <v>0</v>
          </cell>
          <cell r="N66">
            <v>120</v>
          </cell>
          <cell r="O66">
            <v>120</v>
          </cell>
          <cell r="W66">
            <v>106.08540000000001</v>
          </cell>
          <cell r="X66">
            <v>100</v>
          </cell>
          <cell r="Y66">
            <v>7.9314118625183099</v>
          </cell>
          <cell r="Z66">
            <v>3.595282668491611</v>
          </cell>
          <cell r="AC66">
            <v>0</v>
          </cell>
          <cell r="AD66">
            <v>102.0076</v>
          </cell>
          <cell r="AE66">
            <v>99.512199999999993</v>
          </cell>
          <cell r="AF66">
            <v>99.333399999999997</v>
          </cell>
          <cell r="AG66">
            <v>122.34939999999999</v>
          </cell>
          <cell r="AH66">
            <v>107.76300000000001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160.93600000000001</v>
          </cell>
          <cell r="D67">
            <v>167.501</v>
          </cell>
          <cell r="E67">
            <v>226.756</v>
          </cell>
          <cell r="F67">
            <v>97.164000000000001</v>
          </cell>
          <cell r="G67">
            <v>0</v>
          </cell>
          <cell r="H67">
            <v>1</v>
          </cell>
          <cell r="I67">
            <v>40</v>
          </cell>
          <cell r="J67">
            <v>216.7</v>
          </cell>
          <cell r="K67">
            <v>10.056000000000012</v>
          </cell>
          <cell r="L67">
            <v>40</v>
          </cell>
          <cell r="M67">
            <v>50</v>
          </cell>
          <cell r="N67">
            <v>50</v>
          </cell>
          <cell r="O67">
            <v>70</v>
          </cell>
          <cell r="W67">
            <v>45.351199999999999</v>
          </cell>
          <cell r="X67">
            <v>60</v>
          </cell>
          <cell r="Y67">
            <v>8.0960150999312042</v>
          </cell>
          <cell r="Z67">
            <v>2.1424791405740091</v>
          </cell>
          <cell r="AC67">
            <v>0</v>
          </cell>
          <cell r="AD67">
            <v>46.295999999999999</v>
          </cell>
          <cell r="AE67">
            <v>50.002600000000001</v>
          </cell>
          <cell r="AF67">
            <v>49.067999999999998</v>
          </cell>
          <cell r="AG67">
            <v>40.853200000000001</v>
          </cell>
          <cell r="AH67">
            <v>45.987000000000002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657.77</v>
          </cell>
          <cell r="D68">
            <v>2119.076</v>
          </cell>
          <cell r="E68">
            <v>2024.0650000000001</v>
          </cell>
          <cell r="F68">
            <v>738.40200000000004</v>
          </cell>
          <cell r="G68" t="str">
            <v>ябл</v>
          </cell>
          <cell r="H68">
            <v>1</v>
          </cell>
          <cell r="I68">
            <v>40</v>
          </cell>
          <cell r="J68">
            <v>1918.5740000000001</v>
          </cell>
          <cell r="K68">
            <v>105.49099999999999</v>
          </cell>
          <cell r="L68">
            <v>380</v>
          </cell>
          <cell r="M68">
            <v>550</v>
          </cell>
          <cell r="N68">
            <v>500</v>
          </cell>
          <cell r="O68">
            <v>450</v>
          </cell>
          <cell r="W68">
            <v>404.81299999999999</v>
          </cell>
          <cell r="X68">
            <v>550</v>
          </cell>
          <cell r="Y68">
            <v>7.8268286838614376</v>
          </cell>
          <cell r="Z68">
            <v>1.8240570337415054</v>
          </cell>
          <cell r="AC68">
            <v>0</v>
          </cell>
          <cell r="AD68">
            <v>344.10680000000002</v>
          </cell>
          <cell r="AE68">
            <v>391.85520000000002</v>
          </cell>
          <cell r="AF68">
            <v>375.33479999999997</v>
          </cell>
          <cell r="AG68">
            <v>377.1354</v>
          </cell>
          <cell r="AH68">
            <v>377.87400000000002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120.617</v>
          </cell>
          <cell r="D69">
            <v>327.10399999999998</v>
          </cell>
          <cell r="E69">
            <v>286.30099999999999</v>
          </cell>
          <cell r="F69">
            <v>158.70699999999999</v>
          </cell>
          <cell r="G69">
            <v>0</v>
          </cell>
          <cell r="H69">
            <v>1</v>
          </cell>
          <cell r="I69">
            <v>40</v>
          </cell>
          <cell r="J69">
            <v>269.96100000000001</v>
          </cell>
          <cell r="K69">
            <v>16.339999999999975</v>
          </cell>
          <cell r="L69">
            <v>60</v>
          </cell>
          <cell r="M69">
            <v>30</v>
          </cell>
          <cell r="N69">
            <v>60</v>
          </cell>
          <cell r="O69">
            <v>80</v>
          </cell>
          <cell r="W69">
            <v>57.260199999999998</v>
          </cell>
          <cell r="X69">
            <v>70</v>
          </cell>
          <cell r="Y69">
            <v>8.0109220715261209</v>
          </cell>
          <cell r="Z69">
            <v>2.7716808533676098</v>
          </cell>
          <cell r="AC69">
            <v>0</v>
          </cell>
          <cell r="AD69">
            <v>58.326999999999998</v>
          </cell>
          <cell r="AE69">
            <v>56.339800000000004</v>
          </cell>
          <cell r="AF69">
            <v>55.565999999999995</v>
          </cell>
          <cell r="AG69">
            <v>58.0124</v>
          </cell>
          <cell r="AH69">
            <v>53.423999999999999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64</v>
          </cell>
          <cell r="D70">
            <v>172</v>
          </cell>
          <cell r="E70">
            <v>121</v>
          </cell>
          <cell r="F70">
            <v>112</v>
          </cell>
          <cell r="G70" t="str">
            <v>дк</v>
          </cell>
          <cell r="H70">
            <v>0.6</v>
          </cell>
          <cell r="I70">
            <v>60</v>
          </cell>
          <cell r="J70">
            <v>124</v>
          </cell>
          <cell r="K70">
            <v>-3</v>
          </cell>
          <cell r="L70">
            <v>30</v>
          </cell>
          <cell r="M70">
            <v>0</v>
          </cell>
          <cell r="N70">
            <v>20</v>
          </cell>
          <cell r="O70">
            <v>30</v>
          </cell>
          <cell r="W70">
            <v>24.2</v>
          </cell>
          <cell r="X70">
            <v>20</v>
          </cell>
          <cell r="Y70">
            <v>8.7603305785123968</v>
          </cell>
          <cell r="Z70">
            <v>4.6280991735537196</v>
          </cell>
          <cell r="AC70">
            <v>0</v>
          </cell>
          <cell r="AD70">
            <v>24.2</v>
          </cell>
          <cell r="AE70">
            <v>25.6</v>
          </cell>
          <cell r="AF70">
            <v>21.8</v>
          </cell>
          <cell r="AG70">
            <v>28.2</v>
          </cell>
          <cell r="AH70">
            <v>18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177</v>
          </cell>
          <cell r="D71">
            <v>385</v>
          </cell>
          <cell r="E71">
            <v>332</v>
          </cell>
          <cell r="F71">
            <v>221</v>
          </cell>
          <cell r="G71" t="str">
            <v>ябл</v>
          </cell>
          <cell r="H71">
            <v>0.6</v>
          </cell>
          <cell r="I71">
            <v>60</v>
          </cell>
          <cell r="J71">
            <v>333</v>
          </cell>
          <cell r="K71">
            <v>-1</v>
          </cell>
          <cell r="L71">
            <v>100</v>
          </cell>
          <cell r="M71">
            <v>50</v>
          </cell>
          <cell r="N71">
            <v>80</v>
          </cell>
          <cell r="O71">
            <v>60</v>
          </cell>
          <cell r="W71">
            <v>66.400000000000006</v>
          </cell>
          <cell r="X71">
            <v>30</v>
          </cell>
          <cell r="Y71">
            <v>8.1475903614457827</v>
          </cell>
          <cell r="Z71">
            <v>3.3283132530120478</v>
          </cell>
          <cell r="AC71">
            <v>0</v>
          </cell>
          <cell r="AD71">
            <v>72.2</v>
          </cell>
          <cell r="AE71">
            <v>79.599999999999994</v>
          </cell>
          <cell r="AF71">
            <v>75.599999999999994</v>
          </cell>
          <cell r="AG71">
            <v>74.599999999999994</v>
          </cell>
          <cell r="AH71">
            <v>82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89</v>
          </cell>
          <cell r="D72">
            <v>795</v>
          </cell>
          <cell r="E72">
            <v>599</v>
          </cell>
          <cell r="F72">
            <v>259</v>
          </cell>
          <cell r="G72" t="str">
            <v>ябл</v>
          </cell>
          <cell r="H72">
            <v>0.6</v>
          </cell>
          <cell r="I72">
            <v>60</v>
          </cell>
          <cell r="J72">
            <v>623</v>
          </cell>
          <cell r="K72">
            <v>-24</v>
          </cell>
          <cell r="L72">
            <v>130</v>
          </cell>
          <cell r="M72">
            <v>120</v>
          </cell>
          <cell r="N72">
            <v>120</v>
          </cell>
          <cell r="O72">
            <v>120</v>
          </cell>
          <cell r="W72">
            <v>119.8</v>
          </cell>
          <cell r="X72">
            <v>190</v>
          </cell>
          <cell r="Y72">
            <v>7.8380634390651087</v>
          </cell>
          <cell r="Z72">
            <v>2.1619365609348917</v>
          </cell>
          <cell r="AC72">
            <v>0</v>
          </cell>
          <cell r="AD72">
            <v>109.8</v>
          </cell>
          <cell r="AE72">
            <v>101.8</v>
          </cell>
          <cell r="AF72">
            <v>93</v>
          </cell>
          <cell r="AG72">
            <v>116.6</v>
          </cell>
          <cell r="AH72">
            <v>153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74.018000000000001</v>
          </cell>
          <cell r="D73">
            <v>190.923</v>
          </cell>
          <cell r="E73">
            <v>141.62700000000001</v>
          </cell>
          <cell r="F73">
            <v>106.38500000000001</v>
          </cell>
          <cell r="G73">
            <v>0</v>
          </cell>
          <cell r="H73">
            <v>1</v>
          </cell>
          <cell r="I73">
            <v>30</v>
          </cell>
          <cell r="J73">
            <v>188.49700000000001</v>
          </cell>
          <cell r="K73">
            <v>-46.870000000000005</v>
          </cell>
          <cell r="L73">
            <v>20</v>
          </cell>
          <cell r="M73">
            <v>30</v>
          </cell>
          <cell r="N73">
            <v>30</v>
          </cell>
          <cell r="O73">
            <v>20</v>
          </cell>
          <cell r="W73">
            <v>28.325400000000002</v>
          </cell>
          <cell r="X73">
            <v>30</v>
          </cell>
          <cell r="Y73">
            <v>8.3453366942743958</v>
          </cell>
          <cell r="Z73">
            <v>3.7558163344560005</v>
          </cell>
          <cell r="AC73">
            <v>0</v>
          </cell>
          <cell r="AD73">
            <v>37.363999999999997</v>
          </cell>
          <cell r="AE73">
            <v>26.766000000000002</v>
          </cell>
          <cell r="AF73">
            <v>30.602399999999999</v>
          </cell>
          <cell r="AG73">
            <v>30.446800000000003</v>
          </cell>
          <cell r="AH73">
            <v>12.954000000000001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196</v>
          </cell>
          <cell r="D74">
            <v>958</v>
          </cell>
          <cell r="E74">
            <v>677</v>
          </cell>
          <cell r="F74">
            <v>456</v>
          </cell>
          <cell r="G74" t="str">
            <v>ябл,дк</v>
          </cell>
          <cell r="H74">
            <v>0.6</v>
          </cell>
          <cell r="I74">
            <v>60</v>
          </cell>
          <cell r="J74">
            <v>681</v>
          </cell>
          <cell r="K74">
            <v>-4</v>
          </cell>
          <cell r="L74">
            <v>150</v>
          </cell>
          <cell r="M74">
            <v>100</v>
          </cell>
          <cell r="N74">
            <v>130</v>
          </cell>
          <cell r="O74">
            <v>100</v>
          </cell>
          <cell r="W74">
            <v>135.4</v>
          </cell>
          <cell r="X74">
            <v>150</v>
          </cell>
          <cell r="Y74">
            <v>8.0206794682422444</v>
          </cell>
          <cell r="Z74">
            <v>3.3677991137370751</v>
          </cell>
          <cell r="AC74">
            <v>0</v>
          </cell>
          <cell r="AD74">
            <v>136.6</v>
          </cell>
          <cell r="AE74">
            <v>110.8</v>
          </cell>
          <cell r="AF74">
            <v>115.4</v>
          </cell>
          <cell r="AG74">
            <v>146.6</v>
          </cell>
          <cell r="AH74">
            <v>147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373</v>
          </cell>
          <cell r="D75">
            <v>1137</v>
          </cell>
          <cell r="E75">
            <v>936</v>
          </cell>
          <cell r="F75">
            <v>550</v>
          </cell>
          <cell r="G75" t="str">
            <v>ябл,дк</v>
          </cell>
          <cell r="H75">
            <v>0.6</v>
          </cell>
          <cell r="I75">
            <v>60</v>
          </cell>
          <cell r="J75">
            <v>938</v>
          </cell>
          <cell r="K75">
            <v>-2</v>
          </cell>
          <cell r="L75">
            <v>200</v>
          </cell>
          <cell r="M75">
            <v>0</v>
          </cell>
          <cell r="N75">
            <v>200</v>
          </cell>
          <cell r="O75">
            <v>130</v>
          </cell>
          <cell r="W75">
            <v>187.2</v>
          </cell>
          <cell r="X75">
            <v>400</v>
          </cell>
          <cell r="Y75">
            <v>7.9059829059829063</v>
          </cell>
          <cell r="Z75">
            <v>2.9380341880341883</v>
          </cell>
          <cell r="AC75">
            <v>0</v>
          </cell>
          <cell r="AD75">
            <v>185.8</v>
          </cell>
          <cell r="AE75">
            <v>184.4</v>
          </cell>
          <cell r="AF75">
            <v>192.2</v>
          </cell>
          <cell r="AG75">
            <v>198</v>
          </cell>
          <cell r="AH75">
            <v>277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115</v>
          </cell>
          <cell r="D76">
            <v>959</v>
          </cell>
          <cell r="E76">
            <v>761</v>
          </cell>
          <cell r="F76">
            <v>293</v>
          </cell>
          <cell r="G76">
            <v>0</v>
          </cell>
          <cell r="H76">
            <v>0.4</v>
          </cell>
          <cell r="I76" t="e">
            <v>#N/A</v>
          </cell>
          <cell r="J76">
            <v>767</v>
          </cell>
          <cell r="K76">
            <v>-6</v>
          </cell>
          <cell r="L76">
            <v>160</v>
          </cell>
          <cell r="M76">
            <v>150</v>
          </cell>
          <cell r="N76">
            <v>200</v>
          </cell>
          <cell r="O76">
            <v>220</v>
          </cell>
          <cell r="W76">
            <v>152.19999999999999</v>
          </cell>
          <cell r="X76">
            <v>190</v>
          </cell>
          <cell r="Y76">
            <v>7.9697766097240477</v>
          </cell>
          <cell r="Z76">
            <v>1.9250985545335086</v>
          </cell>
          <cell r="AC76">
            <v>0</v>
          </cell>
          <cell r="AD76">
            <v>130.6</v>
          </cell>
          <cell r="AE76">
            <v>142.6</v>
          </cell>
          <cell r="AF76">
            <v>127.6</v>
          </cell>
          <cell r="AG76">
            <v>146</v>
          </cell>
          <cell r="AH76">
            <v>148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172</v>
          </cell>
          <cell r="D77">
            <v>985</v>
          </cell>
          <cell r="E77">
            <v>716</v>
          </cell>
          <cell r="F77">
            <v>426</v>
          </cell>
          <cell r="G77">
            <v>0</v>
          </cell>
          <cell r="H77">
            <v>0.33</v>
          </cell>
          <cell r="I77">
            <v>60</v>
          </cell>
          <cell r="J77">
            <v>730</v>
          </cell>
          <cell r="K77">
            <v>-14</v>
          </cell>
          <cell r="L77">
            <v>170</v>
          </cell>
          <cell r="M77">
            <v>0</v>
          </cell>
          <cell r="N77">
            <v>100</v>
          </cell>
          <cell r="O77">
            <v>180</v>
          </cell>
          <cell r="W77">
            <v>143.19999999999999</v>
          </cell>
          <cell r="X77">
            <v>270</v>
          </cell>
          <cell r="Y77">
            <v>8.0027932960893864</v>
          </cell>
          <cell r="Z77">
            <v>2.9748603351955309</v>
          </cell>
          <cell r="AC77">
            <v>0</v>
          </cell>
          <cell r="AD77">
            <v>153.80000000000001</v>
          </cell>
          <cell r="AE77">
            <v>169.2</v>
          </cell>
          <cell r="AF77">
            <v>136.6</v>
          </cell>
          <cell r="AG77">
            <v>157.80000000000001</v>
          </cell>
          <cell r="AH77">
            <v>183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312</v>
          </cell>
          <cell r="D78">
            <v>630</v>
          </cell>
          <cell r="E78">
            <v>510</v>
          </cell>
          <cell r="F78">
            <v>411</v>
          </cell>
          <cell r="G78">
            <v>0</v>
          </cell>
          <cell r="H78">
            <v>0.35</v>
          </cell>
          <cell r="I78" t="e">
            <v>#N/A</v>
          </cell>
          <cell r="J78">
            <v>527</v>
          </cell>
          <cell r="K78">
            <v>-17</v>
          </cell>
          <cell r="L78">
            <v>130</v>
          </cell>
          <cell r="M78">
            <v>0</v>
          </cell>
          <cell r="N78">
            <v>0</v>
          </cell>
          <cell r="O78">
            <v>150</v>
          </cell>
          <cell r="W78">
            <v>102</v>
          </cell>
          <cell r="X78">
            <v>120</v>
          </cell>
          <cell r="Y78">
            <v>7.9509803921568629</v>
          </cell>
          <cell r="Z78">
            <v>4.0294117647058822</v>
          </cell>
          <cell r="AC78">
            <v>0</v>
          </cell>
          <cell r="AD78">
            <v>118.4</v>
          </cell>
          <cell r="AE78">
            <v>123</v>
          </cell>
          <cell r="AF78">
            <v>124.4</v>
          </cell>
          <cell r="AG78">
            <v>127</v>
          </cell>
          <cell r="AH78">
            <v>117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-13</v>
          </cell>
          <cell r="D79">
            <v>662</v>
          </cell>
          <cell r="E79">
            <v>228</v>
          </cell>
          <cell r="F79">
            <v>419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240</v>
          </cell>
          <cell r="K79">
            <v>-12</v>
          </cell>
          <cell r="L79">
            <v>80</v>
          </cell>
          <cell r="M79">
            <v>0</v>
          </cell>
          <cell r="N79">
            <v>0</v>
          </cell>
          <cell r="O79">
            <v>0</v>
          </cell>
          <cell r="W79">
            <v>45.6</v>
          </cell>
          <cell r="X79">
            <v>50</v>
          </cell>
          <cell r="Y79">
            <v>12.039473684210526</v>
          </cell>
          <cell r="Z79">
            <v>9.1885964912280702</v>
          </cell>
          <cell r="AC79">
            <v>0</v>
          </cell>
          <cell r="AD79">
            <v>76.2</v>
          </cell>
          <cell r="AE79">
            <v>83.6</v>
          </cell>
          <cell r="AF79">
            <v>85.8</v>
          </cell>
          <cell r="AG79">
            <v>84.2</v>
          </cell>
          <cell r="AH79">
            <v>87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1025</v>
          </cell>
          <cell r="D80">
            <v>7618</v>
          </cell>
          <cell r="E80">
            <v>5013</v>
          </cell>
          <cell r="F80">
            <v>3538</v>
          </cell>
          <cell r="G80">
            <v>0</v>
          </cell>
          <cell r="H80">
            <v>0.35</v>
          </cell>
          <cell r="I80">
            <v>40</v>
          </cell>
          <cell r="J80">
            <v>5117</v>
          </cell>
          <cell r="K80">
            <v>-104</v>
          </cell>
          <cell r="L80">
            <v>1200</v>
          </cell>
          <cell r="M80">
            <v>0</v>
          </cell>
          <cell r="N80">
            <v>300</v>
          </cell>
          <cell r="O80">
            <v>700</v>
          </cell>
          <cell r="W80">
            <v>822.6</v>
          </cell>
          <cell r="X80">
            <v>800</v>
          </cell>
          <cell r="Y80">
            <v>7.9479698516897637</v>
          </cell>
          <cell r="Z80">
            <v>4.3009968392900557</v>
          </cell>
          <cell r="AC80">
            <v>900</v>
          </cell>
          <cell r="AD80">
            <v>889.2</v>
          </cell>
          <cell r="AE80">
            <v>1083</v>
          </cell>
          <cell r="AF80">
            <v>1151.2</v>
          </cell>
          <cell r="AG80">
            <v>1078.5999999999999</v>
          </cell>
          <cell r="AH80">
            <v>740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4448</v>
          </cell>
          <cell r="D81">
            <v>15745</v>
          </cell>
          <cell r="E81">
            <v>15149</v>
          </cell>
          <cell r="F81">
            <v>4850</v>
          </cell>
          <cell r="G81">
            <v>0</v>
          </cell>
          <cell r="H81">
            <v>0.35</v>
          </cell>
          <cell r="I81">
            <v>45</v>
          </cell>
          <cell r="J81">
            <v>15321</v>
          </cell>
          <cell r="K81">
            <v>-172</v>
          </cell>
          <cell r="L81">
            <v>2800</v>
          </cell>
          <cell r="M81">
            <v>2000</v>
          </cell>
          <cell r="N81">
            <v>2900</v>
          </cell>
          <cell r="O81">
            <v>3100</v>
          </cell>
          <cell r="W81">
            <v>2449</v>
          </cell>
          <cell r="X81">
            <v>3800</v>
          </cell>
          <cell r="Y81">
            <v>7.9420171498570848</v>
          </cell>
          <cell r="Z81">
            <v>1.9804001633319723</v>
          </cell>
          <cell r="AC81">
            <v>2904</v>
          </cell>
          <cell r="AD81">
            <v>2022.8</v>
          </cell>
          <cell r="AE81">
            <v>2083.4</v>
          </cell>
          <cell r="AF81">
            <v>2090</v>
          </cell>
          <cell r="AG81">
            <v>2393</v>
          </cell>
          <cell r="AH81">
            <v>2702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14</v>
          </cell>
          <cell r="D82">
            <v>883</v>
          </cell>
          <cell r="E82">
            <v>503</v>
          </cell>
          <cell r="F82">
            <v>383</v>
          </cell>
          <cell r="G82">
            <v>0</v>
          </cell>
          <cell r="H82">
            <v>0.4</v>
          </cell>
          <cell r="I82" t="e">
            <v>#N/A</v>
          </cell>
          <cell r="J82">
            <v>548</v>
          </cell>
          <cell r="K82">
            <v>-45</v>
          </cell>
          <cell r="L82">
            <v>110</v>
          </cell>
          <cell r="M82">
            <v>50</v>
          </cell>
          <cell r="N82">
            <v>50</v>
          </cell>
          <cell r="O82">
            <v>100</v>
          </cell>
          <cell r="W82">
            <v>100.6</v>
          </cell>
          <cell r="X82">
            <v>110</v>
          </cell>
          <cell r="Y82">
            <v>7.9821073558648115</v>
          </cell>
          <cell r="Z82">
            <v>3.8071570576540759</v>
          </cell>
          <cell r="AC82">
            <v>0</v>
          </cell>
          <cell r="AD82">
            <v>97.2</v>
          </cell>
          <cell r="AE82">
            <v>95.8</v>
          </cell>
          <cell r="AF82">
            <v>99.6</v>
          </cell>
          <cell r="AG82">
            <v>121.4</v>
          </cell>
          <cell r="AH82">
            <v>107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59.173000000000002</v>
          </cell>
          <cell r="D83">
            <v>379.91</v>
          </cell>
          <cell r="E83">
            <v>233.499</v>
          </cell>
          <cell r="F83">
            <v>205.584</v>
          </cell>
          <cell r="G83" t="str">
            <v>н</v>
          </cell>
          <cell r="H83">
            <v>1</v>
          </cell>
          <cell r="I83" t="e">
            <v>#N/A</v>
          </cell>
          <cell r="J83">
            <v>228.702</v>
          </cell>
          <cell r="K83">
            <v>4.796999999999997</v>
          </cell>
          <cell r="L83">
            <v>50</v>
          </cell>
          <cell r="M83">
            <v>0</v>
          </cell>
          <cell r="N83">
            <v>70</v>
          </cell>
          <cell r="O83">
            <v>30</v>
          </cell>
          <cell r="W83">
            <v>46.699799999999996</v>
          </cell>
          <cell r="X83">
            <v>20</v>
          </cell>
          <cell r="Y83">
            <v>8.0425183833763754</v>
          </cell>
          <cell r="Z83">
            <v>4.4022458340292685</v>
          </cell>
          <cell r="AC83">
            <v>0</v>
          </cell>
          <cell r="AD83">
            <v>41.2286</v>
          </cell>
          <cell r="AE83">
            <v>32.292400000000001</v>
          </cell>
          <cell r="AF83">
            <v>46.625799999999998</v>
          </cell>
          <cell r="AG83">
            <v>55.484400000000008</v>
          </cell>
          <cell r="AH83">
            <v>30.33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47</v>
          </cell>
          <cell r="D84">
            <v>413</v>
          </cell>
          <cell r="E84">
            <v>348</v>
          </cell>
          <cell r="F84">
            <v>109</v>
          </cell>
          <cell r="G84">
            <v>0</v>
          </cell>
          <cell r="H84">
            <v>0.4</v>
          </cell>
          <cell r="I84" t="e">
            <v>#N/A</v>
          </cell>
          <cell r="J84">
            <v>358</v>
          </cell>
          <cell r="K84">
            <v>-10</v>
          </cell>
          <cell r="L84">
            <v>50</v>
          </cell>
          <cell r="M84">
            <v>0</v>
          </cell>
          <cell r="N84">
            <v>60</v>
          </cell>
          <cell r="O84">
            <v>150</v>
          </cell>
          <cell r="W84">
            <v>69.599999999999994</v>
          </cell>
          <cell r="X84">
            <v>180</v>
          </cell>
          <cell r="Y84">
            <v>7.8879310344827589</v>
          </cell>
          <cell r="Z84">
            <v>1.5660919540229887</v>
          </cell>
          <cell r="AC84">
            <v>0</v>
          </cell>
          <cell r="AD84">
            <v>52.8</v>
          </cell>
          <cell r="AE84">
            <v>60.2</v>
          </cell>
          <cell r="AF84">
            <v>53</v>
          </cell>
          <cell r="AG84">
            <v>60.8</v>
          </cell>
          <cell r="AH84">
            <v>89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37.970999999999997</v>
          </cell>
          <cell r="D85">
            <v>109.393</v>
          </cell>
          <cell r="E85">
            <v>73.385000000000005</v>
          </cell>
          <cell r="F85">
            <v>69.650999999999996</v>
          </cell>
          <cell r="G85">
            <v>0</v>
          </cell>
          <cell r="H85">
            <v>1</v>
          </cell>
          <cell r="I85" t="e">
            <v>#N/A</v>
          </cell>
          <cell r="J85">
            <v>75.7</v>
          </cell>
          <cell r="K85">
            <v>-2.3149999999999977</v>
          </cell>
          <cell r="L85">
            <v>0</v>
          </cell>
          <cell r="M85">
            <v>0</v>
          </cell>
          <cell r="N85">
            <v>0</v>
          </cell>
          <cell r="O85">
            <v>20</v>
          </cell>
          <cell r="W85">
            <v>14.677000000000001</v>
          </cell>
          <cell r="X85">
            <v>30</v>
          </cell>
          <cell r="Y85">
            <v>8.1522790761054704</v>
          </cell>
          <cell r="Z85">
            <v>4.7455883354909032</v>
          </cell>
          <cell r="AC85">
            <v>0</v>
          </cell>
          <cell r="AD85">
            <v>13.588200000000001</v>
          </cell>
          <cell r="AE85">
            <v>14.214599999999999</v>
          </cell>
          <cell r="AF85">
            <v>14.442400000000001</v>
          </cell>
          <cell r="AG85">
            <v>13.562200000000001</v>
          </cell>
          <cell r="AH85">
            <v>18.68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173</v>
          </cell>
          <cell r="D86">
            <v>887</v>
          </cell>
          <cell r="E86">
            <v>649</v>
          </cell>
          <cell r="F86">
            <v>376</v>
          </cell>
          <cell r="G86">
            <v>0</v>
          </cell>
          <cell r="H86">
            <v>0.2</v>
          </cell>
          <cell r="I86" t="e">
            <v>#N/A</v>
          </cell>
          <cell r="J86">
            <v>687</v>
          </cell>
          <cell r="K86">
            <v>-38</v>
          </cell>
          <cell r="L86">
            <v>150</v>
          </cell>
          <cell r="M86">
            <v>100</v>
          </cell>
          <cell r="N86">
            <v>150</v>
          </cell>
          <cell r="O86">
            <v>200</v>
          </cell>
          <cell r="W86">
            <v>129.80000000000001</v>
          </cell>
          <cell r="X86">
            <v>100</v>
          </cell>
          <cell r="Y86">
            <v>8.2896764252696453</v>
          </cell>
          <cell r="Z86">
            <v>2.8967642526964559</v>
          </cell>
          <cell r="AC86">
            <v>0</v>
          </cell>
          <cell r="AD86">
            <v>117.4</v>
          </cell>
          <cell r="AE86">
            <v>124.4</v>
          </cell>
          <cell r="AF86">
            <v>112.8</v>
          </cell>
          <cell r="AG86">
            <v>137.4</v>
          </cell>
          <cell r="AH86">
            <v>94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37</v>
          </cell>
          <cell r="D87">
            <v>459</v>
          </cell>
          <cell r="E87">
            <v>320</v>
          </cell>
          <cell r="F87">
            <v>167</v>
          </cell>
          <cell r="G87">
            <v>0</v>
          </cell>
          <cell r="H87">
            <v>0.3</v>
          </cell>
          <cell r="I87" t="e">
            <v>#N/A</v>
          </cell>
          <cell r="J87">
            <v>358</v>
          </cell>
          <cell r="K87">
            <v>-38</v>
          </cell>
          <cell r="L87">
            <v>60</v>
          </cell>
          <cell r="M87">
            <v>60</v>
          </cell>
          <cell r="N87">
            <v>60</v>
          </cell>
          <cell r="O87">
            <v>70</v>
          </cell>
          <cell r="W87">
            <v>64</v>
          </cell>
          <cell r="X87">
            <v>90</v>
          </cell>
          <cell r="Y87">
            <v>7.921875</v>
          </cell>
          <cell r="Z87">
            <v>2.609375</v>
          </cell>
          <cell r="AC87">
            <v>0</v>
          </cell>
          <cell r="AD87">
            <v>78.400000000000006</v>
          </cell>
          <cell r="AE87">
            <v>48.2</v>
          </cell>
          <cell r="AF87">
            <v>49.6</v>
          </cell>
          <cell r="AG87">
            <v>65.400000000000006</v>
          </cell>
          <cell r="AH87">
            <v>77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60.273000000000003</v>
          </cell>
          <cell r="D88">
            <v>700.88300000000004</v>
          </cell>
          <cell r="E88">
            <v>525.50300000000004</v>
          </cell>
          <cell r="F88">
            <v>230.38900000000001</v>
          </cell>
          <cell r="G88">
            <v>0</v>
          </cell>
          <cell r="H88">
            <v>1</v>
          </cell>
          <cell r="I88" t="e">
            <v>#N/A</v>
          </cell>
          <cell r="J88">
            <v>520.64200000000005</v>
          </cell>
          <cell r="K88">
            <v>4.86099999999999</v>
          </cell>
          <cell r="L88">
            <v>100</v>
          </cell>
          <cell r="M88">
            <v>50</v>
          </cell>
          <cell r="N88">
            <v>100</v>
          </cell>
          <cell r="O88">
            <v>200</v>
          </cell>
          <cell r="W88">
            <v>105.10060000000001</v>
          </cell>
          <cell r="X88">
            <v>150</v>
          </cell>
          <cell r="Y88">
            <v>7.9008968550131957</v>
          </cell>
          <cell r="Z88">
            <v>2.1920807302717584</v>
          </cell>
          <cell r="AC88">
            <v>0</v>
          </cell>
          <cell r="AD88">
            <v>96.665400000000005</v>
          </cell>
          <cell r="AE88">
            <v>98.308199999999999</v>
          </cell>
          <cell r="AF88">
            <v>78.1708</v>
          </cell>
          <cell r="AG88">
            <v>98.722000000000008</v>
          </cell>
          <cell r="AH88">
            <v>116.73099999999999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1884.1189999999999</v>
          </cell>
          <cell r="D89">
            <v>4480.8760000000002</v>
          </cell>
          <cell r="E89">
            <v>4328.4650000000001</v>
          </cell>
          <cell r="F89">
            <v>1976.499</v>
          </cell>
          <cell r="G89">
            <v>0</v>
          </cell>
          <cell r="H89">
            <v>1</v>
          </cell>
          <cell r="I89" t="e">
            <v>#N/A</v>
          </cell>
          <cell r="J89">
            <v>4396.5129999999999</v>
          </cell>
          <cell r="K89">
            <v>-68.047999999999774</v>
          </cell>
          <cell r="L89">
            <v>700</v>
          </cell>
          <cell r="M89">
            <v>1000</v>
          </cell>
          <cell r="N89">
            <v>1200</v>
          </cell>
          <cell r="O89">
            <v>1000</v>
          </cell>
          <cell r="W89">
            <v>865.69299999999998</v>
          </cell>
          <cell r="X89">
            <v>1000</v>
          </cell>
          <cell r="Y89">
            <v>7.9433459667572688</v>
          </cell>
          <cell r="Z89">
            <v>2.283140790095334</v>
          </cell>
          <cell r="AC89">
            <v>0</v>
          </cell>
          <cell r="AD89">
            <v>901.19539999999995</v>
          </cell>
          <cell r="AE89">
            <v>966.30100000000004</v>
          </cell>
          <cell r="AF89">
            <v>988.82339999999999</v>
          </cell>
          <cell r="AG89">
            <v>849.73719999999992</v>
          </cell>
          <cell r="AH89">
            <v>746.33600000000001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4580.7129999999997</v>
          </cell>
          <cell r="D90">
            <v>4328.5659999999998</v>
          </cell>
          <cell r="E90">
            <v>6285.683</v>
          </cell>
          <cell r="F90">
            <v>2576.2370000000001</v>
          </cell>
          <cell r="G90">
            <v>0</v>
          </cell>
          <cell r="H90">
            <v>1</v>
          </cell>
          <cell r="I90" t="e">
            <v>#N/A</v>
          </cell>
          <cell r="J90">
            <v>6353.6040000000003</v>
          </cell>
          <cell r="K90">
            <v>-67.921000000000276</v>
          </cell>
          <cell r="L90">
            <v>1500</v>
          </cell>
          <cell r="M90">
            <v>500</v>
          </cell>
          <cell r="N90">
            <v>1800</v>
          </cell>
          <cell r="O90">
            <v>1000</v>
          </cell>
          <cell r="W90">
            <v>1250.9821999999999</v>
          </cell>
          <cell r="X90">
            <v>2500</v>
          </cell>
          <cell r="Y90">
            <v>7.8947861928011456</v>
          </cell>
          <cell r="Z90">
            <v>2.0593714283064939</v>
          </cell>
          <cell r="AC90">
            <v>30.771999999999998</v>
          </cell>
          <cell r="AD90">
            <v>967.11040000000014</v>
          </cell>
          <cell r="AE90">
            <v>1000.2540000000001</v>
          </cell>
          <cell r="AF90">
            <v>1028.5565999999999</v>
          </cell>
          <cell r="AG90">
            <v>1122.0304000000001</v>
          </cell>
          <cell r="AH90">
            <v>1611.8989999999999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3876.252</v>
          </cell>
          <cell r="D91">
            <v>6281.8590000000004</v>
          </cell>
          <cell r="E91">
            <v>6347.7070000000003</v>
          </cell>
          <cell r="F91">
            <v>3748.348</v>
          </cell>
          <cell r="G91">
            <v>0</v>
          </cell>
          <cell r="H91">
            <v>1</v>
          </cell>
          <cell r="I91" t="e">
            <v>#N/A</v>
          </cell>
          <cell r="J91">
            <v>6447.0320000000002</v>
          </cell>
          <cell r="K91">
            <v>-99.324999999999818</v>
          </cell>
          <cell r="L91">
            <v>1200</v>
          </cell>
          <cell r="M91">
            <v>400</v>
          </cell>
          <cell r="N91">
            <v>1800</v>
          </cell>
          <cell r="O91">
            <v>1400</v>
          </cell>
          <cell r="W91">
            <v>1260.2991999999999</v>
          </cell>
          <cell r="X91">
            <v>1400</v>
          </cell>
          <cell r="Y91">
            <v>7.8936398594873349</v>
          </cell>
          <cell r="Z91">
            <v>2.9741731169868237</v>
          </cell>
          <cell r="AC91">
            <v>46.210999999999999</v>
          </cell>
          <cell r="AD91">
            <v>1430.7577999999999</v>
          </cell>
          <cell r="AE91">
            <v>1537.6201999999998</v>
          </cell>
          <cell r="AF91">
            <v>1549.0896</v>
          </cell>
          <cell r="AG91">
            <v>1357.0478000000001</v>
          </cell>
          <cell r="AH91">
            <v>1194.6210000000001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100.57</v>
          </cell>
          <cell r="D92">
            <v>244.77099999999999</v>
          </cell>
          <cell r="E92">
            <v>183.215</v>
          </cell>
          <cell r="F92">
            <v>146.11699999999999</v>
          </cell>
          <cell r="G92">
            <v>0</v>
          </cell>
          <cell r="H92">
            <v>1</v>
          </cell>
          <cell r="I92" t="e">
            <v>#N/A</v>
          </cell>
          <cell r="J92">
            <v>203.3</v>
          </cell>
          <cell r="K92">
            <v>-20.085000000000008</v>
          </cell>
          <cell r="L92">
            <v>40</v>
          </cell>
          <cell r="M92">
            <v>40</v>
          </cell>
          <cell r="N92">
            <v>40</v>
          </cell>
          <cell r="O92">
            <v>30</v>
          </cell>
          <cell r="W92">
            <v>36.643000000000001</v>
          </cell>
          <cell r="Y92">
            <v>8.0811341866113562</v>
          </cell>
          <cell r="Z92">
            <v>3.9875828944136669</v>
          </cell>
          <cell r="AC92">
            <v>0</v>
          </cell>
          <cell r="AD92">
            <v>37.846199999999996</v>
          </cell>
          <cell r="AE92">
            <v>39.794400000000003</v>
          </cell>
          <cell r="AF92">
            <v>41.135199999999998</v>
          </cell>
          <cell r="AG92">
            <v>41.445</v>
          </cell>
          <cell r="AH92">
            <v>31.253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44</v>
          </cell>
          <cell r="D93">
            <v>201</v>
          </cell>
          <cell r="E93">
            <v>111</v>
          </cell>
          <cell r="F93">
            <v>134</v>
          </cell>
          <cell r="G93">
            <v>0</v>
          </cell>
          <cell r="H93">
            <v>0.5</v>
          </cell>
          <cell r="I93" t="e">
            <v>#N/A</v>
          </cell>
          <cell r="J93">
            <v>114</v>
          </cell>
          <cell r="K93">
            <v>-3</v>
          </cell>
          <cell r="L93">
            <v>30</v>
          </cell>
          <cell r="M93">
            <v>0</v>
          </cell>
          <cell r="N93">
            <v>0</v>
          </cell>
          <cell r="O93">
            <v>0</v>
          </cell>
          <cell r="W93">
            <v>22.2</v>
          </cell>
          <cell r="X93">
            <v>20</v>
          </cell>
          <cell r="Y93">
            <v>8.2882882882882889</v>
          </cell>
          <cell r="Z93">
            <v>6.0360360360360366</v>
          </cell>
          <cell r="AC93">
            <v>0</v>
          </cell>
          <cell r="AD93">
            <v>15.8</v>
          </cell>
          <cell r="AE93">
            <v>24.8</v>
          </cell>
          <cell r="AF93">
            <v>24.4</v>
          </cell>
          <cell r="AG93">
            <v>35.4</v>
          </cell>
          <cell r="AH93">
            <v>32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35.296999999999997</v>
          </cell>
          <cell r="D94">
            <v>8.7309999999999999</v>
          </cell>
          <cell r="E94">
            <v>8.7520000000000007</v>
          </cell>
          <cell r="F94">
            <v>35.276000000000003</v>
          </cell>
          <cell r="G94">
            <v>0</v>
          </cell>
          <cell r="H94">
            <v>1</v>
          </cell>
          <cell r="I94" t="e">
            <v>#N/A</v>
          </cell>
          <cell r="J94">
            <v>8.1</v>
          </cell>
          <cell r="K94">
            <v>0.65200000000000102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W94">
            <v>1.7504000000000002</v>
          </cell>
          <cell r="Y94">
            <v>20.153107861060327</v>
          </cell>
          <cell r="Z94">
            <v>20.153107861060327</v>
          </cell>
          <cell r="AC94">
            <v>0</v>
          </cell>
          <cell r="AD94">
            <v>5.4049999999999994</v>
          </cell>
          <cell r="AE94">
            <v>2.6248</v>
          </cell>
          <cell r="AF94">
            <v>5.3487999999999998</v>
          </cell>
          <cell r="AG94">
            <v>2.4050000000000002</v>
          </cell>
          <cell r="AH94">
            <v>0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9</v>
          </cell>
          <cell r="D95">
            <v>2997</v>
          </cell>
          <cell r="E95">
            <v>2055</v>
          </cell>
          <cell r="F95">
            <v>922</v>
          </cell>
          <cell r="G95">
            <v>0</v>
          </cell>
          <cell r="H95">
            <v>0.3</v>
          </cell>
          <cell r="I95" t="e">
            <v>#N/A</v>
          </cell>
          <cell r="J95">
            <v>2078</v>
          </cell>
          <cell r="K95">
            <v>-23</v>
          </cell>
          <cell r="L95">
            <v>400</v>
          </cell>
          <cell r="M95">
            <v>0</v>
          </cell>
          <cell r="N95">
            <v>300</v>
          </cell>
          <cell r="O95">
            <v>400</v>
          </cell>
          <cell r="W95">
            <v>291</v>
          </cell>
          <cell r="X95">
            <v>300</v>
          </cell>
          <cell r="Y95">
            <v>7.9793814432989691</v>
          </cell>
          <cell r="Z95">
            <v>3.1683848797250858</v>
          </cell>
          <cell r="AC95">
            <v>600</v>
          </cell>
          <cell r="AD95">
            <v>263.8</v>
          </cell>
          <cell r="AE95">
            <v>254.8</v>
          </cell>
          <cell r="AF95">
            <v>241.4</v>
          </cell>
          <cell r="AG95">
            <v>336</v>
          </cell>
          <cell r="AH95">
            <v>257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91</v>
          </cell>
          <cell r="D96">
            <v>1226</v>
          </cell>
          <cell r="E96">
            <v>727</v>
          </cell>
          <cell r="F96">
            <v>551</v>
          </cell>
          <cell r="G96">
            <v>0</v>
          </cell>
          <cell r="H96">
            <v>0.3</v>
          </cell>
          <cell r="I96" t="e">
            <v>#N/A</v>
          </cell>
          <cell r="J96">
            <v>766</v>
          </cell>
          <cell r="K96">
            <v>-39</v>
          </cell>
          <cell r="L96">
            <v>200</v>
          </cell>
          <cell r="M96">
            <v>0</v>
          </cell>
          <cell r="N96">
            <v>120</v>
          </cell>
          <cell r="O96">
            <v>200</v>
          </cell>
          <cell r="W96">
            <v>145.4</v>
          </cell>
          <cell r="X96">
            <v>100</v>
          </cell>
          <cell r="Y96">
            <v>8.0536451169188439</v>
          </cell>
          <cell r="Z96">
            <v>3.7895460797799174</v>
          </cell>
          <cell r="AC96">
            <v>0</v>
          </cell>
          <cell r="AD96">
            <v>137.80000000000001</v>
          </cell>
          <cell r="AE96">
            <v>139.80000000000001</v>
          </cell>
          <cell r="AF96">
            <v>128.4</v>
          </cell>
          <cell r="AG96">
            <v>177.4</v>
          </cell>
          <cell r="AH96">
            <v>111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240</v>
          </cell>
          <cell r="D97">
            <v>1689</v>
          </cell>
          <cell r="E97">
            <v>1328</v>
          </cell>
          <cell r="F97">
            <v>574</v>
          </cell>
          <cell r="G97">
            <v>0</v>
          </cell>
          <cell r="H97">
            <v>0.3</v>
          </cell>
          <cell r="I97" t="e">
            <v>#N/A</v>
          </cell>
          <cell r="J97">
            <v>1355</v>
          </cell>
          <cell r="K97">
            <v>-27</v>
          </cell>
          <cell r="L97">
            <v>250</v>
          </cell>
          <cell r="M97">
            <v>0</v>
          </cell>
          <cell r="N97">
            <v>300</v>
          </cell>
          <cell r="O97">
            <v>300</v>
          </cell>
          <cell r="W97">
            <v>205.6</v>
          </cell>
          <cell r="X97">
            <v>200</v>
          </cell>
          <cell r="Y97">
            <v>7.8988326848249031</v>
          </cell>
          <cell r="Z97">
            <v>2.7918287937743194</v>
          </cell>
          <cell r="AC97">
            <v>300</v>
          </cell>
          <cell r="AD97">
            <v>207.2</v>
          </cell>
          <cell r="AE97">
            <v>225.8</v>
          </cell>
          <cell r="AF97">
            <v>185</v>
          </cell>
          <cell r="AG97">
            <v>223.6</v>
          </cell>
          <cell r="AH97">
            <v>184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170</v>
          </cell>
          <cell r="D98">
            <v>976</v>
          </cell>
          <cell r="E98">
            <v>675</v>
          </cell>
          <cell r="F98">
            <v>452</v>
          </cell>
          <cell r="G98">
            <v>0</v>
          </cell>
          <cell r="H98">
            <v>0.3</v>
          </cell>
          <cell r="I98" t="e">
            <v>#N/A</v>
          </cell>
          <cell r="J98">
            <v>688</v>
          </cell>
          <cell r="K98">
            <v>-13</v>
          </cell>
          <cell r="L98">
            <v>180</v>
          </cell>
          <cell r="M98">
            <v>0</v>
          </cell>
          <cell r="N98">
            <v>100</v>
          </cell>
          <cell r="O98">
            <v>200</v>
          </cell>
          <cell r="W98">
            <v>135</v>
          </cell>
          <cell r="X98">
            <v>140</v>
          </cell>
          <cell r="Y98">
            <v>7.9407407407407407</v>
          </cell>
          <cell r="Z98">
            <v>3.3481481481481481</v>
          </cell>
          <cell r="AC98">
            <v>0</v>
          </cell>
          <cell r="AD98">
            <v>139.19999999999999</v>
          </cell>
          <cell r="AE98">
            <v>146.6</v>
          </cell>
          <cell r="AF98">
            <v>137.4</v>
          </cell>
          <cell r="AG98">
            <v>156.19999999999999</v>
          </cell>
          <cell r="AH98">
            <v>140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60</v>
          </cell>
          <cell r="E99">
            <v>60</v>
          </cell>
          <cell r="G99">
            <v>0</v>
          </cell>
          <cell r="H99">
            <v>0.33</v>
          </cell>
          <cell r="I99" t="e">
            <v>#N/A</v>
          </cell>
          <cell r="J99">
            <v>60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60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19</v>
          </cell>
          <cell r="D100">
            <v>442</v>
          </cell>
          <cell r="E100">
            <v>213</v>
          </cell>
          <cell r="F100">
            <v>241</v>
          </cell>
          <cell r="G100">
            <v>0</v>
          </cell>
          <cell r="H100">
            <v>0.12</v>
          </cell>
          <cell r="I100">
            <v>45</v>
          </cell>
          <cell r="J100">
            <v>221</v>
          </cell>
          <cell r="K100">
            <v>-8</v>
          </cell>
          <cell r="L100">
            <v>50</v>
          </cell>
          <cell r="M100">
            <v>0</v>
          </cell>
          <cell r="N100">
            <v>0</v>
          </cell>
          <cell r="O100">
            <v>0</v>
          </cell>
          <cell r="W100">
            <v>42.6</v>
          </cell>
          <cell r="X100">
            <v>70</v>
          </cell>
          <cell r="Y100">
            <v>8.4741784037558681</v>
          </cell>
          <cell r="Z100">
            <v>5.657276995305164</v>
          </cell>
          <cell r="AC100">
            <v>0</v>
          </cell>
          <cell r="AD100">
            <v>55</v>
          </cell>
          <cell r="AE100">
            <v>50</v>
          </cell>
          <cell r="AF100">
            <v>33</v>
          </cell>
          <cell r="AG100">
            <v>52.4</v>
          </cell>
          <cell r="AH100">
            <v>37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436</v>
          </cell>
          <cell r="D101">
            <v>544</v>
          </cell>
          <cell r="E101">
            <v>427</v>
          </cell>
          <cell r="F101">
            <v>551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433</v>
          </cell>
          <cell r="K101">
            <v>-6</v>
          </cell>
          <cell r="L101">
            <v>100</v>
          </cell>
          <cell r="M101">
            <v>100</v>
          </cell>
          <cell r="N101">
            <v>100</v>
          </cell>
          <cell r="O101">
            <v>0</v>
          </cell>
          <cell r="W101">
            <v>85.4</v>
          </cell>
          <cell r="Y101">
            <v>9.9648711943793913</v>
          </cell>
          <cell r="Z101">
            <v>6.451990632318501</v>
          </cell>
          <cell r="AC101">
            <v>0</v>
          </cell>
          <cell r="AD101">
            <v>129.6</v>
          </cell>
          <cell r="AE101">
            <v>129.4</v>
          </cell>
          <cell r="AF101">
            <v>133.4</v>
          </cell>
          <cell r="AG101">
            <v>102.8</v>
          </cell>
          <cell r="AH101">
            <v>84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26</v>
          </cell>
          <cell r="D102">
            <v>275</v>
          </cell>
          <cell r="E102">
            <v>260</v>
          </cell>
          <cell r="F102">
            <v>41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267</v>
          </cell>
          <cell r="K102">
            <v>-7</v>
          </cell>
          <cell r="L102">
            <v>100</v>
          </cell>
          <cell r="M102">
            <v>100</v>
          </cell>
          <cell r="N102">
            <v>100</v>
          </cell>
          <cell r="O102">
            <v>50</v>
          </cell>
          <cell r="W102">
            <v>52</v>
          </cell>
          <cell r="X102">
            <v>70</v>
          </cell>
          <cell r="Y102">
            <v>8.865384615384615</v>
          </cell>
          <cell r="Z102">
            <v>0.78846153846153844</v>
          </cell>
          <cell r="AC102">
            <v>0</v>
          </cell>
          <cell r="AD102">
            <v>56.4</v>
          </cell>
          <cell r="AE102">
            <v>52.6</v>
          </cell>
          <cell r="AF102">
            <v>48.2</v>
          </cell>
          <cell r="AG102">
            <v>59.8</v>
          </cell>
          <cell r="AH102">
            <v>33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163</v>
          </cell>
          <cell r="D103">
            <v>871</v>
          </cell>
          <cell r="E103">
            <v>443</v>
          </cell>
          <cell r="F103">
            <v>585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449</v>
          </cell>
          <cell r="K103">
            <v>-6</v>
          </cell>
          <cell r="L103">
            <v>150</v>
          </cell>
          <cell r="M103">
            <v>100</v>
          </cell>
          <cell r="N103">
            <v>50</v>
          </cell>
          <cell r="O103">
            <v>0</v>
          </cell>
          <cell r="W103">
            <v>88.6</v>
          </cell>
          <cell r="Y103">
            <v>9.9887133182844252</v>
          </cell>
          <cell r="Z103">
            <v>6.6027088036117387</v>
          </cell>
          <cell r="AC103">
            <v>0</v>
          </cell>
          <cell r="AD103">
            <v>103.8</v>
          </cell>
          <cell r="AE103">
            <v>104.4</v>
          </cell>
          <cell r="AF103">
            <v>102.6</v>
          </cell>
          <cell r="AG103">
            <v>120.2</v>
          </cell>
          <cell r="AH103">
            <v>70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411</v>
          </cell>
          <cell r="D104">
            <v>927</v>
          </cell>
          <cell r="E104">
            <v>611</v>
          </cell>
          <cell r="F104">
            <v>720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622</v>
          </cell>
          <cell r="K104">
            <v>-11</v>
          </cell>
          <cell r="L104">
            <v>200</v>
          </cell>
          <cell r="M104">
            <v>100</v>
          </cell>
          <cell r="N104">
            <v>100</v>
          </cell>
          <cell r="O104">
            <v>0</v>
          </cell>
          <cell r="W104">
            <v>122.2</v>
          </cell>
          <cell r="X104">
            <v>80</v>
          </cell>
          <cell r="Y104">
            <v>9.8199672667757767</v>
          </cell>
          <cell r="Z104">
            <v>5.8919803600654665</v>
          </cell>
          <cell r="AC104">
            <v>0</v>
          </cell>
          <cell r="AD104">
            <v>137.6</v>
          </cell>
          <cell r="AE104">
            <v>137.6</v>
          </cell>
          <cell r="AF104">
            <v>135</v>
          </cell>
          <cell r="AG104">
            <v>158.19999999999999</v>
          </cell>
          <cell r="AH104">
            <v>116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24</v>
          </cell>
          <cell r="D105">
            <v>660</v>
          </cell>
          <cell r="E105">
            <v>293</v>
          </cell>
          <cell r="F105">
            <v>380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309</v>
          </cell>
          <cell r="K105">
            <v>-16</v>
          </cell>
          <cell r="L105">
            <v>50</v>
          </cell>
          <cell r="M105">
            <v>100</v>
          </cell>
          <cell r="N105">
            <v>50</v>
          </cell>
          <cell r="O105">
            <v>0</v>
          </cell>
          <cell r="W105">
            <v>58.6</v>
          </cell>
          <cell r="Y105">
            <v>9.8976109215017054</v>
          </cell>
          <cell r="Z105">
            <v>6.4846416382252556</v>
          </cell>
          <cell r="AC105">
            <v>0</v>
          </cell>
          <cell r="AD105">
            <v>56.6</v>
          </cell>
          <cell r="AE105">
            <v>58.4</v>
          </cell>
          <cell r="AF105">
            <v>48.4</v>
          </cell>
          <cell r="AG105">
            <v>77.599999999999994</v>
          </cell>
          <cell r="AH105">
            <v>51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4</v>
          </cell>
          <cell r="D106">
            <v>472</v>
          </cell>
          <cell r="E106">
            <v>216</v>
          </cell>
          <cell r="F106">
            <v>256</v>
          </cell>
          <cell r="G106">
            <v>0</v>
          </cell>
          <cell r="H106">
            <v>5.5E-2</v>
          </cell>
          <cell r="I106" t="e">
            <v>#N/A</v>
          </cell>
          <cell r="J106">
            <v>223</v>
          </cell>
          <cell r="K106">
            <v>-7</v>
          </cell>
          <cell r="L106">
            <v>50</v>
          </cell>
          <cell r="M106">
            <v>0</v>
          </cell>
          <cell r="N106">
            <v>0</v>
          </cell>
          <cell r="O106">
            <v>0</v>
          </cell>
          <cell r="W106">
            <v>43.2</v>
          </cell>
          <cell r="X106">
            <v>100</v>
          </cell>
          <cell r="Y106">
            <v>9.398148148148147</v>
          </cell>
          <cell r="Z106">
            <v>5.9259259259259256</v>
          </cell>
          <cell r="AC106">
            <v>0</v>
          </cell>
          <cell r="AD106">
            <v>43.4</v>
          </cell>
          <cell r="AE106">
            <v>39</v>
          </cell>
          <cell r="AF106">
            <v>29.2</v>
          </cell>
          <cell r="AG106">
            <v>46.4</v>
          </cell>
          <cell r="AH106">
            <v>52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54</v>
          </cell>
          <cell r="D107">
            <v>24</v>
          </cell>
          <cell r="E107">
            <v>17</v>
          </cell>
          <cell r="F107">
            <v>61</v>
          </cell>
          <cell r="G107" t="str">
            <v>нов0</v>
          </cell>
          <cell r="H107">
            <v>0.3</v>
          </cell>
          <cell r="I107" t="e">
            <v>#N/A</v>
          </cell>
          <cell r="J107">
            <v>17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W107">
            <v>3.4</v>
          </cell>
          <cell r="Y107">
            <v>17.941176470588236</v>
          </cell>
          <cell r="Z107">
            <v>17.941176470588236</v>
          </cell>
          <cell r="AC107">
            <v>0</v>
          </cell>
          <cell r="AD107">
            <v>0</v>
          </cell>
          <cell r="AE107">
            <v>7.8</v>
          </cell>
          <cell r="AF107">
            <v>8.6</v>
          </cell>
          <cell r="AG107">
            <v>0</v>
          </cell>
          <cell r="AH107">
            <v>0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125</v>
          </cell>
          <cell r="D108">
            <v>162</v>
          </cell>
          <cell r="E108">
            <v>84</v>
          </cell>
          <cell r="F108">
            <v>203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85</v>
          </cell>
          <cell r="K108">
            <v>-1</v>
          </cell>
          <cell r="L108">
            <v>30</v>
          </cell>
          <cell r="M108">
            <v>0</v>
          </cell>
          <cell r="N108">
            <v>0</v>
          </cell>
          <cell r="O108">
            <v>0</v>
          </cell>
          <cell r="W108">
            <v>16.8</v>
          </cell>
          <cell r="Y108">
            <v>13.869047619047619</v>
          </cell>
          <cell r="Z108">
            <v>12.083333333333332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32.6</v>
          </cell>
          <cell r="AH108">
            <v>21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D109">
            <v>1355.2539999999999</v>
          </cell>
          <cell r="E109">
            <v>5.048</v>
          </cell>
          <cell r="F109">
            <v>1350.2059999999999</v>
          </cell>
          <cell r="G109" t="str">
            <v>рот11,11,</v>
          </cell>
          <cell r="H109">
            <v>0</v>
          </cell>
          <cell r="I109" t="e">
            <v>#N/A</v>
          </cell>
          <cell r="J109">
            <v>7.5</v>
          </cell>
          <cell r="K109">
            <v>-2.452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W109">
            <v>1.0096000000000001</v>
          </cell>
          <cell r="Y109">
            <v>1337.3672741679873</v>
          </cell>
          <cell r="Z109">
            <v>1337.3672741679873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5.048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13.11.2025 - 19.11.2025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3.9430000000000001</v>
          </cell>
          <cell r="F7">
            <v>474.83300000000003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6.61</v>
          </cell>
          <cell r="F8">
            <v>1419.797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20.8</v>
          </cell>
          <cell r="F9">
            <v>1615.575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156</v>
          </cell>
          <cell r="F10">
            <v>2261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1522</v>
          </cell>
          <cell r="F11">
            <v>5116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722</v>
          </cell>
          <cell r="F12">
            <v>4177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59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</v>
          </cell>
          <cell r="F14">
            <v>310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F15">
            <v>370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</v>
          </cell>
          <cell r="F16">
            <v>1354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457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589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7.2880000000000003</v>
          </cell>
          <cell r="F21">
            <v>629.26499999999999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182.5</v>
          </cell>
          <cell r="F22">
            <v>5674.375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0.8</v>
          </cell>
          <cell r="F23">
            <v>309.92899999999997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12.5</v>
          </cell>
          <cell r="F24">
            <v>303.3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3.28</v>
          </cell>
          <cell r="F25">
            <v>675.77700000000004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1.6879999999999999</v>
          </cell>
          <cell r="F26">
            <v>180.32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1.6</v>
          </cell>
          <cell r="F27">
            <v>384.12700000000001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0.8</v>
          </cell>
          <cell r="F28">
            <v>332.09899999999999</v>
          </cell>
        </row>
        <row r="29">
          <cell r="A29" t="str">
            <v xml:space="preserve"> 247  Сардельки Нежные, ВЕС.  ПОКОМ</v>
          </cell>
          <cell r="D29">
            <v>1.3</v>
          </cell>
          <cell r="F29">
            <v>97.114000000000004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150.11099999999999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11.72</v>
          </cell>
          <cell r="F31">
            <v>1794.0360000000001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79.25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1.3</v>
          </cell>
          <cell r="F33">
            <v>94.5</v>
          </cell>
        </row>
        <row r="34">
          <cell r="A34" t="str">
            <v xml:space="preserve"> 263  Шпикачки Стародворские, ВЕС.  ПОКОМ</v>
          </cell>
          <cell r="D34">
            <v>4.05</v>
          </cell>
          <cell r="F34">
            <v>1058.0650000000001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7.1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5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5.1100000000000003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981</v>
          </cell>
          <cell r="F38">
            <v>2848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666</v>
          </cell>
          <cell r="F39">
            <v>3947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4008</v>
          </cell>
          <cell r="F40">
            <v>9508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528.399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8</v>
          </cell>
          <cell r="F43">
            <v>986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2</v>
          </cell>
          <cell r="F44">
            <v>993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1.6</v>
          </cell>
          <cell r="F45">
            <v>259.99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F46">
            <v>784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3</v>
          </cell>
          <cell r="F47">
            <v>1716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0.8</v>
          </cell>
          <cell r="F49">
            <v>167.7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6.3</v>
          </cell>
          <cell r="F50">
            <v>580.26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3</v>
          </cell>
          <cell r="F51">
            <v>1359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10</v>
          </cell>
          <cell r="F52">
            <v>2154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3</v>
          </cell>
          <cell r="F53">
            <v>1172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21.26</v>
          </cell>
          <cell r="F54">
            <v>887.68899999999996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3.9</v>
          </cell>
          <cell r="F55">
            <v>642.70399999999995</v>
          </cell>
        </row>
        <row r="56">
          <cell r="A56" t="str">
            <v xml:space="preserve"> 316  Колбаса Нежная ТМ Зареченские ВЕС  ПОКОМ</v>
          </cell>
          <cell r="F56">
            <v>19.2</v>
          </cell>
        </row>
        <row r="57">
          <cell r="A57" t="str">
            <v xml:space="preserve"> 318  Сосиски Датские ТМ Зареченские, ВЕС  ПОКОМ</v>
          </cell>
          <cell r="D57">
            <v>24.5</v>
          </cell>
          <cell r="F57">
            <v>4726.6930000000002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622</v>
          </cell>
          <cell r="F58">
            <v>3077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1537</v>
          </cell>
          <cell r="F59">
            <v>5795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17</v>
          </cell>
          <cell r="F60">
            <v>1393</v>
          </cell>
        </row>
        <row r="61">
          <cell r="A61" t="str">
            <v xml:space="preserve"> 328  Сардельки Сочинки Стародворье ТМ  0,4 кг ПОКОМ</v>
          </cell>
          <cell r="D61">
            <v>6</v>
          </cell>
          <cell r="F61">
            <v>280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10</v>
          </cell>
          <cell r="F62">
            <v>301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30.221</v>
          </cell>
          <cell r="F63">
            <v>854.31299999999999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10</v>
          </cell>
          <cell r="F64">
            <v>695</v>
          </cell>
        </row>
        <row r="65">
          <cell r="A65" t="str">
            <v xml:space="preserve"> 335  Колбаса Сливушка ТМ Вязанка. ВЕС.  ПОКОМ </v>
          </cell>
          <cell r="D65">
            <v>2.6</v>
          </cell>
          <cell r="F65">
            <v>290.37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676</v>
          </cell>
          <cell r="F66">
            <v>3601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12</v>
          </cell>
          <cell r="F67">
            <v>2404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2.4</v>
          </cell>
          <cell r="F68">
            <v>484.65499999999997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0.8</v>
          </cell>
          <cell r="F69">
            <v>244.732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6</v>
          </cell>
          <cell r="F70">
            <v>1920.04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D71">
            <v>0.8</v>
          </cell>
          <cell r="F71">
            <v>296.601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108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F73">
            <v>410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526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190.851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F76">
            <v>707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1</v>
          </cell>
          <cell r="F77">
            <v>1089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15</v>
          </cell>
          <cell r="F78">
            <v>653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3</v>
          </cell>
          <cell r="F79">
            <v>751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11</v>
          </cell>
          <cell r="F80">
            <v>619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335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23</v>
          </cell>
          <cell r="F82">
            <v>4067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4556</v>
          </cell>
          <cell r="F83">
            <v>17190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1</v>
          </cell>
          <cell r="F84">
            <v>531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165.512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1</v>
          </cell>
          <cell r="F86">
            <v>356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78.400000000000006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8</v>
          </cell>
          <cell r="F88">
            <v>618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347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5.6879999999999997</v>
          </cell>
          <cell r="F90">
            <v>515.64499999999998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22.5</v>
          </cell>
          <cell r="F91">
            <v>4118.7060000000001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155.19999999999999</v>
          </cell>
          <cell r="F92">
            <v>7239.9409999999998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137.69999999999999</v>
          </cell>
          <cell r="F93">
            <v>6359.7340000000004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193.3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135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29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910</v>
          </cell>
          <cell r="F97">
            <v>2245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776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305</v>
          </cell>
          <cell r="F99">
            <v>1357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2</v>
          </cell>
          <cell r="F100">
            <v>773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225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8</v>
          </cell>
          <cell r="F103">
            <v>495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2</v>
          </cell>
          <cell r="F104">
            <v>281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3</v>
          </cell>
          <cell r="F105">
            <v>523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6</v>
          </cell>
          <cell r="F106">
            <v>697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351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270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92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983.03700000000003</v>
          </cell>
        </row>
        <row r="112">
          <cell r="A112" t="str">
            <v>0447 Сыр Голландский 45% Нарезка 125г ТМ Папа может ОСТАНКИНО</v>
          </cell>
          <cell r="D112">
            <v>29</v>
          </cell>
          <cell r="F112">
            <v>29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58</v>
          </cell>
          <cell r="F113">
            <v>58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106</v>
          </cell>
          <cell r="F114">
            <v>106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134</v>
          </cell>
          <cell r="F115">
            <v>134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741</v>
          </cell>
          <cell r="F117">
            <v>741</v>
          </cell>
        </row>
        <row r="118">
          <cell r="A118" t="str">
            <v>3684 ПРЕСИЖН с/к в/у 1/250 8шт.   ОСТАНКИНО</v>
          </cell>
          <cell r="D118">
            <v>75</v>
          </cell>
          <cell r="F118">
            <v>75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42.7</v>
          </cell>
          <cell r="F119">
            <v>42.7</v>
          </cell>
        </row>
        <row r="120">
          <cell r="A120" t="str">
            <v>3986 Ароматная с/к в/у 1/250 ОСТАНКИНО</v>
          </cell>
          <cell r="D120">
            <v>646</v>
          </cell>
          <cell r="F120">
            <v>646</v>
          </cell>
        </row>
        <row r="121">
          <cell r="A121" t="str">
            <v>4063 МЯСНАЯ Папа может вар п/о_Л   ОСТАНКИНО</v>
          </cell>
          <cell r="D121">
            <v>1279.99</v>
          </cell>
          <cell r="F121">
            <v>1279.99</v>
          </cell>
        </row>
        <row r="122">
          <cell r="A122" t="str">
            <v>4117 ЭКСТРА Папа может с/к в/у_Л   ОСТАНКИНО</v>
          </cell>
          <cell r="D122">
            <v>42.6</v>
          </cell>
          <cell r="F122">
            <v>42.6</v>
          </cell>
        </row>
        <row r="123">
          <cell r="A123" t="str">
            <v>4163 Сыр Боккончини копченый 40% 100 гр.  ОСТАНКИНО</v>
          </cell>
          <cell r="D123">
            <v>132</v>
          </cell>
          <cell r="F123">
            <v>132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рассольный жирный Чечил 45% 100 гр  ОСТАНКИНО</v>
          </cell>
          <cell r="D125">
            <v>1</v>
          </cell>
          <cell r="F125">
            <v>1</v>
          </cell>
        </row>
        <row r="126">
          <cell r="A126" t="str">
            <v>4187 Сыр Чечил свежий 45% 100г/6шт ТМ Папа Может  ОСТАНКИНО</v>
          </cell>
          <cell r="D126">
            <v>263</v>
          </cell>
          <cell r="F126">
            <v>266</v>
          </cell>
        </row>
        <row r="127">
          <cell r="A127" t="str">
            <v>4194 Сыр рассольный жирный Чечил копченый 45% 100 гр  ОСТАНКИНО</v>
          </cell>
          <cell r="D127">
            <v>1</v>
          </cell>
          <cell r="F127">
            <v>1</v>
          </cell>
        </row>
        <row r="128">
          <cell r="A128" t="str">
            <v>4194 Сыр Чечил копченый 43% 100г/6шт ТМ Папа Может  ОСТАНКИНО</v>
          </cell>
          <cell r="D128">
            <v>165</v>
          </cell>
          <cell r="F128">
            <v>165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107.4</v>
          </cell>
          <cell r="F129">
            <v>107.4</v>
          </cell>
        </row>
        <row r="130">
          <cell r="A130" t="str">
            <v>4574 Мясная со шпиком Папа может вар п/о ОСТАНКИНО</v>
          </cell>
          <cell r="D130">
            <v>2.6</v>
          </cell>
          <cell r="F130">
            <v>2.6</v>
          </cell>
        </row>
        <row r="131">
          <cell r="A131" t="str">
            <v>4813 ФИЛЕЙНАЯ Папа может вар п/о_Л   ОСТАНКИНО</v>
          </cell>
          <cell r="D131">
            <v>436.2</v>
          </cell>
          <cell r="F131">
            <v>436.2</v>
          </cell>
        </row>
        <row r="132">
          <cell r="A132" t="str">
            <v>4819 Сыр "Пармезан" 40% кусок 180 гр  ОСТАНКИНО</v>
          </cell>
          <cell r="D132">
            <v>167</v>
          </cell>
          <cell r="F132">
            <v>167</v>
          </cell>
        </row>
        <row r="133">
          <cell r="A133" t="str">
            <v>4903 Сыр Перлини 40% 100гр (8шт)  ОСТАНКИНО</v>
          </cell>
          <cell r="D133">
            <v>108</v>
          </cell>
          <cell r="F133">
            <v>108</v>
          </cell>
        </row>
        <row r="134">
          <cell r="A134" t="str">
            <v>4910 Сыр Перлини копченый 40% 100гр (8шт)  ОСТАНКИНО</v>
          </cell>
          <cell r="D134">
            <v>58</v>
          </cell>
          <cell r="F134">
            <v>58</v>
          </cell>
        </row>
        <row r="135">
          <cell r="A135" t="str">
            <v>4927 Сыр Перлини со вкусом Васаби 40% 100гр (8шт)  ОСТАНКИНО</v>
          </cell>
          <cell r="D135">
            <v>52</v>
          </cell>
          <cell r="F135">
            <v>52</v>
          </cell>
        </row>
        <row r="136">
          <cell r="A136" t="str">
            <v>4993 САЛЯМИ ИТАЛЬЯНСКАЯ с/к в/у 1/250*8_120c ОСТАНКИНО</v>
          </cell>
          <cell r="D136">
            <v>362</v>
          </cell>
          <cell r="F136">
            <v>362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98</v>
          </cell>
          <cell r="F137">
            <v>98</v>
          </cell>
        </row>
        <row r="138">
          <cell r="A138" t="str">
            <v>5235 Сыр полутвердый "Голландский" 45%, брус ВЕС  ОСТАНКИНО</v>
          </cell>
          <cell r="D138">
            <v>27.9</v>
          </cell>
          <cell r="F138">
            <v>27.9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39.1</v>
          </cell>
          <cell r="F139">
            <v>39.1</v>
          </cell>
        </row>
        <row r="140">
          <cell r="A140" t="str">
            <v>5246 ДОКТОРСКАЯ ПРЕМИУМ вар б/о мгс_30с ОСТАНКИНО</v>
          </cell>
          <cell r="D140">
            <v>38.9</v>
          </cell>
          <cell r="F140">
            <v>38.9</v>
          </cell>
        </row>
        <row r="141">
          <cell r="A141" t="str">
            <v>5247 РУССКАЯ ПРЕМИУМ вар б/о мгс_30с ОСТАНКИНО</v>
          </cell>
          <cell r="D141">
            <v>10.7</v>
          </cell>
          <cell r="F141">
            <v>10.7</v>
          </cell>
        </row>
        <row r="142">
          <cell r="A142" t="str">
            <v>5483 ЭКСТРА Папа может с/к в/у 1/250 8шт.   ОСТАНКИНО</v>
          </cell>
          <cell r="D142">
            <v>780</v>
          </cell>
          <cell r="F142">
            <v>780</v>
          </cell>
        </row>
        <row r="143">
          <cell r="A143" t="str">
            <v>5544 Сервелат Финский в/к в/у_45с НОВАЯ ОСТАНКИНО</v>
          </cell>
          <cell r="D143">
            <v>850.1</v>
          </cell>
          <cell r="F143">
            <v>850.1</v>
          </cell>
        </row>
        <row r="144">
          <cell r="A144" t="str">
            <v>5679 САЛЯМИ ИТАЛЬЯНСКАЯ с/к в/у 1/150_60с ОСТАНКИНО</v>
          </cell>
          <cell r="D144">
            <v>279</v>
          </cell>
          <cell r="F144">
            <v>279</v>
          </cell>
        </row>
        <row r="145">
          <cell r="A145" t="str">
            <v>5682 САЛЯМИ МЕЛКОЗЕРНЕНАЯ с/к в/у 1/120_60с   ОСТАНКИНО</v>
          </cell>
          <cell r="D145">
            <v>1746</v>
          </cell>
          <cell r="F145">
            <v>1746</v>
          </cell>
        </row>
        <row r="146">
          <cell r="A146" t="str">
            <v>5708 ПОСОЛЬСКАЯ Папа может с/к в/у ОСТАНКИНО</v>
          </cell>
          <cell r="D146">
            <v>31.9</v>
          </cell>
          <cell r="F146">
            <v>31.9</v>
          </cell>
        </row>
        <row r="147">
          <cell r="A147" t="str">
            <v>5851 ЭКСТРА Папа может вар п/о   ОСТАНКИНО</v>
          </cell>
          <cell r="D147">
            <v>221.4</v>
          </cell>
          <cell r="F147">
            <v>221.4</v>
          </cell>
        </row>
        <row r="148">
          <cell r="A148" t="str">
            <v>5931 ОХОТНИЧЬЯ Папа может с/к в/у 1/220 8шт.   ОСТАНКИНО</v>
          </cell>
          <cell r="D148">
            <v>1101</v>
          </cell>
          <cell r="F148">
            <v>1101</v>
          </cell>
        </row>
        <row r="149">
          <cell r="A149" t="str">
            <v>6004 РАГУ СВИНОЕ 1кг 8шт.зам_120с ОСТАНКИНО</v>
          </cell>
          <cell r="D149">
            <v>96</v>
          </cell>
          <cell r="F149">
            <v>96</v>
          </cell>
        </row>
        <row r="150">
          <cell r="A150" t="str">
            <v>6220 ГОВЯЖЬЯ Папа может вар п/о  ОСТАНКИНО</v>
          </cell>
          <cell r="D150">
            <v>17.3</v>
          </cell>
          <cell r="F150">
            <v>17.3</v>
          </cell>
        </row>
        <row r="151">
          <cell r="A151" t="str">
            <v>6221 НЕАПОЛИТАНСКИЙ ДУЭТ с/к с/н мгс 1/90  ОСТАНКИНО</v>
          </cell>
          <cell r="D151">
            <v>550</v>
          </cell>
          <cell r="F151">
            <v>550</v>
          </cell>
        </row>
        <row r="152">
          <cell r="A152" t="str">
            <v>6228 МЯСНОЕ АССОРТИ к/з с/н мгс 1/90 10шт.  ОСТАНКИНО</v>
          </cell>
          <cell r="D152">
            <v>355</v>
          </cell>
          <cell r="F152">
            <v>355</v>
          </cell>
        </row>
        <row r="153">
          <cell r="A153" t="str">
            <v>6247 ДОМАШНЯЯ Папа может вар п/о 0,4кг 8шт.  ОСТАНКИНО</v>
          </cell>
          <cell r="D153">
            <v>103</v>
          </cell>
          <cell r="F153">
            <v>103</v>
          </cell>
        </row>
        <row r="154">
          <cell r="A154" t="str">
            <v>6268 ГОВЯЖЬЯ Папа может вар п/о 0,4кг 8 шт.  ОСТАНКИНО</v>
          </cell>
          <cell r="D154">
            <v>625</v>
          </cell>
          <cell r="F154">
            <v>625</v>
          </cell>
        </row>
        <row r="155">
          <cell r="A155" t="str">
            <v>6279 КОРЕЙКА ПО-ОСТ.к/в в/с с/н в/у 1/150_45с  ОСТАНКИНО</v>
          </cell>
          <cell r="D155">
            <v>480</v>
          </cell>
          <cell r="F155">
            <v>480</v>
          </cell>
        </row>
        <row r="156">
          <cell r="A156" t="str">
            <v>6303 МЯСНЫЕ Папа может сос п/о мгс 1.5*3  ОСТАНКИНО</v>
          </cell>
          <cell r="D156">
            <v>466.392</v>
          </cell>
          <cell r="F156">
            <v>466.392</v>
          </cell>
        </row>
        <row r="157">
          <cell r="A157" t="str">
            <v>6324 ДОКТОРСКАЯ ГОСТ вар п/о 0.4кг 8шт.  ОСТАНКИНО</v>
          </cell>
          <cell r="D157">
            <v>59</v>
          </cell>
          <cell r="F157">
            <v>59</v>
          </cell>
        </row>
        <row r="158">
          <cell r="A158" t="str">
            <v>6325 ДОКТОРСКАЯ ПРЕМИУМ вар п/о 0.4кг 8шт.  ОСТАНКИНО</v>
          </cell>
          <cell r="D158">
            <v>1336</v>
          </cell>
          <cell r="F158">
            <v>1336</v>
          </cell>
        </row>
        <row r="159">
          <cell r="A159" t="str">
            <v>6333 МЯСНАЯ Папа может вар п/о 0.4кг 8шт.  ОСТАНКИНО</v>
          </cell>
          <cell r="D159">
            <v>3705</v>
          </cell>
          <cell r="F159">
            <v>3705</v>
          </cell>
        </row>
        <row r="160">
          <cell r="A160" t="str">
            <v>6340 ДОМАШНИЙ РЕЦЕПТ Коровино 0.5кг 8шт.  ОСТАНКИНО</v>
          </cell>
          <cell r="D160">
            <v>294</v>
          </cell>
          <cell r="F160">
            <v>294</v>
          </cell>
        </row>
        <row r="161">
          <cell r="A161" t="str">
            <v>6353 ЭКСТРА Папа может вар п/о 0.4кг 8шт.  ОСТАНКИНО</v>
          </cell>
          <cell r="D161">
            <v>1223</v>
          </cell>
          <cell r="F161">
            <v>1223</v>
          </cell>
        </row>
        <row r="162">
          <cell r="A162" t="str">
            <v>6392 ФИЛЕЙНАЯ Папа может вар п/о 0.4кг. ОСТАНКИНО</v>
          </cell>
          <cell r="D162">
            <v>3329</v>
          </cell>
          <cell r="F162">
            <v>3329</v>
          </cell>
        </row>
        <row r="163">
          <cell r="A163" t="str">
            <v>6448 СВИНИНА МАДЕРА с/к с/н в/у 1/100 10шт.   ОСТАНКИНО</v>
          </cell>
          <cell r="D163">
            <v>160</v>
          </cell>
          <cell r="F163">
            <v>160</v>
          </cell>
        </row>
        <row r="164">
          <cell r="A164" t="str">
            <v>6453 ЭКСТРА Папа может с/к с/н в/у 1/100 14шт.   ОСТАНКИНО</v>
          </cell>
          <cell r="D164">
            <v>1919</v>
          </cell>
          <cell r="F164">
            <v>1919</v>
          </cell>
        </row>
        <row r="165">
          <cell r="A165" t="str">
            <v>6454 АРОМАТНАЯ с/к с/н в/у 1/100 10шт.  ОСТАНКИНО</v>
          </cell>
          <cell r="D165">
            <v>1442</v>
          </cell>
          <cell r="F165">
            <v>1442</v>
          </cell>
        </row>
        <row r="166">
          <cell r="A166" t="str">
            <v>6459 СЕРВЕЛАТ ШВЕЙЦАРСК. в/к с/н в/у 1/100*10  ОСТАНКИНО</v>
          </cell>
          <cell r="D166">
            <v>977</v>
          </cell>
          <cell r="F166">
            <v>977</v>
          </cell>
        </row>
        <row r="167">
          <cell r="A167" t="str">
            <v>6470 ВЕТЧ.МРАМОРНАЯ в/у_45с  ОСТАНКИНО</v>
          </cell>
          <cell r="D167">
            <v>33.799999999999997</v>
          </cell>
          <cell r="F167">
            <v>33.799999999999997</v>
          </cell>
        </row>
        <row r="168">
          <cell r="A168" t="str">
            <v>6495 ВЕТЧ.МРАМОРНАЯ в/у срез 0.3кг 6шт_45с  ОСТАНКИНО</v>
          </cell>
          <cell r="D168">
            <v>303</v>
          </cell>
          <cell r="F168">
            <v>303</v>
          </cell>
        </row>
        <row r="169">
          <cell r="A169" t="str">
            <v>6527 ШПИКАЧКИ СОЧНЫЕ ПМ сар б/о мгс 1*3 45с ОСТАНКИНО</v>
          </cell>
          <cell r="D169">
            <v>324.2</v>
          </cell>
          <cell r="F169">
            <v>324.2</v>
          </cell>
        </row>
        <row r="170">
          <cell r="A170" t="str">
            <v>6528 ШПИКАЧКИ СОЧНЫЕ ПМ сар б/о мгс 0.4кг 45с  ОСТАНКИНО</v>
          </cell>
          <cell r="D170">
            <v>45</v>
          </cell>
          <cell r="F170">
            <v>45</v>
          </cell>
        </row>
        <row r="171">
          <cell r="A171" t="str">
            <v>6586 МРАМОРНАЯ И БАЛЫКОВАЯ в/к с/н мгс 1/90 ОСТАНКИНО</v>
          </cell>
          <cell r="D171">
            <v>16</v>
          </cell>
          <cell r="F171">
            <v>16</v>
          </cell>
        </row>
        <row r="172">
          <cell r="A172" t="str">
            <v>6609 С ГОВЯДИНОЙ ПМ сар б/о мгс 0.4кг_45с ОСТАНКИНО</v>
          </cell>
          <cell r="D172">
            <v>58</v>
          </cell>
          <cell r="F172">
            <v>58</v>
          </cell>
        </row>
        <row r="173">
          <cell r="A173" t="str">
            <v>6616 МОЛОЧНЫЕ КЛАССИЧЕСКИЕ сос п/о в/у 0.3кг  ОСТАНКИНО</v>
          </cell>
          <cell r="D173">
            <v>2065</v>
          </cell>
          <cell r="F173">
            <v>2065</v>
          </cell>
        </row>
        <row r="174">
          <cell r="A174" t="str">
            <v>6697 СЕРВЕЛАТ ФИНСКИЙ ПМ в/к в/у 0,35кг 8шт.  ОСТАНКИНО</v>
          </cell>
          <cell r="D174">
            <v>4284</v>
          </cell>
          <cell r="F174">
            <v>4284</v>
          </cell>
        </row>
        <row r="175">
          <cell r="A175" t="str">
            <v>6713 СОЧНЫЙ ГРИЛЬ ПМ сос п/о мгс 0.41кг 8шт.  ОСТАНКИНО</v>
          </cell>
          <cell r="D175">
            <v>1617</v>
          </cell>
          <cell r="F175">
            <v>1617</v>
          </cell>
        </row>
        <row r="176">
          <cell r="A176" t="str">
            <v>6724 МОЛОЧНЫЕ ПМ сос п/о мгс 0.41кг 10шт.  ОСТАНКИНО</v>
          </cell>
          <cell r="D176">
            <v>671</v>
          </cell>
          <cell r="F176">
            <v>671</v>
          </cell>
        </row>
        <row r="177">
          <cell r="A177" t="str">
            <v>6765 РУБЛЕНЫЕ сос ц/о мгс 0.36кг 6шт.  ОСТАНКИНО</v>
          </cell>
          <cell r="D177">
            <v>373</v>
          </cell>
          <cell r="F177">
            <v>373</v>
          </cell>
        </row>
        <row r="178">
          <cell r="A178" t="str">
            <v>6785 ВЕНСКАЯ САЛЯМИ п/к в/у 0.33кг 8шт.  ОСТАНКИНО</v>
          </cell>
          <cell r="D178">
            <v>100</v>
          </cell>
          <cell r="F178">
            <v>100</v>
          </cell>
        </row>
        <row r="179">
          <cell r="A179" t="str">
            <v>6787 СЕРВЕЛАТ КРЕМЛЕВСКИЙ в/к в/у 0,33кг 8шт.  ОСТАНКИНО</v>
          </cell>
          <cell r="D179">
            <v>154</v>
          </cell>
          <cell r="F179">
            <v>154</v>
          </cell>
        </row>
        <row r="180">
          <cell r="A180" t="str">
            <v>6793 БАЛЫКОВАЯ в/к в/у 0,33кг 8шт.  ОСТАНКИНО</v>
          </cell>
          <cell r="D180">
            <v>270</v>
          </cell>
          <cell r="F180">
            <v>270</v>
          </cell>
        </row>
        <row r="181">
          <cell r="A181" t="str">
            <v>6829 МОЛОЧНЫЕ КЛАССИЧЕСКИЕ сос п/о мгс 2*4_С  ОСТАНКИНО</v>
          </cell>
          <cell r="D181">
            <v>833.9</v>
          </cell>
          <cell r="F181">
            <v>833.9</v>
          </cell>
        </row>
        <row r="182">
          <cell r="A182" t="str">
            <v>6832 АССОРТИ СЫРОКОПЧЕНЫХ КОЛБАС Коровино в/у  ОСТАНКИНО</v>
          </cell>
          <cell r="D182">
            <v>11.8</v>
          </cell>
          <cell r="F182">
            <v>11.8</v>
          </cell>
        </row>
        <row r="183">
          <cell r="A183" t="str">
            <v>6837 ФИЛЕЙНЫЕ Папа Может сос ц/о мгс 0.4кг  ОСТАНКИНО</v>
          </cell>
          <cell r="D183">
            <v>1252</v>
          </cell>
          <cell r="F183">
            <v>1252</v>
          </cell>
        </row>
        <row r="184">
          <cell r="A184" t="str">
            <v>6842 ДЫМОВИЦА ИЗ ОКОРОКА к/в мл/к в/у 0,3кг  ОСТАНКИНО</v>
          </cell>
          <cell r="D184">
            <v>239</v>
          </cell>
          <cell r="F184">
            <v>239</v>
          </cell>
        </row>
        <row r="185">
          <cell r="A185" t="str">
            <v>6861 ДОМАШНИЙ РЕЦЕПТ Коровино вар п/о  ОСТАНКИНО</v>
          </cell>
          <cell r="D185">
            <v>930</v>
          </cell>
          <cell r="F185">
            <v>930</v>
          </cell>
        </row>
        <row r="186">
          <cell r="A186" t="str">
            <v>6866 ВЕТЧ.НЕЖНАЯ Коровино п/о_Маяк  ОСТАНКИНО</v>
          </cell>
          <cell r="D186">
            <v>185.255</v>
          </cell>
          <cell r="F186">
            <v>185.255</v>
          </cell>
        </row>
        <row r="187">
          <cell r="A187" t="str">
            <v>7001 КЛАССИЧЕСКИЕ Папа может сар б/о мгс 1*3  ОСТАНКИНО</v>
          </cell>
          <cell r="D187">
            <v>248.2</v>
          </cell>
          <cell r="F187">
            <v>248.2</v>
          </cell>
        </row>
        <row r="188">
          <cell r="A188" t="str">
            <v>7040 С ИНДЕЙКОЙ ПМ сос ц/о в/у 1/270 8шт.  ОСТАНКИНО</v>
          </cell>
          <cell r="D188">
            <v>115</v>
          </cell>
          <cell r="F188">
            <v>115</v>
          </cell>
        </row>
        <row r="189">
          <cell r="A189" t="str">
            <v>7059 ШПИКАЧКИ СОЧНЫЕ С БЕК. п/о мгс 0.3кг_60с  ОСТАНКИНО</v>
          </cell>
          <cell r="D189">
            <v>312</v>
          </cell>
          <cell r="F189">
            <v>312</v>
          </cell>
        </row>
        <row r="190">
          <cell r="A190" t="str">
            <v>7066 СОЧНЫЕ ПМ сос п/о мгс 0.41кг 10шт_50с  ОСТАНКИНО</v>
          </cell>
          <cell r="D190">
            <v>5353</v>
          </cell>
          <cell r="F190">
            <v>5353</v>
          </cell>
        </row>
        <row r="191">
          <cell r="A191" t="str">
            <v>7070 СОЧНЫЕ ПМ сос п/о мгс 1.5*4_А_50с  ОСТАНКИНО</v>
          </cell>
          <cell r="D191">
            <v>2864.5</v>
          </cell>
          <cell r="F191">
            <v>2864.5</v>
          </cell>
        </row>
        <row r="192">
          <cell r="A192" t="str">
            <v>7073 МОЛОЧ.ПРЕМИУМ ПМ сос п/о в/у 1/350_50с  ОСТАНКИНО</v>
          </cell>
          <cell r="D192">
            <v>1540</v>
          </cell>
          <cell r="F192">
            <v>1540</v>
          </cell>
        </row>
        <row r="193">
          <cell r="A193" t="str">
            <v>7075 МОЛОЧ.ПРЕМИУМ ПМ сос п/о мгс 1.5*4_О_50с  ОСТАНКИНО</v>
          </cell>
          <cell r="D193">
            <v>61.5</v>
          </cell>
          <cell r="F193">
            <v>61.5</v>
          </cell>
        </row>
        <row r="194">
          <cell r="A194" t="str">
            <v>7077 МЯСНЫЕ С ГОВЯД.ПМ сос п/о мгс 0.4кг_50с  ОСТАНКИНО</v>
          </cell>
          <cell r="D194">
            <v>1659</v>
          </cell>
          <cell r="F194">
            <v>1659</v>
          </cell>
        </row>
        <row r="195">
          <cell r="A195" t="str">
            <v>7080 СЛИВОЧНЫЕ ПМ сос п/о мгс 0.41кг 10шт. 50с  ОСТАНКИНО</v>
          </cell>
          <cell r="D195">
            <v>3446</v>
          </cell>
          <cell r="F195">
            <v>3446</v>
          </cell>
        </row>
        <row r="196">
          <cell r="A196" t="str">
            <v>7082 СЛИВОЧНЫЕ ПМ сос п/о мгс 1.5*4_50с  ОСТАНКИНО</v>
          </cell>
          <cell r="D196">
            <v>120.4</v>
          </cell>
          <cell r="F196">
            <v>120.4</v>
          </cell>
        </row>
        <row r="197">
          <cell r="A197" t="str">
            <v>7087 ШПИК С ЧЕСНОК.И ПЕРЦЕМ к/в в/у 0.3кг_50с  ОСТАНКИНО</v>
          </cell>
          <cell r="D197">
            <v>261</v>
          </cell>
          <cell r="F197">
            <v>261</v>
          </cell>
        </row>
        <row r="198">
          <cell r="A198" t="str">
            <v>7090 СВИНИНА ПО-ДОМ. к/в мл/к в/у 0.3кг_50с  ОСТАНКИНО</v>
          </cell>
          <cell r="D198">
            <v>521</v>
          </cell>
          <cell r="F198">
            <v>521</v>
          </cell>
        </row>
        <row r="199">
          <cell r="A199" t="str">
            <v>7092 БЕКОН Папа может с/к с/н в/у 1/140_50с  ОСТАНКИНО</v>
          </cell>
          <cell r="D199">
            <v>863</v>
          </cell>
          <cell r="F199">
            <v>868</v>
          </cell>
        </row>
        <row r="200">
          <cell r="A200" t="str">
            <v>7105 МИЛАНО с/к с/н мгс 1/90 12шт.  ОСТАНКИНО</v>
          </cell>
          <cell r="D200">
            <v>5</v>
          </cell>
          <cell r="F200">
            <v>5</v>
          </cell>
        </row>
        <row r="201">
          <cell r="A201" t="str">
            <v>7107 САН-РЕМО с/в с/н мгс 1/90 12шт.  ОСТАНКИНО</v>
          </cell>
          <cell r="D201">
            <v>29</v>
          </cell>
          <cell r="F201">
            <v>29</v>
          </cell>
        </row>
        <row r="202">
          <cell r="A202" t="str">
            <v>7149 БАЛЫКОВАЯ Коровино п/к в/у 0.84кг_50с  ОСТАНКИНО</v>
          </cell>
          <cell r="D202">
            <v>51</v>
          </cell>
          <cell r="F202">
            <v>51</v>
          </cell>
        </row>
        <row r="203">
          <cell r="A203" t="str">
            <v>7154 СЕРВЕЛАТ ЗЕРНИСТЫЙ ПМ в/к в/у 0.35кг_50с  ОСТАНКИНО</v>
          </cell>
          <cell r="D203">
            <v>2516</v>
          </cell>
          <cell r="F203">
            <v>2516</v>
          </cell>
        </row>
        <row r="204">
          <cell r="A204" t="str">
            <v>7157 СЕРВЕЛАТ ЗЕРНИСНЫЙ ПМ в/к в/у_50с  ОСТАНКИНО</v>
          </cell>
          <cell r="D204">
            <v>141</v>
          </cell>
          <cell r="F204">
            <v>141</v>
          </cell>
        </row>
        <row r="205">
          <cell r="A205" t="str">
            <v>7166 СЕРВЕЛТ ОХОТНИЧИЙ ПМ в/к в/у_50с  ОСТАНКИНО</v>
          </cell>
          <cell r="D205">
            <v>422.9</v>
          </cell>
          <cell r="F205">
            <v>422.9</v>
          </cell>
        </row>
        <row r="206">
          <cell r="A206" t="str">
            <v>7169 СЕРВЕЛАТ ОХОТНИЧИЙ ПМ в/к в/у 0.35кг_50с  ОСТАНКИНО</v>
          </cell>
          <cell r="D206">
            <v>3174</v>
          </cell>
          <cell r="F206">
            <v>3174</v>
          </cell>
        </row>
        <row r="207">
          <cell r="A207" t="str">
            <v>7187 ГРУДИНКА ПРЕМИУМ к/в мл/к в/у 0,3кг_50с ОСТАНКИНО</v>
          </cell>
          <cell r="D207">
            <v>819</v>
          </cell>
          <cell r="F207">
            <v>819</v>
          </cell>
        </row>
        <row r="208">
          <cell r="A208" t="str">
            <v>7227 САЛЯМИ ФИНСКАЯ Папа может с/к в/у 1/180  ОСТАНКИНО</v>
          </cell>
          <cell r="D208">
            <v>12</v>
          </cell>
          <cell r="F208">
            <v>12</v>
          </cell>
        </row>
        <row r="209">
          <cell r="A209" t="str">
            <v>7231 КЛАССИЧЕСКАЯ ПМ вар п/о 0,3кг 8шт_209к ОСТАНКИНО</v>
          </cell>
          <cell r="D209">
            <v>1117</v>
          </cell>
          <cell r="F209">
            <v>1117</v>
          </cell>
        </row>
        <row r="210">
          <cell r="A210" t="str">
            <v>7232 БОЯNСКАЯ ПМ п/к в/у 0,28кг 8шт_209к ОСТАНКИНО</v>
          </cell>
          <cell r="D210">
            <v>1363</v>
          </cell>
          <cell r="F210">
            <v>1363</v>
          </cell>
        </row>
        <row r="211">
          <cell r="A211" t="str">
            <v>7235 ВЕТЧ.КЛАССИЧЕСКАЯ ПМ п/о 0,35кг 8шт_209к ОСТАНКИНО</v>
          </cell>
          <cell r="D211">
            <v>51</v>
          </cell>
          <cell r="F211">
            <v>51</v>
          </cell>
        </row>
        <row r="212">
          <cell r="A212" t="str">
            <v>7236 СЕРВЕЛАТ КАРЕЛЬСКИЙ в/к в/у 0,28кг_209к ОСТАНКИНО</v>
          </cell>
          <cell r="D212">
            <v>3746</v>
          </cell>
          <cell r="F212">
            <v>3746</v>
          </cell>
        </row>
        <row r="213">
          <cell r="A213" t="str">
            <v>7241 САЛЯМИ Папа может п/к в/у 0,28кг_209к ОСТАНКИНО</v>
          </cell>
          <cell r="D213">
            <v>1002</v>
          </cell>
          <cell r="F213">
            <v>1002</v>
          </cell>
        </row>
        <row r="214">
          <cell r="A214" t="str">
            <v>7245 ВЕТЧ.ФИЛЕЙНАЯ ПМ п/о 0,4кг 8шт ОСТАНКИНО</v>
          </cell>
          <cell r="D214">
            <v>71</v>
          </cell>
          <cell r="F214">
            <v>71</v>
          </cell>
        </row>
        <row r="215">
          <cell r="A215" t="str">
            <v>7255 МЯСНЫЕ С ГОВЯД. ПМ сос п/о мгс 0,4кг 6шт.  ОСТАНКИНО</v>
          </cell>
          <cell r="D215">
            <v>54</v>
          </cell>
          <cell r="F215">
            <v>54</v>
          </cell>
        </row>
        <row r="216">
          <cell r="A216" t="str">
            <v>7271 МЯСНЫЕ С ГОВЯДИНОЙ ПМ сос п/о мгс 1.5*4 ВЕС  ОСТАНКИНО</v>
          </cell>
          <cell r="D216">
            <v>103.2</v>
          </cell>
          <cell r="F216">
            <v>103.2</v>
          </cell>
        </row>
        <row r="217">
          <cell r="A217" t="str">
            <v>7284 ДЛЯ ДЕТЕЙ сос п/о мгс 0,33кг 6шт  ОСТАНКИНО</v>
          </cell>
          <cell r="D217">
            <v>108</v>
          </cell>
          <cell r="F217">
            <v>108</v>
          </cell>
        </row>
        <row r="218">
          <cell r="A218" t="str">
            <v>7299 НАБОР ДЛЯ ПИЦЦЫ Папа может с/к в/у  ОСТАНКИНО</v>
          </cell>
          <cell r="D218">
            <v>9.8000000000000007</v>
          </cell>
          <cell r="F218">
            <v>9.8000000000000007</v>
          </cell>
        </row>
        <row r="219">
          <cell r="A219" t="str">
            <v>7332 БОЯРСКАЯ ПМ п/к в/у 0.28кг_СНГ  ОСТАНКИНО</v>
          </cell>
          <cell r="D219">
            <v>75</v>
          </cell>
          <cell r="F219">
            <v>75</v>
          </cell>
        </row>
        <row r="220">
          <cell r="A220" t="str">
            <v>7333 СЕРВЕЛАТ ОХОТНИЧИЙ ПМ в/к в/у 0.28кг_СНГ  ОСТАНКИНО</v>
          </cell>
          <cell r="D220">
            <v>39</v>
          </cell>
          <cell r="F220">
            <v>39</v>
          </cell>
        </row>
        <row r="221">
          <cell r="A221" t="str">
            <v>7343 СЕЙЧАС СЕЗОН ПМ вар п/о 0,4кг  ОСТАНКИНО</v>
          </cell>
          <cell r="D221">
            <v>1126</v>
          </cell>
          <cell r="F221">
            <v>1126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298</v>
          </cell>
          <cell r="F222">
            <v>298</v>
          </cell>
        </row>
        <row r="223">
          <cell r="A223" t="str">
            <v>8391 Сыр творожный с зеленью 60% Папа может 140 гр.  ОСТАНКИНО</v>
          </cell>
          <cell r="D223">
            <v>141</v>
          </cell>
          <cell r="F223">
            <v>141</v>
          </cell>
        </row>
        <row r="224">
          <cell r="A224" t="str">
            <v>8398 Сыр ПАПА МОЖЕТ "Тильзитер" 45% 180 г  ОСТАНКИНО</v>
          </cell>
          <cell r="D224">
            <v>433</v>
          </cell>
          <cell r="F224">
            <v>433</v>
          </cell>
        </row>
        <row r="225">
          <cell r="A225" t="str">
            <v>8411 Сыр ПАПА МОЖЕТ "Гауда Голд" 45% 180 г  ОСТАНКИНО</v>
          </cell>
          <cell r="D225">
            <v>355</v>
          </cell>
          <cell r="F225">
            <v>355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1175</v>
          </cell>
          <cell r="F226">
            <v>1175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46</v>
          </cell>
          <cell r="F227">
            <v>46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44</v>
          </cell>
          <cell r="F228">
            <v>44</v>
          </cell>
        </row>
        <row r="229">
          <cell r="A229" t="str">
            <v>8452 Сыр колбасный копченый Папа Может 400 гр  ОСТАНКИНО</v>
          </cell>
          <cell r="D229">
            <v>17</v>
          </cell>
          <cell r="F229">
            <v>17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1055</v>
          </cell>
          <cell r="F230">
            <v>1055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6</v>
          </cell>
          <cell r="F231">
            <v>6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49</v>
          </cell>
          <cell r="F232">
            <v>49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128</v>
          </cell>
          <cell r="F233">
            <v>128</v>
          </cell>
        </row>
        <row r="234">
          <cell r="A234" t="str">
            <v>8831 Сыр ПАПА МОЖЕТ "Министерский" 180гр, 45 %  ОСТАНКИНО</v>
          </cell>
          <cell r="D234">
            <v>83</v>
          </cell>
          <cell r="F234">
            <v>83</v>
          </cell>
        </row>
        <row r="235">
          <cell r="A235" t="str">
            <v>8855 Сыр ПАПА МОЖЕТ "Папин завтрак" 180гр, 45 %  ОСТАНКИНО</v>
          </cell>
          <cell r="D235">
            <v>6</v>
          </cell>
          <cell r="F235">
            <v>6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377</v>
          </cell>
          <cell r="F236">
            <v>377</v>
          </cell>
        </row>
        <row r="237">
          <cell r="A237" t="str">
            <v>8967 Масло "Папа может" 82,5% 180гр  ОСТАНКИНО</v>
          </cell>
          <cell r="D237">
            <v>330</v>
          </cell>
          <cell r="F237">
            <v>330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102</v>
          </cell>
          <cell r="F238">
            <v>102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154</v>
          </cell>
          <cell r="F239">
            <v>154</v>
          </cell>
        </row>
        <row r="240">
          <cell r="A240" t="str">
            <v>Балыковая с/к 200 гр. срез "Эликатессе" термоформ.пак.  СПК</v>
          </cell>
          <cell r="D240">
            <v>59</v>
          </cell>
          <cell r="F240">
            <v>59</v>
          </cell>
        </row>
        <row r="241">
          <cell r="A241" t="str">
            <v>БОНУС МОЛОЧНЫЕ КЛАССИЧЕСКИЕ сос п/о в/у 0.3кг (6084)  ОСТАНКИНО</v>
          </cell>
          <cell r="D241">
            <v>52</v>
          </cell>
          <cell r="F241">
            <v>52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12</v>
          </cell>
          <cell r="F242">
            <v>12</v>
          </cell>
        </row>
        <row r="243">
          <cell r="A243" t="str">
            <v>БОНУС СОЧНЫЕ Папа может сос п/о мгс 1.5*4 (6954)  ОСТАНКИНО</v>
          </cell>
          <cell r="D243">
            <v>243</v>
          </cell>
          <cell r="F243">
            <v>243</v>
          </cell>
        </row>
        <row r="244">
          <cell r="A244" t="str">
            <v>БОНУС СОЧНЫЕ сос п/о мгс 0.41кг_UZ (6087)  ОСТАНКИНО</v>
          </cell>
          <cell r="D244">
            <v>160</v>
          </cell>
          <cell r="F244">
            <v>160</v>
          </cell>
        </row>
        <row r="245">
          <cell r="A245" t="str">
            <v>Бутербродная вареная 0,47 кг шт.  СПК</v>
          </cell>
          <cell r="D245">
            <v>19</v>
          </cell>
          <cell r="F245">
            <v>19</v>
          </cell>
        </row>
        <row r="246">
          <cell r="A246" t="str">
            <v>Вацлавская п/к (черева) 390 гр.шт. термоус.пак  СПК</v>
          </cell>
          <cell r="D246">
            <v>9</v>
          </cell>
          <cell r="F246">
            <v>9</v>
          </cell>
        </row>
        <row r="247">
          <cell r="A247" t="str">
            <v>Ветчина Альтаирская Столовая (для ХОРЕКА)  СПК</v>
          </cell>
          <cell r="D247">
            <v>1.234</v>
          </cell>
          <cell r="F247">
            <v>3.6619999999999999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D248">
            <v>1</v>
          </cell>
          <cell r="F248">
            <v>352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428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2148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1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971</v>
          </cell>
          <cell r="F252">
            <v>2624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2</v>
          </cell>
          <cell r="F253">
            <v>343</v>
          </cell>
        </row>
        <row r="254">
          <cell r="A254" t="str">
            <v>Гуцульская с/к "КолбасГрад" 160 гр.шт. термоус. пак  СПК</v>
          </cell>
          <cell r="D254">
            <v>47</v>
          </cell>
          <cell r="F254">
            <v>47</v>
          </cell>
        </row>
        <row r="255">
          <cell r="A255" t="str">
            <v>Дельгаро с/в "Эликатессе" 140 гр.шт.  СПК</v>
          </cell>
          <cell r="D255">
            <v>51</v>
          </cell>
          <cell r="F255">
            <v>53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136</v>
          </cell>
          <cell r="F256">
            <v>136</v>
          </cell>
        </row>
        <row r="257">
          <cell r="A257" t="str">
            <v>Докторская вареная в/с 0,47 кг шт.  СПК</v>
          </cell>
          <cell r="D257">
            <v>11</v>
          </cell>
          <cell r="F257">
            <v>11</v>
          </cell>
        </row>
        <row r="258">
          <cell r="A258" t="str">
            <v>Докторская вареная вес. (белк.об.) термоус.пак.  СПК</v>
          </cell>
          <cell r="D258">
            <v>32.155999999999999</v>
          </cell>
          <cell r="F258">
            <v>33.366999999999997</v>
          </cell>
        </row>
        <row r="259">
          <cell r="A259" t="str">
            <v>Докторская вареная термоус.пак. "Высокий вкус"  СПК</v>
          </cell>
          <cell r="D259">
            <v>17</v>
          </cell>
          <cell r="F259">
            <v>17</v>
          </cell>
        </row>
        <row r="260">
          <cell r="A260" t="str">
            <v>Европоддон (невозвратный)</v>
          </cell>
          <cell r="F260">
            <v>322</v>
          </cell>
        </row>
        <row r="261">
          <cell r="A261" t="str">
            <v>ЖАР-ладушки с мясом 0,2кг ТМ Стародворье  ПОКОМ</v>
          </cell>
          <cell r="D261">
            <v>3</v>
          </cell>
          <cell r="F261">
            <v>355</v>
          </cell>
        </row>
        <row r="262">
          <cell r="A262" t="str">
            <v>ЖАР-ладушки с яблоком и грушей ТМ Стародворье 0,2 кг. ПОКОМ</v>
          </cell>
          <cell r="F262">
            <v>10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251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2011</v>
          </cell>
          <cell r="F264">
            <v>2011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1698</v>
          </cell>
          <cell r="F265">
            <v>1698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227.2</v>
          </cell>
          <cell r="F266">
            <v>227.2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36.4</v>
          </cell>
          <cell r="F267">
            <v>36.4</v>
          </cell>
        </row>
        <row r="268">
          <cell r="A268" t="str">
            <v>Карбонад Юбилейный термоус.пак.  СПК</v>
          </cell>
          <cell r="D268">
            <v>18.148</v>
          </cell>
          <cell r="F268">
            <v>23.617999999999999</v>
          </cell>
        </row>
        <row r="269">
          <cell r="A269" t="str">
            <v>Классическая вареная 400 гр.шт.  СПК</v>
          </cell>
          <cell r="D269">
            <v>12</v>
          </cell>
          <cell r="F269">
            <v>12</v>
          </cell>
        </row>
        <row r="270">
          <cell r="A270" t="str">
            <v>Классическая с/к 80 гр.шт.нар. (лоток с ср.защ.атм.)  СПК</v>
          </cell>
          <cell r="D270">
            <v>367</v>
          </cell>
          <cell r="F270">
            <v>367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38</v>
          </cell>
          <cell r="F271">
            <v>38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600</v>
          </cell>
          <cell r="F272">
            <v>600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434</v>
          </cell>
          <cell r="F273">
            <v>434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76</v>
          </cell>
          <cell r="F274">
            <v>76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6</v>
          </cell>
          <cell r="F275">
            <v>698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368</v>
          </cell>
          <cell r="F277">
            <v>1530</v>
          </cell>
        </row>
        <row r="278">
          <cell r="A278" t="str">
            <v>Ла Фаворте с/в "Эликатессе" 140 гр.шт.  СПК</v>
          </cell>
          <cell r="D278">
            <v>106</v>
          </cell>
          <cell r="F278">
            <v>106</v>
          </cell>
        </row>
        <row r="279">
          <cell r="A279" t="str">
            <v>Ливерная Печеночная 250 гр.шт.  СПК</v>
          </cell>
          <cell r="D279">
            <v>55</v>
          </cell>
          <cell r="F279">
            <v>55</v>
          </cell>
        </row>
        <row r="280">
          <cell r="A280" t="str">
            <v>Любительская вареная термоус.пак. "Высокий вкус"  СПК</v>
          </cell>
          <cell r="D280">
            <v>96.2</v>
          </cell>
          <cell r="F280">
            <v>96.2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196.102</v>
          </cell>
        </row>
        <row r="282">
          <cell r="A282" t="str">
            <v>Мини-чебуречки с мясом ВЕС 5,5кг ТМ Зареченские  ПОКОМ</v>
          </cell>
          <cell r="F282">
            <v>33</v>
          </cell>
        </row>
        <row r="283">
          <cell r="A283" t="str">
            <v>Мини-шарики с курочкой и сыром ТМ Зареченские ВЕС  ПОКОМ</v>
          </cell>
          <cell r="D283">
            <v>3</v>
          </cell>
          <cell r="F283">
            <v>866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606</v>
          </cell>
          <cell r="F284">
            <v>2544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248</v>
          </cell>
          <cell r="F285">
            <v>1757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365</v>
          </cell>
          <cell r="F286">
            <v>2084</v>
          </cell>
        </row>
        <row r="287">
          <cell r="A287" t="str">
            <v>Наггетсы с куриным филе и сыром ТМ Вязанка 0,25 кг ПОКОМ</v>
          </cell>
          <cell r="D287">
            <v>726</v>
          </cell>
          <cell r="F287">
            <v>2388</v>
          </cell>
        </row>
        <row r="288">
          <cell r="A288" t="str">
            <v>Наггетсы Хрустящие ТМ Зареченские. ВЕС ПОКОМ</v>
          </cell>
          <cell r="D288">
            <v>6</v>
          </cell>
          <cell r="F288">
            <v>1505</v>
          </cell>
        </row>
        <row r="289">
          <cell r="A289" t="str">
            <v>Наггетсы Хрустящие ТМ Стародворье с сочной курочкой 0,23 кг  ПОКОМ</v>
          </cell>
          <cell r="D289">
            <v>1</v>
          </cell>
          <cell r="F289">
            <v>337</v>
          </cell>
        </row>
        <row r="290">
          <cell r="A290" t="str">
            <v>Оригинальная с перцем с/к  СПК</v>
          </cell>
          <cell r="D290">
            <v>112.756</v>
          </cell>
          <cell r="F290">
            <v>112.756</v>
          </cell>
        </row>
        <row r="291">
          <cell r="A291" t="str">
            <v>Паштет печеночный 140 гр.шт.  СПК</v>
          </cell>
          <cell r="D291">
            <v>56</v>
          </cell>
          <cell r="F291">
            <v>56</v>
          </cell>
        </row>
        <row r="292">
          <cell r="A292" t="str">
            <v>Пекерсы с индейкой в сливочном соусе ТМ Горячая штучка 0,25 кг зам  ПОКОМ</v>
          </cell>
          <cell r="F292">
            <v>323</v>
          </cell>
        </row>
        <row r="293">
          <cell r="A293" t="str">
            <v>Пельмени Grandmeni с говядиной и свининой 0,7кг ТМ Горячая штучка  ПОКОМ</v>
          </cell>
          <cell r="F293">
            <v>271</v>
          </cell>
        </row>
        <row r="294">
          <cell r="A294" t="str">
            <v>Пельмени Бигбули #МЕГАВКУСИЩЕ с сочной грудинкой ТМ Горячая штучка 0,7 кг. ПОКОМ</v>
          </cell>
          <cell r="D294">
            <v>1</v>
          </cell>
          <cell r="F294">
            <v>985</v>
          </cell>
        </row>
        <row r="295">
          <cell r="A295" t="str">
            <v>Пельмени Бигбули с мясом ТМ Горячая штучка. флоу-пак сфера 0,4 кг. ПОКОМ</v>
          </cell>
          <cell r="D295">
            <v>1</v>
          </cell>
          <cell r="F295">
            <v>185</v>
          </cell>
        </row>
        <row r="296">
          <cell r="A296" t="str">
            <v>Пельмени Бигбули с мясом ТМ Горячая штучка. флоу-пак сфера 0,7 кг ПОКОМ</v>
          </cell>
          <cell r="D296">
            <v>601</v>
          </cell>
          <cell r="F296">
            <v>1720</v>
          </cell>
        </row>
        <row r="297">
          <cell r="A297" t="str">
            <v>Пельмени Бигбули со сливочным маслом ТМ Горячая штучка, флоу-пак сфера 0,7. ПОКОМ</v>
          </cell>
          <cell r="D297">
            <v>2</v>
          </cell>
          <cell r="F297">
            <v>1171</v>
          </cell>
        </row>
        <row r="298">
          <cell r="A298" t="str">
            <v>Пельмени Бульмени мини с мясом и оливковым маслом 0,7 кг ТМ Горячая штучка  ПОКОМ</v>
          </cell>
          <cell r="D298">
            <v>4</v>
          </cell>
          <cell r="F298">
            <v>767</v>
          </cell>
        </row>
        <row r="299">
          <cell r="A299" t="str">
            <v>Пельмени Бульмени Нейробуст с мясом ТМ Горячая штучка ТС Бульмени ГШ сфера флоу-пак 0,6 кг.  ПОКОМ</v>
          </cell>
          <cell r="D299">
            <v>2</v>
          </cell>
          <cell r="F299">
            <v>94</v>
          </cell>
        </row>
        <row r="300">
          <cell r="A300" t="str">
            <v>Пельмени Бульмени с говядиной и свининой Горячая шт. 0,9 кг  ПОКОМ</v>
          </cell>
          <cell r="F300">
            <v>1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25</v>
          </cell>
          <cell r="F301">
            <v>1793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1070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2</v>
          </cell>
          <cell r="F303">
            <v>1005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702</v>
          </cell>
          <cell r="F304">
            <v>2391</v>
          </cell>
        </row>
        <row r="305">
          <cell r="A305" t="str">
            <v>Пельмени Бульмени со сливочным маслом Горячая штучка 0,9 кг  ПОКОМ</v>
          </cell>
          <cell r="F305">
            <v>3</v>
          </cell>
        </row>
        <row r="306">
          <cell r="A306" t="str">
            <v>Пельмени Бульмени со сливочным маслом ТМ Горячая штучка. флоу-пак сфера 0,4 кг. ПОКОМ</v>
          </cell>
          <cell r="D306">
            <v>10</v>
          </cell>
          <cell r="F306">
            <v>1212</v>
          </cell>
        </row>
        <row r="307">
          <cell r="A307" t="str">
            <v>Пельмени Бульмени со сливочным маслом ТМ Горячая штучка.флоу-пак сфера 0,7 кг. ПОКОМ</v>
          </cell>
          <cell r="D307">
            <v>1309</v>
          </cell>
          <cell r="F307">
            <v>4253</v>
          </cell>
        </row>
        <row r="308">
          <cell r="A308" t="str">
            <v>Пельмени Бульмени хрустящие с мясом 0,22 кг ТМ Горячая штучка  ПОКОМ</v>
          </cell>
          <cell r="D308">
            <v>1</v>
          </cell>
          <cell r="F308">
            <v>146</v>
          </cell>
        </row>
        <row r="309">
          <cell r="A309" t="str">
            <v>Пельмени Добросельские со свининой и говядиной ТМ Стародворье флоу-пак клас. форма 0,65 кг.  ПОКОМ</v>
          </cell>
          <cell r="D309">
            <v>2</v>
          </cell>
          <cell r="F309">
            <v>79</v>
          </cell>
        </row>
        <row r="310">
          <cell r="A310" t="str">
            <v>Пельмени Зареченские сфера 5 кг.  ПОКОМ</v>
          </cell>
          <cell r="F310">
            <v>10</v>
          </cell>
        </row>
        <row r="311">
          <cell r="A311" t="str">
            <v>Пельмени Мясные с говядиной ТМ Стародворье сфера флоу-пак 1 кг  ПОКОМ</v>
          </cell>
          <cell r="D311">
            <v>3</v>
          </cell>
          <cell r="F311">
            <v>568</v>
          </cell>
        </row>
        <row r="312">
          <cell r="A312" t="str">
            <v>Пельмени Мясорубские с рубленой грудинкой ТМ Стародворье флоупак  0,7 кг. ПОКОМ</v>
          </cell>
          <cell r="F312">
            <v>1</v>
          </cell>
        </row>
        <row r="313">
          <cell r="A313" t="str">
            <v>Пельмени Отборные из свинины и говядины 0,9 кг ТМ Стародворье ТС Медвежье ушко  ПОКОМ</v>
          </cell>
          <cell r="D313">
            <v>4</v>
          </cell>
          <cell r="F313">
            <v>414</v>
          </cell>
        </row>
        <row r="314">
          <cell r="A314" t="str">
            <v>Пельмени С говядиной и свининой, ВЕС, сфера пуговки Мясная Галерея  ПОКОМ</v>
          </cell>
          <cell r="D314">
            <v>40</v>
          </cell>
          <cell r="F314">
            <v>615</v>
          </cell>
        </row>
        <row r="315">
          <cell r="A315" t="str">
            <v>Пельмени Со свининой и говядиной ТМ Особый рецепт Любимая ложка 1,0 кг  ПОКОМ</v>
          </cell>
          <cell r="D315">
            <v>2</v>
          </cell>
          <cell r="F315">
            <v>1011</v>
          </cell>
        </row>
        <row r="316">
          <cell r="A316" t="str">
            <v>Пельмени Сочные сфера 0,8 кг ТМ Стародворье  ПОКОМ</v>
          </cell>
          <cell r="D316">
            <v>3</v>
          </cell>
          <cell r="F316">
            <v>47</v>
          </cell>
        </row>
        <row r="317">
          <cell r="A317" t="str">
            <v>Пирожки с мясом 3,7кг ВЕС ТМ Зареченские  ПОКОМ</v>
          </cell>
          <cell r="F317">
            <v>103.6</v>
          </cell>
        </row>
        <row r="318">
          <cell r="A318" t="str">
            <v>Ричеза с/к 230 гр.шт.  СПК</v>
          </cell>
          <cell r="D318">
            <v>66</v>
          </cell>
          <cell r="F318">
            <v>66</v>
          </cell>
        </row>
        <row r="319">
          <cell r="A319" t="str">
            <v>Сальчетти с/к 230 гр.шт.  СПК</v>
          </cell>
          <cell r="D319">
            <v>123</v>
          </cell>
          <cell r="F319">
            <v>123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61</v>
          </cell>
          <cell r="F320">
            <v>61</v>
          </cell>
        </row>
        <row r="321">
          <cell r="A321" t="str">
            <v>Салями с/к 100 гр.шт.нар. (лоток с ср.защ.атм.)  СПК</v>
          </cell>
          <cell r="D321">
            <v>302</v>
          </cell>
          <cell r="F321">
            <v>302</v>
          </cell>
        </row>
        <row r="322">
          <cell r="A322" t="str">
            <v>Салями Трюфель с/в "Эликатессе" 0,16 кг.шт.  СПК</v>
          </cell>
          <cell r="D322">
            <v>101</v>
          </cell>
          <cell r="F322">
            <v>101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61.7</v>
          </cell>
          <cell r="F323">
            <v>61.7</v>
          </cell>
        </row>
        <row r="324">
          <cell r="A324" t="str">
            <v>Сардельки из говядины (черева) (в ср.защ.атм.) "Высокий вкус"  СПК</v>
          </cell>
          <cell r="D324">
            <v>16</v>
          </cell>
          <cell r="F324">
            <v>16</v>
          </cell>
        </row>
        <row r="325">
          <cell r="A325" t="str">
            <v>Сардельки Необыкновенные (черева) 400 гр.шт. (лоток с ср.защ.атм.)  СПК</v>
          </cell>
          <cell r="D325">
            <v>41</v>
          </cell>
          <cell r="F325">
            <v>41</v>
          </cell>
        </row>
        <row r="326">
          <cell r="A326" t="str">
            <v>Семейная с чесночком Экстра вареная  СПК</v>
          </cell>
          <cell r="D326">
            <v>8</v>
          </cell>
          <cell r="F326">
            <v>8</v>
          </cell>
        </row>
        <row r="327">
          <cell r="A327" t="str">
            <v>Сервелат Европейский в/к, в/с 0,38 кг.шт.термофор.пак  СПК</v>
          </cell>
          <cell r="D327">
            <v>26</v>
          </cell>
          <cell r="F327">
            <v>26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40</v>
          </cell>
          <cell r="F328">
            <v>40</v>
          </cell>
        </row>
        <row r="329">
          <cell r="A329" t="str">
            <v>Сервелат Финский в/к 0,38 кг.шт. термофор.пак.  СПК</v>
          </cell>
          <cell r="D329">
            <v>17</v>
          </cell>
          <cell r="F329">
            <v>17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202</v>
          </cell>
          <cell r="F330">
            <v>202</v>
          </cell>
        </row>
        <row r="331">
          <cell r="A331" t="str">
            <v>Сервелат Фирменный в/к 250 гр.шт. термоформ.пак.  СПК</v>
          </cell>
          <cell r="D331">
            <v>11</v>
          </cell>
          <cell r="F331">
            <v>11</v>
          </cell>
        </row>
        <row r="332">
          <cell r="A332" t="str">
            <v>Сибирская особая с/к 0,10 кг.шт. нарезка (лоток с ср.защ.атм.)  СПК</v>
          </cell>
          <cell r="D332">
            <v>95</v>
          </cell>
          <cell r="F332">
            <v>95</v>
          </cell>
        </row>
        <row r="333">
          <cell r="A333" t="str">
            <v>Сибирская особая с/к 0,235 кг шт.  СПК</v>
          </cell>
          <cell r="D333">
            <v>138</v>
          </cell>
          <cell r="F333">
            <v>138</v>
          </cell>
        </row>
        <row r="334">
          <cell r="A334" t="str">
            <v>Сосиски "Баварские" 0,36 кг.шт. вак.упак.  СПК</v>
          </cell>
          <cell r="D334">
            <v>10</v>
          </cell>
          <cell r="F334">
            <v>10</v>
          </cell>
        </row>
        <row r="335">
          <cell r="A335" t="str">
            <v>Сосиски "Молочные" 0,36 кг.шт. вак.упак.  СПК</v>
          </cell>
          <cell r="D335">
            <v>15</v>
          </cell>
          <cell r="F335">
            <v>15</v>
          </cell>
        </row>
        <row r="336">
          <cell r="A336" t="str">
            <v>Сосиски Классические (в ср.защ.атм.) СПК</v>
          </cell>
          <cell r="D336">
            <v>18</v>
          </cell>
          <cell r="F336">
            <v>18</v>
          </cell>
        </row>
        <row r="337">
          <cell r="A337" t="str">
            <v>Сосиски Мусульманские "Просто выгодно" (в ср.защ.атм.)  СПК</v>
          </cell>
          <cell r="D337">
            <v>10</v>
          </cell>
          <cell r="F337">
            <v>10</v>
          </cell>
        </row>
        <row r="338">
          <cell r="A338" t="str">
            <v>Сосиски Хот-дог подкопченные (лоток с ср.защ.атм.)  СПК</v>
          </cell>
          <cell r="D338">
            <v>15</v>
          </cell>
          <cell r="F338">
            <v>15</v>
          </cell>
        </row>
        <row r="339">
          <cell r="A339" t="str">
            <v>Сочный мегачебурек ТМ Зареченские ВЕС ПОКОМ</v>
          </cell>
          <cell r="F339">
            <v>141.52000000000001</v>
          </cell>
        </row>
        <row r="340">
          <cell r="A340" t="str">
            <v>Торо Неро с/в "Эликатессе" 140 гр.шт.  СПК</v>
          </cell>
          <cell r="D340">
            <v>8</v>
          </cell>
          <cell r="F340">
            <v>8</v>
          </cell>
        </row>
        <row r="341">
          <cell r="A341" t="str">
            <v>Утренняя вареная ВЕС СПК</v>
          </cell>
          <cell r="D341">
            <v>2.5</v>
          </cell>
          <cell r="F341">
            <v>2.5</v>
          </cell>
        </row>
        <row r="342">
          <cell r="A342" t="str">
            <v>Уши свиные копченые к пиву 0,15кг нар. д/ф шт.  СПК</v>
          </cell>
          <cell r="D342">
            <v>40</v>
          </cell>
          <cell r="F342">
            <v>40</v>
          </cell>
        </row>
        <row r="343">
          <cell r="A343" t="str">
            <v>Фестивальная пора с/к 100 гр.шт.нар. (лоток с ср.защ.атм.)  СПК</v>
          </cell>
          <cell r="D343">
            <v>121</v>
          </cell>
          <cell r="F343">
            <v>121</v>
          </cell>
        </row>
        <row r="344">
          <cell r="A344" t="str">
            <v>Фестивальная пора с/к 235 гр.шт.  СПК</v>
          </cell>
          <cell r="D344">
            <v>294</v>
          </cell>
          <cell r="F344">
            <v>294</v>
          </cell>
        </row>
        <row r="345">
          <cell r="A345" t="str">
            <v>Фестивальная пора с/к термоус.пак  СПК</v>
          </cell>
          <cell r="D345">
            <v>10.1</v>
          </cell>
          <cell r="F345">
            <v>10.1</v>
          </cell>
        </row>
        <row r="346">
          <cell r="A346" t="str">
            <v>Фирменная с/к 200 гр. срез "Эликатессе" термоформ.пак.  СПК</v>
          </cell>
          <cell r="D346">
            <v>83</v>
          </cell>
          <cell r="F346">
            <v>83</v>
          </cell>
        </row>
        <row r="347">
          <cell r="A347" t="str">
            <v>Фуэт с/в "Эликатессе" 160 гр.шт.  СПК</v>
          </cell>
          <cell r="D347">
            <v>87</v>
          </cell>
          <cell r="F347">
            <v>89</v>
          </cell>
        </row>
        <row r="348">
          <cell r="A348" t="str">
            <v>Хот-догстер ТМ Горячая штучка ТС Хот-Догстер флоу-пак 0,09 кг. ПОКОМ</v>
          </cell>
          <cell r="D348">
            <v>1</v>
          </cell>
          <cell r="F348">
            <v>289</v>
          </cell>
        </row>
        <row r="349">
          <cell r="A349" t="str">
            <v>Хотстеры с сыром 0,25кг ТМ Горячая штучка  ПОКОМ</v>
          </cell>
          <cell r="D349">
            <v>2</v>
          </cell>
          <cell r="F349">
            <v>561</v>
          </cell>
        </row>
        <row r="350">
          <cell r="A350" t="str">
            <v>Хотстеры ТМ Горячая штучка ТС Хотстеры 0,25 кг зам  ПОКОМ</v>
          </cell>
          <cell r="D350">
            <v>848</v>
          </cell>
          <cell r="F350">
            <v>2462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6</v>
          </cell>
          <cell r="F351">
            <v>599</v>
          </cell>
        </row>
        <row r="352">
          <cell r="A352" t="str">
            <v>Хрустящие крылышки ТМ Горячая штучка 0,3 кг зам  ПОКОМ</v>
          </cell>
          <cell r="D352">
            <v>6</v>
          </cell>
          <cell r="F352">
            <v>637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404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878</v>
          </cell>
          <cell r="F354">
            <v>2919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356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1839</v>
          </cell>
          <cell r="F356">
            <v>5773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2</v>
          </cell>
          <cell r="F357">
            <v>286</v>
          </cell>
        </row>
        <row r="358">
          <cell r="A358" t="str">
            <v>Чебуреки Мясные вес 2,7 кг ТМ Зареченские ВЕС ПОКОМ</v>
          </cell>
          <cell r="D358">
            <v>5</v>
          </cell>
          <cell r="F358">
            <v>10.4</v>
          </cell>
        </row>
        <row r="359">
          <cell r="A359" t="str">
            <v>Чебуреки сочные ВЕС ТМ Зареченские  ПОКОМ</v>
          </cell>
          <cell r="F359">
            <v>910</v>
          </cell>
        </row>
        <row r="360">
          <cell r="A360" t="str">
            <v>Шпикачки Русские (черева) (в ср.защ.атм.) "Высокий вкус"  СПК</v>
          </cell>
          <cell r="D360">
            <v>41.8</v>
          </cell>
          <cell r="F360">
            <v>41.8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38</v>
          </cell>
          <cell r="F361">
            <v>38</v>
          </cell>
        </row>
        <row r="362">
          <cell r="A362" t="str">
            <v>Юбилейная с/к 0,235 кг.шт.  СПК</v>
          </cell>
          <cell r="D362">
            <v>357</v>
          </cell>
          <cell r="F362">
            <v>357</v>
          </cell>
        </row>
        <row r="363">
          <cell r="A363" t="str">
            <v>Итого</v>
          </cell>
          <cell r="D363">
            <v>116377.879</v>
          </cell>
          <cell r="F363">
            <v>286743.717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19.11.2025 - 19.11.2025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130.68199999999999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273.85000000000002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325.88299999999998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557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69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304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86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114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125.325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1201.4179999999999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91.787000000000006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10.032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147.185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60.761000000000003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96.680999999999997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60.37</v>
          </cell>
        </row>
        <row r="29">
          <cell r="A29" t="str">
            <v xml:space="preserve"> 247  Сардельки Нежные, ВЕС.  ПОКОМ</v>
          </cell>
          <cell r="D29">
            <v>19.757999999999999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36.322000000000003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458.79700000000003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10.257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17.632999999999999</v>
          </cell>
        </row>
        <row r="34">
          <cell r="A34" t="str">
            <v xml:space="preserve"> 263  Шпикачки Стародворские, ВЕС.  ПОКОМ</v>
          </cell>
          <cell r="D34">
            <v>244.28899999999999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0.89700000000000002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488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699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1267</v>
          </cell>
        </row>
        <row r="40">
          <cell r="A40" t="str">
            <v xml:space="preserve"> 283  Сосиски Сочинки, ВЕС, ТМ Стародворье ПОКОМ</v>
          </cell>
          <cell r="D40">
            <v>109.52800000000001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200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222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57.15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173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391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37.639000000000003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91.028000000000006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454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266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214.476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137.06100000000001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1058.2950000000001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513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1060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350</v>
          </cell>
        </row>
        <row r="57">
          <cell r="A57" t="str">
            <v xml:space="preserve"> 328  Сардельки Сочинки Стародворье ТМ  0,4 кг ПОКОМ</v>
          </cell>
          <cell r="D57">
            <v>82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66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201.50899999999999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127</v>
          </cell>
        </row>
        <row r="61">
          <cell r="A61" t="str">
            <v xml:space="preserve"> 335  Колбаса Сливушка ТМ Вязанка. ВЕС.  ПОКОМ </v>
          </cell>
          <cell r="D61">
            <v>57.625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695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590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113.86499999999999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52.250999999999998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433.90499999999997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61.911999999999999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22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113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98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32.71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206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276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130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159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101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55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967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2847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83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33.076999999999998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66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12.958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139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72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81.072000000000003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831.40899999999999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1562.3889999999999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1251.67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43.046999999999997</v>
          </cell>
        </row>
        <row r="91">
          <cell r="A91" t="str">
            <v xml:space="preserve"> 467  Колбаса Филейная 0,5кг ТМ Особый рецепт  ПОКОМ</v>
          </cell>
          <cell r="D91">
            <v>23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4.5030000000000001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313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179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245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186</v>
          </cell>
        </row>
        <row r="97">
          <cell r="A97" t="str">
            <v xml:space="preserve"> 519  Грудинка 0,12 кг нарезка ТМ Стародворье  ПОКОМ</v>
          </cell>
          <cell r="D97">
            <v>64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128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83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137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185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94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81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14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358.71199999999999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15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17</v>
          </cell>
        </row>
        <row r="109">
          <cell r="A109" t="str">
            <v>3215 ВЕТЧ.МЯСНАЯ Папа может п/о 0.4кг 8шт.    ОСТАНКИНО</v>
          </cell>
          <cell r="D109">
            <v>181</v>
          </cell>
        </row>
        <row r="110">
          <cell r="A110" t="str">
            <v>3684 ПРЕСИЖН с/к в/у 1/250 8шт.   ОСТАНКИНО</v>
          </cell>
          <cell r="D110">
            <v>14</v>
          </cell>
        </row>
        <row r="111">
          <cell r="A111" t="str">
            <v>3986 Ароматная с/к в/у 1/250 ОСТАНКИНО</v>
          </cell>
          <cell r="D111">
            <v>150</v>
          </cell>
        </row>
        <row r="112">
          <cell r="A112" t="str">
            <v>4063 МЯСНАЯ Папа может вар п/о_Л   ОСТАНКИНО</v>
          </cell>
          <cell r="D112">
            <v>313.20400000000001</v>
          </cell>
        </row>
        <row r="113">
          <cell r="A113" t="str">
            <v>4117 ЭКСТРА Папа может с/к в/у_Л   ОСТАНКИНО</v>
          </cell>
          <cell r="D113">
            <v>5.4720000000000004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23.704000000000001</v>
          </cell>
        </row>
        <row r="115">
          <cell r="A115" t="str">
            <v>4813 ФИЛЕЙНАЯ Папа может вар п/о_Л   ОСТАНКИНО</v>
          </cell>
          <cell r="D115">
            <v>113.024</v>
          </cell>
        </row>
        <row r="116">
          <cell r="A116" t="str">
            <v>4993 САЛЯМИ ИТАЛЬЯНСКАЯ с/к в/у 1/250*8_120c ОСТАНКИНО</v>
          </cell>
          <cell r="D116">
            <v>74</v>
          </cell>
        </row>
        <row r="117">
          <cell r="A117" t="str">
            <v>5246 ДОКТОРСКАЯ ПРЕМИУМ вар б/о мгс_30с ОСТАНКИНО</v>
          </cell>
          <cell r="D117">
            <v>2.97</v>
          </cell>
        </row>
        <row r="118">
          <cell r="A118" t="str">
            <v>5247 РУССКАЯ ПРЕМИУМ вар б/о мгс_30с ОСТАНКИНО</v>
          </cell>
          <cell r="D118">
            <v>2.9889999999999999</v>
          </cell>
        </row>
        <row r="119">
          <cell r="A119" t="str">
            <v>5483 ЭКСТРА Папа может с/к в/у 1/250 8шт.   ОСТАНКИНО</v>
          </cell>
          <cell r="D119">
            <v>151</v>
          </cell>
        </row>
        <row r="120">
          <cell r="A120" t="str">
            <v>5544 Сервелат Финский в/к в/у_45с НОВАЯ ОСТАНКИНО</v>
          </cell>
          <cell r="D120">
            <v>182.405</v>
          </cell>
        </row>
        <row r="121">
          <cell r="A121" t="str">
            <v>5679 САЛЯМИ ИТАЛЬЯНСКАЯ с/к в/у 1/150_60с ОСТАНКИНО</v>
          </cell>
          <cell r="D121">
            <v>85</v>
          </cell>
        </row>
        <row r="122">
          <cell r="A122" t="str">
            <v>5682 САЛЯМИ МЕЛКОЗЕРНЕНАЯ с/к в/у 1/120_60с   ОСТАНКИНО</v>
          </cell>
          <cell r="D122">
            <v>460</v>
          </cell>
        </row>
        <row r="123">
          <cell r="A123" t="str">
            <v>5708 ПОСОЛЬСКАЯ Папа может с/к в/у ОСТАНКИНО</v>
          </cell>
          <cell r="D123">
            <v>4.9589999999999996</v>
          </cell>
        </row>
        <row r="124">
          <cell r="A124" t="str">
            <v>5851 ЭКСТРА Папа может вар п/о   ОСТАНКИНО</v>
          </cell>
          <cell r="D124">
            <v>35.304000000000002</v>
          </cell>
        </row>
        <row r="125">
          <cell r="A125" t="str">
            <v>5931 ОХОТНИЧЬЯ Папа может с/к в/у 1/220 8шт.   ОСТАНКИНО</v>
          </cell>
          <cell r="D125">
            <v>237</v>
          </cell>
        </row>
        <row r="126">
          <cell r="A126" t="str">
            <v>6004 РАГУ СВИНОЕ 1кг 8шт.зам_120с ОСТАНКИНО</v>
          </cell>
          <cell r="D126">
            <v>16</v>
          </cell>
        </row>
        <row r="127">
          <cell r="A127" t="str">
            <v>6220 ГОВЯЖЬЯ Папа может вар п/о  ОСТАНКИНО</v>
          </cell>
          <cell r="D127">
            <v>2.6789999999999998</v>
          </cell>
        </row>
        <row r="128">
          <cell r="A128" t="str">
            <v>6221 НЕАПОЛИТАНСКИЙ ДУЭТ с/к с/н мгс 1/90  ОСТАНКИНО</v>
          </cell>
          <cell r="D128">
            <v>156</v>
          </cell>
        </row>
        <row r="129">
          <cell r="A129" t="str">
            <v>6228 МЯСНОЕ АССОРТИ к/з с/н мгс 1/90 10шт.  ОСТАНКИНО</v>
          </cell>
          <cell r="D129">
            <v>95</v>
          </cell>
        </row>
        <row r="130">
          <cell r="A130" t="str">
            <v>6247 ДОМАШНЯЯ Папа может вар п/о 0,4кг 8шт.  ОСТАНКИНО</v>
          </cell>
          <cell r="D130">
            <v>10</v>
          </cell>
        </row>
        <row r="131">
          <cell r="A131" t="str">
            <v>6268 ГОВЯЖЬЯ Папа может вар п/о 0,4кг 8 шт.  ОСТАНКИНО</v>
          </cell>
          <cell r="D131">
            <v>192</v>
          </cell>
        </row>
        <row r="132">
          <cell r="A132" t="str">
            <v>6279 КОРЕЙКА ПО-ОСТ.к/в в/с с/н в/у 1/150_45с  ОСТАНКИНО</v>
          </cell>
          <cell r="D132">
            <v>97</v>
          </cell>
        </row>
        <row r="133">
          <cell r="A133" t="str">
            <v>6303 МЯСНЫЕ Папа может сос п/о мгс 1.5*3  ОСТАНКИНО</v>
          </cell>
          <cell r="D133">
            <v>140.363</v>
          </cell>
        </row>
        <row r="134">
          <cell r="A134" t="str">
            <v>6324 ДОКТОРСКАЯ ГОСТ вар п/о 0.4кг 8шт.  ОСТАНКИНО</v>
          </cell>
          <cell r="D134">
            <v>6</v>
          </cell>
        </row>
        <row r="135">
          <cell r="A135" t="str">
            <v>6325 ДОКТОРСКАЯ ПРЕМИУМ вар п/о 0.4кг 8шт.  ОСТАНКИНО</v>
          </cell>
          <cell r="D135">
            <v>323</v>
          </cell>
        </row>
        <row r="136">
          <cell r="A136" t="str">
            <v>6333 МЯСНАЯ Папа может вар п/о 0.4кг 8шт.  ОСТАНКИНО</v>
          </cell>
          <cell r="D136">
            <v>861</v>
          </cell>
        </row>
        <row r="137">
          <cell r="A137" t="str">
            <v>6340 ДОМАШНИЙ РЕЦЕПТ Коровино 0.5кг 8шт.  ОСТАНКИНО</v>
          </cell>
          <cell r="D137">
            <v>44</v>
          </cell>
        </row>
        <row r="138">
          <cell r="A138" t="str">
            <v>6353 ЭКСТРА Папа может вар п/о 0.4кг 8шт.  ОСТАНКИНО</v>
          </cell>
          <cell r="D138">
            <v>312</v>
          </cell>
        </row>
        <row r="139">
          <cell r="A139" t="str">
            <v>6392 ФИЛЕЙНАЯ Папа может вар п/о 0.4кг. ОСТАНКИНО</v>
          </cell>
          <cell r="D139">
            <v>710</v>
          </cell>
        </row>
        <row r="140">
          <cell r="A140" t="str">
            <v>6448 СВИНИНА МАДЕРА с/к с/н в/у 1/100 10шт.   ОСТАНКИНО</v>
          </cell>
          <cell r="D140">
            <v>63</v>
          </cell>
        </row>
        <row r="141">
          <cell r="A141" t="str">
            <v>6453 ЭКСТРА Папа может с/к с/н в/у 1/100 14шт.   ОСТАНКИНО</v>
          </cell>
          <cell r="D141">
            <v>465</v>
          </cell>
        </row>
        <row r="142">
          <cell r="A142" t="str">
            <v>6454 АРОМАТНАЯ с/к с/н в/у 1/100 10шт.  ОСТАНКИНО</v>
          </cell>
          <cell r="D142">
            <v>323</v>
          </cell>
        </row>
        <row r="143">
          <cell r="A143" t="str">
            <v>6459 СЕРВЕЛАТ ШВЕЙЦАРСК. в/к с/н в/у 1/100*10  ОСТАНКИНО</v>
          </cell>
          <cell r="D143">
            <v>192</v>
          </cell>
        </row>
        <row r="144">
          <cell r="A144" t="str">
            <v>6470 ВЕТЧ.МРАМОРНАЯ в/у_45с  ОСТАНКИНО</v>
          </cell>
          <cell r="D144">
            <v>3.645</v>
          </cell>
        </row>
        <row r="145">
          <cell r="A145" t="str">
            <v>6495 ВЕТЧ.МРАМОРНАЯ в/у срез 0.3кг 6шт_45с  ОСТАНКИНО</v>
          </cell>
          <cell r="D145">
            <v>67</v>
          </cell>
        </row>
        <row r="146">
          <cell r="A146" t="str">
            <v>6527 ШПИКАЧКИ СОЧНЫЕ ПМ сар б/о мгс 1*3 45с ОСТАНКИНО</v>
          </cell>
          <cell r="D146">
            <v>70.158000000000001</v>
          </cell>
        </row>
        <row r="147">
          <cell r="A147" t="str">
            <v>6528 ШПИКАЧКИ СОЧНЫЕ ПМ сар б/о мгс 0.4кг 45с  ОСТАНКИНО</v>
          </cell>
          <cell r="D147">
            <v>11</v>
          </cell>
        </row>
        <row r="148">
          <cell r="A148" t="str">
            <v>6609 С ГОВЯДИНОЙ ПМ сар б/о мгс 0.4кг_45с ОСТАНКИНО</v>
          </cell>
          <cell r="D148">
            <v>12</v>
          </cell>
        </row>
        <row r="149">
          <cell r="A149" t="str">
            <v>6616 МОЛОЧНЫЕ КЛАССИЧЕСКИЕ сос п/о в/у 0.3кг  ОСТАНКИНО</v>
          </cell>
          <cell r="D149">
            <v>542</v>
          </cell>
        </row>
        <row r="150">
          <cell r="A150" t="str">
            <v>6697 СЕРВЕЛАТ ФИНСКИЙ ПМ в/к в/у 0,35кг 8шт.  ОСТАНКИНО</v>
          </cell>
          <cell r="D150">
            <v>1006</v>
          </cell>
        </row>
        <row r="151">
          <cell r="A151" t="str">
            <v>6713 СОЧНЫЙ ГРИЛЬ ПМ сос п/о мгс 0.41кг 8шт.  ОСТАНКИНО</v>
          </cell>
          <cell r="D151">
            <v>380</v>
          </cell>
        </row>
        <row r="152">
          <cell r="A152" t="str">
            <v>6724 МОЛОЧНЫЕ ПМ сос п/о мгс 0.41кг 10шт.  ОСТАНКИНО</v>
          </cell>
          <cell r="D152">
            <v>228</v>
          </cell>
        </row>
        <row r="153">
          <cell r="A153" t="str">
            <v>6765 РУБЛЕНЫЕ сос ц/о мгс 0.36кг 6шт.  ОСТАНКИНО</v>
          </cell>
          <cell r="D153">
            <v>85</v>
          </cell>
        </row>
        <row r="154">
          <cell r="A154" t="str">
            <v>6785 ВЕНСКАЯ САЛЯМИ п/к в/у 0.33кг 8шт.  ОСТАНКИНО</v>
          </cell>
          <cell r="D154">
            <v>34</v>
          </cell>
        </row>
        <row r="155">
          <cell r="A155" t="str">
            <v>6787 СЕРВЕЛАТ КРЕМЛЕВСКИЙ в/к в/у 0,33кг 8шт.  ОСТАНКИНО</v>
          </cell>
          <cell r="D155">
            <v>48</v>
          </cell>
        </row>
        <row r="156">
          <cell r="A156" t="str">
            <v>6793 БАЛЫКОВАЯ в/к в/у 0,33кг 8шт.  ОСТАНКИНО</v>
          </cell>
          <cell r="D156">
            <v>69</v>
          </cell>
        </row>
        <row r="157">
          <cell r="A157" t="str">
            <v>6829 МОЛОЧНЫЕ КЛАССИЧЕСКИЕ сос п/о мгс 2*4_С  ОСТАНКИНО</v>
          </cell>
          <cell r="D157">
            <v>133.12200000000001</v>
          </cell>
        </row>
        <row r="158">
          <cell r="A158" t="str">
            <v>6832 АССОРТИ СЫРОКОПЧЕНЫХ КОЛБАС Коровино в/у  ОСТАНКИНО</v>
          </cell>
          <cell r="D158">
            <v>2.4940000000000002</v>
          </cell>
        </row>
        <row r="159">
          <cell r="A159" t="str">
            <v>6837 ФИЛЕЙНЫЕ Папа Может сос ц/о мгс 0.4кг  ОСТАНКИНО</v>
          </cell>
          <cell r="D159">
            <v>290</v>
          </cell>
        </row>
        <row r="160">
          <cell r="A160" t="str">
            <v>6842 ДЫМОВИЦА ИЗ ОКОРОКА к/в мл/к в/у 0,3кг  ОСТАНКИНО</v>
          </cell>
          <cell r="D160">
            <v>41</v>
          </cell>
        </row>
        <row r="161">
          <cell r="A161" t="str">
            <v>6861 ДОМАШНИЙ РЕЦЕПТ Коровино вар п/о  ОСТАНКИНО</v>
          </cell>
          <cell r="D161">
            <v>215.74199999999999</v>
          </cell>
        </row>
        <row r="162">
          <cell r="A162" t="str">
            <v>6866 ВЕТЧ.НЕЖНАЯ Коровино п/о_Маяк  ОСТАНКИНО</v>
          </cell>
          <cell r="D162">
            <v>19.585000000000001</v>
          </cell>
        </row>
        <row r="163">
          <cell r="A163" t="str">
            <v>7001 КЛАССИЧЕСКИЕ Папа может сар б/о мгс 1*3  ОСТАНКИНО</v>
          </cell>
          <cell r="D163">
            <v>34.33</v>
          </cell>
        </row>
        <row r="164">
          <cell r="A164" t="str">
            <v>7040 С ИНДЕЙКОЙ ПМ сос ц/о в/у 1/270 8шт.  ОСТАНКИНО</v>
          </cell>
          <cell r="D164">
            <v>22</v>
          </cell>
        </row>
        <row r="165">
          <cell r="A165" t="str">
            <v>7059 ШПИКАЧКИ СОЧНЫЕ С БЕК. п/о мгс 0.3кг_60с  ОСТАНКИНО</v>
          </cell>
          <cell r="D165">
            <v>58</v>
          </cell>
        </row>
        <row r="166">
          <cell r="A166" t="str">
            <v>7066 СОЧНЫЕ ПМ сос п/о мгс 0.41кг 10шт_50с  ОСТАНКИНО</v>
          </cell>
          <cell r="D166">
            <v>1225</v>
          </cell>
        </row>
        <row r="167">
          <cell r="A167" t="str">
            <v>7070 СОЧНЫЕ ПМ сос п/о мгс 1.5*4_А_50с  ОСТАНКИНО</v>
          </cell>
          <cell r="D167">
            <v>584.65</v>
          </cell>
        </row>
        <row r="168">
          <cell r="A168" t="str">
            <v>7073 МОЛОЧ.ПРЕМИУМ ПМ сос п/о в/у 1/350_50с  ОСТАНКИНО</v>
          </cell>
          <cell r="D168">
            <v>351</v>
          </cell>
        </row>
        <row r="169">
          <cell r="A169" t="str">
            <v>7075 МОЛОЧ.ПРЕМИУМ ПМ сос п/о мгс 1.5*4_О_50с  ОСТАНКИНО</v>
          </cell>
          <cell r="D169">
            <v>10.859</v>
          </cell>
        </row>
        <row r="170">
          <cell r="A170" t="str">
            <v>7077 МЯСНЫЕ С ГОВЯД.ПМ сос п/о мгс 0.4кг_50с  ОСТАНКИНО</v>
          </cell>
          <cell r="D170">
            <v>427</v>
          </cell>
        </row>
        <row r="171">
          <cell r="A171" t="str">
            <v>7080 СЛИВОЧНЫЕ ПМ сос п/о мгс 0.41кг 10шт. 50с  ОСТАНКИНО</v>
          </cell>
          <cell r="D171">
            <v>861</v>
          </cell>
        </row>
        <row r="172">
          <cell r="A172" t="str">
            <v>7082 СЛИВОЧНЫЕ ПМ сос п/о мгс 1.5*4_50с  ОСТАНКИНО</v>
          </cell>
          <cell r="D172">
            <v>45.093000000000004</v>
          </cell>
        </row>
        <row r="173">
          <cell r="A173" t="str">
            <v>7087 ШПИК С ЧЕСНОК.И ПЕРЦЕМ к/в в/у 0.3кг_50с  ОСТАНКИНО</v>
          </cell>
          <cell r="D173">
            <v>58</v>
          </cell>
        </row>
        <row r="174">
          <cell r="A174" t="str">
            <v>7090 СВИНИНА ПО-ДОМ. к/в мл/к в/у 0.3кг_50с  ОСТАНКИНО</v>
          </cell>
          <cell r="D174">
            <v>140</v>
          </cell>
        </row>
        <row r="175">
          <cell r="A175" t="str">
            <v>7092 БЕКОН Папа может с/к с/н в/у 1/140_50с  ОСТАНКИНО</v>
          </cell>
          <cell r="D175">
            <v>263</v>
          </cell>
        </row>
        <row r="176">
          <cell r="A176" t="str">
            <v>7149 БАЛЫКОВАЯ Коровино п/к в/у 0.84кг_50с  ОСТАНКИНО</v>
          </cell>
          <cell r="D176">
            <v>31</v>
          </cell>
        </row>
        <row r="177">
          <cell r="A177" t="str">
            <v>7154 СЕРВЕЛАТ ЗЕРНИСТЫЙ ПМ в/к в/у 0.35кг_50с  ОСТАНКИНО</v>
          </cell>
          <cell r="D177">
            <v>618</v>
          </cell>
        </row>
        <row r="178">
          <cell r="A178" t="str">
            <v>7157 СЕРВЕЛАТ ЗЕРНИСНЫЙ ПМ в/к в/у_50с  ОСТАНКИНО</v>
          </cell>
          <cell r="D178">
            <v>49.603999999999999</v>
          </cell>
        </row>
        <row r="179">
          <cell r="A179" t="str">
            <v>7166 СЕРВЕЛТ ОХОТНИЧИЙ ПМ в/к в/у_50с  ОСТАНКИНО</v>
          </cell>
          <cell r="D179">
            <v>98.757000000000005</v>
          </cell>
        </row>
        <row r="180">
          <cell r="A180" t="str">
            <v>7169 СЕРВЕЛАТ ОХОТНИЧИЙ ПМ в/к в/у 0.35кг_50с  ОСТАНКИНО</v>
          </cell>
          <cell r="D180">
            <v>786</v>
          </cell>
        </row>
        <row r="181">
          <cell r="A181" t="str">
            <v>7187 ГРУДИНКА ПРЕМИУМ к/в мл/к в/у 0,3кг_50с ОСТАНКИНО</v>
          </cell>
          <cell r="D181">
            <v>220</v>
          </cell>
        </row>
        <row r="182">
          <cell r="A182" t="str">
            <v>7227 САЛЯМИ ФИНСКАЯ Папа может с/к в/у 1/180  ОСТАНКИНО</v>
          </cell>
          <cell r="D182">
            <v>4</v>
          </cell>
        </row>
        <row r="183">
          <cell r="A183" t="str">
            <v>7231 КЛАССИЧЕСКАЯ ПМ вар п/о 0,3кг 8шт_209к ОСТАНКИНО</v>
          </cell>
          <cell r="D183">
            <v>235</v>
          </cell>
        </row>
        <row r="184">
          <cell r="A184" t="str">
            <v>7232 БОЯNСКАЯ ПМ п/к в/у 0,28кг 8шт_209к ОСТАНКИНО</v>
          </cell>
          <cell r="D184">
            <v>327</v>
          </cell>
        </row>
        <row r="185">
          <cell r="A185" t="str">
            <v>7235 ВЕТЧ.КЛАССИЧЕСКАЯ ПМ п/о 0,35кг 8шт_209к ОСТАНКИНО</v>
          </cell>
          <cell r="D185">
            <v>16</v>
          </cell>
        </row>
        <row r="186">
          <cell r="A186" t="str">
            <v>7236 СЕРВЕЛАТ КАРЕЛЬСКИЙ в/к в/у 0,28кг_209к ОСТАНКИНО</v>
          </cell>
          <cell r="D186">
            <v>904</v>
          </cell>
        </row>
        <row r="187">
          <cell r="A187" t="str">
            <v>7241 САЛЯМИ Папа может п/к в/у 0,28кг_209к ОСТАНКИНО</v>
          </cell>
          <cell r="D187">
            <v>276</v>
          </cell>
        </row>
        <row r="188">
          <cell r="A188" t="str">
            <v>7245 ВЕТЧ.ФИЛЕЙНАЯ ПМ п/о 0,4кг 8шт ОСТАНКИНО</v>
          </cell>
          <cell r="D188">
            <v>26</v>
          </cell>
        </row>
        <row r="189">
          <cell r="A189" t="str">
            <v>7255 МЯСНЫЕ С ГОВЯД. ПМ сос п/о мгс 0,4кг 6шт.  ОСТАНКИНО</v>
          </cell>
          <cell r="D189">
            <v>7</v>
          </cell>
        </row>
        <row r="190">
          <cell r="A190" t="str">
            <v>7271 МЯСНЫЕ С ГОВЯДИНОЙ ПМ сос п/о мгс 1.5*4 ВЕС  ОСТАНКИНО</v>
          </cell>
          <cell r="D190">
            <v>50.832000000000001</v>
          </cell>
        </row>
        <row r="191">
          <cell r="A191" t="str">
            <v>7284 ДЛЯ ДЕТЕЙ сос п/о мгс 0,33кг 6шт  ОСТАНКИНО</v>
          </cell>
          <cell r="D191">
            <v>22</v>
          </cell>
        </row>
        <row r="192">
          <cell r="A192" t="str">
            <v>7299 НАБОР ДЛЯ ПИЦЦЫ Папа может с/к в/у  ОСТАНКИНО</v>
          </cell>
          <cell r="D192">
            <v>2.46</v>
          </cell>
        </row>
        <row r="193">
          <cell r="A193" t="str">
            <v>7332 БОЯРСКАЯ ПМ п/к в/у 0.28кг_СНГ  ОСТАНКИНО</v>
          </cell>
          <cell r="D193">
            <v>13</v>
          </cell>
        </row>
        <row r="194">
          <cell r="A194" t="str">
            <v>7333 СЕРВЕЛАТ ОХОТНИЧИЙ ПМ в/к в/у 0.28кг_СНГ  ОСТАНКИНО</v>
          </cell>
          <cell r="D194">
            <v>14</v>
          </cell>
        </row>
        <row r="195">
          <cell r="A195" t="str">
            <v>7343 СЕЙЧАС СЕЗОН ПМ вар п/о 0,4кг  ОСТАНКИНО</v>
          </cell>
          <cell r="D195">
            <v>290</v>
          </cell>
        </row>
        <row r="196">
          <cell r="A196" t="str">
            <v>8950 Масло сливочное ПАПА МОЖЕТ 72,5%, фас. в фольгу, 180гр  ОСТАНКИНО</v>
          </cell>
          <cell r="D196">
            <v>87</v>
          </cell>
        </row>
        <row r="197">
          <cell r="A197" t="str">
            <v>8967 Масло "Папа может" 82,5% 180гр  ОСТАНКИНО</v>
          </cell>
          <cell r="D197">
            <v>90</v>
          </cell>
        </row>
        <row r="198">
          <cell r="A198" t="str">
            <v>Балык говяжий с/к "Эликатессе" 0,10 кг.шт. нарезка (лоток с ср.защ.атм.)  СПК</v>
          </cell>
          <cell r="D198">
            <v>5</v>
          </cell>
        </row>
        <row r="199">
          <cell r="A199" t="str">
            <v>Балыковая с/к 200 гр. срез "Эликатессе" термоформ.пак.  СПК</v>
          </cell>
          <cell r="D199">
            <v>13</v>
          </cell>
        </row>
        <row r="200">
          <cell r="A200" t="str">
            <v>БОНУС МОЛОЧНЫЕ КЛАССИЧЕСКИЕ сос п/о в/у 0.3кг (6084)  ОСТАНКИНО</v>
          </cell>
          <cell r="D200">
            <v>11</v>
          </cell>
        </row>
        <row r="201">
          <cell r="A201" t="str">
            <v>БОНУС СОЧНЫЕ Папа может сос п/о мгс 1.5*4 (6954)  ОСТАНКИНО</v>
          </cell>
          <cell r="D201">
            <v>25.931999999999999</v>
          </cell>
        </row>
        <row r="202">
          <cell r="A202" t="str">
            <v>БОНУС СОЧНЫЕ сос п/о мгс 0.41кг_UZ (6087)  ОСТАНКИНО</v>
          </cell>
          <cell r="D202">
            <v>27</v>
          </cell>
        </row>
        <row r="203">
          <cell r="A203" t="str">
            <v>Вацлавская п/к (черева) 390 гр.шт. термоус.пак  СПК</v>
          </cell>
          <cell r="D203">
            <v>1</v>
          </cell>
        </row>
        <row r="204">
          <cell r="A204" t="str">
            <v>Готовые бельмеши сочные с мясом ТМ Горячая штучка 0,3кг зам  ПОКОМ</v>
          </cell>
          <cell r="D204">
            <v>63</v>
          </cell>
        </row>
        <row r="205">
          <cell r="A205" t="str">
            <v>Готовые чебупели острые с мясом 0,24кг ТМ Горячая штучка  ПОКОМ</v>
          </cell>
          <cell r="D205">
            <v>79</v>
          </cell>
        </row>
        <row r="206">
          <cell r="A206" t="str">
            <v>Готовые чебупели с ветчиной и сыром ТМ Горячая штучка флоу-пак 0,24 кг.  ПОКОМ</v>
          </cell>
          <cell r="D206">
            <v>365</v>
          </cell>
        </row>
        <row r="207">
          <cell r="A207" t="str">
            <v>Готовые чебупели сочные с мясом ТМ Горячая штучка флоу-пак 0,24 кг  ПОКОМ</v>
          </cell>
          <cell r="D207">
            <v>392</v>
          </cell>
        </row>
        <row r="208">
          <cell r="A208" t="str">
            <v>Готовые чебуреки с мясом ТМ Горячая штучка 0,09 кг флоу-пак ПОКОМ</v>
          </cell>
          <cell r="D208">
            <v>90</v>
          </cell>
        </row>
        <row r="209">
          <cell r="A209" t="str">
            <v>Гуцульская с/к "КолбасГрад" 160 гр.шт. термоус. пак  СПК</v>
          </cell>
          <cell r="D209">
            <v>7</v>
          </cell>
        </row>
        <row r="210">
          <cell r="A210" t="str">
            <v>Дельгаро с/в "Эликатессе" 140 гр.шт.  СПК</v>
          </cell>
          <cell r="D210">
            <v>15</v>
          </cell>
        </row>
        <row r="211">
          <cell r="A211" t="str">
            <v>Деревенская с чесночком и сальцем п/к (черева) 390 гр.шт. термоус. пак.  СПК</v>
          </cell>
          <cell r="D211">
            <v>25</v>
          </cell>
        </row>
        <row r="212">
          <cell r="A212" t="str">
            <v>Докторская вареная в/с 0,47 кг шт.  СПК</v>
          </cell>
          <cell r="D212">
            <v>1</v>
          </cell>
        </row>
        <row r="213">
          <cell r="A213" t="str">
            <v>Докторская вареная вес. (белк.об.) термоус.пак.  СПК</v>
          </cell>
          <cell r="D213">
            <v>8.8800000000000008</v>
          </cell>
        </row>
        <row r="214">
          <cell r="A214" t="str">
            <v>Докторская вареная термоус.пак. "Высокий вкус"  СПК</v>
          </cell>
          <cell r="D214">
            <v>6.085</v>
          </cell>
        </row>
        <row r="215">
          <cell r="A215" t="str">
            <v>ЖАР-ладушки с мясом 0,2кг ТМ Стародворье  ПОКОМ</v>
          </cell>
          <cell r="D215">
            <v>84</v>
          </cell>
        </row>
        <row r="216">
          <cell r="A216" t="str">
            <v>ЖАР-ладушки с яблоком и грушей ТМ Стародворье 0,2 кг. ПОКОМ</v>
          </cell>
          <cell r="D216">
            <v>3</v>
          </cell>
        </row>
        <row r="217">
          <cell r="A217" t="str">
            <v>Жареные вареники с картофелем и беконом Добросельские 0,2 кг. ТМ Стародворье  ПОКОМ</v>
          </cell>
          <cell r="D217">
            <v>55</v>
          </cell>
        </row>
        <row r="218">
          <cell r="A218" t="str">
            <v>Карбонад Юбилейный термоус.пак.  СПК</v>
          </cell>
          <cell r="D218">
            <v>2.3239999999999998</v>
          </cell>
        </row>
        <row r="219">
          <cell r="A219" t="str">
            <v>Классическая с/к 80 гр.шт.нар. (лоток с ср.защ.атм.)  СПК</v>
          </cell>
          <cell r="D219">
            <v>59</v>
          </cell>
        </row>
        <row r="220">
          <cell r="A220" t="str">
            <v>Колбаски Мяснули оригинальные с/к 50 гр.шт. (в ср.защ.атм.)  СПК</v>
          </cell>
          <cell r="D220">
            <v>5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120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93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9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172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332</v>
          </cell>
        </row>
        <row r="226">
          <cell r="A226" t="str">
            <v>Ла Фаворте с/в "Эликатессе" 140 гр.шт.  СПК</v>
          </cell>
          <cell r="D226">
            <v>34</v>
          </cell>
        </row>
        <row r="227">
          <cell r="A227" t="str">
            <v>Ливерная Печеночная 250 гр.шт.  СПК</v>
          </cell>
          <cell r="D227">
            <v>4</v>
          </cell>
        </row>
        <row r="228">
          <cell r="A228" t="str">
            <v>Любительская вареная термоус.пак. "Высокий вкус"  СПК</v>
          </cell>
          <cell r="D228">
            <v>43.131999999999998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62.901000000000003</v>
          </cell>
        </row>
        <row r="230">
          <cell r="A230" t="str">
            <v>Мини-чебуречки с мясом ВЕС 5,5кг ТМ Зареченские  ПОКОМ</v>
          </cell>
          <cell r="D230">
            <v>5.5</v>
          </cell>
        </row>
        <row r="231">
          <cell r="A231" t="str">
            <v>Мини-шарики с курочкой и сыром ТМ Зареченские ВЕС  ПОКОМ</v>
          </cell>
          <cell r="D231">
            <v>135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496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366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422</v>
          </cell>
        </row>
        <row r="235">
          <cell r="A235" t="str">
            <v>Наггетсы с куриным филе и сыром ТМ Вязанка 0,25 кг ПОКОМ</v>
          </cell>
          <cell r="D235">
            <v>440</v>
          </cell>
        </row>
        <row r="236">
          <cell r="A236" t="str">
            <v>Наггетсы Хрустящие ТМ Зареченские. ВЕС ПОКОМ</v>
          </cell>
          <cell r="D236">
            <v>366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92</v>
          </cell>
        </row>
        <row r="238">
          <cell r="A238" t="str">
            <v>Оригинальная с перцем с/к  СПК</v>
          </cell>
          <cell r="D238">
            <v>27.597999999999999</v>
          </cell>
        </row>
        <row r="239">
          <cell r="A239" t="str">
            <v>Паштет печеночный 140 гр.шт.  СПК</v>
          </cell>
          <cell r="D239">
            <v>1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86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103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223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42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303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306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219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23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380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226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283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388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308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781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49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36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131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95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145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221</v>
          </cell>
        </row>
        <row r="260">
          <cell r="A260" t="str">
            <v>Пельмени Сочные сфера 0,8 кг ТМ Стародворье  ПОКОМ</v>
          </cell>
          <cell r="D260">
            <v>12</v>
          </cell>
        </row>
        <row r="261">
          <cell r="A261" t="str">
            <v>Пирожки с мясом 3,7кг ВЕС ТМ Зареченские  ПОКОМ</v>
          </cell>
          <cell r="D261">
            <v>25.9</v>
          </cell>
        </row>
        <row r="262">
          <cell r="A262" t="str">
            <v>Ричеза с/к 230 гр.шт.  СПК</v>
          </cell>
          <cell r="D262">
            <v>14</v>
          </cell>
        </row>
        <row r="263">
          <cell r="A263" t="str">
            <v>Сальчетти с/к 230 гр.шт.  СПК</v>
          </cell>
          <cell r="D263">
            <v>21</v>
          </cell>
        </row>
        <row r="264">
          <cell r="A264" t="str">
            <v>Салями с перчиком с/к "КолбасГрад" 160 гр.шт. термоус. пак.  СПК</v>
          </cell>
          <cell r="D264">
            <v>15</v>
          </cell>
        </row>
        <row r="265">
          <cell r="A265" t="str">
            <v>Салями с/к 100 гр.шт.нар. (лоток с ср.защ.атм.)  СПК</v>
          </cell>
          <cell r="D265">
            <v>66</v>
          </cell>
        </row>
        <row r="266">
          <cell r="A266" t="str">
            <v>Салями Трюфель с/в "Эликатессе" 0,16 кг.шт.  СПК</v>
          </cell>
          <cell r="D266">
            <v>7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25.481999999999999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7.194</v>
          </cell>
        </row>
        <row r="269">
          <cell r="A269" t="str">
            <v>Сардельки Необыкновенные (черева) 400 гр.шт. (лоток с ср.защ.атм.)  СПК</v>
          </cell>
          <cell r="D269">
            <v>3</v>
          </cell>
        </row>
        <row r="270">
          <cell r="A270" t="str">
            <v>Семейная с чесночком Экстра вареная  СПК</v>
          </cell>
          <cell r="D270">
            <v>2.3780000000000001</v>
          </cell>
        </row>
        <row r="271">
          <cell r="A271" t="str">
            <v>Сервелат Европейский в/к, в/с 0,38 кг.шт.термофор.пак  СПК</v>
          </cell>
          <cell r="D271">
            <v>1</v>
          </cell>
        </row>
        <row r="272">
          <cell r="A272" t="str">
            <v>Сервелат мелкозернистый в/к 0,5 кг.шт. термоус.пак. "Высокий вкус"  СПК</v>
          </cell>
          <cell r="D272">
            <v>5</v>
          </cell>
        </row>
        <row r="273">
          <cell r="A273" t="str">
            <v>Сервелат Финский в/к 0,38 кг.шт. термофор.пак.  СПК</v>
          </cell>
          <cell r="D273">
            <v>1</v>
          </cell>
        </row>
        <row r="274">
          <cell r="A274" t="str">
            <v>Сервелат Фирменный в/к 0,10 кг.шт. нарезка (лоток с ср.защ.атм.)  СПК</v>
          </cell>
          <cell r="D274">
            <v>37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20</v>
          </cell>
        </row>
        <row r="276">
          <cell r="A276" t="str">
            <v>Сибирская особая с/к 0,235 кг шт.  СПК</v>
          </cell>
          <cell r="D276">
            <v>15</v>
          </cell>
        </row>
        <row r="277">
          <cell r="A277" t="str">
            <v>Сосиски "Баварские" 0,36 кг.шт. вак.упак.  СПК</v>
          </cell>
          <cell r="D277">
            <v>2</v>
          </cell>
        </row>
        <row r="278">
          <cell r="A278" t="str">
            <v>Сосиски "Молочные" 0,36 кг.шт. вак.упак.  СПК</v>
          </cell>
          <cell r="D278">
            <v>2</v>
          </cell>
        </row>
        <row r="279">
          <cell r="A279" t="str">
            <v>Сосиски Классические (в ср.защ.атм.) СПК</v>
          </cell>
          <cell r="D279">
            <v>2.4820000000000002</v>
          </cell>
        </row>
        <row r="280">
          <cell r="A280" t="str">
            <v>Сосиски Мусульманские "Просто выгодно" (в ср.защ.атм.)  СПК</v>
          </cell>
          <cell r="D280">
            <v>2.5590000000000002</v>
          </cell>
        </row>
        <row r="281">
          <cell r="A281" t="str">
            <v>Сосиски Хот-дог подкопченные (лоток с ср.защ.атм.)  СПК</v>
          </cell>
          <cell r="D281">
            <v>7.3819999999999997</v>
          </cell>
        </row>
        <row r="282">
          <cell r="A282" t="str">
            <v>Сочный мегачебурек ТМ Зареченские ВЕС ПОКОМ</v>
          </cell>
          <cell r="D282">
            <v>13.44</v>
          </cell>
        </row>
        <row r="283">
          <cell r="A283" t="str">
            <v>Уши свиные копченые к пиву 0,15кг нар. д/ф шт.  СПК</v>
          </cell>
          <cell r="D283">
            <v>6</v>
          </cell>
        </row>
        <row r="284">
          <cell r="A284" t="str">
            <v>Фестивальная пора с/к 100 гр.шт.нар. (лоток с ср.защ.атм.)  СПК</v>
          </cell>
          <cell r="D284">
            <v>26</v>
          </cell>
        </row>
        <row r="285">
          <cell r="A285" t="str">
            <v>Фестивальная пора с/к 235 гр.шт.  СПК</v>
          </cell>
          <cell r="D285">
            <v>88</v>
          </cell>
        </row>
        <row r="286">
          <cell r="A286" t="str">
            <v>Фестивальная пора с/к термоус.пак  СПК</v>
          </cell>
          <cell r="D286">
            <v>2.9279999999999999</v>
          </cell>
        </row>
        <row r="287">
          <cell r="A287" t="str">
            <v>Фирменная с/к 200 гр. срез "Эликатессе" термоформ.пак.  СПК</v>
          </cell>
          <cell r="D287">
            <v>29</v>
          </cell>
        </row>
        <row r="288">
          <cell r="A288" t="str">
            <v>Фуэт с/в "Эликатессе" 160 гр.шт.  СПК</v>
          </cell>
          <cell r="D288">
            <v>25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79</v>
          </cell>
        </row>
        <row r="290">
          <cell r="A290" t="str">
            <v>Хотстеры с сыром 0,25кг ТМ Горячая штучка  ПОКОМ</v>
          </cell>
          <cell r="D290">
            <v>131</v>
          </cell>
        </row>
        <row r="291">
          <cell r="A291" t="str">
            <v>Хотстеры ТМ Горячая штучка ТС Хотстеры 0,25 кг зам  ПОКОМ</v>
          </cell>
          <cell r="D291">
            <v>424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177</v>
          </cell>
        </row>
        <row r="293">
          <cell r="A293" t="str">
            <v>Хрустящие крылышки ТМ Горячая штучка 0,3 кг зам  ПОКОМ</v>
          </cell>
          <cell r="D293">
            <v>165</v>
          </cell>
        </row>
        <row r="294">
          <cell r="A294" t="str">
            <v>Чебупели Курочка гриль ТМ Горячая штучка, 0,3 кг зам  ПОКОМ</v>
          </cell>
          <cell r="D294">
            <v>45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488</v>
          </cell>
        </row>
        <row r="296">
          <cell r="A296" t="str">
            <v>Чебупицца Маргарита 0,2кг ТМ Горячая штучка ТС Foodgital  ПОКОМ</v>
          </cell>
          <cell r="D296">
            <v>70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930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78</v>
          </cell>
        </row>
        <row r="299">
          <cell r="A299" t="str">
            <v>Чебуреки Мясные вес 2,7 кг ТМ Зареченские ВЕС ПОКОМ</v>
          </cell>
          <cell r="D299">
            <v>5</v>
          </cell>
        </row>
        <row r="300">
          <cell r="A300" t="str">
            <v>Чебуреки сочные ВЕС ТМ Зареченские  ПОКОМ</v>
          </cell>
          <cell r="D300">
            <v>210</v>
          </cell>
        </row>
        <row r="301">
          <cell r="A301" t="str">
            <v>Шпикачки Русские (черева) (в ср.защ.атм.) "Высокий вкус"  СПК</v>
          </cell>
          <cell r="D301">
            <v>12.930999999999999</v>
          </cell>
        </row>
        <row r="302">
          <cell r="A302" t="str">
            <v>Эликапреза с/в "Эликатессе" 85 гр.шт. нарезка (лоток с ср.защ.атм.)  СПК</v>
          </cell>
          <cell r="D302">
            <v>22</v>
          </cell>
        </row>
        <row r="303">
          <cell r="A303" t="str">
            <v>Юбилейная с/к 0,235 кг.шт.  СПК</v>
          </cell>
          <cell r="D303">
            <v>120</v>
          </cell>
        </row>
        <row r="304">
          <cell r="A304" t="str">
            <v>Итого</v>
          </cell>
          <cell r="D304">
            <v>57988.04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12.11.2025 - 18.11.2025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150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1500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702</v>
          </cell>
        </row>
        <row r="10">
          <cell r="A10" t="str">
            <v xml:space="preserve"> 201  Ветчина Нежная ТМ Особый рецепт, (2,5кг), ПОКОМ</v>
          </cell>
          <cell r="D10">
            <v>104.943</v>
          </cell>
        </row>
        <row r="11">
          <cell r="A11" t="str">
            <v xml:space="preserve"> 272  Колбаса Сервелат Филедворский, фиброуз, в/у 0,35 кг срез,  ПОКОМ</v>
          </cell>
          <cell r="D11">
            <v>972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654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4000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600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1500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654</v>
          </cell>
        </row>
        <row r="17">
          <cell r="A17" t="str">
            <v xml:space="preserve"> 412  Сосиски Баварские ТМ Стародворье 0,35 кг ПОКОМ</v>
          </cell>
          <cell r="D17">
            <v>4500</v>
          </cell>
        </row>
        <row r="18">
          <cell r="A18" t="str">
            <v xml:space="preserve"> 456  Колбаса Филейная ТМ Особый рецепт ВЕС большой батон  ПОКОМ</v>
          </cell>
          <cell r="D18">
            <v>88.531999999999996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89.093000000000004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900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300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18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600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960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360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600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240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360</v>
          </cell>
        </row>
        <row r="29">
          <cell r="A29" t="str">
            <v>Наггетсы с куриным филе и сыром ТМ Вязанка 0,25 кг ПОКОМ</v>
          </cell>
          <cell r="D29">
            <v>720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600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700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1300</v>
          </cell>
        </row>
        <row r="33">
          <cell r="A33" t="str">
            <v>Хотстеры ТМ Горячая штучка ТС Хотстеры 0,25 кг зам  ПОКОМ</v>
          </cell>
          <cell r="D33">
            <v>840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840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1800</v>
          </cell>
        </row>
        <row r="36">
          <cell r="A36" t="str">
            <v>Итого</v>
          </cell>
          <cell r="D36">
            <v>26652.567999999999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5" sqref="AO5"/>
    </sheetView>
  </sheetViews>
  <sheetFormatPr defaultColWidth="10.5" defaultRowHeight="11.45" customHeight="1" outlineLevelRow="1" x14ac:dyDescent="0.2"/>
  <cols>
    <col min="1" max="1" width="67" style="1" customWidth="1"/>
    <col min="2" max="2" width="4.1640625" style="1" customWidth="1"/>
    <col min="3" max="6" width="7.6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2" width="6.5" style="5" customWidth="1"/>
    <col min="13" max="19" width="1" style="5" customWidth="1"/>
    <col min="20" max="20" width="6.1640625" style="5" bestFit="1" customWidth="1"/>
    <col min="21" max="21" width="0.66406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5" style="5" customWidth="1"/>
    <col min="26" max="26" width="5.6640625" style="5" bestFit="1" customWidth="1"/>
    <col min="27" max="28" width="0.83203125" style="5" customWidth="1"/>
    <col min="29" max="34" width="6.6640625" style="5" bestFit="1" customWidth="1"/>
    <col min="35" max="35" width="7.6640625" style="5" customWidth="1"/>
    <col min="36" max="36" width="5.6640625" style="5" bestFit="1" customWidth="1"/>
    <col min="37" max="38" width="6.6640625" style="5" bestFit="1" customWidth="1"/>
    <col min="39" max="40" width="1.83203125" style="5" customWidth="1"/>
    <col min="41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>
      <c r="AK3" s="1" t="s">
        <v>136</v>
      </c>
      <c r="AL3" s="1" t="s">
        <v>137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  <c r="AK4" s="11" t="s">
        <v>127</v>
      </c>
      <c r="AL4" s="11" t="s">
        <v>127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128</v>
      </c>
      <c r="T5" s="14" t="s">
        <v>129</v>
      </c>
      <c r="V5" s="14" t="s">
        <v>129</v>
      </c>
      <c r="X5" s="14" t="s">
        <v>130</v>
      </c>
      <c r="AD5" s="5" t="s">
        <v>131</v>
      </c>
      <c r="AE5" s="5" t="s">
        <v>132</v>
      </c>
      <c r="AF5" s="14" t="s">
        <v>133</v>
      </c>
      <c r="AG5" s="14" t="s">
        <v>134</v>
      </c>
      <c r="AH5" s="14" t="s">
        <v>135</v>
      </c>
      <c r="AJ5" s="14" t="s">
        <v>119</v>
      </c>
      <c r="AK5" s="14" t="s">
        <v>129</v>
      </c>
      <c r="AL5" s="14" t="s">
        <v>130</v>
      </c>
    </row>
    <row r="6" spans="1:40" ht="11.1" customHeight="1" x14ac:dyDescent="0.2">
      <c r="A6" s="6"/>
      <c r="B6" s="6"/>
      <c r="C6" s="3"/>
      <c r="D6" s="3"/>
      <c r="E6" s="12">
        <f>SUM(E7:E156)</f>
        <v>140372.927</v>
      </c>
      <c r="F6" s="12">
        <f>SUM(F7:F156)</f>
        <v>96704.894999999975</v>
      </c>
      <c r="J6" s="12">
        <f>SUM(J7:J156)</f>
        <v>141764.155</v>
      </c>
      <c r="K6" s="12">
        <f t="shared" ref="K6:X6" si="0">SUM(K7:K156)</f>
        <v>-1391.228000000001</v>
      </c>
      <c r="L6" s="12">
        <f t="shared" si="0"/>
        <v>27550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5978</v>
      </c>
      <c r="U6" s="12">
        <f t="shared" si="0"/>
        <v>0</v>
      </c>
      <c r="V6" s="12">
        <f t="shared" si="0"/>
        <v>23430</v>
      </c>
      <c r="W6" s="12">
        <f t="shared" si="0"/>
        <v>24728.071799999998</v>
      </c>
      <c r="X6" s="12">
        <f t="shared" si="0"/>
        <v>28240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16732.567999999999</v>
      </c>
      <c r="AD6" s="12">
        <f t="shared" ref="AD6" si="4">SUM(AD7:AD156)</f>
        <v>24520.541999999998</v>
      </c>
      <c r="AE6" s="12">
        <f t="shared" ref="AE6" si="5">SUM(AE7:AE156)</f>
        <v>24315.114600000001</v>
      </c>
      <c r="AF6" s="12">
        <f t="shared" ref="AF6" si="6">SUM(AF7:AF156)</f>
        <v>26444.387800000008</v>
      </c>
      <c r="AG6" s="12">
        <f t="shared" ref="AG6" si="7">SUM(AG7:AG156)</f>
        <v>24884.171199999997</v>
      </c>
      <c r="AH6" s="12">
        <f t="shared" ref="AH6" si="8">SUM(AH7:AH156)</f>
        <v>28052.607999999997</v>
      </c>
      <c r="AI6" s="12"/>
      <c r="AJ6" s="12">
        <f t="shared" ref="AJ6" si="9">SUM(AJ7:AJ156)</f>
        <v>2633</v>
      </c>
      <c r="AK6" s="12">
        <f t="shared" ref="AK6" si="10">SUM(AK7:AK156)</f>
        <v>14709.55</v>
      </c>
      <c r="AL6" s="12">
        <f t="shared" ref="AL6" si="11">SUM(AL7:AL156)</f>
        <v>17533.599999999999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716.17100000000005</v>
      </c>
      <c r="D7" s="8">
        <v>450.65899999999999</v>
      </c>
      <c r="E7" s="8">
        <v>473.03899999999999</v>
      </c>
      <c r="F7" s="8">
        <v>678.99099999999999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474.83300000000003</v>
      </c>
      <c r="K7" s="13">
        <f>E7-J7</f>
        <v>-1.7940000000000396</v>
      </c>
      <c r="L7" s="13">
        <f>VLOOKUP(A:A,[1]TDSheet!$A:$X,24,0)</f>
        <v>50</v>
      </c>
      <c r="M7" s="13"/>
      <c r="N7" s="13"/>
      <c r="O7" s="13"/>
      <c r="P7" s="13"/>
      <c r="Q7" s="13"/>
      <c r="R7" s="13"/>
      <c r="S7" s="13"/>
      <c r="T7" s="13"/>
      <c r="U7" s="13"/>
      <c r="V7" s="15">
        <v>100</v>
      </c>
      <c r="W7" s="13">
        <f>(E7-AC7)/5</f>
        <v>94.607799999999997</v>
      </c>
      <c r="X7" s="15">
        <v>100</v>
      </c>
      <c r="Y7" s="16">
        <f>(F7+L7+V7+X7)/W7</f>
        <v>9.8193912129866678</v>
      </c>
      <c r="Z7" s="13">
        <f>F7/W7</f>
        <v>7.1769029614894331</v>
      </c>
      <c r="AA7" s="13"/>
      <c r="AB7" s="13"/>
      <c r="AC7" s="13">
        <v>0</v>
      </c>
      <c r="AD7" s="13">
        <f>VLOOKUP(A:A,[1]TDSheet!$A:$AE,31,0)</f>
        <v>84.582799999999992</v>
      </c>
      <c r="AE7" s="13">
        <f>VLOOKUP(A:A,[1]TDSheet!$A:$AF,32,0)</f>
        <v>87.911199999999994</v>
      </c>
      <c r="AF7" s="13">
        <f>VLOOKUP(A:A,[1]TDSheet!$A:$AG,33,0)</f>
        <v>94.776800000000009</v>
      </c>
      <c r="AG7" s="13">
        <f>VLOOKUP(A:A,[1]TDSheet!$A:$W,23,0)</f>
        <v>87.2042</v>
      </c>
      <c r="AH7" s="13">
        <f>VLOOKUP(A:A,[3]TDSheet!$A:$D,4,0)</f>
        <v>130.68199999999999</v>
      </c>
      <c r="AI7" s="13" t="str">
        <f>VLOOKUP(A:A,[1]TDSheet!$A:$AI,35,0)</f>
        <v>нояяб</v>
      </c>
      <c r="AJ7" s="13">
        <f>T7*H7</f>
        <v>0</v>
      </c>
      <c r="AK7" s="13">
        <f>V7*H7</f>
        <v>100</v>
      </c>
      <c r="AL7" s="13">
        <f>X7*H7</f>
        <v>100</v>
      </c>
      <c r="AM7" s="13"/>
      <c r="AN7" s="13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403.83300000000003</v>
      </c>
      <c r="D8" s="8">
        <v>2267.172</v>
      </c>
      <c r="E8" s="8">
        <v>1409.173</v>
      </c>
      <c r="F8" s="8">
        <v>1233.3420000000001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1419.797</v>
      </c>
      <c r="K8" s="13">
        <f t="shared" ref="K8:K71" si="12">E8-J8</f>
        <v>-10.624000000000024</v>
      </c>
      <c r="L8" s="13">
        <f>VLOOKUP(A:A,[1]TDSheet!$A:$X,24,0)</f>
        <v>150</v>
      </c>
      <c r="M8" s="13"/>
      <c r="N8" s="13"/>
      <c r="O8" s="13"/>
      <c r="P8" s="13"/>
      <c r="Q8" s="13"/>
      <c r="R8" s="13"/>
      <c r="S8" s="13"/>
      <c r="T8" s="13"/>
      <c r="U8" s="13"/>
      <c r="V8" s="15">
        <v>250</v>
      </c>
      <c r="W8" s="13">
        <f t="shared" ref="W8:W71" si="13">(E8-AC8)/5</f>
        <v>281.83460000000002</v>
      </c>
      <c r="X8" s="15">
        <v>320</v>
      </c>
      <c r="Y8" s="16">
        <f t="shared" ref="Y8:Y71" si="14">(F8+L8+V8+X8)/W8</f>
        <v>6.930809772824202</v>
      </c>
      <c r="Z8" s="13">
        <f t="shared" ref="Z8:Z71" si="15">F8/W8</f>
        <v>4.3761198944345372</v>
      </c>
      <c r="AA8" s="13"/>
      <c r="AB8" s="13"/>
      <c r="AC8" s="13">
        <v>0</v>
      </c>
      <c r="AD8" s="13">
        <f>VLOOKUP(A:A,[1]TDSheet!$A:$AE,31,0)</f>
        <v>100.5042</v>
      </c>
      <c r="AE8" s="13">
        <f>VLOOKUP(A:A,[1]TDSheet!$A:$AF,32,0)</f>
        <v>119.49480000000001</v>
      </c>
      <c r="AF8" s="13">
        <f>VLOOKUP(A:A,[1]TDSheet!$A:$AG,33,0)</f>
        <v>323.37479999999999</v>
      </c>
      <c r="AG8" s="13">
        <f>VLOOKUP(A:A,[1]TDSheet!$A:$W,23,0)</f>
        <v>273.2912</v>
      </c>
      <c r="AH8" s="13">
        <f>VLOOKUP(A:A,[3]TDSheet!$A:$D,4,0)</f>
        <v>273.85000000000002</v>
      </c>
      <c r="AI8" s="13" t="str">
        <f>VLOOKUP(A:A,[1]TDSheet!$A:$AI,35,0)</f>
        <v>жц</v>
      </c>
      <c r="AJ8" s="13">
        <f t="shared" ref="AJ8:AJ71" si="16">T8*H8</f>
        <v>0</v>
      </c>
      <c r="AK8" s="13">
        <f t="shared" ref="AK8:AK71" si="17">V8*H8</f>
        <v>250</v>
      </c>
      <c r="AL8" s="13">
        <f t="shared" ref="AL8:AL71" si="18">X8*H8</f>
        <v>320</v>
      </c>
      <c r="AM8" s="13"/>
      <c r="AN8" s="13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687.81700000000001</v>
      </c>
      <c r="D9" s="8">
        <v>2385.8980000000001</v>
      </c>
      <c r="E9" s="8">
        <v>1593.5619999999999</v>
      </c>
      <c r="F9" s="8">
        <v>1454.5909999999999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1615.575</v>
      </c>
      <c r="K9" s="13">
        <f t="shared" si="12"/>
        <v>-22.013000000000147</v>
      </c>
      <c r="L9" s="13">
        <f>VLOOKUP(A:A,[1]TDSheet!$A:$X,24,0)</f>
        <v>300</v>
      </c>
      <c r="M9" s="13"/>
      <c r="N9" s="13"/>
      <c r="O9" s="13"/>
      <c r="P9" s="13"/>
      <c r="Q9" s="13"/>
      <c r="R9" s="13"/>
      <c r="S9" s="13"/>
      <c r="T9" s="13"/>
      <c r="U9" s="13"/>
      <c r="V9" s="15">
        <v>100</v>
      </c>
      <c r="W9" s="13">
        <f t="shared" si="13"/>
        <v>318.7124</v>
      </c>
      <c r="X9" s="15">
        <v>360</v>
      </c>
      <c r="Y9" s="16">
        <f t="shared" si="14"/>
        <v>6.9485561277189083</v>
      </c>
      <c r="Z9" s="13">
        <f t="shared" si="15"/>
        <v>4.563961113530568</v>
      </c>
      <c r="AA9" s="13"/>
      <c r="AB9" s="13"/>
      <c r="AC9" s="13">
        <v>0</v>
      </c>
      <c r="AD9" s="13">
        <f>VLOOKUP(A:A,[1]TDSheet!$A:$AE,31,0)</f>
        <v>415.6112</v>
      </c>
      <c r="AE9" s="13">
        <f>VLOOKUP(A:A,[1]TDSheet!$A:$AF,32,0)</f>
        <v>431.65020000000004</v>
      </c>
      <c r="AF9" s="13">
        <f>VLOOKUP(A:A,[1]TDSheet!$A:$AG,33,0)</f>
        <v>369.14879999999999</v>
      </c>
      <c r="AG9" s="13">
        <f>VLOOKUP(A:A,[1]TDSheet!$A:$W,23,0)</f>
        <v>355.94439999999997</v>
      </c>
      <c r="AH9" s="13">
        <f>VLOOKUP(A:A,[3]TDSheet!$A:$D,4,0)</f>
        <v>325.88299999999998</v>
      </c>
      <c r="AI9" s="13" t="str">
        <f>VLOOKUP(A:A,[1]TDSheet!$A:$AI,35,0)</f>
        <v>оконч</v>
      </c>
      <c r="AJ9" s="13">
        <f t="shared" si="16"/>
        <v>0</v>
      </c>
      <c r="AK9" s="13">
        <f t="shared" si="17"/>
        <v>100</v>
      </c>
      <c r="AL9" s="13">
        <f t="shared" si="18"/>
        <v>360</v>
      </c>
      <c r="AM9" s="13"/>
      <c r="AN9" s="13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477</v>
      </c>
      <c r="D10" s="8">
        <v>3204</v>
      </c>
      <c r="E10" s="8">
        <v>2243</v>
      </c>
      <c r="F10" s="8">
        <v>1407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2261</v>
      </c>
      <c r="K10" s="13">
        <f t="shared" si="12"/>
        <v>-18</v>
      </c>
      <c r="L10" s="13">
        <f>VLOOKUP(A:A,[1]TDSheet!$A:$X,24,0)</f>
        <v>350</v>
      </c>
      <c r="M10" s="13"/>
      <c r="N10" s="13"/>
      <c r="O10" s="13"/>
      <c r="P10" s="13"/>
      <c r="Q10" s="13"/>
      <c r="R10" s="13"/>
      <c r="S10" s="13"/>
      <c r="T10" s="13">
        <v>500</v>
      </c>
      <c r="U10" s="13"/>
      <c r="V10" s="15">
        <v>600</v>
      </c>
      <c r="W10" s="13">
        <f t="shared" si="13"/>
        <v>418.6</v>
      </c>
      <c r="X10" s="15">
        <v>550</v>
      </c>
      <c r="Y10" s="16">
        <f t="shared" si="14"/>
        <v>6.944577161968466</v>
      </c>
      <c r="Z10" s="13">
        <f t="shared" si="15"/>
        <v>3.3612040133779262</v>
      </c>
      <c r="AA10" s="13"/>
      <c r="AB10" s="13"/>
      <c r="AC10" s="13">
        <f>VLOOKUP(A:A,[4]TDSheet!$A:$D,4,0)</f>
        <v>150</v>
      </c>
      <c r="AD10" s="13">
        <f>VLOOKUP(A:A,[1]TDSheet!$A:$AE,31,0)</f>
        <v>444.2</v>
      </c>
      <c r="AE10" s="13">
        <f>VLOOKUP(A:A,[1]TDSheet!$A:$AF,32,0)</f>
        <v>402.2</v>
      </c>
      <c r="AF10" s="13">
        <f>VLOOKUP(A:A,[1]TDSheet!$A:$AG,33,0)</f>
        <v>397.6</v>
      </c>
      <c r="AG10" s="13">
        <f>VLOOKUP(A:A,[1]TDSheet!$A:$W,23,0)</f>
        <v>395.8</v>
      </c>
      <c r="AH10" s="13">
        <f>VLOOKUP(A:A,[3]TDSheet!$A:$D,4,0)</f>
        <v>557</v>
      </c>
      <c r="AI10" s="13" t="str">
        <f>VLOOKUP(A:A,[1]TDSheet!$A:$AI,35,0)</f>
        <v>оконч</v>
      </c>
      <c r="AJ10" s="13">
        <f t="shared" si="16"/>
        <v>200</v>
      </c>
      <c r="AK10" s="13">
        <f t="shared" si="17"/>
        <v>240</v>
      </c>
      <c r="AL10" s="13">
        <f t="shared" si="18"/>
        <v>220</v>
      </c>
      <c r="AM10" s="13"/>
      <c r="AN10" s="13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1663</v>
      </c>
      <c r="D11" s="8">
        <v>6002</v>
      </c>
      <c r="E11" s="8">
        <v>5082</v>
      </c>
      <c r="F11" s="8">
        <v>2528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5116</v>
      </c>
      <c r="K11" s="13">
        <f t="shared" si="12"/>
        <v>-34</v>
      </c>
      <c r="L11" s="13">
        <f>VLOOKUP(A:A,[1]TDSheet!$A:$X,24,0)</f>
        <v>1100</v>
      </c>
      <c r="M11" s="13"/>
      <c r="N11" s="13"/>
      <c r="O11" s="13"/>
      <c r="P11" s="13"/>
      <c r="Q11" s="13"/>
      <c r="R11" s="13"/>
      <c r="S11" s="13"/>
      <c r="T11" s="13">
        <v>804</v>
      </c>
      <c r="U11" s="13"/>
      <c r="V11" s="15">
        <v>500</v>
      </c>
      <c r="W11" s="13">
        <f t="shared" si="13"/>
        <v>716.4</v>
      </c>
      <c r="X11" s="15">
        <v>850</v>
      </c>
      <c r="Y11" s="16">
        <f t="shared" si="14"/>
        <v>6.9486320491345621</v>
      </c>
      <c r="Z11" s="13">
        <f t="shared" si="15"/>
        <v>3.5287548855388051</v>
      </c>
      <c r="AA11" s="13"/>
      <c r="AB11" s="13"/>
      <c r="AC11" s="13">
        <f>VLOOKUP(A:A,[4]TDSheet!$A:$D,4,0)</f>
        <v>1500</v>
      </c>
      <c r="AD11" s="13">
        <f>VLOOKUP(A:A,[1]TDSheet!$A:$AE,31,0)</f>
        <v>882.6</v>
      </c>
      <c r="AE11" s="13">
        <f>VLOOKUP(A:A,[1]TDSheet!$A:$AF,32,0)</f>
        <v>795.6</v>
      </c>
      <c r="AF11" s="13">
        <f>VLOOKUP(A:A,[1]TDSheet!$A:$AG,33,0)</f>
        <v>785.4</v>
      </c>
      <c r="AG11" s="13">
        <f>VLOOKUP(A:A,[1]TDSheet!$A:$W,23,0)</f>
        <v>732.8</v>
      </c>
      <c r="AH11" s="13">
        <f>VLOOKUP(A:A,[3]TDSheet!$A:$D,4,0)</f>
        <v>755</v>
      </c>
      <c r="AI11" s="13" t="str">
        <f>VLOOKUP(A:A,[1]TDSheet!$A:$AI,35,0)</f>
        <v>продноя</v>
      </c>
      <c r="AJ11" s="13">
        <f t="shared" si="16"/>
        <v>361.8</v>
      </c>
      <c r="AK11" s="13">
        <f t="shared" si="17"/>
        <v>225</v>
      </c>
      <c r="AL11" s="13">
        <f t="shared" si="18"/>
        <v>382.5</v>
      </c>
      <c r="AM11" s="13"/>
      <c r="AN11" s="13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897</v>
      </c>
      <c r="D12" s="8">
        <v>6706</v>
      </c>
      <c r="E12" s="8">
        <v>4130</v>
      </c>
      <c r="F12" s="8">
        <v>3410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4177</v>
      </c>
      <c r="K12" s="13">
        <f t="shared" si="12"/>
        <v>-47</v>
      </c>
      <c r="L12" s="13">
        <f>VLOOKUP(A:A,[1]TDSheet!$A:$X,24,0)</f>
        <v>700</v>
      </c>
      <c r="M12" s="13"/>
      <c r="N12" s="13"/>
      <c r="O12" s="13"/>
      <c r="P12" s="13"/>
      <c r="Q12" s="13"/>
      <c r="R12" s="13"/>
      <c r="S12" s="13"/>
      <c r="T12" s="13"/>
      <c r="U12" s="13"/>
      <c r="V12" s="15">
        <v>200</v>
      </c>
      <c r="W12" s="13">
        <f t="shared" si="13"/>
        <v>685.6</v>
      </c>
      <c r="X12" s="15">
        <v>450</v>
      </c>
      <c r="Y12" s="16">
        <f t="shared" si="14"/>
        <v>6.942823803967328</v>
      </c>
      <c r="Z12" s="13">
        <f t="shared" si="15"/>
        <v>4.9737456242707117</v>
      </c>
      <c r="AA12" s="13"/>
      <c r="AB12" s="13"/>
      <c r="AC12" s="13">
        <f>VLOOKUP(A:A,[4]TDSheet!$A:$D,4,0)</f>
        <v>702</v>
      </c>
      <c r="AD12" s="13">
        <f>VLOOKUP(A:A,[1]TDSheet!$A:$AE,31,0)</f>
        <v>644.20000000000005</v>
      </c>
      <c r="AE12" s="13">
        <f>VLOOKUP(A:A,[1]TDSheet!$A:$AF,32,0)</f>
        <v>649.4</v>
      </c>
      <c r="AF12" s="13">
        <f>VLOOKUP(A:A,[1]TDSheet!$A:$AG,33,0)</f>
        <v>807.8</v>
      </c>
      <c r="AG12" s="13">
        <f>VLOOKUP(A:A,[1]TDSheet!$A:$W,23,0)</f>
        <v>763.4</v>
      </c>
      <c r="AH12" s="13">
        <f>VLOOKUP(A:A,[3]TDSheet!$A:$D,4,0)</f>
        <v>837</v>
      </c>
      <c r="AI12" s="13" t="str">
        <f>VLOOKUP(A:A,[1]TDSheet!$A:$AI,35,0)</f>
        <v>нояяб</v>
      </c>
      <c r="AJ12" s="13">
        <f t="shared" si="16"/>
        <v>0</v>
      </c>
      <c r="AK12" s="13">
        <f t="shared" si="17"/>
        <v>90</v>
      </c>
      <c r="AL12" s="13">
        <f t="shared" si="18"/>
        <v>202.5</v>
      </c>
      <c r="AM12" s="13"/>
      <c r="AN12" s="13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43</v>
      </c>
      <c r="D13" s="8">
        <v>102</v>
      </c>
      <c r="E13" s="8">
        <v>59</v>
      </c>
      <c r="F13" s="8">
        <v>86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59</v>
      </c>
      <c r="K13" s="13">
        <f t="shared" si="12"/>
        <v>0</v>
      </c>
      <c r="L13" s="13">
        <f>VLOOKUP(A:A,[1]TDSheet!$A:$X,24,0)</f>
        <v>0</v>
      </c>
      <c r="M13" s="13"/>
      <c r="N13" s="13"/>
      <c r="O13" s="13"/>
      <c r="P13" s="13"/>
      <c r="Q13" s="13"/>
      <c r="R13" s="13"/>
      <c r="S13" s="13"/>
      <c r="T13" s="13"/>
      <c r="U13" s="13"/>
      <c r="V13" s="15"/>
      <c r="W13" s="13">
        <f t="shared" si="13"/>
        <v>11.8</v>
      </c>
      <c r="X13" s="15">
        <v>20</v>
      </c>
      <c r="Y13" s="16">
        <f t="shared" si="14"/>
        <v>8.9830508474576263</v>
      </c>
      <c r="Z13" s="13">
        <f t="shared" si="15"/>
        <v>7.2881355932203382</v>
      </c>
      <c r="AA13" s="13"/>
      <c r="AB13" s="13"/>
      <c r="AC13" s="13">
        <v>0</v>
      </c>
      <c r="AD13" s="13">
        <f>VLOOKUP(A:A,[1]TDSheet!$A:$AE,31,0)</f>
        <v>12</v>
      </c>
      <c r="AE13" s="13">
        <f>VLOOKUP(A:A,[1]TDSheet!$A:$AF,32,0)</f>
        <v>14.6</v>
      </c>
      <c r="AF13" s="13">
        <f>VLOOKUP(A:A,[1]TDSheet!$A:$AG,33,0)</f>
        <v>19.399999999999999</v>
      </c>
      <c r="AG13" s="13">
        <f>VLOOKUP(A:A,[1]TDSheet!$A:$W,23,0)</f>
        <v>12.8</v>
      </c>
      <c r="AH13" s="13">
        <f>VLOOKUP(A:A,[3]TDSheet!$A:$D,4,0)</f>
        <v>11</v>
      </c>
      <c r="AI13" s="13">
        <f>VLOOKUP(A:A,[1]TDSheet!$A:$AI,35,0)</f>
        <v>0</v>
      </c>
      <c r="AJ13" s="13">
        <f t="shared" si="16"/>
        <v>0</v>
      </c>
      <c r="AK13" s="13">
        <f t="shared" si="17"/>
        <v>0</v>
      </c>
      <c r="AL13" s="13">
        <f t="shared" si="18"/>
        <v>8</v>
      </c>
      <c r="AM13" s="13"/>
      <c r="AN13" s="13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402</v>
      </c>
      <c r="D14" s="8">
        <v>516</v>
      </c>
      <c r="E14" s="8">
        <v>306</v>
      </c>
      <c r="F14" s="8">
        <v>609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310</v>
      </c>
      <c r="K14" s="13">
        <f t="shared" si="12"/>
        <v>-4</v>
      </c>
      <c r="L14" s="13">
        <f>VLOOKUP(A:A,[1]TDSheet!$A:$X,24,0)</f>
        <v>0</v>
      </c>
      <c r="M14" s="13"/>
      <c r="N14" s="13"/>
      <c r="O14" s="13"/>
      <c r="P14" s="13"/>
      <c r="Q14" s="13"/>
      <c r="R14" s="13"/>
      <c r="S14" s="13"/>
      <c r="T14" s="13"/>
      <c r="U14" s="13"/>
      <c r="V14" s="15"/>
      <c r="W14" s="13">
        <f t="shared" si="13"/>
        <v>61.2</v>
      </c>
      <c r="X14" s="15"/>
      <c r="Y14" s="16">
        <f t="shared" si="14"/>
        <v>9.9509803921568629</v>
      </c>
      <c r="Z14" s="13">
        <f t="shared" si="15"/>
        <v>9.9509803921568629</v>
      </c>
      <c r="AA14" s="13"/>
      <c r="AB14" s="13"/>
      <c r="AC14" s="13">
        <v>0</v>
      </c>
      <c r="AD14" s="13">
        <f>VLOOKUP(A:A,[1]TDSheet!$A:$AE,31,0)</f>
        <v>55.2</v>
      </c>
      <c r="AE14" s="13">
        <f>VLOOKUP(A:A,[1]TDSheet!$A:$AF,32,0)</f>
        <v>60.4</v>
      </c>
      <c r="AF14" s="13">
        <f>VLOOKUP(A:A,[1]TDSheet!$A:$AG,33,0)</f>
        <v>77</v>
      </c>
      <c r="AG14" s="13">
        <f>VLOOKUP(A:A,[1]TDSheet!$A:$W,23,0)</f>
        <v>68.599999999999994</v>
      </c>
      <c r="AH14" s="13">
        <f>VLOOKUP(A:A,[3]TDSheet!$A:$D,4,0)</f>
        <v>86</v>
      </c>
      <c r="AI14" s="13">
        <f>VLOOKUP(A:A,[1]TDSheet!$A:$AI,35,0)</f>
        <v>0</v>
      </c>
      <c r="AJ14" s="13">
        <f t="shared" si="16"/>
        <v>0</v>
      </c>
      <c r="AK14" s="13">
        <f t="shared" si="17"/>
        <v>0</v>
      </c>
      <c r="AL14" s="13">
        <f t="shared" si="18"/>
        <v>0</v>
      </c>
      <c r="AM14" s="13"/>
      <c r="AN14" s="13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136</v>
      </c>
      <c r="D15" s="8">
        <v>498</v>
      </c>
      <c r="E15" s="8">
        <v>363</v>
      </c>
      <c r="F15" s="8">
        <v>265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370</v>
      </c>
      <c r="K15" s="13">
        <f t="shared" si="12"/>
        <v>-7</v>
      </c>
      <c r="L15" s="13">
        <f>VLOOKUP(A:A,[1]TDSheet!$A:$X,24,0)</f>
        <v>60</v>
      </c>
      <c r="M15" s="13"/>
      <c r="N15" s="13"/>
      <c r="O15" s="13"/>
      <c r="P15" s="13"/>
      <c r="Q15" s="13"/>
      <c r="R15" s="13"/>
      <c r="S15" s="13"/>
      <c r="T15" s="13"/>
      <c r="U15" s="13"/>
      <c r="V15" s="15">
        <v>90</v>
      </c>
      <c r="W15" s="13">
        <f t="shared" si="13"/>
        <v>72.599999999999994</v>
      </c>
      <c r="X15" s="15">
        <v>90</v>
      </c>
      <c r="Y15" s="16">
        <f t="shared" si="14"/>
        <v>6.9559228650137745</v>
      </c>
      <c r="Z15" s="13">
        <f t="shared" si="15"/>
        <v>3.6501377410468323</v>
      </c>
      <c r="AA15" s="13"/>
      <c r="AB15" s="13"/>
      <c r="AC15" s="13">
        <v>0</v>
      </c>
      <c r="AD15" s="13">
        <f>VLOOKUP(A:A,[1]TDSheet!$A:$AE,31,0)</f>
        <v>76.2</v>
      </c>
      <c r="AE15" s="13">
        <f>VLOOKUP(A:A,[1]TDSheet!$A:$AF,32,0)</f>
        <v>80.599999999999994</v>
      </c>
      <c r="AF15" s="13">
        <f>VLOOKUP(A:A,[1]TDSheet!$A:$AG,33,0)</f>
        <v>81.400000000000006</v>
      </c>
      <c r="AG15" s="13">
        <f>VLOOKUP(A:A,[1]TDSheet!$A:$W,23,0)</f>
        <v>68</v>
      </c>
      <c r="AH15" s="13">
        <f>VLOOKUP(A:A,[3]TDSheet!$A:$D,4,0)</f>
        <v>69</v>
      </c>
      <c r="AI15" s="13">
        <f>VLOOKUP(A:A,[1]TDSheet!$A:$AI,35,0)</f>
        <v>0</v>
      </c>
      <c r="AJ15" s="13">
        <f t="shared" si="16"/>
        <v>0</v>
      </c>
      <c r="AK15" s="13">
        <f t="shared" si="17"/>
        <v>27</v>
      </c>
      <c r="AL15" s="13">
        <f t="shared" si="18"/>
        <v>27</v>
      </c>
      <c r="AM15" s="13"/>
      <c r="AN15" s="13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2084</v>
      </c>
      <c r="D16" s="8">
        <v>2041</v>
      </c>
      <c r="E16" s="8">
        <v>1310</v>
      </c>
      <c r="F16" s="8">
        <v>2793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1354</v>
      </c>
      <c r="K16" s="13">
        <f t="shared" si="12"/>
        <v>-44</v>
      </c>
      <c r="L16" s="13">
        <f>VLOOKUP(A:A,[1]TDSheet!$A:$X,24,0)</f>
        <v>0</v>
      </c>
      <c r="M16" s="13"/>
      <c r="N16" s="13"/>
      <c r="O16" s="13"/>
      <c r="P16" s="13"/>
      <c r="Q16" s="13"/>
      <c r="R16" s="13"/>
      <c r="S16" s="13"/>
      <c r="T16" s="13"/>
      <c r="U16" s="13"/>
      <c r="V16" s="15"/>
      <c r="W16" s="13">
        <f t="shared" si="13"/>
        <v>262</v>
      </c>
      <c r="X16" s="15"/>
      <c r="Y16" s="16">
        <f t="shared" si="14"/>
        <v>10.66030534351145</v>
      </c>
      <c r="Z16" s="13">
        <f t="shared" si="15"/>
        <v>10.66030534351145</v>
      </c>
      <c r="AA16" s="13"/>
      <c r="AB16" s="13"/>
      <c r="AC16" s="13">
        <v>0</v>
      </c>
      <c r="AD16" s="13">
        <f>VLOOKUP(A:A,[1]TDSheet!$A:$AE,31,0)</f>
        <v>268.60000000000002</v>
      </c>
      <c r="AE16" s="13">
        <f>VLOOKUP(A:A,[1]TDSheet!$A:$AF,32,0)</f>
        <v>272</v>
      </c>
      <c r="AF16" s="13">
        <f>VLOOKUP(A:A,[1]TDSheet!$A:$AG,33,0)</f>
        <v>335.6</v>
      </c>
      <c r="AG16" s="13">
        <f>VLOOKUP(A:A,[1]TDSheet!$A:$W,23,0)</f>
        <v>268.2</v>
      </c>
      <c r="AH16" s="13">
        <f>VLOOKUP(A:A,[3]TDSheet!$A:$D,4,0)</f>
        <v>304</v>
      </c>
      <c r="AI16" s="13">
        <f>VLOOKUP(A:A,[1]TDSheet!$A:$AI,35,0)</f>
        <v>0</v>
      </c>
      <c r="AJ16" s="13">
        <f t="shared" si="16"/>
        <v>0</v>
      </c>
      <c r="AK16" s="13">
        <f t="shared" si="17"/>
        <v>0</v>
      </c>
      <c r="AL16" s="13">
        <f t="shared" si="18"/>
        <v>0</v>
      </c>
      <c r="AM16" s="13"/>
      <c r="AN16" s="13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579</v>
      </c>
      <c r="D17" s="8">
        <v>355</v>
      </c>
      <c r="E17" s="8">
        <v>334</v>
      </c>
      <c r="F17" s="8">
        <v>587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338</v>
      </c>
      <c r="K17" s="13">
        <f t="shared" si="12"/>
        <v>-4</v>
      </c>
      <c r="L17" s="13">
        <f>VLOOKUP(A:A,[1]TDSheet!$A:$X,24,0)</f>
        <v>0</v>
      </c>
      <c r="M17" s="13"/>
      <c r="N17" s="13"/>
      <c r="O17" s="13"/>
      <c r="P17" s="13"/>
      <c r="Q17" s="13"/>
      <c r="R17" s="13"/>
      <c r="S17" s="13"/>
      <c r="T17" s="13"/>
      <c r="U17" s="13"/>
      <c r="V17" s="15">
        <v>50</v>
      </c>
      <c r="W17" s="13">
        <f t="shared" si="13"/>
        <v>66.8</v>
      </c>
      <c r="X17" s="15">
        <v>40</v>
      </c>
      <c r="Y17" s="16">
        <f t="shared" si="14"/>
        <v>10.134730538922156</v>
      </c>
      <c r="Z17" s="13">
        <f t="shared" si="15"/>
        <v>8.7874251497005993</v>
      </c>
      <c r="AA17" s="13"/>
      <c r="AB17" s="13"/>
      <c r="AC17" s="13">
        <v>0</v>
      </c>
      <c r="AD17" s="13">
        <f>VLOOKUP(A:A,[1]TDSheet!$A:$AE,31,0)</f>
        <v>48.8</v>
      </c>
      <c r="AE17" s="13">
        <f>VLOOKUP(A:A,[1]TDSheet!$A:$AF,32,0)</f>
        <v>70</v>
      </c>
      <c r="AF17" s="13">
        <f>VLOOKUP(A:A,[1]TDSheet!$A:$AG,33,0)</f>
        <v>73.400000000000006</v>
      </c>
      <c r="AG17" s="13">
        <f>VLOOKUP(A:A,[1]TDSheet!$A:$W,23,0)</f>
        <v>64.2</v>
      </c>
      <c r="AH17" s="13">
        <f>VLOOKUP(A:A,[3]TDSheet!$A:$D,4,0)</f>
        <v>61</v>
      </c>
      <c r="AI17" s="13" t="str">
        <f>VLOOKUP(A:A,[1]TDSheet!$A:$AI,35,0)</f>
        <v>нояяб</v>
      </c>
      <c r="AJ17" s="13">
        <f t="shared" si="16"/>
        <v>0</v>
      </c>
      <c r="AK17" s="13">
        <f t="shared" si="17"/>
        <v>17.5</v>
      </c>
      <c r="AL17" s="13">
        <f t="shared" si="18"/>
        <v>14</v>
      </c>
      <c r="AM17" s="13"/>
      <c r="AN17" s="13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78</v>
      </c>
      <c r="D18" s="8">
        <v>152</v>
      </c>
      <c r="E18" s="8">
        <v>100</v>
      </c>
      <c r="F18" s="8">
        <v>128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102</v>
      </c>
      <c r="K18" s="13">
        <f t="shared" si="12"/>
        <v>-2</v>
      </c>
      <c r="L18" s="13">
        <f>VLOOKUP(A:A,[1]TDSheet!$A:$X,24,0)</f>
        <v>0</v>
      </c>
      <c r="M18" s="13"/>
      <c r="N18" s="13"/>
      <c r="O18" s="13"/>
      <c r="P18" s="13"/>
      <c r="Q18" s="13"/>
      <c r="R18" s="13"/>
      <c r="S18" s="13"/>
      <c r="T18" s="13"/>
      <c r="U18" s="13"/>
      <c r="V18" s="15"/>
      <c r="W18" s="13">
        <f t="shared" si="13"/>
        <v>20</v>
      </c>
      <c r="X18" s="15">
        <v>20</v>
      </c>
      <c r="Y18" s="16">
        <f t="shared" si="14"/>
        <v>7.4</v>
      </c>
      <c r="Z18" s="13">
        <f t="shared" si="15"/>
        <v>6.4</v>
      </c>
      <c r="AA18" s="13"/>
      <c r="AB18" s="13"/>
      <c r="AC18" s="13">
        <v>0</v>
      </c>
      <c r="AD18" s="13">
        <f>VLOOKUP(A:A,[1]TDSheet!$A:$AE,31,0)</f>
        <v>21.6</v>
      </c>
      <c r="AE18" s="13">
        <f>VLOOKUP(A:A,[1]TDSheet!$A:$AF,32,0)</f>
        <v>17.8</v>
      </c>
      <c r="AF18" s="13">
        <f>VLOOKUP(A:A,[1]TDSheet!$A:$AG,33,0)</f>
        <v>27.2</v>
      </c>
      <c r="AG18" s="13">
        <f>VLOOKUP(A:A,[1]TDSheet!$A:$W,23,0)</f>
        <v>15.8</v>
      </c>
      <c r="AH18" s="13">
        <f>VLOOKUP(A:A,[3]TDSheet!$A:$D,4,0)</f>
        <v>23</v>
      </c>
      <c r="AI18" s="13">
        <f>VLOOKUP(A:A,[1]TDSheet!$A:$AI,35,0)</f>
        <v>0</v>
      </c>
      <c r="AJ18" s="13">
        <f t="shared" si="16"/>
        <v>0</v>
      </c>
      <c r="AK18" s="13">
        <f t="shared" si="17"/>
        <v>0</v>
      </c>
      <c r="AL18" s="13">
        <f t="shared" si="18"/>
        <v>7</v>
      </c>
      <c r="AM18" s="13"/>
      <c r="AN18" s="13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275</v>
      </c>
      <c r="D19" s="8">
        <v>471</v>
      </c>
      <c r="E19" s="8">
        <v>455</v>
      </c>
      <c r="F19" s="8">
        <v>288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457</v>
      </c>
      <c r="K19" s="13">
        <f t="shared" si="12"/>
        <v>-2</v>
      </c>
      <c r="L19" s="13">
        <f>VLOOKUP(A:A,[1]TDSheet!$A:$X,24,0)</f>
        <v>100</v>
      </c>
      <c r="M19" s="13"/>
      <c r="N19" s="13"/>
      <c r="O19" s="13"/>
      <c r="P19" s="13"/>
      <c r="Q19" s="13"/>
      <c r="R19" s="13"/>
      <c r="S19" s="13"/>
      <c r="T19" s="13"/>
      <c r="U19" s="13"/>
      <c r="V19" s="15">
        <v>140</v>
      </c>
      <c r="W19" s="13">
        <f t="shared" si="13"/>
        <v>91</v>
      </c>
      <c r="X19" s="15">
        <v>100</v>
      </c>
      <c r="Y19" s="16">
        <f t="shared" si="14"/>
        <v>6.9010989010989015</v>
      </c>
      <c r="Z19" s="13">
        <f t="shared" si="15"/>
        <v>3.1648351648351647</v>
      </c>
      <c r="AA19" s="13"/>
      <c r="AB19" s="13"/>
      <c r="AC19" s="13">
        <v>0</v>
      </c>
      <c r="AD19" s="13">
        <f>VLOOKUP(A:A,[1]TDSheet!$A:$AE,31,0)</f>
        <v>27.8</v>
      </c>
      <c r="AE19" s="13">
        <f>VLOOKUP(A:A,[1]TDSheet!$A:$AF,32,0)</f>
        <v>28.8</v>
      </c>
      <c r="AF19" s="13">
        <f>VLOOKUP(A:A,[1]TDSheet!$A:$AG,33,0)</f>
        <v>85.8</v>
      </c>
      <c r="AG19" s="13">
        <f>VLOOKUP(A:A,[1]TDSheet!$A:$W,23,0)</f>
        <v>75</v>
      </c>
      <c r="AH19" s="13">
        <f>VLOOKUP(A:A,[3]TDSheet!$A:$D,4,0)</f>
        <v>86</v>
      </c>
      <c r="AI19" s="13" t="str">
        <f>VLOOKUP(A:A,[1]TDSheet!$A:$AI,35,0)</f>
        <v>ак лид-сос</v>
      </c>
      <c r="AJ19" s="13">
        <f t="shared" si="16"/>
        <v>0</v>
      </c>
      <c r="AK19" s="13">
        <f t="shared" si="17"/>
        <v>49</v>
      </c>
      <c r="AL19" s="13">
        <f t="shared" si="18"/>
        <v>35</v>
      </c>
      <c r="AM19" s="13"/>
      <c r="AN19" s="13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338</v>
      </c>
      <c r="D20" s="8">
        <v>572</v>
      </c>
      <c r="E20" s="8">
        <v>580</v>
      </c>
      <c r="F20" s="8">
        <v>316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589</v>
      </c>
      <c r="K20" s="13">
        <f t="shared" si="12"/>
        <v>-9</v>
      </c>
      <c r="L20" s="13">
        <f>VLOOKUP(A:A,[1]TDSheet!$A:$X,24,0)</f>
        <v>300</v>
      </c>
      <c r="M20" s="13"/>
      <c r="N20" s="13"/>
      <c r="O20" s="13"/>
      <c r="P20" s="13"/>
      <c r="Q20" s="13"/>
      <c r="R20" s="13"/>
      <c r="S20" s="13"/>
      <c r="T20" s="13"/>
      <c r="U20" s="13"/>
      <c r="V20" s="15">
        <v>100</v>
      </c>
      <c r="W20" s="13">
        <f t="shared" si="13"/>
        <v>116</v>
      </c>
      <c r="X20" s="15">
        <v>100</v>
      </c>
      <c r="Y20" s="16">
        <f t="shared" si="14"/>
        <v>7.0344827586206895</v>
      </c>
      <c r="Z20" s="13">
        <f t="shared" si="15"/>
        <v>2.7241379310344827</v>
      </c>
      <c r="AA20" s="13"/>
      <c r="AB20" s="13"/>
      <c r="AC20" s="13">
        <v>0</v>
      </c>
      <c r="AD20" s="13">
        <f>VLOOKUP(A:A,[1]TDSheet!$A:$AE,31,0)</f>
        <v>99.8</v>
      </c>
      <c r="AE20" s="13">
        <f>VLOOKUP(A:A,[1]TDSheet!$A:$AF,32,0)</f>
        <v>105</v>
      </c>
      <c r="AF20" s="13">
        <f>VLOOKUP(A:A,[1]TDSheet!$A:$AG,33,0)</f>
        <v>111.2</v>
      </c>
      <c r="AG20" s="13">
        <f>VLOOKUP(A:A,[1]TDSheet!$A:$W,23,0)</f>
        <v>115.8</v>
      </c>
      <c r="AH20" s="13">
        <f>VLOOKUP(A:A,[3]TDSheet!$A:$D,4,0)</f>
        <v>114</v>
      </c>
      <c r="AI20" s="13" t="str">
        <f>VLOOKUP(A:A,[1]TDSheet!$A:$AI,35,0)</f>
        <v>продноя</v>
      </c>
      <c r="AJ20" s="13">
        <f t="shared" si="16"/>
        <v>0</v>
      </c>
      <c r="AK20" s="13">
        <f t="shared" si="17"/>
        <v>35</v>
      </c>
      <c r="AL20" s="13">
        <f t="shared" si="18"/>
        <v>35</v>
      </c>
      <c r="AM20" s="13"/>
      <c r="AN20" s="13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193.852</v>
      </c>
      <c r="D21" s="8">
        <v>931.64200000000005</v>
      </c>
      <c r="E21" s="8">
        <v>646.75900000000001</v>
      </c>
      <c r="F21" s="8">
        <v>474.31599999999997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629.26499999999999</v>
      </c>
      <c r="K21" s="13">
        <f t="shared" si="12"/>
        <v>17.494000000000028</v>
      </c>
      <c r="L21" s="13">
        <f>VLOOKUP(A:A,[1]TDSheet!$A:$X,24,0)</f>
        <v>130</v>
      </c>
      <c r="M21" s="13"/>
      <c r="N21" s="13"/>
      <c r="O21" s="13"/>
      <c r="P21" s="13"/>
      <c r="Q21" s="13"/>
      <c r="R21" s="13"/>
      <c r="S21" s="13"/>
      <c r="T21" s="13"/>
      <c r="U21" s="13"/>
      <c r="V21" s="15">
        <v>130</v>
      </c>
      <c r="W21" s="13">
        <f t="shared" si="13"/>
        <v>129.3518</v>
      </c>
      <c r="X21" s="15">
        <v>160</v>
      </c>
      <c r="Y21" s="16">
        <f t="shared" si="14"/>
        <v>6.9138272525005453</v>
      </c>
      <c r="Z21" s="13">
        <f t="shared" si="15"/>
        <v>3.6668681842850273</v>
      </c>
      <c r="AA21" s="13"/>
      <c r="AB21" s="13"/>
      <c r="AC21" s="13">
        <v>0</v>
      </c>
      <c r="AD21" s="13">
        <f>VLOOKUP(A:A,[1]TDSheet!$A:$AE,31,0)</f>
        <v>129.5308</v>
      </c>
      <c r="AE21" s="13">
        <f>VLOOKUP(A:A,[1]TDSheet!$A:$AF,32,0)</f>
        <v>120.2912</v>
      </c>
      <c r="AF21" s="13">
        <f>VLOOKUP(A:A,[1]TDSheet!$A:$AG,33,0)</f>
        <v>114.94680000000001</v>
      </c>
      <c r="AG21" s="13">
        <f>VLOOKUP(A:A,[1]TDSheet!$A:$W,23,0)</f>
        <v>128.3184</v>
      </c>
      <c r="AH21" s="13">
        <f>VLOOKUP(A:A,[3]TDSheet!$A:$D,4,0)</f>
        <v>125.325</v>
      </c>
      <c r="AI21" s="13">
        <f>VLOOKUP(A:A,[1]TDSheet!$A:$AI,35,0)</f>
        <v>0</v>
      </c>
      <c r="AJ21" s="13">
        <f t="shared" si="16"/>
        <v>0</v>
      </c>
      <c r="AK21" s="13">
        <f t="shared" si="17"/>
        <v>130</v>
      </c>
      <c r="AL21" s="13">
        <f t="shared" si="18"/>
        <v>160</v>
      </c>
      <c r="AM21" s="13"/>
      <c r="AN21" s="13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3261.8389999999999</v>
      </c>
      <c r="D22" s="8">
        <v>5416.0550000000003</v>
      </c>
      <c r="E22" s="8">
        <v>5609.7560000000003</v>
      </c>
      <c r="F22" s="8">
        <v>3030.6210000000001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5674.375</v>
      </c>
      <c r="K22" s="13">
        <f t="shared" si="12"/>
        <v>-64.618999999999687</v>
      </c>
      <c r="L22" s="13">
        <f>VLOOKUP(A:A,[1]TDSheet!$A:$X,24,0)</f>
        <v>1500</v>
      </c>
      <c r="M22" s="13"/>
      <c r="N22" s="13"/>
      <c r="O22" s="13"/>
      <c r="P22" s="13"/>
      <c r="Q22" s="13"/>
      <c r="R22" s="13"/>
      <c r="S22" s="13"/>
      <c r="T22" s="13">
        <v>150</v>
      </c>
      <c r="U22" s="13"/>
      <c r="V22" s="15">
        <v>1700</v>
      </c>
      <c r="W22" s="13">
        <f t="shared" si="13"/>
        <v>1100.9626000000001</v>
      </c>
      <c r="X22" s="15">
        <v>1400</v>
      </c>
      <c r="Y22" s="16">
        <f t="shared" si="14"/>
        <v>6.9308630465739709</v>
      </c>
      <c r="Z22" s="13">
        <f t="shared" si="15"/>
        <v>2.7527011362602143</v>
      </c>
      <c r="AA22" s="13"/>
      <c r="AB22" s="13"/>
      <c r="AC22" s="13">
        <f>VLOOKUP(A:A,[4]TDSheet!$A:$D,4,0)</f>
        <v>104.943</v>
      </c>
      <c r="AD22" s="13">
        <f>VLOOKUP(A:A,[1]TDSheet!$A:$AE,31,0)</f>
        <v>984.81000000000006</v>
      </c>
      <c r="AE22" s="13">
        <f>VLOOKUP(A:A,[1]TDSheet!$A:$AF,32,0)</f>
        <v>1017.8922</v>
      </c>
      <c r="AF22" s="13">
        <f>VLOOKUP(A:A,[1]TDSheet!$A:$AG,33,0)</f>
        <v>958.80060000000014</v>
      </c>
      <c r="AG22" s="13">
        <f>VLOOKUP(A:A,[1]TDSheet!$A:$W,23,0)</f>
        <v>996.44439999999997</v>
      </c>
      <c r="AH22" s="13">
        <f>VLOOKUP(A:A,[3]TDSheet!$A:$D,4,0)</f>
        <v>1201.4179999999999</v>
      </c>
      <c r="AI22" s="13" t="str">
        <f>VLOOKUP(A:A,[1]TDSheet!$A:$AI,35,0)</f>
        <v>нояяб</v>
      </c>
      <c r="AJ22" s="13">
        <f t="shared" si="16"/>
        <v>150</v>
      </c>
      <c r="AK22" s="13">
        <f t="shared" si="17"/>
        <v>1700</v>
      </c>
      <c r="AL22" s="13">
        <f t="shared" si="18"/>
        <v>1400</v>
      </c>
      <c r="AM22" s="13"/>
      <c r="AN22" s="13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72.545000000000002</v>
      </c>
      <c r="D23" s="8">
        <v>528.89300000000003</v>
      </c>
      <c r="E23" s="8">
        <v>315.245</v>
      </c>
      <c r="F23" s="8">
        <v>275.58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309.92899999999997</v>
      </c>
      <c r="K23" s="13">
        <f t="shared" si="12"/>
        <v>5.3160000000000309</v>
      </c>
      <c r="L23" s="13">
        <f>VLOOKUP(A:A,[1]TDSheet!$A:$X,24,0)</f>
        <v>60</v>
      </c>
      <c r="M23" s="13"/>
      <c r="N23" s="13"/>
      <c r="O23" s="13"/>
      <c r="P23" s="13"/>
      <c r="Q23" s="13"/>
      <c r="R23" s="13"/>
      <c r="S23" s="13"/>
      <c r="T23" s="13"/>
      <c r="U23" s="13"/>
      <c r="V23" s="15">
        <v>50</v>
      </c>
      <c r="W23" s="13">
        <f t="shared" si="13"/>
        <v>63.048999999999999</v>
      </c>
      <c r="X23" s="15">
        <v>60</v>
      </c>
      <c r="Y23" s="16">
        <f t="shared" si="14"/>
        <v>7.0672017002648735</v>
      </c>
      <c r="Z23" s="13">
        <f t="shared" si="15"/>
        <v>4.3708861361797968</v>
      </c>
      <c r="AA23" s="13"/>
      <c r="AB23" s="13"/>
      <c r="AC23" s="13">
        <v>0</v>
      </c>
      <c r="AD23" s="13">
        <f>VLOOKUP(A:A,[1]TDSheet!$A:$AE,31,0)</f>
        <v>66.6798</v>
      </c>
      <c r="AE23" s="13">
        <f>VLOOKUP(A:A,[1]TDSheet!$A:$AF,32,0)</f>
        <v>68.246200000000002</v>
      </c>
      <c r="AF23" s="13">
        <f>VLOOKUP(A:A,[1]TDSheet!$A:$AG,33,0)</f>
        <v>62.67</v>
      </c>
      <c r="AG23" s="13">
        <f>VLOOKUP(A:A,[1]TDSheet!$A:$W,23,0)</f>
        <v>67.574399999999997</v>
      </c>
      <c r="AH23" s="13">
        <f>VLOOKUP(A:A,[3]TDSheet!$A:$D,4,0)</f>
        <v>91.787000000000006</v>
      </c>
      <c r="AI23" s="13">
        <f>VLOOKUP(A:A,[1]TDSheet!$A:$AI,35,0)</f>
        <v>0</v>
      </c>
      <c r="AJ23" s="13">
        <f t="shared" si="16"/>
        <v>0</v>
      </c>
      <c r="AK23" s="13">
        <f t="shared" si="17"/>
        <v>50</v>
      </c>
      <c r="AL23" s="13">
        <f t="shared" si="18"/>
        <v>60</v>
      </c>
      <c r="AM23" s="13"/>
      <c r="AN23" s="13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101.508</v>
      </c>
      <c r="D24" s="8">
        <v>12.694000000000001</v>
      </c>
      <c r="E24" s="8">
        <v>132.191</v>
      </c>
      <c r="F24" s="8">
        <v>-17.989000000000001</v>
      </c>
      <c r="G24" s="1">
        <f>VLOOKUP(A:A,[1]TDSheet!$A:$G,7,0)</f>
        <v>0</v>
      </c>
      <c r="H24" s="19">
        <v>0</v>
      </c>
      <c r="I24" s="1">
        <f>VLOOKUP(A:A,[1]TDSheet!$A:$I,9,0)</f>
        <v>60</v>
      </c>
      <c r="J24" s="13">
        <f>VLOOKUP(A:A,[2]TDSheet!$A:$F,6,0)</f>
        <v>303.3</v>
      </c>
      <c r="K24" s="13">
        <f t="shared" si="12"/>
        <v>-171.10900000000001</v>
      </c>
      <c r="L24" s="18">
        <v>0</v>
      </c>
      <c r="M24" s="13"/>
      <c r="N24" s="13"/>
      <c r="O24" s="13"/>
      <c r="P24" s="13"/>
      <c r="Q24" s="13"/>
      <c r="R24" s="13"/>
      <c r="S24" s="13"/>
      <c r="T24" s="13"/>
      <c r="U24" s="13"/>
      <c r="V24" s="15"/>
      <c r="W24" s="13">
        <f t="shared" si="13"/>
        <v>26.438200000000002</v>
      </c>
      <c r="X24" s="15"/>
      <c r="Y24" s="16">
        <f t="shared" si="14"/>
        <v>-0.6804169724111323</v>
      </c>
      <c r="Z24" s="13">
        <f t="shared" si="15"/>
        <v>-0.6804169724111323</v>
      </c>
      <c r="AA24" s="13"/>
      <c r="AB24" s="13"/>
      <c r="AC24" s="13">
        <v>0</v>
      </c>
      <c r="AD24" s="13">
        <f>VLOOKUP(A:A,[1]TDSheet!$A:$AE,31,0)</f>
        <v>431.96559999999999</v>
      </c>
      <c r="AE24" s="13">
        <f>VLOOKUP(A:A,[1]TDSheet!$A:$AF,32,0)</f>
        <v>463.44719999999995</v>
      </c>
      <c r="AF24" s="13">
        <f>VLOOKUP(A:A,[1]TDSheet!$A:$AG,33,0)</f>
        <v>417.33920000000001</v>
      </c>
      <c r="AG24" s="13">
        <f>VLOOKUP(A:A,[1]TDSheet!$A:$W,23,0)</f>
        <v>347.28960000000001</v>
      </c>
      <c r="AH24" s="13">
        <f>VLOOKUP(A:A,[3]TDSheet!$A:$D,4,0)</f>
        <v>10.032</v>
      </c>
      <c r="AI24" s="13">
        <f>VLOOKUP(A:A,[1]TDSheet!$A:$AI,35,0)</f>
        <v>0</v>
      </c>
      <c r="AJ24" s="13">
        <f t="shared" si="16"/>
        <v>0</v>
      </c>
      <c r="AK24" s="13">
        <f t="shared" si="17"/>
        <v>0</v>
      </c>
      <c r="AL24" s="13">
        <f t="shared" si="18"/>
        <v>0</v>
      </c>
      <c r="AM24" s="13"/>
      <c r="AN24" s="13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195.928</v>
      </c>
      <c r="D25" s="8">
        <v>1039.403</v>
      </c>
      <c r="E25" s="8">
        <v>693.14700000000005</v>
      </c>
      <c r="F25" s="8">
        <v>531.61699999999996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675.77700000000004</v>
      </c>
      <c r="K25" s="13">
        <f t="shared" si="12"/>
        <v>17.370000000000005</v>
      </c>
      <c r="L25" s="13">
        <f>VLOOKUP(A:A,[1]TDSheet!$A:$X,24,0)</f>
        <v>130</v>
      </c>
      <c r="M25" s="13"/>
      <c r="N25" s="13"/>
      <c r="O25" s="13"/>
      <c r="P25" s="13"/>
      <c r="Q25" s="13"/>
      <c r="R25" s="13"/>
      <c r="S25" s="13"/>
      <c r="T25" s="13"/>
      <c r="U25" s="13"/>
      <c r="V25" s="15">
        <v>130</v>
      </c>
      <c r="W25" s="13">
        <f t="shared" si="13"/>
        <v>138.6294</v>
      </c>
      <c r="X25" s="15">
        <v>160</v>
      </c>
      <c r="Y25" s="16">
        <f t="shared" si="14"/>
        <v>6.8644674217734476</v>
      </c>
      <c r="Z25" s="13">
        <f t="shared" si="15"/>
        <v>3.834807046701493</v>
      </c>
      <c r="AA25" s="13"/>
      <c r="AB25" s="13"/>
      <c r="AC25" s="13">
        <v>0</v>
      </c>
      <c r="AD25" s="13">
        <f>VLOOKUP(A:A,[1]TDSheet!$A:$AE,31,0)</f>
        <v>125.70099999999999</v>
      </c>
      <c r="AE25" s="13">
        <f>VLOOKUP(A:A,[1]TDSheet!$A:$AF,32,0)</f>
        <v>130.32900000000001</v>
      </c>
      <c r="AF25" s="13">
        <f>VLOOKUP(A:A,[1]TDSheet!$A:$AG,33,0)</f>
        <v>139.90299999999999</v>
      </c>
      <c r="AG25" s="13">
        <f>VLOOKUP(A:A,[1]TDSheet!$A:$W,23,0)</f>
        <v>140.46440000000001</v>
      </c>
      <c r="AH25" s="13">
        <f>VLOOKUP(A:A,[3]TDSheet!$A:$D,4,0)</f>
        <v>147.185</v>
      </c>
      <c r="AI25" s="13">
        <f>VLOOKUP(A:A,[1]TDSheet!$A:$AI,35,0)</f>
        <v>0</v>
      </c>
      <c r="AJ25" s="13">
        <f t="shared" si="16"/>
        <v>0</v>
      </c>
      <c r="AK25" s="13">
        <f t="shared" si="17"/>
        <v>130</v>
      </c>
      <c r="AL25" s="13">
        <f t="shared" si="18"/>
        <v>160</v>
      </c>
      <c r="AM25" s="13"/>
      <c r="AN25" s="13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63.548999999999999</v>
      </c>
      <c r="D26" s="8">
        <v>277.51900000000001</v>
      </c>
      <c r="E26" s="8">
        <v>186.81299999999999</v>
      </c>
      <c r="F26" s="8">
        <v>151.62299999999999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180.32</v>
      </c>
      <c r="K26" s="13">
        <f t="shared" si="12"/>
        <v>6.492999999999995</v>
      </c>
      <c r="L26" s="13">
        <f>VLOOKUP(A:A,[1]TDSheet!$A:$X,24,0)</f>
        <v>0</v>
      </c>
      <c r="M26" s="13"/>
      <c r="N26" s="13"/>
      <c r="O26" s="13"/>
      <c r="P26" s="13"/>
      <c r="Q26" s="13"/>
      <c r="R26" s="13"/>
      <c r="S26" s="13"/>
      <c r="T26" s="13"/>
      <c r="U26" s="13"/>
      <c r="V26" s="15">
        <v>70</v>
      </c>
      <c r="W26" s="13">
        <f t="shared" si="13"/>
        <v>37.3626</v>
      </c>
      <c r="X26" s="15">
        <v>40</v>
      </c>
      <c r="Y26" s="16">
        <f t="shared" si="14"/>
        <v>7.0022696493284728</v>
      </c>
      <c r="Z26" s="13">
        <f t="shared" si="15"/>
        <v>4.0581490581490582</v>
      </c>
      <c r="AA26" s="13"/>
      <c r="AB26" s="13"/>
      <c r="AC26" s="13">
        <v>0</v>
      </c>
      <c r="AD26" s="13">
        <f>VLOOKUP(A:A,[1]TDSheet!$A:$AE,31,0)</f>
        <v>34.070399999999999</v>
      </c>
      <c r="AE26" s="13">
        <f>VLOOKUP(A:A,[1]TDSheet!$A:$AF,32,0)</f>
        <v>31.187799999999999</v>
      </c>
      <c r="AF26" s="13">
        <f>VLOOKUP(A:A,[1]TDSheet!$A:$AG,33,0)</f>
        <v>37.2498</v>
      </c>
      <c r="AG26" s="13">
        <f>VLOOKUP(A:A,[1]TDSheet!$A:$W,23,0)</f>
        <v>34.3508</v>
      </c>
      <c r="AH26" s="13">
        <f>VLOOKUP(A:A,[3]TDSheet!$A:$D,4,0)</f>
        <v>60.761000000000003</v>
      </c>
      <c r="AI26" s="13">
        <f>VLOOKUP(A:A,[1]TDSheet!$A:$AI,35,0)</f>
        <v>0</v>
      </c>
      <c r="AJ26" s="13">
        <f t="shared" si="16"/>
        <v>0</v>
      </c>
      <c r="AK26" s="13">
        <f t="shared" si="17"/>
        <v>70</v>
      </c>
      <c r="AL26" s="13">
        <f t="shared" si="18"/>
        <v>40</v>
      </c>
      <c r="AM26" s="13"/>
      <c r="AN26" s="13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188.911</v>
      </c>
      <c r="D27" s="8">
        <v>526.16099999999994</v>
      </c>
      <c r="E27" s="8">
        <v>400.875</v>
      </c>
      <c r="F27" s="8">
        <v>311.55399999999997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384.12700000000001</v>
      </c>
      <c r="K27" s="13">
        <f t="shared" si="12"/>
        <v>16.74799999999999</v>
      </c>
      <c r="L27" s="13">
        <f>VLOOKUP(A:A,[1]TDSheet!$A:$X,24,0)</f>
        <v>50</v>
      </c>
      <c r="M27" s="13"/>
      <c r="N27" s="13"/>
      <c r="O27" s="13"/>
      <c r="P27" s="13"/>
      <c r="Q27" s="13"/>
      <c r="R27" s="13"/>
      <c r="S27" s="13"/>
      <c r="T27" s="13"/>
      <c r="U27" s="13"/>
      <c r="V27" s="15">
        <v>100</v>
      </c>
      <c r="W27" s="13">
        <f t="shared" si="13"/>
        <v>80.174999999999997</v>
      </c>
      <c r="X27" s="15">
        <v>100</v>
      </c>
      <c r="Y27" s="16">
        <f t="shared" si="14"/>
        <v>7.0041035235422511</v>
      </c>
      <c r="Z27" s="13">
        <f t="shared" si="15"/>
        <v>3.8859245400685998</v>
      </c>
      <c r="AA27" s="13"/>
      <c r="AB27" s="13"/>
      <c r="AC27" s="13">
        <v>0</v>
      </c>
      <c r="AD27" s="13">
        <f>VLOOKUP(A:A,[1]TDSheet!$A:$AE,31,0)</f>
        <v>92.053200000000004</v>
      </c>
      <c r="AE27" s="13">
        <f>VLOOKUP(A:A,[1]TDSheet!$A:$AF,32,0)</f>
        <v>80.45320000000001</v>
      </c>
      <c r="AF27" s="13">
        <f>VLOOKUP(A:A,[1]TDSheet!$A:$AG,33,0)</f>
        <v>89.840599999999995</v>
      </c>
      <c r="AG27" s="13">
        <f>VLOOKUP(A:A,[1]TDSheet!$A:$W,23,0)</f>
        <v>77.135799999999989</v>
      </c>
      <c r="AH27" s="13">
        <f>VLOOKUP(A:A,[3]TDSheet!$A:$D,4,0)</f>
        <v>96.680999999999997</v>
      </c>
      <c r="AI27" s="13" t="str">
        <f>VLOOKUP(A:A,[1]TDSheet!$A:$AI,35,0)</f>
        <v>жц</v>
      </c>
      <c r="AJ27" s="13">
        <f t="shared" si="16"/>
        <v>0</v>
      </c>
      <c r="AK27" s="13">
        <f t="shared" si="17"/>
        <v>100</v>
      </c>
      <c r="AL27" s="13">
        <f t="shared" si="18"/>
        <v>100</v>
      </c>
      <c r="AM27" s="13"/>
      <c r="AN27" s="13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161.50399999999999</v>
      </c>
      <c r="D28" s="8">
        <v>512.67100000000005</v>
      </c>
      <c r="E28" s="8">
        <v>345.94400000000002</v>
      </c>
      <c r="F28" s="8">
        <v>325.62299999999999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332.09899999999999</v>
      </c>
      <c r="K28" s="13">
        <f t="shared" si="12"/>
        <v>13.845000000000027</v>
      </c>
      <c r="L28" s="13">
        <f>VLOOKUP(A:A,[1]TDSheet!$A:$X,24,0)</f>
        <v>40</v>
      </c>
      <c r="M28" s="13"/>
      <c r="N28" s="13"/>
      <c r="O28" s="13"/>
      <c r="P28" s="13"/>
      <c r="Q28" s="13"/>
      <c r="R28" s="13"/>
      <c r="S28" s="13"/>
      <c r="T28" s="13"/>
      <c r="U28" s="13"/>
      <c r="V28" s="15">
        <v>40</v>
      </c>
      <c r="W28" s="13">
        <f t="shared" si="13"/>
        <v>69.188800000000001</v>
      </c>
      <c r="X28" s="15">
        <v>70</v>
      </c>
      <c r="Y28" s="16">
        <f t="shared" si="14"/>
        <v>6.8742773396850358</v>
      </c>
      <c r="Z28" s="13">
        <f t="shared" si="15"/>
        <v>4.7062963947922203</v>
      </c>
      <c r="AA28" s="13"/>
      <c r="AB28" s="13"/>
      <c r="AC28" s="13">
        <v>0</v>
      </c>
      <c r="AD28" s="13">
        <f>VLOOKUP(A:A,[1]TDSheet!$A:$AE,31,0)</f>
        <v>64.119200000000006</v>
      </c>
      <c r="AE28" s="13">
        <f>VLOOKUP(A:A,[1]TDSheet!$A:$AF,32,0)</f>
        <v>69.344000000000008</v>
      </c>
      <c r="AF28" s="13">
        <f>VLOOKUP(A:A,[1]TDSheet!$A:$AG,33,0)</f>
        <v>90.138199999999998</v>
      </c>
      <c r="AG28" s="13">
        <f>VLOOKUP(A:A,[1]TDSheet!$A:$W,23,0)</f>
        <v>73.119600000000005</v>
      </c>
      <c r="AH28" s="13">
        <f>VLOOKUP(A:A,[3]TDSheet!$A:$D,4,0)</f>
        <v>60.37</v>
      </c>
      <c r="AI28" s="13">
        <f>VLOOKUP(A:A,[1]TDSheet!$A:$AI,35,0)</f>
        <v>0</v>
      </c>
      <c r="AJ28" s="13">
        <f t="shared" si="16"/>
        <v>0</v>
      </c>
      <c r="AK28" s="13">
        <f t="shared" si="17"/>
        <v>40</v>
      </c>
      <c r="AL28" s="13">
        <f t="shared" si="18"/>
        <v>70</v>
      </c>
      <c r="AM28" s="13"/>
      <c r="AN28" s="13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58.469000000000001</v>
      </c>
      <c r="D29" s="8">
        <v>134.196</v>
      </c>
      <c r="E29" s="8">
        <v>100.70099999999999</v>
      </c>
      <c r="F29" s="8">
        <v>90.471000000000004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97.114000000000004</v>
      </c>
      <c r="K29" s="13">
        <f t="shared" si="12"/>
        <v>3.5869999999999891</v>
      </c>
      <c r="L29" s="13">
        <f>VLOOKUP(A:A,[1]TDSheet!$A:$X,24,0)</f>
        <v>0</v>
      </c>
      <c r="M29" s="13"/>
      <c r="N29" s="13"/>
      <c r="O29" s="13"/>
      <c r="P29" s="13"/>
      <c r="Q29" s="13"/>
      <c r="R29" s="13"/>
      <c r="S29" s="13"/>
      <c r="T29" s="13"/>
      <c r="U29" s="13"/>
      <c r="V29" s="15">
        <v>20</v>
      </c>
      <c r="W29" s="13">
        <f t="shared" si="13"/>
        <v>20.1402</v>
      </c>
      <c r="X29" s="15">
        <v>30</v>
      </c>
      <c r="Y29" s="16">
        <f t="shared" si="14"/>
        <v>6.9746576498743806</v>
      </c>
      <c r="Z29" s="13">
        <f t="shared" si="15"/>
        <v>4.4920606548097837</v>
      </c>
      <c r="AA29" s="13"/>
      <c r="AB29" s="13"/>
      <c r="AC29" s="13">
        <v>0</v>
      </c>
      <c r="AD29" s="13">
        <f>VLOOKUP(A:A,[1]TDSheet!$A:$AE,31,0)</f>
        <v>24.480799999999999</v>
      </c>
      <c r="AE29" s="13">
        <f>VLOOKUP(A:A,[1]TDSheet!$A:$AF,32,0)</f>
        <v>18.97</v>
      </c>
      <c r="AF29" s="13">
        <f>VLOOKUP(A:A,[1]TDSheet!$A:$AG,33,0)</f>
        <v>23.8978</v>
      </c>
      <c r="AG29" s="13">
        <f>VLOOKUP(A:A,[1]TDSheet!$A:$W,23,0)</f>
        <v>18.1812</v>
      </c>
      <c r="AH29" s="13">
        <f>VLOOKUP(A:A,[3]TDSheet!$A:$D,4,0)</f>
        <v>19.757999999999999</v>
      </c>
      <c r="AI29" s="13">
        <f>VLOOKUP(A:A,[1]TDSheet!$A:$AI,35,0)</f>
        <v>0</v>
      </c>
      <c r="AJ29" s="13">
        <f t="shared" si="16"/>
        <v>0</v>
      </c>
      <c r="AK29" s="13">
        <f t="shared" si="17"/>
        <v>20</v>
      </c>
      <c r="AL29" s="13">
        <f t="shared" si="18"/>
        <v>30</v>
      </c>
      <c r="AM29" s="13"/>
      <c r="AN29" s="13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46.384</v>
      </c>
      <c r="D30" s="8">
        <v>275.26100000000002</v>
      </c>
      <c r="E30" s="8">
        <v>155.30500000000001</v>
      </c>
      <c r="F30" s="8">
        <v>163.37100000000001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150.11099999999999</v>
      </c>
      <c r="K30" s="13">
        <f t="shared" si="12"/>
        <v>5.1940000000000168</v>
      </c>
      <c r="L30" s="13">
        <f>VLOOKUP(A:A,[1]TDSheet!$A:$X,24,0)</f>
        <v>30</v>
      </c>
      <c r="M30" s="13"/>
      <c r="N30" s="13"/>
      <c r="O30" s="13"/>
      <c r="P30" s="13"/>
      <c r="Q30" s="13"/>
      <c r="R30" s="13"/>
      <c r="S30" s="13"/>
      <c r="T30" s="13"/>
      <c r="U30" s="13"/>
      <c r="V30" s="15"/>
      <c r="W30" s="13">
        <f t="shared" si="13"/>
        <v>31.061</v>
      </c>
      <c r="X30" s="15">
        <v>20</v>
      </c>
      <c r="Y30" s="16">
        <f t="shared" si="14"/>
        <v>6.869418241524742</v>
      </c>
      <c r="Z30" s="13">
        <f t="shared" si="15"/>
        <v>5.2596825601236281</v>
      </c>
      <c r="AA30" s="13"/>
      <c r="AB30" s="13"/>
      <c r="AC30" s="13">
        <v>0</v>
      </c>
      <c r="AD30" s="13">
        <f>VLOOKUP(A:A,[1]TDSheet!$A:$AE,31,0)</f>
        <v>31.802</v>
      </c>
      <c r="AE30" s="13">
        <f>VLOOKUP(A:A,[1]TDSheet!$A:$AF,32,0)</f>
        <v>28.157999999999998</v>
      </c>
      <c r="AF30" s="13">
        <f>VLOOKUP(A:A,[1]TDSheet!$A:$AG,33,0)</f>
        <v>26.245800000000003</v>
      </c>
      <c r="AG30" s="13">
        <f>VLOOKUP(A:A,[1]TDSheet!$A:$W,23,0)</f>
        <v>35.097200000000001</v>
      </c>
      <c r="AH30" s="13">
        <f>VLOOKUP(A:A,[3]TDSheet!$A:$D,4,0)</f>
        <v>36.322000000000003</v>
      </c>
      <c r="AI30" s="13">
        <f>VLOOKUP(A:A,[1]TDSheet!$A:$AI,35,0)</f>
        <v>0</v>
      </c>
      <c r="AJ30" s="13">
        <f t="shared" si="16"/>
        <v>0</v>
      </c>
      <c r="AK30" s="13">
        <f t="shared" si="17"/>
        <v>0</v>
      </c>
      <c r="AL30" s="13">
        <f t="shared" si="18"/>
        <v>20</v>
      </c>
      <c r="AM30" s="13"/>
      <c r="AN30" s="13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739.25900000000001</v>
      </c>
      <c r="D31" s="8">
        <v>2418.4949999999999</v>
      </c>
      <c r="E31" s="8">
        <v>1787.499</v>
      </c>
      <c r="F31" s="8">
        <v>1358.3620000000001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1794.0360000000001</v>
      </c>
      <c r="K31" s="13">
        <f t="shared" si="12"/>
        <v>-6.5370000000000346</v>
      </c>
      <c r="L31" s="13">
        <f>VLOOKUP(A:A,[1]TDSheet!$A:$X,24,0)</f>
        <v>300</v>
      </c>
      <c r="M31" s="13"/>
      <c r="N31" s="13"/>
      <c r="O31" s="13"/>
      <c r="P31" s="13"/>
      <c r="Q31" s="13"/>
      <c r="R31" s="13"/>
      <c r="S31" s="13"/>
      <c r="T31" s="13"/>
      <c r="U31" s="13"/>
      <c r="V31" s="15">
        <v>500</v>
      </c>
      <c r="W31" s="13">
        <f t="shared" si="13"/>
        <v>357.49979999999999</v>
      </c>
      <c r="X31" s="15">
        <v>400</v>
      </c>
      <c r="Y31" s="16">
        <f t="shared" si="14"/>
        <v>7.1562613461601936</v>
      </c>
      <c r="Z31" s="13">
        <f t="shared" si="15"/>
        <v>3.7996161116733496</v>
      </c>
      <c r="AA31" s="13"/>
      <c r="AB31" s="13"/>
      <c r="AC31" s="13">
        <v>0</v>
      </c>
      <c r="AD31" s="13">
        <f>VLOOKUP(A:A,[1]TDSheet!$A:$AE,31,0)</f>
        <v>299.11279999999999</v>
      </c>
      <c r="AE31" s="13">
        <f>VLOOKUP(A:A,[1]TDSheet!$A:$AF,32,0)</f>
        <v>285.83479999999997</v>
      </c>
      <c r="AF31" s="13">
        <f>VLOOKUP(A:A,[1]TDSheet!$A:$AG,33,0)</f>
        <v>333.99520000000001</v>
      </c>
      <c r="AG31" s="13">
        <f>VLOOKUP(A:A,[1]TDSheet!$A:$W,23,0)</f>
        <v>338.21</v>
      </c>
      <c r="AH31" s="13">
        <f>VLOOKUP(A:A,[3]TDSheet!$A:$D,4,0)</f>
        <v>458.79700000000003</v>
      </c>
      <c r="AI31" s="13" t="str">
        <f>VLOOKUP(A:A,[1]TDSheet!$A:$AI,35,0)</f>
        <v>нояяб</v>
      </c>
      <c r="AJ31" s="13">
        <f t="shared" si="16"/>
        <v>0</v>
      </c>
      <c r="AK31" s="13">
        <f t="shared" si="17"/>
        <v>500</v>
      </c>
      <c r="AL31" s="13">
        <f t="shared" si="18"/>
        <v>400</v>
      </c>
      <c r="AM31" s="13"/>
      <c r="AN31" s="13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55.991999999999997</v>
      </c>
      <c r="D32" s="8">
        <v>162.67699999999999</v>
      </c>
      <c r="E32" s="8">
        <v>83.475999999999999</v>
      </c>
      <c r="F32" s="8">
        <v>135.19300000000001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79.25</v>
      </c>
      <c r="K32" s="13">
        <f t="shared" si="12"/>
        <v>4.2259999999999991</v>
      </c>
      <c r="L32" s="13">
        <f>VLOOKUP(A:A,[1]TDSheet!$A:$X,24,0)</f>
        <v>0</v>
      </c>
      <c r="M32" s="13"/>
      <c r="N32" s="13"/>
      <c r="O32" s="13"/>
      <c r="P32" s="13"/>
      <c r="Q32" s="13"/>
      <c r="R32" s="13"/>
      <c r="S32" s="13"/>
      <c r="T32" s="13"/>
      <c r="U32" s="13"/>
      <c r="V32" s="15"/>
      <c r="W32" s="13">
        <f t="shared" si="13"/>
        <v>16.6952</v>
      </c>
      <c r="X32" s="15"/>
      <c r="Y32" s="16">
        <f t="shared" si="14"/>
        <v>8.0977167089942022</v>
      </c>
      <c r="Z32" s="13">
        <f t="shared" si="15"/>
        <v>8.0977167089942022</v>
      </c>
      <c r="AA32" s="13"/>
      <c r="AB32" s="13"/>
      <c r="AC32" s="13">
        <v>0</v>
      </c>
      <c r="AD32" s="13">
        <f>VLOOKUP(A:A,[1]TDSheet!$A:$AE,31,0)</f>
        <v>12.873799999999999</v>
      </c>
      <c r="AE32" s="13">
        <f>VLOOKUP(A:A,[1]TDSheet!$A:$AF,32,0)</f>
        <v>15.5458</v>
      </c>
      <c r="AF32" s="13">
        <f>VLOOKUP(A:A,[1]TDSheet!$A:$AG,33,0)</f>
        <v>26.287799999999997</v>
      </c>
      <c r="AG32" s="13">
        <f>VLOOKUP(A:A,[1]TDSheet!$A:$W,23,0)</f>
        <v>12.058</v>
      </c>
      <c r="AH32" s="13">
        <f>VLOOKUP(A:A,[3]TDSheet!$A:$D,4,0)</f>
        <v>10.257</v>
      </c>
      <c r="AI32" s="13">
        <v>0</v>
      </c>
      <c r="AJ32" s="13">
        <f t="shared" si="16"/>
        <v>0</v>
      </c>
      <c r="AK32" s="13">
        <f t="shared" si="17"/>
        <v>0</v>
      </c>
      <c r="AL32" s="13">
        <f t="shared" si="18"/>
        <v>0</v>
      </c>
      <c r="AM32" s="13"/>
      <c r="AN32" s="13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81.361000000000004</v>
      </c>
      <c r="D33" s="8">
        <v>152.95400000000001</v>
      </c>
      <c r="E33" s="8">
        <v>93.328000000000003</v>
      </c>
      <c r="F33" s="8">
        <v>138.00700000000001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94.5</v>
      </c>
      <c r="K33" s="13">
        <f t="shared" si="12"/>
        <v>-1.171999999999997</v>
      </c>
      <c r="L33" s="13">
        <f>VLOOKUP(A:A,[1]TDSheet!$A:$X,24,0)</f>
        <v>20</v>
      </c>
      <c r="M33" s="13"/>
      <c r="N33" s="13"/>
      <c r="O33" s="13"/>
      <c r="P33" s="13"/>
      <c r="Q33" s="13"/>
      <c r="R33" s="13"/>
      <c r="S33" s="13"/>
      <c r="T33" s="13"/>
      <c r="U33" s="13"/>
      <c r="V33" s="15"/>
      <c r="W33" s="13">
        <f t="shared" si="13"/>
        <v>18.665600000000001</v>
      </c>
      <c r="X33" s="15"/>
      <c r="Y33" s="16">
        <f t="shared" si="14"/>
        <v>8.4651444368249606</v>
      </c>
      <c r="Z33" s="13">
        <f t="shared" si="15"/>
        <v>7.3936546374078516</v>
      </c>
      <c r="AA33" s="13"/>
      <c r="AB33" s="13"/>
      <c r="AC33" s="13">
        <v>0</v>
      </c>
      <c r="AD33" s="13">
        <f>VLOOKUP(A:A,[1]TDSheet!$A:$AE,31,0)</f>
        <v>19.1478</v>
      </c>
      <c r="AE33" s="13">
        <f>VLOOKUP(A:A,[1]TDSheet!$A:$AF,32,0)</f>
        <v>24.717599999999997</v>
      </c>
      <c r="AF33" s="13">
        <f>VLOOKUP(A:A,[1]TDSheet!$A:$AG,33,0)</f>
        <v>14.8332</v>
      </c>
      <c r="AG33" s="13">
        <f>VLOOKUP(A:A,[1]TDSheet!$A:$W,23,0)</f>
        <v>20.881599999999999</v>
      </c>
      <c r="AH33" s="13">
        <f>VLOOKUP(A:A,[3]TDSheet!$A:$D,4,0)</f>
        <v>17.632999999999999</v>
      </c>
      <c r="AI33" s="13">
        <f>VLOOKUP(A:A,[1]TDSheet!$A:$AI,35,0)</f>
        <v>0</v>
      </c>
      <c r="AJ33" s="13">
        <f t="shared" si="16"/>
        <v>0</v>
      </c>
      <c r="AK33" s="13">
        <f t="shared" si="17"/>
        <v>0</v>
      </c>
      <c r="AL33" s="13">
        <f t="shared" si="18"/>
        <v>0</v>
      </c>
      <c r="AM33" s="13"/>
      <c r="AN33" s="13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313.97300000000001</v>
      </c>
      <c r="D34" s="8">
        <v>1881.597</v>
      </c>
      <c r="E34" s="8">
        <v>1092.9290000000001</v>
      </c>
      <c r="F34" s="8">
        <v>1080.807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1058.0650000000001</v>
      </c>
      <c r="K34" s="13">
        <f t="shared" si="12"/>
        <v>34.864000000000033</v>
      </c>
      <c r="L34" s="13">
        <f>VLOOKUP(A:A,[1]TDSheet!$A:$X,24,0)</f>
        <v>200</v>
      </c>
      <c r="M34" s="13"/>
      <c r="N34" s="13"/>
      <c r="O34" s="13"/>
      <c r="P34" s="13"/>
      <c r="Q34" s="13"/>
      <c r="R34" s="13"/>
      <c r="S34" s="13"/>
      <c r="T34" s="13"/>
      <c r="U34" s="13"/>
      <c r="V34" s="15"/>
      <c r="W34" s="13">
        <f t="shared" si="13"/>
        <v>218.58580000000001</v>
      </c>
      <c r="X34" s="15">
        <v>230</v>
      </c>
      <c r="Y34" s="16">
        <f t="shared" si="14"/>
        <v>6.9117344310563631</v>
      </c>
      <c r="Z34" s="13">
        <f t="shared" si="15"/>
        <v>4.944543515635508</v>
      </c>
      <c r="AA34" s="13"/>
      <c r="AB34" s="13"/>
      <c r="AC34" s="13">
        <v>0</v>
      </c>
      <c r="AD34" s="13">
        <f>VLOOKUP(A:A,[1]TDSheet!$A:$AE,31,0)</f>
        <v>217.14540000000002</v>
      </c>
      <c r="AE34" s="13">
        <f>VLOOKUP(A:A,[1]TDSheet!$A:$AF,32,0)</f>
        <v>215.05100000000002</v>
      </c>
      <c r="AF34" s="13">
        <f>VLOOKUP(A:A,[1]TDSheet!$A:$AG,33,0)</f>
        <v>257.40559999999999</v>
      </c>
      <c r="AG34" s="13">
        <f>VLOOKUP(A:A,[1]TDSheet!$A:$W,23,0)</f>
        <v>241.36799999999999</v>
      </c>
      <c r="AH34" s="13">
        <f>VLOOKUP(A:A,[3]TDSheet!$A:$D,4,0)</f>
        <v>244.28899999999999</v>
      </c>
      <c r="AI34" s="13" t="str">
        <f>VLOOKUP(A:A,[1]TDSheet!$A:$AI,35,0)</f>
        <v>жц</v>
      </c>
      <c r="AJ34" s="13">
        <f t="shared" si="16"/>
        <v>0</v>
      </c>
      <c r="AK34" s="13">
        <f t="shared" si="17"/>
        <v>0</v>
      </c>
      <c r="AL34" s="13">
        <f t="shared" si="18"/>
        <v>230</v>
      </c>
      <c r="AM34" s="13"/>
      <c r="AN34" s="13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16.428000000000001</v>
      </c>
      <c r="D35" s="8">
        <v>21.681000000000001</v>
      </c>
      <c r="E35" s="8">
        <v>6.38</v>
      </c>
      <c r="F35" s="8">
        <v>31.728999999999999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7.1</v>
      </c>
      <c r="K35" s="13">
        <f t="shared" si="12"/>
        <v>-0.71999999999999975</v>
      </c>
      <c r="L35" s="13">
        <f>VLOOKUP(A:A,[1]TDSheet!$A:$X,24,0)</f>
        <v>0</v>
      </c>
      <c r="M35" s="13"/>
      <c r="N35" s="13"/>
      <c r="O35" s="13"/>
      <c r="P35" s="13"/>
      <c r="Q35" s="13"/>
      <c r="R35" s="13"/>
      <c r="S35" s="13"/>
      <c r="T35" s="13"/>
      <c r="U35" s="13"/>
      <c r="V35" s="15"/>
      <c r="W35" s="13">
        <f t="shared" si="13"/>
        <v>1.276</v>
      </c>
      <c r="X35" s="15"/>
      <c r="Y35" s="16">
        <f t="shared" si="14"/>
        <v>24.865987460815045</v>
      </c>
      <c r="Z35" s="13">
        <f t="shared" si="15"/>
        <v>24.865987460815045</v>
      </c>
      <c r="AA35" s="13"/>
      <c r="AB35" s="13"/>
      <c r="AC35" s="13">
        <v>0</v>
      </c>
      <c r="AD35" s="13">
        <f>VLOOKUP(A:A,[1]TDSheet!$A:$AE,31,0)</f>
        <v>3.6136000000000004</v>
      </c>
      <c r="AE35" s="13">
        <f>VLOOKUP(A:A,[1]TDSheet!$A:$AF,32,0)</f>
        <v>1.4474</v>
      </c>
      <c r="AF35" s="13">
        <f>VLOOKUP(A:A,[1]TDSheet!$A:$AG,33,0)</f>
        <v>0.88719999999999999</v>
      </c>
      <c r="AG35" s="13">
        <f>VLOOKUP(A:A,[1]TDSheet!$A:$W,23,0)</f>
        <v>3.6496000000000004</v>
      </c>
      <c r="AH35" s="13">
        <f>VLOOKUP(A:A,[3]TDSheet!$A:$D,4,0)</f>
        <v>0.89</v>
      </c>
      <c r="AI35" s="17" t="s">
        <v>138</v>
      </c>
      <c r="AJ35" s="13">
        <f t="shared" si="16"/>
        <v>0</v>
      </c>
      <c r="AK35" s="13">
        <f t="shared" si="17"/>
        <v>0</v>
      </c>
      <c r="AL35" s="13">
        <f t="shared" si="18"/>
        <v>0</v>
      </c>
      <c r="AM35" s="13"/>
      <c r="AN35" s="13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8.9239999999999995</v>
      </c>
      <c r="D36" s="8"/>
      <c r="E36" s="8">
        <v>5.3650000000000002</v>
      </c>
      <c r="F36" s="8">
        <v>3.5590000000000002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5</v>
      </c>
      <c r="K36" s="13">
        <f t="shared" si="12"/>
        <v>0.36500000000000021</v>
      </c>
      <c r="L36" s="13">
        <f>VLOOKUP(A:A,[1]TDSheet!$A:$X,24,0)</f>
        <v>0</v>
      </c>
      <c r="M36" s="13"/>
      <c r="N36" s="13"/>
      <c r="O36" s="13"/>
      <c r="P36" s="13"/>
      <c r="Q36" s="13"/>
      <c r="R36" s="13"/>
      <c r="S36" s="13"/>
      <c r="T36" s="13"/>
      <c r="U36" s="13"/>
      <c r="V36" s="15">
        <v>10</v>
      </c>
      <c r="W36" s="13">
        <f t="shared" si="13"/>
        <v>1.073</v>
      </c>
      <c r="X36" s="15"/>
      <c r="Y36" s="16">
        <f t="shared" si="14"/>
        <v>12.636533084808949</v>
      </c>
      <c r="Z36" s="13">
        <f t="shared" si="15"/>
        <v>3.3168685927306618</v>
      </c>
      <c r="AA36" s="13"/>
      <c r="AB36" s="13"/>
      <c r="AC36" s="13">
        <v>0</v>
      </c>
      <c r="AD36" s="13">
        <f>VLOOKUP(A:A,[1]TDSheet!$A:$AE,31,0)</f>
        <v>0.71460000000000001</v>
      </c>
      <c r="AE36" s="13">
        <f>VLOOKUP(A:A,[1]TDSheet!$A:$AF,32,0)</f>
        <v>0.35980000000000001</v>
      </c>
      <c r="AF36" s="13">
        <f>VLOOKUP(A:A,[1]TDSheet!$A:$AG,33,0)</f>
        <v>0.36280000000000001</v>
      </c>
      <c r="AG36" s="13">
        <f>VLOOKUP(A:A,[1]TDSheet!$A:$W,23,0)</f>
        <v>1.0746</v>
      </c>
      <c r="AH36" s="13">
        <f>VLOOKUP(A:A,[3]TDSheet!$A:$D,4,0)</f>
        <v>0.89700000000000002</v>
      </c>
      <c r="AI36" s="13">
        <f>VLOOKUP(A:A,[1]TDSheet!$A:$AI,35,0)</f>
        <v>0</v>
      </c>
      <c r="AJ36" s="13">
        <f t="shared" si="16"/>
        <v>0</v>
      </c>
      <c r="AK36" s="13">
        <f t="shared" si="17"/>
        <v>10</v>
      </c>
      <c r="AL36" s="13">
        <f t="shared" si="18"/>
        <v>0</v>
      </c>
      <c r="AM36" s="13"/>
      <c r="AN36" s="13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9.6929999999999996</v>
      </c>
      <c r="D37" s="8">
        <v>21.626999999999999</v>
      </c>
      <c r="E37" s="8">
        <v>3.5550000000000002</v>
      </c>
      <c r="F37" s="8">
        <v>27.765000000000001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5.1100000000000003</v>
      </c>
      <c r="K37" s="13">
        <f t="shared" si="12"/>
        <v>-1.5550000000000002</v>
      </c>
      <c r="L37" s="13">
        <f>VLOOKUP(A:A,[1]TDSheet!$A:$X,24,0)</f>
        <v>0</v>
      </c>
      <c r="M37" s="13"/>
      <c r="N37" s="13"/>
      <c r="O37" s="13"/>
      <c r="P37" s="13"/>
      <c r="Q37" s="13"/>
      <c r="R37" s="13"/>
      <c r="S37" s="13"/>
      <c r="T37" s="13"/>
      <c r="U37" s="13"/>
      <c r="V37" s="15"/>
      <c r="W37" s="13">
        <f t="shared" si="13"/>
        <v>0.71100000000000008</v>
      </c>
      <c r="X37" s="15"/>
      <c r="Y37" s="16">
        <f t="shared" si="14"/>
        <v>39.050632911392398</v>
      </c>
      <c r="Z37" s="13">
        <f t="shared" si="15"/>
        <v>39.050632911392398</v>
      </c>
      <c r="AA37" s="13"/>
      <c r="AB37" s="13"/>
      <c r="AC37" s="13">
        <v>0</v>
      </c>
      <c r="AD37" s="13">
        <f>VLOOKUP(A:A,[1]TDSheet!$A:$AE,31,0)</f>
        <v>3.4386000000000001</v>
      </c>
      <c r="AE37" s="13">
        <f>VLOOKUP(A:A,[1]TDSheet!$A:$AF,32,0)</f>
        <v>1.4361999999999999</v>
      </c>
      <c r="AF37" s="13">
        <f>VLOOKUP(A:A,[1]TDSheet!$A:$AG,33,0)</f>
        <v>1.4232</v>
      </c>
      <c r="AG37" s="13">
        <f>VLOOKUP(A:A,[1]TDSheet!$A:$W,23,0)</f>
        <v>3.1859999999999999</v>
      </c>
      <c r="AH37" s="13">
        <v>0</v>
      </c>
      <c r="AI37" s="17" t="s">
        <v>138</v>
      </c>
      <c r="AJ37" s="13">
        <f t="shared" si="16"/>
        <v>0</v>
      </c>
      <c r="AK37" s="13">
        <f t="shared" si="17"/>
        <v>0</v>
      </c>
      <c r="AL37" s="13">
        <f t="shared" si="18"/>
        <v>0</v>
      </c>
      <c r="AM37" s="13"/>
      <c r="AN37" s="13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959</v>
      </c>
      <c r="D38" s="8">
        <v>2750</v>
      </c>
      <c r="E38" s="8">
        <v>2810</v>
      </c>
      <c r="F38" s="8">
        <v>857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2848</v>
      </c>
      <c r="K38" s="13">
        <f t="shared" si="12"/>
        <v>-38</v>
      </c>
      <c r="L38" s="13">
        <f>VLOOKUP(A:A,[1]TDSheet!$A:$X,24,0)</f>
        <v>500</v>
      </c>
      <c r="M38" s="13"/>
      <c r="N38" s="13"/>
      <c r="O38" s="13"/>
      <c r="P38" s="13"/>
      <c r="Q38" s="13"/>
      <c r="R38" s="13"/>
      <c r="S38" s="13"/>
      <c r="T38" s="13"/>
      <c r="U38" s="13"/>
      <c r="V38" s="15">
        <v>700</v>
      </c>
      <c r="W38" s="13">
        <f t="shared" si="13"/>
        <v>367.6</v>
      </c>
      <c r="X38" s="15">
        <v>500</v>
      </c>
      <c r="Y38" s="16">
        <f t="shared" si="14"/>
        <v>6.9559303590859622</v>
      </c>
      <c r="Z38" s="13">
        <f t="shared" si="15"/>
        <v>2.3313384113166484</v>
      </c>
      <c r="AA38" s="13"/>
      <c r="AB38" s="13"/>
      <c r="AC38" s="13">
        <f>VLOOKUP(A:A,[4]TDSheet!$A:$D,4,0)</f>
        <v>972</v>
      </c>
      <c r="AD38" s="13">
        <f>VLOOKUP(A:A,[1]TDSheet!$A:$AE,31,0)</f>
        <v>244.2</v>
      </c>
      <c r="AE38" s="13">
        <f>VLOOKUP(A:A,[1]TDSheet!$A:$AF,32,0)</f>
        <v>255.4</v>
      </c>
      <c r="AF38" s="13">
        <f>VLOOKUP(A:A,[1]TDSheet!$A:$AG,33,0)</f>
        <v>291</v>
      </c>
      <c r="AG38" s="13">
        <f>VLOOKUP(A:A,[1]TDSheet!$A:$W,23,0)</f>
        <v>293.2</v>
      </c>
      <c r="AH38" s="13">
        <f>VLOOKUP(A:A,[3]TDSheet!$A:$D,4,0)</f>
        <v>488</v>
      </c>
      <c r="AI38" s="13" t="str">
        <f>VLOOKUP(A:A,[1]TDSheet!$A:$AI,35,0)</f>
        <v>нояяб</v>
      </c>
      <c r="AJ38" s="13">
        <f t="shared" si="16"/>
        <v>0</v>
      </c>
      <c r="AK38" s="13">
        <f t="shared" si="17"/>
        <v>244.99999999999997</v>
      </c>
      <c r="AL38" s="13">
        <f t="shared" si="18"/>
        <v>175</v>
      </c>
      <c r="AM38" s="13"/>
      <c r="AN38" s="13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655</v>
      </c>
      <c r="D39" s="8">
        <v>6061</v>
      </c>
      <c r="E39" s="8">
        <v>3898</v>
      </c>
      <c r="F39" s="8">
        <v>2771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3947</v>
      </c>
      <c r="K39" s="13">
        <f t="shared" si="12"/>
        <v>-49</v>
      </c>
      <c r="L39" s="13">
        <f>VLOOKUP(A:A,[1]TDSheet!$A:$X,24,0)</f>
        <v>500</v>
      </c>
      <c r="M39" s="13"/>
      <c r="N39" s="13"/>
      <c r="O39" s="13"/>
      <c r="P39" s="13"/>
      <c r="Q39" s="13"/>
      <c r="R39" s="13"/>
      <c r="S39" s="13"/>
      <c r="T39" s="13">
        <v>504</v>
      </c>
      <c r="U39" s="13"/>
      <c r="V39" s="15">
        <v>500</v>
      </c>
      <c r="W39" s="13">
        <f t="shared" si="13"/>
        <v>648.79999999999995</v>
      </c>
      <c r="X39" s="15">
        <v>700</v>
      </c>
      <c r="Y39" s="16">
        <f t="shared" si="14"/>
        <v>6.8911837237977807</v>
      </c>
      <c r="Z39" s="13">
        <f t="shared" si="15"/>
        <v>4.2709617755856968</v>
      </c>
      <c r="AA39" s="13"/>
      <c r="AB39" s="13"/>
      <c r="AC39" s="13">
        <f>VLOOKUP(A:A,[4]TDSheet!$A:$D,4,0)</f>
        <v>654</v>
      </c>
      <c r="AD39" s="13">
        <f>VLOOKUP(A:A,[1]TDSheet!$A:$AE,31,0)</f>
        <v>596.4</v>
      </c>
      <c r="AE39" s="13">
        <f>VLOOKUP(A:A,[1]TDSheet!$A:$AF,32,0)</f>
        <v>566.20000000000005</v>
      </c>
      <c r="AF39" s="13">
        <f>VLOOKUP(A:A,[1]TDSheet!$A:$AG,33,0)</f>
        <v>727.6</v>
      </c>
      <c r="AG39" s="13">
        <f>VLOOKUP(A:A,[1]TDSheet!$A:$W,23,0)</f>
        <v>660.8</v>
      </c>
      <c r="AH39" s="13">
        <f>VLOOKUP(A:A,[3]TDSheet!$A:$D,4,0)</f>
        <v>699</v>
      </c>
      <c r="AI39" s="13">
        <f>VLOOKUP(A:A,[1]TDSheet!$A:$AI,35,0)</f>
        <v>0</v>
      </c>
      <c r="AJ39" s="13">
        <f t="shared" si="16"/>
        <v>201.60000000000002</v>
      </c>
      <c r="AK39" s="13">
        <f t="shared" si="17"/>
        <v>200</v>
      </c>
      <c r="AL39" s="13">
        <f t="shared" si="18"/>
        <v>280</v>
      </c>
      <c r="AM39" s="13"/>
      <c r="AN39" s="13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803</v>
      </c>
      <c r="D40" s="8">
        <v>12366</v>
      </c>
      <c r="E40" s="8">
        <v>9480</v>
      </c>
      <c r="F40" s="8">
        <v>3648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9508</v>
      </c>
      <c r="K40" s="13">
        <f t="shared" si="12"/>
        <v>-28</v>
      </c>
      <c r="L40" s="13">
        <f>VLOOKUP(A:A,[1]TDSheet!$A:$X,24,0)</f>
        <v>1300</v>
      </c>
      <c r="M40" s="13"/>
      <c r="N40" s="13"/>
      <c r="O40" s="13"/>
      <c r="P40" s="13"/>
      <c r="Q40" s="13"/>
      <c r="R40" s="13"/>
      <c r="S40" s="13"/>
      <c r="T40" s="13">
        <v>1500</v>
      </c>
      <c r="U40" s="13"/>
      <c r="V40" s="15">
        <v>1300</v>
      </c>
      <c r="W40" s="13">
        <f t="shared" si="13"/>
        <v>1096</v>
      </c>
      <c r="X40" s="15">
        <v>1300</v>
      </c>
      <c r="Y40" s="16">
        <f t="shared" si="14"/>
        <v>6.8868613138686134</v>
      </c>
      <c r="Z40" s="13">
        <f t="shared" si="15"/>
        <v>3.3284671532846715</v>
      </c>
      <c r="AA40" s="13"/>
      <c r="AB40" s="13"/>
      <c r="AC40" s="13">
        <f>VLOOKUP(A:A,[4]TDSheet!$A:$D,4,0)</f>
        <v>4000</v>
      </c>
      <c r="AD40" s="13">
        <f>VLOOKUP(A:A,[1]TDSheet!$A:$AE,31,0)</f>
        <v>773.8</v>
      </c>
      <c r="AE40" s="13">
        <f>VLOOKUP(A:A,[1]TDSheet!$A:$AF,32,0)</f>
        <v>882.6</v>
      </c>
      <c r="AF40" s="13">
        <f>VLOOKUP(A:A,[1]TDSheet!$A:$AG,33,0)</f>
        <v>1069.4000000000001</v>
      </c>
      <c r="AG40" s="13">
        <f>VLOOKUP(A:A,[1]TDSheet!$A:$W,23,0)</f>
        <v>1088</v>
      </c>
      <c r="AH40" s="13">
        <f>VLOOKUP(A:A,[3]TDSheet!$A:$D,4,0)</f>
        <v>1267</v>
      </c>
      <c r="AI40" s="13" t="str">
        <f>VLOOKUP(A:A,[1]TDSheet!$A:$AI,35,0)</f>
        <v>продноя</v>
      </c>
      <c r="AJ40" s="13">
        <f t="shared" si="16"/>
        <v>675</v>
      </c>
      <c r="AK40" s="13">
        <f t="shared" si="17"/>
        <v>585</v>
      </c>
      <c r="AL40" s="13">
        <f t="shared" si="18"/>
        <v>585</v>
      </c>
      <c r="AM40" s="13"/>
      <c r="AN40" s="13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372.31</v>
      </c>
      <c r="D41" s="8">
        <v>675.12800000000004</v>
      </c>
      <c r="E41" s="8">
        <v>538.57399999999996</v>
      </c>
      <c r="F41" s="8">
        <v>503.13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528.399</v>
      </c>
      <c r="K41" s="13">
        <f t="shared" si="12"/>
        <v>10.174999999999955</v>
      </c>
      <c r="L41" s="13">
        <f>VLOOKUP(A:A,[1]TDSheet!$A:$X,24,0)</f>
        <v>100</v>
      </c>
      <c r="M41" s="13"/>
      <c r="N41" s="13"/>
      <c r="O41" s="13"/>
      <c r="P41" s="13"/>
      <c r="Q41" s="13"/>
      <c r="R41" s="13"/>
      <c r="S41" s="13"/>
      <c r="T41" s="13"/>
      <c r="U41" s="13"/>
      <c r="V41" s="15"/>
      <c r="W41" s="13">
        <f t="shared" si="13"/>
        <v>107.7148</v>
      </c>
      <c r="X41" s="15">
        <v>120</v>
      </c>
      <c r="Y41" s="16">
        <f t="shared" si="14"/>
        <v>6.7133764348074729</v>
      </c>
      <c r="Z41" s="13">
        <f t="shared" si="15"/>
        <v>4.6709458681629634</v>
      </c>
      <c r="AA41" s="13"/>
      <c r="AB41" s="13"/>
      <c r="AC41" s="13">
        <v>0</v>
      </c>
      <c r="AD41" s="13">
        <f>VLOOKUP(A:A,[1]TDSheet!$A:$AE,31,0)</f>
        <v>279.22719999999998</v>
      </c>
      <c r="AE41" s="13">
        <f>VLOOKUP(A:A,[1]TDSheet!$A:$AF,32,0)</f>
        <v>271.0308</v>
      </c>
      <c r="AF41" s="13">
        <f>VLOOKUP(A:A,[1]TDSheet!$A:$AG,33,0)</f>
        <v>134.76479999999998</v>
      </c>
      <c r="AG41" s="13">
        <f>VLOOKUP(A:A,[1]TDSheet!$A:$W,23,0)</f>
        <v>114.26679999999999</v>
      </c>
      <c r="AH41" s="13">
        <f>VLOOKUP(A:A,[3]TDSheet!$A:$D,4,0)</f>
        <v>109.52800000000001</v>
      </c>
      <c r="AI41" s="13" t="str">
        <f>VLOOKUP(A:A,[1]TDSheet!$A:$AI,35,0)</f>
        <v>жк оконч</v>
      </c>
      <c r="AJ41" s="13">
        <f t="shared" si="16"/>
        <v>0</v>
      </c>
      <c r="AK41" s="13">
        <f t="shared" si="17"/>
        <v>0</v>
      </c>
      <c r="AL41" s="13">
        <f t="shared" si="18"/>
        <v>120</v>
      </c>
      <c r="AM41" s="13"/>
      <c r="AN41" s="13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720</v>
      </c>
      <c r="D42" s="8">
        <v>2528</v>
      </c>
      <c r="E42" s="8">
        <v>962</v>
      </c>
      <c r="F42" s="8">
        <v>2264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986</v>
      </c>
      <c r="K42" s="13">
        <f t="shared" si="12"/>
        <v>-24</v>
      </c>
      <c r="L42" s="13">
        <f>VLOOKUP(A:A,[1]TDSheet!$A:$X,24,0)</f>
        <v>0</v>
      </c>
      <c r="M42" s="13"/>
      <c r="N42" s="13"/>
      <c r="O42" s="13"/>
      <c r="P42" s="13"/>
      <c r="Q42" s="13"/>
      <c r="R42" s="13"/>
      <c r="S42" s="13"/>
      <c r="T42" s="13"/>
      <c r="U42" s="13"/>
      <c r="V42" s="15"/>
      <c r="W42" s="13">
        <f t="shared" si="13"/>
        <v>192.4</v>
      </c>
      <c r="X42" s="15"/>
      <c r="Y42" s="16">
        <f t="shared" si="14"/>
        <v>11.767151767151766</v>
      </c>
      <c r="Z42" s="13">
        <f t="shared" si="15"/>
        <v>11.767151767151766</v>
      </c>
      <c r="AA42" s="13"/>
      <c r="AB42" s="13"/>
      <c r="AC42" s="13">
        <v>0</v>
      </c>
      <c r="AD42" s="13">
        <f>VLOOKUP(A:A,[1]TDSheet!$A:$AE,31,0)</f>
        <v>174.4</v>
      </c>
      <c r="AE42" s="13">
        <f>VLOOKUP(A:A,[1]TDSheet!$A:$AF,32,0)</f>
        <v>173.2</v>
      </c>
      <c r="AF42" s="13">
        <f>VLOOKUP(A:A,[1]TDSheet!$A:$AG,33,0)</f>
        <v>247</v>
      </c>
      <c r="AG42" s="13">
        <f>VLOOKUP(A:A,[1]TDSheet!$A:$W,23,0)</f>
        <v>223.2</v>
      </c>
      <c r="AH42" s="13">
        <f>VLOOKUP(A:A,[3]TDSheet!$A:$D,4,0)</f>
        <v>200</v>
      </c>
      <c r="AI42" s="13">
        <f>VLOOKUP(A:A,[1]TDSheet!$A:$AI,35,0)</f>
        <v>0</v>
      </c>
      <c r="AJ42" s="13">
        <f t="shared" si="16"/>
        <v>0</v>
      </c>
      <c r="AK42" s="13">
        <f t="shared" si="17"/>
        <v>0</v>
      </c>
      <c r="AL42" s="13">
        <f t="shared" si="18"/>
        <v>0</v>
      </c>
      <c r="AM42" s="13"/>
      <c r="AN42" s="13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370</v>
      </c>
      <c r="D43" s="8">
        <v>1550</v>
      </c>
      <c r="E43" s="8">
        <v>972</v>
      </c>
      <c r="F43" s="8">
        <v>922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993</v>
      </c>
      <c r="K43" s="13">
        <f t="shared" si="12"/>
        <v>-21</v>
      </c>
      <c r="L43" s="13">
        <f>VLOOKUP(A:A,[1]TDSheet!$A:$X,24,0)</f>
        <v>120</v>
      </c>
      <c r="M43" s="13"/>
      <c r="N43" s="13"/>
      <c r="O43" s="13"/>
      <c r="P43" s="13"/>
      <c r="Q43" s="13"/>
      <c r="R43" s="13"/>
      <c r="S43" s="13"/>
      <c r="T43" s="13"/>
      <c r="U43" s="13"/>
      <c r="V43" s="15">
        <v>80</v>
      </c>
      <c r="W43" s="13">
        <f t="shared" si="13"/>
        <v>194.4</v>
      </c>
      <c r="X43" s="15">
        <v>200</v>
      </c>
      <c r="Y43" s="16">
        <f t="shared" si="14"/>
        <v>6.8004115226337447</v>
      </c>
      <c r="Z43" s="13">
        <f t="shared" si="15"/>
        <v>4.7427983539094649</v>
      </c>
      <c r="AA43" s="13"/>
      <c r="AB43" s="13"/>
      <c r="AC43" s="13">
        <v>0</v>
      </c>
      <c r="AD43" s="13">
        <f>VLOOKUP(A:A,[1]TDSheet!$A:$AE,31,0)</f>
        <v>212.8</v>
      </c>
      <c r="AE43" s="13">
        <f>VLOOKUP(A:A,[1]TDSheet!$A:$AF,32,0)</f>
        <v>181.2</v>
      </c>
      <c r="AF43" s="13">
        <f>VLOOKUP(A:A,[1]TDSheet!$A:$AG,33,0)</f>
        <v>260.2</v>
      </c>
      <c r="AG43" s="13">
        <f>VLOOKUP(A:A,[1]TDSheet!$A:$W,23,0)</f>
        <v>203.4</v>
      </c>
      <c r="AH43" s="13">
        <f>VLOOKUP(A:A,[3]TDSheet!$A:$D,4,0)</f>
        <v>222</v>
      </c>
      <c r="AI43" s="13">
        <f>VLOOKUP(A:A,[1]TDSheet!$A:$AI,35,0)</f>
        <v>0</v>
      </c>
      <c r="AJ43" s="13">
        <f t="shared" si="16"/>
        <v>0</v>
      </c>
      <c r="AK43" s="13">
        <f t="shared" si="17"/>
        <v>28</v>
      </c>
      <c r="AL43" s="13">
        <f t="shared" si="18"/>
        <v>70</v>
      </c>
      <c r="AM43" s="13"/>
      <c r="AN43" s="13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102.494</v>
      </c>
      <c r="D44" s="8">
        <v>364.63900000000001</v>
      </c>
      <c r="E44" s="8">
        <v>250.62799999999999</v>
      </c>
      <c r="F44" s="8">
        <v>212.88200000000001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259.99</v>
      </c>
      <c r="K44" s="13">
        <f t="shared" si="12"/>
        <v>-9.3620000000000232</v>
      </c>
      <c r="L44" s="13">
        <f>VLOOKUP(A:A,[1]TDSheet!$A:$X,24,0)</f>
        <v>60</v>
      </c>
      <c r="M44" s="13"/>
      <c r="N44" s="13"/>
      <c r="O44" s="13"/>
      <c r="P44" s="13"/>
      <c r="Q44" s="13"/>
      <c r="R44" s="13"/>
      <c r="S44" s="13"/>
      <c r="T44" s="13"/>
      <c r="U44" s="13"/>
      <c r="V44" s="15">
        <v>20</v>
      </c>
      <c r="W44" s="13">
        <f t="shared" si="13"/>
        <v>50.125599999999999</v>
      </c>
      <c r="X44" s="15">
        <v>60</v>
      </c>
      <c r="Y44" s="16">
        <f t="shared" si="14"/>
        <v>7.0399556314537888</v>
      </c>
      <c r="Z44" s="13">
        <f t="shared" si="15"/>
        <v>4.246971607322406</v>
      </c>
      <c r="AA44" s="13"/>
      <c r="AB44" s="13"/>
      <c r="AC44" s="13">
        <v>0</v>
      </c>
      <c r="AD44" s="13">
        <f>VLOOKUP(A:A,[1]TDSheet!$A:$AE,31,0)</f>
        <v>44.755600000000001</v>
      </c>
      <c r="AE44" s="13">
        <f>VLOOKUP(A:A,[1]TDSheet!$A:$AF,32,0)</f>
        <v>42.6492</v>
      </c>
      <c r="AF44" s="13">
        <f>VLOOKUP(A:A,[1]TDSheet!$A:$AG,33,0)</f>
        <v>59.303200000000004</v>
      </c>
      <c r="AG44" s="13">
        <f>VLOOKUP(A:A,[1]TDSheet!$A:$W,23,0)</f>
        <v>50.9422</v>
      </c>
      <c r="AH44" s="13">
        <f>VLOOKUP(A:A,[3]TDSheet!$A:$D,4,0)</f>
        <v>57.15</v>
      </c>
      <c r="AI44" s="13">
        <f>VLOOKUP(A:A,[1]TDSheet!$A:$AI,35,0)</f>
        <v>0</v>
      </c>
      <c r="AJ44" s="13">
        <f t="shared" si="16"/>
        <v>0</v>
      </c>
      <c r="AK44" s="13">
        <f t="shared" si="17"/>
        <v>20</v>
      </c>
      <c r="AL44" s="13">
        <f t="shared" si="18"/>
        <v>60</v>
      </c>
      <c r="AM44" s="13"/>
      <c r="AN44" s="13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296</v>
      </c>
      <c r="D45" s="8">
        <v>975</v>
      </c>
      <c r="E45" s="8">
        <v>776</v>
      </c>
      <c r="F45" s="8">
        <v>486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784</v>
      </c>
      <c r="K45" s="13">
        <f t="shared" si="12"/>
        <v>-8</v>
      </c>
      <c r="L45" s="13">
        <f>VLOOKUP(A:A,[1]TDSheet!$A:$X,24,0)</f>
        <v>100</v>
      </c>
      <c r="M45" s="13"/>
      <c r="N45" s="13"/>
      <c r="O45" s="13"/>
      <c r="P45" s="13"/>
      <c r="Q45" s="13"/>
      <c r="R45" s="13"/>
      <c r="S45" s="13"/>
      <c r="T45" s="13"/>
      <c r="U45" s="13"/>
      <c r="V45" s="15">
        <v>280</v>
      </c>
      <c r="W45" s="13">
        <f t="shared" si="13"/>
        <v>155.19999999999999</v>
      </c>
      <c r="X45" s="15">
        <v>200</v>
      </c>
      <c r="Y45" s="16">
        <f t="shared" si="14"/>
        <v>6.8685567010309283</v>
      </c>
      <c r="Z45" s="13">
        <f t="shared" si="15"/>
        <v>3.1314432989690726</v>
      </c>
      <c r="AA45" s="13"/>
      <c r="AB45" s="13"/>
      <c r="AC45" s="13">
        <v>0</v>
      </c>
      <c r="AD45" s="13">
        <f>VLOOKUP(A:A,[1]TDSheet!$A:$AE,31,0)</f>
        <v>137.19999999999999</v>
      </c>
      <c r="AE45" s="13">
        <f>VLOOKUP(A:A,[1]TDSheet!$A:$AF,32,0)</f>
        <v>128.80000000000001</v>
      </c>
      <c r="AF45" s="13">
        <f>VLOOKUP(A:A,[1]TDSheet!$A:$AG,33,0)</f>
        <v>170.8</v>
      </c>
      <c r="AG45" s="13">
        <f>VLOOKUP(A:A,[1]TDSheet!$A:$W,23,0)</f>
        <v>137</v>
      </c>
      <c r="AH45" s="13">
        <f>VLOOKUP(A:A,[3]TDSheet!$A:$D,4,0)</f>
        <v>173</v>
      </c>
      <c r="AI45" s="13">
        <f>VLOOKUP(A:A,[1]TDSheet!$A:$AI,35,0)</f>
        <v>0</v>
      </c>
      <c r="AJ45" s="13">
        <f t="shared" si="16"/>
        <v>0</v>
      </c>
      <c r="AK45" s="13">
        <f t="shared" si="17"/>
        <v>112</v>
      </c>
      <c r="AL45" s="13">
        <f t="shared" si="18"/>
        <v>80</v>
      </c>
      <c r="AM45" s="13"/>
      <c r="AN45" s="13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573</v>
      </c>
      <c r="D46" s="8">
        <v>2544</v>
      </c>
      <c r="E46" s="8">
        <v>1723</v>
      </c>
      <c r="F46" s="8">
        <v>1385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1716</v>
      </c>
      <c r="K46" s="13">
        <f t="shared" si="12"/>
        <v>7</v>
      </c>
      <c r="L46" s="13">
        <f>VLOOKUP(A:A,[1]TDSheet!$A:$X,24,0)</f>
        <v>300</v>
      </c>
      <c r="M46" s="13"/>
      <c r="N46" s="13"/>
      <c r="O46" s="13"/>
      <c r="P46" s="13"/>
      <c r="Q46" s="13"/>
      <c r="R46" s="13"/>
      <c r="S46" s="13"/>
      <c r="T46" s="13"/>
      <c r="U46" s="13"/>
      <c r="V46" s="15">
        <v>300</v>
      </c>
      <c r="W46" s="13">
        <f t="shared" si="13"/>
        <v>344.6</v>
      </c>
      <c r="X46" s="15">
        <v>400</v>
      </c>
      <c r="Y46" s="16">
        <f t="shared" si="14"/>
        <v>6.9210679048171793</v>
      </c>
      <c r="Z46" s="13">
        <f t="shared" si="15"/>
        <v>4.0191526407428899</v>
      </c>
      <c r="AA46" s="13"/>
      <c r="AB46" s="13"/>
      <c r="AC46" s="13">
        <v>0</v>
      </c>
      <c r="AD46" s="13">
        <f>VLOOKUP(A:A,[1]TDSheet!$A:$AE,31,0)</f>
        <v>337.6</v>
      </c>
      <c r="AE46" s="13">
        <f>VLOOKUP(A:A,[1]TDSheet!$A:$AF,32,0)</f>
        <v>339.8</v>
      </c>
      <c r="AF46" s="13">
        <f>VLOOKUP(A:A,[1]TDSheet!$A:$AG,33,0)</f>
        <v>388</v>
      </c>
      <c r="AG46" s="13">
        <f>VLOOKUP(A:A,[1]TDSheet!$A:$W,23,0)</f>
        <v>348.2</v>
      </c>
      <c r="AH46" s="13">
        <f>VLOOKUP(A:A,[3]TDSheet!$A:$D,4,0)</f>
        <v>391</v>
      </c>
      <c r="AI46" s="13">
        <f>VLOOKUP(A:A,[1]TDSheet!$A:$AI,35,0)</f>
        <v>0</v>
      </c>
      <c r="AJ46" s="13">
        <f t="shared" si="16"/>
        <v>0</v>
      </c>
      <c r="AK46" s="13">
        <f t="shared" si="17"/>
        <v>120</v>
      </c>
      <c r="AL46" s="13">
        <f t="shared" si="18"/>
        <v>160</v>
      </c>
      <c r="AM46" s="13"/>
      <c r="AN46" s="13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68.488</v>
      </c>
      <c r="D47" s="8">
        <v>229.62799999999999</v>
      </c>
      <c r="E47" s="8">
        <v>166.84200000000001</v>
      </c>
      <c r="F47" s="8">
        <v>130.54300000000001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167.7</v>
      </c>
      <c r="K47" s="13">
        <f t="shared" si="12"/>
        <v>-0.85799999999997567</v>
      </c>
      <c r="L47" s="13">
        <f>VLOOKUP(A:A,[1]TDSheet!$A:$X,24,0)</f>
        <v>40</v>
      </c>
      <c r="M47" s="13"/>
      <c r="N47" s="13"/>
      <c r="O47" s="13"/>
      <c r="P47" s="13"/>
      <c r="Q47" s="13"/>
      <c r="R47" s="13"/>
      <c r="S47" s="13"/>
      <c r="T47" s="13"/>
      <c r="U47" s="13"/>
      <c r="V47" s="15">
        <v>30</v>
      </c>
      <c r="W47" s="13">
        <f t="shared" si="13"/>
        <v>33.368400000000001</v>
      </c>
      <c r="X47" s="15">
        <v>40</v>
      </c>
      <c r="Y47" s="16">
        <f t="shared" si="14"/>
        <v>7.2087064408242529</v>
      </c>
      <c r="Z47" s="13">
        <f t="shared" si="15"/>
        <v>3.9121743925390491</v>
      </c>
      <c r="AA47" s="13"/>
      <c r="AB47" s="13"/>
      <c r="AC47" s="13">
        <v>0</v>
      </c>
      <c r="AD47" s="13">
        <f>VLOOKUP(A:A,[1]TDSheet!$A:$AE,31,0)</f>
        <v>28.909199999999998</v>
      </c>
      <c r="AE47" s="13">
        <f>VLOOKUP(A:A,[1]TDSheet!$A:$AF,32,0)</f>
        <v>29.4846</v>
      </c>
      <c r="AF47" s="13">
        <f>VLOOKUP(A:A,[1]TDSheet!$A:$AG,33,0)</f>
        <v>32.495800000000003</v>
      </c>
      <c r="AG47" s="13">
        <f>VLOOKUP(A:A,[1]TDSheet!$A:$W,23,0)</f>
        <v>32.205799999999996</v>
      </c>
      <c r="AH47" s="13">
        <f>VLOOKUP(A:A,[3]TDSheet!$A:$D,4,0)</f>
        <v>37.639000000000003</v>
      </c>
      <c r="AI47" s="13">
        <f>VLOOKUP(A:A,[1]TDSheet!$A:$AI,35,0)</f>
        <v>0</v>
      </c>
      <c r="AJ47" s="13">
        <f t="shared" si="16"/>
        <v>0</v>
      </c>
      <c r="AK47" s="13">
        <f t="shared" si="17"/>
        <v>30</v>
      </c>
      <c r="AL47" s="13">
        <f t="shared" si="18"/>
        <v>40</v>
      </c>
      <c r="AM47" s="13"/>
      <c r="AN47" s="13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300.37</v>
      </c>
      <c r="D48" s="8">
        <v>752.92200000000003</v>
      </c>
      <c r="E48" s="8">
        <v>569.06899999999996</v>
      </c>
      <c r="F48" s="8">
        <v>475.57299999999998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580.26</v>
      </c>
      <c r="K48" s="13">
        <f t="shared" si="12"/>
        <v>-11.191000000000031</v>
      </c>
      <c r="L48" s="13">
        <f>VLOOKUP(A:A,[1]TDSheet!$A:$X,24,0)</f>
        <v>150</v>
      </c>
      <c r="M48" s="13"/>
      <c r="N48" s="13"/>
      <c r="O48" s="13"/>
      <c r="P48" s="13"/>
      <c r="Q48" s="13"/>
      <c r="R48" s="13"/>
      <c r="S48" s="13"/>
      <c r="T48" s="13"/>
      <c r="U48" s="13"/>
      <c r="V48" s="15">
        <v>50</v>
      </c>
      <c r="W48" s="13">
        <f t="shared" si="13"/>
        <v>113.81379999999999</v>
      </c>
      <c r="X48" s="15">
        <v>120</v>
      </c>
      <c r="Y48" s="16">
        <f t="shared" si="14"/>
        <v>6.9901277349495414</v>
      </c>
      <c r="Z48" s="13">
        <f t="shared" si="15"/>
        <v>4.1785178950180031</v>
      </c>
      <c r="AA48" s="13"/>
      <c r="AB48" s="13"/>
      <c r="AC48" s="13">
        <v>0</v>
      </c>
      <c r="AD48" s="13">
        <f>VLOOKUP(A:A,[1]TDSheet!$A:$AE,31,0)</f>
        <v>131.483</v>
      </c>
      <c r="AE48" s="13">
        <f>VLOOKUP(A:A,[1]TDSheet!$A:$AF,32,0)</f>
        <v>130.7636</v>
      </c>
      <c r="AF48" s="13">
        <f>VLOOKUP(A:A,[1]TDSheet!$A:$AG,33,0)</f>
        <v>126.36060000000001</v>
      </c>
      <c r="AG48" s="13">
        <f>VLOOKUP(A:A,[1]TDSheet!$A:$W,23,0)</f>
        <v>121.46579999999999</v>
      </c>
      <c r="AH48" s="13">
        <f>VLOOKUP(A:A,[3]TDSheet!$A:$D,4,0)</f>
        <v>91.028000000000006</v>
      </c>
      <c r="AI48" s="13">
        <f>VLOOKUP(A:A,[1]TDSheet!$A:$AI,35,0)</f>
        <v>0</v>
      </c>
      <c r="AJ48" s="13">
        <f t="shared" si="16"/>
        <v>0</v>
      </c>
      <c r="AK48" s="13">
        <f t="shared" si="17"/>
        <v>50</v>
      </c>
      <c r="AL48" s="13">
        <f t="shared" si="18"/>
        <v>120</v>
      </c>
      <c r="AM48" s="13"/>
      <c r="AN48" s="13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437</v>
      </c>
      <c r="D49" s="8">
        <v>1738</v>
      </c>
      <c r="E49" s="8">
        <v>1328</v>
      </c>
      <c r="F49" s="8">
        <v>827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1359</v>
      </c>
      <c r="K49" s="13">
        <f t="shared" si="12"/>
        <v>-31</v>
      </c>
      <c r="L49" s="13">
        <f>VLOOKUP(A:A,[1]TDSheet!$A:$X,24,0)</f>
        <v>300</v>
      </c>
      <c r="M49" s="13"/>
      <c r="N49" s="13"/>
      <c r="O49" s="13"/>
      <c r="P49" s="13"/>
      <c r="Q49" s="13"/>
      <c r="R49" s="13"/>
      <c r="S49" s="13"/>
      <c r="T49" s="13"/>
      <c r="U49" s="13"/>
      <c r="V49" s="15">
        <v>350</v>
      </c>
      <c r="W49" s="13">
        <f t="shared" si="13"/>
        <v>265.60000000000002</v>
      </c>
      <c r="X49" s="15">
        <v>350</v>
      </c>
      <c r="Y49" s="16">
        <f t="shared" si="14"/>
        <v>6.8787650602409629</v>
      </c>
      <c r="Z49" s="13">
        <f t="shared" si="15"/>
        <v>3.1137048192771082</v>
      </c>
      <c r="AA49" s="13"/>
      <c r="AB49" s="13"/>
      <c r="AC49" s="13">
        <v>0</v>
      </c>
      <c r="AD49" s="13">
        <f>VLOOKUP(A:A,[1]TDSheet!$A:$AE,31,0)</f>
        <v>249.6</v>
      </c>
      <c r="AE49" s="13">
        <f>VLOOKUP(A:A,[1]TDSheet!$A:$AF,32,0)</f>
        <v>215.4</v>
      </c>
      <c r="AF49" s="13">
        <f>VLOOKUP(A:A,[1]TDSheet!$A:$AG,33,0)</f>
        <v>271.2</v>
      </c>
      <c r="AG49" s="13">
        <f>VLOOKUP(A:A,[1]TDSheet!$A:$W,23,0)</f>
        <v>247.4</v>
      </c>
      <c r="AH49" s="13">
        <f>VLOOKUP(A:A,[3]TDSheet!$A:$D,4,0)</f>
        <v>289</v>
      </c>
      <c r="AI49" s="13">
        <f>VLOOKUP(A:A,[1]TDSheet!$A:$AI,35,0)</f>
        <v>0</v>
      </c>
      <c r="AJ49" s="13">
        <f t="shared" si="16"/>
        <v>0</v>
      </c>
      <c r="AK49" s="13">
        <f t="shared" si="17"/>
        <v>122.49999999999999</v>
      </c>
      <c r="AL49" s="13">
        <f t="shared" si="18"/>
        <v>122.49999999999999</v>
      </c>
      <c r="AM49" s="13"/>
      <c r="AN49" s="13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427</v>
      </c>
      <c r="D50" s="8">
        <v>3199</v>
      </c>
      <c r="E50" s="8">
        <v>2117</v>
      </c>
      <c r="F50" s="8">
        <v>1471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2154</v>
      </c>
      <c r="K50" s="13">
        <f t="shared" si="12"/>
        <v>-37</v>
      </c>
      <c r="L50" s="13">
        <f>VLOOKUP(A:A,[1]TDSheet!$A:$X,24,0)</f>
        <v>500</v>
      </c>
      <c r="M50" s="13"/>
      <c r="N50" s="13"/>
      <c r="O50" s="13"/>
      <c r="P50" s="13"/>
      <c r="Q50" s="13"/>
      <c r="R50" s="13"/>
      <c r="S50" s="13"/>
      <c r="T50" s="13"/>
      <c r="U50" s="13"/>
      <c r="V50" s="15">
        <v>450</v>
      </c>
      <c r="W50" s="13">
        <f t="shared" si="13"/>
        <v>423.4</v>
      </c>
      <c r="X50" s="15">
        <v>500</v>
      </c>
      <c r="Y50" s="16">
        <f t="shared" si="14"/>
        <v>6.8989135569201707</v>
      </c>
      <c r="Z50" s="13">
        <f t="shared" si="15"/>
        <v>3.474256022673595</v>
      </c>
      <c r="AA50" s="13"/>
      <c r="AB50" s="13"/>
      <c r="AC50" s="13">
        <v>0</v>
      </c>
      <c r="AD50" s="13">
        <f>VLOOKUP(A:A,[1]TDSheet!$A:$AE,31,0)</f>
        <v>363.4</v>
      </c>
      <c r="AE50" s="13">
        <f>VLOOKUP(A:A,[1]TDSheet!$A:$AF,32,0)</f>
        <v>337.6</v>
      </c>
      <c r="AF50" s="13">
        <f>VLOOKUP(A:A,[1]TDSheet!$A:$AG,33,0)</f>
        <v>449.6</v>
      </c>
      <c r="AG50" s="13">
        <f>VLOOKUP(A:A,[1]TDSheet!$A:$W,23,0)</f>
        <v>415.4</v>
      </c>
      <c r="AH50" s="13">
        <f>VLOOKUP(A:A,[3]TDSheet!$A:$D,4,0)</f>
        <v>454</v>
      </c>
      <c r="AI50" s="13">
        <f>VLOOKUP(A:A,[1]TDSheet!$A:$AI,35,0)</f>
        <v>0</v>
      </c>
      <c r="AJ50" s="13">
        <f t="shared" si="16"/>
        <v>0</v>
      </c>
      <c r="AK50" s="13">
        <f t="shared" si="17"/>
        <v>157.5</v>
      </c>
      <c r="AL50" s="13">
        <f t="shared" si="18"/>
        <v>175</v>
      </c>
      <c r="AM50" s="13"/>
      <c r="AN50" s="13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464</v>
      </c>
      <c r="D51" s="8">
        <v>1625</v>
      </c>
      <c r="E51" s="8">
        <v>1154</v>
      </c>
      <c r="F51" s="8">
        <v>920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1172</v>
      </c>
      <c r="K51" s="13">
        <f t="shared" si="12"/>
        <v>-18</v>
      </c>
      <c r="L51" s="13">
        <f>VLOOKUP(A:A,[1]TDSheet!$A:$X,24,0)</f>
        <v>140</v>
      </c>
      <c r="M51" s="13"/>
      <c r="N51" s="13"/>
      <c r="O51" s="13"/>
      <c r="P51" s="13"/>
      <c r="Q51" s="13"/>
      <c r="R51" s="13"/>
      <c r="S51" s="13"/>
      <c r="T51" s="13"/>
      <c r="U51" s="13"/>
      <c r="V51" s="15">
        <v>250</v>
      </c>
      <c r="W51" s="13">
        <f t="shared" si="13"/>
        <v>230.8</v>
      </c>
      <c r="X51" s="15">
        <v>300</v>
      </c>
      <c r="Y51" s="16">
        <f t="shared" si="14"/>
        <v>6.9757365684575383</v>
      </c>
      <c r="Z51" s="13">
        <f t="shared" si="15"/>
        <v>3.9861351819757362</v>
      </c>
      <c r="AA51" s="13"/>
      <c r="AB51" s="13"/>
      <c r="AC51" s="13">
        <v>0</v>
      </c>
      <c r="AD51" s="13">
        <f>VLOOKUP(A:A,[1]TDSheet!$A:$AE,31,0)</f>
        <v>234.4</v>
      </c>
      <c r="AE51" s="13">
        <f>VLOOKUP(A:A,[1]TDSheet!$A:$AF,32,0)</f>
        <v>220.4</v>
      </c>
      <c r="AF51" s="13">
        <f>VLOOKUP(A:A,[1]TDSheet!$A:$AG,33,0)</f>
        <v>258.8</v>
      </c>
      <c r="AG51" s="13">
        <f>VLOOKUP(A:A,[1]TDSheet!$A:$W,23,0)</f>
        <v>219.8</v>
      </c>
      <c r="AH51" s="13">
        <f>VLOOKUP(A:A,[3]TDSheet!$A:$D,4,0)</f>
        <v>266</v>
      </c>
      <c r="AI51" s="13">
        <f>VLOOKUP(A:A,[1]TDSheet!$A:$AI,35,0)</f>
        <v>0</v>
      </c>
      <c r="AJ51" s="13">
        <f t="shared" si="16"/>
        <v>0</v>
      </c>
      <c r="AK51" s="13">
        <f t="shared" si="17"/>
        <v>100</v>
      </c>
      <c r="AL51" s="13">
        <f t="shared" si="18"/>
        <v>120</v>
      </c>
      <c r="AM51" s="13"/>
      <c r="AN51" s="13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157.679</v>
      </c>
      <c r="D52" s="8">
        <v>1413.05</v>
      </c>
      <c r="E52" s="8">
        <v>879.57600000000002</v>
      </c>
      <c r="F52" s="8">
        <v>672.36300000000006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887.68899999999996</v>
      </c>
      <c r="K52" s="13">
        <f t="shared" si="12"/>
        <v>-8.1129999999999427</v>
      </c>
      <c r="L52" s="13">
        <f>VLOOKUP(A:A,[1]TDSheet!$A:$X,24,0)</f>
        <v>160</v>
      </c>
      <c r="M52" s="13"/>
      <c r="N52" s="13"/>
      <c r="O52" s="13"/>
      <c r="P52" s="13"/>
      <c r="Q52" s="13"/>
      <c r="R52" s="13"/>
      <c r="S52" s="13"/>
      <c r="T52" s="13"/>
      <c r="U52" s="13"/>
      <c r="V52" s="15">
        <v>180</v>
      </c>
      <c r="W52" s="13">
        <f t="shared" si="13"/>
        <v>175.9152</v>
      </c>
      <c r="X52" s="15">
        <v>200</v>
      </c>
      <c r="Y52" s="16">
        <f t="shared" si="14"/>
        <v>6.8917467052307027</v>
      </c>
      <c r="Z52" s="13">
        <f t="shared" si="15"/>
        <v>3.8220858686458024</v>
      </c>
      <c r="AA52" s="13"/>
      <c r="AB52" s="13"/>
      <c r="AC52" s="13">
        <v>0</v>
      </c>
      <c r="AD52" s="13">
        <f>VLOOKUP(A:A,[1]TDSheet!$A:$AE,31,0)</f>
        <v>162.78479999999999</v>
      </c>
      <c r="AE52" s="13">
        <f>VLOOKUP(A:A,[1]TDSheet!$A:$AF,32,0)</f>
        <v>158.79159999999999</v>
      </c>
      <c r="AF52" s="13">
        <f>VLOOKUP(A:A,[1]TDSheet!$A:$AG,33,0)</f>
        <v>182.1566</v>
      </c>
      <c r="AG52" s="13">
        <f>VLOOKUP(A:A,[1]TDSheet!$A:$W,23,0)</f>
        <v>171.2534</v>
      </c>
      <c r="AH52" s="13">
        <f>VLOOKUP(A:A,[3]TDSheet!$A:$D,4,0)</f>
        <v>214.476</v>
      </c>
      <c r="AI52" s="13" t="str">
        <f>VLOOKUP(A:A,[1]TDSheet!$A:$AI,35,0)</f>
        <v>жц</v>
      </c>
      <c r="AJ52" s="13">
        <f t="shared" si="16"/>
        <v>0</v>
      </c>
      <c r="AK52" s="13">
        <f t="shared" si="17"/>
        <v>180</v>
      </c>
      <c r="AL52" s="13">
        <f t="shared" si="18"/>
        <v>200</v>
      </c>
      <c r="AM52" s="13"/>
      <c r="AN52" s="13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201.714</v>
      </c>
      <c r="D53" s="8">
        <v>908.88</v>
      </c>
      <c r="E53" s="8">
        <v>621.34299999999996</v>
      </c>
      <c r="F53" s="8">
        <v>452.49900000000002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642.70399999999995</v>
      </c>
      <c r="K53" s="13">
        <f t="shared" si="12"/>
        <v>-21.36099999999999</v>
      </c>
      <c r="L53" s="13">
        <f>VLOOKUP(A:A,[1]TDSheet!$A:$X,24,0)</f>
        <v>240</v>
      </c>
      <c r="M53" s="13"/>
      <c r="N53" s="13"/>
      <c r="O53" s="13"/>
      <c r="P53" s="13"/>
      <c r="Q53" s="13"/>
      <c r="R53" s="13"/>
      <c r="S53" s="13"/>
      <c r="T53" s="13"/>
      <c r="U53" s="13"/>
      <c r="V53" s="15">
        <v>50</v>
      </c>
      <c r="W53" s="13">
        <f t="shared" si="13"/>
        <v>124.26859999999999</v>
      </c>
      <c r="X53" s="15">
        <v>120</v>
      </c>
      <c r="Y53" s="16">
        <f t="shared" si="14"/>
        <v>6.9406028554276791</v>
      </c>
      <c r="Z53" s="13">
        <f t="shared" si="15"/>
        <v>3.6412979626389936</v>
      </c>
      <c r="AA53" s="13"/>
      <c r="AB53" s="13"/>
      <c r="AC53" s="13">
        <v>0</v>
      </c>
      <c r="AD53" s="13">
        <f>VLOOKUP(A:A,[1]TDSheet!$A:$AE,31,0)</f>
        <v>141.30500000000001</v>
      </c>
      <c r="AE53" s="13">
        <f>VLOOKUP(A:A,[1]TDSheet!$A:$AF,32,0)</f>
        <v>145.9974</v>
      </c>
      <c r="AF53" s="13">
        <f>VLOOKUP(A:A,[1]TDSheet!$A:$AG,33,0)</f>
        <v>158.88640000000001</v>
      </c>
      <c r="AG53" s="13">
        <f>VLOOKUP(A:A,[1]TDSheet!$A:$W,23,0)</f>
        <v>133.54159999999999</v>
      </c>
      <c r="AH53" s="13">
        <f>VLOOKUP(A:A,[3]TDSheet!$A:$D,4,0)</f>
        <v>137.06100000000001</v>
      </c>
      <c r="AI53" s="13" t="str">
        <f>VLOOKUP(A:A,[1]TDSheet!$A:$AI,35,0)</f>
        <v>оконч</v>
      </c>
      <c r="AJ53" s="13">
        <f t="shared" si="16"/>
        <v>0</v>
      </c>
      <c r="AK53" s="13">
        <f t="shared" si="17"/>
        <v>50</v>
      </c>
      <c r="AL53" s="13">
        <f t="shared" si="18"/>
        <v>120</v>
      </c>
      <c r="AM53" s="13"/>
      <c r="AN53" s="13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32.784999999999997</v>
      </c>
      <c r="D54" s="8"/>
      <c r="E54" s="8">
        <v>0</v>
      </c>
      <c r="F54" s="8">
        <v>32.784999999999997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3">
        <f>VLOOKUP(A:A,[2]TDSheet!$A:$F,6,0)</f>
        <v>19.2</v>
      </c>
      <c r="K54" s="13">
        <f t="shared" si="12"/>
        <v>-19.2</v>
      </c>
      <c r="L54" s="13">
        <f>VLOOKUP(A:A,[1]TDSheet!$A:$X,24,0)</f>
        <v>0</v>
      </c>
      <c r="M54" s="13"/>
      <c r="N54" s="13"/>
      <c r="O54" s="13"/>
      <c r="P54" s="13"/>
      <c r="Q54" s="13"/>
      <c r="R54" s="13"/>
      <c r="S54" s="13"/>
      <c r="T54" s="13"/>
      <c r="U54" s="13"/>
      <c r="V54" s="15"/>
      <c r="W54" s="13">
        <f t="shared" si="13"/>
        <v>0</v>
      </c>
      <c r="X54" s="15"/>
      <c r="Y54" s="16" t="e">
        <f t="shared" si="14"/>
        <v>#DIV/0!</v>
      </c>
      <c r="Z54" s="13" t="e">
        <f t="shared" si="15"/>
        <v>#DIV/0!</v>
      </c>
      <c r="AA54" s="13"/>
      <c r="AB54" s="13"/>
      <c r="AC54" s="13">
        <v>0</v>
      </c>
      <c r="AD54" s="13">
        <f>VLOOKUP(A:A,[1]TDSheet!$A:$AE,31,0)</f>
        <v>5.7248000000000001</v>
      </c>
      <c r="AE54" s="13">
        <f>VLOOKUP(A:A,[1]TDSheet!$A:$AF,32,0)</f>
        <v>4.2081999999999997</v>
      </c>
      <c r="AF54" s="13">
        <f>VLOOKUP(A:A,[1]TDSheet!$A:$AG,33,0)</f>
        <v>5.1107999999999993</v>
      </c>
      <c r="AG54" s="13">
        <f>VLOOKUP(A:A,[1]TDSheet!$A:$W,23,0)</f>
        <v>0.89879999999999993</v>
      </c>
      <c r="AH54" s="13">
        <v>0</v>
      </c>
      <c r="AI54" s="13" t="str">
        <f>VLOOKUP(A:A,[1]TDSheet!$A:$AI,35,0)</f>
        <v>увел</v>
      </c>
      <c r="AJ54" s="13">
        <f t="shared" si="16"/>
        <v>0</v>
      </c>
      <c r="AK54" s="13">
        <f t="shared" si="17"/>
        <v>0</v>
      </c>
      <c r="AL54" s="13">
        <f t="shared" si="18"/>
        <v>0</v>
      </c>
      <c r="AM54" s="13"/>
      <c r="AN54" s="13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1101.046</v>
      </c>
      <c r="D55" s="8">
        <v>6993.7960000000003</v>
      </c>
      <c r="E55" s="8">
        <v>4707.1949999999997</v>
      </c>
      <c r="F55" s="8">
        <v>3345.6129999999998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4726.6930000000002</v>
      </c>
      <c r="K55" s="13">
        <f t="shared" si="12"/>
        <v>-19.498000000000502</v>
      </c>
      <c r="L55" s="13">
        <f>VLOOKUP(A:A,[1]TDSheet!$A:$X,24,0)</f>
        <v>1100</v>
      </c>
      <c r="M55" s="13"/>
      <c r="N55" s="13"/>
      <c r="O55" s="13"/>
      <c r="P55" s="13"/>
      <c r="Q55" s="13"/>
      <c r="R55" s="13"/>
      <c r="S55" s="13"/>
      <c r="T55" s="13"/>
      <c r="U55" s="13"/>
      <c r="V55" s="15">
        <v>1000</v>
      </c>
      <c r="W55" s="13">
        <f t="shared" si="13"/>
        <v>941.43899999999996</v>
      </c>
      <c r="X55" s="15">
        <v>1100</v>
      </c>
      <c r="Y55" s="16">
        <f t="shared" si="14"/>
        <v>6.9527744229843886</v>
      </c>
      <c r="Z55" s="13">
        <f t="shared" si="15"/>
        <v>3.5537225460173203</v>
      </c>
      <c r="AA55" s="13"/>
      <c r="AB55" s="13"/>
      <c r="AC55" s="13">
        <v>0</v>
      </c>
      <c r="AD55" s="13">
        <f>VLOOKUP(A:A,[1]TDSheet!$A:$AE,31,0)</f>
        <v>1001.78</v>
      </c>
      <c r="AE55" s="13">
        <f>VLOOKUP(A:A,[1]TDSheet!$A:$AF,32,0)</f>
        <v>958.94159999999988</v>
      </c>
      <c r="AF55" s="13">
        <f>VLOOKUP(A:A,[1]TDSheet!$A:$AG,33,0)</f>
        <v>940.26700000000005</v>
      </c>
      <c r="AG55" s="13">
        <f>VLOOKUP(A:A,[1]TDSheet!$A:$W,23,0)</f>
        <v>953.20319999999992</v>
      </c>
      <c r="AH55" s="13">
        <f>VLOOKUP(A:A,[3]TDSheet!$A:$D,4,0)</f>
        <v>1058.2950000000001</v>
      </c>
      <c r="AI55" s="13" t="str">
        <f>VLOOKUP(A:A,[1]TDSheet!$A:$AI,35,0)</f>
        <v>продноя</v>
      </c>
      <c r="AJ55" s="13">
        <f t="shared" si="16"/>
        <v>0</v>
      </c>
      <c r="AK55" s="13">
        <f t="shared" si="17"/>
        <v>1000</v>
      </c>
      <c r="AL55" s="13">
        <f t="shared" si="18"/>
        <v>1100</v>
      </c>
      <c r="AM55" s="13"/>
      <c r="AN55" s="13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556</v>
      </c>
      <c r="D56" s="8">
        <v>4379</v>
      </c>
      <c r="E56" s="8">
        <v>3028</v>
      </c>
      <c r="F56" s="8">
        <v>1860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3077</v>
      </c>
      <c r="K56" s="13">
        <f t="shared" si="12"/>
        <v>-49</v>
      </c>
      <c r="L56" s="13">
        <f>VLOOKUP(A:A,[1]TDSheet!$A:$X,24,0)</f>
        <v>600</v>
      </c>
      <c r="M56" s="13"/>
      <c r="N56" s="13"/>
      <c r="O56" s="13"/>
      <c r="P56" s="13"/>
      <c r="Q56" s="13"/>
      <c r="R56" s="13"/>
      <c r="S56" s="13"/>
      <c r="T56" s="13"/>
      <c r="U56" s="13"/>
      <c r="V56" s="15">
        <v>400</v>
      </c>
      <c r="W56" s="13">
        <f t="shared" si="13"/>
        <v>485.6</v>
      </c>
      <c r="X56" s="15">
        <v>500</v>
      </c>
      <c r="Y56" s="16">
        <f t="shared" si="14"/>
        <v>6.9192751235584842</v>
      </c>
      <c r="Z56" s="13">
        <f t="shared" si="15"/>
        <v>3.8303130148270181</v>
      </c>
      <c r="AA56" s="13"/>
      <c r="AB56" s="13"/>
      <c r="AC56" s="13">
        <f>VLOOKUP(A:A,[4]TDSheet!$A:$D,4,0)</f>
        <v>600</v>
      </c>
      <c r="AD56" s="13">
        <f>VLOOKUP(A:A,[1]TDSheet!$A:$AE,31,0)</f>
        <v>440.6</v>
      </c>
      <c r="AE56" s="13">
        <f>VLOOKUP(A:A,[1]TDSheet!$A:$AF,32,0)</f>
        <v>471.2</v>
      </c>
      <c r="AF56" s="13">
        <f>VLOOKUP(A:A,[1]TDSheet!$A:$AG,33,0)</f>
        <v>520.6</v>
      </c>
      <c r="AG56" s="13">
        <f>VLOOKUP(A:A,[1]TDSheet!$A:$W,23,0)</f>
        <v>494.6</v>
      </c>
      <c r="AH56" s="13">
        <f>VLOOKUP(A:A,[3]TDSheet!$A:$D,4,0)</f>
        <v>513</v>
      </c>
      <c r="AI56" s="13">
        <f>VLOOKUP(A:A,[1]TDSheet!$A:$AI,35,0)</f>
        <v>0</v>
      </c>
      <c r="AJ56" s="13">
        <f t="shared" si="16"/>
        <v>0</v>
      </c>
      <c r="AK56" s="13">
        <f t="shared" si="17"/>
        <v>180</v>
      </c>
      <c r="AL56" s="13">
        <f t="shared" si="18"/>
        <v>225</v>
      </c>
      <c r="AM56" s="13"/>
      <c r="AN56" s="13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3144</v>
      </c>
      <c r="D57" s="8">
        <v>5727</v>
      </c>
      <c r="E57" s="8">
        <v>5719</v>
      </c>
      <c r="F57" s="8">
        <v>3080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5795</v>
      </c>
      <c r="K57" s="13">
        <f t="shared" si="12"/>
        <v>-76</v>
      </c>
      <c r="L57" s="13">
        <f>VLOOKUP(A:A,[1]TDSheet!$A:$X,24,0)</f>
        <v>500</v>
      </c>
      <c r="M57" s="13"/>
      <c r="N57" s="13"/>
      <c r="O57" s="13"/>
      <c r="P57" s="13"/>
      <c r="Q57" s="13"/>
      <c r="R57" s="13"/>
      <c r="S57" s="13"/>
      <c r="T57" s="13">
        <v>1500</v>
      </c>
      <c r="U57" s="13"/>
      <c r="V57" s="15">
        <v>1200</v>
      </c>
      <c r="W57" s="13">
        <f t="shared" si="13"/>
        <v>843.8</v>
      </c>
      <c r="X57" s="15">
        <v>1100</v>
      </c>
      <c r="Y57" s="16">
        <f t="shared" si="14"/>
        <v>6.9684759421663909</v>
      </c>
      <c r="Z57" s="13">
        <f t="shared" si="15"/>
        <v>3.6501540649442998</v>
      </c>
      <c r="AA57" s="13"/>
      <c r="AB57" s="13"/>
      <c r="AC57" s="13">
        <f>VLOOKUP(A:A,[4]TDSheet!$A:$D,4,0)</f>
        <v>1500</v>
      </c>
      <c r="AD57" s="13">
        <f>VLOOKUP(A:A,[1]TDSheet!$A:$AE,31,0)</f>
        <v>723.2</v>
      </c>
      <c r="AE57" s="13">
        <f>VLOOKUP(A:A,[1]TDSheet!$A:$AF,32,0)</f>
        <v>719.8</v>
      </c>
      <c r="AF57" s="13">
        <f>VLOOKUP(A:A,[1]TDSheet!$A:$AG,33,0)</f>
        <v>850</v>
      </c>
      <c r="AG57" s="13">
        <f>VLOOKUP(A:A,[1]TDSheet!$A:$W,23,0)</f>
        <v>769</v>
      </c>
      <c r="AH57" s="13">
        <f>VLOOKUP(A:A,[3]TDSheet!$A:$D,4,0)</f>
        <v>1060</v>
      </c>
      <c r="AI57" s="13" t="str">
        <f>VLOOKUP(A:A,[1]TDSheet!$A:$AI,35,0)</f>
        <v>жц, яб</v>
      </c>
      <c r="AJ57" s="13">
        <f t="shared" si="16"/>
        <v>675</v>
      </c>
      <c r="AK57" s="13">
        <f t="shared" si="17"/>
        <v>540</v>
      </c>
      <c r="AL57" s="13">
        <f t="shared" si="18"/>
        <v>495</v>
      </c>
      <c r="AM57" s="13"/>
      <c r="AN57" s="13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246</v>
      </c>
      <c r="D58" s="8">
        <v>2628</v>
      </c>
      <c r="E58" s="8">
        <v>1379</v>
      </c>
      <c r="F58" s="8">
        <v>1473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1393</v>
      </c>
      <c r="K58" s="13">
        <f t="shared" si="12"/>
        <v>-14</v>
      </c>
      <c r="L58" s="13">
        <f>VLOOKUP(A:A,[1]TDSheet!$A:$X,24,0)</f>
        <v>100</v>
      </c>
      <c r="M58" s="13"/>
      <c r="N58" s="13"/>
      <c r="O58" s="13"/>
      <c r="P58" s="13"/>
      <c r="Q58" s="13"/>
      <c r="R58" s="13"/>
      <c r="S58" s="13"/>
      <c r="T58" s="13"/>
      <c r="U58" s="13"/>
      <c r="V58" s="15">
        <v>50</v>
      </c>
      <c r="W58" s="13">
        <f t="shared" si="13"/>
        <v>275.8</v>
      </c>
      <c r="X58" s="15">
        <v>300</v>
      </c>
      <c r="Y58" s="16">
        <f t="shared" si="14"/>
        <v>6.9724437998549673</v>
      </c>
      <c r="Z58" s="13">
        <f t="shared" si="15"/>
        <v>5.340826686004351</v>
      </c>
      <c r="AA58" s="13"/>
      <c r="AB58" s="13"/>
      <c r="AC58" s="13">
        <v>0</v>
      </c>
      <c r="AD58" s="13">
        <f>VLOOKUP(A:A,[1]TDSheet!$A:$AE,31,0)</f>
        <v>289.2</v>
      </c>
      <c r="AE58" s="13">
        <f>VLOOKUP(A:A,[1]TDSheet!$A:$AF,32,0)</f>
        <v>266.2</v>
      </c>
      <c r="AF58" s="13">
        <f>VLOOKUP(A:A,[1]TDSheet!$A:$AG,33,0)</f>
        <v>349.2</v>
      </c>
      <c r="AG58" s="13">
        <f>VLOOKUP(A:A,[1]TDSheet!$A:$W,23,0)</f>
        <v>300.39999999999998</v>
      </c>
      <c r="AH58" s="13">
        <f>VLOOKUP(A:A,[3]TDSheet!$A:$D,4,0)</f>
        <v>350</v>
      </c>
      <c r="AI58" s="13" t="str">
        <f>VLOOKUP(A:A,[1]TDSheet!$A:$AI,35,0)</f>
        <v>жц</v>
      </c>
      <c r="AJ58" s="13">
        <f t="shared" si="16"/>
        <v>0</v>
      </c>
      <c r="AK58" s="13">
        <f t="shared" si="17"/>
        <v>22.5</v>
      </c>
      <c r="AL58" s="13">
        <f t="shared" si="18"/>
        <v>135</v>
      </c>
      <c r="AM58" s="13"/>
      <c r="AN58" s="13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94</v>
      </c>
      <c r="D59" s="8">
        <v>470</v>
      </c>
      <c r="E59" s="8">
        <v>265</v>
      </c>
      <c r="F59" s="8">
        <v>288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280</v>
      </c>
      <c r="K59" s="13">
        <f t="shared" si="12"/>
        <v>-15</v>
      </c>
      <c r="L59" s="13">
        <f>VLOOKUP(A:A,[1]TDSheet!$A:$X,24,0)</f>
        <v>50</v>
      </c>
      <c r="M59" s="13"/>
      <c r="N59" s="13"/>
      <c r="O59" s="13"/>
      <c r="P59" s="13"/>
      <c r="Q59" s="13"/>
      <c r="R59" s="13"/>
      <c r="S59" s="13"/>
      <c r="T59" s="13"/>
      <c r="U59" s="13"/>
      <c r="V59" s="15"/>
      <c r="W59" s="13">
        <f t="shared" si="13"/>
        <v>53</v>
      </c>
      <c r="X59" s="15">
        <v>40</v>
      </c>
      <c r="Y59" s="16">
        <f t="shared" si="14"/>
        <v>7.132075471698113</v>
      </c>
      <c r="Z59" s="13">
        <f t="shared" si="15"/>
        <v>5.4339622641509431</v>
      </c>
      <c r="AA59" s="13"/>
      <c r="AB59" s="13"/>
      <c r="AC59" s="13">
        <v>0</v>
      </c>
      <c r="AD59" s="13">
        <f>VLOOKUP(A:A,[1]TDSheet!$A:$AE,31,0)</f>
        <v>60.6</v>
      </c>
      <c r="AE59" s="13">
        <f>VLOOKUP(A:A,[1]TDSheet!$A:$AF,32,0)</f>
        <v>55.8</v>
      </c>
      <c r="AF59" s="13">
        <f>VLOOKUP(A:A,[1]TDSheet!$A:$AG,33,0)</f>
        <v>65.599999999999994</v>
      </c>
      <c r="AG59" s="13">
        <f>VLOOKUP(A:A,[1]TDSheet!$A:$W,23,0)</f>
        <v>62</v>
      </c>
      <c r="AH59" s="13">
        <f>VLOOKUP(A:A,[3]TDSheet!$A:$D,4,0)</f>
        <v>82</v>
      </c>
      <c r="AI59" s="13">
        <f>VLOOKUP(A:A,[1]TDSheet!$A:$AI,35,0)</f>
        <v>0</v>
      </c>
      <c r="AJ59" s="13">
        <f t="shared" si="16"/>
        <v>0</v>
      </c>
      <c r="AK59" s="13">
        <f t="shared" si="17"/>
        <v>0</v>
      </c>
      <c r="AL59" s="13">
        <f t="shared" si="18"/>
        <v>16</v>
      </c>
      <c r="AM59" s="13"/>
      <c r="AN59" s="13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72</v>
      </c>
      <c r="D60" s="8">
        <v>517</v>
      </c>
      <c r="E60" s="8">
        <v>275</v>
      </c>
      <c r="F60" s="8">
        <v>291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301</v>
      </c>
      <c r="K60" s="13">
        <f t="shared" si="12"/>
        <v>-26</v>
      </c>
      <c r="L60" s="13">
        <f>VLOOKUP(A:A,[1]TDSheet!$A:$X,24,0)</f>
        <v>100</v>
      </c>
      <c r="M60" s="13"/>
      <c r="N60" s="13"/>
      <c r="O60" s="13"/>
      <c r="P60" s="13"/>
      <c r="Q60" s="13"/>
      <c r="R60" s="13"/>
      <c r="S60" s="13"/>
      <c r="T60" s="13"/>
      <c r="U60" s="13"/>
      <c r="V60" s="15"/>
      <c r="W60" s="13">
        <f t="shared" si="13"/>
        <v>55</v>
      </c>
      <c r="X60" s="15"/>
      <c r="Y60" s="16">
        <f t="shared" si="14"/>
        <v>7.1090909090909093</v>
      </c>
      <c r="Z60" s="13">
        <f t="shared" si="15"/>
        <v>5.290909090909091</v>
      </c>
      <c r="AA60" s="13"/>
      <c r="AB60" s="13"/>
      <c r="AC60" s="13">
        <v>0</v>
      </c>
      <c r="AD60" s="13">
        <f>VLOOKUP(A:A,[1]TDSheet!$A:$AE,31,0)</f>
        <v>55.4</v>
      </c>
      <c r="AE60" s="13">
        <f>VLOOKUP(A:A,[1]TDSheet!$A:$AF,32,0)</f>
        <v>51.4</v>
      </c>
      <c r="AF60" s="13">
        <f>VLOOKUP(A:A,[1]TDSheet!$A:$AG,33,0)</f>
        <v>54.2</v>
      </c>
      <c r="AG60" s="13">
        <f>VLOOKUP(A:A,[1]TDSheet!$A:$W,23,0)</f>
        <v>67.8</v>
      </c>
      <c r="AH60" s="13">
        <f>VLOOKUP(A:A,[3]TDSheet!$A:$D,4,0)</f>
        <v>66</v>
      </c>
      <c r="AI60" s="13">
        <f>VLOOKUP(A:A,[1]TDSheet!$A:$AI,35,0)</f>
        <v>0</v>
      </c>
      <c r="AJ60" s="13">
        <f t="shared" si="16"/>
        <v>0</v>
      </c>
      <c r="AK60" s="13">
        <f t="shared" si="17"/>
        <v>0</v>
      </c>
      <c r="AL60" s="13">
        <f t="shared" si="18"/>
        <v>0</v>
      </c>
      <c r="AM60" s="13"/>
      <c r="AN60" s="13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101.081</v>
      </c>
      <c r="D61" s="8">
        <v>1452.6780000000001</v>
      </c>
      <c r="E61" s="8">
        <v>868.26300000000003</v>
      </c>
      <c r="F61" s="8">
        <v>680.10500000000002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854.31299999999999</v>
      </c>
      <c r="K61" s="13">
        <f t="shared" si="12"/>
        <v>13.950000000000045</v>
      </c>
      <c r="L61" s="13">
        <f>VLOOKUP(A:A,[1]TDSheet!$A:$X,24,0)</f>
        <v>100</v>
      </c>
      <c r="M61" s="13"/>
      <c r="N61" s="13"/>
      <c r="O61" s="13"/>
      <c r="P61" s="13"/>
      <c r="Q61" s="13"/>
      <c r="R61" s="13"/>
      <c r="S61" s="13"/>
      <c r="T61" s="13"/>
      <c r="U61" s="13"/>
      <c r="V61" s="15">
        <v>200</v>
      </c>
      <c r="W61" s="13">
        <f t="shared" si="13"/>
        <v>173.65260000000001</v>
      </c>
      <c r="X61" s="15">
        <v>220</v>
      </c>
      <c r="Y61" s="16">
        <f t="shared" si="14"/>
        <v>6.9109532480365967</v>
      </c>
      <c r="Z61" s="13">
        <f t="shared" si="15"/>
        <v>3.9164688579382054</v>
      </c>
      <c r="AA61" s="13"/>
      <c r="AB61" s="13"/>
      <c r="AC61" s="13">
        <v>0</v>
      </c>
      <c r="AD61" s="13">
        <f>VLOOKUP(A:A,[1]TDSheet!$A:$AE,31,0)</f>
        <v>150.10219999999998</v>
      </c>
      <c r="AE61" s="13">
        <f>VLOOKUP(A:A,[1]TDSheet!$A:$AF,32,0)</f>
        <v>152.75139999999999</v>
      </c>
      <c r="AF61" s="13">
        <f>VLOOKUP(A:A,[1]TDSheet!$A:$AG,33,0)</f>
        <v>191.50619999999998</v>
      </c>
      <c r="AG61" s="13">
        <f>VLOOKUP(A:A,[1]TDSheet!$A:$W,23,0)</f>
        <v>170.3758</v>
      </c>
      <c r="AH61" s="13">
        <f>VLOOKUP(A:A,[3]TDSheet!$A:$D,4,0)</f>
        <v>201.50899999999999</v>
      </c>
      <c r="AI61" s="13">
        <f>VLOOKUP(A:A,[1]TDSheet!$A:$AI,35,0)</f>
        <v>0</v>
      </c>
      <c r="AJ61" s="13">
        <f t="shared" si="16"/>
        <v>0</v>
      </c>
      <c r="AK61" s="13">
        <f t="shared" si="17"/>
        <v>200</v>
      </c>
      <c r="AL61" s="13">
        <f t="shared" si="18"/>
        <v>220</v>
      </c>
      <c r="AM61" s="13"/>
      <c r="AN61" s="13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489</v>
      </c>
      <c r="D62" s="8">
        <v>1223</v>
      </c>
      <c r="E62" s="8">
        <v>677</v>
      </c>
      <c r="F62" s="8">
        <v>1016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695</v>
      </c>
      <c r="K62" s="13">
        <f t="shared" si="12"/>
        <v>-18</v>
      </c>
      <c r="L62" s="13">
        <f>VLOOKUP(A:A,[1]TDSheet!$A:$X,24,0)</f>
        <v>0</v>
      </c>
      <c r="M62" s="13"/>
      <c r="N62" s="13"/>
      <c r="O62" s="13"/>
      <c r="P62" s="13"/>
      <c r="Q62" s="13"/>
      <c r="R62" s="13"/>
      <c r="S62" s="13"/>
      <c r="T62" s="13"/>
      <c r="U62" s="13"/>
      <c r="V62" s="15"/>
      <c r="W62" s="13">
        <f t="shared" si="13"/>
        <v>135.4</v>
      </c>
      <c r="X62" s="15"/>
      <c r="Y62" s="16">
        <f t="shared" si="14"/>
        <v>7.5036927621861151</v>
      </c>
      <c r="Z62" s="13">
        <f t="shared" si="15"/>
        <v>7.5036927621861151</v>
      </c>
      <c r="AA62" s="13"/>
      <c r="AB62" s="13"/>
      <c r="AC62" s="13">
        <v>0</v>
      </c>
      <c r="AD62" s="13">
        <f>VLOOKUP(A:A,[1]TDSheet!$A:$AE,31,0)</f>
        <v>104.8</v>
      </c>
      <c r="AE62" s="13">
        <f>VLOOKUP(A:A,[1]TDSheet!$A:$AF,32,0)</f>
        <v>107.2</v>
      </c>
      <c r="AF62" s="13">
        <f>VLOOKUP(A:A,[1]TDSheet!$A:$AG,33,0)</f>
        <v>123</v>
      </c>
      <c r="AG62" s="13">
        <f>VLOOKUP(A:A,[1]TDSheet!$A:$W,23,0)</f>
        <v>162.6</v>
      </c>
      <c r="AH62" s="13">
        <f>VLOOKUP(A:A,[3]TDSheet!$A:$D,4,0)</f>
        <v>127</v>
      </c>
      <c r="AI62" s="13">
        <f>VLOOKUP(A:A,[1]TDSheet!$A:$AI,35,0)</f>
        <v>0</v>
      </c>
      <c r="AJ62" s="13">
        <f t="shared" si="16"/>
        <v>0</v>
      </c>
      <c r="AK62" s="13">
        <f t="shared" si="17"/>
        <v>0</v>
      </c>
      <c r="AL62" s="13">
        <f t="shared" si="18"/>
        <v>0</v>
      </c>
      <c r="AM62" s="13"/>
      <c r="AN62" s="13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321.452</v>
      </c>
      <c r="D63" s="8">
        <v>185.36600000000001</v>
      </c>
      <c r="E63" s="8">
        <v>289.34699999999998</v>
      </c>
      <c r="F63" s="8">
        <v>214.78800000000001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290.37</v>
      </c>
      <c r="K63" s="13">
        <f t="shared" si="12"/>
        <v>-1.0230000000000246</v>
      </c>
      <c r="L63" s="13">
        <f>VLOOKUP(A:A,[1]TDSheet!$A:$X,24,0)</f>
        <v>30</v>
      </c>
      <c r="M63" s="13"/>
      <c r="N63" s="13"/>
      <c r="O63" s="13"/>
      <c r="P63" s="13"/>
      <c r="Q63" s="13"/>
      <c r="R63" s="13"/>
      <c r="S63" s="13"/>
      <c r="T63" s="13"/>
      <c r="U63" s="13"/>
      <c r="V63" s="15">
        <v>80</v>
      </c>
      <c r="W63" s="13">
        <f t="shared" si="13"/>
        <v>57.869399999999999</v>
      </c>
      <c r="X63" s="15">
        <v>70</v>
      </c>
      <c r="Y63" s="16">
        <f t="shared" si="14"/>
        <v>6.8220510321517072</v>
      </c>
      <c r="Z63" s="13">
        <f t="shared" si="15"/>
        <v>3.7115988760899548</v>
      </c>
      <c r="AA63" s="13"/>
      <c r="AB63" s="13"/>
      <c r="AC63" s="13">
        <v>0</v>
      </c>
      <c r="AD63" s="13">
        <f>VLOOKUP(A:A,[1]TDSheet!$A:$AE,31,0)</f>
        <v>192.26159999999999</v>
      </c>
      <c r="AE63" s="13">
        <f>VLOOKUP(A:A,[1]TDSheet!$A:$AF,32,0)</f>
        <v>163.58420000000001</v>
      </c>
      <c r="AF63" s="13">
        <f>VLOOKUP(A:A,[1]TDSheet!$A:$AG,33,0)</f>
        <v>52.838800000000006</v>
      </c>
      <c r="AG63" s="13">
        <f>VLOOKUP(A:A,[1]TDSheet!$A:$W,23,0)</f>
        <v>52.894000000000005</v>
      </c>
      <c r="AH63" s="13">
        <f>VLOOKUP(A:A,[3]TDSheet!$A:$D,4,0)</f>
        <v>57.625</v>
      </c>
      <c r="AI63" s="13" t="str">
        <f>VLOOKUP(A:A,[1]TDSheet!$A:$AI,35,0)</f>
        <v>жк оконч</v>
      </c>
      <c r="AJ63" s="13">
        <f t="shared" si="16"/>
        <v>0</v>
      </c>
      <c r="AK63" s="13">
        <f t="shared" si="17"/>
        <v>80</v>
      </c>
      <c r="AL63" s="13">
        <f t="shared" si="18"/>
        <v>70</v>
      </c>
      <c r="AM63" s="13"/>
      <c r="AN63" s="13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711</v>
      </c>
      <c r="D64" s="8">
        <v>4961</v>
      </c>
      <c r="E64" s="8">
        <v>3587</v>
      </c>
      <c r="F64" s="8">
        <v>2064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3601</v>
      </c>
      <c r="K64" s="13">
        <f t="shared" si="12"/>
        <v>-14</v>
      </c>
      <c r="L64" s="13">
        <f>VLOOKUP(A:A,[1]TDSheet!$A:$X,24,0)</f>
        <v>600</v>
      </c>
      <c r="M64" s="13"/>
      <c r="N64" s="13"/>
      <c r="O64" s="13"/>
      <c r="P64" s="13"/>
      <c r="Q64" s="13"/>
      <c r="R64" s="13"/>
      <c r="S64" s="13"/>
      <c r="T64" s="13">
        <v>600</v>
      </c>
      <c r="U64" s="13"/>
      <c r="V64" s="15">
        <v>650</v>
      </c>
      <c r="W64" s="13">
        <f t="shared" si="13"/>
        <v>586.6</v>
      </c>
      <c r="X64" s="15">
        <v>700</v>
      </c>
      <c r="Y64" s="16">
        <f t="shared" si="14"/>
        <v>6.8428230480736447</v>
      </c>
      <c r="Z64" s="13">
        <f t="shared" si="15"/>
        <v>3.5185816570064778</v>
      </c>
      <c r="AA64" s="13"/>
      <c r="AB64" s="13"/>
      <c r="AC64" s="13">
        <f>VLOOKUP(A:A,[4]TDSheet!$A:$D,4,0)</f>
        <v>654</v>
      </c>
      <c r="AD64" s="13">
        <f>VLOOKUP(A:A,[1]TDSheet!$A:$AE,31,0)</f>
        <v>556.4</v>
      </c>
      <c r="AE64" s="13">
        <f>VLOOKUP(A:A,[1]TDSheet!$A:$AF,32,0)</f>
        <v>516.6</v>
      </c>
      <c r="AF64" s="13">
        <f>VLOOKUP(A:A,[1]TDSheet!$A:$AG,33,0)</f>
        <v>648.79999999999995</v>
      </c>
      <c r="AG64" s="13">
        <f>VLOOKUP(A:A,[1]TDSheet!$A:$W,23,0)</f>
        <v>577.20000000000005</v>
      </c>
      <c r="AH64" s="13">
        <f>VLOOKUP(A:A,[3]TDSheet!$A:$D,4,0)</f>
        <v>695</v>
      </c>
      <c r="AI64" s="13">
        <f>VLOOKUP(A:A,[1]TDSheet!$A:$AI,35,0)</f>
        <v>0</v>
      </c>
      <c r="AJ64" s="13">
        <f t="shared" si="16"/>
        <v>240</v>
      </c>
      <c r="AK64" s="13">
        <f t="shared" si="17"/>
        <v>260</v>
      </c>
      <c r="AL64" s="13">
        <f t="shared" si="18"/>
        <v>280</v>
      </c>
      <c r="AM64" s="13"/>
      <c r="AN64" s="13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701</v>
      </c>
      <c r="D65" s="8">
        <v>3471</v>
      </c>
      <c r="E65" s="8">
        <v>2386</v>
      </c>
      <c r="F65" s="8">
        <v>1768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2404</v>
      </c>
      <c r="K65" s="13">
        <f t="shared" si="12"/>
        <v>-18</v>
      </c>
      <c r="L65" s="13">
        <f>VLOOKUP(A:A,[1]TDSheet!$A:$X,24,0)</f>
        <v>500</v>
      </c>
      <c r="M65" s="13"/>
      <c r="N65" s="13"/>
      <c r="O65" s="13"/>
      <c r="P65" s="13"/>
      <c r="Q65" s="13"/>
      <c r="R65" s="13"/>
      <c r="S65" s="13"/>
      <c r="T65" s="13"/>
      <c r="U65" s="13"/>
      <c r="V65" s="15">
        <v>450</v>
      </c>
      <c r="W65" s="13">
        <f t="shared" si="13"/>
        <v>477.2</v>
      </c>
      <c r="X65" s="15">
        <v>550</v>
      </c>
      <c r="Y65" s="16">
        <f t="shared" si="14"/>
        <v>6.8482816429170157</v>
      </c>
      <c r="Z65" s="13">
        <f t="shared" si="15"/>
        <v>3.7049455155071249</v>
      </c>
      <c r="AA65" s="13"/>
      <c r="AB65" s="13"/>
      <c r="AC65" s="13">
        <v>0</v>
      </c>
      <c r="AD65" s="13">
        <f>VLOOKUP(A:A,[1]TDSheet!$A:$AE,31,0)</f>
        <v>470.8</v>
      </c>
      <c r="AE65" s="13">
        <f>VLOOKUP(A:A,[1]TDSheet!$A:$AF,32,0)</f>
        <v>450.8</v>
      </c>
      <c r="AF65" s="13">
        <f>VLOOKUP(A:A,[1]TDSheet!$A:$AG,33,0)</f>
        <v>529.6</v>
      </c>
      <c r="AG65" s="13">
        <f>VLOOKUP(A:A,[1]TDSheet!$A:$W,23,0)</f>
        <v>483.6</v>
      </c>
      <c r="AH65" s="13">
        <f>VLOOKUP(A:A,[3]TDSheet!$A:$D,4,0)</f>
        <v>590</v>
      </c>
      <c r="AI65" s="13">
        <f>VLOOKUP(A:A,[1]TDSheet!$A:$AI,35,0)</f>
        <v>0</v>
      </c>
      <c r="AJ65" s="13">
        <f t="shared" si="16"/>
        <v>0</v>
      </c>
      <c r="AK65" s="13">
        <f t="shared" si="17"/>
        <v>180</v>
      </c>
      <c r="AL65" s="13">
        <f t="shared" si="18"/>
        <v>220</v>
      </c>
      <c r="AM65" s="13"/>
      <c r="AN65" s="13"/>
    </row>
    <row r="66" spans="1:40" s="1" customFormat="1" ht="21.95" customHeight="1" outlineLevel="1" x14ac:dyDescent="0.2">
      <c r="A66" s="7" t="s">
        <v>69</v>
      </c>
      <c r="B66" s="7" t="s">
        <v>8</v>
      </c>
      <c r="C66" s="8">
        <v>121.557</v>
      </c>
      <c r="D66" s="8">
        <v>848.34900000000005</v>
      </c>
      <c r="E66" s="8">
        <v>510.02499999999998</v>
      </c>
      <c r="F66" s="8">
        <v>449.96899999999999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484.65499999999997</v>
      </c>
      <c r="K66" s="13">
        <f t="shared" si="12"/>
        <v>25.370000000000005</v>
      </c>
      <c r="L66" s="13">
        <f>VLOOKUP(A:A,[1]TDSheet!$A:$X,24,0)</f>
        <v>100</v>
      </c>
      <c r="M66" s="13"/>
      <c r="N66" s="13"/>
      <c r="O66" s="13"/>
      <c r="P66" s="13"/>
      <c r="Q66" s="13"/>
      <c r="R66" s="13"/>
      <c r="S66" s="13"/>
      <c r="T66" s="13"/>
      <c r="U66" s="13"/>
      <c r="V66" s="15">
        <v>50</v>
      </c>
      <c r="W66" s="13">
        <f t="shared" si="13"/>
        <v>102.005</v>
      </c>
      <c r="X66" s="15">
        <v>100</v>
      </c>
      <c r="Y66" s="16">
        <f t="shared" si="14"/>
        <v>6.8621047987843742</v>
      </c>
      <c r="Z66" s="13">
        <f t="shared" si="15"/>
        <v>4.4112445468359391</v>
      </c>
      <c r="AA66" s="13"/>
      <c r="AB66" s="13"/>
      <c r="AC66" s="13">
        <v>0</v>
      </c>
      <c r="AD66" s="13">
        <f>VLOOKUP(A:A,[1]TDSheet!$A:$AE,31,0)</f>
        <v>99.512199999999993</v>
      </c>
      <c r="AE66" s="13">
        <f>VLOOKUP(A:A,[1]TDSheet!$A:$AF,32,0)</f>
        <v>99.333399999999997</v>
      </c>
      <c r="AF66" s="13">
        <f>VLOOKUP(A:A,[1]TDSheet!$A:$AG,33,0)</f>
        <v>122.34939999999999</v>
      </c>
      <c r="AG66" s="13">
        <f>VLOOKUP(A:A,[1]TDSheet!$A:$W,23,0)</f>
        <v>106.08540000000001</v>
      </c>
      <c r="AH66" s="13">
        <f>VLOOKUP(A:A,[3]TDSheet!$A:$D,4,0)</f>
        <v>113.86499999999999</v>
      </c>
      <c r="AI66" s="13">
        <f>VLOOKUP(A:A,[1]TDSheet!$A:$AI,35,0)</f>
        <v>0</v>
      </c>
      <c r="AJ66" s="13">
        <f t="shared" si="16"/>
        <v>0</v>
      </c>
      <c r="AK66" s="13">
        <f t="shared" si="17"/>
        <v>50</v>
      </c>
      <c r="AL66" s="13">
        <f t="shared" si="18"/>
        <v>100</v>
      </c>
      <c r="AM66" s="13"/>
      <c r="AN66" s="13"/>
    </row>
    <row r="67" spans="1:40" s="1" customFormat="1" ht="11.1" customHeight="1" outlineLevel="1" x14ac:dyDescent="0.2">
      <c r="A67" s="7" t="s">
        <v>70</v>
      </c>
      <c r="B67" s="7" t="s">
        <v>8</v>
      </c>
      <c r="C67" s="8">
        <v>86.441000000000003</v>
      </c>
      <c r="D67" s="8">
        <v>335.87799999999999</v>
      </c>
      <c r="E67" s="8">
        <v>251.13399999999999</v>
      </c>
      <c r="F67" s="8">
        <v>164.845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244.732</v>
      </c>
      <c r="K67" s="13">
        <f t="shared" si="12"/>
        <v>6.4019999999999868</v>
      </c>
      <c r="L67" s="13">
        <f>VLOOKUP(A:A,[1]TDSheet!$A:$X,24,0)</f>
        <v>60</v>
      </c>
      <c r="M67" s="13"/>
      <c r="N67" s="13"/>
      <c r="O67" s="13"/>
      <c r="P67" s="13"/>
      <c r="Q67" s="13"/>
      <c r="R67" s="13"/>
      <c r="S67" s="13"/>
      <c r="T67" s="13"/>
      <c r="U67" s="13"/>
      <c r="V67" s="15">
        <v>60</v>
      </c>
      <c r="W67" s="13">
        <f t="shared" si="13"/>
        <v>50.226799999999997</v>
      </c>
      <c r="X67" s="15">
        <v>60</v>
      </c>
      <c r="Y67" s="16">
        <f t="shared" si="14"/>
        <v>6.865756926581029</v>
      </c>
      <c r="Z67" s="13">
        <f t="shared" si="15"/>
        <v>3.2820127899846301</v>
      </c>
      <c r="AA67" s="13"/>
      <c r="AB67" s="13"/>
      <c r="AC67" s="13">
        <v>0</v>
      </c>
      <c r="AD67" s="13">
        <f>VLOOKUP(A:A,[1]TDSheet!$A:$AE,31,0)</f>
        <v>50.002600000000001</v>
      </c>
      <c r="AE67" s="13">
        <f>VLOOKUP(A:A,[1]TDSheet!$A:$AF,32,0)</f>
        <v>49.067999999999998</v>
      </c>
      <c r="AF67" s="13">
        <f>VLOOKUP(A:A,[1]TDSheet!$A:$AG,33,0)</f>
        <v>40.853200000000001</v>
      </c>
      <c r="AG67" s="13">
        <f>VLOOKUP(A:A,[1]TDSheet!$A:$W,23,0)</f>
        <v>45.351199999999999</v>
      </c>
      <c r="AH67" s="13">
        <f>VLOOKUP(A:A,[3]TDSheet!$A:$D,4,0)</f>
        <v>52.250999999999998</v>
      </c>
      <c r="AI67" s="13">
        <f>VLOOKUP(A:A,[1]TDSheet!$A:$AI,35,0)</f>
        <v>0</v>
      </c>
      <c r="AJ67" s="13">
        <f t="shared" si="16"/>
        <v>0</v>
      </c>
      <c r="AK67" s="13">
        <f t="shared" si="17"/>
        <v>60</v>
      </c>
      <c r="AL67" s="13">
        <f t="shared" si="18"/>
        <v>60</v>
      </c>
      <c r="AM67" s="13"/>
      <c r="AN67" s="13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315.97300000000001</v>
      </c>
      <c r="D68" s="8">
        <v>3120.913</v>
      </c>
      <c r="E68" s="8">
        <v>2004.4010000000001</v>
      </c>
      <c r="F68" s="8">
        <v>1402.6130000000001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1920.04</v>
      </c>
      <c r="K68" s="13">
        <f t="shared" si="12"/>
        <v>84.361000000000104</v>
      </c>
      <c r="L68" s="13">
        <f>VLOOKUP(A:A,[1]TDSheet!$A:$X,24,0)</f>
        <v>550</v>
      </c>
      <c r="M68" s="13"/>
      <c r="N68" s="13"/>
      <c r="O68" s="13"/>
      <c r="P68" s="13"/>
      <c r="Q68" s="13"/>
      <c r="R68" s="13"/>
      <c r="S68" s="13"/>
      <c r="T68" s="13"/>
      <c r="U68" s="13"/>
      <c r="V68" s="15">
        <v>330</v>
      </c>
      <c r="W68" s="13">
        <f t="shared" si="13"/>
        <v>400.8802</v>
      </c>
      <c r="X68" s="15">
        <v>480</v>
      </c>
      <c r="Y68" s="16">
        <f t="shared" si="14"/>
        <v>6.8913680446178196</v>
      </c>
      <c r="Z68" s="13">
        <f t="shared" si="15"/>
        <v>3.4988333172853139</v>
      </c>
      <c r="AA68" s="13"/>
      <c r="AB68" s="13"/>
      <c r="AC68" s="13">
        <v>0</v>
      </c>
      <c r="AD68" s="13">
        <f>VLOOKUP(A:A,[1]TDSheet!$A:$AE,31,0)</f>
        <v>391.85520000000002</v>
      </c>
      <c r="AE68" s="13">
        <f>VLOOKUP(A:A,[1]TDSheet!$A:$AF,32,0)</f>
        <v>375.33479999999997</v>
      </c>
      <c r="AF68" s="13">
        <f>VLOOKUP(A:A,[1]TDSheet!$A:$AG,33,0)</f>
        <v>377.1354</v>
      </c>
      <c r="AG68" s="13">
        <f>VLOOKUP(A:A,[1]TDSheet!$A:$W,23,0)</f>
        <v>404.81299999999999</v>
      </c>
      <c r="AH68" s="13">
        <f>VLOOKUP(A:A,[3]TDSheet!$A:$D,4,0)</f>
        <v>433.90499999999997</v>
      </c>
      <c r="AI68" s="13" t="str">
        <f>VLOOKUP(A:A,[1]TDSheet!$A:$AI,35,0)</f>
        <v>жц</v>
      </c>
      <c r="AJ68" s="13">
        <f t="shared" si="16"/>
        <v>0</v>
      </c>
      <c r="AK68" s="13">
        <f t="shared" si="17"/>
        <v>330</v>
      </c>
      <c r="AL68" s="13">
        <f t="shared" si="18"/>
        <v>480</v>
      </c>
      <c r="AM68" s="13"/>
      <c r="AN68" s="13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54.356999999999999</v>
      </c>
      <c r="D69" s="8">
        <v>478.14600000000002</v>
      </c>
      <c r="E69" s="8">
        <v>308.416</v>
      </c>
      <c r="F69" s="8">
        <v>215.92400000000001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296.601</v>
      </c>
      <c r="K69" s="13">
        <f t="shared" si="12"/>
        <v>11.814999999999998</v>
      </c>
      <c r="L69" s="13">
        <f>VLOOKUP(A:A,[1]TDSheet!$A:$X,24,0)</f>
        <v>70</v>
      </c>
      <c r="M69" s="13"/>
      <c r="N69" s="13"/>
      <c r="O69" s="13"/>
      <c r="P69" s="13"/>
      <c r="Q69" s="13"/>
      <c r="R69" s="13"/>
      <c r="S69" s="13"/>
      <c r="T69" s="13"/>
      <c r="U69" s="13"/>
      <c r="V69" s="15">
        <v>70</v>
      </c>
      <c r="W69" s="13">
        <f t="shared" si="13"/>
        <v>61.683199999999999</v>
      </c>
      <c r="X69" s="15">
        <v>70</v>
      </c>
      <c r="Y69" s="16">
        <f t="shared" si="14"/>
        <v>6.9050243826520026</v>
      </c>
      <c r="Z69" s="13">
        <f t="shared" si="15"/>
        <v>3.5005317493255865</v>
      </c>
      <c r="AA69" s="13"/>
      <c r="AB69" s="13"/>
      <c r="AC69" s="13">
        <v>0</v>
      </c>
      <c r="AD69" s="13">
        <f>VLOOKUP(A:A,[1]TDSheet!$A:$AE,31,0)</f>
        <v>56.339800000000004</v>
      </c>
      <c r="AE69" s="13">
        <f>VLOOKUP(A:A,[1]TDSheet!$A:$AF,32,0)</f>
        <v>55.565999999999995</v>
      </c>
      <c r="AF69" s="13">
        <f>VLOOKUP(A:A,[1]TDSheet!$A:$AG,33,0)</f>
        <v>58.0124</v>
      </c>
      <c r="AG69" s="13">
        <f>VLOOKUP(A:A,[1]TDSheet!$A:$W,23,0)</f>
        <v>57.260199999999998</v>
      </c>
      <c r="AH69" s="13">
        <f>VLOOKUP(A:A,[3]TDSheet!$A:$D,4,0)</f>
        <v>61.911999999999999</v>
      </c>
      <c r="AI69" s="13">
        <f>VLOOKUP(A:A,[1]TDSheet!$A:$AI,35,0)</f>
        <v>0</v>
      </c>
      <c r="AJ69" s="13">
        <f t="shared" si="16"/>
        <v>0</v>
      </c>
      <c r="AK69" s="13">
        <f t="shared" si="17"/>
        <v>70</v>
      </c>
      <c r="AL69" s="13">
        <f t="shared" si="18"/>
        <v>70</v>
      </c>
      <c r="AM69" s="13"/>
      <c r="AN69" s="13"/>
    </row>
    <row r="70" spans="1:40" s="1" customFormat="1" ht="11.1" customHeight="1" outlineLevel="1" x14ac:dyDescent="0.2">
      <c r="A70" s="7" t="s">
        <v>73</v>
      </c>
      <c r="B70" s="7" t="s">
        <v>12</v>
      </c>
      <c r="C70" s="8">
        <v>51</v>
      </c>
      <c r="D70" s="8">
        <v>204</v>
      </c>
      <c r="E70" s="8">
        <v>106</v>
      </c>
      <c r="F70" s="8">
        <v>147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108</v>
      </c>
      <c r="K70" s="13">
        <f t="shared" si="12"/>
        <v>-2</v>
      </c>
      <c r="L70" s="13">
        <f>VLOOKUP(A:A,[1]TDSheet!$A:$X,24,0)</f>
        <v>20</v>
      </c>
      <c r="M70" s="13"/>
      <c r="N70" s="13"/>
      <c r="O70" s="13"/>
      <c r="P70" s="13"/>
      <c r="Q70" s="13"/>
      <c r="R70" s="13"/>
      <c r="S70" s="13"/>
      <c r="T70" s="13"/>
      <c r="U70" s="13"/>
      <c r="V70" s="15"/>
      <c r="W70" s="13">
        <f t="shared" si="13"/>
        <v>21.2</v>
      </c>
      <c r="X70" s="15"/>
      <c r="Y70" s="16">
        <f t="shared" si="14"/>
        <v>7.8773584905660377</v>
      </c>
      <c r="Z70" s="13">
        <f t="shared" si="15"/>
        <v>6.933962264150944</v>
      </c>
      <c r="AA70" s="13"/>
      <c r="AB70" s="13"/>
      <c r="AC70" s="13">
        <v>0</v>
      </c>
      <c r="AD70" s="13">
        <f>VLOOKUP(A:A,[1]TDSheet!$A:$AE,31,0)</f>
        <v>25.6</v>
      </c>
      <c r="AE70" s="13">
        <f>VLOOKUP(A:A,[1]TDSheet!$A:$AF,32,0)</f>
        <v>21.8</v>
      </c>
      <c r="AF70" s="13">
        <f>VLOOKUP(A:A,[1]TDSheet!$A:$AG,33,0)</f>
        <v>28.2</v>
      </c>
      <c r="AG70" s="13">
        <f>VLOOKUP(A:A,[1]TDSheet!$A:$W,23,0)</f>
        <v>24.2</v>
      </c>
      <c r="AH70" s="13">
        <f>VLOOKUP(A:A,[3]TDSheet!$A:$D,4,0)</f>
        <v>22</v>
      </c>
      <c r="AI70" s="13">
        <f>VLOOKUP(A:A,[1]TDSheet!$A:$AI,35,0)</f>
        <v>0</v>
      </c>
      <c r="AJ70" s="13">
        <f t="shared" si="16"/>
        <v>0</v>
      </c>
      <c r="AK70" s="13">
        <f t="shared" si="17"/>
        <v>0</v>
      </c>
      <c r="AL70" s="13">
        <f t="shared" si="18"/>
        <v>0</v>
      </c>
      <c r="AM70" s="13"/>
      <c r="AN70" s="13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74</v>
      </c>
      <c r="D71" s="8">
        <v>569</v>
      </c>
      <c r="E71" s="8">
        <v>431</v>
      </c>
      <c r="F71" s="8">
        <v>211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410</v>
      </c>
      <c r="K71" s="13">
        <f t="shared" si="12"/>
        <v>21</v>
      </c>
      <c r="L71" s="13">
        <f>VLOOKUP(A:A,[1]TDSheet!$A:$X,24,0)</f>
        <v>30</v>
      </c>
      <c r="M71" s="13"/>
      <c r="N71" s="13"/>
      <c r="O71" s="13"/>
      <c r="P71" s="13"/>
      <c r="Q71" s="13"/>
      <c r="R71" s="13"/>
      <c r="S71" s="13"/>
      <c r="T71" s="13"/>
      <c r="U71" s="13"/>
      <c r="V71" s="15">
        <v>220</v>
      </c>
      <c r="W71" s="13">
        <f t="shared" si="13"/>
        <v>86.2</v>
      </c>
      <c r="X71" s="15">
        <v>130</v>
      </c>
      <c r="Y71" s="16">
        <f t="shared" si="14"/>
        <v>6.8561484918793498</v>
      </c>
      <c r="Z71" s="13">
        <f t="shared" si="15"/>
        <v>2.447795823665893</v>
      </c>
      <c r="AA71" s="13"/>
      <c r="AB71" s="13"/>
      <c r="AC71" s="13">
        <v>0</v>
      </c>
      <c r="AD71" s="13">
        <f>VLOOKUP(A:A,[1]TDSheet!$A:$AE,31,0)</f>
        <v>79.599999999999994</v>
      </c>
      <c r="AE71" s="13">
        <f>VLOOKUP(A:A,[1]TDSheet!$A:$AF,32,0)</f>
        <v>75.599999999999994</v>
      </c>
      <c r="AF71" s="13">
        <f>VLOOKUP(A:A,[1]TDSheet!$A:$AG,33,0)</f>
        <v>74.599999999999994</v>
      </c>
      <c r="AG71" s="13">
        <f>VLOOKUP(A:A,[1]TDSheet!$A:$W,23,0)</f>
        <v>66.400000000000006</v>
      </c>
      <c r="AH71" s="13">
        <f>VLOOKUP(A:A,[3]TDSheet!$A:$D,4,0)</f>
        <v>113</v>
      </c>
      <c r="AI71" s="13" t="str">
        <f>VLOOKUP(A:A,[1]TDSheet!$A:$AI,35,0)</f>
        <v>продноя</v>
      </c>
      <c r="AJ71" s="13">
        <f t="shared" si="16"/>
        <v>0</v>
      </c>
      <c r="AK71" s="13">
        <f t="shared" si="17"/>
        <v>132</v>
      </c>
      <c r="AL71" s="13">
        <f t="shared" si="18"/>
        <v>78</v>
      </c>
      <c r="AM71" s="13"/>
      <c r="AN71" s="13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114</v>
      </c>
      <c r="D72" s="8">
        <v>875</v>
      </c>
      <c r="E72" s="8">
        <v>546</v>
      </c>
      <c r="F72" s="8">
        <v>440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526</v>
      </c>
      <c r="K72" s="13">
        <f t="shared" ref="K72:K109" si="19">E72-J72</f>
        <v>20</v>
      </c>
      <c r="L72" s="13">
        <f>VLOOKUP(A:A,[1]TDSheet!$A:$X,24,0)</f>
        <v>190</v>
      </c>
      <c r="M72" s="13"/>
      <c r="N72" s="13"/>
      <c r="O72" s="13"/>
      <c r="P72" s="13"/>
      <c r="Q72" s="13"/>
      <c r="R72" s="13"/>
      <c r="S72" s="13"/>
      <c r="T72" s="13"/>
      <c r="U72" s="13"/>
      <c r="V72" s="15"/>
      <c r="W72" s="13">
        <f t="shared" ref="W72:W109" si="20">(E72-AC72)/5</f>
        <v>109.2</v>
      </c>
      <c r="X72" s="15">
        <v>120</v>
      </c>
      <c r="Y72" s="16">
        <f t="shared" ref="Y72:Y109" si="21">(F72+L72+V72+X72)/W72</f>
        <v>6.8681318681318677</v>
      </c>
      <c r="Z72" s="13">
        <f t="shared" ref="Z72:Z109" si="22">F72/W72</f>
        <v>4.0293040293040292</v>
      </c>
      <c r="AA72" s="13"/>
      <c r="AB72" s="13"/>
      <c r="AC72" s="13">
        <v>0</v>
      </c>
      <c r="AD72" s="13">
        <f>VLOOKUP(A:A,[1]TDSheet!$A:$AE,31,0)</f>
        <v>101.8</v>
      </c>
      <c r="AE72" s="13">
        <f>VLOOKUP(A:A,[1]TDSheet!$A:$AF,32,0)</f>
        <v>93</v>
      </c>
      <c r="AF72" s="13">
        <f>VLOOKUP(A:A,[1]TDSheet!$A:$AG,33,0)</f>
        <v>116.6</v>
      </c>
      <c r="AG72" s="13">
        <f>VLOOKUP(A:A,[1]TDSheet!$A:$W,23,0)</f>
        <v>119.8</v>
      </c>
      <c r="AH72" s="13">
        <f>VLOOKUP(A:A,[3]TDSheet!$A:$D,4,0)</f>
        <v>98</v>
      </c>
      <c r="AI72" s="13" t="str">
        <f>VLOOKUP(A:A,[1]TDSheet!$A:$AI,35,0)</f>
        <v>продноя</v>
      </c>
      <c r="AJ72" s="13">
        <f t="shared" ref="AJ72:AJ109" si="23">T72*H72</f>
        <v>0</v>
      </c>
      <c r="AK72" s="13">
        <f t="shared" ref="AK72:AK109" si="24">V72*H72</f>
        <v>0</v>
      </c>
      <c r="AL72" s="13">
        <f t="shared" ref="AL72:AL109" si="25">X72*H72</f>
        <v>72</v>
      </c>
      <c r="AM72" s="13"/>
      <c r="AN72" s="13"/>
    </row>
    <row r="73" spans="1:40" s="1" customFormat="1" ht="11.1" customHeight="1" outlineLevel="1" x14ac:dyDescent="0.2">
      <c r="A73" s="7" t="s">
        <v>76</v>
      </c>
      <c r="B73" s="7" t="s">
        <v>8</v>
      </c>
      <c r="C73" s="8">
        <v>15.646000000000001</v>
      </c>
      <c r="D73" s="8">
        <v>249.459</v>
      </c>
      <c r="E73" s="8">
        <v>188.53299999999999</v>
      </c>
      <c r="F73" s="8">
        <v>68.585999999999999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190.851</v>
      </c>
      <c r="K73" s="13">
        <f t="shared" si="19"/>
        <v>-2.3180000000000121</v>
      </c>
      <c r="L73" s="13">
        <f>VLOOKUP(A:A,[1]TDSheet!$A:$X,24,0)</f>
        <v>30</v>
      </c>
      <c r="M73" s="13"/>
      <c r="N73" s="13"/>
      <c r="O73" s="13"/>
      <c r="P73" s="13"/>
      <c r="Q73" s="13"/>
      <c r="R73" s="13"/>
      <c r="S73" s="13"/>
      <c r="T73" s="13"/>
      <c r="U73" s="13"/>
      <c r="V73" s="15">
        <v>90</v>
      </c>
      <c r="W73" s="13">
        <f t="shared" si="20"/>
        <v>37.706599999999995</v>
      </c>
      <c r="X73" s="15">
        <v>50</v>
      </c>
      <c r="Y73" s="16">
        <f t="shared" si="21"/>
        <v>6.3274333936233988</v>
      </c>
      <c r="Z73" s="13">
        <f t="shared" si="22"/>
        <v>1.8189388595100064</v>
      </c>
      <c r="AA73" s="13"/>
      <c r="AB73" s="13"/>
      <c r="AC73" s="13">
        <v>0</v>
      </c>
      <c r="AD73" s="13">
        <f>VLOOKUP(A:A,[1]TDSheet!$A:$AE,31,0)</f>
        <v>26.766000000000002</v>
      </c>
      <c r="AE73" s="13">
        <f>VLOOKUP(A:A,[1]TDSheet!$A:$AF,32,0)</f>
        <v>30.602399999999999</v>
      </c>
      <c r="AF73" s="13">
        <f>VLOOKUP(A:A,[1]TDSheet!$A:$AG,33,0)</f>
        <v>30.446800000000003</v>
      </c>
      <c r="AG73" s="13">
        <f>VLOOKUP(A:A,[1]TDSheet!$A:$W,23,0)</f>
        <v>28.325400000000002</v>
      </c>
      <c r="AH73" s="13">
        <f>VLOOKUP(A:A,[3]TDSheet!$A:$D,4,0)</f>
        <v>32.71</v>
      </c>
      <c r="AI73" s="13">
        <f>VLOOKUP(A:A,[1]TDSheet!$A:$AI,35,0)</f>
        <v>0</v>
      </c>
      <c r="AJ73" s="13">
        <f t="shared" si="23"/>
        <v>0</v>
      </c>
      <c r="AK73" s="13">
        <f t="shared" si="24"/>
        <v>90</v>
      </c>
      <c r="AL73" s="13">
        <f t="shared" si="25"/>
        <v>50</v>
      </c>
      <c r="AM73" s="13"/>
      <c r="AN73" s="13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381</v>
      </c>
      <c r="D74" s="8">
        <v>821</v>
      </c>
      <c r="E74" s="8">
        <v>728</v>
      </c>
      <c r="F74" s="8">
        <v>465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707</v>
      </c>
      <c r="K74" s="13">
        <f t="shared" si="19"/>
        <v>21</v>
      </c>
      <c r="L74" s="13">
        <f>VLOOKUP(A:A,[1]TDSheet!$A:$X,24,0)</f>
        <v>150</v>
      </c>
      <c r="M74" s="13"/>
      <c r="N74" s="13"/>
      <c r="O74" s="13"/>
      <c r="P74" s="13"/>
      <c r="Q74" s="13"/>
      <c r="R74" s="13"/>
      <c r="S74" s="13"/>
      <c r="T74" s="13"/>
      <c r="U74" s="13"/>
      <c r="V74" s="15">
        <v>220</v>
      </c>
      <c r="W74" s="13">
        <f t="shared" si="20"/>
        <v>145.6</v>
      </c>
      <c r="X74" s="15">
        <v>170</v>
      </c>
      <c r="Y74" s="16">
        <f t="shared" si="21"/>
        <v>6.9024725274725274</v>
      </c>
      <c r="Z74" s="13">
        <f t="shared" si="22"/>
        <v>3.1936813186813189</v>
      </c>
      <c r="AA74" s="13"/>
      <c r="AB74" s="13"/>
      <c r="AC74" s="13">
        <v>0</v>
      </c>
      <c r="AD74" s="13">
        <f>VLOOKUP(A:A,[1]TDSheet!$A:$AE,31,0)</f>
        <v>110.8</v>
      </c>
      <c r="AE74" s="13">
        <f>VLOOKUP(A:A,[1]TDSheet!$A:$AF,32,0)</f>
        <v>115.4</v>
      </c>
      <c r="AF74" s="13">
        <f>VLOOKUP(A:A,[1]TDSheet!$A:$AG,33,0)</f>
        <v>146.6</v>
      </c>
      <c r="AG74" s="13">
        <f>VLOOKUP(A:A,[1]TDSheet!$A:$W,23,0)</f>
        <v>135.4</v>
      </c>
      <c r="AH74" s="13">
        <f>VLOOKUP(A:A,[3]TDSheet!$A:$D,4,0)</f>
        <v>206</v>
      </c>
      <c r="AI74" s="13" t="str">
        <f>VLOOKUP(A:A,[1]TDSheet!$A:$AI,35,0)</f>
        <v>нояяб</v>
      </c>
      <c r="AJ74" s="13">
        <f t="shared" si="23"/>
        <v>0</v>
      </c>
      <c r="AK74" s="13">
        <f t="shared" si="24"/>
        <v>132</v>
      </c>
      <c r="AL74" s="13">
        <f t="shared" si="25"/>
        <v>102</v>
      </c>
      <c r="AM74" s="13"/>
      <c r="AN74" s="13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549</v>
      </c>
      <c r="D75" s="8">
        <v>941</v>
      </c>
      <c r="E75" s="8">
        <v>1128</v>
      </c>
      <c r="F75" s="8">
        <v>354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1089</v>
      </c>
      <c r="K75" s="13">
        <f t="shared" si="19"/>
        <v>39</v>
      </c>
      <c r="L75" s="13">
        <f>VLOOKUP(A:A,[1]TDSheet!$A:$X,24,0)</f>
        <v>400</v>
      </c>
      <c r="M75" s="13"/>
      <c r="N75" s="13"/>
      <c r="O75" s="13"/>
      <c r="P75" s="13"/>
      <c r="Q75" s="13"/>
      <c r="R75" s="13"/>
      <c r="S75" s="13"/>
      <c r="T75" s="13"/>
      <c r="U75" s="13"/>
      <c r="V75" s="15">
        <v>450</v>
      </c>
      <c r="W75" s="13">
        <f t="shared" si="20"/>
        <v>225.6</v>
      </c>
      <c r="X75" s="15">
        <v>330</v>
      </c>
      <c r="Y75" s="16">
        <f t="shared" si="21"/>
        <v>6.7996453900709222</v>
      </c>
      <c r="Z75" s="13">
        <f t="shared" si="22"/>
        <v>1.5691489361702129</v>
      </c>
      <c r="AA75" s="13"/>
      <c r="AB75" s="13"/>
      <c r="AC75" s="13">
        <v>0</v>
      </c>
      <c r="AD75" s="13">
        <f>VLOOKUP(A:A,[1]TDSheet!$A:$AE,31,0)</f>
        <v>184.4</v>
      </c>
      <c r="AE75" s="13">
        <f>VLOOKUP(A:A,[1]TDSheet!$A:$AF,32,0)</f>
        <v>192.2</v>
      </c>
      <c r="AF75" s="13">
        <f>VLOOKUP(A:A,[1]TDSheet!$A:$AG,33,0)</f>
        <v>198</v>
      </c>
      <c r="AG75" s="13">
        <f>VLOOKUP(A:A,[1]TDSheet!$A:$W,23,0)</f>
        <v>187.2</v>
      </c>
      <c r="AH75" s="13">
        <f>VLOOKUP(A:A,[3]TDSheet!$A:$D,4,0)</f>
        <v>276</v>
      </c>
      <c r="AI75" s="13" t="str">
        <f>VLOOKUP(A:A,[1]TDSheet!$A:$AI,35,0)</f>
        <v>нояяб</v>
      </c>
      <c r="AJ75" s="13">
        <f t="shared" si="23"/>
        <v>0</v>
      </c>
      <c r="AK75" s="13">
        <f t="shared" si="24"/>
        <v>270</v>
      </c>
      <c r="AL75" s="13">
        <f t="shared" si="25"/>
        <v>198</v>
      </c>
      <c r="AM75" s="13"/>
      <c r="AN75" s="13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183</v>
      </c>
      <c r="D76" s="8">
        <v>1162</v>
      </c>
      <c r="E76" s="8">
        <v>633</v>
      </c>
      <c r="F76" s="8">
        <v>691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653</v>
      </c>
      <c r="K76" s="13">
        <f t="shared" si="19"/>
        <v>-20</v>
      </c>
      <c r="L76" s="13">
        <f>VLOOKUP(A:A,[1]TDSheet!$A:$X,24,0)</f>
        <v>190</v>
      </c>
      <c r="M76" s="13"/>
      <c r="N76" s="13"/>
      <c r="O76" s="13"/>
      <c r="P76" s="13"/>
      <c r="Q76" s="13"/>
      <c r="R76" s="13"/>
      <c r="S76" s="13"/>
      <c r="T76" s="13"/>
      <c r="U76" s="13"/>
      <c r="V76" s="15"/>
      <c r="W76" s="13">
        <f t="shared" si="20"/>
        <v>126.6</v>
      </c>
      <c r="X76" s="15"/>
      <c r="Y76" s="16">
        <f t="shared" si="21"/>
        <v>6.9589257503949451</v>
      </c>
      <c r="Z76" s="13">
        <f t="shared" si="22"/>
        <v>5.4581358609794632</v>
      </c>
      <c r="AA76" s="13"/>
      <c r="AB76" s="13"/>
      <c r="AC76" s="13">
        <v>0</v>
      </c>
      <c r="AD76" s="13">
        <f>VLOOKUP(A:A,[1]TDSheet!$A:$AE,31,0)</f>
        <v>142.6</v>
      </c>
      <c r="AE76" s="13">
        <f>VLOOKUP(A:A,[1]TDSheet!$A:$AF,32,0)</f>
        <v>127.6</v>
      </c>
      <c r="AF76" s="13">
        <f>VLOOKUP(A:A,[1]TDSheet!$A:$AG,33,0)</f>
        <v>146</v>
      </c>
      <c r="AG76" s="13">
        <f>VLOOKUP(A:A,[1]TDSheet!$A:$W,23,0)</f>
        <v>152.19999999999999</v>
      </c>
      <c r="AH76" s="13">
        <f>VLOOKUP(A:A,[3]TDSheet!$A:$D,4,0)</f>
        <v>130</v>
      </c>
      <c r="AI76" s="13">
        <f>VLOOKUP(A:A,[1]TDSheet!$A:$AI,35,0)</f>
        <v>0</v>
      </c>
      <c r="AJ76" s="13">
        <f t="shared" si="23"/>
        <v>0</v>
      </c>
      <c r="AK76" s="13">
        <f t="shared" si="24"/>
        <v>0</v>
      </c>
      <c r="AL76" s="13">
        <f t="shared" si="25"/>
        <v>0</v>
      </c>
      <c r="AM76" s="13"/>
      <c r="AN76" s="13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338</v>
      </c>
      <c r="D77" s="8">
        <v>884</v>
      </c>
      <c r="E77" s="8">
        <v>735</v>
      </c>
      <c r="F77" s="8">
        <v>472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751</v>
      </c>
      <c r="K77" s="13">
        <f t="shared" si="19"/>
        <v>-16</v>
      </c>
      <c r="L77" s="13">
        <f>VLOOKUP(A:A,[1]TDSheet!$A:$X,24,0)</f>
        <v>270</v>
      </c>
      <c r="M77" s="13"/>
      <c r="N77" s="13"/>
      <c r="O77" s="13"/>
      <c r="P77" s="13"/>
      <c r="Q77" s="13"/>
      <c r="R77" s="13"/>
      <c r="S77" s="13"/>
      <c r="T77" s="13"/>
      <c r="U77" s="13"/>
      <c r="V77" s="15">
        <v>100</v>
      </c>
      <c r="W77" s="13">
        <f t="shared" si="20"/>
        <v>147</v>
      </c>
      <c r="X77" s="15">
        <v>170</v>
      </c>
      <c r="Y77" s="16">
        <f t="shared" si="21"/>
        <v>6.8843537414965983</v>
      </c>
      <c r="Z77" s="13">
        <f t="shared" si="22"/>
        <v>3.2108843537414966</v>
      </c>
      <c r="AA77" s="13"/>
      <c r="AB77" s="13"/>
      <c r="AC77" s="13">
        <v>0</v>
      </c>
      <c r="AD77" s="13">
        <f>VLOOKUP(A:A,[1]TDSheet!$A:$AE,31,0)</f>
        <v>169.2</v>
      </c>
      <c r="AE77" s="13">
        <f>VLOOKUP(A:A,[1]TDSheet!$A:$AF,32,0)</f>
        <v>136.6</v>
      </c>
      <c r="AF77" s="13">
        <f>VLOOKUP(A:A,[1]TDSheet!$A:$AG,33,0)</f>
        <v>157.80000000000001</v>
      </c>
      <c r="AG77" s="13">
        <f>VLOOKUP(A:A,[1]TDSheet!$A:$W,23,0)</f>
        <v>143.19999999999999</v>
      </c>
      <c r="AH77" s="13">
        <f>VLOOKUP(A:A,[3]TDSheet!$A:$D,4,0)</f>
        <v>159</v>
      </c>
      <c r="AI77" s="13">
        <f>VLOOKUP(A:A,[1]TDSheet!$A:$AI,35,0)</f>
        <v>0</v>
      </c>
      <c r="AJ77" s="13">
        <f t="shared" si="23"/>
        <v>0</v>
      </c>
      <c r="AK77" s="13">
        <f t="shared" si="24"/>
        <v>33</v>
      </c>
      <c r="AL77" s="13">
        <f t="shared" si="25"/>
        <v>56.1</v>
      </c>
      <c r="AM77" s="13"/>
      <c r="AN77" s="13"/>
    </row>
    <row r="78" spans="1:40" s="1" customFormat="1" ht="21.95" customHeight="1" outlineLevel="1" x14ac:dyDescent="0.2">
      <c r="A78" s="7" t="s">
        <v>81</v>
      </c>
      <c r="B78" s="7" t="s">
        <v>12</v>
      </c>
      <c r="C78" s="8">
        <v>295</v>
      </c>
      <c r="D78" s="8">
        <v>667</v>
      </c>
      <c r="E78" s="8">
        <v>605</v>
      </c>
      <c r="F78" s="8">
        <v>341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619</v>
      </c>
      <c r="K78" s="13">
        <f t="shared" si="19"/>
        <v>-14</v>
      </c>
      <c r="L78" s="13">
        <f>VLOOKUP(A:A,[1]TDSheet!$A:$X,24,0)</f>
        <v>120</v>
      </c>
      <c r="M78" s="13"/>
      <c r="N78" s="13"/>
      <c r="O78" s="13"/>
      <c r="P78" s="13"/>
      <c r="Q78" s="13"/>
      <c r="R78" s="13"/>
      <c r="S78" s="13"/>
      <c r="T78" s="13"/>
      <c r="U78" s="13"/>
      <c r="V78" s="15">
        <v>150</v>
      </c>
      <c r="W78" s="13">
        <f t="shared" si="20"/>
        <v>121</v>
      </c>
      <c r="X78" s="15">
        <v>200</v>
      </c>
      <c r="Y78" s="16">
        <f t="shared" si="21"/>
        <v>6.7024793388429753</v>
      </c>
      <c r="Z78" s="13">
        <f t="shared" si="22"/>
        <v>2.8181818181818183</v>
      </c>
      <c r="AA78" s="13"/>
      <c r="AB78" s="13"/>
      <c r="AC78" s="13">
        <v>0</v>
      </c>
      <c r="AD78" s="13">
        <f>VLOOKUP(A:A,[1]TDSheet!$A:$AE,31,0)</f>
        <v>123</v>
      </c>
      <c r="AE78" s="13">
        <f>VLOOKUP(A:A,[1]TDSheet!$A:$AF,32,0)</f>
        <v>124.4</v>
      </c>
      <c r="AF78" s="13">
        <f>VLOOKUP(A:A,[1]TDSheet!$A:$AG,33,0)</f>
        <v>127</v>
      </c>
      <c r="AG78" s="13">
        <f>VLOOKUP(A:A,[1]TDSheet!$A:$W,23,0)</f>
        <v>102</v>
      </c>
      <c r="AH78" s="13">
        <f>VLOOKUP(A:A,[3]TDSheet!$A:$D,4,0)</f>
        <v>101</v>
      </c>
      <c r="AI78" s="13">
        <f>VLOOKUP(A:A,[1]TDSheet!$A:$AI,35,0)</f>
        <v>0</v>
      </c>
      <c r="AJ78" s="13">
        <f t="shared" si="23"/>
        <v>0</v>
      </c>
      <c r="AK78" s="13">
        <f t="shared" si="24"/>
        <v>52.5</v>
      </c>
      <c r="AL78" s="13">
        <f t="shared" si="25"/>
        <v>70</v>
      </c>
      <c r="AM78" s="13"/>
      <c r="AN78" s="13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292</v>
      </c>
      <c r="D79" s="8">
        <v>323</v>
      </c>
      <c r="E79" s="8">
        <v>334</v>
      </c>
      <c r="F79" s="8">
        <v>278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335</v>
      </c>
      <c r="K79" s="13">
        <f t="shared" si="19"/>
        <v>-1</v>
      </c>
      <c r="L79" s="13">
        <f>VLOOKUP(A:A,[1]TDSheet!$A:$X,24,0)</f>
        <v>50</v>
      </c>
      <c r="M79" s="13"/>
      <c r="N79" s="13"/>
      <c r="O79" s="13"/>
      <c r="P79" s="13"/>
      <c r="Q79" s="13"/>
      <c r="R79" s="13"/>
      <c r="S79" s="13"/>
      <c r="T79" s="13"/>
      <c r="U79" s="13"/>
      <c r="V79" s="15">
        <v>60</v>
      </c>
      <c r="W79" s="13">
        <f t="shared" si="20"/>
        <v>66.8</v>
      </c>
      <c r="X79" s="15">
        <v>80</v>
      </c>
      <c r="Y79" s="16">
        <f t="shared" si="21"/>
        <v>7.0059880239520957</v>
      </c>
      <c r="Z79" s="13">
        <f t="shared" si="22"/>
        <v>4.1616766467065869</v>
      </c>
      <c r="AA79" s="13"/>
      <c r="AB79" s="13"/>
      <c r="AC79" s="13">
        <v>0</v>
      </c>
      <c r="AD79" s="13">
        <f>VLOOKUP(A:A,[1]TDSheet!$A:$AE,31,0)</f>
        <v>83.6</v>
      </c>
      <c r="AE79" s="13">
        <f>VLOOKUP(A:A,[1]TDSheet!$A:$AF,32,0)</f>
        <v>85.8</v>
      </c>
      <c r="AF79" s="13">
        <f>VLOOKUP(A:A,[1]TDSheet!$A:$AG,33,0)</f>
        <v>84.2</v>
      </c>
      <c r="AG79" s="13">
        <f>VLOOKUP(A:A,[1]TDSheet!$A:$W,23,0)</f>
        <v>45.6</v>
      </c>
      <c r="AH79" s="13">
        <f>VLOOKUP(A:A,[3]TDSheet!$A:$D,4,0)</f>
        <v>55</v>
      </c>
      <c r="AI79" s="13" t="str">
        <f>VLOOKUP(A:A,[1]TDSheet!$A:$AI,35,0)</f>
        <v>оконч</v>
      </c>
      <c r="AJ79" s="13">
        <f t="shared" si="23"/>
        <v>0</v>
      </c>
      <c r="AK79" s="13">
        <f t="shared" si="24"/>
        <v>19.8</v>
      </c>
      <c r="AL79" s="13">
        <f t="shared" si="25"/>
        <v>26.400000000000002</v>
      </c>
      <c r="AM79" s="13"/>
      <c r="AN79" s="13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2422</v>
      </c>
      <c r="D80" s="8">
        <v>4953</v>
      </c>
      <c r="E80" s="8">
        <v>4005</v>
      </c>
      <c r="F80" s="8">
        <v>3285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4067</v>
      </c>
      <c r="K80" s="13">
        <f t="shared" si="19"/>
        <v>-62</v>
      </c>
      <c r="L80" s="13">
        <f>VLOOKUP(A:A,[1]TDSheet!$A:$X,24,0)</f>
        <v>800</v>
      </c>
      <c r="M80" s="13"/>
      <c r="N80" s="13"/>
      <c r="O80" s="13"/>
      <c r="P80" s="13"/>
      <c r="Q80" s="13"/>
      <c r="R80" s="13"/>
      <c r="S80" s="13"/>
      <c r="T80" s="13"/>
      <c r="U80" s="13"/>
      <c r="V80" s="15">
        <v>500</v>
      </c>
      <c r="W80" s="13">
        <f t="shared" si="20"/>
        <v>801</v>
      </c>
      <c r="X80" s="15">
        <v>1000</v>
      </c>
      <c r="Y80" s="16">
        <f t="shared" si="21"/>
        <v>6.9725343320848943</v>
      </c>
      <c r="Z80" s="13">
        <f t="shared" si="22"/>
        <v>4.1011235955056176</v>
      </c>
      <c r="AA80" s="13"/>
      <c r="AB80" s="13"/>
      <c r="AC80" s="13">
        <v>0</v>
      </c>
      <c r="AD80" s="13">
        <f>VLOOKUP(A:A,[1]TDSheet!$A:$AE,31,0)</f>
        <v>1083</v>
      </c>
      <c r="AE80" s="13">
        <f>VLOOKUP(A:A,[1]TDSheet!$A:$AF,32,0)</f>
        <v>1151.2</v>
      </c>
      <c r="AF80" s="13">
        <f>VLOOKUP(A:A,[1]TDSheet!$A:$AG,33,0)</f>
        <v>1078.5999999999999</v>
      </c>
      <c r="AG80" s="13">
        <f>VLOOKUP(A:A,[1]TDSheet!$A:$W,23,0)</f>
        <v>822.6</v>
      </c>
      <c r="AH80" s="13">
        <f>VLOOKUP(A:A,[3]TDSheet!$A:$D,4,0)</f>
        <v>967</v>
      </c>
      <c r="AI80" s="13" t="str">
        <f>VLOOKUP(A:A,[1]TDSheet!$A:$AI,35,0)</f>
        <v>жц, оконч</v>
      </c>
      <c r="AJ80" s="13">
        <f t="shared" si="23"/>
        <v>0</v>
      </c>
      <c r="AK80" s="13">
        <f t="shared" si="24"/>
        <v>175</v>
      </c>
      <c r="AL80" s="13">
        <f t="shared" si="25"/>
        <v>350</v>
      </c>
      <c r="AM80" s="13"/>
      <c r="AN80" s="13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4656</v>
      </c>
      <c r="D81" s="8">
        <v>20319</v>
      </c>
      <c r="E81" s="8">
        <v>17000</v>
      </c>
      <c r="F81" s="8">
        <v>7723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17190</v>
      </c>
      <c r="K81" s="13">
        <f t="shared" si="19"/>
        <v>-190</v>
      </c>
      <c r="L81" s="13">
        <f>VLOOKUP(A:A,[1]TDSheet!$A:$X,24,0)</f>
        <v>3800</v>
      </c>
      <c r="M81" s="13"/>
      <c r="N81" s="13"/>
      <c r="O81" s="13"/>
      <c r="P81" s="13"/>
      <c r="Q81" s="13"/>
      <c r="R81" s="13"/>
      <c r="S81" s="13"/>
      <c r="T81" s="13"/>
      <c r="U81" s="13"/>
      <c r="V81" s="15">
        <v>2500</v>
      </c>
      <c r="W81" s="13">
        <f t="shared" si="20"/>
        <v>2500</v>
      </c>
      <c r="X81" s="15">
        <v>3100</v>
      </c>
      <c r="Y81" s="16">
        <f t="shared" si="21"/>
        <v>6.8491999999999997</v>
      </c>
      <c r="Z81" s="13">
        <f t="shared" si="22"/>
        <v>3.0891999999999999</v>
      </c>
      <c r="AA81" s="13"/>
      <c r="AB81" s="13"/>
      <c r="AC81" s="13">
        <f>VLOOKUP(A:A,[4]TDSheet!$A:$D,4,0)</f>
        <v>4500</v>
      </c>
      <c r="AD81" s="13">
        <f>VLOOKUP(A:A,[1]TDSheet!$A:$AE,31,0)</f>
        <v>2083.4</v>
      </c>
      <c r="AE81" s="13">
        <f>VLOOKUP(A:A,[1]TDSheet!$A:$AF,32,0)</f>
        <v>2090</v>
      </c>
      <c r="AF81" s="13">
        <f>VLOOKUP(A:A,[1]TDSheet!$A:$AG,33,0)</f>
        <v>2393</v>
      </c>
      <c r="AG81" s="13">
        <f>VLOOKUP(A:A,[1]TDSheet!$A:$W,23,0)</f>
        <v>2449</v>
      </c>
      <c r="AH81" s="13">
        <f>VLOOKUP(A:A,[3]TDSheet!$A:$D,4,0)</f>
        <v>2847</v>
      </c>
      <c r="AI81" s="13" t="str">
        <f>VLOOKUP(A:A,[1]TDSheet!$A:$AI,35,0)</f>
        <v>жц, яб</v>
      </c>
      <c r="AJ81" s="13">
        <f t="shared" si="23"/>
        <v>0</v>
      </c>
      <c r="AK81" s="13">
        <f t="shared" si="24"/>
        <v>875</v>
      </c>
      <c r="AL81" s="13">
        <f t="shared" si="25"/>
        <v>1085</v>
      </c>
      <c r="AM81" s="13"/>
      <c r="AN81" s="13"/>
    </row>
    <row r="82" spans="1:40" s="1" customFormat="1" ht="21.95" customHeight="1" outlineLevel="1" x14ac:dyDescent="0.2">
      <c r="A82" s="7" t="s">
        <v>85</v>
      </c>
      <c r="B82" s="7" t="s">
        <v>12</v>
      </c>
      <c r="C82" s="8">
        <v>230</v>
      </c>
      <c r="D82" s="8">
        <v>697</v>
      </c>
      <c r="E82" s="8">
        <v>519</v>
      </c>
      <c r="F82" s="8">
        <v>395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531</v>
      </c>
      <c r="K82" s="13">
        <f t="shared" si="19"/>
        <v>-12</v>
      </c>
      <c r="L82" s="13">
        <f>VLOOKUP(A:A,[1]TDSheet!$A:$X,24,0)</f>
        <v>110</v>
      </c>
      <c r="M82" s="13"/>
      <c r="N82" s="13"/>
      <c r="O82" s="13"/>
      <c r="P82" s="13"/>
      <c r="Q82" s="13"/>
      <c r="R82" s="13"/>
      <c r="S82" s="13"/>
      <c r="T82" s="13"/>
      <c r="U82" s="13"/>
      <c r="V82" s="15">
        <v>90</v>
      </c>
      <c r="W82" s="13">
        <f t="shared" si="20"/>
        <v>103.8</v>
      </c>
      <c r="X82" s="15">
        <v>120</v>
      </c>
      <c r="Y82" s="16">
        <f t="shared" si="21"/>
        <v>6.8882466281310215</v>
      </c>
      <c r="Z82" s="13">
        <f t="shared" si="22"/>
        <v>3.8053949903660889</v>
      </c>
      <c r="AA82" s="13"/>
      <c r="AB82" s="13"/>
      <c r="AC82" s="13">
        <v>0</v>
      </c>
      <c r="AD82" s="13">
        <f>VLOOKUP(A:A,[1]TDSheet!$A:$AE,31,0)</f>
        <v>95.8</v>
      </c>
      <c r="AE82" s="13">
        <f>VLOOKUP(A:A,[1]TDSheet!$A:$AF,32,0)</f>
        <v>99.6</v>
      </c>
      <c r="AF82" s="13">
        <f>VLOOKUP(A:A,[1]TDSheet!$A:$AG,33,0)</f>
        <v>121.4</v>
      </c>
      <c r="AG82" s="13">
        <f>VLOOKUP(A:A,[1]TDSheet!$A:$W,23,0)</f>
        <v>100.6</v>
      </c>
      <c r="AH82" s="13">
        <f>VLOOKUP(A:A,[3]TDSheet!$A:$D,4,0)</f>
        <v>83</v>
      </c>
      <c r="AI82" s="13" t="str">
        <f>VLOOKUP(A:A,[1]TDSheet!$A:$AI,35,0)</f>
        <v>оконч</v>
      </c>
      <c r="AJ82" s="13">
        <f t="shared" si="23"/>
        <v>0</v>
      </c>
      <c r="AK82" s="13">
        <f t="shared" si="24"/>
        <v>36</v>
      </c>
      <c r="AL82" s="13">
        <f t="shared" si="25"/>
        <v>48</v>
      </c>
      <c r="AM82" s="13"/>
      <c r="AN82" s="13"/>
    </row>
    <row r="83" spans="1:40" s="1" customFormat="1" ht="21.95" customHeight="1" outlineLevel="1" x14ac:dyDescent="0.2">
      <c r="A83" s="7" t="s">
        <v>86</v>
      </c>
      <c r="B83" s="7" t="s">
        <v>8</v>
      </c>
      <c r="C83" s="8">
        <v>156.93100000000001</v>
      </c>
      <c r="D83" s="8">
        <v>287.66000000000003</v>
      </c>
      <c r="E83" s="8">
        <v>172.71299999999999</v>
      </c>
      <c r="F83" s="8">
        <v>271.87799999999999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165.512</v>
      </c>
      <c r="K83" s="13">
        <f t="shared" si="19"/>
        <v>7.2009999999999934</v>
      </c>
      <c r="L83" s="13">
        <f>VLOOKUP(A:A,[1]TDSheet!$A:$X,24,0)</f>
        <v>20</v>
      </c>
      <c r="M83" s="13"/>
      <c r="N83" s="13"/>
      <c r="O83" s="13"/>
      <c r="P83" s="13"/>
      <c r="Q83" s="13"/>
      <c r="R83" s="13"/>
      <c r="S83" s="13"/>
      <c r="T83" s="13"/>
      <c r="U83" s="13"/>
      <c r="V83" s="15"/>
      <c r="W83" s="13">
        <f t="shared" si="20"/>
        <v>34.5426</v>
      </c>
      <c r="X83" s="15"/>
      <c r="Y83" s="16">
        <f t="shared" si="21"/>
        <v>8.4497982201687183</v>
      </c>
      <c r="Z83" s="13">
        <f t="shared" si="22"/>
        <v>7.8708030084591192</v>
      </c>
      <c r="AA83" s="13"/>
      <c r="AB83" s="13"/>
      <c r="AC83" s="13">
        <v>0</v>
      </c>
      <c r="AD83" s="13">
        <f>VLOOKUP(A:A,[1]TDSheet!$A:$AE,31,0)</f>
        <v>32.292400000000001</v>
      </c>
      <c r="AE83" s="13">
        <f>VLOOKUP(A:A,[1]TDSheet!$A:$AF,32,0)</f>
        <v>46.625799999999998</v>
      </c>
      <c r="AF83" s="13">
        <f>VLOOKUP(A:A,[1]TDSheet!$A:$AG,33,0)</f>
        <v>55.484400000000008</v>
      </c>
      <c r="AG83" s="13">
        <f>VLOOKUP(A:A,[1]TDSheet!$A:$W,23,0)</f>
        <v>46.699799999999996</v>
      </c>
      <c r="AH83" s="13">
        <f>VLOOKUP(A:A,[3]TDSheet!$A:$D,4,0)</f>
        <v>33.076999999999998</v>
      </c>
      <c r="AI83" s="13">
        <f>VLOOKUP(A:A,[1]TDSheet!$A:$AI,35,0)</f>
        <v>0</v>
      </c>
      <c r="AJ83" s="13">
        <f t="shared" si="23"/>
        <v>0</v>
      </c>
      <c r="AK83" s="13">
        <f t="shared" si="24"/>
        <v>0</v>
      </c>
      <c r="AL83" s="13">
        <f t="shared" si="25"/>
        <v>0</v>
      </c>
      <c r="AM83" s="13"/>
      <c r="AN83" s="13"/>
    </row>
    <row r="84" spans="1:40" s="1" customFormat="1" ht="21.95" customHeight="1" outlineLevel="1" x14ac:dyDescent="0.2">
      <c r="A84" s="7" t="s">
        <v>87</v>
      </c>
      <c r="B84" s="7" t="s">
        <v>12</v>
      </c>
      <c r="C84" s="8">
        <v>203</v>
      </c>
      <c r="D84" s="8">
        <v>325</v>
      </c>
      <c r="E84" s="8">
        <v>342</v>
      </c>
      <c r="F84" s="8">
        <v>182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356</v>
      </c>
      <c r="K84" s="13">
        <f t="shared" si="19"/>
        <v>-14</v>
      </c>
      <c r="L84" s="13">
        <f>VLOOKUP(A:A,[1]TDSheet!$A:$X,24,0)</f>
        <v>180</v>
      </c>
      <c r="M84" s="13"/>
      <c r="N84" s="13"/>
      <c r="O84" s="13"/>
      <c r="P84" s="13"/>
      <c r="Q84" s="13"/>
      <c r="R84" s="13"/>
      <c r="S84" s="13"/>
      <c r="T84" s="13"/>
      <c r="U84" s="13"/>
      <c r="V84" s="15">
        <v>30</v>
      </c>
      <c r="W84" s="13">
        <f t="shared" si="20"/>
        <v>68.400000000000006</v>
      </c>
      <c r="X84" s="15">
        <v>80</v>
      </c>
      <c r="Y84" s="16">
        <f t="shared" si="21"/>
        <v>6.9005847953216373</v>
      </c>
      <c r="Z84" s="13">
        <f t="shared" si="22"/>
        <v>2.6608187134502921</v>
      </c>
      <c r="AA84" s="13"/>
      <c r="AB84" s="13"/>
      <c r="AC84" s="13">
        <v>0</v>
      </c>
      <c r="AD84" s="13">
        <f>VLOOKUP(A:A,[1]TDSheet!$A:$AE,31,0)</f>
        <v>60.2</v>
      </c>
      <c r="AE84" s="13">
        <f>VLOOKUP(A:A,[1]TDSheet!$A:$AF,32,0)</f>
        <v>53</v>
      </c>
      <c r="AF84" s="13">
        <f>VLOOKUP(A:A,[1]TDSheet!$A:$AG,33,0)</f>
        <v>60.8</v>
      </c>
      <c r="AG84" s="13">
        <f>VLOOKUP(A:A,[1]TDSheet!$A:$W,23,0)</f>
        <v>69.599999999999994</v>
      </c>
      <c r="AH84" s="13">
        <f>VLOOKUP(A:A,[3]TDSheet!$A:$D,4,0)</f>
        <v>66</v>
      </c>
      <c r="AI84" s="13">
        <f>VLOOKUP(A:A,[1]TDSheet!$A:$AI,35,0)</f>
        <v>0</v>
      </c>
      <c r="AJ84" s="13">
        <f t="shared" si="23"/>
        <v>0</v>
      </c>
      <c r="AK84" s="13">
        <f t="shared" si="24"/>
        <v>12</v>
      </c>
      <c r="AL84" s="13">
        <f t="shared" si="25"/>
        <v>32</v>
      </c>
      <c r="AM84" s="13"/>
      <c r="AN84" s="13"/>
    </row>
    <row r="85" spans="1:40" s="1" customFormat="1" ht="11.1" customHeight="1" outlineLevel="1" x14ac:dyDescent="0.2">
      <c r="A85" s="7" t="s">
        <v>88</v>
      </c>
      <c r="B85" s="7" t="s">
        <v>8</v>
      </c>
      <c r="C85" s="8">
        <v>98.355999999999995</v>
      </c>
      <c r="D85" s="8">
        <v>27.433</v>
      </c>
      <c r="E85" s="8">
        <v>82.033000000000001</v>
      </c>
      <c r="F85" s="8">
        <v>43.756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78.400000000000006</v>
      </c>
      <c r="K85" s="13">
        <f t="shared" si="19"/>
        <v>3.6329999999999956</v>
      </c>
      <c r="L85" s="13">
        <f>VLOOKUP(A:A,[1]TDSheet!$A:$X,24,0)</f>
        <v>30</v>
      </c>
      <c r="M85" s="13"/>
      <c r="N85" s="13"/>
      <c r="O85" s="13"/>
      <c r="P85" s="13"/>
      <c r="Q85" s="13"/>
      <c r="R85" s="13"/>
      <c r="S85" s="13"/>
      <c r="T85" s="13"/>
      <c r="U85" s="13"/>
      <c r="V85" s="15">
        <v>20</v>
      </c>
      <c r="W85" s="13">
        <f t="shared" si="20"/>
        <v>16.406600000000001</v>
      </c>
      <c r="X85" s="15">
        <v>20</v>
      </c>
      <c r="Y85" s="16">
        <f t="shared" si="21"/>
        <v>6.9335511318615675</v>
      </c>
      <c r="Z85" s="13">
        <f t="shared" si="22"/>
        <v>2.6669754854753571</v>
      </c>
      <c r="AA85" s="13"/>
      <c r="AB85" s="13"/>
      <c r="AC85" s="13">
        <v>0</v>
      </c>
      <c r="AD85" s="13">
        <f>VLOOKUP(A:A,[1]TDSheet!$A:$AE,31,0)</f>
        <v>14.214599999999999</v>
      </c>
      <c r="AE85" s="13">
        <f>VLOOKUP(A:A,[1]TDSheet!$A:$AF,32,0)</f>
        <v>14.442400000000001</v>
      </c>
      <c r="AF85" s="13">
        <f>VLOOKUP(A:A,[1]TDSheet!$A:$AG,33,0)</f>
        <v>13.562200000000001</v>
      </c>
      <c r="AG85" s="13">
        <f>VLOOKUP(A:A,[1]TDSheet!$A:$W,23,0)</f>
        <v>14.677000000000001</v>
      </c>
      <c r="AH85" s="13">
        <f>VLOOKUP(A:A,[3]TDSheet!$A:$D,4,0)</f>
        <v>12.958</v>
      </c>
      <c r="AI85" s="13">
        <f>VLOOKUP(A:A,[1]TDSheet!$A:$AI,35,0)</f>
        <v>0</v>
      </c>
      <c r="AJ85" s="13">
        <f t="shared" si="23"/>
        <v>0</v>
      </c>
      <c r="AK85" s="13">
        <f t="shared" si="24"/>
        <v>20</v>
      </c>
      <c r="AL85" s="13">
        <f t="shared" si="25"/>
        <v>20</v>
      </c>
      <c r="AM85" s="13"/>
      <c r="AN85" s="13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397</v>
      </c>
      <c r="D86" s="8">
        <v>838</v>
      </c>
      <c r="E86" s="8">
        <v>593</v>
      </c>
      <c r="F86" s="8">
        <v>622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618</v>
      </c>
      <c r="K86" s="13">
        <f t="shared" si="19"/>
        <v>-25</v>
      </c>
      <c r="L86" s="13">
        <f>VLOOKUP(A:A,[1]TDSheet!$A:$X,24,0)</f>
        <v>100</v>
      </c>
      <c r="M86" s="13"/>
      <c r="N86" s="13"/>
      <c r="O86" s="13"/>
      <c r="P86" s="13"/>
      <c r="Q86" s="13"/>
      <c r="R86" s="13"/>
      <c r="S86" s="13"/>
      <c r="T86" s="13"/>
      <c r="U86" s="13"/>
      <c r="V86" s="15"/>
      <c r="W86" s="13">
        <f t="shared" si="20"/>
        <v>118.6</v>
      </c>
      <c r="X86" s="15">
        <v>100</v>
      </c>
      <c r="Y86" s="16">
        <f t="shared" si="21"/>
        <v>6.9308600337268134</v>
      </c>
      <c r="Z86" s="13">
        <f t="shared" si="22"/>
        <v>5.2445193929173692</v>
      </c>
      <c r="AA86" s="13"/>
      <c r="AB86" s="13"/>
      <c r="AC86" s="13">
        <v>0</v>
      </c>
      <c r="AD86" s="13">
        <f>VLOOKUP(A:A,[1]TDSheet!$A:$AE,31,0)</f>
        <v>124.4</v>
      </c>
      <c r="AE86" s="13">
        <f>VLOOKUP(A:A,[1]TDSheet!$A:$AF,32,0)</f>
        <v>112.8</v>
      </c>
      <c r="AF86" s="13">
        <f>VLOOKUP(A:A,[1]TDSheet!$A:$AG,33,0)</f>
        <v>137.4</v>
      </c>
      <c r="AG86" s="13">
        <f>VLOOKUP(A:A,[1]TDSheet!$A:$W,23,0)</f>
        <v>129.80000000000001</v>
      </c>
      <c r="AH86" s="13">
        <f>VLOOKUP(A:A,[3]TDSheet!$A:$D,4,0)</f>
        <v>139</v>
      </c>
      <c r="AI86" s="13">
        <f>VLOOKUP(A:A,[1]TDSheet!$A:$AI,35,0)</f>
        <v>0</v>
      </c>
      <c r="AJ86" s="13">
        <f t="shared" si="23"/>
        <v>0</v>
      </c>
      <c r="AK86" s="13">
        <f t="shared" si="24"/>
        <v>0</v>
      </c>
      <c r="AL86" s="13">
        <f t="shared" si="25"/>
        <v>20</v>
      </c>
      <c r="AM86" s="13"/>
      <c r="AN86" s="13"/>
    </row>
    <row r="87" spans="1:40" s="1" customFormat="1" ht="11.1" customHeight="1" outlineLevel="1" x14ac:dyDescent="0.2">
      <c r="A87" s="7" t="s">
        <v>90</v>
      </c>
      <c r="B87" s="7" t="s">
        <v>12</v>
      </c>
      <c r="C87" s="8">
        <v>96</v>
      </c>
      <c r="D87" s="8">
        <v>429</v>
      </c>
      <c r="E87" s="8">
        <v>333</v>
      </c>
      <c r="F87" s="8">
        <v>191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347</v>
      </c>
      <c r="K87" s="13">
        <f t="shared" si="19"/>
        <v>-14</v>
      </c>
      <c r="L87" s="13">
        <f>VLOOKUP(A:A,[1]TDSheet!$A:$X,24,0)</f>
        <v>90</v>
      </c>
      <c r="M87" s="13"/>
      <c r="N87" s="13"/>
      <c r="O87" s="13"/>
      <c r="P87" s="13"/>
      <c r="Q87" s="13"/>
      <c r="R87" s="13"/>
      <c r="S87" s="13"/>
      <c r="T87" s="13"/>
      <c r="U87" s="13"/>
      <c r="V87" s="15">
        <v>100</v>
      </c>
      <c r="W87" s="13">
        <f t="shared" si="20"/>
        <v>66.599999999999994</v>
      </c>
      <c r="X87" s="15">
        <v>80</v>
      </c>
      <c r="Y87" s="16">
        <f t="shared" si="21"/>
        <v>6.9219219219219221</v>
      </c>
      <c r="Z87" s="13">
        <f t="shared" si="22"/>
        <v>2.8678678678678682</v>
      </c>
      <c r="AA87" s="13"/>
      <c r="AB87" s="13"/>
      <c r="AC87" s="13">
        <v>0</v>
      </c>
      <c r="AD87" s="13">
        <f>VLOOKUP(A:A,[1]TDSheet!$A:$AE,31,0)</f>
        <v>48.2</v>
      </c>
      <c r="AE87" s="13">
        <f>VLOOKUP(A:A,[1]TDSheet!$A:$AF,32,0)</f>
        <v>49.6</v>
      </c>
      <c r="AF87" s="13">
        <f>VLOOKUP(A:A,[1]TDSheet!$A:$AG,33,0)</f>
        <v>65.400000000000006</v>
      </c>
      <c r="AG87" s="13">
        <f>VLOOKUP(A:A,[1]TDSheet!$A:$W,23,0)</f>
        <v>64</v>
      </c>
      <c r="AH87" s="13">
        <f>VLOOKUP(A:A,[3]TDSheet!$A:$D,4,0)</f>
        <v>72</v>
      </c>
      <c r="AI87" s="13">
        <f>VLOOKUP(A:A,[1]TDSheet!$A:$AI,35,0)</f>
        <v>0</v>
      </c>
      <c r="AJ87" s="13">
        <f t="shared" si="23"/>
        <v>0</v>
      </c>
      <c r="AK87" s="13">
        <f t="shared" si="24"/>
        <v>30</v>
      </c>
      <c r="AL87" s="13">
        <f t="shared" si="25"/>
        <v>24</v>
      </c>
      <c r="AM87" s="13"/>
      <c r="AN87" s="13"/>
    </row>
    <row r="88" spans="1:40" s="1" customFormat="1" ht="11.1" customHeight="1" outlineLevel="1" x14ac:dyDescent="0.2">
      <c r="A88" s="7" t="s">
        <v>91</v>
      </c>
      <c r="B88" s="7" t="s">
        <v>8</v>
      </c>
      <c r="C88" s="8">
        <v>304.52300000000002</v>
      </c>
      <c r="D88" s="8">
        <v>572.43200000000002</v>
      </c>
      <c r="E88" s="8">
        <v>517.66800000000001</v>
      </c>
      <c r="F88" s="8">
        <v>354.17700000000002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515.64499999999998</v>
      </c>
      <c r="K88" s="13">
        <f t="shared" si="19"/>
        <v>2.0230000000000246</v>
      </c>
      <c r="L88" s="13">
        <f>VLOOKUP(A:A,[1]TDSheet!$A:$X,24,0)</f>
        <v>150</v>
      </c>
      <c r="M88" s="13"/>
      <c r="N88" s="13"/>
      <c r="O88" s="13"/>
      <c r="P88" s="13"/>
      <c r="Q88" s="13"/>
      <c r="R88" s="13"/>
      <c r="S88" s="13"/>
      <c r="T88" s="13"/>
      <c r="U88" s="13"/>
      <c r="V88" s="15">
        <v>100</v>
      </c>
      <c r="W88" s="13">
        <f t="shared" si="20"/>
        <v>103.53360000000001</v>
      </c>
      <c r="X88" s="15">
        <v>120</v>
      </c>
      <c r="Y88" s="16">
        <f t="shared" si="21"/>
        <v>6.9946085135646783</v>
      </c>
      <c r="Z88" s="13">
        <f t="shared" si="22"/>
        <v>3.4208894503813254</v>
      </c>
      <c r="AA88" s="13"/>
      <c r="AB88" s="13"/>
      <c r="AC88" s="13">
        <v>0</v>
      </c>
      <c r="AD88" s="13">
        <f>VLOOKUP(A:A,[1]TDSheet!$A:$AE,31,0)</f>
        <v>98.308199999999999</v>
      </c>
      <c r="AE88" s="13">
        <f>VLOOKUP(A:A,[1]TDSheet!$A:$AF,32,0)</f>
        <v>78.1708</v>
      </c>
      <c r="AF88" s="13">
        <f>VLOOKUP(A:A,[1]TDSheet!$A:$AG,33,0)</f>
        <v>98.722000000000008</v>
      </c>
      <c r="AG88" s="13">
        <f>VLOOKUP(A:A,[1]TDSheet!$A:$W,23,0)</f>
        <v>105.10060000000001</v>
      </c>
      <c r="AH88" s="13">
        <f>VLOOKUP(A:A,[3]TDSheet!$A:$D,4,0)</f>
        <v>81.072000000000003</v>
      </c>
      <c r="AI88" s="13">
        <f>VLOOKUP(A:A,[1]TDSheet!$A:$AI,35,0)</f>
        <v>0</v>
      </c>
      <c r="AJ88" s="13">
        <f t="shared" si="23"/>
        <v>0</v>
      </c>
      <c r="AK88" s="13">
        <f t="shared" si="24"/>
        <v>100</v>
      </c>
      <c r="AL88" s="13">
        <f t="shared" si="25"/>
        <v>120</v>
      </c>
      <c r="AM88" s="13"/>
      <c r="AN88" s="13"/>
    </row>
    <row r="89" spans="1:40" s="1" customFormat="1" ht="11.1" customHeight="1" outlineLevel="1" x14ac:dyDescent="0.2">
      <c r="A89" s="7" t="s">
        <v>92</v>
      </c>
      <c r="B89" s="7" t="s">
        <v>8</v>
      </c>
      <c r="C89" s="8">
        <v>1659.2470000000001</v>
      </c>
      <c r="D89" s="8">
        <v>5696.7569999999996</v>
      </c>
      <c r="E89" s="8">
        <v>4073.2249999999999</v>
      </c>
      <c r="F89" s="8">
        <v>3245.1390000000001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4118.7060000000001</v>
      </c>
      <c r="K89" s="13">
        <f t="shared" si="19"/>
        <v>-45.481000000000222</v>
      </c>
      <c r="L89" s="13">
        <f>VLOOKUP(A:A,[1]TDSheet!$A:$X,24,0)</f>
        <v>1000</v>
      </c>
      <c r="M89" s="13"/>
      <c r="N89" s="13"/>
      <c r="O89" s="13"/>
      <c r="P89" s="13"/>
      <c r="Q89" s="13"/>
      <c r="R89" s="13"/>
      <c r="S89" s="13"/>
      <c r="T89" s="13"/>
      <c r="U89" s="13"/>
      <c r="V89" s="15">
        <v>500</v>
      </c>
      <c r="W89" s="13">
        <f t="shared" si="20"/>
        <v>814.64499999999998</v>
      </c>
      <c r="X89" s="15">
        <v>900</v>
      </c>
      <c r="Y89" s="16">
        <f t="shared" si="21"/>
        <v>6.9295693216063441</v>
      </c>
      <c r="Z89" s="13">
        <f t="shared" si="22"/>
        <v>3.9835007886870972</v>
      </c>
      <c r="AA89" s="13"/>
      <c r="AB89" s="13"/>
      <c r="AC89" s="13">
        <v>0</v>
      </c>
      <c r="AD89" s="13">
        <f>VLOOKUP(A:A,[1]TDSheet!$A:$AE,31,0)</f>
        <v>966.30100000000004</v>
      </c>
      <c r="AE89" s="13">
        <f>VLOOKUP(A:A,[1]TDSheet!$A:$AF,32,0)</f>
        <v>988.82339999999999</v>
      </c>
      <c r="AF89" s="13">
        <f>VLOOKUP(A:A,[1]TDSheet!$A:$AG,33,0)</f>
        <v>849.73719999999992</v>
      </c>
      <c r="AG89" s="13">
        <f>VLOOKUP(A:A,[1]TDSheet!$A:$W,23,0)</f>
        <v>865.69299999999998</v>
      </c>
      <c r="AH89" s="13">
        <f>VLOOKUP(A:A,[3]TDSheet!$A:$D,4,0)</f>
        <v>831.40899999999999</v>
      </c>
      <c r="AI89" s="13" t="str">
        <f>VLOOKUP(A:A,[1]TDSheet!$A:$AI,35,0)</f>
        <v>оконч</v>
      </c>
      <c r="AJ89" s="13">
        <f t="shared" si="23"/>
        <v>0</v>
      </c>
      <c r="AK89" s="13">
        <f t="shared" si="24"/>
        <v>500</v>
      </c>
      <c r="AL89" s="13">
        <f t="shared" si="25"/>
        <v>900</v>
      </c>
      <c r="AM89" s="13"/>
      <c r="AN89" s="13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4676.9380000000001</v>
      </c>
      <c r="D90" s="8">
        <v>5505.3729999999996</v>
      </c>
      <c r="E90" s="8">
        <v>7163.9319999999998</v>
      </c>
      <c r="F90" s="8">
        <v>2955.3359999999998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7239.9409999999998</v>
      </c>
      <c r="K90" s="13">
        <f t="shared" si="19"/>
        <v>-76.009000000000015</v>
      </c>
      <c r="L90" s="13">
        <f>VLOOKUP(A:A,[1]TDSheet!$A:$X,24,0)</f>
        <v>2500</v>
      </c>
      <c r="M90" s="13"/>
      <c r="N90" s="13"/>
      <c r="O90" s="13"/>
      <c r="P90" s="13"/>
      <c r="Q90" s="13"/>
      <c r="R90" s="13"/>
      <c r="S90" s="13"/>
      <c r="T90" s="13"/>
      <c r="U90" s="13"/>
      <c r="V90" s="15">
        <v>2300</v>
      </c>
      <c r="W90" s="13">
        <f t="shared" si="20"/>
        <v>1415.08</v>
      </c>
      <c r="X90" s="15">
        <v>1800</v>
      </c>
      <c r="Y90" s="16">
        <f t="shared" si="21"/>
        <v>6.7525058653927692</v>
      </c>
      <c r="Z90" s="13">
        <f t="shared" si="22"/>
        <v>2.0884586030471777</v>
      </c>
      <c r="AA90" s="13"/>
      <c r="AB90" s="13"/>
      <c r="AC90" s="13">
        <f>VLOOKUP(A:A,[4]TDSheet!$A:$D,4,0)</f>
        <v>88.531999999999996</v>
      </c>
      <c r="AD90" s="13">
        <f>VLOOKUP(A:A,[1]TDSheet!$A:$AE,31,0)</f>
        <v>1000.2540000000001</v>
      </c>
      <c r="AE90" s="13">
        <f>VLOOKUP(A:A,[1]TDSheet!$A:$AF,32,0)</f>
        <v>1028.5565999999999</v>
      </c>
      <c r="AF90" s="13">
        <f>VLOOKUP(A:A,[1]TDSheet!$A:$AG,33,0)</f>
        <v>1122.0304000000001</v>
      </c>
      <c r="AG90" s="13">
        <f>VLOOKUP(A:A,[1]TDSheet!$A:$W,23,0)</f>
        <v>1250.9821999999999</v>
      </c>
      <c r="AH90" s="13">
        <f>VLOOKUP(A:A,[3]TDSheet!$A:$D,4,0)</f>
        <v>1562.3889999999999</v>
      </c>
      <c r="AI90" s="13" t="str">
        <f>VLOOKUP(A:A,[1]TDSheet!$A:$AI,35,0)</f>
        <v>нояяб</v>
      </c>
      <c r="AJ90" s="13">
        <f t="shared" si="23"/>
        <v>0</v>
      </c>
      <c r="AK90" s="13">
        <f t="shared" si="24"/>
        <v>2300</v>
      </c>
      <c r="AL90" s="13">
        <f t="shared" si="25"/>
        <v>1800</v>
      </c>
      <c r="AM90" s="13"/>
      <c r="AN90" s="13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3204.2550000000001</v>
      </c>
      <c r="D91" s="8">
        <v>8054.5940000000001</v>
      </c>
      <c r="E91" s="8">
        <v>6240.7280000000001</v>
      </c>
      <c r="F91" s="8">
        <v>4920.8059999999996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6359.7340000000004</v>
      </c>
      <c r="K91" s="13">
        <f t="shared" si="19"/>
        <v>-119.00600000000031</v>
      </c>
      <c r="L91" s="13">
        <f>VLOOKUP(A:A,[1]TDSheet!$A:$X,24,0)</f>
        <v>1400</v>
      </c>
      <c r="M91" s="13"/>
      <c r="N91" s="13"/>
      <c r="O91" s="13"/>
      <c r="P91" s="13"/>
      <c r="Q91" s="13"/>
      <c r="R91" s="13"/>
      <c r="S91" s="13"/>
      <c r="T91" s="13"/>
      <c r="U91" s="13"/>
      <c r="V91" s="15">
        <v>600</v>
      </c>
      <c r="W91" s="13">
        <f t="shared" si="20"/>
        <v>1230.327</v>
      </c>
      <c r="X91" s="15">
        <v>1600</v>
      </c>
      <c r="Y91" s="16">
        <f t="shared" si="21"/>
        <v>6.925643345224481</v>
      </c>
      <c r="Z91" s="13">
        <f t="shared" si="22"/>
        <v>3.9995919783927358</v>
      </c>
      <c r="AA91" s="13"/>
      <c r="AB91" s="13"/>
      <c r="AC91" s="13">
        <f>VLOOKUP(A:A,[4]TDSheet!$A:$D,4,0)</f>
        <v>89.093000000000004</v>
      </c>
      <c r="AD91" s="13">
        <f>VLOOKUP(A:A,[1]TDSheet!$A:$AE,31,0)</f>
        <v>1537.6201999999998</v>
      </c>
      <c r="AE91" s="13">
        <f>VLOOKUP(A:A,[1]TDSheet!$A:$AF,32,0)</f>
        <v>1549.0896</v>
      </c>
      <c r="AF91" s="13">
        <f>VLOOKUP(A:A,[1]TDSheet!$A:$AG,33,0)</f>
        <v>1357.0478000000001</v>
      </c>
      <c r="AG91" s="13">
        <f>VLOOKUP(A:A,[1]TDSheet!$A:$W,23,0)</f>
        <v>1260.2991999999999</v>
      </c>
      <c r="AH91" s="13">
        <f>VLOOKUP(A:A,[3]TDSheet!$A:$D,4,0)</f>
        <v>1251.67</v>
      </c>
      <c r="AI91" s="13" t="str">
        <f>VLOOKUP(A:A,[1]TDSheet!$A:$AI,35,0)</f>
        <v>жц, оконч</v>
      </c>
      <c r="AJ91" s="13">
        <f t="shared" si="23"/>
        <v>0</v>
      </c>
      <c r="AK91" s="13">
        <f t="shared" si="24"/>
        <v>600</v>
      </c>
      <c r="AL91" s="13">
        <f t="shared" si="25"/>
        <v>1600</v>
      </c>
      <c r="AM91" s="13"/>
      <c r="AN91" s="13"/>
    </row>
    <row r="92" spans="1:40" s="1" customFormat="1" ht="21.95" customHeight="1" outlineLevel="1" x14ac:dyDescent="0.2">
      <c r="A92" s="7" t="s">
        <v>95</v>
      </c>
      <c r="B92" s="7" t="s">
        <v>8</v>
      </c>
      <c r="C92" s="8">
        <v>72.792000000000002</v>
      </c>
      <c r="D92" s="8">
        <v>334.96499999999997</v>
      </c>
      <c r="E92" s="8">
        <v>188.12700000000001</v>
      </c>
      <c r="F92" s="8">
        <v>215.607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193.3</v>
      </c>
      <c r="K92" s="13">
        <f t="shared" si="19"/>
        <v>-5.1730000000000018</v>
      </c>
      <c r="L92" s="13">
        <f>VLOOKUP(A:A,[1]TDSheet!$A:$X,24,0)</f>
        <v>0</v>
      </c>
      <c r="M92" s="13"/>
      <c r="N92" s="13"/>
      <c r="O92" s="13"/>
      <c r="P92" s="13"/>
      <c r="Q92" s="13"/>
      <c r="R92" s="13"/>
      <c r="S92" s="13"/>
      <c r="T92" s="13"/>
      <c r="U92" s="13"/>
      <c r="V92" s="15"/>
      <c r="W92" s="13">
        <f t="shared" si="20"/>
        <v>37.625399999999999</v>
      </c>
      <c r="X92" s="15">
        <v>50</v>
      </c>
      <c r="Y92" s="16">
        <f t="shared" si="21"/>
        <v>7.0592472106608826</v>
      </c>
      <c r="Z92" s="13">
        <f t="shared" si="22"/>
        <v>5.7303576839050221</v>
      </c>
      <c r="AA92" s="13"/>
      <c r="AB92" s="13"/>
      <c r="AC92" s="13">
        <v>0</v>
      </c>
      <c r="AD92" s="13">
        <f>VLOOKUP(A:A,[1]TDSheet!$A:$AE,31,0)</f>
        <v>39.794400000000003</v>
      </c>
      <c r="AE92" s="13">
        <f>VLOOKUP(A:A,[1]TDSheet!$A:$AF,32,0)</f>
        <v>41.135199999999998</v>
      </c>
      <c r="AF92" s="13">
        <f>VLOOKUP(A:A,[1]TDSheet!$A:$AG,33,0)</f>
        <v>41.445</v>
      </c>
      <c r="AG92" s="13">
        <f>VLOOKUP(A:A,[1]TDSheet!$A:$W,23,0)</f>
        <v>36.643000000000001</v>
      </c>
      <c r="AH92" s="13">
        <f>VLOOKUP(A:A,[3]TDSheet!$A:$D,4,0)</f>
        <v>43.046999999999997</v>
      </c>
      <c r="AI92" s="13">
        <f>VLOOKUP(A:A,[1]TDSheet!$A:$AI,35,0)</f>
        <v>0</v>
      </c>
      <c r="AJ92" s="13">
        <f t="shared" si="23"/>
        <v>0</v>
      </c>
      <c r="AK92" s="13">
        <f t="shared" si="24"/>
        <v>0</v>
      </c>
      <c r="AL92" s="13">
        <f t="shared" si="25"/>
        <v>50</v>
      </c>
      <c r="AM92" s="13"/>
      <c r="AN92" s="13"/>
    </row>
    <row r="93" spans="1:40" s="1" customFormat="1" ht="11.1" customHeight="1" outlineLevel="1" x14ac:dyDescent="0.2">
      <c r="A93" s="7" t="s">
        <v>96</v>
      </c>
      <c r="B93" s="7" t="s">
        <v>12</v>
      </c>
      <c r="C93" s="8">
        <v>78</v>
      </c>
      <c r="D93" s="8">
        <v>150</v>
      </c>
      <c r="E93" s="8">
        <v>133</v>
      </c>
      <c r="F93" s="8">
        <v>95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135</v>
      </c>
      <c r="K93" s="13">
        <f t="shared" si="19"/>
        <v>-2</v>
      </c>
      <c r="L93" s="13">
        <f>VLOOKUP(A:A,[1]TDSheet!$A:$X,24,0)</f>
        <v>20</v>
      </c>
      <c r="M93" s="13"/>
      <c r="N93" s="13"/>
      <c r="O93" s="13"/>
      <c r="P93" s="13"/>
      <c r="Q93" s="13"/>
      <c r="R93" s="13"/>
      <c r="S93" s="13"/>
      <c r="T93" s="13"/>
      <c r="U93" s="13"/>
      <c r="V93" s="15">
        <v>40</v>
      </c>
      <c r="W93" s="13">
        <f t="shared" si="20"/>
        <v>26.6</v>
      </c>
      <c r="X93" s="15">
        <v>30</v>
      </c>
      <c r="Y93" s="16">
        <f t="shared" si="21"/>
        <v>6.954887218045112</v>
      </c>
      <c r="Z93" s="13">
        <f t="shared" si="22"/>
        <v>3.5714285714285712</v>
      </c>
      <c r="AA93" s="13"/>
      <c r="AB93" s="13"/>
      <c r="AC93" s="13">
        <v>0</v>
      </c>
      <c r="AD93" s="13">
        <f>VLOOKUP(A:A,[1]TDSheet!$A:$AE,31,0)</f>
        <v>24.8</v>
      </c>
      <c r="AE93" s="13">
        <f>VLOOKUP(A:A,[1]TDSheet!$A:$AF,32,0)</f>
        <v>24.4</v>
      </c>
      <c r="AF93" s="13">
        <f>VLOOKUP(A:A,[1]TDSheet!$A:$AG,33,0)</f>
        <v>35.4</v>
      </c>
      <c r="AG93" s="13">
        <f>VLOOKUP(A:A,[1]TDSheet!$A:$W,23,0)</f>
        <v>22.2</v>
      </c>
      <c r="AH93" s="13">
        <f>VLOOKUP(A:A,[3]TDSheet!$A:$D,4,0)</f>
        <v>23</v>
      </c>
      <c r="AI93" s="13">
        <f>VLOOKUP(A:A,[1]TDSheet!$A:$AI,35,0)</f>
        <v>0</v>
      </c>
      <c r="AJ93" s="13">
        <f t="shared" si="23"/>
        <v>0</v>
      </c>
      <c r="AK93" s="13">
        <f t="shared" si="24"/>
        <v>20</v>
      </c>
      <c r="AL93" s="13">
        <f t="shared" si="25"/>
        <v>15</v>
      </c>
      <c r="AM93" s="13"/>
      <c r="AN93" s="13"/>
    </row>
    <row r="94" spans="1:40" s="1" customFormat="1" ht="11.1" customHeight="1" outlineLevel="1" x14ac:dyDescent="0.2">
      <c r="A94" s="7" t="s">
        <v>97</v>
      </c>
      <c r="B94" s="7" t="s">
        <v>8</v>
      </c>
      <c r="C94" s="8">
        <v>36.67</v>
      </c>
      <c r="D94" s="8"/>
      <c r="E94" s="8">
        <v>29.58</v>
      </c>
      <c r="F94" s="8">
        <v>7.09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29</v>
      </c>
      <c r="K94" s="13">
        <f t="shared" si="19"/>
        <v>0.57999999999999829</v>
      </c>
      <c r="L94" s="13">
        <f>VLOOKUP(A:A,[1]TDSheet!$A:$X,24,0)</f>
        <v>0</v>
      </c>
      <c r="M94" s="13"/>
      <c r="N94" s="13"/>
      <c r="O94" s="13"/>
      <c r="P94" s="13"/>
      <c r="Q94" s="13"/>
      <c r="R94" s="13"/>
      <c r="S94" s="13"/>
      <c r="T94" s="13"/>
      <c r="U94" s="13"/>
      <c r="V94" s="15">
        <v>30</v>
      </c>
      <c r="W94" s="13">
        <f t="shared" si="20"/>
        <v>5.9159999999999995</v>
      </c>
      <c r="X94" s="15"/>
      <c r="Y94" s="16">
        <f t="shared" si="21"/>
        <v>6.2694388100067622</v>
      </c>
      <c r="Z94" s="13">
        <f t="shared" si="22"/>
        <v>1.1984448951994591</v>
      </c>
      <c r="AA94" s="13"/>
      <c r="AB94" s="13"/>
      <c r="AC94" s="13">
        <v>0</v>
      </c>
      <c r="AD94" s="13">
        <f>VLOOKUP(A:A,[1]TDSheet!$A:$AE,31,0)</f>
        <v>2.6248</v>
      </c>
      <c r="AE94" s="13">
        <f>VLOOKUP(A:A,[1]TDSheet!$A:$AF,32,0)</f>
        <v>5.3487999999999998</v>
      </c>
      <c r="AF94" s="13">
        <f>VLOOKUP(A:A,[1]TDSheet!$A:$AG,33,0)</f>
        <v>2.4050000000000002</v>
      </c>
      <c r="AG94" s="13">
        <f>VLOOKUP(A:A,[1]TDSheet!$A:$W,23,0)</f>
        <v>1.7504000000000002</v>
      </c>
      <c r="AH94" s="13">
        <f>VLOOKUP(A:A,[3]TDSheet!$A:$D,4,0)</f>
        <v>4.5030000000000001</v>
      </c>
      <c r="AI94" s="13" t="str">
        <f>VLOOKUP(A:A,[1]TDSheet!$A:$AI,35,0)</f>
        <v>увел</v>
      </c>
      <c r="AJ94" s="13">
        <f t="shared" si="23"/>
        <v>0</v>
      </c>
      <c r="AK94" s="13">
        <f t="shared" si="24"/>
        <v>30</v>
      </c>
      <c r="AL94" s="13">
        <f t="shared" si="25"/>
        <v>0</v>
      </c>
      <c r="AM94" s="13"/>
      <c r="AN94" s="13"/>
    </row>
    <row r="95" spans="1:40" s="1" customFormat="1" ht="21.95" customHeight="1" outlineLevel="1" x14ac:dyDescent="0.2">
      <c r="A95" s="7" t="s">
        <v>98</v>
      </c>
      <c r="B95" s="7" t="s">
        <v>12</v>
      </c>
      <c r="C95" s="8">
        <v>375</v>
      </c>
      <c r="D95" s="8">
        <v>3138</v>
      </c>
      <c r="E95" s="8">
        <v>2228</v>
      </c>
      <c r="F95" s="8">
        <v>1267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2245</v>
      </c>
      <c r="K95" s="13">
        <f t="shared" si="19"/>
        <v>-17</v>
      </c>
      <c r="L95" s="13">
        <f>VLOOKUP(A:A,[1]TDSheet!$A:$X,24,0)</f>
        <v>300</v>
      </c>
      <c r="M95" s="13"/>
      <c r="N95" s="13"/>
      <c r="O95" s="13"/>
      <c r="P95" s="13"/>
      <c r="Q95" s="13"/>
      <c r="R95" s="13"/>
      <c r="S95" s="13"/>
      <c r="T95" s="13"/>
      <c r="U95" s="13"/>
      <c r="V95" s="15"/>
      <c r="W95" s="13">
        <f t="shared" si="20"/>
        <v>265.60000000000002</v>
      </c>
      <c r="X95" s="15">
        <v>280</v>
      </c>
      <c r="Y95" s="16">
        <f t="shared" si="21"/>
        <v>6.9540662650602405</v>
      </c>
      <c r="Z95" s="13">
        <f t="shared" si="22"/>
        <v>4.7703313253012043</v>
      </c>
      <c r="AA95" s="13"/>
      <c r="AB95" s="13"/>
      <c r="AC95" s="13">
        <f>VLOOKUP(A:A,[4]TDSheet!$A:$D,4,0)</f>
        <v>900</v>
      </c>
      <c r="AD95" s="13">
        <f>VLOOKUP(A:A,[1]TDSheet!$A:$AE,31,0)</f>
        <v>254.8</v>
      </c>
      <c r="AE95" s="13">
        <f>VLOOKUP(A:A,[1]TDSheet!$A:$AF,32,0)</f>
        <v>241.4</v>
      </c>
      <c r="AF95" s="13">
        <f>VLOOKUP(A:A,[1]TDSheet!$A:$AG,33,0)</f>
        <v>336</v>
      </c>
      <c r="AG95" s="13">
        <f>VLOOKUP(A:A,[1]TDSheet!$A:$W,23,0)</f>
        <v>291</v>
      </c>
      <c r="AH95" s="13">
        <f>VLOOKUP(A:A,[3]TDSheet!$A:$D,4,0)</f>
        <v>313</v>
      </c>
      <c r="AI95" s="13">
        <f>VLOOKUP(A:A,[1]TDSheet!$A:$AI,35,0)</f>
        <v>0</v>
      </c>
      <c r="AJ95" s="13">
        <f t="shared" si="23"/>
        <v>0</v>
      </c>
      <c r="AK95" s="13">
        <f t="shared" si="24"/>
        <v>0</v>
      </c>
      <c r="AL95" s="13">
        <f t="shared" si="25"/>
        <v>84</v>
      </c>
      <c r="AM95" s="13"/>
      <c r="AN95" s="13"/>
    </row>
    <row r="96" spans="1:40" s="1" customFormat="1" ht="11.1" customHeight="1" outlineLevel="1" x14ac:dyDescent="0.2">
      <c r="A96" s="7" t="s">
        <v>99</v>
      </c>
      <c r="B96" s="7" t="s">
        <v>12</v>
      </c>
      <c r="C96" s="8">
        <v>201</v>
      </c>
      <c r="D96" s="8">
        <v>1175</v>
      </c>
      <c r="E96" s="8">
        <v>768</v>
      </c>
      <c r="F96" s="8">
        <v>598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776</v>
      </c>
      <c r="K96" s="13">
        <f t="shared" si="19"/>
        <v>-8</v>
      </c>
      <c r="L96" s="13">
        <f>VLOOKUP(A:A,[1]TDSheet!$A:$X,24,0)</f>
        <v>100</v>
      </c>
      <c r="M96" s="13"/>
      <c r="N96" s="13"/>
      <c r="O96" s="13"/>
      <c r="P96" s="13"/>
      <c r="Q96" s="13"/>
      <c r="R96" s="13"/>
      <c r="S96" s="13"/>
      <c r="T96" s="13"/>
      <c r="U96" s="13"/>
      <c r="V96" s="15">
        <v>180</v>
      </c>
      <c r="W96" s="13">
        <f t="shared" si="20"/>
        <v>153.6</v>
      </c>
      <c r="X96" s="15">
        <v>190</v>
      </c>
      <c r="Y96" s="16">
        <f t="shared" si="21"/>
        <v>6.953125</v>
      </c>
      <c r="Z96" s="13">
        <f t="shared" si="22"/>
        <v>3.893229166666667</v>
      </c>
      <c r="AA96" s="13"/>
      <c r="AB96" s="13"/>
      <c r="AC96" s="13">
        <v>0</v>
      </c>
      <c r="AD96" s="13">
        <f>VLOOKUP(A:A,[1]TDSheet!$A:$AE,31,0)</f>
        <v>139.80000000000001</v>
      </c>
      <c r="AE96" s="13">
        <f>VLOOKUP(A:A,[1]TDSheet!$A:$AF,32,0)</f>
        <v>128.4</v>
      </c>
      <c r="AF96" s="13">
        <f>VLOOKUP(A:A,[1]TDSheet!$A:$AG,33,0)</f>
        <v>177.4</v>
      </c>
      <c r="AG96" s="13">
        <f>VLOOKUP(A:A,[1]TDSheet!$A:$W,23,0)</f>
        <v>145.4</v>
      </c>
      <c r="AH96" s="13">
        <f>VLOOKUP(A:A,[3]TDSheet!$A:$D,4,0)</f>
        <v>179</v>
      </c>
      <c r="AI96" s="13">
        <f>VLOOKUP(A:A,[1]TDSheet!$A:$AI,35,0)</f>
        <v>0</v>
      </c>
      <c r="AJ96" s="13">
        <f t="shared" si="23"/>
        <v>0</v>
      </c>
      <c r="AK96" s="13">
        <f t="shared" si="24"/>
        <v>54</v>
      </c>
      <c r="AL96" s="13">
        <f t="shared" si="25"/>
        <v>57</v>
      </c>
      <c r="AM96" s="13"/>
      <c r="AN96" s="13"/>
    </row>
    <row r="97" spans="1:40" s="1" customFormat="1" ht="11.1" customHeight="1" outlineLevel="1" x14ac:dyDescent="0.2">
      <c r="A97" s="7" t="s">
        <v>100</v>
      </c>
      <c r="B97" s="7" t="s">
        <v>12</v>
      </c>
      <c r="C97" s="8">
        <v>337</v>
      </c>
      <c r="D97" s="8">
        <v>1834</v>
      </c>
      <c r="E97" s="8">
        <v>1343</v>
      </c>
      <c r="F97" s="8">
        <v>808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1357</v>
      </c>
      <c r="K97" s="13">
        <f t="shared" si="19"/>
        <v>-14</v>
      </c>
      <c r="L97" s="13">
        <f>VLOOKUP(A:A,[1]TDSheet!$A:$X,24,0)</f>
        <v>200</v>
      </c>
      <c r="M97" s="13"/>
      <c r="N97" s="13"/>
      <c r="O97" s="13"/>
      <c r="P97" s="13"/>
      <c r="Q97" s="13"/>
      <c r="R97" s="13"/>
      <c r="S97" s="13"/>
      <c r="T97" s="13">
        <v>300</v>
      </c>
      <c r="U97" s="13"/>
      <c r="V97" s="15">
        <v>190</v>
      </c>
      <c r="W97" s="13">
        <f t="shared" si="20"/>
        <v>208.6</v>
      </c>
      <c r="X97" s="15">
        <v>250</v>
      </c>
      <c r="Y97" s="16">
        <f t="shared" si="21"/>
        <v>6.9415148609779482</v>
      </c>
      <c r="Z97" s="13">
        <f t="shared" si="22"/>
        <v>3.8734419942473637</v>
      </c>
      <c r="AA97" s="13"/>
      <c r="AB97" s="13"/>
      <c r="AC97" s="13">
        <f>VLOOKUP(A:A,[4]TDSheet!$A:$D,4,0)</f>
        <v>300</v>
      </c>
      <c r="AD97" s="13">
        <f>VLOOKUP(A:A,[1]TDSheet!$A:$AE,31,0)</f>
        <v>225.8</v>
      </c>
      <c r="AE97" s="13">
        <f>VLOOKUP(A:A,[1]TDSheet!$A:$AF,32,0)</f>
        <v>185</v>
      </c>
      <c r="AF97" s="13">
        <f>VLOOKUP(A:A,[1]TDSheet!$A:$AG,33,0)</f>
        <v>223.6</v>
      </c>
      <c r="AG97" s="13">
        <f>VLOOKUP(A:A,[1]TDSheet!$A:$W,23,0)</f>
        <v>205.6</v>
      </c>
      <c r="AH97" s="13">
        <f>VLOOKUP(A:A,[3]TDSheet!$A:$D,4,0)</f>
        <v>245</v>
      </c>
      <c r="AI97" s="13">
        <f>VLOOKUP(A:A,[1]TDSheet!$A:$AI,35,0)</f>
        <v>0</v>
      </c>
      <c r="AJ97" s="13">
        <f t="shared" si="23"/>
        <v>90</v>
      </c>
      <c r="AK97" s="13">
        <f t="shared" si="24"/>
        <v>57</v>
      </c>
      <c r="AL97" s="13">
        <f t="shared" si="25"/>
        <v>75</v>
      </c>
      <c r="AM97" s="13"/>
      <c r="AN97" s="13"/>
    </row>
    <row r="98" spans="1:40" s="1" customFormat="1" ht="11.1" customHeight="1" outlineLevel="1" x14ac:dyDescent="0.2">
      <c r="A98" s="7" t="s">
        <v>101</v>
      </c>
      <c r="B98" s="7" t="s">
        <v>12</v>
      </c>
      <c r="C98" s="8">
        <v>312</v>
      </c>
      <c r="D98" s="8">
        <v>932</v>
      </c>
      <c r="E98" s="8">
        <v>766</v>
      </c>
      <c r="F98" s="8">
        <v>462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773</v>
      </c>
      <c r="K98" s="13">
        <f t="shared" si="19"/>
        <v>-7</v>
      </c>
      <c r="L98" s="13">
        <f>VLOOKUP(A:A,[1]TDSheet!$A:$X,24,0)</f>
        <v>140</v>
      </c>
      <c r="M98" s="13"/>
      <c r="N98" s="13"/>
      <c r="O98" s="13"/>
      <c r="P98" s="13"/>
      <c r="Q98" s="13"/>
      <c r="R98" s="13"/>
      <c r="S98" s="13"/>
      <c r="T98" s="13"/>
      <c r="U98" s="13"/>
      <c r="V98" s="15">
        <v>250</v>
      </c>
      <c r="W98" s="13">
        <f t="shared" si="20"/>
        <v>153.19999999999999</v>
      </c>
      <c r="X98" s="15">
        <v>220</v>
      </c>
      <c r="Y98" s="16">
        <f t="shared" si="21"/>
        <v>6.9973890339425591</v>
      </c>
      <c r="Z98" s="13">
        <f t="shared" si="22"/>
        <v>3.0156657963446478</v>
      </c>
      <c r="AA98" s="13"/>
      <c r="AB98" s="13"/>
      <c r="AC98" s="13">
        <v>0</v>
      </c>
      <c r="AD98" s="13">
        <f>VLOOKUP(A:A,[1]TDSheet!$A:$AE,31,0)</f>
        <v>146.6</v>
      </c>
      <c r="AE98" s="13">
        <f>VLOOKUP(A:A,[1]TDSheet!$A:$AF,32,0)</f>
        <v>137.4</v>
      </c>
      <c r="AF98" s="13">
        <f>VLOOKUP(A:A,[1]TDSheet!$A:$AG,33,0)</f>
        <v>156.19999999999999</v>
      </c>
      <c r="AG98" s="13">
        <f>VLOOKUP(A:A,[1]TDSheet!$A:$W,23,0)</f>
        <v>135</v>
      </c>
      <c r="AH98" s="13">
        <f>VLOOKUP(A:A,[3]TDSheet!$A:$D,4,0)</f>
        <v>186</v>
      </c>
      <c r="AI98" s="13">
        <f>VLOOKUP(A:A,[1]TDSheet!$A:$AI,35,0)</f>
        <v>0</v>
      </c>
      <c r="AJ98" s="13">
        <f t="shared" si="23"/>
        <v>0</v>
      </c>
      <c r="AK98" s="13">
        <f t="shared" si="24"/>
        <v>75</v>
      </c>
      <c r="AL98" s="13">
        <f t="shared" si="25"/>
        <v>66</v>
      </c>
      <c r="AM98" s="13"/>
      <c r="AN98" s="13"/>
    </row>
    <row r="99" spans="1:40" s="1" customFormat="1" ht="11.1" customHeight="1" outlineLevel="1" x14ac:dyDescent="0.2">
      <c r="A99" s="7" t="s">
        <v>110</v>
      </c>
      <c r="B99" s="7" t="s">
        <v>12</v>
      </c>
      <c r="C99" s="8"/>
      <c r="D99" s="8">
        <v>18</v>
      </c>
      <c r="E99" s="8">
        <v>18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18</v>
      </c>
      <c r="K99" s="13">
        <f t="shared" si="19"/>
        <v>0</v>
      </c>
      <c r="L99" s="13">
        <f>VLOOKUP(A:A,[1]TDSheet!$A:$X,24,0)</f>
        <v>0</v>
      </c>
      <c r="M99" s="13"/>
      <c r="N99" s="13"/>
      <c r="O99" s="13"/>
      <c r="P99" s="13"/>
      <c r="Q99" s="13"/>
      <c r="R99" s="13"/>
      <c r="S99" s="13"/>
      <c r="T99" s="13">
        <v>120</v>
      </c>
      <c r="U99" s="13"/>
      <c r="V99" s="15"/>
      <c r="W99" s="13">
        <f t="shared" si="20"/>
        <v>0</v>
      </c>
      <c r="X99" s="15"/>
      <c r="Y99" s="16" t="e">
        <f t="shared" si="21"/>
        <v>#DIV/0!</v>
      </c>
      <c r="Z99" s="13" t="e">
        <f t="shared" si="22"/>
        <v>#DIV/0!</v>
      </c>
      <c r="AA99" s="13"/>
      <c r="AB99" s="13"/>
      <c r="AC99" s="13">
        <f>VLOOKUP(A:A,[4]TDSheet!$A:$D,4,0)</f>
        <v>18</v>
      </c>
      <c r="AD99" s="13">
        <f>VLOOKUP(A:A,[1]TDSheet!$A:$AE,31,0)</f>
        <v>0</v>
      </c>
      <c r="AE99" s="13">
        <f>VLOOKUP(A:A,[1]TDSheet!$A:$AF,32,0)</f>
        <v>0</v>
      </c>
      <c r="AF99" s="13">
        <f>VLOOKUP(A:A,[1]TDSheet!$A:$AG,33,0)</f>
        <v>0</v>
      </c>
      <c r="AG99" s="13">
        <f>VLOOKUP(A:A,[1]TDSheet!$A:$W,23,0)</f>
        <v>0</v>
      </c>
      <c r="AH99" s="13">
        <v>0</v>
      </c>
      <c r="AI99" s="13">
        <f>VLOOKUP(A:A,[1]TDSheet!$A:$AI,35,0)</f>
        <v>0</v>
      </c>
      <c r="AJ99" s="13">
        <f t="shared" si="23"/>
        <v>39.6</v>
      </c>
      <c r="AK99" s="13">
        <f t="shared" si="24"/>
        <v>0</v>
      </c>
      <c r="AL99" s="13">
        <f t="shared" si="25"/>
        <v>0</v>
      </c>
      <c r="AM99" s="13"/>
      <c r="AN99" s="13"/>
    </row>
    <row r="100" spans="1:40" s="1" customFormat="1" ht="11.1" customHeight="1" outlineLevel="1" x14ac:dyDescent="0.2">
      <c r="A100" s="7" t="s">
        <v>102</v>
      </c>
      <c r="B100" s="7" t="s">
        <v>12</v>
      </c>
      <c r="C100" s="8">
        <v>153</v>
      </c>
      <c r="D100" s="8">
        <v>239</v>
      </c>
      <c r="E100" s="8">
        <v>216</v>
      </c>
      <c r="F100" s="8">
        <v>168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225</v>
      </c>
      <c r="K100" s="13">
        <f t="shared" si="19"/>
        <v>-9</v>
      </c>
      <c r="L100" s="13">
        <f>VLOOKUP(A:A,[1]TDSheet!$A:$X,24,0)</f>
        <v>70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5">
        <v>50</v>
      </c>
      <c r="W100" s="13">
        <f t="shared" si="20"/>
        <v>43.2</v>
      </c>
      <c r="X100" s="15">
        <v>50</v>
      </c>
      <c r="Y100" s="16">
        <f t="shared" si="21"/>
        <v>7.8240740740740735</v>
      </c>
      <c r="Z100" s="13">
        <f t="shared" si="22"/>
        <v>3.8888888888888888</v>
      </c>
      <c r="AA100" s="13"/>
      <c r="AB100" s="13"/>
      <c r="AC100" s="13">
        <v>0</v>
      </c>
      <c r="AD100" s="13">
        <f>VLOOKUP(A:A,[1]TDSheet!$A:$AE,31,0)</f>
        <v>50</v>
      </c>
      <c r="AE100" s="13">
        <f>VLOOKUP(A:A,[1]TDSheet!$A:$AF,32,0)</f>
        <v>33</v>
      </c>
      <c r="AF100" s="13">
        <f>VLOOKUP(A:A,[1]TDSheet!$A:$AG,33,0)</f>
        <v>52.4</v>
      </c>
      <c r="AG100" s="13">
        <f>VLOOKUP(A:A,[1]TDSheet!$A:$W,23,0)</f>
        <v>42.6</v>
      </c>
      <c r="AH100" s="13">
        <f>VLOOKUP(A:A,[3]TDSheet!$A:$D,4,0)</f>
        <v>64</v>
      </c>
      <c r="AI100" s="13">
        <f>VLOOKUP(A:A,[1]TDSheet!$A:$AI,35,0)</f>
        <v>0</v>
      </c>
      <c r="AJ100" s="13">
        <f t="shared" si="23"/>
        <v>0</v>
      </c>
      <c r="AK100" s="13">
        <f t="shared" si="24"/>
        <v>6</v>
      </c>
      <c r="AL100" s="13">
        <f t="shared" si="25"/>
        <v>6</v>
      </c>
      <c r="AM100" s="13"/>
      <c r="AN100" s="13"/>
    </row>
    <row r="101" spans="1:40" s="1" customFormat="1" ht="21.95" customHeight="1" outlineLevel="1" x14ac:dyDescent="0.2">
      <c r="A101" s="7" t="s">
        <v>103</v>
      </c>
      <c r="B101" s="7" t="s">
        <v>12</v>
      </c>
      <c r="C101" s="8">
        <v>588</v>
      </c>
      <c r="D101" s="8">
        <v>446</v>
      </c>
      <c r="E101" s="8">
        <v>483</v>
      </c>
      <c r="F101" s="8">
        <v>539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495</v>
      </c>
      <c r="K101" s="13">
        <f t="shared" si="19"/>
        <v>-12</v>
      </c>
      <c r="L101" s="13">
        <f>VLOOKUP(A:A,[1]TDSheet!$A:$X,24,0)</f>
        <v>0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5">
        <v>50</v>
      </c>
      <c r="W101" s="13">
        <f t="shared" si="20"/>
        <v>96.6</v>
      </c>
      <c r="X101" s="15">
        <v>150</v>
      </c>
      <c r="Y101" s="16">
        <f t="shared" si="21"/>
        <v>7.6501035196687379</v>
      </c>
      <c r="Z101" s="13">
        <f t="shared" si="22"/>
        <v>5.5797101449275361</v>
      </c>
      <c r="AA101" s="13"/>
      <c r="AB101" s="13"/>
      <c r="AC101" s="13">
        <v>0</v>
      </c>
      <c r="AD101" s="13">
        <f>VLOOKUP(A:A,[1]TDSheet!$A:$AE,31,0)</f>
        <v>129.4</v>
      </c>
      <c r="AE101" s="13">
        <f>VLOOKUP(A:A,[1]TDSheet!$A:$AF,32,0)</f>
        <v>133.4</v>
      </c>
      <c r="AF101" s="13">
        <f>VLOOKUP(A:A,[1]TDSheet!$A:$AG,33,0)</f>
        <v>102.8</v>
      </c>
      <c r="AG101" s="13">
        <f>VLOOKUP(A:A,[1]TDSheet!$A:$W,23,0)</f>
        <v>85.4</v>
      </c>
      <c r="AH101" s="13">
        <f>VLOOKUP(A:A,[3]TDSheet!$A:$D,4,0)</f>
        <v>128</v>
      </c>
      <c r="AI101" s="13" t="str">
        <f>VLOOKUP(A:A,[1]TDSheet!$A:$AI,35,0)</f>
        <v>Ларин</v>
      </c>
      <c r="AJ101" s="13">
        <f t="shared" si="23"/>
        <v>0</v>
      </c>
      <c r="AK101" s="13">
        <f t="shared" si="24"/>
        <v>3.5000000000000004</v>
      </c>
      <c r="AL101" s="13">
        <f t="shared" si="25"/>
        <v>10.500000000000002</v>
      </c>
      <c r="AM101" s="13"/>
      <c r="AN101" s="13"/>
    </row>
    <row r="102" spans="1:40" s="1" customFormat="1" ht="11.1" customHeight="1" outlineLevel="1" x14ac:dyDescent="0.2">
      <c r="A102" s="7" t="s">
        <v>104</v>
      </c>
      <c r="B102" s="7" t="s">
        <v>12</v>
      </c>
      <c r="C102" s="8">
        <v>67</v>
      </c>
      <c r="D102" s="8">
        <v>278</v>
      </c>
      <c r="E102" s="8">
        <v>255</v>
      </c>
      <c r="F102" s="8">
        <v>87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281</v>
      </c>
      <c r="K102" s="13">
        <f t="shared" si="19"/>
        <v>-26</v>
      </c>
      <c r="L102" s="13">
        <f>VLOOKUP(A:A,[1]TDSheet!$A:$X,24,0)</f>
        <v>70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5">
        <v>150</v>
      </c>
      <c r="W102" s="13">
        <f t="shared" si="20"/>
        <v>51</v>
      </c>
      <c r="X102" s="15">
        <v>80</v>
      </c>
      <c r="Y102" s="16">
        <f t="shared" si="21"/>
        <v>7.5882352941176467</v>
      </c>
      <c r="Z102" s="13">
        <f t="shared" si="22"/>
        <v>1.7058823529411764</v>
      </c>
      <c r="AA102" s="13"/>
      <c r="AB102" s="13"/>
      <c r="AC102" s="13">
        <v>0</v>
      </c>
      <c r="AD102" s="13">
        <f>VLOOKUP(A:A,[1]TDSheet!$A:$AE,31,0)</f>
        <v>52.6</v>
      </c>
      <c r="AE102" s="13">
        <f>VLOOKUP(A:A,[1]TDSheet!$A:$AF,32,0)</f>
        <v>48.2</v>
      </c>
      <c r="AF102" s="13">
        <f>VLOOKUP(A:A,[1]TDSheet!$A:$AG,33,0)</f>
        <v>59.8</v>
      </c>
      <c r="AG102" s="13">
        <f>VLOOKUP(A:A,[1]TDSheet!$A:$W,23,0)</f>
        <v>52</v>
      </c>
      <c r="AH102" s="13">
        <f>VLOOKUP(A:A,[3]TDSheet!$A:$D,4,0)</f>
        <v>83</v>
      </c>
      <c r="AI102" s="13">
        <f>VLOOKUP(A:A,[1]TDSheet!$A:$AI,35,0)</f>
        <v>0</v>
      </c>
      <c r="AJ102" s="13">
        <f t="shared" si="23"/>
        <v>0</v>
      </c>
      <c r="AK102" s="13">
        <f t="shared" si="24"/>
        <v>10.500000000000002</v>
      </c>
      <c r="AL102" s="13">
        <f t="shared" si="25"/>
        <v>5.6000000000000005</v>
      </c>
      <c r="AM102" s="13"/>
      <c r="AN102" s="13"/>
    </row>
    <row r="103" spans="1:40" s="1" customFormat="1" ht="11.1" customHeight="1" outlineLevel="1" x14ac:dyDescent="0.2">
      <c r="A103" s="7" t="s">
        <v>105</v>
      </c>
      <c r="B103" s="7" t="s">
        <v>12</v>
      </c>
      <c r="C103" s="8">
        <v>480</v>
      </c>
      <c r="D103" s="8">
        <v>604</v>
      </c>
      <c r="E103" s="8">
        <v>516</v>
      </c>
      <c r="F103" s="8">
        <v>562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523</v>
      </c>
      <c r="K103" s="13">
        <f t="shared" si="19"/>
        <v>-7</v>
      </c>
      <c r="L103" s="13">
        <f>VLOOKUP(A:A,[1]TDSheet!$A:$X,24,0)</f>
        <v>0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5">
        <v>100</v>
      </c>
      <c r="W103" s="13">
        <f t="shared" si="20"/>
        <v>103.2</v>
      </c>
      <c r="X103" s="15">
        <v>150</v>
      </c>
      <c r="Y103" s="16">
        <f t="shared" si="21"/>
        <v>7.8682170542635657</v>
      </c>
      <c r="Z103" s="13">
        <f t="shared" si="22"/>
        <v>5.445736434108527</v>
      </c>
      <c r="AA103" s="13"/>
      <c r="AB103" s="13"/>
      <c r="AC103" s="13">
        <v>0</v>
      </c>
      <c r="AD103" s="13">
        <f>VLOOKUP(A:A,[1]TDSheet!$A:$AE,31,0)</f>
        <v>104.4</v>
      </c>
      <c r="AE103" s="13">
        <f>VLOOKUP(A:A,[1]TDSheet!$A:$AF,32,0)</f>
        <v>102.6</v>
      </c>
      <c r="AF103" s="13">
        <f>VLOOKUP(A:A,[1]TDSheet!$A:$AG,33,0)</f>
        <v>120.2</v>
      </c>
      <c r="AG103" s="13">
        <f>VLOOKUP(A:A,[1]TDSheet!$A:$W,23,0)</f>
        <v>88.6</v>
      </c>
      <c r="AH103" s="13">
        <f>VLOOKUP(A:A,[3]TDSheet!$A:$D,4,0)</f>
        <v>137</v>
      </c>
      <c r="AI103" s="13" t="str">
        <f>VLOOKUP(A:A,[1]TDSheet!$A:$AI,35,0)</f>
        <v>Ларин</v>
      </c>
      <c r="AJ103" s="13">
        <f t="shared" si="23"/>
        <v>0</v>
      </c>
      <c r="AK103" s="13">
        <f t="shared" si="24"/>
        <v>7.0000000000000009</v>
      </c>
      <c r="AL103" s="13">
        <f t="shared" si="25"/>
        <v>10.500000000000002</v>
      </c>
      <c r="AM103" s="13"/>
      <c r="AN103" s="13"/>
    </row>
    <row r="104" spans="1:40" s="1" customFormat="1" ht="11.1" customHeight="1" outlineLevel="1" x14ac:dyDescent="0.2">
      <c r="A104" s="7" t="s">
        <v>106</v>
      </c>
      <c r="B104" s="7" t="s">
        <v>12</v>
      </c>
      <c r="C104" s="8">
        <v>617</v>
      </c>
      <c r="D104" s="8">
        <v>777</v>
      </c>
      <c r="E104" s="8">
        <v>681</v>
      </c>
      <c r="F104" s="8">
        <v>698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697</v>
      </c>
      <c r="K104" s="13">
        <f t="shared" si="19"/>
        <v>-16</v>
      </c>
      <c r="L104" s="13">
        <f>VLOOKUP(A:A,[1]TDSheet!$A:$X,24,0)</f>
        <v>80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5">
        <v>100</v>
      </c>
      <c r="W104" s="13">
        <f t="shared" si="20"/>
        <v>136.19999999999999</v>
      </c>
      <c r="X104" s="15">
        <v>150</v>
      </c>
      <c r="Y104" s="16">
        <f t="shared" si="21"/>
        <v>7.5477239353891346</v>
      </c>
      <c r="Z104" s="13">
        <f t="shared" si="22"/>
        <v>5.1248164464023498</v>
      </c>
      <c r="AA104" s="13"/>
      <c r="AB104" s="13"/>
      <c r="AC104" s="13">
        <v>0</v>
      </c>
      <c r="AD104" s="13">
        <f>VLOOKUP(A:A,[1]TDSheet!$A:$AE,31,0)</f>
        <v>137.6</v>
      </c>
      <c r="AE104" s="13">
        <f>VLOOKUP(A:A,[1]TDSheet!$A:$AF,32,0)</f>
        <v>135</v>
      </c>
      <c r="AF104" s="13">
        <f>VLOOKUP(A:A,[1]TDSheet!$A:$AG,33,0)</f>
        <v>158.19999999999999</v>
      </c>
      <c r="AG104" s="13">
        <f>VLOOKUP(A:A,[1]TDSheet!$A:$W,23,0)</f>
        <v>122.2</v>
      </c>
      <c r="AH104" s="13">
        <f>VLOOKUP(A:A,[3]TDSheet!$A:$D,4,0)</f>
        <v>185</v>
      </c>
      <c r="AI104" s="13" t="str">
        <f>VLOOKUP(A:A,[1]TDSheet!$A:$AI,35,0)</f>
        <v>Ларин</v>
      </c>
      <c r="AJ104" s="13">
        <f t="shared" si="23"/>
        <v>0</v>
      </c>
      <c r="AK104" s="13">
        <f t="shared" si="24"/>
        <v>7.0000000000000009</v>
      </c>
      <c r="AL104" s="13">
        <f t="shared" si="25"/>
        <v>10.500000000000002</v>
      </c>
      <c r="AM104" s="13"/>
      <c r="AN104" s="13"/>
    </row>
    <row r="105" spans="1:40" s="1" customFormat="1" ht="11.1" customHeight="1" outlineLevel="1" x14ac:dyDescent="0.2">
      <c r="A105" s="7" t="s">
        <v>107</v>
      </c>
      <c r="B105" s="7" t="s">
        <v>12</v>
      </c>
      <c r="C105" s="8">
        <v>211</v>
      </c>
      <c r="D105" s="8">
        <v>503</v>
      </c>
      <c r="E105" s="8">
        <v>343</v>
      </c>
      <c r="F105" s="8">
        <v>364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351</v>
      </c>
      <c r="K105" s="13">
        <f t="shared" si="19"/>
        <v>-8</v>
      </c>
      <c r="L105" s="13">
        <f>VLOOKUP(A:A,[1]TDSheet!$A:$X,24,0)</f>
        <v>0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5">
        <v>50</v>
      </c>
      <c r="W105" s="13">
        <f t="shared" si="20"/>
        <v>68.599999999999994</v>
      </c>
      <c r="X105" s="15">
        <v>100</v>
      </c>
      <c r="Y105" s="16">
        <f t="shared" si="21"/>
        <v>7.4927113702623913</v>
      </c>
      <c r="Z105" s="13">
        <f t="shared" si="22"/>
        <v>5.3061224489795924</v>
      </c>
      <c r="AA105" s="13"/>
      <c r="AB105" s="13"/>
      <c r="AC105" s="13">
        <v>0</v>
      </c>
      <c r="AD105" s="13">
        <f>VLOOKUP(A:A,[1]TDSheet!$A:$AE,31,0)</f>
        <v>58.4</v>
      </c>
      <c r="AE105" s="13">
        <f>VLOOKUP(A:A,[1]TDSheet!$A:$AF,32,0)</f>
        <v>48.4</v>
      </c>
      <c r="AF105" s="13">
        <f>VLOOKUP(A:A,[1]TDSheet!$A:$AG,33,0)</f>
        <v>77.599999999999994</v>
      </c>
      <c r="AG105" s="13">
        <f>VLOOKUP(A:A,[1]TDSheet!$A:$W,23,0)</f>
        <v>58.6</v>
      </c>
      <c r="AH105" s="13">
        <f>VLOOKUP(A:A,[3]TDSheet!$A:$D,4,0)</f>
        <v>94</v>
      </c>
      <c r="AI105" s="13">
        <f>VLOOKUP(A:A,[1]TDSheet!$A:$AI,35,0)</f>
        <v>0</v>
      </c>
      <c r="AJ105" s="13">
        <f t="shared" si="23"/>
        <v>0</v>
      </c>
      <c r="AK105" s="13">
        <f t="shared" si="24"/>
        <v>3.5000000000000004</v>
      </c>
      <c r="AL105" s="13">
        <f t="shared" si="25"/>
        <v>7.0000000000000009</v>
      </c>
      <c r="AM105" s="13"/>
      <c r="AN105" s="13"/>
    </row>
    <row r="106" spans="1:40" s="1" customFormat="1" ht="11.1" customHeight="1" outlineLevel="1" x14ac:dyDescent="0.2">
      <c r="A106" s="7" t="s">
        <v>108</v>
      </c>
      <c r="B106" s="7" t="s">
        <v>12</v>
      </c>
      <c r="C106" s="8">
        <v>286</v>
      </c>
      <c r="D106" s="8">
        <v>155</v>
      </c>
      <c r="E106" s="8">
        <v>262</v>
      </c>
      <c r="F106" s="8">
        <v>172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3">
        <f>VLOOKUP(A:A,[2]TDSheet!$A:$F,6,0)</f>
        <v>270</v>
      </c>
      <c r="K106" s="13">
        <f t="shared" si="19"/>
        <v>-8</v>
      </c>
      <c r="L106" s="13">
        <f>VLOOKUP(A:A,[1]TDSheet!$A:$X,24,0)</f>
        <v>100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5">
        <v>50</v>
      </c>
      <c r="W106" s="13">
        <f t="shared" si="20"/>
        <v>52.4</v>
      </c>
      <c r="X106" s="15">
        <v>100</v>
      </c>
      <c r="Y106" s="16">
        <f t="shared" si="21"/>
        <v>8.0534351145038165</v>
      </c>
      <c r="Z106" s="13">
        <f t="shared" si="22"/>
        <v>3.282442748091603</v>
      </c>
      <c r="AA106" s="13"/>
      <c r="AB106" s="13"/>
      <c r="AC106" s="13">
        <v>0</v>
      </c>
      <c r="AD106" s="13">
        <f>VLOOKUP(A:A,[1]TDSheet!$A:$AE,31,0)</f>
        <v>39</v>
      </c>
      <c r="AE106" s="13">
        <f>VLOOKUP(A:A,[1]TDSheet!$A:$AF,32,0)</f>
        <v>29.2</v>
      </c>
      <c r="AF106" s="13">
        <f>VLOOKUP(A:A,[1]TDSheet!$A:$AG,33,0)</f>
        <v>46.4</v>
      </c>
      <c r="AG106" s="13">
        <f>VLOOKUP(A:A,[1]TDSheet!$A:$W,23,0)</f>
        <v>43.2</v>
      </c>
      <c r="AH106" s="13">
        <f>VLOOKUP(A:A,[3]TDSheet!$A:$D,4,0)</f>
        <v>81</v>
      </c>
      <c r="AI106" s="13">
        <f>VLOOKUP(A:A,[1]TDSheet!$A:$AI,35,0)</f>
        <v>0</v>
      </c>
      <c r="AJ106" s="13">
        <f t="shared" si="23"/>
        <v>0</v>
      </c>
      <c r="AK106" s="13">
        <f t="shared" si="24"/>
        <v>2.75</v>
      </c>
      <c r="AL106" s="13">
        <f t="shared" si="25"/>
        <v>5.5</v>
      </c>
      <c r="AM106" s="13"/>
      <c r="AN106" s="13"/>
    </row>
    <row r="107" spans="1:40" s="1" customFormat="1" ht="11.1" customHeight="1" outlineLevel="1" x14ac:dyDescent="0.2">
      <c r="A107" s="20" t="s">
        <v>109</v>
      </c>
      <c r="B107" s="7" t="s">
        <v>12</v>
      </c>
      <c r="C107" s="8">
        <v>65</v>
      </c>
      <c r="D107" s="8"/>
      <c r="E107" s="8">
        <v>6</v>
      </c>
      <c r="F107" s="8">
        <v>59</v>
      </c>
      <c r="G107" s="1" t="str">
        <f>VLOOKUP(A:A,[1]TDSheet!$A:$G,7,0)</f>
        <v>нов0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6</v>
      </c>
      <c r="K107" s="13">
        <f t="shared" si="19"/>
        <v>0</v>
      </c>
      <c r="L107" s="13">
        <f>VLOOKUP(A:A,[1]TDSheet!$A:$X,24,0)</f>
        <v>0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5"/>
      <c r="W107" s="13">
        <f t="shared" si="20"/>
        <v>1.2</v>
      </c>
      <c r="X107" s="15"/>
      <c r="Y107" s="16">
        <f t="shared" si="21"/>
        <v>49.166666666666671</v>
      </c>
      <c r="Z107" s="13">
        <f t="shared" si="22"/>
        <v>49.166666666666671</v>
      </c>
      <c r="AA107" s="13"/>
      <c r="AB107" s="13"/>
      <c r="AC107" s="13">
        <v>0</v>
      </c>
      <c r="AD107" s="13">
        <f>VLOOKUP(A:A,[1]TDSheet!$A:$AE,31,0)</f>
        <v>7.8</v>
      </c>
      <c r="AE107" s="13">
        <f>VLOOKUP(A:A,[1]TDSheet!$A:$AF,32,0)</f>
        <v>8.6</v>
      </c>
      <c r="AF107" s="13">
        <f>VLOOKUP(A:A,[1]TDSheet!$A:$AG,33,0)</f>
        <v>0</v>
      </c>
      <c r="AG107" s="13">
        <f>VLOOKUP(A:A,[1]TDSheet!$A:$W,23,0)</f>
        <v>3.4</v>
      </c>
      <c r="AH107" s="13">
        <f>VLOOKUP(A:A,[3]TDSheet!$A:$D,4,0)</f>
        <v>1</v>
      </c>
      <c r="AI107" s="18" t="str">
        <f>VLOOKUP(A:A,[1]TDSheet!$A:$AI,35,0)</f>
        <v>увел</v>
      </c>
      <c r="AJ107" s="13">
        <f t="shared" si="23"/>
        <v>0</v>
      </c>
      <c r="AK107" s="13">
        <f t="shared" si="24"/>
        <v>0</v>
      </c>
      <c r="AL107" s="13">
        <f t="shared" si="25"/>
        <v>0</v>
      </c>
      <c r="AM107" s="13"/>
      <c r="AN107" s="13"/>
    </row>
    <row r="108" spans="1:40" s="1" customFormat="1" ht="11.1" customHeight="1" outlineLevel="1" x14ac:dyDescent="0.2">
      <c r="A108" s="20" t="s">
        <v>111</v>
      </c>
      <c r="B108" s="7" t="s">
        <v>12</v>
      </c>
      <c r="C108" s="8">
        <v>187</v>
      </c>
      <c r="D108" s="8">
        <v>84</v>
      </c>
      <c r="E108" s="8">
        <v>91</v>
      </c>
      <c r="F108" s="8">
        <v>180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92</v>
      </c>
      <c r="K108" s="13">
        <f t="shared" si="19"/>
        <v>-1</v>
      </c>
      <c r="L108" s="13">
        <f>VLOOKUP(A:A,[1]TDSheet!$A:$X,24,0)</f>
        <v>0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5"/>
      <c r="W108" s="13">
        <f t="shared" si="20"/>
        <v>18.2</v>
      </c>
      <c r="X108" s="15"/>
      <c r="Y108" s="16">
        <f t="shared" si="21"/>
        <v>9.8901098901098905</v>
      </c>
      <c r="Z108" s="13">
        <f t="shared" si="22"/>
        <v>9.8901098901098905</v>
      </c>
      <c r="AA108" s="13"/>
      <c r="AB108" s="13"/>
      <c r="AC108" s="13">
        <v>0</v>
      </c>
      <c r="AD108" s="13">
        <f>VLOOKUP(A:A,[1]TDSheet!$A:$AE,31,0)</f>
        <v>0</v>
      </c>
      <c r="AE108" s="13">
        <f>VLOOKUP(A:A,[1]TDSheet!$A:$AF,32,0)</f>
        <v>0</v>
      </c>
      <c r="AF108" s="13">
        <f>VLOOKUP(A:A,[1]TDSheet!$A:$AG,33,0)</f>
        <v>32.6</v>
      </c>
      <c r="AG108" s="13">
        <f>VLOOKUP(A:A,[1]TDSheet!$A:$W,23,0)</f>
        <v>16.8</v>
      </c>
      <c r="AH108" s="13">
        <f>VLOOKUP(A:A,[3]TDSheet!$A:$D,4,0)</f>
        <v>14</v>
      </c>
      <c r="AI108" s="18" t="str">
        <f>VLOOKUP(A:A,[1]TDSheet!$A:$AI,35,0)</f>
        <v>увел</v>
      </c>
      <c r="AJ108" s="13">
        <f t="shared" si="23"/>
        <v>0</v>
      </c>
      <c r="AK108" s="13">
        <f t="shared" si="24"/>
        <v>0</v>
      </c>
      <c r="AL108" s="13">
        <f t="shared" si="25"/>
        <v>0</v>
      </c>
      <c r="AM108" s="13"/>
      <c r="AN108" s="13"/>
    </row>
    <row r="109" spans="1:40" s="1" customFormat="1" ht="11.1" customHeight="1" outlineLevel="1" x14ac:dyDescent="0.2">
      <c r="A109" s="7" t="s">
        <v>112</v>
      </c>
      <c r="B109" s="7" t="s">
        <v>8</v>
      </c>
      <c r="C109" s="8">
        <v>153.404</v>
      </c>
      <c r="D109" s="8">
        <v>3346.4009999999998</v>
      </c>
      <c r="E109" s="8">
        <v>971.53300000000002</v>
      </c>
      <c r="F109" s="8">
        <v>2525.7550000000001</v>
      </c>
      <c r="G109" s="1" t="str">
        <f>VLOOKUP(A:A,[1]TDSheet!$A:$G,7,0)</f>
        <v>рот11,11,</v>
      </c>
      <c r="H109" s="19">
        <v>1</v>
      </c>
      <c r="I109" s="1" t="e">
        <f>VLOOKUP(A:A,[1]TDSheet!$A:$I,9,0)</f>
        <v>#N/A</v>
      </c>
      <c r="J109" s="13">
        <f>VLOOKUP(A:A,[2]TDSheet!$A:$F,6,0)</f>
        <v>983.03700000000003</v>
      </c>
      <c r="K109" s="13">
        <f t="shared" si="19"/>
        <v>-11.504000000000019</v>
      </c>
      <c r="L109" s="17">
        <v>300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5">
        <v>200</v>
      </c>
      <c r="W109" s="13">
        <f t="shared" si="20"/>
        <v>194.3066</v>
      </c>
      <c r="X109" s="15">
        <v>200</v>
      </c>
      <c r="Y109" s="16">
        <f t="shared" si="21"/>
        <v>16.601366088439612</v>
      </c>
      <c r="Z109" s="13">
        <f t="shared" si="22"/>
        <v>12.998812186513479</v>
      </c>
      <c r="AA109" s="13"/>
      <c r="AB109" s="13"/>
      <c r="AC109" s="13">
        <v>0</v>
      </c>
      <c r="AD109" s="17">
        <v>431.96559999999999</v>
      </c>
      <c r="AE109" s="17">
        <v>463.44719999999995</v>
      </c>
      <c r="AF109" s="17">
        <v>417.33920000000001</v>
      </c>
      <c r="AG109" s="17">
        <v>347</v>
      </c>
      <c r="AH109" s="13">
        <f>VLOOKUP(A:A,[3]TDSheet!$A:$D,4,0)</f>
        <v>358.71199999999999</v>
      </c>
      <c r="AI109" s="13" t="e">
        <f>VLOOKUP(A:A,[1]TDSheet!$A:$AI,35,0)</f>
        <v>#N/A</v>
      </c>
      <c r="AJ109" s="13">
        <f t="shared" si="23"/>
        <v>0</v>
      </c>
      <c r="AK109" s="13">
        <f t="shared" si="24"/>
        <v>200</v>
      </c>
      <c r="AL109" s="13">
        <f t="shared" si="25"/>
        <v>200</v>
      </c>
      <c r="AM109" s="13"/>
      <c r="AN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2025-11-19T08:14:30Z</dcterms:modified>
</cp:coreProperties>
</file>