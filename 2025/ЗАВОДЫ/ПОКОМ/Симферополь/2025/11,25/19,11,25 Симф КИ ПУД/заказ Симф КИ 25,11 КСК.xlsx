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C44F3FC2-F6B0-424E-B6A3-077D4327883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Y173" i="1" s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Y103" i="1" s="1"/>
  <c r="P99" i="1"/>
  <c r="X96" i="1"/>
  <c r="X95" i="1"/>
  <c r="BO94" i="1"/>
  <c r="BM94" i="1"/>
  <c r="Y94" i="1"/>
  <c r="Y96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3" i="1" s="1"/>
  <c r="Y43" i="1"/>
  <c r="Y69" i="1"/>
  <c r="BP73" i="1"/>
  <c r="BN73" i="1"/>
  <c r="Z73" i="1"/>
  <c r="Z76" i="1" s="1"/>
  <c r="BP86" i="1"/>
  <c r="BN86" i="1"/>
  <c r="Z86" i="1"/>
  <c r="Z88" i="1" s="1"/>
  <c r="BP115" i="1"/>
  <c r="BN115" i="1"/>
  <c r="Z115" i="1"/>
  <c r="Y120" i="1"/>
  <c r="BP119" i="1"/>
  <c r="BN119" i="1"/>
  <c r="Z119" i="1"/>
  <c r="Z120" i="1" s="1"/>
  <c r="G499" i="1"/>
  <c r="Y127" i="1"/>
  <c r="BP124" i="1"/>
  <c r="BN124" i="1"/>
  <c r="Z124" i="1"/>
  <c r="Z126" i="1" s="1"/>
  <c r="Y153" i="1"/>
  <c r="BP152" i="1"/>
  <c r="BN152" i="1"/>
  <c r="Z152" i="1"/>
  <c r="Z153" i="1" s="1"/>
  <c r="I499" i="1"/>
  <c r="Y159" i="1"/>
  <c r="BP158" i="1"/>
  <c r="BN158" i="1"/>
  <c r="Z158" i="1"/>
  <c r="Z159" i="1" s="1"/>
  <c r="BP167" i="1"/>
  <c r="BN167" i="1"/>
  <c r="Z167" i="1"/>
  <c r="Y205" i="1"/>
  <c r="BP196" i="1"/>
  <c r="BN196" i="1"/>
  <c r="Z196" i="1"/>
  <c r="BP200" i="1"/>
  <c r="BN200" i="1"/>
  <c r="Z200" i="1"/>
  <c r="Y204" i="1"/>
  <c r="BP208" i="1"/>
  <c r="BN208" i="1"/>
  <c r="Z208" i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BP329" i="1"/>
  <c r="BN329" i="1"/>
  <c r="Z329" i="1"/>
  <c r="Z331" i="1" s="1"/>
  <c r="Y331" i="1"/>
  <c r="D499" i="1"/>
  <c r="Y58" i="1"/>
  <c r="Y64" i="1"/>
  <c r="BP94" i="1"/>
  <c r="BN94" i="1"/>
  <c r="Z94" i="1"/>
  <c r="F499" i="1"/>
  <c r="Y104" i="1"/>
  <c r="BP99" i="1"/>
  <c r="BN99" i="1"/>
  <c r="Z99" i="1"/>
  <c r="BP107" i="1"/>
  <c r="BN107" i="1"/>
  <c r="Z107" i="1"/>
  <c r="Z109" i="1" s="1"/>
  <c r="Y117" i="1"/>
  <c r="Y121" i="1"/>
  <c r="Z143" i="1"/>
  <c r="BP141" i="1"/>
  <c r="BN141" i="1"/>
  <c r="Z141" i="1"/>
  <c r="Y154" i="1"/>
  <c r="Y160" i="1"/>
  <c r="BP163" i="1"/>
  <c r="BN163" i="1"/>
  <c r="Z163" i="1"/>
  <c r="Z172" i="1" s="1"/>
  <c r="BP171" i="1"/>
  <c r="BN171" i="1"/>
  <c r="Z171" i="1"/>
  <c r="Y178" i="1"/>
  <c r="BP175" i="1"/>
  <c r="BN175" i="1"/>
  <c r="Z175" i="1"/>
  <c r="BP192" i="1"/>
  <c r="BN192" i="1"/>
  <c r="Z192" i="1"/>
  <c r="Z193" i="1" s="1"/>
  <c r="Y194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Z149" i="1"/>
  <c r="BP147" i="1"/>
  <c r="BN147" i="1"/>
  <c r="Z147" i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Z216" i="1" s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32" i="1"/>
  <c r="Z312" i="1"/>
  <c r="X492" i="1"/>
  <c r="Z103" i="1"/>
  <c r="Z204" i="1"/>
  <c r="Z394" i="1"/>
  <c r="Z69" i="1"/>
  <c r="Z494" i="1" s="1"/>
  <c r="Y489" i="1"/>
  <c r="Z178" i="1"/>
  <c r="Z268" i="1"/>
  <c r="Z260" i="1"/>
  <c r="Z251" i="1"/>
</calcChain>
</file>

<file path=xl/sharedStrings.xml><?xml version="1.0" encoding="utf-8"?>
<sst xmlns="http://schemas.openxmlformats.org/spreadsheetml/2006/main" count="2280" uniqueCount="768">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</sst>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45977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Воскресенье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0.375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220</v>
      </c>
      <c r="Y41" s="542">
        <f>IFERROR(IF(X41="",0,CEILING((X41/$H41),1)*$H41),"")</f>
        <v>220</v>
      </c>
      <c r="Z41" s="36">
        <f>IFERROR(IF(Y41=0,"",ROUNDUP(Y41/H41,0)*0.00902),"")</f>
        <v>0.49609999999999999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230.45000000000002</v>
      </c>
      <c r="BN41" s="64">
        <f>IFERROR(Y41*I41/H41,"0")</f>
        <v>230.45000000000002</v>
      </c>
      <c r="BO41" s="64">
        <f>IFERROR(1/J41*(X41/H41),"0")</f>
        <v>0.41666666666666669</v>
      </c>
      <c r="BP41" s="64">
        <f>IFERROR(1/J41*(Y41/H41),"0")</f>
        <v>0.41666666666666669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64.259259259259267</v>
      </c>
      <c r="Y43" s="543">
        <f>IFERROR(Y40/H40,"0")+IFERROR(Y41/H41,"0")+IFERROR(Y42/H42,"0")</f>
        <v>65</v>
      </c>
      <c r="Z43" s="543">
        <f>IFERROR(IF(Z40="",0,Z40),"0")+IFERROR(IF(Z41="",0,Z41),"0")+IFERROR(IF(Z42="",0,Z42),"0")</f>
        <v>0.68589999999999995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320</v>
      </c>
      <c r="Y44" s="543">
        <f>IFERROR(SUM(Y40:Y42),"0")</f>
        <v>328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220</v>
      </c>
      <c r="Y52" s="542">
        <f t="shared" si="0"/>
        <v>226.8</v>
      </c>
      <c r="Z52" s="36">
        <f>IFERROR(IF(Y52=0,"",ROUNDUP(Y52/H52,0)*0.01898),"")</f>
        <v>0.39857999999999999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228.35185185185188</v>
      </c>
      <c r="BN52" s="64">
        <f t="shared" si="2"/>
        <v>235.41000000000003</v>
      </c>
      <c r="BO52" s="64">
        <f t="shared" si="3"/>
        <v>0.31828703703703703</v>
      </c>
      <c r="BP52" s="64">
        <f t="shared" si="4"/>
        <v>0.328125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70.370370370370367</v>
      </c>
      <c r="Y57" s="543">
        <f>IFERROR(Y51/H51,"0")+IFERROR(Y52/H52,"0")+IFERROR(Y53/H53,"0")+IFERROR(Y54/H54,"0")+IFERROR(Y55/H55,"0")+IFERROR(Y56/H56,"0")</f>
        <v>71</v>
      </c>
      <c r="Z57" s="543">
        <f>IFERROR(IF(Z51="",0,Z51),"0")+IFERROR(IF(Z52="",0,Z52),"0")+IFERROR(IF(Z53="",0,Z53),"0")+IFERROR(IF(Z54="",0,Z54),"0")+IFERROR(IF(Z55="",0,Z55),"0")+IFERROR(IF(Z56="",0,Z56),"0")</f>
        <v>0.84958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445</v>
      </c>
      <c r="Y58" s="543">
        <f>IFERROR(SUM(Y51:Y56),"0")</f>
        <v>451.8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135</v>
      </c>
      <c r="Y62" s="542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68.518518518518519</v>
      </c>
      <c r="Y63" s="543">
        <f>IFERROR(Y60/H60,"0")+IFERROR(Y61/H61,"0")+IFERROR(Y62/H62,"0")</f>
        <v>69</v>
      </c>
      <c r="Z63" s="543">
        <f>IFERROR(IF(Z60="",0,Z60),"0")+IFERROR(IF(Z61="",0,Z61),"0")+IFERROR(IF(Z62="",0,Z62),"0")</f>
        <v>0.68612000000000006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335</v>
      </c>
      <c r="Y64" s="543">
        <f>IFERROR(SUM(Y60:Y62),"0")</f>
        <v>340.20000000000005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50</v>
      </c>
      <c r="Y79" s="542">
        <f>IFERROR(IF(X79="",0,CEILING((X79/$H79),1)*$H79),"")</f>
        <v>54.6</v>
      </c>
      <c r="Z79" s="36">
        <f>IFERROR(IF(Y79=0,"",ROUNDUP(Y79/H79,0)*0.01898),"")</f>
        <v>0.13286000000000001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52.628205128205138</v>
      </c>
      <c r="BN79" s="64">
        <f>IFERROR(Y79*I79/H79,"0")</f>
        <v>57.470000000000013</v>
      </c>
      <c r="BO79" s="64">
        <f>IFERROR(1/J79*(X79/H79),"0")</f>
        <v>0.10016025641025642</v>
      </c>
      <c r="BP79" s="64">
        <f>IFERROR(1/J79*(Y79/H79),"0")</f>
        <v>0.109375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6.4102564102564106</v>
      </c>
      <c r="Y81" s="543">
        <f>IFERROR(Y79/H79,"0")+IFERROR(Y80/H80,"0")</f>
        <v>7</v>
      </c>
      <c r="Z81" s="543">
        <f>IFERROR(IF(Z79="",0,Z79),"0")+IFERROR(IF(Z80="",0,Z80),"0")</f>
        <v>0.13286000000000001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50</v>
      </c>
      <c r="Y82" s="543">
        <f>IFERROR(SUM(Y79:Y80),"0")</f>
        <v>54.6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120</v>
      </c>
      <c r="Y85" s="542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495</v>
      </c>
      <c r="Y87" s="542">
        <f>IFERROR(IF(X87="",0,CEILING((X87/$H87),1)*$H87),"")</f>
        <v>495</v>
      </c>
      <c r="Z87" s="36">
        <f>IFERROR(IF(Y87=0,"",ROUNDUP(Y87/H87,0)*0.00902),"")</f>
        <v>0.99219999999999997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515.90000000000009</v>
      </c>
      <c r="BN87" s="64">
        <f>IFERROR(Y87*I87/H87,"0")</f>
        <v>515.90000000000009</v>
      </c>
      <c r="BO87" s="64">
        <f>IFERROR(1/J87*(X87/H87),"0")</f>
        <v>0.83333333333333337</v>
      </c>
      <c r="BP87" s="64">
        <f>IFERROR(1/J87*(Y87/H87),"0")</f>
        <v>0.83333333333333337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121.11111111111111</v>
      </c>
      <c r="Y88" s="543">
        <f>IFERROR(Y85/H85,"0")+IFERROR(Y86/H86,"0")+IFERROR(Y87/H87,"0")</f>
        <v>122</v>
      </c>
      <c r="Z88" s="543">
        <f>IFERROR(IF(Z85="",0,Z85),"0")+IFERROR(IF(Z86="",0,Z86),"0")+IFERROR(IF(Z87="",0,Z87),"0")</f>
        <v>1.2199599999999999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615</v>
      </c>
      <c r="Y89" s="543">
        <f>IFERROR(SUM(Y85:Y87),"0")</f>
        <v>624.6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320</v>
      </c>
      <c r="Y91" s="542">
        <f>IFERROR(IF(X91="",0,CEILING((X91/$H91),1)*$H91),"")</f>
        <v>324</v>
      </c>
      <c r="Z91" s="36">
        <f>IFERROR(IF(Y91=0,"",ROUNDUP(Y91/H91,0)*0.01898),"")</f>
        <v>0.75919999999999999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339.51604938271606</v>
      </c>
      <c r="BN91" s="64">
        <f>IFERROR(Y91*I91/H91,"0")</f>
        <v>343.76</v>
      </c>
      <c r="BO91" s="64">
        <f>IFERROR(1/J91*(X91/H91),"0")</f>
        <v>0.61728395061728403</v>
      </c>
      <c r="BP91" s="64">
        <f>IFERROR(1/J91*(Y91/H91),"0")</f>
        <v>0.625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382.5</v>
      </c>
      <c r="Y93" s="542">
        <f>IFERROR(IF(X93="",0,CEILING((X93/$H93),1)*$H93),"")</f>
        <v>383.40000000000003</v>
      </c>
      <c r="Z93" s="36">
        <f>IFERROR(IF(Y93=0,"",ROUNDUP(Y93/H93,0)*0.00651),"")</f>
        <v>0.92442000000000002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418.19999999999993</v>
      </c>
      <c r="BN93" s="64">
        <f>IFERROR(Y93*I93/H93,"0")</f>
        <v>419.18400000000003</v>
      </c>
      <c r="BO93" s="64">
        <f>IFERROR(1/J93*(X93/H93),"0")</f>
        <v>0.7783882783882784</v>
      </c>
      <c r="BP93" s="64">
        <f>IFERROR(1/J93*(Y93/H93),"0")</f>
        <v>0.78021978021978033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181.17283950617283</v>
      </c>
      <c r="Y95" s="543">
        <f>IFERROR(Y91/H91,"0")+IFERROR(Y92/H92,"0")+IFERROR(Y93/H93,"0")+IFERROR(Y94/H94,"0")</f>
        <v>182</v>
      </c>
      <c r="Z95" s="543">
        <f>IFERROR(IF(Z91="",0,Z91),"0")+IFERROR(IF(Z92="",0,Z92),"0")+IFERROR(IF(Z93="",0,Z93),"0")+IFERROR(IF(Z94="",0,Z94),"0")</f>
        <v>1.6836199999999999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702.5</v>
      </c>
      <c r="Y96" s="543">
        <f>IFERROR(SUM(Y91:Y94),"0")</f>
        <v>707.40000000000009</v>
      </c>
      <c r="Z96" s="37"/>
      <c r="AA96" s="544"/>
      <c r="AB96" s="544"/>
      <c r="AC96" s="544"/>
    </row>
    <row r="97" spans="1:68" ht="16.5" customHeight="1" x14ac:dyDescent="0.25">
      <c r="A97" s="559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70</v>
      </c>
      <c r="Y99" s="542">
        <f>IFERROR(IF(X99="",0,CEILING((X99/$H99),1)*$H99),"")</f>
        <v>75.600000000000009</v>
      </c>
      <c r="Z99" s="36">
        <f>IFERROR(IF(Y99=0,"",ROUNDUP(Y99/H99,0)*0.01898),"")</f>
        <v>0.13286000000000001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72.657407407407405</v>
      </c>
      <c r="BN99" s="64">
        <f>IFERROR(Y99*I99/H99,"0")</f>
        <v>78.47</v>
      </c>
      <c r="BO99" s="64">
        <f>IFERROR(1/J99*(X99/H99),"0")</f>
        <v>0.10127314814814814</v>
      </c>
      <c r="BP99" s="64">
        <f>IFERROR(1/J99*(Y99/H99),"0")</f>
        <v>0.109375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585</v>
      </c>
      <c r="Y101" s="542">
        <f>IFERROR(IF(X101="",0,CEILING((X101/$H101),1)*$H101),"")</f>
        <v>585</v>
      </c>
      <c r="Z101" s="36">
        <f>IFERROR(IF(Y101=0,"",ROUNDUP(Y101/H101,0)*0.00902),"")</f>
        <v>1.1726000000000001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609.70000000000005</v>
      </c>
      <c r="BN101" s="64">
        <f>IFERROR(Y101*I101/H101,"0")</f>
        <v>609.70000000000005</v>
      </c>
      <c r="BO101" s="64">
        <f>IFERROR(1/J101*(X101/H101),"0")</f>
        <v>0.98484848484848486</v>
      </c>
      <c r="BP101" s="64">
        <f>IFERROR(1/J101*(Y101/H101),"0")</f>
        <v>0.98484848484848486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136.48148148148147</v>
      </c>
      <c r="Y103" s="543">
        <f>IFERROR(Y99/H99,"0")+IFERROR(Y100/H100,"0")+IFERROR(Y101/H101,"0")+IFERROR(Y102/H102,"0")</f>
        <v>137</v>
      </c>
      <c r="Z103" s="543">
        <f>IFERROR(IF(Z99="",0,Z99),"0")+IFERROR(IF(Z100="",0,Z100),"0")+IFERROR(IF(Z101="",0,Z101),"0")+IFERROR(IF(Z102="",0,Z102),"0")</f>
        <v>1.3054600000000001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655</v>
      </c>
      <c r="Y104" s="543">
        <f>IFERROR(SUM(Y99:Y102),"0")</f>
        <v>660.6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360</v>
      </c>
      <c r="Y112" s="542">
        <f>IFERROR(IF(X112="",0,CEILING((X112/$H112),1)*$H112),"")</f>
        <v>364.5</v>
      </c>
      <c r="Z112" s="36">
        <f>IFERROR(IF(Y112=0,"",ROUNDUP(Y112/H112,0)*0.01898),"")</f>
        <v>0.85409999999999997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381.68888888888887</v>
      </c>
      <c r="BN112" s="64">
        <f>IFERROR(Y112*I112/H112,"0")</f>
        <v>386.46</v>
      </c>
      <c r="BO112" s="64">
        <f>IFERROR(1/J112*(X112/H112),"0")</f>
        <v>0.69444444444444442</v>
      </c>
      <c r="BP112" s="64">
        <f>IFERROR(1/J112*(Y112/H112),"0")</f>
        <v>0.703125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202.5</v>
      </c>
      <c r="Y114" s="542">
        <f>IFERROR(IF(X114="",0,CEILING((X114/$H114),1)*$H114),"")</f>
        <v>202.5</v>
      </c>
      <c r="Z114" s="36">
        <f>IFERROR(IF(Y114=0,"",ROUNDUP(Y114/H114,0)*0.00651),"")</f>
        <v>0.48825000000000002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221.39999999999998</v>
      </c>
      <c r="BN114" s="64">
        <f>IFERROR(Y114*I114/H114,"0")</f>
        <v>221.39999999999998</v>
      </c>
      <c r="BO114" s="64">
        <f>IFERROR(1/J114*(X114/H114),"0")</f>
        <v>0.41208791208791212</v>
      </c>
      <c r="BP114" s="64">
        <f>IFERROR(1/J114*(Y114/H114),"0")</f>
        <v>0.41208791208791212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24</v>
      </c>
      <c r="Y115" s="542">
        <f>IFERROR(IF(X115="",0,CEILING((X115/$H115),1)*$H115),"")</f>
        <v>25.2</v>
      </c>
      <c r="Z115" s="36">
        <f>IFERROR(IF(Y115=0,"",ROUNDUP(Y115/H115,0)*0.00651),"")</f>
        <v>9.1139999999999999E-2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26.4</v>
      </c>
      <c r="BN115" s="64">
        <f>IFERROR(Y115*I115/H115,"0")</f>
        <v>27.72</v>
      </c>
      <c r="BO115" s="64">
        <f>IFERROR(1/J115*(X115/H115),"0")</f>
        <v>7.3260073260073263E-2</v>
      </c>
      <c r="BP115" s="64">
        <f>IFERROR(1/J115*(Y115/H115),"0")</f>
        <v>7.6923076923076927E-2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132.77777777777777</v>
      </c>
      <c r="Y116" s="543">
        <f>IFERROR(Y112/H112,"0")+IFERROR(Y113/H113,"0")+IFERROR(Y114/H114,"0")+IFERROR(Y115/H115,"0")</f>
        <v>134</v>
      </c>
      <c r="Z116" s="543">
        <f>IFERROR(IF(Z112="",0,Z112),"0")+IFERROR(IF(Z113="",0,Z113),"0")+IFERROR(IF(Z114="",0,Z114),"0")+IFERROR(IF(Z115="",0,Z115),"0")</f>
        <v>1.4334899999999999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586.5</v>
      </c>
      <c r="Y117" s="543">
        <f>IFERROR(SUM(Y112:Y115),"0")</f>
        <v>592.20000000000005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26.4</v>
      </c>
      <c r="Y119" s="542">
        <f>IFERROR(IF(X119="",0,CEILING((X119/$H119),1)*$H119),"")</f>
        <v>27.72</v>
      </c>
      <c r="Z119" s="36">
        <f>IFERROR(IF(Y119=0,"",ROUNDUP(Y119/H119,0)*0.00651),"")</f>
        <v>9.1139999999999999E-2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29.84</v>
      </c>
      <c r="BN119" s="64">
        <f>IFERROR(Y119*I119/H119,"0")</f>
        <v>31.332000000000001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13.333333333333332</v>
      </c>
      <c r="Y120" s="543">
        <f>IFERROR(Y119/H119,"0")</f>
        <v>14</v>
      </c>
      <c r="Z120" s="543">
        <f>IFERROR(IF(Z119="",0,Z119),"0")</f>
        <v>9.1139999999999999E-2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26.4</v>
      </c>
      <c r="Y121" s="543">
        <f>IFERROR(SUM(Y119:Y119),"0")</f>
        <v>27.72</v>
      </c>
      <c r="Z121" s="37"/>
      <c r="AA121" s="544"/>
      <c r="AB121" s="544"/>
      <c r="AC121" s="544"/>
    </row>
    <row r="122" spans="1:68" ht="16.5" customHeight="1" x14ac:dyDescent="0.25">
      <c r="A122" s="559" t="s">
        <v>221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70</v>
      </c>
      <c r="Y130" s="542">
        <f>IFERROR(IF(X130="",0,CEILING((X130/$H130),1)*$H130),"")</f>
        <v>70</v>
      </c>
      <c r="Z130" s="36">
        <f>IFERROR(IF(Y130=0,"",ROUNDUP(Y130/H130,0)*0.00651),"")</f>
        <v>0.16275000000000001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76.7</v>
      </c>
      <c r="BN130" s="64">
        <f>IFERROR(Y130*I130/H130,"0")</f>
        <v>76.7</v>
      </c>
      <c r="BO130" s="64">
        <f>IFERROR(1/J130*(X130/H130),"0")</f>
        <v>0.13736263736263737</v>
      </c>
      <c r="BP130" s="64">
        <f>IFERROR(1/J130*(Y130/H130),"0")</f>
        <v>0.13736263736263737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25</v>
      </c>
      <c r="Y131" s="543">
        <f>IFERROR(Y129/H129,"0")+IFERROR(Y130/H130,"0")</f>
        <v>25</v>
      </c>
      <c r="Z131" s="543">
        <f>IFERROR(IF(Z129="",0,Z129),"0")+IFERROR(IF(Z130="",0,Z130),"0")</f>
        <v>0.16275000000000001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70</v>
      </c>
      <c r="Y132" s="543">
        <f>IFERROR(SUM(Y129:Y130),"0")</f>
        <v>70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56.1</v>
      </c>
      <c r="Y135" s="542">
        <f>IFERROR(IF(X135="",0,CEILING((X135/$H135),1)*$H135),"")</f>
        <v>58.080000000000005</v>
      </c>
      <c r="Z135" s="36">
        <f>IFERROR(IF(Y135=0,"",ROUNDUP(Y135/H135,0)*0.00651),"")</f>
        <v>0.14322000000000001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61.795000000000002</v>
      </c>
      <c r="BN135" s="64">
        <f>IFERROR(Y135*I135/H135,"0")</f>
        <v>63.976000000000006</v>
      </c>
      <c r="BO135" s="64">
        <f>IFERROR(1/J135*(X135/H135),"0")</f>
        <v>0.11675824175824177</v>
      </c>
      <c r="BP135" s="64">
        <f>IFERROR(1/J135*(Y135/H135),"0")</f>
        <v>0.12087912087912089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21.25</v>
      </c>
      <c r="Y136" s="543">
        <f>IFERROR(Y134/H134,"0")+IFERROR(Y135/H135,"0")</f>
        <v>22</v>
      </c>
      <c r="Z136" s="543">
        <f>IFERROR(IF(Z134="",0,Z134),"0")+IFERROR(IF(Z135="",0,Z135),"0")</f>
        <v>0.14322000000000001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56.1</v>
      </c>
      <c r="Y137" s="543">
        <f>IFERROR(SUM(Y134:Y135),"0")</f>
        <v>58.080000000000005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256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257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261</v>
      </c>
      <c r="B162" s="54" t="s">
        <v>262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263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254</v>
      </c>
      <c r="AC162" s="193" t="s">
        <v>264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265</v>
      </c>
      <c r="B163" s="54" t="s">
        <v>266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60</v>
      </c>
      <c r="Y163" s="542">
        <f t="shared" si="5"/>
        <v>63</v>
      </c>
      <c r="Z163" s="36">
        <f>IFERROR(IF(Y163=0,"",ROUNDUP(Y163/H163,0)*0.00902),"")</f>
        <v>0.1353</v>
      </c>
      <c r="AA163" s="56"/>
      <c r="AB163" s="57"/>
      <c r="AC163" s="195" t="s">
        <v>267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63.571428571428569</v>
      </c>
      <c r="BN163" s="64">
        <f t="shared" si="7"/>
        <v>66.75</v>
      </c>
      <c r="BO163" s="64">
        <f t="shared" si="8"/>
        <v>0.10822510822510822</v>
      </c>
      <c r="BP163" s="64">
        <f t="shared" si="9"/>
        <v>0.11363636363636365</v>
      </c>
    </row>
    <row r="164" spans="1:68" ht="27" customHeight="1" x14ac:dyDescent="0.25">
      <c r="A164" s="54" t="s">
        <v>268</v>
      </c>
      <c r="B164" s="54" t="s">
        <v>269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40</v>
      </c>
      <c r="Y164" s="542">
        <f t="shared" si="5"/>
        <v>42</v>
      </c>
      <c r="Z164" s="36">
        <f>IFERROR(IF(Y164=0,"",ROUNDUP(Y164/H164,0)*0.00902),"")</f>
        <v>9.0200000000000002E-2</v>
      </c>
      <c r="AA164" s="56"/>
      <c r="AB164" s="57"/>
      <c r="AC164" s="197" t="s">
        <v>270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42.38095238095238</v>
      </c>
      <c r="BN164" s="64">
        <f t="shared" si="7"/>
        <v>44.5</v>
      </c>
      <c r="BO164" s="64">
        <f t="shared" si="8"/>
        <v>7.2150072150072145E-2</v>
      </c>
      <c r="BP164" s="64">
        <f t="shared" si="9"/>
        <v>7.575757575757576E-2</v>
      </c>
    </row>
    <row r="165" spans="1:68" ht="27" customHeight="1" x14ac:dyDescent="0.25">
      <c r="A165" s="54" t="s">
        <v>271</v>
      </c>
      <c r="B165" s="54" t="s">
        <v>272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197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120</v>
      </c>
      <c r="Y165" s="542">
        <f t="shared" si="5"/>
        <v>121.80000000000001</v>
      </c>
      <c r="Z165" s="36">
        <f>IFERROR(IF(Y165=0,"",ROUNDUP(Y165/H165,0)*0.00902),"")</f>
        <v>0.26158000000000003</v>
      </c>
      <c r="AA165" s="56"/>
      <c r="AB165" s="57"/>
      <c r="AC165" s="199" t="s">
        <v>273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125.42857142857142</v>
      </c>
      <c r="BN165" s="64">
        <f t="shared" si="7"/>
        <v>127.30999999999999</v>
      </c>
      <c r="BO165" s="64">
        <f t="shared" si="8"/>
        <v>0.21645021645021645</v>
      </c>
      <c r="BP165" s="64">
        <f t="shared" si="9"/>
        <v>0.2196969696969697</v>
      </c>
    </row>
    <row r="166" spans="1:68" ht="27" customHeight="1" x14ac:dyDescent="0.25">
      <c r="A166" s="54" t="s">
        <v>274</v>
      </c>
      <c r="B166" s="54" t="s">
        <v>275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70</v>
      </c>
      <c r="Y166" s="542">
        <f t="shared" si="5"/>
        <v>71.400000000000006</v>
      </c>
      <c r="Z166" s="36">
        <f>IFERROR(IF(Y166=0,"",ROUNDUP(Y166/H166,0)*0.00502),"")</f>
        <v>0.17068</v>
      </c>
      <c r="AA166" s="56"/>
      <c r="AB166" s="57"/>
      <c r="AC166" s="201" t="s">
        <v>267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74.333333333333329</v>
      </c>
      <c r="BN166" s="64">
        <f t="shared" si="7"/>
        <v>75.820000000000007</v>
      </c>
      <c r="BO166" s="64">
        <f t="shared" si="8"/>
        <v>0.14245014245014245</v>
      </c>
      <c r="BP166" s="64">
        <f t="shared" si="9"/>
        <v>0.14529914529914531</v>
      </c>
    </row>
    <row r="167" spans="1:68" ht="27" customHeight="1" x14ac:dyDescent="0.25">
      <c r="A167" s="54" t="s">
        <v>277</v>
      </c>
      <c r="B167" s="54" t="s">
        <v>278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 t="s">
        <v>276</v>
      </c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122.5</v>
      </c>
      <c r="Y167" s="542">
        <f t="shared" si="5"/>
        <v>123.9</v>
      </c>
      <c r="Z167" s="36">
        <f>IFERROR(IF(Y167=0,"",ROUNDUP(Y167/H167,0)*0.00502),"")</f>
        <v>0.29618</v>
      </c>
      <c r="AA167" s="56"/>
      <c r="AB167" s="57"/>
      <c r="AC167" s="203" t="s">
        <v>270</v>
      </c>
      <c r="AG167" s="64"/>
      <c r="AJ167" s="68" t="s">
        <v>106</v>
      </c>
      <c r="AK167" s="68">
        <v>37.799999999999997</v>
      </c>
      <c r="BB167" s="204" t="s">
        <v>1</v>
      </c>
      <c r="BM167" s="64">
        <f t="shared" si="6"/>
        <v>130.08333333333334</v>
      </c>
      <c r="BN167" s="64">
        <f t="shared" si="7"/>
        <v>131.57</v>
      </c>
      <c r="BO167" s="64">
        <f t="shared" si="8"/>
        <v>0.2492877492877493</v>
      </c>
      <c r="BP167" s="64">
        <f t="shared" si="9"/>
        <v>0.25213675213675218</v>
      </c>
    </row>
    <row r="168" spans="1:68" ht="27" customHeight="1" x14ac:dyDescent="0.25">
      <c r="A168" s="54" t="s">
        <v>279</v>
      </c>
      <c r="B168" s="54" t="s">
        <v>280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281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282</v>
      </c>
      <c r="B169" s="54" t="s">
        <v>283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276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175</v>
      </c>
      <c r="Y169" s="542">
        <f t="shared" si="5"/>
        <v>176.4</v>
      </c>
      <c r="Z169" s="36">
        <f>IFERROR(IF(Y169=0,"",ROUNDUP(Y169/H169,0)*0.00502),"")</f>
        <v>0.42168</v>
      </c>
      <c r="AA169" s="56"/>
      <c r="AB169" s="57"/>
      <c r="AC169" s="207" t="s">
        <v>273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183.33333333333334</v>
      </c>
      <c r="BN169" s="64">
        <f t="shared" si="7"/>
        <v>184.8</v>
      </c>
      <c r="BO169" s="64">
        <f t="shared" si="8"/>
        <v>0.35612535612535612</v>
      </c>
      <c r="BP169" s="64">
        <f t="shared" si="9"/>
        <v>0.35897435897435903</v>
      </c>
    </row>
    <row r="170" spans="1:68" ht="27" customHeight="1" x14ac:dyDescent="0.25">
      <c r="A170" s="54" t="s">
        <v>284</v>
      </c>
      <c r="B170" s="54" t="s">
        <v>285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227.38095238095235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231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1.3756200000000001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587.5</v>
      </c>
      <c r="Y173" s="543">
        <f>IFERROR(SUM(Y162:Y171),"0")</f>
        <v>598.5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289</v>
      </c>
      <c r="B175" s="54" t="s">
        <v>290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291</v>
      </c>
      <c r="L175" s="32"/>
      <c r="M175" s="33" t="s">
        <v>292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10.5</v>
      </c>
      <c r="Y175" s="542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293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294</v>
      </c>
      <c r="B176" s="54" t="s">
        <v>295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291</v>
      </c>
      <c r="L176" s="32"/>
      <c r="M176" s="33" t="s">
        <v>292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10.5</v>
      </c>
      <c r="Y176" s="542">
        <f>IFERROR(IF(X176="",0,CEILING((X176/$H176),1)*$H176),"")</f>
        <v>11.34</v>
      </c>
      <c r="Z176" s="36">
        <f>IFERROR(IF(Y176=0,"",ROUNDUP(Y176/H176,0)*0.0059),"")</f>
        <v>5.3100000000000001E-2</v>
      </c>
      <c r="AA176" s="56"/>
      <c r="AB176" s="57"/>
      <c r="AC176" s="215" t="s">
        <v>296</v>
      </c>
      <c r="AG176" s="64"/>
      <c r="AJ176" s="68"/>
      <c r="AK176" s="68">
        <v>0</v>
      </c>
      <c r="BB176" s="216" t="s">
        <v>1</v>
      </c>
      <c r="BM176" s="64">
        <f>IFERROR(X176*I176/H176,"0")</f>
        <v>12.083333333333332</v>
      </c>
      <c r="BN176" s="64">
        <f>IFERROR(Y176*I176/H176,"0")</f>
        <v>13.049999999999999</v>
      </c>
      <c r="BO176" s="64">
        <f>IFERROR(1/J176*(X176/H176),"0")</f>
        <v>3.8580246913580245E-2</v>
      </c>
      <c r="BP176" s="64">
        <f>IFERROR(1/J176*(Y176/H176),"0")</f>
        <v>4.1666666666666664E-2</v>
      </c>
    </row>
    <row r="177" spans="1:68" ht="27" customHeight="1" x14ac:dyDescent="0.25">
      <c r="A177" s="54" t="s">
        <v>297</v>
      </c>
      <c r="B177" s="54" t="s">
        <v>298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291</v>
      </c>
      <c r="L177" s="32"/>
      <c r="M177" s="33" t="s">
        <v>292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10.5</v>
      </c>
      <c r="Y177" s="542">
        <f>IFERROR(IF(X177="",0,CEILING((X177/$H177),1)*$H177),"")</f>
        <v>11.34</v>
      </c>
      <c r="Z177" s="36">
        <f>IFERROR(IF(Y177=0,"",ROUNDUP(Y177/H177,0)*0.0059),"")</f>
        <v>5.3100000000000001E-2</v>
      </c>
      <c r="AA177" s="56"/>
      <c r="AB177" s="57"/>
      <c r="AC177" s="217" t="s">
        <v>296</v>
      </c>
      <c r="AG177" s="64"/>
      <c r="AJ177" s="68"/>
      <c r="AK177" s="68">
        <v>0</v>
      </c>
      <c r="BB177" s="218" t="s">
        <v>1</v>
      </c>
      <c r="BM177" s="64">
        <f>IFERROR(X177*I177/H177,"0")</f>
        <v>12.083333333333332</v>
      </c>
      <c r="BN177" s="64">
        <f>IFERROR(Y177*I177/H177,"0")</f>
        <v>13.049999999999999</v>
      </c>
      <c r="BO177" s="64">
        <f>IFERROR(1/J177*(X177/H177),"0")</f>
        <v>3.8580246913580245E-2</v>
      </c>
      <c r="BP177" s="64">
        <f>IFERROR(1/J177*(Y177/H177),"0")</f>
        <v>4.1666666666666664E-2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25</v>
      </c>
      <c r="Y178" s="543">
        <f>IFERROR(Y175/H175,"0")+IFERROR(Y176/H176,"0")+IFERROR(Y177/H177,"0")</f>
        <v>27</v>
      </c>
      <c r="Z178" s="543">
        <f>IFERROR(IF(Z175="",0,Z175),"0")+IFERROR(IF(Z176="",0,Z176),"0")+IFERROR(IF(Z177="",0,Z177),"0")</f>
        <v>0.1593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31.5</v>
      </c>
      <c r="Y179" s="543">
        <f>IFERROR(SUM(Y175:Y177),"0")</f>
        <v>34.019999999999996</v>
      </c>
      <c r="Z179" s="37"/>
      <c r="AA179" s="544"/>
      <c r="AB179" s="544"/>
      <c r="AC179" s="544"/>
    </row>
    <row r="180" spans="1:68" ht="14.25" customHeight="1" x14ac:dyDescent="0.25">
      <c r="A180" s="558" t="s">
        <v>299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300</v>
      </c>
      <c r="B181" s="54" t="s">
        <v>301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291</v>
      </c>
      <c r="L181" s="32"/>
      <c r="M181" s="33" t="s">
        <v>292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7.0000000000000009</v>
      </c>
      <c r="Y181" s="542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19" t="s">
        <v>296</v>
      </c>
      <c r="AG181" s="64"/>
      <c r="AJ181" s="68"/>
      <c r="AK181" s="68">
        <v>0</v>
      </c>
      <c r="BB181" s="220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5.5555555555555562</v>
      </c>
      <c r="Y182" s="543">
        <f>IFERROR(Y181/H181,"0")</f>
        <v>6</v>
      </c>
      <c r="Z182" s="543">
        <f>IFERROR(IF(Z181="",0,Z181),"0")</f>
        <v>3.5400000000000001E-2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7.0000000000000009</v>
      </c>
      <c r="Y183" s="543">
        <f>IFERROR(SUM(Y181:Y181),"0")</f>
        <v>7.5600000000000005</v>
      </c>
      <c r="Z183" s="37"/>
      <c r="AA183" s="544"/>
      <c r="AB183" s="544"/>
      <c r="AC183" s="544"/>
    </row>
    <row r="184" spans="1:68" ht="16.5" customHeight="1" x14ac:dyDescent="0.25">
      <c r="A184" s="559" t="s">
        <v>302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303</v>
      </c>
      <c r="B186" s="54" t="s">
        <v>304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305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306</v>
      </c>
      <c r="B187" s="54" t="s">
        <v>307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305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308</v>
      </c>
      <c r="B191" s="54" t="s">
        <v>309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310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311</v>
      </c>
      <c r="B192" s="54" t="s">
        <v>312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310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313</v>
      </c>
      <c r="B196" s="54" t="s">
        <v>314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100</v>
      </c>
      <c r="Y196" s="542">
        <f t="shared" ref="Y196:Y203" si="10">IFERROR(IF(X196="",0,CEILING((X196/$H196),1)*$H196),"")</f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315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103.5185185185185</v>
      </c>
      <c r="BN196" s="64">
        <f t="shared" ref="BN196:BN203" si="12">IFERROR(Y196*I196/H196,"0")</f>
        <v>106.21</v>
      </c>
      <c r="BO196" s="64">
        <f t="shared" ref="BO196:BO203" si="13">IFERROR(1/J196*(X196/H196),"0")</f>
        <v>0.14029180695847362</v>
      </c>
      <c r="BP196" s="64">
        <f t="shared" ref="BP196:BP203" si="14">IFERROR(1/J196*(Y196/H196),"0")</f>
        <v>0.14393939393939395</v>
      </c>
    </row>
    <row r="197" spans="1:68" ht="27" customHeight="1" x14ac:dyDescent="0.25">
      <c r="A197" s="54" t="s">
        <v>316</v>
      </c>
      <c r="B197" s="54" t="s">
        <v>317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60</v>
      </c>
      <c r="Y197" s="542">
        <f t="shared" si="10"/>
        <v>64.800000000000011</v>
      </c>
      <c r="Z197" s="36">
        <f>IFERROR(IF(Y197=0,"",ROUNDUP(Y197/H197,0)*0.00902),"")</f>
        <v>0.10824</v>
      </c>
      <c r="AA197" s="56"/>
      <c r="AB197" s="57"/>
      <c r="AC197" s="231" t="s">
        <v>318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62.1111111111111</v>
      </c>
      <c r="BN197" s="64">
        <f t="shared" si="12"/>
        <v>67.08</v>
      </c>
      <c r="BO197" s="64">
        <f t="shared" si="13"/>
        <v>8.4175084175084181E-2</v>
      </c>
      <c r="BP197" s="64">
        <f t="shared" si="14"/>
        <v>9.0909090909090925E-2</v>
      </c>
    </row>
    <row r="198" spans="1:68" ht="27" customHeight="1" x14ac:dyDescent="0.25">
      <c r="A198" s="54" t="s">
        <v>319</v>
      </c>
      <c r="B198" s="54" t="s">
        <v>320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480</v>
      </c>
      <c r="Y198" s="542">
        <f t="shared" si="10"/>
        <v>480.6</v>
      </c>
      <c r="Z198" s="36">
        <f>IFERROR(IF(Y198=0,"",ROUNDUP(Y198/H198,0)*0.00902),"")</f>
        <v>0.80278000000000005</v>
      </c>
      <c r="AA198" s="56"/>
      <c r="AB198" s="57"/>
      <c r="AC198" s="233" t="s">
        <v>321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496.8888888888888</v>
      </c>
      <c r="BN198" s="64">
        <f t="shared" si="12"/>
        <v>497.51</v>
      </c>
      <c r="BO198" s="64">
        <f t="shared" si="13"/>
        <v>0.67340067340067344</v>
      </c>
      <c r="BP198" s="64">
        <f t="shared" si="14"/>
        <v>0.67424242424242431</v>
      </c>
    </row>
    <row r="199" spans="1:68" ht="27" customHeight="1" x14ac:dyDescent="0.25">
      <c r="A199" s="54" t="s">
        <v>322</v>
      </c>
      <c r="B199" s="54" t="s">
        <v>323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197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70</v>
      </c>
      <c r="Y199" s="542">
        <f t="shared" si="10"/>
        <v>70.2</v>
      </c>
      <c r="Z199" s="36">
        <f>IFERROR(IF(Y199=0,"",ROUNDUP(Y199/H199,0)*0.00902),"")</f>
        <v>0.11726</v>
      </c>
      <c r="AA199" s="56"/>
      <c r="AB199" s="57"/>
      <c r="AC199" s="235" t="s">
        <v>324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72.462962962962962</v>
      </c>
      <c r="BN199" s="64">
        <f t="shared" si="12"/>
        <v>72.67</v>
      </c>
      <c r="BO199" s="64">
        <f t="shared" si="13"/>
        <v>9.8204264870931535E-2</v>
      </c>
      <c r="BP199" s="64">
        <f t="shared" si="14"/>
        <v>9.8484848484848481E-2</v>
      </c>
    </row>
    <row r="200" spans="1:68" ht="27" customHeight="1" x14ac:dyDescent="0.25">
      <c r="A200" s="54" t="s">
        <v>325</v>
      </c>
      <c r="B200" s="54" t="s">
        <v>326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84</v>
      </c>
      <c r="Y200" s="542">
        <f t="shared" si="10"/>
        <v>84.600000000000009</v>
      </c>
      <c r="Z200" s="36">
        <f>IFERROR(IF(Y200=0,"",ROUNDUP(Y200/H200,0)*0.00502),"")</f>
        <v>0.23594000000000001</v>
      </c>
      <c r="AA200" s="56"/>
      <c r="AB200" s="57"/>
      <c r="AC200" s="237" t="s">
        <v>315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90.066666666666663</v>
      </c>
      <c r="BN200" s="64">
        <f t="shared" si="12"/>
        <v>90.710000000000008</v>
      </c>
      <c r="BO200" s="64">
        <f t="shared" si="13"/>
        <v>0.19943019943019943</v>
      </c>
      <c r="BP200" s="64">
        <f t="shared" si="14"/>
        <v>0.20085470085470092</v>
      </c>
    </row>
    <row r="201" spans="1:68" ht="27" customHeight="1" x14ac:dyDescent="0.25">
      <c r="A201" s="54" t="s">
        <v>327</v>
      </c>
      <c r="B201" s="54" t="s">
        <v>328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57</v>
      </c>
      <c r="Y201" s="542">
        <f t="shared" si="10"/>
        <v>57.6</v>
      </c>
      <c r="Z201" s="36">
        <f>IFERROR(IF(Y201=0,"",ROUNDUP(Y201/H201,0)*0.00502),"")</f>
        <v>0.16064000000000001</v>
      </c>
      <c r="AA201" s="56"/>
      <c r="AB201" s="57"/>
      <c r="AC201" s="239" t="s">
        <v>318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60.166666666666664</v>
      </c>
      <c r="BN201" s="64">
        <f t="shared" si="12"/>
        <v>60.8</v>
      </c>
      <c r="BO201" s="64">
        <f t="shared" si="13"/>
        <v>0.13532763532763534</v>
      </c>
      <c r="BP201" s="64">
        <f t="shared" si="14"/>
        <v>0.13675213675213677</v>
      </c>
    </row>
    <row r="202" spans="1:68" ht="27" customHeight="1" x14ac:dyDescent="0.25">
      <c r="A202" s="54" t="s">
        <v>329</v>
      </c>
      <c r="B202" s="54" t="s">
        <v>330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75</v>
      </c>
      <c r="Y202" s="542">
        <f t="shared" si="10"/>
        <v>75.600000000000009</v>
      </c>
      <c r="Z202" s="36">
        <f>IFERROR(IF(Y202=0,"",ROUNDUP(Y202/H202,0)*0.00502),"")</f>
        <v>0.21084</v>
      </c>
      <c r="AA202" s="56"/>
      <c r="AB202" s="57"/>
      <c r="AC202" s="241" t="s">
        <v>321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79.166666666666671</v>
      </c>
      <c r="BN202" s="64">
        <f t="shared" si="12"/>
        <v>79.800000000000011</v>
      </c>
      <c r="BO202" s="64">
        <f t="shared" si="13"/>
        <v>0.17806267806267806</v>
      </c>
      <c r="BP202" s="64">
        <f t="shared" si="14"/>
        <v>0.17948717948717954</v>
      </c>
    </row>
    <row r="203" spans="1:68" ht="27" customHeight="1" x14ac:dyDescent="0.25">
      <c r="A203" s="54" t="s">
        <v>331</v>
      </c>
      <c r="B203" s="54" t="s">
        <v>332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276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66</v>
      </c>
      <c r="Y203" s="542">
        <f t="shared" si="10"/>
        <v>66.600000000000009</v>
      </c>
      <c r="Z203" s="36">
        <f>IFERROR(IF(Y203=0,"",ROUNDUP(Y203/H203,0)*0.00502),"")</f>
        <v>0.18574000000000002</v>
      </c>
      <c r="AA203" s="56"/>
      <c r="AB203" s="57"/>
      <c r="AC203" s="243" t="s">
        <v>324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69.666666666666657</v>
      </c>
      <c r="BN203" s="64">
        <f t="shared" si="12"/>
        <v>70.3</v>
      </c>
      <c r="BO203" s="64">
        <f t="shared" si="13"/>
        <v>0.15669515669515671</v>
      </c>
      <c r="BP203" s="64">
        <f t="shared" si="14"/>
        <v>0.15811965811965817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288.1481481481481</v>
      </c>
      <c r="Y204" s="543">
        <f>IFERROR(Y196/H196,"0")+IFERROR(Y197/H197,"0")+IFERROR(Y198/H198,"0")+IFERROR(Y199/H199,"0")+IFERROR(Y200/H200,"0")+IFERROR(Y201/H201,"0")+IFERROR(Y202/H202,"0")+IFERROR(Y203/H203,"0")</f>
        <v>291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1.9928199999999998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992</v>
      </c>
      <c r="Y205" s="543">
        <f>IFERROR(SUM(Y196:Y203),"0")</f>
        <v>1002.6000000000001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333</v>
      </c>
      <c r="B207" s="54" t="s">
        <v>334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335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336</v>
      </c>
      <c r="B208" s="54" t="s">
        <v>337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338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339</v>
      </c>
      <c r="B209" s="54" t="s">
        <v>340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120</v>
      </c>
      <c r="Y209" s="542">
        <f t="shared" si="15"/>
        <v>121.79999999999998</v>
      </c>
      <c r="Z209" s="36">
        <f>IFERROR(IF(Y209=0,"",ROUNDUP(Y209/H209,0)*0.01898),"")</f>
        <v>0.26572000000000001</v>
      </c>
      <c r="AA209" s="56"/>
      <c r="AB209" s="57"/>
      <c r="AC209" s="249" t="s">
        <v>341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126.8137931034483</v>
      </c>
      <c r="BN209" s="64">
        <f t="shared" si="17"/>
        <v>128.71600000000001</v>
      </c>
      <c r="BO209" s="64">
        <f t="shared" si="18"/>
        <v>0.21551724137931036</v>
      </c>
      <c r="BP209" s="64">
        <f t="shared" si="19"/>
        <v>0.21875</v>
      </c>
    </row>
    <row r="210" spans="1:68" ht="27" customHeight="1" x14ac:dyDescent="0.25">
      <c r="A210" s="54" t="s">
        <v>342</v>
      </c>
      <c r="B210" s="54" t="s">
        <v>343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280</v>
      </c>
      <c r="Y210" s="542">
        <f t="shared" si="15"/>
        <v>280.8</v>
      </c>
      <c r="Z210" s="36">
        <f t="shared" ref="Z210:Z215" si="20">IFERROR(IF(Y210=0,"",ROUNDUP(Y210/H210,0)*0.00651),"")</f>
        <v>0.76167000000000007</v>
      </c>
      <c r="AA210" s="56"/>
      <c r="AB210" s="57"/>
      <c r="AC210" s="251" t="s">
        <v>335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311.5</v>
      </c>
      <c r="BN210" s="64">
        <f t="shared" si="17"/>
        <v>312.39</v>
      </c>
      <c r="BO210" s="64">
        <f t="shared" si="18"/>
        <v>0.64102564102564108</v>
      </c>
      <c r="BP210" s="64">
        <f t="shared" si="19"/>
        <v>0.64285714285714302</v>
      </c>
    </row>
    <row r="211" spans="1:68" ht="27" customHeight="1" x14ac:dyDescent="0.25">
      <c r="A211" s="54" t="s">
        <v>344</v>
      </c>
      <c r="B211" s="54" t="s">
        <v>345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346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347</v>
      </c>
      <c r="B212" s="54" t="s">
        <v>348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280</v>
      </c>
      <c r="Y212" s="542">
        <f t="shared" si="15"/>
        <v>280.8</v>
      </c>
      <c r="Z212" s="36">
        <f t="shared" si="20"/>
        <v>0.76167000000000007</v>
      </c>
      <c r="AA212" s="56"/>
      <c r="AB212" s="57"/>
      <c r="AC212" s="255" t="s">
        <v>341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309.40000000000003</v>
      </c>
      <c r="BN212" s="64">
        <f t="shared" si="17"/>
        <v>310.28400000000005</v>
      </c>
      <c r="BO212" s="64">
        <f t="shared" si="18"/>
        <v>0.64102564102564108</v>
      </c>
      <c r="BP212" s="64">
        <f t="shared" si="19"/>
        <v>0.64285714285714302</v>
      </c>
    </row>
    <row r="213" spans="1:68" ht="27" customHeight="1" x14ac:dyDescent="0.25">
      <c r="A213" s="54" t="s">
        <v>349</v>
      </c>
      <c r="B213" s="54" t="s">
        <v>350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341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351</v>
      </c>
      <c r="B214" s="54" t="s">
        <v>352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214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120</v>
      </c>
      <c r="Y214" s="542">
        <f t="shared" si="15"/>
        <v>120</v>
      </c>
      <c r="Z214" s="36">
        <f t="shared" si="20"/>
        <v>0.32550000000000001</v>
      </c>
      <c r="AA214" s="56"/>
      <c r="AB214" s="57"/>
      <c r="AC214" s="259" t="s">
        <v>353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132.60000000000002</v>
      </c>
      <c r="BN214" s="64">
        <f t="shared" si="17"/>
        <v>132.60000000000002</v>
      </c>
      <c r="BO214" s="64">
        <f t="shared" si="18"/>
        <v>0.27472527472527475</v>
      </c>
      <c r="BP214" s="64">
        <f t="shared" si="19"/>
        <v>0.27472527472527475</v>
      </c>
    </row>
    <row r="215" spans="1:68" ht="27" customHeight="1" x14ac:dyDescent="0.25">
      <c r="A215" s="54" t="s">
        <v>354</v>
      </c>
      <c r="B215" s="54" t="s">
        <v>355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214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220</v>
      </c>
      <c r="Y215" s="542">
        <f t="shared" si="15"/>
        <v>220.79999999999998</v>
      </c>
      <c r="Z215" s="36">
        <f t="shared" si="20"/>
        <v>0.59892000000000001</v>
      </c>
      <c r="AA215" s="56"/>
      <c r="AB215" s="57"/>
      <c r="AC215" s="261" t="s">
        <v>338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243.65</v>
      </c>
      <c r="BN215" s="64">
        <f t="shared" si="17"/>
        <v>244.536</v>
      </c>
      <c r="BO215" s="64">
        <f t="shared" si="18"/>
        <v>0.50366300366300376</v>
      </c>
      <c r="BP215" s="64">
        <f t="shared" si="19"/>
        <v>0.50549450549450559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388.79310344827587</v>
      </c>
      <c r="Y216" s="543">
        <f>IFERROR(Y207/H207,"0")+IFERROR(Y208/H208,"0")+IFERROR(Y209/H209,"0")+IFERROR(Y210/H210,"0")+IFERROR(Y211/H211,"0")+IFERROR(Y212/H212,"0")+IFERROR(Y213/H213,"0")+IFERROR(Y214/H214,"0")+IFERROR(Y215/H215,"0")</f>
        <v>390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2.7134800000000001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1020</v>
      </c>
      <c r="Y217" s="543">
        <f>IFERROR(SUM(Y207:Y215),"0")</f>
        <v>1024.2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356</v>
      </c>
      <c r="B219" s="54" t="s">
        <v>357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214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358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359</v>
      </c>
      <c r="B220" s="54" t="s">
        <v>360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214</v>
      </c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16</v>
      </c>
      <c r="Y220" s="542">
        <f>IFERROR(IF(X220="",0,CEILING((X220/$H220),1)*$H220),"")</f>
        <v>16.8</v>
      </c>
      <c r="Z220" s="36">
        <f>IFERROR(IF(Y220=0,"",ROUNDUP(Y220/H220,0)*0.00651),"")</f>
        <v>4.5569999999999999E-2</v>
      </c>
      <c r="AA220" s="56"/>
      <c r="AB220" s="57"/>
      <c r="AC220" s="265" t="s">
        <v>361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17.680000000000003</v>
      </c>
      <c r="BN220" s="64">
        <f>IFERROR(Y220*I220/H220,"0")</f>
        <v>18.564000000000004</v>
      </c>
      <c r="BO220" s="64">
        <f>IFERROR(1/J220*(X220/H220),"0")</f>
        <v>3.6630036630036632E-2</v>
      </c>
      <c r="BP220" s="64">
        <f>IFERROR(1/J220*(Y220/H220),"0")</f>
        <v>3.8461538461538471E-2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6.666666666666667</v>
      </c>
      <c r="Y221" s="543">
        <f>IFERROR(Y219/H219,"0")+IFERROR(Y220/H220,"0")</f>
        <v>7.0000000000000009</v>
      </c>
      <c r="Z221" s="543">
        <f>IFERROR(IF(Z219="",0,Z219),"0")+IFERROR(IF(Z220="",0,Z220),"0")</f>
        <v>4.5569999999999999E-2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16</v>
      </c>
      <c r="Y222" s="543">
        <f>IFERROR(SUM(Y219:Y220),"0")</f>
        <v>16.8</v>
      </c>
      <c r="Z222" s="37"/>
      <c r="AA222" s="544"/>
      <c r="AB222" s="544"/>
      <c r="AC222" s="544"/>
    </row>
    <row r="223" spans="1:68" ht="16.5" customHeight="1" x14ac:dyDescent="0.25">
      <c r="A223" s="559" t="s">
        <v>362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363</v>
      </c>
      <c r="B225" s="54" t="s">
        <v>364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20</v>
      </c>
      <c r="Y225" s="542">
        <f t="shared" ref="Y225:Y234" si="21">IFERROR(IF(X225="",0,CEILING((X225/$H225),1)*$H225),"")</f>
        <v>23.2</v>
      </c>
      <c r="Z225" s="36">
        <f>IFERROR(IF(Y225=0,"",ROUNDUP(Y225/H225,0)*0.01898),"")</f>
        <v>3.7960000000000001E-2</v>
      </c>
      <c r="AA225" s="56"/>
      <c r="AB225" s="57"/>
      <c r="AC225" s="267" t="s">
        <v>365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20.706896551724139</v>
      </c>
      <c r="BN225" s="64">
        <f t="shared" ref="BN225:BN234" si="23">IFERROR(Y225*I225/H225,"0")</f>
        <v>24.02</v>
      </c>
      <c r="BO225" s="64">
        <f t="shared" ref="BO225:BO234" si="24">IFERROR(1/J225*(X225/H225),"0")</f>
        <v>2.6939655172413795E-2</v>
      </c>
      <c r="BP225" s="64">
        <f t="shared" ref="BP225:BP234" si="25">IFERROR(1/J225*(Y225/H225),"0")</f>
        <v>3.125E-2</v>
      </c>
    </row>
    <row r="226" spans="1:68" ht="27" customHeight="1" x14ac:dyDescent="0.25">
      <c r="A226" s="54" t="s">
        <v>366</v>
      </c>
      <c r="B226" s="54" t="s">
        <v>367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368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369</v>
      </c>
      <c r="B227" s="54" t="s">
        <v>370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 t="s">
        <v>103</v>
      </c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371</v>
      </c>
      <c r="AG227" s="64"/>
      <c r="AJ227" s="68" t="s">
        <v>106</v>
      </c>
      <c r="AK227" s="68">
        <v>92.8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372</v>
      </c>
      <c r="B228" s="54" t="s">
        <v>373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 t="s">
        <v>197</v>
      </c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32</v>
      </c>
      <c r="Y228" s="542">
        <f t="shared" si="21"/>
        <v>32</v>
      </c>
      <c r="Z228" s="36">
        <f>IFERROR(IF(Y228=0,"",ROUNDUP(Y228/H228,0)*0.00902),"")</f>
        <v>7.2160000000000002E-2</v>
      </c>
      <c r="AA228" s="56"/>
      <c r="AB228" s="57"/>
      <c r="AC228" s="273" t="s">
        <v>365</v>
      </c>
      <c r="AG228" s="64"/>
      <c r="AJ228" s="68" t="s">
        <v>106</v>
      </c>
      <c r="AK228" s="68">
        <v>48</v>
      </c>
      <c r="BB228" s="274" t="s">
        <v>1</v>
      </c>
      <c r="BM228" s="64">
        <f t="shared" si="22"/>
        <v>33.520000000000003</v>
      </c>
      <c r="BN228" s="64">
        <f t="shared" si="23"/>
        <v>33.520000000000003</v>
      </c>
      <c r="BO228" s="64">
        <f t="shared" si="24"/>
        <v>6.0606060606060608E-2</v>
      </c>
      <c r="BP228" s="64">
        <f t="shared" si="25"/>
        <v>6.0606060606060608E-2</v>
      </c>
    </row>
    <row r="229" spans="1:68" ht="27" customHeight="1" x14ac:dyDescent="0.25">
      <c r="A229" s="54" t="s">
        <v>372</v>
      </c>
      <c r="B229" s="54" t="s">
        <v>374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375</v>
      </c>
      <c r="B230" s="54" t="s">
        <v>376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377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378</v>
      </c>
      <c r="B231" s="54" t="s">
        <v>379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368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380</v>
      </c>
      <c r="B232" s="54" t="s">
        <v>381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368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382</v>
      </c>
      <c r="B233" s="54" t="s">
        <v>383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197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48</v>
      </c>
      <c r="Y233" s="542">
        <f t="shared" si="21"/>
        <v>48</v>
      </c>
      <c r="Z233" s="36">
        <f>IFERROR(IF(Y233=0,"",ROUNDUP(Y233/H233,0)*0.00902),"")</f>
        <v>0.10824</v>
      </c>
      <c r="AA233" s="56"/>
      <c r="AB233" s="57"/>
      <c r="AC233" s="283" t="s">
        <v>371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50.28</v>
      </c>
      <c r="BN233" s="64">
        <f t="shared" si="23"/>
        <v>50.28</v>
      </c>
      <c r="BO233" s="64">
        <f t="shared" si="24"/>
        <v>9.0909090909090912E-2</v>
      </c>
      <c r="BP233" s="64">
        <f t="shared" si="25"/>
        <v>9.0909090909090912E-2</v>
      </c>
    </row>
    <row r="234" spans="1:68" ht="27" customHeight="1" x14ac:dyDescent="0.25">
      <c r="A234" s="54" t="s">
        <v>382</v>
      </c>
      <c r="B234" s="54" t="s">
        <v>384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371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21.724137931034484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22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0.21836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100</v>
      </c>
      <c r="Y236" s="543">
        <f>IFERROR(SUM(Y225:Y234),"0")</f>
        <v>103.2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385</v>
      </c>
      <c r="B238" s="54" t="s">
        <v>386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387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388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389</v>
      </c>
      <c r="B242" s="54" t="s">
        <v>390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291</v>
      </c>
      <c r="L242" s="32"/>
      <c r="M242" s="33" t="s">
        <v>292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6</v>
      </c>
      <c r="Y242" s="542">
        <f>IFERROR(IF(X242="",0,CEILING((X242/$H242),1)*$H242),"")</f>
        <v>7.2</v>
      </c>
      <c r="Z242" s="36">
        <f>IFERROR(IF(Y242=0,"",ROUNDUP(Y242/H242,0)*0.0059),"")</f>
        <v>2.3599999999999999E-2</v>
      </c>
      <c r="AA242" s="56"/>
      <c r="AB242" s="57"/>
      <c r="AC242" s="289" t="s">
        <v>391</v>
      </c>
      <c r="AG242" s="64"/>
      <c r="AJ242" s="68"/>
      <c r="AK242" s="68">
        <v>0</v>
      </c>
      <c r="BB242" s="290" t="s">
        <v>1</v>
      </c>
      <c r="BM242" s="64">
        <f>IFERROR(X242*I242/H242,"0")</f>
        <v>6.5833333333333339</v>
      </c>
      <c r="BN242" s="64">
        <f>IFERROR(Y242*I242/H242,"0")</f>
        <v>7.9</v>
      </c>
      <c r="BO242" s="64">
        <f>IFERROR(1/J242*(X242/H242),"0")</f>
        <v>1.5432098765432096E-2</v>
      </c>
      <c r="BP242" s="64">
        <f>IFERROR(1/J242*(Y242/H242),"0")</f>
        <v>1.8518518518518517E-2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3.333333333333333</v>
      </c>
      <c r="Y243" s="543">
        <f>IFERROR(Y242/H242,"0")</f>
        <v>4</v>
      </c>
      <c r="Z243" s="543">
        <f>IFERROR(IF(Z242="",0,Z242),"0")</f>
        <v>2.3599999999999999E-2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6</v>
      </c>
      <c r="Y244" s="543">
        <f>IFERROR(SUM(Y242:Y242),"0")</f>
        <v>7.2</v>
      </c>
      <c r="Z244" s="37"/>
      <c r="AA244" s="544"/>
      <c r="AB244" s="544"/>
      <c r="AC244" s="544"/>
    </row>
    <row r="245" spans="1:68" ht="14.25" customHeight="1" x14ac:dyDescent="0.25">
      <c r="A245" s="558" t="s">
        <v>392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393</v>
      </c>
      <c r="B246" s="54" t="s">
        <v>394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291</v>
      </c>
      <c r="L246" s="32"/>
      <c r="M246" s="33" t="s">
        <v>292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395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396</v>
      </c>
      <c r="B247" s="54" t="s">
        <v>397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291</v>
      </c>
      <c r="L247" s="32"/>
      <c r="M247" s="33" t="s">
        <v>292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5.6000000000000014</v>
      </c>
      <c r="Y247" s="542">
        <f>IFERROR(IF(X247="",0,CEILING((X247/$H247),1)*$H247),"")</f>
        <v>7.2</v>
      </c>
      <c r="Z247" s="36">
        <f>IFERROR(IF(Y247=0,"",ROUNDUP(Y247/H247,0)*0.0059),"")</f>
        <v>2.3599999999999999E-2</v>
      </c>
      <c r="AA247" s="56"/>
      <c r="AB247" s="57"/>
      <c r="AC247" s="293" t="s">
        <v>395</v>
      </c>
      <c r="AG247" s="64"/>
      <c r="AJ247" s="68"/>
      <c r="AK247" s="68">
        <v>0</v>
      </c>
      <c r="BB247" s="294" t="s">
        <v>1</v>
      </c>
      <c r="BM247" s="64">
        <f>IFERROR(X247*I247/H247,"0")</f>
        <v>6.1444444444444466</v>
      </c>
      <c r="BN247" s="64">
        <f>IFERROR(Y247*I247/H247,"0")</f>
        <v>7.9</v>
      </c>
      <c r="BO247" s="64">
        <f>IFERROR(1/J247*(X247/H247),"0")</f>
        <v>1.4403292181069961E-2</v>
      </c>
      <c r="BP247" s="64">
        <f>IFERROR(1/J247*(Y247/H247),"0")</f>
        <v>1.8518518518518517E-2</v>
      </c>
    </row>
    <row r="248" spans="1:68" ht="27" customHeight="1" x14ac:dyDescent="0.25">
      <c r="A248" s="54" t="s">
        <v>398</v>
      </c>
      <c r="B248" s="54" t="s">
        <v>399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291</v>
      </c>
      <c r="L248" s="32"/>
      <c r="M248" s="33" t="s">
        <v>292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5.5</v>
      </c>
      <c r="Y248" s="542">
        <f>IFERROR(IF(X248="",0,CEILING((X248/$H248),1)*$H248),"")</f>
        <v>6.3</v>
      </c>
      <c r="Z248" s="36">
        <f>IFERROR(IF(Y248=0,"",ROUNDUP(Y248/H248,0)*0.0059),"")</f>
        <v>4.1299999999999996E-2</v>
      </c>
      <c r="AA248" s="56"/>
      <c r="AB248" s="57"/>
      <c r="AC248" s="295" t="s">
        <v>395</v>
      </c>
      <c r="AG248" s="64"/>
      <c r="AJ248" s="68"/>
      <c r="AK248" s="68">
        <v>0</v>
      </c>
      <c r="BB248" s="296" t="s">
        <v>1</v>
      </c>
      <c r="BM248" s="64">
        <f>IFERROR(X248*I248/H248,"0")</f>
        <v>6.6611111111111114</v>
      </c>
      <c r="BN248" s="64">
        <f>IFERROR(Y248*I248/H248,"0")</f>
        <v>7.63</v>
      </c>
      <c r="BO248" s="64">
        <f>IFERROR(1/J248*(X248/H248),"0")</f>
        <v>2.8292181069958844E-2</v>
      </c>
      <c r="BP248" s="64">
        <f>IFERROR(1/J248*(Y248/H248),"0")</f>
        <v>3.2407407407407406E-2</v>
      </c>
    </row>
    <row r="249" spans="1:68" ht="27" customHeight="1" x14ac:dyDescent="0.25">
      <c r="A249" s="54" t="s">
        <v>400</v>
      </c>
      <c r="B249" s="54" t="s">
        <v>401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291</v>
      </c>
      <c r="L249" s="32"/>
      <c r="M249" s="33" t="s">
        <v>292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395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402</v>
      </c>
      <c r="B250" s="54" t="s">
        <v>403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291</v>
      </c>
      <c r="L250" s="32"/>
      <c r="M250" s="33" t="s">
        <v>292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395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9.2222222222222214</v>
      </c>
      <c r="Y251" s="543">
        <f>IFERROR(Y246/H246,"0")+IFERROR(Y247/H247,"0")+IFERROR(Y248/H248,"0")+IFERROR(Y249/H249,"0")+IFERROR(Y250/H250,"0")</f>
        <v>11</v>
      </c>
      <c r="Z251" s="543">
        <f>IFERROR(IF(Z246="",0,Z246),"0")+IFERROR(IF(Z247="",0,Z247),"0")+IFERROR(IF(Z248="",0,Z248),"0")+IFERROR(IF(Z249="",0,Z249),"0")+IFERROR(IF(Z250="",0,Z250),"0")</f>
        <v>6.4899999999999999E-2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11.100000000000001</v>
      </c>
      <c r="Y252" s="543">
        <f>IFERROR(SUM(Y246:Y250),"0")</f>
        <v>13.5</v>
      </c>
      <c r="Z252" s="37"/>
      <c r="AA252" s="544"/>
      <c r="AB252" s="544"/>
      <c r="AC252" s="544"/>
    </row>
    <row r="253" spans="1:68" ht="16.5" customHeight="1" x14ac:dyDescent="0.25">
      <c r="A253" s="559" t="s">
        <v>404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405</v>
      </c>
      <c r="B255" s="54" t="s">
        <v>406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407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408</v>
      </c>
      <c r="B256" s="54" t="s">
        <v>409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410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411</v>
      </c>
      <c r="B257" s="54" t="s">
        <v>412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413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414</v>
      </c>
      <c r="B258" s="54" t="s">
        <v>415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416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417</v>
      </c>
      <c r="B259" s="54" t="s">
        <v>418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419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420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421</v>
      </c>
      <c r="B264" s="54" t="s">
        <v>422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423</v>
      </c>
      <c r="B265" s="54" t="s">
        <v>424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426</v>
      </c>
      <c r="B266" s="54" t="s">
        <v>427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371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428</v>
      </c>
      <c r="B267" s="54" t="s">
        <v>429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430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431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432</v>
      </c>
      <c r="B272" s="54" t="s">
        <v>433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434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435</v>
      </c>
      <c r="B273" s="54" t="s">
        <v>436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214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80</v>
      </c>
      <c r="Y273" s="542">
        <f>IFERROR(IF(X273="",0,CEILING((X273/$H273),1)*$H273),"")</f>
        <v>81.599999999999994</v>
      </c>
      <c r="Z273" s="36">
        <f>IFERROR(IF(Y273=0,"",ROUNDUP(Y273/H273,0)*0.00651),"")</f>
        <v>0.22134000000000001</v>
      </c>
      <c r="AA273" s="56"/>
      <c r="AB273" s="57"/>
      <c r="AC273" s="321" t="s">
        <v>437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88.40000000000002</v>
      </c>
      <c r="BN273" s="64">
        <f>IFERROR(Y273*I273/H273,"0")</f>
        <v>90.168000000000006</v>
      </c>
      <c r="BO273" s="64">
        <f>IFERROR(1/J273*(X273/H273),"0")</f>
        <v>0.18315018315018317</v>
      </c>
      <c r="BP273" s="64">
        <f>IFERROR(1/J273*(Y273/H273),"0")</f>
        <v>0.18681318681318682</v>
      </c>
    </row>
    <row r="274" spans="1:68" ht="27" customHeight="1" x14ac:dyDescent="0.25">
      <c r="A274" s="54" t="s">
        <v>438</v>
      </c>
      <c r="B274" s="54" t="s">
        <v>439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160</v>
      </c>
      <c r="Y274" s="542">
        <f>IFERROR(IF(X274="",0,CEILING((X274/$H274),1)*$H274),"")</f>
        <v>160.79999999999998</v>
      </c>
      <c r="Z274" s="36">
        <f>IFERROR(IF(Y274=0,"",ROUNDUP(Y274/H274,0)*0.00651),"")</f>
        <v>0.43617</v>
      </c>
      <c r="AA274" s="56"/>
      <c r="AB274" s="57"/>
      <c r="AC274" s="323" t="s">
        <v>434</v>
      </c>
      <c r="AG274" s="64"/>
      <c r="AJ274" s="68"/>
      <c r="AK274" s="68">
        <v>0</v>
      </c>
      <c r="BB274" s="324" t="s">
        <v>1</v>
      </c>
      <c r="BM274" s="64">
        <f>IFERROR(X274*I274/H274,"0")</f>
        <v>172</v>
      </c>
      <c r="BN274" s="64">
        <f>IFERROR(Y274*I274/H274,"0")</f>
        <v>172.85999999999999</v>
      </c>
      <c r="BO274" s="64">
        <f>IFERROR(1/J274*(X274/H274),"0")</f>
        <v>0.36630036630036633</v>
      </c>
      <c r="BP274" s="64">
        <f>IFERROR(1/J274*(Y274/H274),"0")</f>
        <v>0.36813186813186816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100</v>
      </c>
      <c r="Y275" s="543">
        <f>IFERROR(Y272/H272,"0")+IFERROR(Y273/H273,"0")+IFERROR(Y274/H274,"0")</f>
        <v>101</v>
      </c>
      <c r="Z275" s="543">
        <f>IFERROR(IF(Z272="",0,Z272),"0")+IFERROR(IF(Z273="",0,Z273),"0")+IFERROR(IF(Z274="",0,Z274),"0")</f>
        <v>0.65751000000000004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240</v>
      </c>
      <c r="Y276" s="543">
        <f>IFERROR(SUM(Y272:Y274),"0")</f>
        <v>242.39999999999998</v>
      </c>
      <c r="Z276" s="37"/>
      <c r="AA276" s="544"/>
      <c r="AB276" s="544"/>
      <c r="AC276" s="544"/>
    </row>
    <row r="277" spans="1:68" ht="16.5" customHeight="1" x14ac:dyDescent="0.25">
      <c r="A277" s="559" t="s">
        <v>440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441</v>
      </c>
      <c r="B279" s="54" t="s">
        <v>442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443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444</v>
      </c>
      <c r="B280" s="54" t="s">
        <v>445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446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447</v>
      </c>
      <c r="B284" s="54" t="s">
        <v>448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449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254</v>
      </c>
      <c r="AC284" s="329" t="s">
        <v>450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451</v>
      </c>
      <c r="B285" s="54" t="s">
        <v>452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453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454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455</v>
      </c>
      <c r="B290" s="54" t="s">
        <v>456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458</v>
      </c>
      <c r="B291" s="54" t="s">
        <v>459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461</v>
      </c>
      <c r="B292" s="54" t="s">
        <v>462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463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464</v>
      </c>
      <c r="B293" s="54" t="s">
        <v>465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457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466</v>
      </c>
      <c r="B294" s="54" t="s">
        <v>467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468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469</v>
      </c>
      <c r="B298" s="54" t="s">
        <v>470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472</v>
      </c>
      <c r="B299" s="54" t="s">
        <v>473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475</v>
      </c>
      <c r="B300" s="54" t="s">
        <v>476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478</v>
      </c>
      <c r="B301" s="54" t="s">
        <v>479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480</v>
      </c>
      <c r="B302" s="54" t="s">
        <v>481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276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175</v>
      </c>
      <c r="Y302" s="542">
        <f t="shared" si="26"/>
        <v>176.4</v>
      </c>
      <c r="Z302" s="36">
        <f>IFERROR(IF(Y302=0,"",ROUNDUP(Y302/H302,0)*0.00502),"")</f>
        <v>0.42168</v>
      </c>
      <c r="AA302" s="56"/>
      <c r="AB302" s="57"/>
      <c r="AC302" s="351" t="s">
        <v>482</v>
      </c>
      <c r="AG302" s="64"/>
      <c r="AJ302" s="68" t="s">
        <v>106</v>
      </c>
      <c r="AK302" s="68">
        <v>37.799999999999997</v>
      </c>
      <c r="BB302" s="352" t="s">
        <v>1</v>
      </c>
      <c r="BM302" s="64">
        <f t="shared" si="27"/>
        <v>183.33333333333334</v>
      </c>
      <c r="BN302" s="64">
        <f t="shared" si="28"/>
        <v>184.8</v>
      </c>
      <c r="BO302" s="64">
        <f t="shared" si="29"/>
        <v>0.35612535612535612</v>
      </c>
      <c r="BP302" s="64">
        <f t="shared" si="30"/>
        <v>0.35897435897435903</v>
      </c>
    </row>
    <row r="303" spans="1:68" ht="27" customHeight="1" x14ac:dyDescent="0.25">
      <c r="A303" s="54" t="s">
        <v>483</v>
      </c>
      <c r="B303" s="54" t="s">
        <v>484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482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485</v>
      </c>
      <c r="B304" s="54" t="s">
        <v>486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214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27</v>
      </c>
      <c r="Y304" s="542">
        <f t="shared" si="26"/>
        <v>27</v>
      </c>
      <c r="Z304" s="36">
        <f>IFERROR(IF(Y304=0,"",ROUNDUP(Y304/H304,0)*0.00651),"")</f>
        <v>9.7650000000000001E-2</v>
      </c>
      <c r="AA304" s="56"/>
      <c r="AB304" s="57"/>
      <c r="AC304" s="355" t="s">
        <v>487</v>
      </c>
      <c r="AG304" s="64"/>
      <c r="AJ304" s="68" t="s">
        <v>106</v>
      </c>
      <c r="AK304" s="68">
        <v>25.2</v>
      </c>
      <c r="BB304" s="356" t="s">
        <v>1</v>
      </c>
      <c r="BM304" s="64">
        <f t="shared" si="27"/>
        <v>30.419999999999998</v>
      </c>
      <c r="BN304" s="64">
        <f t="shared" si="28"/>
        <v>30.419999999999998</v>
      </c>
      <c r="BO304" s="64">
        <f t="shared" si="29"/>
        <v>8.241758241758243E-2</v>
      </c>
      <c r="BP304" s="64">
        <f t="shared" si="30"/>
        <v>8.241758241758243E-2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98.333333333333329</v>
      </c>
      <c r="Y305" s="543">
        <f>IFERROR(Y298/H298,"0")+IFERROR(Y299/H299,"0")+IFERROR(Y300/H300,"0")+IFERROR(Y301/H301,"0")+IFERROR(Y302/H302,"0")+IFERROR(Y303/H303,"0")+IFERROR(Y304/H304,"0")</f>
        <v>99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0.51932999999999996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202</v>
      </c>
      <c r="Y306" s="543">
        <f>IFERROR(SUM(Y298:Y304),"0")</f>
        <v>203.4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488</v>
      </c>
      <c r="B308" s="54" t="s">
        <v>489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491</v>
      </c>
      <c r="B309" s="54" t="s">
        <v>492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494</v>
      </c>
      <c r="B310" s="54" t="s">
        <v>495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497</v>
      </c>
      <c r="B311" s="54" t="s">
        <v>498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500</v>
      </c>
      <c r="B315" s="54" t="s">
        <v>501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30</v>
      </c>
      <c r="Y315" s="542">
        <f>IFERROR(IF(X315="",0,CEILING((X315/$H315),1)*$H315),"")</f>
        <v>33.6</v>
      </c>
      <c r="Z315" s="36">
        <f>IFERROR(IF(Y315=0,"",ROUNDUP(Y315/H315,0)*0.01898),"")</f>
        <v>7.5920000000000001E-2</v>
      </c>
      <c r="AA315" s="56"/>
      <c r="AB315" s="57"/>
      <c r="AC315" s="365" t="s">
        <v>502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31.764285714285712</v>
      </c>
      <c r="BN315" s="64">
        <f>IFERROR(Y315*I315/H315,"0")</f>
        <v>35.576000000000001</v>
      </c>
      <c r="BO315" s="64">
        <f>IFERROR(1/J315*(X315/H315),"0")</f>
        <v>5.5803571428571425E-2</v>
      </c>
      <c r="BP315" s="64">
        <f>IFERROR(1/J315*(Y315/H315),"0")</f>
        <v>6.25E-2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400</v>
      </c>
      <c r="Y316" s="542">
        <f>IFERROR(IF(X316="",0,CEILING((X316/$H316),1)*$H316),"")</f>
        <v>405.59999999999997</v>
      </c>
      <c r="Z316" s="36">
        <f>IFERROR(IF(Y316=0,"",ROUNDUP(Y316/H316,0)*0.01898),"")</f>
        <v>0.98696000000000006</v>
      </c>
      <c r="AA316" s="56"/>
      <c r="AB316" s="57"/>
      <c r="AC316" s="367" t="s">
        <v>505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425.33333333333337</v>
      </c>
      <c r="BN316" s="64">
        <f>IFERROR(Y316*I316/H316,"0")</f>
        <v>431.28799999999995</v>
      </c>
      <c r="BO316" s="64">
        <f>IFERROR(1/J316*(X316/H316),"0")</f>
        <v>0.80128205128205132</v>
      </c>
      <c r="BP316" s="64">
        <f>IFERROR(1/J316*(Y316/H316),"0")</f>
        <v>0.8125</v>
      </c>
    </row>
    <row r="317" spans="1:68" ht="16.5" customHeight="1" x14ac:dyDescent="0.25">
      <c r="A317" s="54" t="s">
        <v>506</v>
      </c>
      <c r="B317" s="54" t="s">
        <v>507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230</v>
      </c>
      <c r="Y317" s="542">
        <f>IFERROR(IF(X317="",0,CEILING((X317/$H317),1)*$H317),"")</f>
        <v>235.20000000000002</v>
      </c>
      <c r="Z317" s="36">
        <f>IFERROR(IF(Y317=0,"",ROUNDUP(Y317/H317,0)*0.01898),"")</f>
        <v>0.53144000000000002</v>
      </c>
      <c r="AA317" s="56"/>
      <c r="AB317" s="57"/>
      <c r="AC317" s="369" t="s">
        <v>508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243.52619047619049</v>
      </c>
      <c r="BN317" s="64">
        <f>IFERROR(Y317*I317/H317,"0")</f>
        <v>249.03200000000001</v>
      </c>
      <c r="BO317" s="64">
        <f>IFERROR(1/J317*(X317/H317),"0")</f>
        <v>0.42782738095238093</v>
      </c>
      <c r="BP317" s="64">
        <f>IFERROR(1/J317*(Y317/H317),"0")</f>
        <v>0.4375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82.234432234432234</v>
      </c>
      <c r="Y318" s="543">
        <f>IFERROR(Y315/H315,"0")+IFERROR(Y316/H316,"0")+IFERROR(Y317/H317,"0")</f>
        <v>84</v>
      </c>
      <c r="Z318" s="543">
        <f>IFERROR(IF(Z315="",0,Z315),"0")+IFERROR(IF(Z316="",0,Z316),"0")+IFERROR(IF(Z317="",0,Z317),"0")</f>
        <v>1.5943200000000002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660</v>
      </c>
      <c r="Y319" s="543">
        <f>IFERROR(SUM(Y315:Y317),"0")</f>
        <v>674.4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509</v>
      </c>
      <c r="B321" s="54" t="s">
        <v>510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512</v>
      </c>
      <c r="B322" s="54" t="s">
        <v>513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514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515</v>
      </c>
      <c r="B323" s="54" t="s">
        <v>516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518</v>
      </c>
      <c r="B324" s="54" t="s">
        <v>519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214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520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521</v>
      </c>
      <c r="B328" s="54" t="s">
        <v>522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214</v>
      </c>
      <c r="M328" s="33" t="s">
        <v>523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525</v>
      </c>
      <c r="B329" s="54" t="s">
        <v>526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527</v>
      </c>
      <c r="B330" s="54" t="s">
        <v>528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214</v>
      </c>
      <c r="M330" s="33" t="s">
        <v>523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529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530</v>
      </c>
      <c r="B335" s="54" t="s">
        <v>531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1085</v>
      </c>
      <c r="Y336" s="542">
        <f>IFERROR(IF(X336="",0,CEILING((X336/$H336),1)*$H336),"")</f>
        <v>1085.7</v>
      </c>
      <c r="Z336" s="36">
        <f>IFERROR(IF(Y336=0,"",ROUNDUP(Y336/H336,0)*0.00651),"")</f>
        <v>3.3656700000000002</v>
      </c>
      <c r="AA336" s="56"/>
      <c r="AB336" s="57"/>
      <c r="AC336" s="387" t="s">
        <v>535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1215.2</v>
      </c>
      <c r="BN336" s="64">
        <f>IFERROR(Y336*I336/H336,"0")</f>
        <v>1215.9839999999999</v>
      </c>
      <c r="BO336" s="64">
        <f>IFERROR(1/J336*(X336/H336),"0")</f>
        <v>2.838827838827839</v>
      </c>
      <c r="BP336" s="64">
        <f>IFERROR(1/J336*(Y336/H336),"0")</f>
        <v>2.8406593406593408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350</v>
      </c>
      <c r="Y337" s="542">
        <f>IFERROR(IF(X337="",0,CEILING((X337/$H337),1)*$H337),"")</f>
        <v>350.7</v>
      </c>
      <c r="Z337" s="36">
        <f>IFERROR(IF(Y337=0,"",ROUNDUP(Y337/H337,0)*0.00651),"")</f>
        <v>1.08717</v>
      </c>
      <c r="AA337" s="56"/>
      <c r="AB337" s="57"/>
      <c r="AC337" s="389" t="s">
        <v>538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390</v>
      </c>
      <c r="BN337" s="64">
        <f>IFERROR(Y337*I337/H337,"0")</f>
        <v>390.78</v>
      </c>
      <c r="BO337" s="64">
        <f>IFERROR(1/J337*(X337/H337),"0")</f>
        <v>0.91575091575091572</v>
      </c>
      <c r="BP337" s="64">
        <f>IFERROR(1/J337*(Y337/H337),"0")</f>
        <v>0.91758241758241765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683.33333333333326</v>
      </c>
      <c r="Y338" s="543">
        <f>IFERROR(Y335/H335,"0")+IFERROR(Y336/H336,"0")+IFERROR(Y337/H337,"0")</f>
        <v>684</v>
      </c>
      <c r="Z338" s="543">
        <f>IFERROR(IF(Z335="",0,Z335),"0")+IFERROR(IF(Z336="",0,Z336),"0")+IFERROR(IF(Z337="",0,Z337),"0")</f>
        <v>4.4528400000000001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1435</v>
      </c>
      <c r="Y339" s="543">
        <f>IFERROR(SUM(Y335:Y337),"0")</f>
        <v>1436.4</v>
      </c>
      <c r="Z339" s="37"/>
      <c r="AA339" s="544"/>
      <c r="AB339" s="544"/>
      <c r="AC339" s="544"/>
    </row>
    <row r="340" spans="1:68" ht="27.75" customHeight="1" x14ac:dyDescent="0.2">
      <c r="A340" s="638" t="s">
        <v>539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540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541</v>
      </c>
      <c r="B343" s="54" t="s">
        <v>542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1600</v>
      </c>
      <c r="Y343" s="542">
        <f t="shared" ref="Y343:Y349" si="31">IFERROR(IF(X343="",0,CEILING((X343/$H343),1)*$H343),"")</f>
        <v>1605</v>
      </c>
      <c r="Z343" s="36">
        <f>IFERROR(IF(Y343=0,"",ROUNDUP(Y343/H343,0)*0.02175),"")</f>
        <v>2.3272499999999998</v>
      </c>
      <c r="AA343" s="56"/>
      <c r="AB343" s="57"/>
      <c r="AC343" s="391" t="s">
        <v>543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1650.1333333333334</v>
      </c>
      <c r="BN343" s="64">
        <f t="shared" ref="BN343:BN349" si="33">IFERROR(Y343*I343/H343,"0")</f>
        <v>1655.2900000000002</v>
      </c>
      <c r="BO343" s="64">
        <f t="shared" ref="BO343:BO349" si="34">IFERROR(1/J343*(X343/H343),"0")</f>
        <v>2.2222222222222223</v>
      </c>
      <c r="BP343" s="64">
        <f t="shared" ref="BP343:BP349" si="35">IFERROR(1/J343*(Y343/H343),"0")</f>
        <v>2.2291666666666665</v>
      </c>
    </row>
    <row r="344" spans="1:68" ht="27" customHeight="1" x14ac:dyDescent="0.25">
      <c r="A344" s="54" t="s">
        <v>544</v>
      </c>
      <c r="B344" s="54" t="s">
        <v>545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900</v>
      </c>
      <c r="Y344" s="542">
        <f t="shared" si="31"/>
        <v>900</v>
      </c>
      <c r="Z344" s="36">
        <f>IFERROR(IF(Y344=0,"",ROUNDUP(Y344/H344,0)*0.02175),"")</f>
        <v>1.3049999999999999</v>
      </c>
      <c r="AA344" s="56"/>
      <c r="AB344" s="57"/>
      <c r="AC344" s="393" t="s">
        <v>546</v>
      </c>
      <c r="AG344" s="64"/>
      <c r="AJ344" s="68"/>
      <c r="AK344" s="68">
        <v>0</v>
      </c>
      <c r="BB344" s="394" t="s">
        <v>1</v>
      </c>
      <c r="BM344" s="64">
        <f t="shared" si="32"/>
        <v>928.2</v>
      </c>
      <c r="BN344" s="64">
        <f t="shared" si="33"/>
        <v>928.2</v>
      </c>
      <c r="BO344" s="64">
        <f t="shared" si="34"/>
        <v>1.25</v>
      </c>
      <c r="BP344" s="64">
        <f t="shared" si="35"/>
        <v>1.25</v>
      </c>
    </row>
    <row r="345" spans="1:68" ht="37.5" customHeight="1" x14ac:dyDescent="0.25">
      <c r="A345" s="54" t="s">
        <v>547</v>
      </c>
      <c r="B345" s="54" t="s">
        <v>548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1800</v>
      </c>
      <c r="Y345" s="542">
        <f t="shared" si="31"/>
        <v>1800</v>
      </c>
      <c r="Z345" s="36">
        <f>IFERROR(IF(Y345=0,"",ROUNDUP(Y345/H345,0)*0.02175),"")</f>
        <v>2.61</v>
      </c>
      <c r="AA345" s="56"/>
      <c r="AB345" s="57"/>
      <c r="AC345" s="395" t="s">
        <v>549</v>
      </c>
      <c r="AG345" s="64"/>
      <c r="AJ345" s="68"/>
      <c r="AK345" s="68">
        <v>0</v>
      </c>
      <c r="BB345" s="396" t="s">
        <v>1</v>
      </c>
      <c r="BM345" s="64">
        <f t="shared" si="32"/>
        <v>1856.4</v>
      </c>
      <c r="BN345" s="64">
        <f t="shared" si="33"/>
        <v>1856.4</v>
      </c>
      <c r="BO345" s="64">
        <f t="shared" si="34"/>
        <v>2.5</v>
      </c>
      <c r="BP345" s="64">
        <f t="shared" si="35"/>
        <v>2.5</v>
      </c>
    </row>
    <row r="346" spans="1:68" ht="27" customHeight="1" x14ac:dyDescent="0.25">
      <c r="A346" s="54" t="s">
        <v>550</v>
      </c>
      <c r="B346" s="54" t="s">
        <v>551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552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200</v>
      </c>
      <c r="Y346" s="542">
        <f t="shared" si="31"/>
        <v>210</v>
      </c>
      <c r="Z346" s="36">
        <f>IFERROR(IF(Y346=0,"",ROUNDUP(Y346/H346,0)*0.02175),"")</f>
        <v>0.30449999999999999</v>
      </c>
      <c r="AA346" s="56"/>
      <c r="AB346" s="57"/>
      <c r="AC346" s="397" t="s">
        <v>553</v>
      </c>
      <c r="AG346" s="64"/>
      <c r="AJ346" s="68"/>
      <c r="AK346" s="68">
        <v>0</v>
      </c>
      <c r="BB346" s="398" t="s">
        <v>1</v>
      </c>
      <c r="BM346" s="64">
        <f t="shared" si="32"/>
        <v>206.26666666666668</v>
      </c>
      <c r="BN346" s="64">
        <f t="shared" si="33"/>
        <v>216.58</v>
      </c>
      <c r="BO346" s="64">
        <f t="shared" si="34"/>
        <v>0.27777777777777779</v>
      </c>
      <c r="BP346" s="64">
        <f t="shared" si="35"/>
        <v>0.29166666666666663</v>
      </c>
    </row>
    <row r="347" spans="1:68" ht="27" customHeight="1" x14ac:dyDescent="0.25">
      <c r="A347" s="54" t="s">
        <v>554</v>
      </c>
      <c r="B347" s="54" t="s">
        <v>555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556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557</v>
      </c>
      <c r="B348" s="54" t="s">
        <v>558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546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559</v>
      </c>
      <c r="B349" s="54" t="s">
        <v>560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15</v>
      </c>
      <c r="Y349" s="542">
        <f t="shared" si="31"/>
        <v>15</v>
      </c>
      <c r="Z349" s="36">
        <f>IFERROR(IF(Y349=0,"",ROUNDUP(Y349/H349,0)*0.00902),"")</f>
        <v>2.7060000000000001E-2</v>
      </c>
      <c r="AA349" s="56"/>
      <c r="AB349" s="57"/>
      <c r="AC349" s="403" t="s">
        <v>549</v>
      </c>
      <c r="AG349" s="64"/>
      <c r="AJ349" s="68"/>
      <c r="AK349" s="68">
        <v>0</v>
      </c>
      <c r="BB349" s="404" t="s">
        <v>1</v>
      </c>
      <c r="BM349" s="64">
        <f t="shared" si="32"/>
        <v>15.570000000000002</v>
      </c>
      <c r="BN349" s="64">
        <f t="shared" si="33"/>
        <v>15.570000000000002</v>
      </c>
      <c r="BO349" s="64">
        <f t="shared" si="34"/>
        <v>2.2727272727272728E-2</v>
      </c>
      <c r="BP349" s="64">
        <f t="shared" si="35"/>
        <v>2.2727272727272728E-2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303</v>
      </c>
      <c r="Y350" s="543">
        <f>IFERROR(Y343/H343,"0")+IFERROR(Y344/H344,"0")+IFERROR(Y345/H345,"0")+IFERROR(Y346/H346,"0")+IFERROR(Y347/H347,"0")+IFERROR(Y348/H348,"0")+IFERROR(Y349/H349,"0")</f>
        <v>304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6.5738099999999999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4515</v>
      </c>
      <c r="Y351" s="543">
        <f>IFERROR(SUM(Y343:Y349),"0")</f>
        <v>4530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561</v>
      </c>
      <c r="B353" s="54" t="s">
        <v>562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/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1400</v>
      </c>
      <c r="Y353" s="542">
        <f>IFERROR(IF(X353="",0,CEILING((X353/$H353),1)*$H353),"")</f>
        <v>1410</v>
      </c>
      <c r="Z353" s="36">
        <f>IFERROR(IF(Y353=0,"",ROUNDUP(Y353/H353,0)*0.02175),"")</f>
        <v>2.0444999999999998</v>
      </c>
      <c r="AA353" s="56"/>
      <c r="AB353" s="57"/>
      <c r="AC353" s="405" t="s">
        <v>563</v>
      </c>
      <c r="AG353" s="64"/>
      <c r="AJ353" s="68"/>
      <c r="AK353" s="68">
        <v>0</v>
      </c>
      <c r="BB353" s="406" t="s">
        <v>1</v>
      </c>
      <c r="BM353" s="64">
        <f>IFERROR(X353*I353/H353,"0")</f>
        <v>1443.8666666666666</v>
      </c>
      <c r="BN353" s="64">
        <f>IFERROR(Y353*I353/H353,"0")</f>
        <v>1454.18</v>
      </c>
      <c r="BO353" s="64">
        <f>IFERROR(1/J353*(X353/H353),"0")</f>
        <v>1.9444444444444442</v>
      </c>
      <c r="BP353" s="64">
        <f>IFERROR(1/J353*(Y353/H353),"0")</f>
        <v>1.9583333333333333</v>
      </c>
    </row>
    <row r="354" spans="1:68" ht="16.5" customHeight="1" x14ac:dyDescent="0.25">
      <c r="A354" s="54" t="s">
        <v>564</v>
      </c>
      <c r="B354" s="54" t="s">
        <v>565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8</v>
      </c>
      <c r="Y354" s="542">
        <f>IFERROR(IF(X354="",0,CEILING((X354/$H354),1)*$H354),"")</f>
        <v>8</v>
      </c>
      <c r="Z354" s="36">
        <f>IFERROR(IF(Y354=0,"",ROUNDUP(Y354/H354,0)*0.00902),"")</f>
        <v>1.804E-2</v>
      </c>
      <c r="AA354" s="56"/>
      <c r="AB354" s="57"/>
      <c r="AC354" s="407" t="s">
        <v>563</v>
      </c>
      <c r="AG354" s="64"/>
      <c r="AJ354" s="68"/>
      <c r="AK354" s="68">
        <v>0</v>
      </c>
      <c r="BB354" s="408" t="s">
        <v>1</v>
      </c>
      <c r="BM354" s="64">
        <f>IFERROR(X354*I354/H354,"0")</f>
        <v>8.3800000000000008</v>
      </c>
      <c r="BN354" s="64">
        <f>IFERROR(Y354*I354/H354,"0")</f>
        <v>8.3800000000000008</v>
      </c>
      <c r="BO354" s="64">
        <f>IFERROR(1/J354*(X354/H354),"0")</f>
        <v>1.5151515151515152E-2</v>
      </c>
      <c r="BP354" s="64">
        <f>IFERROR(1/J354*(Y354/H354),"0")</f>
        <v>1.5151515151515152E-2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95.333333333333329</v>
      </c>
      <c r="Y355" s="543">
        <f>IFERROR(Y353/H353,"0")+IFERROR(Y354/H354,"0")</f>
        <v>96</v>
      </c>
      <c r="Z355" s="543">
        <f>IFERROR(IF(Z353="",0,Z353),"0")+IFERROR(IF(Z354="",0,Z354),"0")</f>
        <v>2.0625399999999998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1408</v>
      </c>
      <c r="Y356" s="543">
        <f>IFERROR(SUM(Y353:Y354),"0")</f>
        <v>1418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566</v>
      </c>
      <c r="B358" s="54" t="s">
        <v>567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568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569</v>
      </c>
      <c r="B359" s="54" t="s">
        <v>570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571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572</v>
      </c>
      <c r="B363" s="54" t="s">
        <v>573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20</v>
      </c>
      <c r="Y363" s="542">
        <f>IFERROR(IF(X363="",0,CEILING((X363/$H363),1)*$H363),"")</f>
        <v>27</v>
      </c>
      <c r="Z363" s="36">
        <f>IFERROR(IF(Y363=0,"",ROUNDUP(Y363/H363,0)*0.01898),"")</f>
        <v>5.6940000000000004E-2</v>
      </c>
      <c r="AA363" s="56"/>
      <c r="AB363" s="57"/>
      <c r="AC363" s="413" t="s">
        <v>574</v>
      </c>
      <c r="AG363" s="64"/>
      <c r="AJ363" s="68"/>
      <c r="AK363" s="68">
        <v>0</v>
      </c>
      <c r="BB363" s="414" t="s">
        <v>1</v>
      </c>
      <c r="BM363" s="64">
        <f>IFERROR(X363*I363/H363,"0")</f>
        <v>21.097777777777779</v>
      </c>
      <c r="BN363" s="64">
        <f>IFERROR(Y363*I363/H363,"0")</f>
        <v>28.481999999999996</v>
      </c>
      <c r="BO363" s="64">
        <f>IFERROR(1/J363*(X363/H363),"0")</f>
        <v>3.4722222222222224E-2</v>
      </c>
      <c r="BP363" s="64">
        <f>IFERROR(1/J363*(Y363/H363),"0")</f>
        <v>4.6875E-2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2.2222222222222223</v>
      </c>
      <c r="Y364" s="543">
        <f>IFERROR(Y363/H363,"0")</f>
        <v>3</v>
      </c>
      <c r="Z364" s="543">
        <f>IFERROR(IF(Z363="",0,Z363),"0")</f>
        <v>5.6940000000000004E-2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20</v>
      </c>
      <c r="Y365" s="543">
        <f>IFERROR(SUM(Y363:Y363),"0")</f>
        <v>27</v>
      </c>
      <c r="Z365" s="37"/>
      <c r="AA365" s="544"/>
      <c r="AB365" s="544"/>
      <c r="AC365" s="544"/>
    </row>
    <row r="366" spans="1:68" ht="16.5" customHeight="1" x14ac:dyDescent="0.25">
      <c r="A366" s="559" t="s">
        <v>575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576</v>
      </c>
      <c r="B368" s="54" t="s">
        <v>577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50</v>
      </c>
      <c r="Y368" s="542">
        <f>IFERROR(IF(X368="",0,CEILING((X368/$H368),1)*$H368),"")</f>
        <v>60</v>
      </c>
      <c r="Z368" s="36">
        <f>IFERROR(IF(Y368=0,"",ROUNDUP(Y368/H368,0)*0.01898),"")</f>
        <v>9.4899999999999998E-2</v>
      </c>
      <c r="AA368" s="56"/>
      <c r="AB368" s="57"/>
      <c r="AC368" s="415" t="s">
        <v>578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51.708333333333336</v>
      </c>
      <c r="BN368" s="64">
        <f>IFERROR(Y368*I368/H368,"0")</f>
        <v>62.050000000000004</v>
      </c>
      <c r="BO368" s="64">
        <f>IFERROR(1/J368*(X368/H368),"0")</f>
        <v>6.5104166666666671E-2</v>
      </c>
      <c r="BP368" s="64">
        <f>IFERROR(1/J368*(Y368/H368),"0")</f>
        <v>7.8125E-2</v>
      </c>
    </row>
    <row r="369" spans="1:68" ht="37.5" customHeight="1" x14ac:dyDescent="0.25">
      <c r="A369" s="54" t="s">
        <v>579</v>
      </c>
      <c r="B369" s="54" t="s">
        <v>580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578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4.166666666666667</v>
      </c>
      <c r="Y370" s="543">
        <f>IFERROR(Y368/H368,"0")+IFERROR(Y369/H369,"0")</f>
        <v>5</v>
      </c>
      <c r="Z370" s="543">
        <f>IFERROR(IF(Z368="",0,Z368),"0")+IFERROR(IF(Z369="",0,Z369),"0")</f>
        <v>9.4899999999999998E-2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50</v>
      </c>
      <c r="Y371" s="543">
        <f>IFERROR(SUM(Y368:Y369),"0")</f>
        <v>60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581</v>
      </c>
      <c r="B373" s="54" t="s">
        <v>582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583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581</v>
      </c>
      <c r="B374" s="54" t="s">
        <v>584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586</v>
      </c>
      <c r="B378" s="54" t="s">
        <v>587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588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589</v>
      </c>
      <c r="B379" s="54" t="s">
        <v>590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588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591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592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593</v>
      </c>
      <c r="B385" s="54" t="s">
        <v>594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595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596</v>
      </c>
      <c r="B386" s="54" t="s">
        <v>597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598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599</v>
      </c>
      <c r="B387" s="54" t="s">
        <v>600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601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602</v>
      </c>
      <c r="B388" s="54" t="s">
        <v>603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595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604</v>
      </c>
      <c r="B389" s="54" t="s">
        <v>605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14</v>
      </c>
      <c r="Y389" s="542">
        <f t="shared" si="36"/>
        <v>14.700000000000001</v>
      </c>
      <c r="Z389" s="36">
        <f t="shared" si="41"/>
        <v>3.5140000000000005E-2</v>
      </c>
      <c r="AA389" s="56"/>
      <c r="AB389" s="57"/>
      <c r="AC389" s="435" t="s">
        <v>595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14.866666666666665</v>
      </c>
      <c r="BN389" s="64">
        <f t="shared" si="38"/>
        <v>15.61</v>
      </c>
      <c r="BO389" s="64">
        <f t="shared" si="39"/>
        <v>2.8490028490028491E-2</v>
      </c>
      <c r="BP389" s="64">
        <f t="shared" si="40"/>
        <v>2.9914529914529919E-2</v>
      </c>
    </row>
    <row r="390" spans="1:68" ht="37.5" customHeight="1" x14ac:dyDescent="0.25">
      <c r="A390" s="54" t="s">
        <v>606</v>
      </c>
      <c r="B390" s="54" t="s">
        <v>607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276</v>
      </c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35</v>
      </c>
      <c r="Y390" s="542">
        <f t="shared" si="36"/>
        <v>35.700000000000003</v>
      </c>
      <c r="Z390" s="36">
        <f t="shared" si="41"/>
        <v>8.5339999999999999E-2</v>
      </c>
      <c r="AA390" s="56"/>
      <c r="AB390" s="57"/>
      <c r="AC390" s="437" t="s">
        <v>608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37.166666666666664</v>
      </c>
      <c r="BN390" s="64">
        <f t="shared" si="38"/>
        <v>37.910000000000004</v>
      </c>
      <c r="BO390" s="64">
        <f t="shared" si="39"/>
        <v>7.1225071225071226E-2</v>
      </c>
      <c r="BP390" s="64">
        <f t="shared" si="40"/>
        <v>7.2649572649572655E-2</v>
      </c>
    </row>
    <row r="391" spans="1:68" ht="27" customHeight="1" x14ac:dyDescent="0.25">
      <c r="A391" s="54" t="s">
        <v>609</v>
      </c>
      <c r="B391" s="54" t="s">
        <v>610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611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612</v>
      </c>
      <c r="B392" s="54" t="s">
        <v>613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35</v>
      </c>
      <c r="Y392" s="542">
        <f t="shared" si="36"/>
        <v>35.700000000000003</v>
      </c>
      <c r="Z392" s="36">
        <f t="shared" si="41"/>
        <v>8.5339999999999999E-2</v>
      </c>
      <c r="AA392" s="56"/>
      <c r="AB392" s="57"/>
      <c r="AC392" s="441" t="s">
        <v>614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37.166666666666664</v>
      </c>
      <c r="BN392" s="64">
        <f t="shared" si="38"/>
        <v>37.910000000000004</v>
      </c>
      <c r="BO392" s="64">
        <f t="shared" si="39"/>
        <v>7.1225071225071226E-2</v>
      </c>
      <c r="BP392" s="64">
        <f t="shared" si="40"/>
        <v>7.2649572649572655E-2</v>
      </c>
    </row>
    <row r="393" spans="1:68" ht="37.5" customHeight="1" x14ac:dyDescent="0.25">
      <c r="A393" s="54" t="s">
        <v>615</v>
      </c>
      <c r="B393" s="54" t="s">
        <v>616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39.999999999999993</v>
      </c>
      <c r="Y394" s="543">
        <f>IFERROR(Y385/H385,"0")+IFERROR(Y386/H386,"0")+IFERROR(Y387/H387,"0")+IFERROR(Y388/H388,"0")+IFERROR(Y389/H389,"0")+IFERROR(Y390/H390,"0")+IFERROR(Y391/H391,"0")+IFERROR(Y392/H392,"0")+IFERROR(Y393/H393,"0")</f>
        <v>41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0.20582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84</v>
      </c>
      <c r="Y395" s="543">
        <f>IFERROR(SUM(Y385:Y393),"0")</f>
        <v>86.100000000000009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617</v>
      </c>
      <c r="B397" s="54" t="s">
        <v>618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619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620</v>
      </c>
      <c r="B398" s="54" t="s">
        <v>621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622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623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624</v>
      </c>
      <c r="B403" s="54" t="s">
        <v>625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626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627</v>
      </c>
      <c r="B407" s="54" t="s">
        <v>628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629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630</v>
      </c>
      <c r="B408" s="54" t="s">
        <v>631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632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633</v>
      </c>
      <c r="B409" s="54" t="s">
        <v>634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635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636</v>
      </c>
      <c r="B410" s="54" t="s">
        <v>637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7</v>
      </c>
      <c r="Y410" s="542">
        <f>IFERROR(IF(X410="",0,CEILING((X410/$H410),1)*$H410),"")</f>
        <v>8.4</v>
      </c>
      <c r="Z410" s="36">
        <f>IFERROR(IF(Y410=0,"",ROUNDUP(Y410/H410,0)*0.00502),"")</f>
        <v>2.0080000000000001E-2</v>
      </c>
      <c r="AA410" s="56"/>
      <c r="AB410" s="57"/>
      <c r="AC410" s="457" t="s">
        <v>635</v>
      </c>
      <c r="AG410" s="64"/>
      <c r="AJ410" s="68"/>
      <c r="AK410" s="68">
        <v>0</v>
      </c>
      <c r="BB410" s="458" t="s">
        <v>1</v>
      </c>
      <c r="BM410" s="64">
        <f>IFERROR(X410*I410/H410,"0")</f>
        <v>7.4333333333333327</v>
      </c>
      <c r="BN410" s="64">
        <f>IFERROR(Y410*I410/H410,"0")</f>
        <v>8.92</v>
      </c>
      <c r="BO410" s="64">
        <f>IFERROR(1/J410*(X410/H410),"0")</f>
        <v>1.4245014245014245E-2</v>
      </c>
      <c r="BP410" s="64">
        <f>IFERROR(1/J410*(Y410/H410),"0")</f>
        <v>1.7094017094017096E-2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3.333333333333333</v>
      </c>
      <c r="Y411" s="543">
        <f>IFERROR(Y407/H407,"0")+IFERROR(Y408/H408,"0")+IFERROR(Y409/H409,"0")+IFERROR(Y410/H410,"0")</f>
        <v>4</v>
      </c>
      <c r="Z411" s="543">
        <f>IFERROR(IF(Z407="",0,Z407),"0")+IFERROR(IF(Z408="",0,Z408),"0")+IFERROR(IF(Z409="",0,Z409),"0")+IFERROR(IF(Z410="",0,Z410),"0")</f>
        <v>2.0080000000000001E-2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7</v>
      </c>
      <c r="Y412" s="543">
        <f>IFERROR(SUM(Y407:Y410),"0")</f>
        <v>8.4</v>
      </c>
      <c r="Z412" s="37"/>
      <c r="AA412" s="544"/>
      <c r="AB412" s="544"/>
      <c r="AC412" s="544"/>
    </row>
    <row r="413" spans="1:68" ht="16.5" customHeight="1" x14ac:dyDescent="0.25">
      <c r="A413" s="559" t="s">
        <v>638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639</v>
      </c>
      <c r="B415" s="54" t="s">
        <v>640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214</v>
      </c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20</v>
      </c>
      <c r="Y415" s="542">
        <f>IFERROR(IF(X415="",0,CEILING((X415/$H415),1)*$H415),"")</f>
        <v>20.399999999999999</v>
      </c>
      <c r="Z415" s="36">
        <f>IFERROR(IF(Y415=0,"",ROUNDUP(Y415/H415,0)*0.00651),"")</f>
        <v>0.11067</v>
      </c>
      <c r="AA415" s="56"/>
      <c r="AB415" s="57"/>
      <c r="AC415" s="459" t="s">
        <v>641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35</v>
      </c>
      <c r="BN415" s="64">
        <f>IFERROR(Y415*I415/H415,"0")</f>
        <v>35.699999999999996</v>
      </c>
      <c r="BO415" s="64">
        <f>IFERROR(1/J415*(X415/H415),"0")</f>
        <v>9.1575091575091583E-2</v>
      </c>
      <c r="BP415" s="64">
        <f>IFERROR(1/J415*(Y415/H415),"0")</f>
        <v>9.3406593406593408E-2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16.666666666666668</v>
      </c>
      <c r="Y416" s="543">
        <f>IFERROR(Y415/H415,"0")</f>
        <v>17</v>
      </c>
      <c r="Z416" s="543">
        <f>IFERROR(IF(Z415="",0,Z415),"0")</f>
        <v>0.11067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20</v>
      </c>
      <c r="Y417" s="543">
        <f>IFERROR(SUM(Y415:Y415),"0")</f>
        <v>20.399999999999999</v>
      </c>
      <c r="Z417" s="37"/>
      <c r="AA417" s="544"/>
      <c r="AB417" s="544"/>
      <c r="AC417" s="544"/>
    </row>
    <row r="418" spans="1:68" ht="27.75" customHeight="1" x14ac:dyDescent="0.2">
      <c r="A418" s="638" t="s">
        <v>642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642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643</v>
      </c>
      <c r="B421" s="54" t="s">
        <v>644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60</v>
      </c>
      <c r="Y421" s="542">
        <f t="shared" ref="Y421:Y431" si="42">IFERROR(IF(X421="",0,CEILING((X421/$H421),1)*$H421),"")</f>
        <v>63.36</v>
      </c>
      <c r="Z421" s="36">
        <f t="shared" ref="Z421:Z426" si="43">IFERROR(IF(Y421=0,"",ROUNDUP(Y421/H421,0)*0.01196),"")</f>
        <v>0.14352000000000001</v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63.977272727272727</v>
      </c>
      <c r="BN421" s="64">
        <f t="shared" ref="BN421:BN431" si="45">IFERROR(Y421*I421/H421,"0")</f>
        <v>67.559999999999988</v>
      </c>
      <c r="BO421" s="64">
        <f t="shared" ref="BO421:BO431" si="46">IFERROR(1/J421*(X421/H421),"0")</f>
        <v>0.10926573426573427</v>
      </c>
      <c r="BP421" s="64">
        <f t="shared" ref="BP421:BP431" si="47">IFERROR(1/J421*(Y421/H421),"0")</f>
        <v>0.11538461538461539</v>
      </c>
    </row>
    <row r="422" spans="1:68" ht="27" customHeight="1" x14ac:dyDescent="0.25">
      <c r="A422" s="54" t="s">
        <v>645</v>
      </c>
      <c r="B422" s="54" t="s">
        <v>646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647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648</v>
      </c>
      <c r="B423" s="54" t="s">
        <v>649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120</v>
      </c>
      <c r="Y423" s="542">
        <f t="shared" si="42"/>
        <v>121.44000000000001</v>
      </c>
      <c r="Z423" s="36">
        <f t="shared" si="43"/>
        <v>0.27507999999999999</v>
      </c>
      <c r="AA423" s="56"/>
      <c r="AB423" s="57"/>
      <c r="AC423" s="465" t="s">
        <v>650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127.95454545454545</v>
      </c>
      <c r="BN423" s="64">
        <f t="shared" si="45"/>
        <v>129.49</v>
      </c>
      <c r="BO423" s="64">
        <f t="shared" si="46"/>
        <v>0.21853146853146854</v>
      </c>
      <c r="BP423" s="64">
        <f t="shared" si="47"/>
        <v>0.22115384615384617</v>
      </c>
    </row>
    <row r="424" spans="1:68" ht="27" customHeight="1" x14ac:dyDescent="0.25">
      <c r="A424" s="54" t="s">
        <v>651</v>
      </c>
      <c r="B424" s="54" t="s">
        <v>652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653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654</v>
      </c>
      <c r="B425" s="54" t="s">
        <v>655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656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657</v>
      </c>
      <c r="B426" s="54" t="s">
        <v>658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160</v>
      </c>
      <c r="Y426" s="542">
        <f t="shared" si="42"/>
        <v>163.68</v>
      </c>
      <c r="Z426" s="36">
        <f t="shared" si="43"/>
        <v>0.37075999999999998</v>
      </c>
      <c r="AA426" s="56"/>
      <c r="AB426" s="57"/>
      <c r="AC426" s="471" t="s">
        <v>659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170.60606060606059</v>
      </c>
      <c r="BN426" s="64">
        <f t="shared" si="45"/>
        <v>174.53</v>
      </c>
      <c r="BO426" s="64">
        <f t="shared" si="46"/>
        <v>0.29137529137529139</v>
      </c>
      <c r="BP426" s="64">
        <f t="shared" si="47"/>
        <v>0.29807692307692307</v>
      </c>
    </row>
    <row r="427" spans="1:68" ht="27" customHeight="1" x14ac:dyDescent="0.25">
      <c r="A427" s="54" t="s">
        <v>660</v>
      </c>
      <c r="B427" s="54" t="s">
        <v>661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102</v>
      </c>
      <c r="Y428" s="542">
        <f t="shared" si="42"/>
        <v>105.6</v>
      </c>
      <c r="Z428" s="36">
        <f>IFERROR(IF(Y428=0,"",ROUNDUP(Y428/H428,0)*0.00902),"")</f>
        <v>0.19844000000000001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146.83750000000001</v>
      </c>
      <c r="BN428" s="64">
        <f t="shared" si="45"/>
        <v>152.02000000000001</v>
      </c>
      <c r="BO428" s="64">
        <f t="shared" si="46"/>
        <v>0.16098484848484848</v>
      </c>
      <c r="BP428" s="64">
        <f t="shared" si="47"/>
        <v>0.16666666666666669</v>
      </c>
    </row>
    <row r="429" spans="1:68" ht="27" customHeight="1" x14ac:dyDescent="0.25">
      <c r="A429" s="54" t="s">
        <v>664</v>
      </c>
      <c r="B429" s="54" t="s">
        <v>665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647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198</v>
      </c>
      <c r="Y431" s="542">
        <f t="shared" si="42"/>
        <v>201.6</v>
      </c>
      <c r="Z431" s="36">
        <f>IFERROR(IF(Y431=0,"",ROUNDUP(Y431/H431,0)*0.00902),"")</f>
        <v>0.37884000000000001</v>
      </c>
      <c r="AA431" s="56"/>
      <c r="AB431" s="57"/>
      <c r="AC431" s="481" t="s">
        <v>659</v>
      </c>
      <c r="AG431" s="64"/>
      <c r="AJ431" s="68"/>
      <c r="AK431" s="68">
        <v>0</v>
      </c>
      <c r="BB431" s="482" t="s">
        <v>1</v>
      </c>
      <c r="BM431" s="64">
        <f t="shared" si="44"/>
        <v>285.03750000000002</v>
      </c>
      <c r="BN431" s="64">
        <f t="shared" si="45"/>
        <v>290.22000000000003</v>
      </c>
      <c r="BO431" s="64">
        <f t="shared" si="46"/>
        <v>0.3125</v>
      </c>
      <c r="BP431" s="64">
        <f t="shared" si="47"/>
        <v>0.31818181818181818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126.89393939393939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130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1.3666400000000001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640</v>
      </c>
      <c r="Y433" s="543">
        <f>IFERROR(SUM(Y421:Y431),"0")</f>
        <v>655.68000000000006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671</v>
      </c>
      <c r="B435" s="54" t="s">
        <v>672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160</v>
      </c>
      <c r="Y435" s="542">
        <f>IFERROR(IF(X435="",0,CEILING((X435/$H435),1)*$H435),"")</f>
        <v>163.68</v>
      </c>
      <c r="Z435" s="36">
        <f>IFERROR(IF(Y435=0,"",ROUNDUP(Y435/H435,0)*0.01196),"")</f>
        <v>0.37075999999999998</v>
      </c>
      <c r="AA435" s="56"/>
      <c r="AB435" s="57"/>
      <c r="AC435" s="483" t="s">
        <v>673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170.60606060606059</v>
      </c>
      <c r="BN435" s="64">
        <f>IFERROR(Y435*I435/H435,"0")</f>
        <v>174.53</v>
      </c>
      <c r="BO435" s="64">
        <f>IFERROR(1/J435*(X435/H435),"0")</f>
        <v>0.29137529137529139</v>
      </c>
      <c r="BP435" s="64">
        <f>IFERROR(1/J435*(Y435/H435),"0")</f>
        <v>0.29807692307692307</v>
      </c>
    </row>
    <row r="436" spans="1:68" ht="16.5" customHeight="1" x14ac:dyDescent="0.25">
      <c r="A436" s="54" t="s">
        <v>674</v>
      </c>
      <c r="B436" s="54" t="s">
        <v>675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673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676</v>
      </c>
      <c r="B437" s="54" t="s">
        <v>677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673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30.303030303030301</v>
      </c>
      <c r="Y438" s="543">
        <f>IFERROR(Y435/H435,"0")+IFERROR(Y436/H436,"0")+IFERROR(Y437/H437,"0")</f>
        <v>31</v>
      </c>
      <c r="Z438" s="543">
        <f>IFERROR(IF(Z435="",0,Z435),"0")+IFERROR(IF(Z436="",0,Z436),"0")+IFERROR(IF(Z437="",0,Z437),"0")</f>
        <v>0.37075999999999998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160</v>
      </c>
      <c r="Y439" s="543">
        <f>IFERROR(SUM(Y435:Y437),"0")</f>
        <v>163.68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678</v>
      </c>
      <c r="B441" s="54" t="s">
        <v>679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40</v>
      </c>
      <c r="Y441" s="542">
        <f t="shared" ref="Y441:Y446" si="48">IFERROR(IF(X441="",0,CEILING((X441/$H441),1)*$H441),"")</f>
        <v>42.24</v>
      </c>
      <c r="Z441" s="36">
        <f>IFERROR(IF(Y441=0,"",ROUNDUP(Y441/H441,0)*0.01196),"")</f>
        <v>9.5680000000000001E-2</v>
      </c>
      <c r="AA441" s="56"/>
      <c r="AB441" s="57"/>
      <c r="AC441" s="489" t="s">
        <v>680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42.651515151515149</v>
      </c>
      <c r="BN441" s="64">
        <f t="shared" ref="BN441:BN446" si="50">IFERROR(Y441*I441/H441,"0")</f>
        <v>45.04</v>
      </c>
      <c r="BO441" s="64">
        <f t="shared" ref="BO441:BO446" si="51">IFERROR(1/J441*(X441/H441),"0")</f>
        <v>7.2843822843822847E-2</v>
      </c>
      <c r="BP441" s="64">
        <f t="shared" ref="BP441:BP446" si="52">IFERROR(1/J441*(Y441/H441),"0")</f>
        <v>7.6923076923076927E-2</v>
      </c>
    </row>
    <row r="442" spans="1:68" ht="27" customHeight="1" x14ac:dyDescent="0.25">
      <c r="A442" s="54" t="s">
        <v>681</v>
      </c>
      <c r="B442" s="54" t="s">
        <v>682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683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684</v>
      </c>
      <c r="B443" s="54" t="s">
        <v>685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70</v>
      </c>
      <c r="Y443" s="542">
        <f t="shared" si="48"/>
        <v>73.92</v>
      </c>
      <c r="Z443" s="36">
        <f>IFERROR(IF(Y443=0,"",ROUNDUP(Y443/H443,0)*0.01196),"")</f>
        <v>0.16744000000000001</v>
      </c>
      <c r="AA443" s="56"/>
      <c r="AB443" s="57"/>
      <c r="AC443" s="493" t="s">
        <v>686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74.640151515151501</v>
      </c>
      <c r="BN443" s="64">
        <f t="shared" si="50"/>
        <v>78.819999999999993</v>
      </c>
      <c r="BO443" s="64">
        <f t="shared" si="51"/>
        <v>0.12747668997668998</v>
      </c>
      <c r="BP443" s="64">
        <f t="shared" si="52"/>
        <v>0.13461538461538464</v>
      </c>
    </row>
    <row r="444" spans="1:68" ht="27" customHeight="1" x14ac:dyDescent="0.25">
      <c r="A444" s="54" t="s">
        <v>687</v>
      </c>
      <c r="B444" s="54" t="s">
        <v>688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197</v>
      </c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78</v>
      </c>
      <c r="Y444" s="542">
        <f t="shared" si="48"/>
        <v>81.599999999999994</v>
      </c>
      <c r="Z444" s="36">
        <f>IFERROR(IF(Y444=0,"",ROUNDUP(Y444/H444,0)*0.00902),"")</f>
        <v>0.15334</v>
      </c>
      <c r="AA444" s="56"/>
      <c r="AB444" s="57"/>
      <c r="AC444" s="495" t="s">
        <v>680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112.28750000000001</v>
      </c>
      <c r="BN444" s="64">
        <f t="shared" si="50"/>
        <v>117.47</v>
      </c>
      <c r="BO444" s="64">
        <f t="shared" si="51"/>
        <v>0.12310606060606061</v>
      </c>
      <c r="BP444" s="64">
        <f t="shared" si="52"/>
        <v>0.12878787878787878</v>
      </c>
    </row>
    <row r="445" spans="1:68" ht="27" customHeight="1" x14ac:dyDescent="0.25">
      <c r="A445" s="54" t="s">
        <v>689</v>
      </c>
      <c r="B445" s="54" t="s">
        <v>690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683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691</v>
      </c>
      <c r="B446" s="54" t="s">
        <v>692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197</v>
      </c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72</v>
      </c>
      <c r="Y446" s="542">
        <f t="shared" si="48"/>
        <v>72</v>
      </c>
      <c r="Z446" s="36">
        <f>IFERROR(IF(Y446=0,"",ROUNDUP(Y446/H446,0)*0.00902),"")</f>
        <v>0.1353</v>
      </c>
      <c r="AA446" s="56"/>
      <c r="AB446" s="57"/>
      <c r="AC446" s="499" t="s">
        <v>686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100.05000000000001</v>
      </c>
      <c r="BN446" s="64">
        <f t="shared" si="50"/>
        <v>100.05000000000001</v>
      </c>
      <c r="BO446" s="64">
        <f t="shared" si="51"/>
        <v>0.11363636363636365</v>
      </c>
      <c r="BP446" s="64">
        <f t="shared" si="52"/>
        <v>0.11363636363636365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71.022727272727266</v>
      </c>
      <c r="Y447" s="543">
        <f>IFERROR(Y441/H441,"0")+IFERROR(Y442/H442,"0")+IFERROR(Y443/H443,"0")+IFERROR(Y444/H444,"0")+IFERROR(Y445/H445,"0")+IFERROR(Y446/H446,"0")</f>
        <v>73</v>
      </c>
      <c r="Z447" s="543">
        <f>IFERROR(IF(Z441="",0,Z441),"0")+IFERROR(IF(Z442="",0,Z442),"0")+IFERROR(IF(Z443="",0,Z443),"0")+IFERROR(IF(Z444="",0,Z444),"0")+IFERROR(IF(Z445="",0,Z445),"0")+IFERROR(IF(Z446="",0,Z446),"0")</f>
        <v>0.77900000000000003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360</v>
      </c>
      <c r="Y448" s="543">
        <f>IFERROR(SUM(Y441:Y446),"0")</f>
        <v>370.08000000000004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693</v>
      </c>
      <c r="B450" s="54" t="s">
        <v>694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695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696</v>
      </c>
      <c r="B451" s="54" t="s">
        <v>697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698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699</v>
      </c>
      <c r="B452" s="54" t="s">
        <v>700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701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702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702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703</v>
      </c>
      <c r="B458" s="54" t="s">
        <v>704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705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706</v>
      </c>
      <c r="B459" s="54" t="s">
        <v>707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708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709</v>
      </c>
      <c r="B460" s="54" t="s">
        <v>710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711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712</v>
      </c>
      <c r="B461" s="54" t="s">
        <v>713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714</v>
      </c>
      <c r="B465" s="54" t="s">
        <v>715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716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717</v>
      </c>
      <c r="B466" s="54" t="s">
        <v>718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719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720</v>
      </c>
      <c r="B467" s="54" t="s">
        <v>721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722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723</v>
      </c>
      <c r="B471" s="54" t="s">
        <v>724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725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726</v>
      </c>
      <c r="B472" s="54" t="s">
        <v>727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728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729</v>
      </c>
      <c r="B476" s="54" t="s">
        <v>730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1100</v>
      </c>
      <c r="Y476" s="542">
        <f>IFERROR(IF(X476="",0,CEILING((X476/$H476),1)*$H476),"")</f>
        <v>1107</v>
      </c>
      <c r="Z476" s="36">
        <f>IFERROR(IF(Y476=0,"",ROUNDUP(Y476/H476,0)*0.01898),"")</f>
        <v>2.3345400000000001</v>
      </c>
      <c r="AA476" s="56"/>
      <c r="AB476" s="57"/>
      <c r="AC476" s="525" t="s">
        <v>731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1160.3777777777777</v>
      </c>
      <c r="BN476" s="64">
        <f>IFERROR(Y476*I476/H476,"0")</f>
        <v>1167.7619999999999</v>
      </c>
      <c r="BO476" s="64">
        <f>IFERROR(1/J476*(X476/H476),"0")</f>
        <v>1.9097222222222223</v>
      </c>
      <c r="BP476" s="64">
        <f>IFERROR(1/J476*(Y476/H476),"0")</f>
        <v>1.921875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122.22222222222223</v>
      </c>
      <c r="Y477" s="543">
        <f>IFERROR(Y476/H476,"0")</f>
        <v>123</v>
      </c>
      <c r="Z477" s="543">
        <f>IFERROR(IF(Z476="",0,Z476),"0")</f>
        <v>2.3345400000000001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1100</v>
      </c>
      <c r="Y478" s="543">
        <f>IFERROR(SUM(Y476:Y476),"0")</f>
        <v>1107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732</v>
      </c>
      <c r="B480" s="54" t="s">
        <v>733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734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735</v>
      </c>
      <c r="B481" s="54" t="s">
        <v>736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737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738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739</v>
      </c>
      <c r="B486" s="54" t="s">
        <v>740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741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742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17533.599999999999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17725.72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743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18697.584007417652</v>
      </c>
      <c r="Y490" s="543">
        <f>IFERROR(SUM(BN22:BN486),"0")</f>
        <v>18904.614000000005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744</v>
      </c>
      <c r="Q491" s="633"/>
      <c r="R491" s="633"/>
      <c r="S491" s="633"/>
      <c r="T491" s="633"/>
      <c r="U491" s="633"/>
      <c r="V491" s="634"/>
      <c r="W491" s="37" t="s">
        <v>745</v>
      </c>
      <c r="X491" s="38">
        <f>ROUNDUP(SUM(BO22:BO486),0)</f>
        <v>31</v>
      </c>
      <c r="Y491" s="38">
        <f>ROUNDUP(SUM(BP22:BP486),0)</f>
        <v>32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746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19472.584007417652</v>
      </c>
      <c r="Y492" s="543">
        <f>GrossWeightTotalR+PalletQtyTotalR*25</f>
        <v>19704.614000000005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747</v>
      </c>
      <c r="Q493" s="633"/>
      <c r="R493" s="633"/>
      <c r="S493" s="633"/>
      <c r="T493" s="633"/>
      <c r="U493" s="633"/>
      <c r="V493" s="634"/>
      <c r="W493" s="37" t="s">
        <v>745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3595.5743077697102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3632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748</v>
      </c>
      <c r="Q494" s="633"/>
      <c r="R494" s="633"/>
      <c r="S494" s="633"/>
      <c r="T494" s="633"/>
      <c r="U494" s="633"/>
      <c r="V494" s="634"/>
      <c r="W494" s="39" t="s">
        <v>749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36.222849999999994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750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256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539</v>
      </c>
      <c r="T496" s="626"/>
      <c r="U496" s="593" t="s">
        <v>591</v>
      </c>
      <c r="V496" s="661"/>
      <c r="W496" s="626"/>
      <c r="X496" s="538" t="s">
        <v>642</v>
      </c>
      <c r="Y496" s="593" t="s">
        <v>702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751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189</v>
      </c>
      <c r="G497" s="593" t="s">
        <v>221</v>
      </c>
      <c r="H497" s="593" t="s">
        <v>97</v>
      </c>
      <c r="I497" s="593" t="s">
        <v>257</v>
      </c>
      <c r="J497" s="593" t="s">
        <v>302</v>
      </c>
      <c r="K497" s="593" t="s">
        <v>362</v>
      </c>
      <c r="L497" s="593" t="s">
        <v>404</v>
      </c>
      <c r="M497" s="593" t="s">
        <v>420</v>
      </c>
      <c r="N497" s="539"/>
      <c r="O497" s="593" t="s">
        <v>431</v>
      </c>
      <c r="P497" s="593" t="s">
        <v>440</v>
      </c>
      <c r="Q497" s="593" t="s">
        <v>454</v>
      </c>
      <c r="R497" s="593" t="s">
        <v>529</v>
      </c>
      <c r="S497" s="593" t="s">
        <v>540</v>
      </c>
      <c r="T497" s="593" t="s">
        <v>575</v>
      </c>
      <c r="U497" s="593" t="s">
        <v>592</v>
      </c>
      <c r="V497" s="593" t="s">
        <v>623</v>
      </c>
      <c r="W497" s="593" t="s">
        <v>638</v>
      </c>
      <c r="X497" s="593" t="s">
        <v>642</v>
      </c>
      <c r="Y497" s="593" t="s">
        <v>702</v>
      </c>
      <c r="Z497" s="593" t="s">
        <v>738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752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328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846.6</v>
      </c>
      <c r="E499" s="46">
        <f>IFERROR(Y85*1,"0")+IFERROR(Y86*1,"0")+IFERROR(Y87*1,"0")+IFERROR(Y91*1,"0")+IFERROR(Y92*1,"0")+IFERROR(Y93*1,"0")+IFERROR(Y94*1,"0")</f>
        <v>1332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1280.52</v>
      </c>
      <c r="G499" s="46">
        <f>IFERROR(Y124*1,"0")+IFERROR(Y125*1,"0")+IFERROR(Y129*1,"0")+IFERROR(Y130*1,"0")+IFERROR(Y134*1,"0")+IFERROR(Y135*1,"0")</f>
        <v>128.08000000000001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640.08000000000004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2043.6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123.9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242.39999999999998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877.8</v>
      </c>
      <c r="R499" s="46">
        <f>IFERROR(Y335*1,"0")+IFERROR(Y336*1,"0")+IFERROR(Y337*1,"0")</f>
        <v>1436.4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5975</v>
      </c>
      <c r="T499" s="46">
        <f>IFERROR(Y368*1,"0")+IFERROR(Y369*1,"0")+IFERROR(Y373*1,"0")+IFERROR(Y374*1,"0")+IFERROR(Y378*1,"0")+IFERROR(Y379*1,"0")</f>
        <v>60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86.100000000000009</v>
      </c>
      <c r="V499" s="46">
        <f>IFERROR(Y403*1,"0")+IFERROR(Y407*1,"0")+IFERROR(Y408*1,"0")+IFERROR(Y409*1,"0")+IFERROR(Y410*1,"0")</f>
        <v>8.4</v>
      </c>
      <c r="W499" s="46">
        <f>IFERROR(Y415*1,"0")</f>
        <v>20.399999999999999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1189.44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1107</v>
      </c>
      <c r="Z499" s="46">
        <f>IFERROR(Y486*1,"0")</f>
        <v>0</v>
      </c>
      <c r="AB499" s="52"/>
      <c r="AC499" s="52"/>
      <c r="AF499" s="539"/>
    </row>
  </sheetData>
  <sheetProtection algorithmName="SHA-512" hashValue="gUSrr8R0wxpWLK7ObkuaOmCE26LgeOjjGjOwqMFhNscRemd8xk3jRWexbp6lKLpZgG1DlOLipIyOG7dMb4kV0Q==" saltValue="H9F2HA0AtoFnmuYH42pa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3:X167 X169 X196:X203 X209:X210 X212 X214:X215 X219:X220 X225 X227:X228 X233 X273 X301:X302 X304 X315:X317 X323:X324 X328 X330 X336:X337 X359 X368 X378 X389:X390 X392 X415 X421 X423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sWDOOjLO12p5PqwiRREWS5BlmknzsCJTE1lUruA0rd2Y3TeFL24vek5K8Lz13IdRSGTr/mN4vZ37UqPOITjPbA==" saltValue="03+hGz1FUF4aYWVpuSci2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2025-11-19T08:16:19Z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