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CA0F719-E6BC-4663-B5DF-BC5946E0BA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N257" i="1"/>
  <c r="BM257" i="1"/>
  <c r="Z257" i="1"/>
  <c r="Y257" i="1"/>
  <c r="BP257" i="1" s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K499" i="1" s="1"/>
  <c r="P225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Y21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Y189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Y23" i="1" s="1"/>
  <c r="P22" i="1"/>
  <c r="H10" i="1"/>
  <c r="A9" i="1"/>
  <c r="F10" i="1" s="1"/>
  <c r="D7" i="1"/>
  <c r="Q6" i="1"/>
  <c r="P2" i="1"/>
  <c r="Y24" i="1" l="1"/>
  <c r="Y32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Y216" i="1"/>
  <c r="Y222" i="1"/>
  <c r="Y235" i="1"/>
  <c r="Y251" i="1"/>
  <c r="BP259" i="1"/>
  <c r="BN259" i="1"/>
  <c r="Z259" i="1"/>
  <c r="Y261" i="1"/>
  <c r="M499" i="1"/>
  <c r="Y269" i="1"/>
  <c r="BP264" i="1"/>
  <c r="BN264" i="1"/>
  <c r="Z264" i="1"/>
  <c r="Y268" i="1"/>
  <c r="Z275" i="1"/>
  <c r="BP273" i="1"/>
  <c r="BN273" i="1"/>
  <c r="Z273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BP329" i="1"/>
  <c r="BN329" i="1"/>
  <c r="Z329" i="1"/>
  <c r="Z331" i="1" s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BP374" i="1"/>
  <c r="BN374" i="1"/>
  <c r="Z374" i="1"/>
  <c r="Z375" i="1" s="1"/>
  <c r="Y376" i="1"/>
  <c r="Y381" i="1"/>
  <c r="BP378" i="1"/>
  <c r="BN378" i="1"/>
  <c r="Z378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B499" i="1"/>
  <c r="J499" i="1"/>
  <c r="S499" i="1"/>
  <c r="H9" i="1"/>
  <c r="A10" i="1"/>
  <c r="Y36" i="1"/>
  <c r="F9" i="1"/>
  <c r="J9" i="1"/>
  <c r="Z22" i="1"/>
  <c r="Z23" i="1" s="1"/>
  <c r="BN22" i="1"/>
  <c r="BP22" i="1"/>
  <c r="X489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Y493" i="1" s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Z192" i="1"/>
  <c r="Z193" i="1" s="1"/>
  <c r="BN192" i="1"/>
  <c r="Z196" i="1"/>
  <c r="Z204" i="1" s="1"/>
  <c r="BN196" i="1"/>
  <c r="BP196" i="1"/>
  <c r="Z198" i="1"/>
  <c r="BN198" i="1"/>
  <c r="Z200" i="1"/>
  <c r="BN200" i="1"/>
  <c r="Z202" i="1"/>
  <c r="BN202" i="1"/>
  <c r="Z208" i="1"/>
  <c r="Z216" i="1" s="1"/>
  <c r="BN208" i="1"/>
  <c r="Z210" i="1"/>
  <c r="BN210" i="1"/>
  <c r="Z212" i="1"/>
  <c r="BN212" i="1"/>
  <c r="Z214" i="1"/>
  <c r="BN214" i="1"/>
  <c r="Z220" i="1"/>
  <c r="Z221" i="1" s="1"/>
  <c r="BN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Z251" i="1" s="1"/>
  <c r="BN247" i="1"/>
  <c r="Z249" i="1"/>
  <c r="BN249" i="1"/>
  <c r="L499" i="1"/>
  <c r="Y260" i="1"/>
  <c r="Z256" i="1"/>
  <c r="Z260" i="1" s="1"/>
  <c r="BN256" i="1"/>
  <c r="BP266" i="1"/>
  <c r="BN266" i="1"/>
  <c r="Z266" i="1"/>
  <c r="Y276" i="1"/>
  <c r="Y275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Y318" i="1"/>
  <c r="BP323" i="1"/>
  <c r="BN323" i="1"/>
  <c r="Z323" i="1"/>
  <c r="Z325" i="1" s="1"/>
  <c r="Y332" i="1"/>
  <c r="Y331" i="1"/>
  <c r="BP336" i="1"/>
  <c r="BN336" i="1"/>
  <c r="Z336" i="1"/>
  <c r="Z338" i="1" s="1"/>
  <c r="Y350" i="1"/>
  <c r="BP347" i="1"/>
  <c r="BN347" i="1"/>
  <c r="Z347" i="1"/>
  <c r="Y355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5" i="1"/>
  <c r="Y380" i="1"/>
  <c r="BP386" i="1"/>
  <c r="BN386" i="1"/>
  <c r="Z386" i="1"/>
  <c r="BP390" i="1"/>
  <c r="BN390" i="1"/>
  <c r="Z390" i="1"/>
  <c r="Z394" i="1" s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47" i="1" l="1"/>
  <c r="Z468" i="1"/>
  <c r="Z432" i="1"/>
  <c r="Z235" i="1"/>
  <c r="Z178" i="1"/>
  <c r="Z57" i="1"/>
  <c r="Y490" i="1"/>
  <c r="Z438" i="1"/>
  <c r="Z312" i="1"/>
  <c r="Y491" i="1"/>
  <c r="Z268" i="1"/>
  <c r="Z494" i="1" s="1"/>
  <c r="Y489" i="1"/>
  <c r="Y492" i="1" l="1"/>
</calcChain>
</file>

<file path=xl/sharedStrings.xml><?xml version="1.0" encoding="utf-8"?>
<sst xmlns="http://schemas.openxmlformats.org/spreadsheetml/2006/main" count="2280" uniqueCount="768">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</sst>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45977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0.375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69.259259259259267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0.73099999999999998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340</v>
      </c>
      <c r="Y44" s="543">
        <f>IFERROR(SUM(Y40:Y42),"0")</f>
        <v>348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180</v>
      </c>
      <c r="Y56" s="542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187.60000000000002</v>
      </c>
      <c r="BN56" s="64">
        <f t="shared" si="2"/>
        <v>187.60000000000002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58.518518518518519</v>
      </c>
      <c r="Y57" s="543">
        <f>IFERROR(Y51/H51,"0")+IFERROR(Y52/H52,"0")+IFERROR(Y53/H53,"0")+IFERROR(Y54/H54,"0")+IFERROR(Y55/H55,"0")+IFERROR(Y56/H56,"0")</f>
        <v>59</v>
      </c>
      <c r="Z57" s="543">
        <f>IFERROR(IF(Z51="",0,Z51),"0")+IFERROR(IF(Z52="",0,Z52),"0")+IFERROR(IF(Z53="",0,Z53),"0")+IFERROR(IF(Z54="",0,Z54),"0")+IFERROR(IF(Z55="",0,Z55),"0")+IFERROR(IF(Z56="",0,Z56),"0")</f>
        <v>0.72141999999999995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380</v>
      </c>
      <c r="Y58" s="543">
        <f>IFERROR(SUM(Y51:Y56),"0")</f>
        <v>385.20000000000005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180</v>
      </c>
      <c r="Y60" s="542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22.5</v>
      </c>
      <c r="Y62" s="542">
        <f>IFERROR(IF(X62="",0,CEILING((X62/$H62),1)*$H62),"")</f>
        <v>24.3</v>
      </c>
      <c r="Z62" s="36">
        <f>IFERROR(IF(Y62=0,"",ROUNDUP(Y62/H62,0)*0.00651),"")</f>
        <v>5.8590000000000003E-2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23.999999999999996</v>
      </c>
      <c r="BN62" s="64">
        <f>IFERROR(Y62*I62/H62,"0")</f>
        <v>25.919999999999995</v>
      </c>
      <c r="BO62" s="64">
        <f>IFERROR(1/J62*(X62/H62),"0")</f>
        <v>4.5787545787545784E-2</v>
      </c>
      <c r="BP62" s="64">
        <f>IFERROR(1/J62*(Y62/H62),"0")</f>
        <v>4.9450549450549455E-2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24.999999999999996</v>
      </c>
      <c r="Y63" s="543">
        <f>IFERROR(Y60/H60,"0")+IFERROR(Y61/H61,"0")+IFERROR(Y62/H62,"0")</f>
        <v>26</v>
      </c>
      <c r="Z63" s="543">
        <f>IFERROR(IF(Z60="",0,Z60),"0")+IFERROR(IF(Z61="",0,Z61),"0")+IFERROR(IF(Z62="",0,Z62),"0")</f>
        <v>0.38124999999999998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202.5</v>
      </c>
      <c r="Y64" s="543">
        <f>IFERROR(SUM(Y60:Y62),"0")</f>
        <v>207.90000000000003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90</v>
      </c>
      <c r="Y79" s="542">
        <f>IFERROR(IF(X79="",0,CEILING((X79/$H79),1)*$H79),"")</f>
        <v>93.6</v>
      </c>
      <c r="Z79" s="36">
        <f>IFERROR(IF(Y79=0,"",ROUNDUP(Y79/H79,0)*0.01898),"")</f>
        <v>0.22776000000000002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94.730769230769241</v>
      </c>
      <c r="BN79" s="64">
        <f>IFERROR(Y79*I79/H79,"0")</f>
        <v>98.52000000000001</v>
      </c>
      <c r="BO79" s="64">
        <f>IFERROR(1/J79*(X79/H79),"0")</f>
        <v>0.18028846153846154</v>
      </c>
      <c r="BP79" s="64">
        <f>IFERROR(1/J79*(Y79/H79),"0")</f>
        <v>0.1875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11.538461538461538</v>
      </c>
      <c r="Y81" s="543">
        <f>IFERROR(Y79/H79,"0")+IFERROR(Y80/H80,"0")</f>
        <v>12</v>
      </c>
      <c r="Z81" s="543">
        <f>IFERROR(IF(Z79="",0,Z79),"0")+IFERROR(IF(Z80="",0,Z80),"0")</f>
        <v>0.22776000000000002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90</v>
      </c>
      <c r="Y82" s="543">
        <f>IFERROR(SUM(Y79:Y80),"0")</f>
        <v>93.6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</v>
      </c>
      <c r="Y85" s="542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540</v>
      </c>
      <c r="Y87" s="542">
        <f>IFERROR(IF(X87="",0,CEILING((X87/$H87),1)*$H87),"")</f>
        <v>540</v>
      </c>
      <c r="Z87" s="36">
        <f>IFERROR(IF(Y87=0,"",ROUNDUP(Y87/H87,0)*0.00902),"")</f>
        <v>1.0824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562.80000000000007</v>
      </c>
      <c r="BN87" s="64">
        <f>IFERROR(Y87*I87/H87,"0")</f>
        <v>562.80000000000007</v>
      </c>
      <c r="BO87" s="64">
        <f>IFERROR(1/J87*(X87/H87),"0")</f>
        <v>0.90909090909090917</v>
      </c>
      <c r="BP87" s="64">
        <f>IFERROR(1/J87*(Y87/H87),"0")</f>
        <v>0.90909090909090917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124.62962962962963</v>
      </c>
      <c r="Y88" s="543">
        <f>IFERROR(Y85/H85,"0")+IFERROR(Y86/H86,"0")+IFERROR(Y87/H87,"0")</f>
        <v>125</v>
      </c>
      <c r="Z88" s="543">
        <f>IFERROR(IF(Z85="",0,Z85),"0")+IFERROR(IF(Z86="",0,Z86),"0")+IFERROR(IF(Z87="",0,Z87),"0")</f>
        <v>1.1773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590</v>
      </c>
      <c r="Y89" s="543">
        <f>IFERROR(SUM(Y85:Y87),"0")</f>
        <v>594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250</v>
      </c>
      <c r="Y91" s="542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225</v>
      </c>
      <c r="Y93" s="542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114.19753086419753</v>
      </c>
      <c r="Y95" s="543">
        <f>IFERROR(Y91/H91,"0")+IFERROR(Y92/H92,"0")+IFERROR(Y93/H93,"0")+IFERROR(Y94/H94,"0")</f>
        <v>115</v>
      </c>
      <c r="Z95" s="543">
        <f>IFERROR(IF(Z91="",0,Z91),"0")+IFERROR(IF(Z92="",0,Z92),"0")+IFERROR(IF(Z93="",0,Z93),"0")+IFERROR(IF(Z94="",0,Z94),"0")</f>
        <v>1.1352199999999999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475</v>
      </c>
      <c r="Y96" s="543">
        <f>IFERROR(SUM(Y91:Y94),"0")</f>
        <v>477.9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80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83.037037037037038</v>
      </c>
      <c r="BN99" s="64">
        <f>IFERROR(Y99*I99/H99,"0")</f>
        <v>89.68</v>
      </c>
      <c r="BO99" s="64">
        <f>IFERROR(1/J99*(X99/H99),"0")</f>
        <v>0.11574074074074073</v>
      </c>
      <c r="BP99" s="64">
        <f>IFERROR(1/J99*(Y99/H99),"0")</f>
        <v>0.125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585</v>
      </c>
      <c r="Y101" s="542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137.40740740740742</v>
      </c>
      <c r="Y103" s="543">
        <f>IFERROR(Y99/H99,"0")+IFERROR(Y100/H100,"0")+IFERROR(Y101/H101,"0")+IFERROR(Y102/H102,"0")</f>
        <v>138</v>
      </c>
      <c r="Z103" s="543">
        <f>IFERROR(IF(Z99="",0,Z99),"0")+IFERROR(IF(Z100="",0,Z100),"0")+IFERROR(IF(Z101="",0,Z101),"0")+IFERROR(IF(Z102="",0,Z102),"0")</f>
        <v>1.3244400000000001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665</v>
      </c>
      <c r="Y104" s="543">
        <f>IFERROR(SUM(Y99:Y102),"0")</f>
        <v>671.4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90</v>
      </c>
      <c r="Y114" s="542">
        <f>IFERROR(IF(X114="",0,CEILING((X114/$H114),1)*$H114),"")</f>
        <v>91.800000000000011</v>
      </c>
      <c r="Z114" s="36">
        <f>IFERROR(IF(Y114=0,"",ROUNDUP(Y114/H114,0)*0.00651),"")</f>
        <v>0.22134000000000001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98.399999999999991</v>
      </c>
      <c r="BN114" s="64">
        <f>IFERROR(Y114*I114/H114,"0")</f>
        <v>100.36799999999999</v>
      </c>
      <c r="BO114" s="64">
        <f>IFERROR(1/J114*(X114/H114),"0")</f>
        <v>0.18315018315018314</v>
      </c>
      <c r="BP114" s="64">
        <f>IFERROR(1/J114*(Y114/H114),"0")</f>
        <v>0.18681318681318682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30</v>
      </c>
      <c r="Y115" s="542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62.34567901234567</v>
      </c>
      <c r="Y116" s="543">
        <f>IFERROR(Y112/H112,"0")+IFERROR(Y113/H113,"0")+IFERROR(Y114/H114,"0")+IFERROR(Y115/H115,"0")</f>
        <v>64</v>
      </c>
      <c r="Z116" s="543">
        <f>IFERROR(IF(Z112="",0,Z112),"0")+IFERROR(IF(Z113="",0,Z113),"0")+IFERROR(IF(Z114="",0,Z114),"0")+IFERROR(IF(Z115="",0,Z115),"0")</f>
        <v>0.5787500000000001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220</v>
      </c>
      <c r="Y117" s="543">
        <f>IFERROR(SUM(Y112:Y115),"0")</f>
        <v>227.70000000000002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19.8</v>
      </c>
      <c r="Y119" s="542">
        <f>IFERROR(IF(X119="",0,CEILING((X119/$H119),1)*$H119),"")</f>
        <v>19.8</v>
      </c>
      <c r="Z119" s="36">
        <f>IFERROR(IF(Y119=0,"",ROUNDUP(Y119/H119,0)*0.00651),"")</f>
        <v>6.5100000000000005E-2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22.380000000000003</v>
      </c>
      <c r="BN119" s="64">
        <f>IFERROR(Y119*I119/H119,"0")</f>
        <v>22.380000000000003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10</v>
      </c>
      <c r="Y120" s="543">
        <f>IFERROR(Y119/H119,"0")</f>
        <v>10</v>
      </c>
      <c r="Z120" s="543">
        <f>IFERROR(IF(Z119="",0,Z119),"0")</f>
        <v>6.5100000000000005E-2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19.8</v>
      </c>
      <c r="Y121" s="543">
        <f>IFERROR(SUM(Y119:Y119),"0")</f>
        <v>19.8</v>
      </c>
      <c r="Z121" s="37"/>
      <c r="AA121" s="544"/>
      <c r="AB121" s="544"/>
      <c r="AC121" s="544"/>
    </row>
    <row r="122" spans="1:68" ht="16.5" customHeight="1" x14ac:dyDescent="0.25">
      <c r="A122" s="559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18.75</v>
      </c>
      <c r="Y131" s="543">
        <f>IFERROR(Y129/H129,"0")+IFERROR(Y130/H130,"0")</f>
        <v>19</v>
      </c>
      <c r="Z131" s="543">
        <f>IFERROR(IF(Z129="",0,Z129),"0")+IFERROR(IF(Z130="",0,Z130),"0")</f>
        <v>0.12369000000000001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52.5</v>
      </c>
      <c r="Y132" s="543">
        <f>IFERROR(SUM(Y129:Y130),"0")</f>
        <v>53.199999999999996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33</v>
      </c>
      <c r="Y135" s="542">
        <f>IFERROR(IF(X135="",0,CEILING((X135/$H135),1)*$H135),"")</f>
        <v>34.32</v>
      </c>
      <c r="Z135" s="36">
        <f>IFERROR(IF(Y135=0,"",ROUNDUP(Y135/H135,0)*0.00651),"")</f>
        <v>8.4629999999999997E-2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36.349999999999994</v>
      </c>
      <c r="BN135" s="64">
        <f>IFERROR(Y135*I135/H135,"0")</f>
        <v>37.803999999999995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12.5</v>
      </c>
      <c r="Y136" s="543">
        <f>IFERROR(Y134/H134,"0")+IFERROR(Y135/H135,"0")</f>
        <v>13</v>
      </c>
      <c r="Z136" s="543">
        <f>IFERROR(IF(Z134="",0,Z134),"0")+IFERROR(IF(Z135="",0,Z135),"0")</f>
        <v>8.4629999999999997E-2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33</v>
      </c>
      <c r="Y137" s="543">
        <f>IFERROR(SUM(Y134:Y135),"0")</f>
        <v>34.32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256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20</v>
      </c>
      <c r="Y163" s="542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21.19047619047619</v>
      </c>
      <c r="BN163" s="64">
        <f t="shared" si="7"/>
        <v>22.25</v>
      </c>
      <c r="BO163" s="64">
        <f t="shared" si="8"/>
        <v>3.6075036075036072E-2</v>
      </c>
      <c r="BP163" s="64">
        <f t="shared" si="9"/>
        <v>3.787878787878788E-2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30</v>
      </c>
      <c r="Y164" s="542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31.785714285714285</v>
      </c>
      <c r="BN164" s="64">
        <f t="shared" si="7"/>
        <v>35.6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50</v>
      </c>
      <c r="Y165" s="542">
        <f t="shared" si="5"/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52.261904761904752</v>
      </c>
      <c r="BN165" s="64">
        <f t="shared" si="7"/>
        <v>52.68</v>
      </c>
      <c r="BO165" s="64">
        <f t="shared" si="8"/>
        <v>9.0187590187590191E-2</v>
      </c>
      <c r="BP165" s="64">
        <f t="shared" si="9"/>
        <v>9.0909090909090912E-2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28</v>
      </c>
      <c r="Y166" s="542">
        <f t="shared" si="5"/>
        <v>29.400000000000002</v>
      </c>
      <c r="Z166" s="36">
        <f>IFERROR(IF(Y166=0,"",ROUNDUP(Y166/H166,0)*0.00502),"")</f>
        <v>7.0280000000000009E-2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29.733333333333331</v>
      </c>
      <c r="BN166" s="64">
        <f t="shared" si="7"/>
        <v>31.22</v>
      </c>
      <c r="BO166" s="64">
        <f t="shared" si="8"/>
        <v>5.6980056980056981E-2</v>
      </c>
      <c r="BP166" s="64">
        <f t="shared" si="9"/>
        <v>5.9829059829059839E-2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122.5</v>
      </c>
      <c r="Y167" s="542">
        <f t="shared" si="5"/>
        <v>123.9</v>
      </c>
      <c r="Z167" s="36">
        <f>IFERROR(IF(Y167=0,"",ROUNDUP(Y167/H167,0)*0.00502),"")</f>
        <v>0.29618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130.08333333333334</v>
      </c>
      <c r="BN167" s="64">
        <f t="shared" si="7"/>
        <v>131.57</v>
      </c>
      <c r="BO167" s="64">
        <f t="shared" si="8"/>
        <v>0.2492877492877493</v>
      </c>
      <c r="BP167" s="64">
        <f t="shared" si="9"/>
        <v>0.25213675213675218</v>
      </c>
    </row>
    <row r="168" spans="1:68" ht="27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157.5</v>
      </c>
      <c r="Y169" s="542">
        <f t="shared" si="5"/>
        <v>157.5</v>
      </c>
      <c r="Z169" s="36">
        <f>IFERROR(IF(Y169=0,"",ROUNDUP(Y169/H169,0)*0.00502),"")</f>
        <v>0.3765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165</v>
      </c>
      <c r="BN169" s="64">
        <f t="shared" si="7"/>
        <v>165</v>
      </c>
      <c r="BO169" s="64">
        <f t="shared" si="8"/>
        <v>0.32051282051282054</v>
      </c>
      <c r="BP169" s="64">
        <f t="shared" si="9"/>
        <v>0.32051282051282054</v>
      </c>
    </row>
    <row r="170" spans="1:68" ht="27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170.47619047619048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173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0.9684600000000001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408</v>
      </c>
      <c r="Y173" s="543">
        <f>IFERROR(SUM(Y162:Y171),"0")</f>
        <v>415.8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3.5</v>
      </c>
      <c r="Y175" s="542">
        <f>IFERROR(IF(X175="",0,CEILING((X175/$H175),1)*$H175),"")</f>
        <v>3.7800000000000002</v>
      </c>
      <c r="Z175" s="36">
        <f>IFERROR(IF(Y175=0,"",ROUNDUP(Y175/H175,0)*0.0059),"")</f>
        <v>1.77E-2</v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4.0277777777777777</v>
      </c>
      <c r="BN175" s="64">
        <f>IFERROR(Y175*I175/H175,"0")</f>
        <v>4.3499999999999996</v>
      </c>
      <c r="BO175" s="64">
        <f>IFERROR(1/J175*(X175/H175),"0")</f>
        <v>1.2860082304526748E-2</v>
      </c>
      <c r="BP175" s="64">
        <f>IFERROR(1/J175*(Y175/H175),"0")</f>
        <v>1.3888888888888888E-2</v>
      </c>
    </row>
    <row r="176" spans="1:68" ht="27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7.0000000000000009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7.0000000000000009</v>
      </c>
      <c r="Y177" s="542">
        <f>IFERROR(IF(X177="",0,CEILING((X177/$H177),1)*$H177),"")</f>
        <v>7.5600000000000005</v>
      </c>
      <c r="Z177" s="36">
        <f>IFERROR(IF(Y177=0,"",ROUNDUP(Y177/H177,0)*0.0059),"")</f>
        <v>3.5400000000000001E-2</v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8.0555555555555554</v>
      </c>
      <c r="BN177" s="64">
        <f>IFERROR(Y177*I177/H177,"0")</f>
        <v>8.6999999999999993</v>
      </c>
      <c r="BO177" s="64">
        <f>IFERROR(1/J177*(X177/H177),"0")</f>
        <v>2.5720164609053499E-2</v>
      </c>
      <c r="BP177" s="64">
        <f>IFERROR(1/J177*(Y177/H177),"0")</f>
        <v>2.7777777777777776E-2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13.888888888888889</v>
      </c>
      <c r="Y178" s="543">
        <f>IFERROR(Y175/H175,"0")+IFERROR(Y176/H176,"0")+IFERROR(Y177/H177,"0")</f>
        <v>15</v>
      </c>
      <c r="Z178" s="543">
        <f>IFERROR(IF(Z175="",0,Z175),"0")+IFERROR(IF(Z176="",0,Z176),"0")+IFERROR(IF(Z177="",0,Z177),"0")</f>
        <v>8.8499999999999995E-2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17.5</v>
      </c>
      <c r="Y179" s="543">
        <f>IFERROR(SUM(Y175:Y177),"0")</f>
        <v>18.899999999999999</v>
      </c>
      <c r="Z179" s="37"/>
      <c r="AA179" s="544"/>
      <c r="AB179" s="544"/>
      <c r="AC179" s="544"/>
    </row>
    <row r="180" spans="1:68" ht="14.25" customHeight="1" x14ac:dyDescent="0.25">
      <c r="A180" s="558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3.5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4.0277777777777777</v>
      </c>
      <c r="BN181" s="64">
        <f>IFERROR(Y181*I181/H181,"0")</f>
        <v>4.3499999999999996</v>
      </c>
      <c r="BO181" s="64">
        <f>IFERROR(1/J181*(X181/H181),"0")</f>
        <v>1.2860082304526748E-2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2.7777777777777777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3.5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customHeight="1" x14ac:dyDescent="0.25">
      <c r="A184" s="559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50</v>
      </c>
      <c r="Y196" s="542">
        <f t="shared" ref="Y196:Y203" si="10">IFERROR(IF(X196="",0,CEILING((X196/$H196),1)*$H196),"")</f>
        <v>54</v>
      </c>
      <c r="Z196" s="36">
        <f>IFERROR(IF(Y196=0,"",ROUNDUP(Y196/H196,0)*0.00902),"")</f>
        <v>9.0200000000000002E-2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51.759259259259252</v>
      </c>
      <c r="BN196" s="64">
        <f t="shared" ref="BN196:BN203" si="12">IFERROR(Y196*I196/H196,"0")</f>
        <v>55.9</v>
      </c>
      <c r="BO196" s="64">
        <f t="shared" ref="BO196:BO203" si="13">IFERROR(1/J196*(X196/H196),"0")</f>
        <v>7.0145903479236812E-2</v>
      </c>
      <c r="BP196" s="64">
        <f t="shared" ref="BP196:BP203" si="14">IFERROR(1/J196*(Y196/H196),"0")</f>
        <v>7.575757575757576E-2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60</v>
      </c>
      <c r="Y197" s="542">
        <f t="shared" si="10"/>
        <v>64.800000000000011</v>
      </c>
      <c r="Z197" s="36">
        <f>IFERROR(IF(Y197=0,"",ROUNDUP(Y197/H197,0)*0.00902),"")</f>
        <v>0.10824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62.1111111111111</v>
      </c>
      <c r="BN197" s="64">
        <f t="shared" si="12"/>
        <v>67.08</v>
      </c>
      <c r="BO197" s="64">
        <f t="shared" si="13"/>
        <v>8.4175084175084181E-2</v>
      </c>
      <c r="BP197" s="64">
        <f t="shared" si="14"/>
        <v>9.0909090909090925E-2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330</v>
      </c>
      <c r="Y198" s="542">
        <f t="shared" si="10"/>
        <v>334.8</v>
      </c>
      <c r="Z198" s="36">
        <f>IFERROR(IF(Y198=0,"",ROUNDUP(Y198/H198,0)*0.00902),"")</f>
        <v>0.55923999999999996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341.61111111111109</v>
      </c>
      <c r="BN198" s="64">
        <f t="shared" si="12"/>
        <v>346.58</v>
      </c>
      <c r="BO198" s="64">
        <f t="shared" si="13"/>
        <v>0.46296296296296297</v>
      </c>
      <c r="BP198" s="64">
        <f t="shared" si="14"/>
        <v>0.46969696969696972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70</v>
      </c>
      <c r="Y199" s="542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54</v>
      </c>
      <c r="Y201" s="542">
        <f t="shared" si="10"/>
        <v>54</v>
      </c>
      <c r="Z201" s="36">
        <f>IFERROR(IF(Y201=0,"",ROUNDUP(Y201/H201,0)*0.00502),"")</f>
        <v>0.15060000000000001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56.999999999999993</v>
      </c>
      <c r="BN201" s="64">
        <f t="shared" si="12"/>
        <v>56.999999999999993</v>
      </c>
      <c r="BO201" s="64">
        <f t="shared" si="13"/>
        <v>0.12820512820512822</v>
      </c>
      <c r="BP201" s="64">
        <f t="shared" si="14"/>
        <v>0.12820512820512822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57</v>
      </c>
      <c r="Y202" s="542">
        <f t="shared" si="10"/>
        <v>57.6</v>
      </c>
      <c r="Z202" s="36">
        <f>IFERROR(IF(Y202=0,"",ROUNDUP(Y202/H202,0)*0.00502),"")</f>
        <v>0.16064000000000001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60.166666666666664</v>
      </c>
      <c r="BN202" s="64">
        <f t="shared" si="12"/>
        <v>60.8</v>
      </c>
      <c r="BO202" s="64">
        <f t="shared" si="13"/>
        <v>0.13532763532763534</v>
      </c>
      <c r="BP202" s="64">
        <f t="shared" si="14"/>
        <v>0.13675213675213677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75</v>
      </c>
      <c r="Y203" s="542">
        <f t="shared" si="10"/>
        <v>75.600000000000009</v>
      </c>
      <c r="Z203" s="36">
        <f>IFERROR(IF(Y203=0,"",ROUNDUP(Y203/H203,0)*0.00502),"")</f>
        <v>0.21084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79.166666666666671</v>
      </c>
      <c r="BN203" s="64">
        <f t="shared" si="12"/>
        <v>79.800000000000011</v>
      </c>
      <c r="BO203" s="64">
        <f t="shared" si="13"/>
        <v>0.17806267806267806</v>
      </c>
      <c r="BP203" s="64">
        <f t="shared" si="14"/>
        <v>0.17948717948717954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197.77777777777777</v>
      </c>
      <c r="Y204" s="543">
        <f>IFERROR(Y196/H196,"0")+IFERROR(Y197/H197,"0")+IFERROR(Y198/H198,"0")+IFERROR(Y199/H199,"0")+IFERROR(Y200/H200,"0")+IFERROR(Y201/H201,"0")+IFERROR(Y202/H202,"0")+IFERROR(Y203/H203,"0")</f>
        <v>201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1.3970199999999997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696</v>
      </c>
      <c r="Y205" s="543">
        <f>IFERROR(SUM(Y196:Y203),"0")</f>
        <v>711.00000000000011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260</v>
      </c>
      <c r="Y210" s="542">
        <f t="shared" si="15"/>
        <v>261.59999999999997</v>
      </c>
      <c r="Z210" s="36">
        <f t="shared" ref="Z210:Z215" si="20">IFERROR(IF(Y210=0,"",ROUNDUP(Y210/H210,0)*0.00651),"")</f>
        <v>0.70959000000000005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289.25</v>
      </c>
      <c r="BN210" s="64">
        <f t="shared" si="17"/>
        <v>291.02999999999997</v>
      </c>
      <c r="BO210" s="64">
        <f t="shared" si="18"/>
        <v>0.59523809523809534</v>
      </c>
      <c r="BP210" s="64">
        <f t="shared" si="19"/>
        <v>0.59890109890109888</v>
      </c>
    </row>
    <row r="211" spans="1:68" ht="27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200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100</v>
      </c>
      <c r="Y214" s="542">
        <f t="shared" si="15"/>
        <v>100.8</v>
      </c>
      <c r="Z214" s="36">
        <f t="shared" si="20"/>
        <v>0.27342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110.5</v>
      </c>
      <c r="BN214" s="64">
        <f t="shared" si="17"/>
        <v>111.384</v>
      </c>
      <c r="BO214" s="64">
        <f t="shared" si="18"/>
        <v>0.22893772893772898</v>
      </c>
      <c r="BP214" s="64">
        <f t="shared" si="19"/>
        <v>0.23076923076923078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180</v>
      </c>
      <c r="Y215" s="542">
        <f t="shared" si="15"/>
        <v>180</v>
      </c>
      <c r="Z215" s="36">
        <f t="shared" si="20"/>
        <v>0.48825000000000002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199.35</v>
      </c>
      <c r="BN215" s="64">
        <f t="shared" si="17"/>
        <v>199.35</v>
      </c>
      <c r="BO215" s="64">
        <f t="shared" si="18"/>
        <v>0.41208791208791212</v>
      </c>
      <c r="BP215" s="64">
        <f t="shared" si="19"/>
        <v>0.41208791208791212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308.33333333333337</v>
      </c>
      <c r="Y216" s="543">
        <f>IFERROR(Y207/H207,"0")+IFERROR(Y208/H208,"0")+IFERROR(Y209/H209,"0")+IFERROR(Y210/H210,"0")+IFERROR(Y211/H211,"0")+IFERROR(Y212/H212,"0")+IFERROR(Y213/H213,"0")+IFERROR(Y214/H214,"0")+IFERROR(Y215/H215,"0")</f>
        <v>310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2.0181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740</v>
      </c>
      <c r="Y217" s="543">
        <f>IFERROR(SUM(Y207:Y215),"0")</f>
        <v>743.99999999999989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20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20.706896551724139</v>
      </c>
      <c r="BN225" s="64">
        <f t="shared" ref="BN225:BN234" si="23">IFERROR(Y225*I225/H225,"0")</f>
        <v>24.02</v>
      </c>
      <c r="BO225" s="64">
        <f t="shared" ref="BO225:BO234" si="24">IFERROR(1/J225*(X225/H225),"0")</f>
        <v>2.6939655172413795E-2</v>
      </c>
      <c r="BP225" s="64">
        <f t="shared" ref="BP225:BP234" si="25">IFERROR(1/J225*(Y225/H225),"0")</f>
        <v>3.125E-2</v>
      </c>
    </row>
    <row r="226" spans="1:68" ht="27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12</v>
      </c>
      <c r="Y228" s="542">
        <f t="shared" si="21"/>
        <v>12</v>
      </c>
      <c r="Z228" s="36">
        <f>IFERROR(IF(Y228=0,"",ROUNDUP(Y228/H228,0)*0.00902),"")</f>
        <v>2.7060000000000001E-2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12.57</v>
      </c>
      <c r="BN228" s="64">
        <f t="shared" si="23"/>
        <v>12.57</v>
      </c>
      <c r="BO228" s="64">
        <f t="shared" si="24"/>
        <v>2.2727272727272728E-2</v>
      </c>
      <c r="BP228" s="64">
        <f t="shared" si="25"/>
        <v>2.2727272727272728E-2</v>
      </c>
    </row>
    <row r="229" spans="1:68" ht="27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36</v>
      </c>
      <c r="Y233" s="542">
        <f t="shared" si="21"/>
        <v>36</v>
      </c>
      <c r="Z233" s="36">
        <f>IFERROR(IF(Y233=0,"",ROUNDUP(Y233/H233,0)*0.00902),"")</f>
        <v>8.1180000000000002E-2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37.71</v>
      </c>
      <c r="BN233" s="64">
        <f t="shared" si="23"/>
        <v>37.71</v>
      </c>
      <c r="BO233" s="64">
        <f t="shared" si="24"/>
        <v>6.8181818181818177E-2</v>
      </c>
      <c r="BP233" s="64">
        <f t="shared" si="25"/>
        <v>6.8181818181818177E-2</v>
      </c>
    </row>
    <row r="234" spans="1:68" ht="27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13.724137931034484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14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0.1462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68</v>
      </c>
      <c r="Y236" s="543">
        <f>IFERROR(SUM(Y225:Y234),"0")</f>
        <v>71.2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6</v>
      </c>
      <c r="Y242" s="542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6.5833333333333339</v>
      </c>
      <c r="BN242" s="64">
        <f>IFERROR(Y242*I242/H242,"0")</f>
        <v>7.9</v>
      </c>
      <c r="BO242" s="64">
        <f>IFERROR(1/J242*(X242/H242),"0")</f>
        <v>1.5432098765432096E-2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3.333333333333333</v>
      </c>
      <c r="Y243" s="543">
        <f>IFERROR(Y242/H242,"0")</f>
        <v>4</v>
      </c>
      <c r="Z243" s="543">
        <f>IFERROR(IF(Z242="",0,Z242),"0")</f>
        <v>2.3599999999999999E-2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6</v>
      </c>
      <c r="Y244" s="543">
        <f>IFERROR(SUM(Y242:Y242),"0")</f>
        <v>7.2</v>
      </c>
      <c r="Z244" s="37"/>
      <c r="AA244" s="544"/>
      <c r="AB244" s="544"/>
      <c r="AC244" s="544"/>
    </row>
    <row r="245" spans="1:68" ht="14.25" customHeight="1" x14ac:dyDescent="0.25">
      <c r="A245" s="558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10.5</v>
      </c>
      <c r="Y247" s="542">
        <f>IFERROR(IF(X247="",0,CEILING((X247/$H247),1)*$H247),"")</f>
        <v>10.8</v>
      </c>
      <c r="Z247" s="36">
        <f>IFERROR(IF(Y247=0,"",ROUNDUP(Y247/H247,0)*0.0059),"")</f>
        <v>3.5400000000000001E-2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11.520833333333334</v>
      </c>
      <c r="BN247" s="64">
        <f>IFERROR(Y247*I247/H247,"0")</f>
        <v>11.850000000000001</v>
      </c>
      <c r="BO247" s="64">
        <f>IFERROR(1/J247*(X247/H247),"0")</f>
        <v>2.7006172839506171E-2</v>
      </c>
      <c r="BP247" s="64">
        <f>IFERROR(1/J247*(Y247/H247),"0")</f>
        <v>2.7777777777777776E-2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2.75</v>
      </c>
      <c r="Y248" s="542">
        <f>IFERROR(IF(X248="",0,CEILING((X248/$H248),1)*$H248),"")</f>
        <v>3.6</v>
      </c>
      <c r="Z248" s="36">
        <f>IFERROR(IF(Y248=0,"",ROUNDUP(Y248/H248,0)*0.0059),"")</f>
        <v>2.3599999999999999E-2</v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3.3305555555555557</v>
      </c>
      <c r="BN248" s="64">
        <f>IFERROR(Y248*I248/H248,"0")</f>
        <v>4.3600000000000003</v>
      </c>
      <c r="BO248" s="64">
        <f>IFERROR(1/J248*(X248/H248),"0")</f>
        <v>1.4146090534979422E-2</v>
      </c>
      <c r="BP248" s="64">
        <f>IFERROR(1/J248*(Y248/H248),"0")</f>
        <v>1.8518518518518517E-2</v>
      </c>
    </row>
    <row r="249" spans="1:68" ht="27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8.8888888888888893</v>
      </c>
      <c r="Y251" s="543">
        <f>IFERROR(Y246/H246,"0")+IFERROR(Y247/H247,"0")+IFERROR(Y248/H248,"0")+IFERROR(Y249/H249,"0")+IFERROR(Y250/H250,"0")</f>
        <v>10</v>
      </c>
      <c r="Z251" s="543">
        <f>IFERROR(IF(Z246="",0,Z246),"0")+IFERROR(IF(Z247="",0,Z247),"0")+IFERROR(IF(Z248="",0,Z248),"0")+IFERROR(IF(Z249="",0,Z249),"0")+IFERROR(IF(Z250="",0,Z250),"0")</f>
        <v>5.8999999999999997E-2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13.25</v>
      </c>
      <c r="Y252" s="543">
        <f>IFERROR(SUM(Y246:Y250),"0")</f>
        <v>14.4</v>
      </c>
      <c r="Z252" s="37"/>
      <c r="AA252" s="544"/>
      <c r="AB252" s="544"/>
      <c r="AC252" s="544"/>
    </row>
    <row r="253" spans="1:68" ht="16.5" customHeight="1" x14ac:dyDescent="0.25">
      <c r="A253" s="559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112</v>
      </c>
      <c r="Y273" s="542">
        <f>IFERROR(IF(X273="",0,CEILING((X273/$H273),1)*$H273),"")</f>
        <v>112.8</v>
      </c>
      <c r="Z273" s="36">
        <f>IFERROR(IF(Y273=0,"",ROUNDUP(Y273/H273,0)*0.00651),"")</f>
        <v>0.30597000000000002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123.76</v>
      </c>
      <c r="BN273" s="64">
        <f>IFERROR(Y273*I273/H273,"0")</f>
        <v>124.64400000000001</v>
      </c>
      <c r="BO273" s="64">
        <f>IFERROR(1/J273*(X273/H273),"0")</f>
        <v>0.25641025641025644</v>
      </c>
      <c r="BP273" s="64">
        <f>IFERROR(1/J273*(Y273/H273),"0")</f>
        <v>0.25824175824175827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120</v>
      </c>
      <c r="Y274" s="542">
        <f>IFERROR(IF(X274="",0,CEILING((X274/$H274),1)*$H274),"")</f>
        <v>120</v>
      </c>
      <c r="Z274" s="36">
        <f>IFERROR(IF(Y274=0,"",ROUNDUP(Y274/H274,0)*0.00651),"")</f>
        <v>0.32550000000000001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129.00000000000003</v>
      </c>
      <c r="BN274" s="64">
        <f>IFERROR(Y274*I274/H274,"0")</f>
        <v>129.00000000000003</v>
      </c>
      <c r="BO274" s="64">
        <f>IFERROR(1/J274*(X274/H274),"0")</f>
        <v>0.27472527472527475</v>
      </c>
      <c r="BP274" s="64">
        <f>IFERROR(1/J274*(Y274/H274),"0")</f>
        <v>0.27472527472527475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96.666666666666671</v>
      </c>
      <c r="Y275" s="543">
        <f>IFERROR(Y272/H272,"0")+IFERROR(Y273/H273,"0")+IFERROR(Y274/H274,"0")</f>
        <v>97</v>
      </c>
      <c r="Z275" s="543">
        <f>IFERROR(IF(Z272="",0,Z272),"0")+IFERROR(IF(Z273="",0,Z273),"0")+IFERROR(IF(Z274="",0,Z274),"0")</f>
        <v>0.63146999999999998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232</v>
      </c>
      <c r="Y276" s="543">
        <f>IFERROR(SUM(Y272:Y274),"0")</f>
        <v>232.8</v>
      </c>
      <c r="Z276" s="37"/>
      <c r="AA276" s="544"/>
      <c r="AB276" s="544"/>
      <c r="AC276" s="544"/>
    </row>
    <row r="277" spans="1:68" ht="16.5" customHeight="1" x14ac:dyDescent="0.25">
      <c r="A277" s="559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245</v>
      </c>
      <c r="Y302" s="542">
        <f t="shared" si="26"/>
        <v>245.70000000000002</v>
      </c>
      <c r="Z302" s="36">
        <f>IFERROR(IF(Y302=0,"",ROUNDUP(Y302/H302,0)*0.00502),"")</f>
        <v>0.58733999999999997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256.66666666666663</v>
      </c>
      <c r="BN302" s="64">
        <f t="shared" si="28"/>
        <v>257.40000000000003</v>
      </c>
      <c r="BO302" s="64">
        <f t="shared" si="29"/>
        <v>0.4985754985754986</v>
      </c>
      <c r="BP302" s="64">
        <f t="shared" si="30"/>
        <v>0.5</v>
      </c>
    </row>
    <row r="303" spans="1:68" ht="27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27</v>
      </c>
      <c r="Y304" s="542">
        <f t="shared" si="26"/>
        <v>27</v>
      </c>
      <c r="Z304" s="36">
        <f>IFERROR(IF(Y304=0,"",ROUNDUP(Y304/H304,0)*0.00651),"")</f>
        <v>9.7650000000000001E-2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30.419999999999998</v>
      </c>
      <c r="BN304" s="64">
        <f t="shared" si="28"/>
        <v>30.419999999999998</v>
      </c>
      <c r="BO304" s="64">
        <f t="shared" si="29"/>
        <v>8.241758241758243E-2</v>
      </c>
      <c r="BP304" s="64">
        <f t="shared" si="30"/>
        <v>8.241758241758243E-2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131.66666666666666</v>
      </c>
      <c r="Y305" s="543">
        <f>IFERROR(Y298/H298,"0")+IFERROR(Y299/H299,"0")+IFERROR(Y300/H300,"0")+IFERROR(Y301/H301,"0")+IFERROR(Y302/H302,"0")+IFERROR(Y303/H303,"0")+IFERROR(Y304/H304,"0")</f>
        <v>132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0.68498999999999999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272</v>
      </c>
      <c r="Y306" s="543">
        <f>IFERROR(SUM(Y298:Y304),"0")</f>
        <v>272.70000000000005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20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21.176190476190474</v>
      </c>
      <c r="BN315" s="64">
        <f>IFERROR(Y315*I315/H315,"0")</f>
        <v>26.682000000000002</v>
      </c>
      <c r="BO315" s="64">
        <f>IFERROR(1/J315*(X315/H315),"0")</f>
        <v>3.7202380952380952E-2</v>
      </c>
      <c r="BP315" s="64">
        <f>IFERROR(1/J315*(Y315/H315),"0")</f>
        <v>4.6875E-2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500</v>
      </c>
      <c r="Y316" s="542">
        <f>IFERROR(IF(X316="",0,CEILING((X316/$H316),1)*$H316),"")</f>
        <v>507</v>
      </c>
      <c r="Z316" s="36">
        <f>IFERROR(IF(Y316=0,"",ROUNDUP(Y316/H316,0)*0.01898),"")</f>
        <v>1.2337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531.66666666666663</v>
      </c>
      <c r="BN316" s="64">
        <f>IFERROR(Y316*I316/H316,"0")</f>
        <v>539.11</v>
      </c>
      <c r="BO316" s="64">
        <f>IFERROR(1/J316*(X316/H316),"0")</f>
        <v>1.0016025641025641</v>
      </c>
      <c r="BP316" s="64">
        <f>IFERROR(1/J316*(Y316/H316),"0")</f>
        <v>1.015625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66.483516483516482</v>
      </c>
      <c r="Y318" s="543">
        <f>IFERROR(Y315/H315,"0")+IFERROR(Y316/H316,"0")+IFERROR(Y317/H317,"0")</f>
        <v>68</v>
      </c>
      <c r="Z318" s="543">
        <f>IFERROR(IF(Z315="",0,Z315),"0")+IFERROR(IF(Z316="",0,Z316),"0")+IFERROR(IF(Z317="",0,Z317),"0")</f>
        <v>1.29064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520</v>
      </c>
      <c r="Y319" s="543">
        <f>IFERROR(SUM(Y315:Y317),"0")</f>
        <v>532.20000000000005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875</v>
      </c>
      <c r="Y336" s="542">
        <f>IFERROR(IF(X336="",0,CEILING((X336/$H336),1)*$H336),"")</f>
        <v>875.7</v>
      </c>
      <c r="Z336" s="36">
        <f>IFERROR(IF(Y336=0,"",ROUNDUP(Y336/H336,0)*0.00651),"")</f>
        <v>2.7146699999999999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980</v>
      </c>
      <c r="BN336" s="64">
        <f>IFERROR(Y336*I336/H336,"0")</f>
        <v>980.78399999999999</v>
      </c>
      <c r="BO336" s="64">
        <f>IFERROR(1/J336*(X336/H336),"0")</f>
        <v>2.2893772893772892</v>
      </c>
      <c r="BP336" s="64">
        <f>IFERROR(1/J336*(Y336/H336),"0")</f>
        <v>2.2912087912087915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175</v>
      </c>
      <c r="Y337" s="542">
        <f>IFERROR(IF(X337="",0,CEILING((X337/$H337),1)*$H337),"")</f>
        <v>176.4</v>
      </c>
      <c r="Z337" s="36">
        <f>IFERROR(IF(Y337=0,"",ROUNDUP(Y337/H337,0)*0.00651),"")</f>
        <v>0.54683999999999999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195</v>
      </c>
      <c r="BN337" s="64">
        <f>IFERROR(Y337*I337/H337,"0")</f>
        <v>196.56</v>
      </c>
      <c r="BO337" s="64">
        <f>IFERROR(1/J337*(X337/H337),"0")</f>
        <v>0.45787545787545786</v>
      </c>
      <c r="BP337" s="64">
        <f>IFERROR(1/J337*(Y337/H337),"0")</f>
        <v>0.46153846153846156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499.99999999999994</v>
      </c>
      <c r="Y338" s="543">
        <f>IFERROR(Y335/H335,"0")+IFERROR(Y336/H336,"0")+IFERROR(Y337/H337,"0")</f>
        <v>501</v>
      </c>
      <c r="Z338" s="543">
        <f>IFERROR(IF(Z335="",0,Z335),"0")+IFERROR(IF(Z336="",0,Z336),"0")+IFERROR(IF(Z337="",0,Z337),"0")</f>
        <v>3.2615099999999999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1050</v>
      </c>
      <c r="Y339" s="543">
        <f>IFERROR(SUM(Y335:Y337),"0")</f>
        <v>1052.1000000000001</v>
      </c>
      <c r="Z339" s="37"/>
      <c r="AA339" s="544"/>
      <c r="AB339" s="544"/>
      <c r="AC339" s="544"/>
    </row>
    <row r="340" spans="1:68" ht="27.75" customHeight="1" x14ac:dyDescent="0.2">
      <c r="A340" s="638" t="s">
        <v>539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600</v>
      </c>
      <c r="Y343" s="542">
        <f t="shared" ref="Y343:Y349" si="31">IFERROR(IF(X343="",0,CEILING((X343/$H343),1)*$H343),"")</f>
        <v>600</v>
      </c>
      <c r="Z343" s="36">
        <f>IFERROR(IF(Y343=0,"",ROUNDUP(Y343/H343,0)*0.02175),"")</f>
        <v>0.86999999999999988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618.79999999999995</v>
      </c>
      <c r="BN343" s="64">
        <f t="shared" ref="BN343:BN349" si="33">IFERROR(Y343*I343/H343,"0")</f>
        <v>618.79999999999995</v>
      </c>
      <c r="BO343" s="64">
        <f t="shared" ref="BO343:BO349" si="34">IFERROR(1/J343*(X343/H343),"0")</f>
        <v>0.83333333333333326</v>
      </c>
      <c r="BP343" s="64">
        <f t="shared" ref="BP343:BP349" si="35">IFERROR(1/J343*(Y343/H343),"0")</f>
        <v>0.83333333333333326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500</v>
      </c>
      <c r="Y344" s="542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2300</v>
      </c>
      <c r="Y345" s="542">
        <f t="shared" si="31"/>
        <v>2310</v>
      </c>
      <c r="Z345" s="36">
        <f>IFERROR(IF(Y345=0,"",ROUNDUP(Y345/H345,0)*0.02175),"")</f>
        <v>3.3494999999999999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2372.0666666666666</v>
      </c>
      <c r="BN345" s="64">
        <f t="shared" si="33"/>
        <v>2382.38</v>
      </c>
      <c r="BO345" s="64">
        <f t="shared" si="34"/>
        <v>3.1944444444444446</v>
      </c>
      <c r="BP345" s="64">
        <f t="shared" si="35"/>
        <v>3.208333333333333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1"/>
        <v>210</v>
      </c>
      <c r="Z346" s="36">
        <f>IFERROR(IF(Y346=0,"",ROUNDUP(Y346/H346,0)*0.02175),"")</f>
        <v>0.30449999999999999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206.26666666666668</v>
      </c>
      <c r="BN346" s="64">
        <f t="shared" si="33"/>
        <v>216.58</v>
      </c>
      <c r="BO346" s="64">
        <f t="shared" si="34"/>
        <v>0.27777777777777779</v>
      </c>
      <c r="BP346" s="64">
        <f t="shared" si="35"/>
        <v>0.29166666666666663</v>
      </c>
    </row>
    <row r="347" spans="1:68" ht="27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20</v>
      </c>
      <c r="Y349" s="542">
        <f t="shared" si="31"/>
        <v>20</v>
      </c>
      <c r="Z349" s="36">
        <f>IFERROR(IF(Y349=0,"",ROUNDUP(Y349/H349,0)*0.00902),"")</f>
        <v>3.6080000000000001E-2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20.76</v>
      </c>
      <c r="BN349" s="64">
        <f t="shared" si="33"/>
        <v>20.76</v>
      </c>
      <c r="BO349" s="64">
        <f t="shared" si="34"/>
        <v>3.0303030303030304E-2</v>
      </c>
      <c r="BP349" s="64">
        <f t="shared" si="35"/>
        <v>3.0303030303030304E-2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244.00000000000003</v>
      </c>
      <c r="Y350" s="543">
        <f>IFERROR(Y343/H343,"0")+IFERROR(Y344/H344,"0")+IFERROR(Y345/H345,"0")+IFERROR(Y346/H346,"0")+IFERROR(Y347/H347,"0")+IFERROR(Y348/H348,"0")+IFERROR(Y349/H349,"0")</f>
        <v>246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5.2995799999999997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3620</v>
      </c>
      <c r="Y351" s="543">
        <f>IFERROR(SUM(Y343:Y349),"0")</f>
        <v>3650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1700</v>
      </c>
      <c r="Y353" s="542">
        <f>IFERROR(IF(X353="",0,CEILING((X353/$H353),1)*$H353),"")</f>
        <v>1710</v>
      </c>
      <c r="Z353" s="36">
        <f>IFERROR(IF(Y353=0,"",ROUNDUP(Y353/H353,0)*0.02175),"")</f>
        <v>2.4794999999999998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1753.2666666666667</v>
      </c>
      <c r="BN353" s="64">
        <f>IFERROR(Y353*I353/H353,"0")</f>
        <v>1763.5800000000002</v>
      </c>
      <c r="BO353" s="64">
        <f>IFERROR(1/J353*(X353/H353),"0")</f>
        <v>2.3611111111111107</v>
      </c>
      <c r="BP353" s="64">
        <f>IFERROR(1/J353*(Y353/H353),"0")</f>
        <v>2.375</v>
      </c>
    </row>
    <row r="354" spans="1:68" ht="16.5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113.33333333333333</v>
      </c>
      <c r="Y355" s="543">
        <f>IFERROR(Y353/H353,"0")+IFERROR(Y354/H354,"0")</f>
        <v>114</v>
      </c>
      <c r="Z355" s="543">
        <f>IFERROR(IF(Z353="",0,Z353),"0")+IFERROR(IF(Z354="",0,Z354),"0")</f>
        <v>2.4794999999999998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1700</v>
      </c>
      <c r="Y356" s="543">
        <f>IFERROR(SUM(Y353:Y354),"0")</f>
        <v>1710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591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10</v>
      </c>
      <c r="Y387" s="542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10.351851851851851</v>
      </c>
      <c r="BN387" s="64">
        <f t="shared" si="38"/>
        <v>11.18</v>
      </c>
      <c r="BO387" s="64">
        <f t="shared" si="39"/>
        <v>1.4029180695847361E-2</v>
      </c>
      <c r="BP387" s="64">
        <f t="shared" si="40"/>
        <v>1.5151515151515152E-2</v>
      </c>
    </row>
    <row r="388" spans="1:68" ht="27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17.5</v>
      </c>
      <c r="Y389" s="542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49</v>
      </c>
      <c r="Y390" s="542">
        <f t="shared" si="36"/>
        <v>50.400000000000006</v>
      </c>
      <c r="Z390" s="36">
        <f t="shared" si="41"/>
        <v>0.12048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52.033333333333331</v>
      </c>
      <c r="BN390" s="64">
        <f t="shared" si="38"/>
        <v>53.52</v>
      </c>
      <c r="BO390" s="64">
        <f t="shared" si="39"/>
        <v>9.9715099715099717E-2</v>
      </c>
      <c r="BP390" s="64">
        <f t="shared" si="40"/>
        <v>0.10256410256410257</v>
      </c>
    </row>
    <row r="391" spans="1:68" ht="27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35</v>
      </c>
      <c r="Y392" s="542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50.185185185185183</v>
      </c>
      <c r="Y394" s="543">
        <f>IFERROR(Y385/H385,"0")+IFERROR(Y386/H386,"0")+IFERROR(Y387/H387,"0")+IFERROR(Y388/H388,"0")+IFERROR(Y389/H389,"0")+IFERROR(Y390/H390,"0")+IFERROR(Y391/H391,"0")+IFERROR(Y392/H392,"0")+IFERROR(Y393/H393,"0")</f>
        <v>52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0.26904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111.5</v>
      </c>
      <c r="Y395" s="543">
        <f>IFERROR(SUM(Y385:Y393),"0")</f>
        <v>115.80000000000001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642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53.314393939393938</v>
      </c>
      <c r="BN421" s="64">
        <f t="shared" ref="BN421:BN431" si="45">IFERROR(Y421*I421/H421,"0")</f>
        <v>56.3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</v>
      </c>
      <c r="Y423" s="542">
        <f t="shared" si="42"/>
        <v>100.32000000000001</v>
      </c>
      <c r="Z423" s="36">
        <f t="shared" si="43"/>
        <v>0.22724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27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130</v>
      </c>
      <c r="Y426" s="542">
        <f t="shared" si="42"/>
        <v>132</v>
      </c>
      <c r="Z426" s="36">
        <f t="shared" si="43"/>
        <v>0.29899999999999999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138.61742424242422</v>
      </c>
      <c r="BN426" s="64">
        <f t="shared" si="45"/>
        <v>140.75</v>
      </c>
      <c r="BO426" s="64">
        <f t="shared" si="46"/>
        <v>0.23674242424242425</v>
      </c>
      <c r="BP426" s="64">
        <f t="shared" si="47"/>
        <v>0.24038461538461539</v>
      </c>
    </row>
    <row r="427" spans="1:68" ht="27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132</v>
      </c>
      <c r="Y428" s="542">
        <f t="shared" si="42"/>
        <v>134.4</v>
      </c>
      <c r="Z428" s="36">
        <f>IFERROR(IF(Y428=0,"",ROUNDUP(Y428/H428,0)*0.00902),"")</f>
        <v>0.25256000000000001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190.02500000000001</v>
      </c>
      <c r="BN428" s="64">
        <f t="shared" si="45"/>
        <v>193.48000000000002</v>
      </c>
      <c r="BO428" s="64">
        <f t="shared" si="46"/>
        <v>0.20833333333333334</v>
      </c>
      <c r="BP428" s="64">
        <f t="shared" si="47"/>
        <v>0.21212121212121215</v>
      </c>
    </row>
    <row r="429" spans="1:68" ht="27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270</v>
      </c>
      <c r="Y431" s="542">
        <f t="shared" si="42"/>
        <v>273.59999999999997</v>
      </c>
      <c r="Z431" s="36">
        <f>IFERROR(IF(Y431=0,"",ROUNDUP(Y431/H431,0)*0.00902),"")</f>
        <v>0.51414000000000004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388.6875</v>
      </c>
      <c r="BN431" s="64">
        <f t="shared" si="45"/>
        <v>393.86999999999995</v>
      </c>
      <c r="BO431" s="64">
        <f t="shared" si="46"/>
        <v>0.42613636363636365</v>
      </c>
      <c r="BP431" s="64">
        <f t="shared" si="47"/>
        <v>0.43181818181818177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136.78030303030303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1.4125399999999999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682</v>
      </c>
      <c r="Y433" s="543">
        <f>IFERROR(SUM(Y421:Y431),"0")</f>
        <v>693.11999999999989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130</v>
      </c>
      <c r="Y435" s="542">
        <f>IFERROR(IF(X435="",0,CEILING((X435/$H435),1)*$H435),"")</f>
        <v>132</v>
      </c>
      <c r="Z435" s="36">
        <f>IFERROR(IF(Y435=0,"",ROUNDUP(Y435/H435,0)*0.01196),"")</f>
        <v>0.29899999999999999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138.61742424242422</v>
      </c>
      <c r="BN435" s="64">
        <f>IFERROR(Y435*I435/H435,"0")</f>
        <v>140.75</v>
      </c>
      <c r="BO435" s="64">
        <f>IFERROR(1/J435*(X435/H435),"0")</f>
        <v>0.23674242424242425</v>
      </c>
      <c r="BP435" s="64">
        <f>IFERROR(1/J435*(Y435/H435),"0")</f>
        <v>0.24038461538461539</v>
      </c>
    </row>
    <row r="436" spans="1:68" ht="16.5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24.621212121212121</v>
      </c>
      <c r="Y438" s="543">
        <f>IFERROR(Y435/H435,"0")+IFERROR(Y436/H436,"0")+IFERROR(Y437/H437,"0")</f>
        <v>25</v>
      </c>
      <c r="Z438" s="543">
        <f>IFERROR(IF(Z435="",0,Z435),"0")+IFERROR(IF(Z436="",0,Z436),"0")+IFERROR(IF(Z437="",0,Z437),"0")</f>
        <v>0.29899999999999999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130</v>
      </c>
      <c r="Y439" s="543">
        <f>IFERROR(SUM(Y435:Y437),"0")</f>
        <v>132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70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74.640151515151501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0.12747668997668998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40</v>
      </c>
      <c r="Y443" s="542">
        <f t="shared" si="48"/>
        <v>42.24</v>
      </c>
      <c r="Z443" s="36">
        <f>IFERROR(IF(Y443=0,"",ROUNDUP(Y443/H443,0)*0.01196),"")</f>
        <v>9.5680000000000001E-2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42.651515151515149</v>
      </c>
      <c r="BN443" s="64">
        <f t="shared" si="50"/>
        <v>45.04</v>
      </c>
      <c r="BO443" s="64">
        <f t="shared" si="51"/>
        <v>7.2843822843822847E-2</v>
      </c>
      <c r="BP443" s="64">
        <f t="shared" si="52"/>
        <v>7.6923076923076927E-2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132</v>
      </c>
      <c r="Y444" s="542">
        <f t="shared" si="48"/>
        <v>134.4</v>
      </c>
      <c r="Z444" s="36">
        <f>IFERROR(IF(Y444=0,"",ROUNDUP(Y444/H444,0)*0.00902),"")</f>
        <v>0.25256000000000001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190.02500000000001</v>
      </c>
      <c r="BN444" s="64">
        <f t="shared" si="50"/>
        <v>193.48000000000002</v>
      </c>
      <c r="BO444" s="64">
        <f t="shared" si="51"/>
        <v>0.20833333333333334</v>
      </c>
      <c r="BP444" s="64">
        <f t="shared" si="52"/>
        <v>0.21212121212121215</v>
      </c>
    </row>
    <row r="445" spans="1:68" ht="27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67.27272727272728</v>
      </c>
      <c r="Y447" s="543">
        <f>IFERROR(Y441/H441,"0")+IFERROR(Y442/H442,"0")+IFERROR(Y443/H443,"0")+IFERROR(Y444/H444,"0")+IFERROR(Y445/H445,"0")+IFERROR(Y446/H446,"0")</f>
        <v>69</v>
      </c>
      <c r="Z447" s="543">
        <f>IFERROR(IF(Z441="",0,Z441),"0")+IFERROR(IF(Z442="",0,Z442),"0")+IFERROR(IF(Z443="",0,Z443),"0")+IFERROR(IF(Z444="",0,Z444),"0")+IFERROR(IF(Z445="",0,Z445),"0")+IFERROR(IF(Z446="",0,Z446),"0")</f>
        <v>0.74292000000000002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342</v>
      </c>
      <c r="Y448" s="543">
        <f>IFERROR(SUM(Y441:Y446),"0")</f>
        <v>350.88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702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1000</v>
      </c>
      <c r="Y476" s="542">
        <f>IFERROR(IF(X476="",0,CEILING((X476/$H476),1)*$H476),"")</f>
        <v>1008</v>
      </c>
      <c r="Z476" s="36">
        <f>IFERROR(IF(Y476=0,"",ROUNDUP(Y476/H476,0)*0.01898),"")</f>
        <v>2.1257600000000001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1054.8888888888889</v>
      </c>
      <c r="BN476" s="64">
        <f>IFERROR(Y476*I476/H476,"0")</f>
        <v>1063.328</v>
      </c>
      <c r="BO476" s="64">
        <f>IFERROR(1/J476*(X476/H476),"0")</f>
        <v>1.7361111111111112</v>
      </c>
      <c r="BP476" s="64">
        <f>IFERROR(1/J476*(Y476/H476),"0")</f>
        <v>1.75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111.11111111111111</v>
      </c>
      <c r="Y477" s="543">
        <f>IFERROR(Y476/H476,"0")</f>
        <v>112</v>
      </c>
      <c r="Z477" s="543">
        <f>IFERROR(IF(Z476="",0,Z476),"0")</f>
        <v>2.1257600000000001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1000</v>
      </c>
      <c r="Y478" s="543">
        <f>IFERROR(SUM(Y476:Y476),"0")</f>
        <v>1008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30</v>
      </c>
      <c r="Y480" s="542">
        <f>IFERROR(IF(X480="",0,CEILING((X480/$H480),1)*$H480),"")</f>
        <v>36</v>
      </c>
      <c r="Z480" s="36">
        <f>IFERROR(IF(Y480=0,"",ROUNDUP(Y480/H480,0)*0.01898),"")</f>
        <v>7.5920000000000001E-2</v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31.366666666666667</v>
      </c>
      <c r="BN480" s="64">
        <f>IFERROR(Y480*I480/H480,"0")</f>
        <v>37.64</v>
      </c>
      <c r="BO480" s="64">
        <f>IFERROR(1/J480*(X480/H480),"0")</f>
        <v>5.2083333333333336E-2</v>
      </c>
      <c r="BP480" s="64">
        <f>IFERROR(1/J480*(Y480/H480),"0")</f>
        <v>6.25E-2</v>
      </c>
    </row>
    <row r="481" spans="1:68" ht="27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3.3333333333333335</v>
      </c>
      <c r="Y482" s="543">
        <f>IFERROR(Y480/H480,"0")+IFERROR(Y481/H481,"0")</f>
        <v>4</v>
      </c>
      <c r="Z482" s="543">
        <f>IFERROR(IF(Z480="",0,Z480),"0")+IFERROR(IF(Z481="",0,Z481),"0")</f>
        <v>7.5920000000000001E-2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30</v>
      </c>
      <c r="Y483" s="543">
        <f>IFERROR(SUM(Y480:Y481),"0")</f>
        <v>36</v>
      </c>
      <c r="Z483" s="37"/>
      <c r="AA483" s="544"/>
      <c r="AB483" s="544"/>
      <c r="AC483" s="544"/>
    </row>
    <row r="484" spans="1:68" ht="16.5" customHeight="1" x14ac:dyDescent="0.25">
      <c r="A484" s="559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742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14709.55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14884.9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743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15708.078522765018</v>
      </c>
      <c r="Y490" s="543">
        <f>IFERROR(SUM(BN22:BN486),"0")</f>
        <v>15895.809999999996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744</v>
      </c>
      <c r="Q491" s="633"/>
      <c r="R491" s="633"/>
      <c r="S491" s="633"/>
      <c r="T491" s="633"/>
      <c r="U491" s="633"/>
      <c r="V491" s="634"/>
      <c r="W491" s="37" t="s">
        <v>745</v>
      </c>
      <c r="X491" s="38">
        <f>ROUNDUP(SUM(BO22:BO486),0)</f>
        <v>26</v>
      </c>
      <c r="Y491" s="38">
        <f>ROUNDUP(SUM(BP22:BP486),0)</f>
        <v>26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746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16358.078522765018</v>
      </c>
      <c r="Y492" s="543">
        <f>GrossWeightTotalR+PalletQtyTotalR*25</f>
        <v>16545.809999999998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747</v>
      </c>
      <c r="Q493" s="633"/>
      <c r="R493" s="633"/>
      <c r="S493" s="633"/>
      <c r="T493" s="633"/>
      <c r="U493" s="633"/>
      <c r="V493" s="63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2908.8008698411004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2940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748</v>
      </c>
      <c r="Q494" s="633"/>
      <c r="R494" s="633"/>
      <c r="S494" s="633"/>
      <c r="T494" s="633"/>
      <c r="U494" s="633"/>
      <c r="V494" s="63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29.842009999999998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256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539</v>
      </c>
      <c r="T496" s="626"/>
      <c r="U496" s="593" t="s">
        <v>591</v>
      </c>
      <c r="V496" s="661"/>
      <c r="W496" s="626"/>
      <c r="X496" s="538" t="s">
        <v>642</v>
      </c>
      <c r="Y496" s="593" t="s">
        <v>702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751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221</v>
      </c>
      <c r="H497" s="593" t="s">
        <v>97</v>
      </c>
      <c r="I497" s="593" t="s">
        <v>257</v>
      </c>
      <c r="J497" s="593" t="s">
        <v>302</v>
      </c>
      <c r="K497" s="593" t="s">
        <v>362</v>
      </c>
      <c r="L497" s="593" t="s">
        <v>404</v>
      </c>
      <c r="M497" s="593" t="s">
        <v>420</v>
      </c>
      <c r="N497" s="539"/>
      <c r="O497" s="593" t="s">
        <v>431</v>
      </c>
      <c r="P497" s="593" t="s">
        <v>440</v>
      </c>
      <c r="Q497" s="593" t="s">
        <v>454</v>
      </c>
      <c r="R497" s="593" t="s">
        <v>529</v>
      </c>
      <c r="S497" s="593" t="s">
        <v>540</v>
      </c>
      <c r="T497" s="593" t="s">
        <v>575</v>
      </c>
      <c r="U497" s="593" t="s">
        <v>592</v>
      </c>
      <c r="V497" s="593" t="s">
        <v>623</v>
      </c>
      <c r="W497" s="593" t="s">
        <v>638</v>
      </c>
      <c r="X497" s="593" t="s">
        <v>642</v>
      </c>
      <c r="Y497" s="593" t="s">
        <v>702</v>
      </c>
      <c r="Z497" s="593" t="s">
        <v>738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686.7</v>
      </c>
      <c r="E499" s="46">
        <f>IFERROR(Y85*1,"0")+IFERROR(Y86*1,"0")+IFERROR(Y87*1,"0")+IFERROR(Y91*1,"0")+IFERROR(Y92*1,"0")+IFERROR(Y93*1,"0")+IFERROR(Y94*1,"0")</f>
        <v>1071.9000000000001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918.9</v>
      </c>
      <c r="G499" s="46">
        <f>IFERROR(Y124*1,"0")+IFERROR(Y125*1,"0")+IFERROR(Y129*1,"0")+IFERROR(Y130*1,"0")+IFERROR(Y134*1,"0")+IFERROR(Y135*1,"0")</f>
        <v>87.52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438.47999999999996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1455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92.8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232.8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804.90000000000009</v>
      </c>
      <c r="R499" s="46">
        <f>IFERROR(Y335*1,"0")+IFERROR(Y336*1,"0")+IFERROR(Y337*1,"0")</f>
        <v>1052.1000000000001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5360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115.80000000000001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1044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