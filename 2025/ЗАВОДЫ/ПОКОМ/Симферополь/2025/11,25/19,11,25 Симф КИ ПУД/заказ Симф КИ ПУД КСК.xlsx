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891095C9-8539-4B43-8F68-0046079D64E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Y433" i="1" s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Y370" i="1" s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50" i="1" s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Y338" i="1" s="1"/>
  <c r="P336" i="1"/>
  <c r="BP335" i="1"/>
  <c r="BO335" i="1"/>
  <c r="BN335" i="1"/>
  <c r="BM335" i="1"/>
  <c r="Z335" i="1"/>
  <c r="Y335" i="1"/>
  <c r="P335" i="1"/>
  <c r="X332" i="1"/>
  <c r="Y331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Y325" i="1" s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Y306" i="1" s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Y27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61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4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499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3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1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H9" i="1" l="1"/>
  <c r="A10" i="1"/>
  <c r="Y24" i="1"/>
  <c r="Z27" i="1"/>
  <c r="Z31" i="1" s="1"/>
  <c r="BN27" i="1"/>
  <c r="Z29" i="1"/>
  <c r="BN29" i="1"/>
  <c r="Y32" i="1"/>
  <c r="C499" i="1"/>
  <c r="Z41" i="1"/>
  <c r="Z43" i="1" s="1"/>
  <c r="BN41" i="1"/>
  <c r="Y44" i="1"/>
  <c r="D499" i="1"/>
  <c r="Y58" i="1"/>
  <c r="Z52" i="1"/>
  <c r="BN52" i="1"/>
  <c r="BP53" i="1"/>
  <c r="BN53" i="1"/>
  <c r="Z53" i="1"/>
  <c r="Y57" i="1"/>
  <c r="BP61" i="1"/>
  <c r="BN61" i="1"/>
  <c r="Z61" i="1"/>
  <c r="Z63" i="1" s="1"/>
  <c r="Y70" i="1"/>
  <c r="BP73" i="1"/>
  <c r="BN73" i="1"/>
  <c r="Z73" i="1"/>
  <c r="Z76" i="1" s="1"/>
  <c r="F9" i="1"/>
  <c r="J9" i="1"/>
  <c r="Z22" i="1"/>
  <c r="Z23" i="1" s="1"/>
  <c r="BN22" i="1"/>
  <c r="BP22" i="1"/>
  <c r="Y23" i="1"/>
  <c r="Y43" i="1"/>
  <c r="BP55" i="1"/>
  <c r="BN55" i="1"/>
  <c r="Z55" i="1"/>
  <c r="Z57" i="1" s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E499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BP107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9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3" i="1"/>
  <c r="Z172" i="1" s="1"/>
  <c r="BN163" i="1"/>
  <c r="Z165" i="1"/>
  <c r="BN165" i="1"/>
  <c r="Z167" i="1"/>
  <c r="BN167" i="1"/>
  <c r="Z169" i="1"/>
  <c r="BN169" i="1"/>
  <c r="Z171" i="1"/>
  <c r="BN171" i="1"/>
  <c r="Y172" i="1"/>
  <c r="Z175" i="1"/>
  <c r="Z178" i="1" s="1"/>
  <c r="BN175" i="1"/>
  <c r="BP175" i="1"/>
  <c r="Z177" i="1"/>
  <c r="BN177" i="1"/>
  <c r="Y178" i="1"/>
  <c r="Z181" i="1"/>
  <c r="Z182" i="1" s="1"/>
  <c r="BN181" i="1"/>
  <c r="BP181" i="1"/>
  <c r="Y182" i="1"/>
  <c r="Z186" i="1"/>
  <c r="Z188" i="1" s="1"/>
  <c r="BN186" i="1"/>
  <c r="BP186" i="1"/>
  <c r="Y189" i="1"/>
  <c r="Z192" i="1"/>
  <c r="Z193" i="1" s="1"/>
  <c r="BN192" i="1"/>
  <c r="BP192" i="1"/>
  <c r="Z196" i="1"/>
  <c r="BN196" i="1"/>
  <c r="BP196" i="1"/>
  <c r="Z198" i="1"/>
  <c r="BN198" i="1"/>
  <c r="Z200" i="1"/>
  <c r="BN200" i="1"/>
  <c r="Z202" i="1"/>
  <c r="BN202" i="1"/>
  <c r="Y205" i="1"/>
  <c r="Y216" i="1"/>
  <c r="Z208" i="1"/>
  <c r="Z216" i="1" s="1"/>
  <c r="BN208" i="1"/>
  <c r="Z210" i="1"/>
  <c r="BN210" i="1"/>
  <c r="Z212" i="1"/>
  <c r="BN212" i="1"/>
  <c r="Z214" i="1"/>
  <c r="BN214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Y103" i="1"/>
  <c r="Y126" i="1"/>
  <c r="Y160" i="1"/>
  <c r="Y188" i="1"/>
  <c r="Y236" i="1"/>
  <c r="BP226" i="1"/>
  <c r="BN226" i="1"/>
  <c r="Z226" i="1"/>
  <c r="Z235" i="1" s="1"/>
  <c r="BP230" i="1"/>
  <c r="BN230" i="1"/>
  <c r="Z230" i="1"/>
  <c r="K499" i="1"/>
  <c r="Z234" i="1"/>
  <c r="BN234" i="1"/>
  <c r="Y235" i="1"/>
  <c r="Z238" i="1"/>
  <c r="Z239" i="1" s="1"/>
  <c r="BN238" i="1"/>
  <c r="BP238" i="1"/>
  <c r="Y239" i="1"/>
  <c r="Z242" i="1"/>
  <c r="Z243" i="1" s="1"/>
  <c r="BN242" i="1"/>
  <c r="BP242" i="1"/>
  <c r="Y243" i="1"/>
  <c r="Z246" i="1"/>
  <c r="Z251" i="1" s="1"/>
  <c r="BN246" i="1"/>
  <c r="BP246" i="1"/>
  <c r="Z248" i="1"/>
  <c r="BN248" i="1"/>
  <c r="Z250" i="1"/>
  <c r="BN250" i="1"/>
  <c r="Y251" i="1"/>
  <c r="Z255" i="1"/>
  <c r="Z260" i="1" s="1"/>
  <c r="BN255" i="1"/>
  <c r="BP255" i="1"/>
  <c r="Z257" i="1"/>
  <c r="BN257" i="1"/>
  <c r="BP259" i="1"/>
  <c r="BN259" i="1"/>
  <c r="Z259" i="1"/>
  <c r="M499" i="1"/>
  <c r="Y269" i="1"/>
  <c r="BP264" i="1"/>
  <c r="BN264" i="1"/>
  <c r="Z264" i="1"/>
  <c r="Y268" i="1"/>
  <c r="Z275" i="1"/>
  <c r="BP273" i="1"/>
  <c r="BN273" i="1"/>
  <c r="Z273" i="1"/>
  <c r="Y286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6" i="1"/>
  <c r="Z331" i="1"/>
  <c r="BP329" i="1"/>
  <c r="BN329" i="1"/>
  <c r="Z329" i="1"/>
  <c r="BP344" i="1"/>
  <c r="BN344" i="1"/>
  <c r="Z344" i="1"/>
  <c r="Z350" i="1" s="1"/>
  <c r="BP349" i="1"/>
  <c r="BN349" i="1"/>
  <c r="Z349" i="1"/>
  <c r="Y351" i="1"/>
  <c r="Y356" i="1"/>
  <c r="BP353" i="1"/>
  <c r="BN353" i="1"/>
  <c r="Z353" i="1"/>
  <c r="Z355" i="1" s="1"/>
  <c r="Y360" i="1"/>
  <c r="BP374" i="1"/>
  <c r="BN374" i="1"/>
  <c r="Z374" i="1"/>
  <c r="Z375" i="1" s="1"/>
  <c r="Y376" i="1"/>
  <c r="Y381" i="1"/>
  <c r="BP378" i="1"/>
  <c r="BN378" i="1"/>
  <c r="Z378" i="1"/>
  <c r="Z380" i="1" s="1"/>
  <c r="U499" i="1"/>
  <c r="BP388" i="1"/>
  <c r="BN388" i="1"/>
  <c r="Z388" i="1"/>
  <c r="BP392" i="1"/>
  <c r="BN392" i="1"/>
  <c r="Z392" i="1"/>
  <c r="Y399" i="1"/>
  <c r="BP409" i="1"/>
  <c r="BN409" i="1"/>
  <c r="Z409" i="1"/>
  <c r="BP427" i="1"/>
  <c r="BN427" i="1"/>
  <c r="Z427" i="1"/>
  <c r="BP431" i="1"/>
  <c r="BN431" i="1"/>
  <c r="Z431" i="1"/>
  <c r="Y438" i="1"/>
  <c r="BP435" i="1"/>
  <c r="BN435" i="1"/>
  <c r="Z435" i="1"/>
  <c r="Y439" i="1"/>
  <c r="BP443" i="1"/>
  <c r="BN443" i="1"/>
  <c r="Z443" i="1"/>
  <c r="Y447" i="1"/>
  <c r="Z453" i="1"/>
  <c r="BP451" i="1"/>
  <c r="BN451" i="1"/>
  <c r="Z451" i="1"/>
  <c r="Y453" i="1"/>
  <c r="S499" i="1"/>
  <c r="L499" i="1"/>
  <c r="Y260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Z325" i="1"/>
  <c r="BP323" i="1"/>
  <c r="BN323" i="1"/>
  <c r="Z323" i="1"/>
  <c r="Z338" i="1"/>
  <c r="BP336" i="1"/>
  <c r="BN336" i="1"/>
  <c r="Z336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BP386" i="1"/>
  <c r="BN386" i="1"/>
  <c r="Z386" i="1"/>
  <c r="Z394" i="1" s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Z411" i="1" s="1"/>
  <c r="Y411" i="1"/>
  <c r="BP422" i="1"/>
  <c r="BN422" i="1"/>
  <c r="Z422" i="1"/>
  <c r="Z432" i="1" s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P499" i="1"/>
  <c r="Y281" i="1"/>
  <c r="R499" i="1"/>
  <c r="Y33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Z447" i="1" s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Z468" i="1" l="1"/>
  <c r="Z305" i="1"/>
  <c r="Z295" i="1"/>
  <c r="Z312" i="1"/>
  <c r="Z204" i="1"/>
  <c r="Y493" i="1"/>
  <c r="Y490" i="1"/>
  <c r="Y489" i="1"/>
  <c r="Z438" i="1"/>
  <c r="Z268" i="1"/>
  <c r="Y491" i="1"/>
  <c r="Z494" i="1"/>
  <c r="Y492" i="1" l="1"/>
</calcChain>
</file>

<file path=xl/sharedStrings.xml><?xml version="1.0" encoding="utf-8"?>
<sst xmlns="http://schemas.openxmlformats.org/spreadsheetml/2006/main" count="2152" uniqueCount="766">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</sst>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45982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Пятница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0.375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107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200</v>
      </c>
      <c r="Y41" s="542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customHeight="1" x14ac:dyDescent="0.25">
      <c r="A42" s="54" t="s">
        <v>108</v>
      </c>
      <c r="B42" s="54" t="s">
        <v>109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107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50</v>
      </c>
      <c r="Y43" s="543">
        <f>IFERROR(Y40/H40,"0")+IFERROR(Y41/H41,"0")+IFERROR(Y42/H42,"0")</f>
        <v>50</v>
      </c>
      <c r="Z43" s="543">
        <f>IFERROR(IF(Z40="",0,Z40),"0")+IFERROR(IF(Z41="",0,Z41),"0")+IFERROR(IF(Z42="",0,Z42),"0")</f>
        <v>0.45100000000000001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200</v>
      </c>
      <c r="Y44" s="543">
        <f>IFERROR(SUM(Y40:Y42),"0")</f>
        <v>200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110</v>
      </c>
      <c r="B46" s="54" t="s">
        <v>111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112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113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114</v>
      </c>
      <c r="B51" s="54" t="s">
        <v>115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116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117</v>
      </c>
      <c r="B52" s="54" t="s">
        <v>118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120</v>
      </c>
      <c r="B53" s="54" t="s">
        <v>121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123</v>
      </c>
      <c r="B54" s="54" t="s">
        <v>124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126</v>
      </c>
      <c r="B55" s="54" t="s">
        <v>127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132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133</v>
      </c>
      <c r="B60" s="54" t="s">
        <v>134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135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136</v>
      </c>
      <c r="B61" s="54" t="s">
        <v>137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135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138</v>
      </c>
      <c r="B62" s="54" t="s">
        <v>139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103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135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140</v>
      </c>
      <c r="B66" s="54" t="s">
        <v>141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142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143</v>
      </c>
      <c r="B67" s="54" t="s">
        <v>144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146</v>
      </c>
      <c r="B68" s="54" t="s">
        <v>147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148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149</v>
      </c>
      <c r="B72" s="54" t="s">
        <v>150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151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152</v>
      </c>
      <c r="B73" s="54" t="s">
        <v>153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154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155</v>
      </c>
      <c r="B74" s="54" t="s">
        <v>156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157</v>
      </c>
      <c r="B75" s="54" t="s">
        <v>158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160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161</v>
      </c>
      <c r="B79" s="54" t="s">
        <v>162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163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164</v>
      </c>
      <c r="B80" s="54" t="s">
        <v>165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107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167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168</v>
      </c>
      <c r="B85" s="54" t="s">
        <v>169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/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170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171</v>
      </c>
      <c r="B86" s="54" t="s">
        <v>172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107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173</v>
      </c>
      <c r="B87" s="54" t="s">
        <v>174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107</v>
      </c>
      <c r="L87" s="32"/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675</v>
      </c>
      <c r="Y87" s="542">
        <f>IFERROR(IF(X87="",0,CEILING((X87/$H87),1)*$H87),"")</f>
        <v>675</v>
      </c>
      <c r="Z87" s="36">
        <f>IFERROR(IF(Y87=0,"",ROUNDUP(Y87/H87,0)*0.00902),"")</f>
        <v>1.353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703.50000000000011</v>
      </c>
      <c r="BN87" s="64">
        <f>IFERROR(Y87*I87/H87,"0")</f>
        <v>703.50000000000011</v>
      </c>
      <c r="BO87" s="64">
        <f>IFERROR(1/J87*(X87/H87),"0")</f>
        <v>1.1363636363636365</v>
      </c>
      <c r="BP87" s="64">
        <f>IFERROR(1/J87*(Y87/H87),"0")</f>
        <v>1.1363636363636365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150</v>
      </c>
      <c r="Y88" s="543">
        <f>IFERROR(Y85/H85,"0")+IFERROR(Y86/H86,"0")+IFERROR(Y87/H87,"0")</f>
        <v>150</v>
      </c>
      <c r="Z88" s="543">
        <f>IFERROR(IF(Z85="",0,Z85),"0")+IFERROR(IF(Z86="",0,Z86),"0")+IFERROR(IF(Z87="",0,Z87),"0")</f>
        <v>1.353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675</v>
      </c>
      <c r="Y89" s="543">
        <f>IFERROR(SUM(Y85:Y87),"0")</f>
        <v>675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175</v>
      </c>
      <c r="B91" s="54" t="s">
        <v>176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/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177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178</v>
      </c>
      <c r="B92" s="54" t="s">
        <v>179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361.8</v>
      </c>
      <c r="Y93" s="542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177</v>
      </c>
      <c r="AG93" s="64"/>
      <c r="AJ93" s="68"/>
      <c r="AK93" s="68">
        <v>0</v>
      </c>
      <c r="BB93" s="138" t="s">
        <v>1</v>
      </c>
      <c r="BM93" s="64">
        <f>IFERROR(X93*I93/H93,"0")</f>
        <v>395.56799999999998</v>
      </c>
      <c r="BN93" s="64">
        <f>IFERROR(Y93*I93/H93,"0")</f>
        <v>395.56799999999998</v>
      </c>
      <c r="BO93" s="64">
        <f>IFERROR(1/J93*(X93/H93),"0")</f>
        <v>0.73626373626373631</v>
      </c>
      <c r="BP93" s="64">
        <f>IFERROR(1/J93*(Y93/H93),"0")</f>
        <v>0.73626373626373631</v>
      </c>
    </row>
    <row r="94" spans="1:68" ht="16.5" customHeight="1" x14ac:dyDescent="0.25">
      <c r="A94" s="54" t="s">
        <v>183</v>
      </c>
      <c r="B94" s="54" t="s">
        <v>184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134</v>
      </c>
      <c r="Y95" s="543">
        <f>IFERROR(Y91/H91,"0")+IFERROR(Y92/H92,"0")+IFERROR(Y93/H93,"0")+IFERROR(Y94/H94,"0")</f>
        <v>134</v>
      </c>
      <c r="Z95" s="543">
        <f>IFERROR(IF(Z91="",0,Z91),"0")+IFERROR(IF(Z92="",0,Z92),"0")+IFERROR(IF(Z93="",0,Z93),"0")+IFERROR(IF(Z94="",0,Z94),"0")</f>
        <v>0.87234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361.8</v>
      </c>
      <c r="Y96" s="543">
        <f>IFERROR(SUM(Y91:Y94),"0")</f>
        <v>361.8</v>
      </c>
      <c r="Z96" s="37"/>
      <c r="AA96" s="544"/>
      <c r="AB96" s="544"/>
      <c r="AC96" s="544"/>
    </row>
    <row r="97" spans="1:68" ht="16.5" customHeight="1" x14ac:dyDescent="0.25">
      <c r="A97" s="559" t="s">
        <v>186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187</v>
      </c>
      <c r="B99" s="54" t="s">
        <v>188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189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190</v>
      </c>
      <c r="B100" s="54" t="s">
        <v>191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107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189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192</v>
      </c>
      <c r="B101" s="54" t="s">
        <v>193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107</v>
      </c>
      <c r="L101" s="32" t="s">
        <v>194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675</v>
      </c>
      <c r="Y101" s="542">
        <f>IFERROR(IF(X101="",0,CEILING((X101/$H101),1)*$H101),"")</f>
        <v>675</v>
      </c>
      <c r="Z101" s="36">
        <f>IFERROR(IF(Y101=0,"",ROUNDUP(Y101/H101,0)*0.00902),"")</f>
        <v>1.353</v>
      </c>
      <c r="AA101" s="56"/>
      <c r="AB101" s="57"/>
      <c r="AC101" s="145" t="s">
        <v>189</v>
      </c>
      <c r="AG101" s="64"/>
      <c r="AJ101" s="68" t="s">
        <v>195</v>
      </c>
      <c r="AK101" s="68">
        <v>54</v>
      </c>
      <c r="BB101" s="146" t="s">
        <v>1</v>
      </c>
      <c r="BM101" s="64">
        <f>IFERROR(X101*I101/H101,"0")</f>
        <v>703.50000000000011</v>
      </c>
      <c r="BN101" s="64">
        <f>IFERROR(Y101*I101/H101,"0")</f>
        <v>703.50000000000011</v>
      </c>
      <c r="BO101" s="64">
        <f>IFERROR(1/J101*(X101/H101),"0")</f>
        <v>1.1363636363636365</v>
      </c>
      <c r="BP101" s="64">
        <f>IFERROR(1/J101*(Y101/H101),"0")</f>
        <v>1.1363636363636365</v>
      </c>
    </row>
    <row r="102" spans="1:68" ht="37.5" customHeight="1" x14ac:dyDescent="0.25">
      <c r="A102" s="54" t="s">
        <v>196</v>
      </c>
      <c r="B102" s="54" t="s">
        <v>197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107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189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150</v>
      </c>
      <c r="Y103" s="543">
        <f>IFERROR(Y99/H99,"0")+IFERROR(Y100/H100,"0")+IFERROR(Y101/H101,"0")+IFERROR(Y102/H102,"0")</f>
        <v>150</v>
      </c>
      <c r="Z103" s="543">
        <f>IFERROR(IF(Z99="",0,Z99),"0")+IFERROR(IF(Z100="",0,Z100),"0")+IFERROR(IF(Z101="",0,Z101),"0")+IFERROR(IF(Z102="",0,Z102),"0")</f>
        <v>1.353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675</v>
      </c>
      <c r="Y104" s="543">
        <f>IFERROR(SUM(Y99:Y102),"0")</f>
        <v>675</v>
      </c>
      <c r="Z104" s="37"/>
      <c r="AA104" s="544"/>
      <c r="AB104" s="544"/>
      <c r="AC104" s="544"/>
    </row>
    <row r="105" spans="1:68" ht="14.25" customHeight="1" x14ac:dyDescent="0.25">
      <c r="A105" s="558" t="s">
        <v>132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103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201</v>
      </c>
      <c r="B107" s="54" t="s">
        <v>202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103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103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205</v>
      </c>
      <c r="B112" s="54" t="s">
        <v>206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/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207</v>
      </c>
      <c r="AG112" s="64"/>
      <c r="AJ112" s="68"/>
      <c r="AK112" s="68">
        <v>0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208</v>
      </c>
      <c r="B113" s="54" t="s">
        <v>209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210</v>
      </c>
      <c r="B114" s="54" t="s">
        <v>211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212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207</v>
      </c>
      <c r="AG114" s="64"/>
      <c r="AJ114" s="68" t="s">
        <v>195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8" t="s">
        <v>160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219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103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107</v>
      </c>
      <c r="L141" s="32"/>
      <c r="M141" s="33" t="s">
        <v>103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237</v>
      </c>
      <c r="B142" s="54" t="s">
        <v>238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103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239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240</v>
      </c>
      <c r="B146" s="54" t="s">
        <v>241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103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243</v>
      </c>
      <c r="B147" s="54" t="s">
        <v>244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246</v>
      </c>
      <c r="B148" s="54" t="s">
        <v>247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249</v>
      </c>
      <c r="B152" s="54" t="s">
        <v>250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251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252</v>
      </c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254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132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259</v>
      </c>
      <c r="B162" s="54" t="s">
        <v>260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261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252</v>
      </c>
      <c r="AC162" s="193" t="s">
        <v>262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107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107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107</v>
      </c>
      <c r="L165" s="32"/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268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/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271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296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299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103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103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132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103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103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107</v>
      </c>
      <c r="L196" s="32"/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/>
      <c r="AK196" s="68">
        <v>0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107</v>
      </c>
      <c r="L197" s="32"/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107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107</v>
      </c>
      <c r="L199" s="32"/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324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195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325</v>
      </c>
      <c r="B201" s="54" t="s">
        <v>326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327</v>
      </c>
      <c r="B202" s="54" t="s">
        <v>328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90</v>
      </c>
      <c r="Y202" s="542">
        <f t="shared" si="10"/>
        <v>90</v>
      </c>
      <c r="Z202" s="36">
        <f>IFERROR(IF(Y202=0,"",ROUNDUP(Y202/H202,0)*0.00502),"")</f>
        <v>0.251</v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95</v>
      </c>
      <c r="BN202" s="64">
        <f t="shared" si="12"/>
        <v>95</v>
      </c>
      <c r="BO202" s="64">
        <f t="shared" si="13"/>
        <v>0.21367521367521369</v>
      </c>
      <c r="BP202" s="64">
        <f t="shared" si="14"/>
        <v>0.21367521367521369</v>
      </c>
    </row>
    <row r="203" spans="1:68" ht="27" customHeight="1" x14ac:dyDescent="0.25">
      <c r="A203" s="54" t="s">
        <v>329</v>
      </c>
      <c r="B203" s="54" t="s">
        <v>330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50</v>
      </c>
      <c r="Y204" s="543">
        <f>IFERROR(Y196/H196,"0")+IFERROR(Y197/H197,"0")+IFERROR(Y198/H198,"0")+IFERROR(Y199/H199,"0")+IFERROR(Y200/H200,"0")+IFERROR(Y201/H201,"0")+IFERROR(Y202/H202,"0")+IFERROR(Y203/H203,"0")</f>
        <v>50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0.251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90</v>
      </c>
      <c r="Y205" s="543">
        <f>IFERROR(SUM(Y196:Y203),"0")</f>
        <v>90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331</v>
      </c>
      <c r="B207" s="54" t="s">
        <v>332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/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339</v>
      </c>
      <c r="AG209" s="64"/>
      <c r="AJ209" s="68"/>
      <c r="AK209" s="68">
        <v>0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212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240</v>
      </c>
      <c r="Y210" s="542">
        <f t="shared" si="15"/>
        <v>240</v>
      </c>
      <c r="Z210" s="36">
        <f t="shared" ref="Z210:Z215" si="20">IFERROR(IF(Y210=0,"",ROUNDUP(Y210/H210,0)*0.00651),"")</f>
        <v>0.65100000000000002</v>
      </c>
      <c r="AA210" s="56"/>
      <c r="AB210" s="57"/>
      <c r="AC210" s="251" t="s">
        <v>333</v>
      </c>
      <c r="AG210" s="64"/>
      <c r="AJ210" s="68" t="s">
        <v>195</v>
      </c>
      <c r="AK210" s="68">
        <v>33.6</v>
      </c>
      <c r="BB210" s="252" t="s">
        <v>1</v>
      </c>
      <c r="BM210" s="64">
        <f t="shared" si="16"/>
        <v>267</v>
      </c>
      <c r="BN210" s="64">
        <f t="shared" si="17"/>
        <v>267</v>
      </c>
      <c r="BO210" s="64">
        <f t="shared" si="18"/>
        <v>0.5494505494505495</v>
      </c>
      <c r="BP210" s="64">
        <f t="shared" si="19"/>
        <v>0.5494505494505495</v>
      </c>
    </row>
    <row r="211" spans="1:68" ht="27" customHeight="1" x14ac:dyDescent="0.25">
      <c r="A211" s="54" t="s">
        <v>342</v>
      </c>
      <c r="B211" s="54" t="s">
        <v>343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344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345</v>
      </c>
      <c r="B212" s="54" t="s">
        <v>346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212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201.6</v>
      </c>
      <c r="Y212" s="542">
        <f t="shared" si="15"/>
        <v>201.6</v>
      </c>
      <c r="Z212" s="36">
        <f t="shared" si="20"/>
        <v>0.54683999999999999</v>
      </c>
      <c r="AA212" s="56"/>
      <c r="AB212" s="57"/>
      <c r="AC212" s="255" t="s">
        <v>339</v>
      </c>
      <c r="AG212" s="64"/>
      <c r="AJ212" s="68" t="s">
        <v>195</v>
      </c>
      <c r="AK212" s="68">
        <v>33.6</v>
      </c>
      <c r="BB212" s="256" t="s">
        <v>1</v>
      </c>
      <c r="BM212" s="64">
        <f t="shared" si="16"/>
        <v>222.768</v>
      </c>
      <c r="BN212" s="64">
        <f t="shared" si="17"/>
        <v>222.768</v>
      </c>
      <c r="BO212" s="64">
        <f t="shared" si="18"/>
        <v>0.46153846153846156</v>
      </c>
      <c r="BP212" s="64">
        <f t="shared" si="19"/>
        <v>0.46153846153846156</v>
      </c>
    </row>
    <row r="213" spans="1:68" ht="27" customHeight="1" x14ac:dyDescent="0.25">
      <c r="A213" s="54" t="s">
        <v>347</v>
      </c>
      <c r="B213" s="54" t="s">
        <v>348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339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/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351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352</v>
      </c>
      <c r="B215" s="54" t="s">
        <v>353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/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336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184</v>
      </c>
      <c r="Y216" s="543">
        <f>IFERROR(Y207/H207,"0")+IFERROR(Y208/H208,"0")+IFERROR(Y209/H209,"0")+IFERROR(Y210/H210,"0")+IFERROR(Y211/H211,"0")+IFERROR(Y212/H212,"0")+IFERROR(Y213/H213,"0")+IFERROR(Y214/H214,"0")+IFERROR(Y215/H215,"0")</f>
        <v>184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1.19784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441.6</v>
      </c>
      <c r="Y217" s="543">
        <f>IFERROR(SUM(Y207:Y215),"0")</f>
        <v>441.6</v>
      </c>
      <c r="Z217" s="37"/>
      <c r="AA217" s="544"/>
      <c r="AB217" s="544"/>
      <c r="AC217" s="544"/>
    </row>
    <row r="218" spans="1:68" ht="14.25" customHeight="1" x14ac:dyDescent="0.25">
      <c r="A218" s="558" t="s">
        <v>160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354</v>
      </c>
      <c r="B219" s="54" t="s">
        <v>355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357</v>
      </c>
      <c r="B220" s="54" t="s">
        <v>358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359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360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361</v>
      </c>
      <c r="B225" s="54" t="s">
        <v>362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103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103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103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369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370</v>
      </c>
      <c r="B228" s="54" t="s">
        <v>371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107</v>
      </c>
      <c r="L228" s="32"/>
      <c r="M228" s="33" t="s">
        <v>103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363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372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107</v>
      </c>
      <c r="L229" s="32"/>
      <c r="M229" s="33" t="s">
        <v>103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107</v>
      </c>
      <c r="L230" s="32"/>
      <c r="M230" s="33" t="s">
        <v>103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375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376</v>
      </c>
      <c r="B231" s="54" t="s">
        <v>377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107</v>
      </c>
      <c r="L231" s="32"/>
      <c r="M231" s="33" t="s">
        <v>103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103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380</v>
      </c>
      <c r="B233" s="54" t="s">
        <v>381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107</v>
      </c>
      <c r="L233" s="32"/>
      <c r="M233" s="33" t="s">
        <v>103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369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380</v>
      </c>
      <c r="B234" s="54" t="s">
        <v>382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107</v>
      </c>
      <c r="L234" s="32"/>
      <c r="M234" s="33" t="s">
        <v>103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369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132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383</v>
      </c>
      <c r="B238" s="54" t="s">
        <v>384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39.6</v>
      </c>
      <c r="Y238" s="542">
        <f>IFERROR(IF(X238="",0,CEILING((X238/$H238),1)*$H238),"")</f>
        <v>39.6</v>
      </c>
      <c r="Z238" s="36">
        <f>IFERROR(IF(Y238=0,"",ROUNDUP(Y238/H238,0)*0.00502),"")</f>
        <v>0.1004</v>
      </c>
      <c r="AA238" s="56"/>
      <c r="AB238" s="57"/>
      <c r="AC238" s="287" t="s">
        <v>385</v>
      </c>
      <c r="AG238" s="64"/>
      <c r="AJ238" s="68"/>
      <c r="AK238" s="68">
        <v>0</v>
      </c>
      <c r="BB238" s="288" t="s">
        <v>1</v>
      </c>
      <c r="BM238" s="64">
        <f>IFERROR(X238*I238/H238,"0")</f>
        <v>41.600000000000009</v>
      </c>
      <c r="BN238" s="64">
        <f>IFERROR(Y238*I238/H238,"0")</f>
        <v>41.600000000000009</v>
      </c>
      <c r="BO238" s="64">
        <f>IFERROR(1/J238*(X238/H238),"0")</f>
        <v>8.5470085470085472E-2</v>
      </c>
      <c r="BP238" s="64">
        <f>IFERROR(1/J238*(Y238/H238),"0")</f>
        <v>8.5470085470085472E-2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20</v>
      </c>
      <c r="Y239" s="543">
        <f>IFERROR(Y238/H238,"0")</f>
        <v>20</v>
      </c>
      <c r="Z239" s="543">
        <f>IFERROR(IF(Z238="",0,Z238),"0")</f>
        <v>0.1004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39.6</v>
      </c>
      <c r="Y240" s="543">
        <f>IFERROR(SUM(Y238:Y238),"0")</f>
        <v>39.6</v>
      </c>
      <c r="Z240" s="37"/>
      <c r="AA240" s="544"/>
      <c r="AB240" s="544"/>
      <c r="AC240" s="544"/>
    </row>
    <row r="241" spans="1:68" ht="14.25" customHeight="1" x14ac:dyDescent="0.25">
      <c r="A241" s="558" t="s">
        <v>386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387</v>
      </c>
      <c r="B242" s="54" t="s">
        <v>388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389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390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391</v>
      </c>
      <c r="B246" s="54" t="s">
        <v>392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393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394</v>
      </c>
      <c r="B247" s="54" t="s">
        <v>395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393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396</v>
      </c>
      <c r="B248" s="54" t="s">
        <v>397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393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398</v>
      </c>
      <c r="B249" s="54" t="s">
        <v>399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393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400</v>
      </c>
      <c r="B250" s="54" t="s">
        <v>401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393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402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403</v>
      </c>
      <c r="B255" s="54" t="s">
        <v>404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103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406</v>
      </c>
      <c r="B256" s="54" t="s">
        <v>407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103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103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412</v>
      </c>
      <c r="B258" s="54" t="s">
        <v>413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107</v>
      </c>
      <c r="L258" s="32"/>
      <c r="M258" s="33" t="s">
        <v>103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415</v>
      </c>
      <c r="B259" s="54" t="s">
        <v>416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107</v>
      </c>
      <c r="L259" s="32"/>
      <c r="M259" s="33" t="s">
        <v>103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417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418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419</v>
      </c>
      <c r="B264" s="54" t="s">
        <v>420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104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421</v>
      </c>
      <c r="B265" s="54" t="s">
        <v>422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423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424</v>
      </c>
      <c r="B266" s="54" t="s">
        <v>425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369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426</v>
      </c>
      <c r="B267" s="54" t="s">
        <v>427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103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428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429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430</v>
      </c>
      <c r="B272" s="54" t="s">
        <v>431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435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436</v>
      </c>
      <c r="B274" s="54" t="s">
        <v>437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432</v>
      </c>
      <c r="AG274" s="64"/>
      <c r="AJ274" s="68"/>
      <c r="AK274" s="68">
        <v>0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9" t="s">
        <v>438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439</v>
      </c>
      <c r="B279" s="54" t="s">
        <v>440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442</v>
      </c>
      <c r="B280" s="54" t="s">
        <v>443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444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445</v>
      </c>
      <c r="B284" s="54" t="s">
        <v>446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107</v>
      </c>
      <c r="L284" s="32"/>
      <c r="M284" s="33" t="s">
        <v>77</v>
      </c>
      <c r="N284" s="33"/>
      <c r="O284" s="32">
        <v>45</v>
      </c>
      <c r="P284" s="641" t="s">
        <v>447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252</v>
      </c>
      <c r="AC284" s="329" t="s">
        <v>448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449</v>
      </c>
      <c r="B285" s="54" t="s">
        <v>450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107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451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452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453</v>
      </c>
      <c r="B290" s="54" t="s">
        <v>454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456</v>
      </c>
      <c r="B291" s="54" t="s">
        <v>457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103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459</v>
      </c>
      <c r="B292" s="54" t="s">
        <v>460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462</v>
      </c>
      <c r="B293" s="54" t="s">
        <v>463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107</v>
      </c>
      <c r="L293" s="32"/>
      <c r="M293" s="33" t="s">
        <v>103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455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464</v>
      </c>
      <c r="B294" s="54" t="s">
        <v>465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107</v>
      </c>
      <c r="L294" s="32"/>
      <c r="M294" s="33" t="s">
        <v>103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466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467</v>
      </c>
      <c r="B298" s="54" t="s">
        <v>468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107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470</v>
      </c>
      <c r="B299" s="54" t="s">
        <v>471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107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472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473</v>
      </c>
      <c r="B300" s="54" t="s">
        <v>474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107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475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476</v>
      </c>
      <c r="B301" s="54" t="s">
        <v>477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472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478</v>
      </c>
      <c r="B302" s="54" t="s">
        <v>479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480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481</v>
      </c>
      <c r="B303" s="54" t="s">
        <v>482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483</v>
      </c>
      <c r="B304" s="54" t="s">
        <v>484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485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486</v>
      </c>
      <c r="B308" s="54" t="s">
        <v>487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489</v>
      </c>
      <c r="B309" s="54" t="s">
        <v>490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492</v>
      </c>
      <c r="B310" s="54" t="s">
        <v>493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495</v>
      </c>
      <c r="B311" s="54" t="s">
        <v>496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497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160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498</v>
      </c>
      <c r="B315" s="54" t="s">
        <v>499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500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501</v>
      </c>
      <c r="B316" s="54" t="s">
        <v>502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/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503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504</v>
      </c>
      <c r="B317" s="54" t="s">
        <v>505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506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507</v>
      </c>
      <c r="B321" s="54" t="s">
        <v>508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107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509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107</v>
      </c>
      <c r="L322" s="32"/>
      <c r="M322" s="33" t="s">
        <v>94</v>
      </c>
      <c r="N322" s="33"/>
      <c r="O322" s="32">
        <v>180</v>
      </c>
      <c r="P322" s="720" t="s">
        <v>512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515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516</v>
      </c>
      <c r="B324" s="54" t="s">
        <v>517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518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519</v>
      </c>
      <c r="B328" s="54" t="s">
        <v>520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521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522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523</v>
      </c>
      <c r="B329" s="54" t="s">
        <v>524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521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522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525</v>
      </c>
      <c r="B330" s="54" t="s">
        <v>526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521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522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527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528</v>
      </c>
      <c r="B335" s="54" t="s">
        <v>529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530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531</v>
      </c>
      <c r="B336" s="54" t="s">
        <v>532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212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533</v>
      </c>
      <c r="AG336" s="64"/>
      <c r="AJ336" s="68" t="s">
        <v>195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534</v>
      </c>
      <c r="B337" s="54" t="s">
        <v>535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212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536</v>
      </c>
      <c r="AG337" s="64"/>
      <c r="AJ337" s="68" t="s">
        <v>195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537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538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539</v>
      </c>
      <c r="B343" s="54" t="s">
        <v>540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541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customHeight="1" x14ac:dyDescent="0.25">
      <c r="A344" s="54" t="s">
        <v>542</v>
      </c>
      <c r="B344" s="54" t="s">
        <v>543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544</v>
      </c>
      <c r="AG344" s="64"/>
      <c r="AJ344" s="68"/>
      <c r="AK344" s="68">
        <v>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545</v>
      </c>
      <c r="B345" s="54" t="s">
        <v>546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548</v>
      </c>
      <c r="B346" s="54" t="s">
        <v>549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550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107</v>
      </c>
      <c r="L347" s="32"/>
      <c r="M347" s="33" t="s">
        <v>103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554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555</v>
      </c>
      <c r="B348" s="54" t="s">
        <v>556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557</v>
      </c>
      <c r="B349" s="54" t="s">
        <v>558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107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547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0</v>
      </c>
      <c r="Y350" s="543">
        <f>IFERROR(Y343/H343,"0")+IFERROR(Y344/H344,"0")+IFERROR(Y345/H345,"0")+IFERROR(Y346/H346,"0")+IFERROR(Y347/H347,"0")+IFERROR(Y348/H348,"0")+IFERROR(Y349/H349,"0")</f>
        <v>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0</v>
      </c>
      <c r="Y351" s="543">
        <f>IFERROR(SUM(Y343:Y349),"0")</f>
        <v>0</v>
      </c>
      <c r="Z351" s="37"/>
      <c r="AA351" s="544"/>
      <c r="AB351" s="544"/>
      <c r="AC351" s="544"/>
    </row>
    <row r="352" spans="1:68" ht="14.25" customHeight="1" x14ac:dyDescent="0.25">
      <c r="A352" s="558" t="s">
        <v>132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559</v>
      </c>
      <c r="B353" s="54" t="s">
        <v>560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/>
      <c r="M353" s="33" t="s">
        <v>103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150</v>
      </c>
      <c r="Y353" s="542">
        <f>IFERROR(IF(X353="",0,CEILING((X353/$H353),1)*$H353),"")</f>
        <v>150</v>
      </c>
      <c r="Z353" s="36">
        <f>IFERROR(IF(Y353=0,"",ROUNDUP(Y353/H353,0)*0.02175),"")</f>
        <v>0.21749999999999997</v>
      </c>
      <c r="AA353" s="56"/>
      <c r="AB353" s="57"/>
      <c r="AC353" s="405" t="s">
        <v>561</v>
      </c>
      <c r="AG353" s="64"/>
      <c r="AJ353" s="68"/>
      <c r="AK353" s="68">
        <v>0</v>
      </c>
      <c r="BB353" s="406" t="s">
        <v>1</v>
      </c>
      <c r="BM353" s="64">
        <f>IFERROR(X353*I353/H353,"0")</f>
        <v>154.69999999999999</v>
      </c>
      <c r="BN353" s="64">
        <f>IFERROR(Y353*I353/H353,"0")</f>
        <v>154.69999999999999</v>
      </c>
      <c r="BO353" s="64">
        <f>IFERROR(1/J353*(X353/H353),"0")</f>
        <v>0.20833333333333331</v>
      </c>
      <c r="BP353" s="64">
        <f>IFERROR(1/J353*(Y353/H353),"0")</f>
        <v>0.20833333333333331</v>
      </c>
    </row>
    <row r="354" spans="1:68" ht="16.5" customHeight="1" x14ac:dyDescent="0.25">
      <c r="A354" s="54" t="s">
        <v>562</v>
      </c>
      <c r="B354" s="54" t="s">
        <v>563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107</v>
      </c>
      <c r="L354" s="32"/>
      <c r="M354" s="33" t="s">
        <v>103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561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10</v>
      </c>
      <c r="Y355" s="543">
        <f>IFERROR(Y353/H353,"0")+IFERROR(Y354/H354,"0")</f>
        <v>10</v>
      </c>
      <c r="Z355" s="543">
        <f>IFERROR(IF(Z353="",0,Z353),"0")+IFERROR(IF(Z354="",0,Z354),"0")</f>
        <v>0.21749999999999997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150</v>
      </c>
      <c r="Y356" s="543">
        <f>IFERROR(SUM(Y353:Y354),"0")</f>
        <v>150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564</v>
      </c>
      <c r="B358" s="54" t="s">
        <v>565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566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567</v>
      </c>
      <c r="B359" s="54" t="s">
        <v>568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569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160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570</v>
      </c>
      <c r="B363" s="54" t="s">
        <v>571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572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573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574</v>
      </c>
      <c r="B368" s="54" t="s">
        <v>575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576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577</v>
      </c>
      <c r="B369" s="54" t="s">
        <v>578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107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576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579</v>
      </c>
      <c r="B373" s="54" t="s">
        <v>580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107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581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579</v>
      </c>
      <c r="B374" s="54" t="s">
        <v>582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107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583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584</v>
      </c>
      <c r="B378" s="54" t="s">
        <v>585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/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586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587</v>
      </c>
      <c r="B379" s="54" t="s">
        <v>588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8" t="s">
        <v>589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590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591</v>
      </c>
      <c r="B385" s="54" t="s">
        <v>592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107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594</v>
      </c>
      <c r="B386" s="54" t="s">
        <v>595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107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597</v>
      </c>
      <c r="B387" s="54" t="s">
        <v>598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107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600</v>
      </c>
      <c r="B388" s="54" t="s">
        <v>601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593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602</v>
      </c>
      <c r="B389" s="54" t="s">
        <v>603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604</v>
      </c>
      <c r="B390" s="54" t="s">
        <v>605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609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610</v>
      </c>
      <c r="B392" s="54" t="s">
        <v>611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613</v>
      </c>
      <c r="B393" s="54" t="s">
        <v>614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615</v>
      </c>
      <c r="B397" s="54" t="s">
        <v>616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107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618</v>
      </c>
      <c r="B398" s="54" t="s">
        <v>619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620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621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132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622</v>
      </c>
      <c r="B403" s="54" t="s">
        <v>623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624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625</v>
      </c>
      <c r="B407" s="54" t="s">
        <v>626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107</v>
      </c>
      <c r="L407" s="32"/>
      <c r="M407" s="33" t="s">
        <v>103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628</v>
      </c>
      <c r="B408" s="54" t="s">
        <v>629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631</v>
      </c>
      <c r="B409" s="54" t="s">
        <v>632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633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634</v>
      </c>
      <c r="B410" s="54" t="s">
        <v>635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 t="s">
        <v>324</v>
      </c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 t="s">
        <v>195</v>
      </c>
      <c r="AK410" s="68">
        <v>37.799999999999997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636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637</v>
      </c>
      <c r="B415" s="54" t="s">
        <v>638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639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640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640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641</v>
      </c>
      <c r="B421" s="54" t="s">
        <v>642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103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104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103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645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646</v>
      </c>
      <c r="B423" s="54" t="s">
        <v>647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649</v>
      </c>
      <c r="B424" s="54" t="s">
        <v>650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103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652</v>
      </c>
      <c r="B425" s="54" t="s">
        <v>653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103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654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655</v>
      </c>
      <c r="B426" s="54" t="s">
        <v>656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/>
      <c r="M426" s="33" t="s">
        <v>103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657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658</v>
      </c>
      <c r="B427" s="54" t="s">
        <v>659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660</v>
      </c>
      <c r="B428" s="54" t="s">
        <v>661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107</v>
      </c>
      <c r="L428" s="32"/>
      <c r="M428" s="33" t="s">
        <v>103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104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662</v>
      </c>
      <c r="B429" s="54" t="s">
        <v>663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107</v>
      </c>
      <c r="L429" s="32"/>
      <c r="M429" s="33" t="s">
        <v>103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103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667</v>
      </c>
      <c r="B431" s="54" t="s">
        <v>668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107</v>
      </c>
      <c r="L431" s="32"/>
      <c r="M431" s="33" t="s">
        <v>103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657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8" t="s">
        <v>132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669</v>
      </c>
      <c r="B435" s="54" t="s">
        <v>670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/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671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672</v>
      </c>
      <c r="B436" s="54" t="s">
        <v>673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671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674</v>
      </c>
      <c r="B437" s="54" t="s">
        <v>675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107</v>
      </c>
      <c r="L437" s="32"/>
      <c r="M437" s="33" t="s">
        <v>103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676</v>
      </c>
      <c r="B441" s="54" t="s">
        <v>677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/>
      <c r="M441" s="33" t="s">
        <v>103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678</v>
      </c>
      <c r="AG441" s="64"/>
      <c r="AJ441" s="68"/>
      <c r="AK441" s="68">
        <v>0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679</v>
      </c>
      <c r="B442" s="54" t="s">
        <v>680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/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681</v>
      </c>
      <c r="AG442" s="64"/>
      <c r="AJ442" s="68"/>
      <c r="AK442" s="68">
        <v>0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682</v>
      </c>
      <c r="B443" s="54" t="s">
        <v>683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/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685</v>
      </c>
      <c r="B444" s="54" t="s">
        <v>686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107</v>
      </c>
      <c r="L444" s="32"/>
      <c r="M444" s="33" t="s">
        <v>103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678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687</v>
      </c>
      <c r="B445" s="54" t="s">
        <v>688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107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681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107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684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691</v>
      </c>
      <c r="B450" s="54" t="s">
        <v>692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694</v>
      </c>
      <c r="B451" s="54" t="s">
        <v>695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697</v>
      </c>
      <c r="B452" s="54" t="s">
        <v>698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699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700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700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701</v>
      </c>
      <c r="B458" s="54" t="s">
        <v>702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704</v>
      </c>
      <c r="B459" s="54" t="s">
        <v>705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103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707</v>
      </c>
      <c r="B460" s="54" t="s">
        <v>708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103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710</v>
      </c>
      <c r="B461" s="54" t="s">
        <v>711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107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703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132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712</v>
      </c>
      <c r="B465" s="54" t="s">
        <v>713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715</v>
      </c>
      <c r="B466" s="54" t="s">
        <v>716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103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718</v>
      </c>
      <c r="B467" s="54" t="s">
        <v>719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107</v>
      </c>
      <c r="L467" s="32"/>
      <c r="M467" s="33" t="s">
        <v>103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720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721</v>
      </c>
      <c r="B471" s="54" t="s">
        <v>722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724</v>
      </c>
      <c r="B472" s="54" t="s">
        <v>725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107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726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727</v>
      </c>
      <c r="B476" s="54" t="s">
        <v>728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729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160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730</v>
      </c>
      <c r="B480" s="54" t="s">
        <v>731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733</v>
      </c>
      <c r="B481" s="54" t="s">
        <v>734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735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736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132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737</v>
      </c>
      <c r="B486" s="54" t="s">
        <v>738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103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739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740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2633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2633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741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2793.136</v>
      </c>
      <c r="Y490" s="543">
        <f>IFERROR(SUM(BN22:BN486),"0")</f>
        <v>2793.136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742</v>
      </c>
      <c r="Q491" s="633"/>
      <c r="R491" s="633"/>
      <c r="S491" s="633"/>
      <c r="T491" s="633"/>
      <c r="U491" s="633"/>
      <c r="V491" s="634"/>
      <c r="W491" s="37" t="s">
        <v>743</v>
      </c>
      <c r="X491" s="38">
        <f>ROUNDUP(SUM(BO22:BO486),0)</f>
        <v>5</v>
      </c>
      <c r="Y491" s="38">
        <f>ROUNDUP(SUM(BP22:BP486),0)</f>
        <v>5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744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2918.136</v>
      </c>
      <c r="Y492" s="543">
        <f>GrossWeightTotalR+PalletQtyTotalR*25</f>
        <v>2918.136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745</v>
      </c>
      <c r="Q493" s="633"/>
      <c r="R493" s="633"/>
      <c r="S493" s="633"/>
      <c r="T493" s="633"/>
      <c r="U493" s="633"/>
      <c r="V493" s="634"/>
      <c r="W493" s="37" t="s">
        <v>743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748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748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746</v>
      </c>
      <c r="Q494" s="633"/>
      <c r="R494" s="633"/>
      <c r="S494" s="633"/>
      <c r="T494" s="633"/>
      <c r="U494" s="633"/>
      <c r="V494" s="634"/>
      <c r="W494" s="39" t="s">
        <v>747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5.7960800000000008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748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254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537</v>
      </c>
      <c r="T496" s="626"/>
      <c r="U496" s="593" t="s">
        <v>589</v>
      </c>
      <c r="V496" s="661"/>
      <c r="W496" s="626"/>
      <c r="X496" s="538" t="s">
        <v>640</v>
      </c>
      <c r="Y496" s="593" t="s">
        <v>700</v>
      </c>
      <c r="Z496" s="626"/>
      <c r="AB496" s="52"/>
      <c r="AC496" s="52"/>
      <c r="AF496" s="539"/>
    </row>
    <row r="497" spans="1:32" ht="14.25" customHeight="1" thickTop="1" x14ac:dyDescent="0.2">
      <c r="A497" s="839" t="s">
        <v>749</v>
      </c>
      <c r="B497" s="593" t="s">
        <v>63</v>
      </c>
      <c r="C497" s="593" t="s">
        <v>98</v>
      </c>
      <c r="D497" s="593" t="s">
        <v>113</v>
      </c>
      <c r="E497" s="593" t="s">
        <v>167</v>
      </c>
      <c r="F497" s="593" t="s">
        <v>186</v>
      </c>
      <c r="G497" s="593" t="s">
        <v>219</v>
      </c>
      <c r="H497" s="593" t="s">
        <v>97</v>
      </c>
      <c r="I497" s="593" t="s">
        <v>255</v>
      </c>
      <c r="J497" s="593" t="s">
        <v>299</v>
      </c>
      <c r="K497" s="593" t="s">
        <v>360</v>
      </c>
      <c r="L497" s="593" t="s">
        <v>402</v>
      </c>
      <c r="M497" s="593" t="s">
        <v>418</v>
      </c>
      <c r="N497" s="539"/>
      <c r="O497" s="593" t="s">
        <v>429</v>
      </c>
      <c r="P497" s="593" t="s">
        <v>438</v>
      </c>
      <c r="Q497" s="593" t="s">
        <v>452</v>
      </c>
      <c r="R497" s="593" t="s">
        <v>527</v>
      </c>
      <c r="S497" s="593" t="s">
        <v>538</v>
      </c>
      <c r="T497" s="593" t="s">
        <v>573</v>
      </c>
      <c r="U497" s="593" t="s">
        <v>590</v>
      </c>
      <c r="V497" s="593" t="s">
        <v>621</v>
      </c>
      <c r="W497" s="593" t="s">
        <v>636</v>
      </c>
      <c r="X497" s="593" t="s">
        <v>640</v>
      </c>
      <c r="Y497" s="593" t="s">
        <v>700</v>
      </c>
      <c r="Z497" s="593" t="s">
        <v>736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750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200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1036.8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675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531.6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39.6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150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ftSYgVPag7rKeC1hsu5/9elXmWI2wT0Ffj33JL8sXocMfJlj/3POKr3C2LhaidupYdjH4bPdZGriZcd5UWPPbA==" saltValue="o+4A8KB2RT2k/OX9V2vyI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 X114 X200 X210 X212 X336:X337 X410" xr:uid="{00000000-0002-0000-0000-000011000000}">
      <formula1>IF(AK101&gt;0,OR(X101=0,AND(IF(X101-AK101&gt;=0,TRUE,FALSE),X101&gt;0,IF(X101/H101=ROUND(X101/H101,0),TRUE,FALSE))),FALSE)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BxjK4g5CO4axwhkn9ycotHgX6ORtj5GIz45PsDJuBq2bEo9a5ajf2Pgz8JAIWh/4SHyjw9dkKDT7Iqt0nO3GzQ==" saltValue="FEosl0XqwQD/22KjqIh1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2025-11-19T07:48:18Z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