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38723B34-1945-4531-BAA3-D94DA419F83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8" i="1"/>
  <c r="Y337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1" i="1"/>
  <c r="X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X325" i="1"/>
  <c r="Y324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BP320" i="1"/>
  <c r="BO320" i="1"/>
  <c r="BN320" i="1"/>
  <c r="BM320" i="1"/>
  <c r="Z320" i="1"/>
  <c r="Y320" i="1"/>
  <c r="Y325" i="1" s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X304" i="1"/>
  <c r="X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Y304" i="1" s="1"/>
  <c r="P296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BP288" i="1"/>
  <c r="BO288" i="1"/>
  <c r="BN288" i="1"/>
  <c r="BM288" i="1"/>
  <c r="Z288" i="1"/>
  <c r="Y288" i="1"/>
  <c r="Q498" i="1" s="1"/>
  <c r="P288" i="1"/>
  <c r="X285" i="1"/>
  <c r="Y284" i="1"/>
  <c r="X284" i="1"/>
  <c r="BP283" i="1"/>
  <c r="BO283" i="1"/>
  <c r="BN283" i="1"/>
  <c r="BM283" i="1"/>
  <c r="Z283" i="1"/>
  <c r="Z284" i="1" s="1"/>
  <c r="Y283" i="1"/>
  <c r="Y285" i="1" s="1"/>
  <c r="P283" i="1"/>
  <c r="X281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Y220" i="1" s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Y172" i="1" s="1"/>
  <c r="P162" i="1"/>
  <c r="X160" i="1"/>
  <c r="Y159" i="1"/>
  <c r="X159" i="1"/>
  <c r="BP158" i="1"/>
  <c r="BO158" i="1"/>
  <c r="BN158" i="1"/>
  <c r="BM158" i="1"/>
  <c r="Z158" i="1"/>
  <c r="Z159" i="1" s="1"/>
  <c r="Y158" i="1"/>
  <c r="P158" i="1"/>
  <c r="X154" i="1"/>
  <c r="Y153" i="1"/>
  <c r="X153" i="1"/>
  <c r="BP152" i="1"/>
  <c r="BO152" i="1"/>
  <c r="BN152" i="1"/>
  <c r="BM152" i="1"/>
  <c r="Z152" i="1"/>
  <c r="Z153" i="1" s="1"/>
  <c r="Y152" i="1"/>
  <c r="Y154" i="1" s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P61" i="1"/>
  <c r="BO61" i="1"/>
  <c r="BN61" i="1"/>
  <c r="BM61" i="1"/>
  <c r="Z61" i="1"/>
  <c r="Y61" i="1"/>
  <c r="P61" i="1"/>
  <c r="BO60" i="1"/>
  <c r="BM60" i="1"/>
  <c r="Y60" i="1"/>
  <c r="P60" i="1"/>
  <c r="X58" i="1"/>
  <c r="X57" i="1"/>
  <c r="BO56" i="1"/>
  <c r="BN56" i="1"/>
  <c r="BM56" i="1"/>
  <c r="Z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Y57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8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2" i="1" s="1"/>
  <c r="BO22" i="1"/>
  <c r="X490" i="1" s="1"/>
  <c r="BM22" i="1"/>
  <c r="X489" i="1" s="1"/>
  <c r="X491" i="1" s="1"/>
  <c r="Y22" i="1"/>
  <c r="B498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BP62" i="1"/>
  <c r="BN62" i="1"/>
  <c r="Z62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9" i="1"/>
  <c r="BN209" i="1"/>
  <c r="Z209" i="1"/>
  <c r="BP213" i="1"/>
  <c r="BN213" i="1"/>
  <c r="Z213" i="1"/>
  <c r="BP291" i="1"/>
  <c r="BN291" i="1"/>
  <c r="Z291" i="1"/>
  <c r="BP328" i="1"/>
  <c r="BN328" i="1"/>
  <c r="Z328" i="1"/>
  <c r="Z330" i="1" s="1"/>
  <c r="Y330" i="1"/>
  <c r="Z369" i="1"/>
  <c r="D498" i="1"/>
  <c r="F9" i="1"/>
  <c r="J9" i="1"/>
  <c r="Z22" i="1"/>
  <c r="Z23" i="1" s="1"/>
  <c r="BN22" i="1"/>
  <c r="BP22" i="1"/>
  <c r="Y23" i="1"/>
  <c r="X488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Y63" i="1"/>
  <c r="BP60" i="1"/>
  <c r="BN60" i="1"/>
  <c r="Z60" i="1"/>
  <c r="BP68" i="1"/>
  <c r="BN68" i="1"/>
  <c r="Z68" i="1"/>
  <c r="Y70" i="1"/>
  <c r="Y77" i="1"/>
  <c r="BP72" i="1"/>
  <c r="BN72" i="1"/>
  <c r="Z72" i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BP148" i="1"/>
  <c r="BN148" i="1"/>
  <c r="Z148" i="1"/>
  <c r="Y150" i="1"/>
  <c r="BP163" i="1"/>
  <c r="BN163" i="1"/>
  <c r="Z163" i="1"/>
  <c r="BP167" i="1"/>
  <c r="BN167" i="1"/>
  <c r="Z167" i="1"/>
  <c r="Z171" i="1" s="1"/>
  <c r="Y171" i="1"/>
  <c r="Z177" i="1"/>
  <c r="BP175" i="1"/>
  <c r="BN175" i="1"/>
  <c r="Z175" i="1"/>
  <c r="Y192" i="1"/>
  <c r="BP196" i="1"/>
  <c r="BN196" i="1"/>
  <c r="Z196" i="1"/>
  <c r="Z203" i="1" s="1"/>
  <c r="BP201" i="1"/>
  <c r="BN201" i="1"/>
  <c r="Z201" i="1"/>
  <c r="BP226" i="1"/>
  <c r="BN226" i="1"/>
  <c r="Z226" i="1"/>
  <c r="BP230" i="1"/>
  <c r="BN230" i="1"/>
  <c r="Z230" i="1"/>
  <c r="Y234" i="1"/>
  <c r="BP246" i="1"/>
  <c r="BN246" i="1"/>
  <c r="Z246" i="1"/>
  <c r="Z250" i="1" s="1"/>
  <c r="Y250" i="1"/>
  <c r="Z259" i="1"/>
  <c r="BP255" i="1"/>
  <c r="BN255" i="1"/>
  <c r="Z255" i="1"/>
  <c r="L498" i="1"/>
  <c r="Y259" i="1"/>
  <c r="BP264" i="1"/>
  <c r="BN264" i="1"/>
  <c r="Z264" i="1"/>
  <c r="Y268" i="1"/>
  <c r="BP273" i="1"/>
  <c r="BN273" i="1"/>
  <c r="Z273" i="1"/>
  <c r="Y275" i="1"/>
  <c r="P498" i="1"/>
  <c r="Y281" i="1"/>
  <c r="BP278" i="1"/>
  <c r="BN278" i="1"/>
  <c r="Z278" i="1"/>
  <c r="Z280" i="1" s="1"/>
  <c r="Y280" i="1"/>
  <c r="BP299" i="1"/>
  <c r="BN299" i="1"/>
  <c r="Z299" i="1"/>
  <c r="Y303" i="1"/>
  <c r="BP307" i="1"/>
  <c r="BN307" i="1"/>
  <c r="Z307" i="1"/>
  <c r="Z311" i="1" s="1"/>
  <c r="Y311" i="1"/>
  <c r="Z317" i="1"/>
  <c r="BP315" i="1"/>
  <c r="BN315" i="1"/>
  <c r="Z315" i="1"/>
  <c r="Y317" i="1"/>
  <c r="BP343" i="1"/>
  <c r="BN343" i="1"/>
  <c r="Z343" i="1"/>
  <c r="Z349" i="1" s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BP407" i="1"/>
  <c r="BN407" i="1"/>
  <c r="Z407" i="1"/>
  <c r="Z410" i="1" s="1"/>
  <c r="Y411" i="1"/>
  <c r="BP422" i="1"/>
  <c r="BN422" i="1"/>
  <c r="Z422" i="1"/>
  <c r="BP458" i="1"/>
  <c r="BN458" i="1"/>
  <c r="Z458" i="1"/>
  <c r="Z461" i="1" s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I498" i="1"/>
  <c r="Y160" i="1"/>
  <c r="J498" i="1"/>
  <c r="Y187" i="1"/>
  <c r="Y204" i="1"/>
  <c r="BP199" i="1"/>
  <c r="BN199" i="1"/>
  <c r="Z199" i="1"/>
  <c r="Y203" i="1"/>
  <c r="BP207" i="1"/>
  <c r="BN207" i="1"/>
  <c r="Z207" i="1"/>
  <c r="Z215" i="1" s="1"/>
  <c r="BP211" i="1"/>
  <c r="BN211" i="1"/>
  <c r="Z211" i="1"/>
  <c r="Y215" i="1"/>
  <c r="BP219" i="1"/>
  <c r="BN219" i="1"/>
  <c r="Z219" i="1"/>
  <c r="Z220" i="1" s="1"/>
  <c r="Y221" i="1"/>
  <c r="K498" i="1"/>
  <c r="Y235" i="1"/>
  <c r="BP224" i="1"/>
  <c r="BN224" i="1"/>
  <c r="Z224" i="1"/>
  <c r="BP228" i="1"/>
  <c r="BN228" i="1"/>
  <c r="Z228" i="1"/>
  <c r="BP232" i="1"/>
  <c r="BN232" i="1"/>
  <c r="Z232" i="1"/>
  <c r="Y251" i="1"/>
  <c r="BP248" i="1"/>
  <c r="BN248" i="1"/>
  <c r="Z248" i="1"/>
  <c r="Y260" i="1"/>
  <c r="BP257" i="1"/>
  <c r="BN257" i="1"/>
  <c r="Z257" i="1"/>
  <c r="BP266" i="1"/>
  <c r="BN266" i="1"/>
  <c r="Z266" i="1"/>
  <c r="Z267" i="1" s="1"/>
  <c r="O498" i="1"/>
  <c r="Y274" i="1"/>
  <c r="BP271" i="1"/>
  <c r="BN271" i="1"/>
  <c r="Z271" i="1"/>
  <c r="Z274" i="1" s="1"/>
  <c r="Z293" i="1"/>
  <c r="BP289" i="1"/>
  <c r="BN289" i="1"/>
  <c r="Z289" i="1"/>
  <c r="Y293" i="1"/>
  <c r="BP297" i="1"/>
  <c r="BN297" i="1"/>
  <c r="Z297" i="1"/>
  <c r="Z303" i="1" s="1"/>
  <c r="BP301" i="1"/>
  <c r="BN301" i="1"/>
  <c r="Z301" i="1"/>
  <c r="Y312" i="1"/>
  <c r="BP309" i="1"/>
  <c r="BN309" i="1"/>
  <c r="Z309" i="1"/>
  <c r="Y318" i="1"/>
  <c r="BP322" i="1"/>
  <c r="BN322" i="1"/>
  <c r="Z322" i="1"/>
  <c r="Z324" i="1" s="1"/>
  <c r="Y331" i="1"/>
  <c r="Z337" i="1"/>
  <c r="BP335" i="1"/>
  <c r="BN335" i="1"/>
  <c r="Z335" i="1"/>
  <c r="BP346" i="1"/>
  <c r="BN346" i="1"/>
  <c r="Z346" i="1"/>
  <c r="BP368" i="1"/>
  <c r="BN368" i="1"/>
  <c r="Z368" i="1"/>
  <c r="Y370" i="1"/>
  <c r="Y375" i="1"/>
  <c r="BP372" i="1"/>
  <c r="BN372" i="1"/>
  <c r="Z372" i="1"/>
  <c r="Z374" i="1" s="1"/>
  <c r="Y374" i="1"/>
  <c r="M498" i="1"/>
  <c r="Y267" i="1"/>
  <c r="Y294" i="1"/>
  <c r="R498" i="1"/>
  <c r="Y338" i="1"/>
  <c r="S498" i="1"/>
  <c r="Y349" i="1"/>
  <c r="Y360" i="1"/>
  <c r="BP357" i="1"/>
  <c r="BN357" i="1"/>
  <c r="Z357" i="1"/>
  <c r="Z359" i="1" s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Z446" i="1" s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Z452" i="1"/>
  <c r="BP450" i="1"/>
  <c r="BN450" i="1"/>
  <c r="Z450" i="1"/>
  <c r="Y461" i="1"/>
  <c r="BP460" i="1"/>
  <c r="BN460" i="1"/>
  <c r="Z460" i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31" i="1" l="1"/>
  <c r="Y490" i="1"/>
  <c r="Z95" i="1"/>
  <c r="Z393" i="1"/>
  <c r="Z234" i="1"/>
  <c r="Z143" i="1"/>
  <c r="Z76" i="1"/>
  <c r="Z63" i="1"/>
  <c r="Z43" i="1"/>
  <c r="Z31" i="1"/>
  <c r="Z493" i="1" s="1"/>
  <c r="Y492" i="1"/>
  <c r="Y489" i="1"/>
  <c r="Y491" i="1" s="1"/>
  <c r="Z149" i="1"/>
  <c r="Z69" i="1"/>
  <c r="Y488" i="1"/>
</calcChain>
</file>

<file path=xl/sharedStrings.xml><?xml version="1.0" encoding="utf-8"?>
<sst xmlns="http://schemas.openxmlformats.org/spreadsheetml/2006/main" count="2278" uniqueCount="763">
  <si>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</si>
  <si>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</si>
  <si>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</si>
  <si>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</si>
  <si>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</si>
  <si>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</si>
  <si>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</si>
  <si>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</si>
  <si>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</si>
  <si>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</si>
  <si>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</si>
  <si>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</si>
  <si>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</si>
  <si>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</si>
  <si>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</si>
  <si>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</si>
  <si>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</si>
  <si>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</si>
  <si>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</si>
  <si>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</si>
  <si>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</si>
  <si>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</si>
  <si>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</si>
  <si>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</si>
  <si>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</si>
  <si>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</si>
  <si>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</si>
  <si>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</si>
  <si>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</si>
  <si>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</si>
  <si>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</si>
  <si>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</si>
  <si>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</si>
  <si>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</si>
  <si>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</si>
  <si>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</si>
  <si>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</si>
  <si>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</si>
  <si>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</si>
  <si>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</si>
  <si>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</si>
  <si>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</si>
  <si>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</si>
  <si>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</si>
  <si>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</si>
  <si>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</si>
  <si>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</si>
  <si>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</si>
  <si>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</si>
  <si>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</si>
  <si>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</si>
  <si>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</si>
  <si>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</si>
  <si>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</si>
  <si>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</si>
  <si>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</si>
  <si>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</si>
  <si>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</si>
  <si>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</si>
  <si>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</si>
  <si>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</si>
  <si>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</si>
  <si>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</si>
  <si>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</si>
  <si>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</si>
  <si>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</si>
  <si>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</si>
  <si>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</si>
  <si>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</si>
  <si>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</si>
  <si>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</si>
  <si>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</si>
  <si>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</si>
  <si>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</si>
  <si>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</si>
  <si>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</si>
  <si>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</si>
  <si>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</si>
  <si>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</si>
  <si>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</si>
  <si>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</si>
  <si>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</si>
  <si>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</si>
  <si>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</si>
  <si>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</si>
  <si>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</si>
  <si>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</si>
  <si>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</si>
  <si>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</si>
  <si>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</si>
  <si>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</si>
  <si>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</si>
  <si>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</si>
  <si>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</si>
  <si>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</si>
  <si>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</si>
  <si>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</si>
  <si>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</si>
  <si>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</si>
  <si>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</si>
  <si>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</si>
  <si>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</si>
  <si>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</si>
  <si>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</si>
  <si>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</si>
  <si>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</si>
  <si>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</si>
  <si>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</si>
  <si>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</si>
  <si>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</si>
  <si>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830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</si>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</sst>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0"/>
      <c r="F1" s="570"/>
      <c r="G1" s="12" t="s">
        <v>1</v>
      </c>
      <c r="H1" s="615" t="s">
        <v>2</v>
      </c>
      <c r="I1" s="570"/>
      <c r="J1" s="570"/>
      <c r="K1" s="570"/>
      <c r="L1" s="570"/>
      <c r="M1" s="570"/>
      <c r="N1" s="570"/>
      <c r="O1" s="570"/>
      <c r="P1" s="570"/>
      <c r="Q1" s="570"/>
      <c r="R1" s="569" t="s">
        <v>3</v>
      </c>
      <c r="S1" s="570"/>
      <c r="T1" s="57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8</v>
      </c>
      <c r="B5" s="629"/>
      <c r="C5" s="630"/>
      <c r="D5" s="617"/>
      <c r="E5" s="618"/>
      <c r="F5" s="823" t="s">
        <v>9</v>
      </c>
      <c r="G5" s="630"/>
      <c r="H5" s="617"/>
      <c r="I5" s="762"/>
      <c r="J5" s="762"/>
      <c r="K5" s="762"/>
      <c r="L5" s="762"/>
      <c r="M5" s="618"/>
      <c r="N5" s="58"/>
      <c r="P5" s="24" t="s">
        <v>10</v>
      </c>
      <c r="Q5" s="837">
        <v>45971</v>
      </c>
      <c r="R5" s="651"/>
      <c r="T5" s="699" t="s">
        <v>11</v>
      </c>
      <c r="U5" s="700"/>
      <c r="V5" s="701" t="s">
        <v>12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13</v>
      </c>
      <c r="B6" s="629"/>
      <c r="C6" s="630"/>
      <c r="D6" s="765" t="s">
        <v>14</v>
      </c>
      <c r="E6" s="766"/>
      <c r="F6" s="766"/>
      <c r="G6" s="766"/>
      <c r="H6" s="766"/>
      <c r="I6" s="766"/>
      <c r="J6" s="766"/>
      <c r="K6" s="766"/>
      <c r="L6" s="766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16</v>
      </c>
      <c r="U6" s="700"/>
      <c r="V6" s="748" t="s">
        <v>17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5" t="str">
        <f>IFERROR(VLOOKUP(DeliveryAddress,Table,3,0),1)</f>
        <v>1</v>
      </c>
      <c r="E7" s="596"/>
      <c r="F7" s="596"/>
      <c r="G7" s="596"/>
      <c r="H7" s="596"/>
      <c r="I7" s="596"/>
      <c r="J7" s="596"/>
      <c r="K7" s="596"/>
      <c r="L7" s="596"/>
      <c r="M7" s="597"/>
      <c r="N7" s="60"/>
      <c r="P7" s="24"/>
      <c r="Q7" s="42"/>
      <c r="R7" s="42"/>
      <c r="T7" s="553"/>
      <c r="U7" s="700"/>
      <c r="V7" s="749"/>
      <c r="W7" s="750"/>
      <c r="AB7" s="51"/>
      <c r="AC7" s="51"/>
      <c r="AD7" s="51"/>
      <c r="AE7" s="51"/>
    </row>
    <row r="8" spans="1:32" s="533" customFormat="1" ht="25.5" customHeight="1" x14ac:dyDescent="0.2">
      <c r="A8" s="858" t="s">
        <v>18</v>
      </c>
      <c r="B8" s="558"/>
      <c r="C8" s="559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59">
        <v>0.375</v>
      </c>
      <c r="R8" s="597"/>
      <c r="T8" s="553"/>
      <c r="U8" s="700"/>
      <c r="V8" s="749"/>
      <c r="W8" s="750"/>
      <c r="AB8" s="51"/>
      <c r="AC8" s="51"/>
      <c r="AD8" s="51"/>
      <c r="AE8" s="51"/>
    </row>
    <row r="9" spans="1:32" s="533" customFormat="1" ht="39.950000000000003" customHeight="1" x14ac:dyDescent="0.2">
      <c r="A9" s="67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70"/>
      <c r="E9" s="556"/>
      <c r="F9" s="67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21</v>
      </c>
      <c r="Q9" s="648"/>
      <c r="R9" s="649"/>
      <c r="T9" s="553"/>
      <c r="U9" s="700"/>
      <c r="V9" s="751"/>
      <c r="W9" s="752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70"/>
      <c r="E10" s="556"/>
      <c r="F10" s="67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2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22</v>
      </c>
      <c r="Q10" s="705"/>
      <c r="R10" s="706"/>
      <c r="U10" s="24" t="s">
        <v>23</v>
      </c>
      <c r="V10" s="584" t="s">
        <v>24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88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29</v>
      </c>
      <c r="B12" s="629"/>
      <c r="C12" s="629"/>
      <c r="D12" s="629"/>
      <c r="E12" s="629"/>
      <c r="F12" s="629"/>
      <c r="G12" s="629"/>
      <c r="H12" s="629"/>
      <c r="I12" s="629"/>
      <c r="J12" s="629"/>
      <c r="K12" s="629"/>
      <c r="L12" s="629"/>
      <c r="M12" s="630"/>
      <c r="N12" s="62"/>
      <c r="P12" s="24" t="s">
        <v>30</v>
      </c>
      <c r="Q12" s="659"/>
      <c r="R12" s="597"/>
      <c r="S12" s="23"/>
      <c r="U12" s="24"/>
      <c r="V12" s="570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31</v>
      </c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30"/>
      <c r="N13" s="62"/>
      <c r="O13" s="26"/>
      <c r="P13" s="26" t="s">
        <v>32</v>
      </c>
      <c r="Q13" s="788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33</v>
      </c>
      <c r="B14" s="629"/>
      <c r="C14" s="629"/>
      <c r="D14" s="629"/>
      <c r="E14" s="629"/>
      <c r="F14" s="629"/>
      <c r="G14" s="629"/>
      <c r="H14" s="629"/>
      <c r="I14" s="629"/>
      <c r="J14" s="629"/>
      <c r="K14" s="629"/>
      <c r="L14" s="629"/>
      <c r="M14" s="63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9" t="s">
        <v>34</v>
      </c>
      <c r="B15" s="629"/>
      <c r="C15" s="629"/>
      <c r="D15" s="629"/>
      <c r="E15" s="629"/>
      <c r="F15" s="629"/>
      <c r="G15" s="629"/>
      <c r="H15" s="629"/>
      <c r="I15" s="629"/>
      <c r="J15" s="629"/>
      <c r="K15" s="629"/>
      <c r="L15" s="629"/>
      <c r="M15" s="630"/>
      <c r="N15" s="63"/>
      <c r="P15" s="681" t="s">
        <v>35</v>
      </c>
      <c r="Q15" s="570"/>
      <c r="R15" s="570"/>
      <c r="S15" s="570"/>
      <c r="T15" s="57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7" t="s">
        <v>38</v>
      </c>
      <c r="D17" s="581" t="s">
        <v>39</v>
      </c>
      <c r="E17" s="636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5"/>
      <c r="R17" s="635"/>
      <c r="S17" s="635"/>
      <c r="T17" s="636"/>
      <c r="U17" s="854" t="s">
        <v>51</v>
      </c>
      <c r="V17" s="630"/>
      <c r="W17" s="581" t="s">
        <v>52</v>
      </c>
      <c r="X17" s="581" t="s">
        <v>53</v>
      </c>
      <c r="Y17" s="855" t="s">
        <v>54</v>
      </c>
      <c r="Z17" s="760" t="s">
        <v>55</v>
      </c>
      <c r="AA17" s="739" t="s">
        <v>56</v>
      </c>
      <c r="AB17" s="739" t="s">
        <v>57</v>
      </c>
      <c r="AC17" s="739" t="s">
        <v>58</v>
      </c>
      <c r="AD17" s="739" t="s">
        <v>59</v>
      </c>
      <c r="AE17" s="817"/>
      <c r="AF17" s="818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61</v>
      </c>
      <c r="V18" s="67" t="s">
        <v>62</v>
      </c>
      <c r="W18" s="582"/>
      <c r="X18" s="582"/>
      <c r="Y18" s="856"/>
      <c r="Z18" s="761"/>
      <c r="AA18" s="740"/>
      <c r="AB18" s="740"/>
      <c r="AC18" s="740"/>
      <c r="AD18" s="819"/>
      <c r="AE18" s="820"/>
      <c r="AF18" s="821"/>
      <c r="AG18" s="66"/>
      <c r="BD18" s="65"/>
    </row>
    <row r="19" spans="1:68" ht="27.75" customHeight="1" x14ac:dyDescent="0.2">
      <c r="A19" s="693" t="s">
        <v>63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63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64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6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7"/>
      <c r="P23" s="557" t="s">
        <v>71</v>
      </c>
      <c r="Q23" s="558"/>
      <c r="R23" s="558"/>
      <c r="S23" s="558"/>
      <c r="T23" s="558"/>
      <c r="U23" s="558"/>
      <c r="V23" s="559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7"/>
      <c r="P24" s="557" t="s">
        <v>71</v>
      </c>
      <c r="Q24" s="558"/>
      <c r="R24" s="558"/>
      <c r="S24" s="558"/>
      <c r="T24" s="558"/>
      <c r="U24" s="558"/>
      <c r="V24" s="559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73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6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7"/>
      <c r="P31" s="557" t="s">
        <v>71</v>
      </c>
      <c r="Q31" s="558"/>
      <c r="R31" s="558"/>
      <c r="S31" s="558"/>
      <c r="T31" s="558"/>
      <c r="U31" s="558"/>
      <c r="V31" s="559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7"/>
      <c r="P32" s="557" t="s">
        <v>71</v>
      </c>
      <c r="Q32" s="558"/>
      <c r="R32" s="558"/>
      <c r="S32" s="558"/>
      <c r="T32" s="558"/>
      <c r="U32" s="558"/>
      <c r="V32" s="559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91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6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7"/>
      <c r="P35" s="557" t="s">
        <v>71</v>
      </c>
      <c r="Q35" s="558"/>
      <c r="R35" s="558"/>
      <c r="S35" s="558"/>
      <c r="T35" s="558"/>
      <c r="U35" s="558"/>
      <c r="V35" s="559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7"/>
      <c r="P36" s="557" t="s">
        <v>71</v>
      </c>
      <c r="Q36" s="558"/>
      <c r="R36" s="558"/>
      <c r="S36" s="558"/>
      <c r="T36" s="558"/>
      <c r="U36" s="558"/>
      <c r="V36" s="559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97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98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99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3320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6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7"/>
      <c r="P43" s="557" t="s">
        <v>71</v>
      </c>
      <c r="Q43" s="558"/>
      <c r="R43" s="558"/>
      <c r="S43" s="558"/>
      <c r="T43" s="558"/>
      <c r="U43" s="558"/>
      <c r="V43" s="559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7"/>
      <c r="P44" s="557" t="s">
        <v>71</v>
      </c>
      <c r="Q44" s="558"/>
      <c r="R44" s="558"/>
      <c r="S44" s="558"/>
      <c r="T44" s="558"/>
      <c r="U44" s="558"/>
      <c r="V44" s="559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customHeight="1" x14ac:dyDescent="0.25">
      <c r="A45" s="554" t="s">
        <v>73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113</v>
      </c>
      <c r="B46" s="54" t="s">
        <v>114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7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6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7"/>
      <c r="P47" s="557" t="s">
        <v>71</v>
      </c>
      <c r="Q47" s="558"/>
      <c r="R47" s="558"/>
      <c r="S47" s="558"/>
      <c r="T47" s="558"/>
      <c r="U47" s="558"/>
      <c r="V47" s="559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7"/>
      <c r="P48" s="557" t="s">
        <v>71</v>
      </c>
      <c r="Q48" s="558"/>
      <c r="R48" s="558"/>
      <c r="S48" s="558"/>
      <c r="T48" s="558"/>
      <c r="U48" s="558"/>
      <c r="V48" s="559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116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99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117</v>
      </c>
      <c r="B51" s="54" t="s">
        <v>118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10.8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123</v>
      </c>
      <c r="B53" s="54" t="s">
        <v>124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126</v>
      </c>
      <c r="B54" s="54" t="s">
        <v>127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129</v>
      </c>
      <c r="B55" s="54" t="s">
        <v>130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4.5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6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7"/>
      <c r="P57" s="557" t="s">
        <v>71</v>
      </c>
      <c r="Q57" s="558"/>
      <c r="R57" s="558"/>
      <c r="S57" s="558"/>
      <c r="T57" s="558"/>
      <c r="U57" s="558"/>
      <c r="V57" s="559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7"/>
      <c r="P58" s="557" t="s">
        <v>71</v>
      </c>
      <c r="Q58" s="558"/>
      <c r="R58" s="558"/>
      <c r="S58" s="558"/>
      <c r="T58" s="558"/>
      <c r="U58" s="558"/>
      <c r="V58" s="559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135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69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139</v>
      </c>
      <c r="B61" s="54" t="s">
        <v>140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 t="s">
        <v>106</v>
      </c>
      <c r="AK62" s="68">
        <v>2.7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6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7"/>
      <c r="P63" s="557" t="s">
        <v>71</v>
      </c>
      <c r="Q63" s="558"/>
      <c r="R63" s="558"/>
      <c r="S63" s="558"/>
      <c r="T63" s="558"/>
      <c r="U63" s="558"/>
      <c r="V63" s="559"/>
      <c r="W63" s="37" t="s">
        <v>72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7"/>
      <c r="P64" s="557" t="s">
        <v>71</v>
      </c>
      <c r="Q64" s="558"/>
      <c r="R64" s="558"/>
      <c r="S64" s="558"/>
      <c r="T64" s="558"/>
      <c r="U64" s="558"/>
      <c r="V64" s="559"/>
      <c r="W64" s="37" t="s">
        <v>69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64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143</v>
      </c>
      <c r="B66" s="54" t="s">
        <v>144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6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146</v>
      </c>
      <c r="B67" s="54" t="s">
        <v>147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149</v>
      </c>
      <c r="B68" s="54" t="s">
        <v>150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6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7"/>
      <c r="P69" s="557" t="s">
        <v>71</v>
      </c>
      <c r="Q69" s="558"/>
      <c r="R69" s="558"/>
      <c r="S69" s="558"/>
      <c r="T69" s="558"/>
      <c r="U69" s="558"/>
      <c r="V69" s="559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7"/>
      <c r="P70" s="557" t="s">
        <v>71</v>
      </c>
      <c r="Q70" s="558"/>
      <c r="R70" s="558"/>
      <c r="S70" s="558"/>
      <c r="T70" s="558"/>
      <c r="U70" s="558"/>
      <c r="V70" s="559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73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152</v>
      </c>
      <c r="B72" s="54" t="s">
        <v>153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155</v>
      </c>
      <c r="B73" s="54" t="s">
        <v>156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160</v>
      </c>
      <c r="B75" s="54" t="s">
        <v>161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6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7"/>
      <c r="P76" s="557" t="s">
        <v>71</v>
      </c>
      <c r="Q76" s="558"/>
      <c r="R76" s="558"/>
      <c r="S76" s="558"/>
      <c r="T76" s="558"/>
      <c r="U76" s="558"/>
      <c r="V76" s="559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7"/>
      <c r="P77" s="557" t="s">
        <v>71</v>
      </c>
      <c r="Q77" s="558"/>
      <c r="R77" s="558"/>
      <c r="S77" s="558"/>
      <c r="T77" s="558"/>
      <c r="U77" s="558"/>
      <c r="V77" s="559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163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164</v>
      </c>
      <c r="B79" s="54" t="s">
        <v>165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167</v>
      </c>
      <c r="B80" s="54" t="s">
        <v>168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7"/>
      <c r="P81" s="557" t="s">
        <v>71</v>
      </c>
      <c r="Q81" s="558"/>
      <c r="R81" s="558"/>
      <c r="S81" s="558"/>
      <c r="T81" s="558"/>
      <c r="U81" s="558"/>
      <c r="V81" s="559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7"/>
      <c r="P82" s="557" t="s">
        <v>71</v>
      </c>
      <c r="Q82" s="558"/>
      <c r="R82" s="558"/>
      <c r="S82" s="558"/>
      <c r="T82" s="558"/>
      <c r="U82" s="558"/>
      <c r="V82" s="559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170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99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174</v>
      </c>
      <c r="B86" s="54" t="s">
        <v>175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0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4.5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6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7"/>
      <c r="P88" s="557" t="s">
        <v>71</v>
      </c>
      <c r="Q88" s="558"/>
      <c r="R88" s="558"/>
      <c r="S88" s="558"/>
      <c r="T88" s="558"/>
      <c r="U88" s="558"/>
      <c r="V88" s="559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7"/>
      <c r="P89" s="557" t="s">
        <v>71</v>
      </c>
      <c r="Q89" s="558"/>
      <c r="R89" s="558"/>
      <c r="S89" s="558"/>
      <c r="T89" s="558"/>
      <c r="U89" s="558"/>
      <c r="V89" s="559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customHeight="1" x14ac:dyDescent="0.25">
      <c r="A90" s="554" t="s">
        <v>73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69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181</v>
      </c>
      <c r="B92" s="54" t="s">
        <v>182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6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7"/>
      <c r="P95" s="557" t="s">
        <v>71</v>
      </c>
      <c r="Q95" s="558"/>
      <c r="R95" s="558"/>
      <c r="S95" s="558"/>
      <c r="T95" s="558"/>
      <c r="U95" s="558"/>
      <c r="V95" s="559"/>
      <c r="W95" s="37" t="s">
        <v>72</v>
      </c>
      <c r="X95" s="541">
        <f>IFERROR(X91/H91,"0")+IFERROR(X92/H92,"0")+IFERROR(X93/H93,"0")+IFERROR(X94/H94,"0")</f>
        <v>0</v>
      </c>
      <c r="Y95" s="541">
        <f>IFERROR(Y91/H91,"0")+IFERROR(Y92/H92,"0")+IFERROR(Y93/H93,"0")+IFERROR(Y94/H94,"0")</f>
        <v>0</v>
      </c>
      <c r="Z95" s="541">
        <f>IFERROR(IF(Z91="",0,Z91),"0")+IFERROR(IF(Z92="",0,Z92),"0")+IFERROR(IF(Z93="",0,Z93),"0")+IFERROR(IF(Z94="",0,Z94),"0")</f>
        <v>0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7"/>
      <c r="P96" s="557" t="s">
        <v>71</v>
      </c>
      <c r="Q96" s="558"/>
      <c r="R96" s="558"/>
      <c r="S96" s="558"/>
      <c r="T96" s="558"/>
      <c r="U96" s="558"/>
      <c r="V96" s="559"/>
      <c r="W96" s="37" t="s">
        <v>69</v>
      </c>
      <c r="X96" s="541">
        <f>IFERROR(SUM(X91:X94),"0")</f>
        <v>0</v>
      </c>
      <c r="Y96" s="541">
        <f>IFERROR(SUM(Y91:Y94),"0")</f>
        <v>0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99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197</v>
      </c>
      <c r="M101" s="33" t="s">
        <v>77</v>
      </c>
      <c r="N101" s="33"/>
      <c r="O101" s="32">
        <v>50</v>
      </c>
      <c r="P101" s="80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6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7"/>
      <c r="P103" s="557" t="s">
        <v>71</v>
      </c>
      <c r="Q103" s="558"/>
      <c r="R103" s="558"/>
      <c r="S103" s="558"/>
      <c r="T103" s="558"/>
      <c r="U103" s="558"/>
      <c r="V103" s="559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7"/>
      <c r="P104" s="557" t="s">
        <v>71</v>
      </c>
      <c r="Q104" s="558"/>
      <c r="R104" s="558"/>
      <c r="S104" s="558"/>
      <c r="T104" s="558"/>
      <c r="U104" s="558"/>
      <c r="V104" s="559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customHeight="1" x14ac:dyDescent="0.25">
      <c r="A105" s="554" t="s">
        <v>135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71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6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7"/>
      <c r="P109" s="557" t="s">
        <v>71</v>
      </c>
      <c r="Q109" s="558"/>
      <c r="R109" s="558"/>
      <c r="S109" s="558"/>
      <c r="T109" s="558"/>
      <c r="U109" s="558"/>
      <c r="V109" s="559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7"/>
      <c r="P110" s="557" t="s">
        <v>71</v>
      </c>
      <c r="Q110" s="558"/>
      <c r="R110" s="558"/>
      <c r="S110" s="558"/>
      <c r="T110" s="558"/>
      <c r="U110" s="558"/>
      <c r="V110" s="559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73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69</v>
      </c>
      <c r="X112" s="539">
        <v>0</v>
      </c>
      <c r="Y112" s="540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214</v>
      </c>
      <c r="M114" s="33" t="s">
        <v>84</v>
      </c>
      <c r="N114" s="33"/>
      <c r="O114" s="32">
        <v>45</v>
      </c>
      <c r="P114" s="79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215</v>
      </c>
      <c r="B115" s="54" t="s">
        <v>216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 t="s">
        <v>214</v>
      </c>
      <c r="M115" s="33" t="s">
        <v>77</v>
      </c>
      <c r="N115" s="33"/>
      <c r="O115" s="32">
        <v>45</v>
      </c>
      <c r="P115" s="71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217</v>
      </c>
      <c r="AG115" s="64"/>
      <c r="AJ115" s="68" t="s">
        <v>106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6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7"/>
      <c r="P116" s="557" t="s">
        <v>71</v>
      </c>
      <c r="Q116" s="558"/>
      <c r="R116" s="558"/>
      <c r="S116" s="558"/>
      <c r="T116" s="558"/>
      <c r="U116" s="558"/>
      <c r="V116" s="559"/>
      <c r="W116" s="37" t="s">
        <v>72</v>
      </c>
      <c r="X116" s="541">
        <f>IFERROR(X112/H112,"0")+IFERROR(X113/H113,"0")+IFERROR(X114/H114,"0")+IFERROR(X115/H115,"0")</f>
        <v>0</v>
      </c>
      <c r="Y116" s="541">
        <f>IFERROR(Y112/H112,"0")+IFERROR(Y113/H113,"0")+IFERROR(Y114/H114,"0")+IFERROR(Y115/H115,"0")</f>
        <v>0</v>
      </c>
      <c r="Z116" s="541">
        <f>IFERROR(IF(Z112="",0,Z112),"0")+IFERROR(IF(Z113="",0,Z113),"0")+IFERROR(IF(Z114="",0,Z114),"0")+IFERROR(IF(Z115="",0,Z115),"0")</f>
        <v>0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7"/>
      <c r="P117" s="557" t="s">
        <v>71</v>
      </c>
      <c r="Q117" s="558"/>
      <c r="R117" s="558"/>
      <c r="S117" s="558"/>
      <c r="T117" s="558"/>
      <c r="U117" s="558"/>
      <c r="V117" s="559"/>
      <c r="W117" s="37" t="s">
        <v>69</v>
      </c>
      <c r="X117" s="541">
        <f>IFERROR(SUM(X112:X115),"0")</f>
        <v>0</v>
      </c>
      <c r="Y117" s="541">
        <f>IFERROR(SUM(Y112:Y115),"0")</f>
        <v>0</v>
      </c>
      <c r="Z117" s="37"/>
      <c r="AA117" s="542"/>
      <c r="AB117" s="542"/>
      <c r="AC117" s="542"/>
    </row>
    <row r="118" spans="1:68" ht="14.25" customHeight="1" x14ac:dyDescent="0.25">
      <c r="A118" s="554" t="s">
        <v>163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218</v>
      </c>
      <c r="B119" s="54" t="s">
        <v>219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 t="s">
        <v>214</v>
      </c>
      <c r="M119" s="33" t="s">
        <v>77</v>
      </c>
      <c r="N119" s="33"/>
      <c r="O119" s="32">
        <v>40</v>
      </c>
      <c r="P119" s="66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220</v>
      </c>
      <c r="AG119" s="64"/>
      <c r="AJ119" s="68" t="s">
        <v>106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6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7"/>
      <c r="P120" s="557" t="s">
        <v>71</v>
      </c>
      <c r="Q120" s="558"/>
      <c r="R120" s="558"/>
      <c r="S120" s="558"/>
      <c r="T120" s="558"/>
      <c r="U120" s="558"/>
      <c r="V120" s="559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7"/>
      <c r="P121" s="557" t="s">
        <v>71</v>
      </c>
      <c r="Q121" s="558"/>
      <c r="R121" s="558"/>
      <c r="S121" s="558"/>
      <c r="T121" s="558"/>
      <c r="U121" s="558"/>
      <c r="V121" s="559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221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99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222</v>
      </c>
      <c r="B124" s="54" t="s">
        <v>223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214</v>
      </c>
      <c r="M124" s="33" t="s">
        <v>94</v>
      </c>
      <c r="N124" s="33"/>
      <c r="O124" s="32">
        <v>90</v>
      </c>
      <c r="P124" s="85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224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222</v>
      </c>
      <c r="B125" s="54" t="s">
        <v>225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224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6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7"/>
      <c r="P126" s="557" t="s">
        <v>71</v>
      </c>
      <c r="Q126" s="558"/>
      <c r="R126" s="558"/>
      <c r="S126" s="558"/>
      <c r="T126" s="558"/>
      <c r="U126" s="558"/>
      <c r="V126" s="559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7"/>
      <c r="P127" s="557" t="s">
        <v>71</v>
      </c>
      <c r="Q127" s="558"/>
      <c r="R127" s="558"/>
      <c r="S127" s="558"/>
      <c r="T127" s="558"/>
      <c r="U127" s="558"/>
      <c r="V127" s="559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64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226</v>
      </c>
      <c r="B129" s="54" t="s">
        <v>227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228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226</v>
      </c>
      <c r="B130" s="54" t="s">
        <v>229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214</v>
      </c>
      <c r="M130" s="33" t="s">
        <v>94</v>
      </c>
      <c r="N130" s="33"/>
      <c r="O130" s="32">
        <v>90</v>
      </c>
      <c r="P130" s="77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228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6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7"/>
      <c r="P131" s="557" t="s">
        <v>71</v>
      </c>
      <c r="Q131" s="558"/>
      <c r="R131" s="558"/>
      <c r="S131" s="558"/>
      <c r="T131" s="558"/>
      <c r="U131" s="558"/>
      <c r="V131" s="559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7"/>
      <c r="P132" s="557" t="s">
        <v>71</v>
      </c>
      <c r="Q132" s="558"/>
      <c r="R132" s="558"/>
      <c r="S132" s="558"/>
      <c r="T132" s="558"/>
      <c r="U132" s="558"/>
      <c r="V132" s="559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73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230</v>
      </c>
      <c r="B134" s="54" t="s">
        <v>231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224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230</v>
      </c>
      <c r="B135" s="54" t="s">
        <v>232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 t="s">
        <v>214</v>
      </c>
      <c r="M135" s="33" t="s">
        <v>94</v>
      </c>
      <c r="N135" s="33"/>
      <c r="O135" s="32">
        <v>60</v>
      </c>
      <c r="P135" s="8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224</v>
      </c>
      <c r="AG135" s="64"/>
      <c r="AJ135" s="68" t="s">
        <v>106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6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7"/>
      <c r="P136" s="557" t="s">
        <v>71</v>
      </c>
      <c r="Q136" s="558"/>
      <c r="R136" s="558"/>
      <c r="S136" s="558"/>
      <c r="T136" s="558"/>
      <c r="U136" s="558"/>
      <c r="V136" s="559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7"/>
      <c r="P137" s="557" t="s">
        <v>71</v>
      </c>
      <c r="Q137" s="558"/>
      <c r="R137" s="558"/>
      <c r="S137" s="558"/>
      <c r="T137" s="558"/>
      <c r="U137" s="558"/>
      <c r="V137" s="559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97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99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233</v>
      </c>
      <c r="B140" s="54" t="s">
        <v>234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235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236</v>
      </c>
      <c r="B141" s="54" t="s">
        <v>237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239</v>
      </c>
      <c r="B142" s="54" t="s">
        <v>240</v>
      </c>
      <c r="C142" s="31">
        <v>4301012179</v>
      </c>
      <c r="D142" s="546">
        <v>4680115886810</v>
      </c>
      <c r="E142" s="547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4"/>
      <c r="R142" s="544"/>
      <c r="S142" s="544"/>
      <c r="T142" s="545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66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7"/>
      <c r="P143" s="557" t="s">
        <v>71</v>
      </c>
      <c r="Q143" s="558"/>
      <c r="R143" s="558"/>
      <c r="S143" s="558"/>
      <c r="T143" s="558"/>
      <c r="U143" s="558"/>
      <c r="V143" s="559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x14ac:dyDescent="0.2">
      <c r="A144" s="553"/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67"/>
      <c r="P144" s="557" t="s">
        <v>71</v>
      </c>
      <c r="Q144" s="558"/>
      <c r="R144" s="558"/>
      <c r="S144" s="558"/>
      <c r="T144" s="558"/>
      <c r="U144" s="558"/>
      <c r="V144" s="559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customHeight="1" x14ac:dyDescent="0.25">
      <c r="A145" s="554" t="s">
        <v>64</v>
      </c>
      <c r="B145" s="553"/>
      <c r="C145" s="553"/>
      <c r="D145" s="553"/>
      <c r="E145" s="553"/>
      <c r="F145" s="553"/>
      <c r="G145" s="553"/>
      <c r="H145" s="553"/>
      <c r="I145" s="553"/>
      <c r="J145" s="553"/>
      <c r="K145" s="553"/>
      <c r="L145" s="553"/>
      <c r="M145" s="553"/>
      <c r="N145" s="553"/>
      <c r="O145" s="553"/>
      <c r="P145" s="553"/>
      <c r="Q145" s="553"/>
      <c r="R145" s="553"/>
      <c r="S145" s="553"/>
      <c r="T145" s="553"/>
      <c r="U145" s="553"/>
      <c r="V145" s="553"/>
      <c r="W145" s="553"/>
      <c r="X145" s="553"/>
      <c r="Y145" s="553"/>
      <c r="Z145" s="553"/>
      <c r="AA145" s="535"/>
      <c r="AB145" s="535"/>
      <c r="AC145" s="535"/>
    </row>
    <row r="146" spans="1:68" ht="16.5" customHeight="1" x14ac:dyDescent="0.25">
      <c r="A146" s="54" t="s">
        <v>242</v>
      </c>
      <c r="B146" s="54" t="s">
        <v>243</v>
      </c>
      <c r="C146" s="31">
        <v>4301030895</v>
      </c>
      <c r="D146" s="546">
        <v>4607091387667</v>
      </c>
      <c r="E146" s="547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245</v>
      </c>
      <c r="B147" s="54" t="s">
        <v>246</v>
      </c>
      <c r="C147" s="31">
        <v>4301030961</v>
      </c>
      <c r="D147" s="546">
        <v>4607091387636</v>
      </c>
      <c r="E147" s="547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248</v>
      </c>
      <c r="B148" s="54" t="s">
        <v>249</v>
      </c>
      <c r="C148" s="31">
        <v>4301030963</v>
      </c>
      <c r="D148" s="546">
        <v>4607091382426</v>
      </c>
      <c r="E148" s="547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4"/>
      <c r="R148" s="544"/>
      <c r="S148" s="544"/>
      <c r="T148" s="545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66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7"/>
      <c r="P149" s="557" t="s">
        <v>71</v>
      </c>
      <c r="Q149" s="558"/>
      <c r="R149" s="558"/>
      <c r="S149" s="558"/>
      <c r="T149" s="558"/>
      <c r="U149" s="558"/>
      <c r="V149" s="559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x14ac:dyDescent="0.2">
      <c r="A150" s="553"/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67"/>
      <c r="P150" s="557" t="s">
        <v>71</v>
      </c>
      <c r="Q150" s="558"/>
      <c r="R150" s="558"/>
      <c r="S150" s="558"/>
      <c r="T150" s="558"/>
      <c r="U150" s="558"/>
      <c r="V150" s="559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customHeight="1" x14ac:dyDescent="0.25">
      <c r="A151" s="554" t="s">
        <v>73</v>
      </c>
      <c r="B151" s="553"/>
      <c r="C151" s="553"/>
      <c r="D151" s="553"/>
      <c r="E151" s="553"/>
      <c r="F151" s="553"/>
      <c r="G151" s="553"/>
      <c r="H151" s="553"/>
      <c r="I151" s="553"/>
      <c r="J151" s="553"/>
      <c r="K151" s="553"/>
      <c r="L151" s="553"/>
      <c r="M151" s="553"/>
      <c r="N151" s="553"/>
      <c r="O151" s="553"/>
      <c r="P151" s="553"/>
      <c r="Q151" s="553"/>
      <c r="R151" s="553"/>
      <c r="S151" s="553"/>
      <c r="T151" s="553"/>
      <c r="U151" s="553"/>
      <c r="V151" s="553"/>
      <c r="W151" s="553"/>
      <c r="X151" s="553"/>
      <c r="Y151" s="553"/>
      <c r="Z151" s="553"/>
      <c r="AA151" s="535"/>
      <c r="AB151" s="535"/>
      <c r="AC151" s="535"/>
    </row>
    <row r="152" spans="1:68" ht="27" customHeight="1" x14ac:dyDescent="0.25">
      <c r="A152" s="54" t="s">
        <v>251</v>
      </c>
      <c r="B152" s="54" t="s">
        <v>252</v>
      </c>
      <c r="C152" s="31">
        <v>4301052064</v>
      </c>
      <c r="D152" s="546">
        <v>4680115887459</v>
      </c>
      <c r="E152" s="547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8" t="s">
        <v>253</v>
      </c>
      <c r="Q152" s="544"/>
      <c r="R152" s="544"/>
      <c r="S152" s="544"/>
      <c r="T152" s="545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254</v>
      </c>
      <c r="AC152" s="189" t="s">
        <v>255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66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7"/>
      <c r="P153" s="557" t="s">
        <v>71</v>
      </c>
      <c r="Q153" s="558"/>
      <c r="R153" s="558"/>
      <c r="S153" s="558"/>
      <c r="T153" s="558"/>
      <c r="U153" s="558"/>
      <c r="V153" s="559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x14ac:dyDescent="0.2">
      <c r="A154" s="553"/>
      <c r="B154" s="553"/>
      <c r="C154" s="553"/>
      <c r="D154" s="553"/>
      <c r="E154" s="553"/>
      <c r="F154" s="553"/>
      <c r="G154" s="553"/>
      <c r="H154" s="553"/>
      <c r="I154" s="553"/>
      <c r="J154" s="553"/>
      <c r="K154" s="553"/>
      <c r="L154" s="553"/>
      <c r="M154" s="553"/>
      <c r="N154" s="553"/>
      <c r="O154" s="567"/>
      <c r="P154" s="557" t="s">
        <v>71</v>
      </c>
      <c r="Q154" s="558"/>
      <c r="R154" s="558"/>
      <c r="S154" s="558"/>
      <c r="T154" s="558"/>
      <c r="U154" s="558"/>
      <c r="V154" s="559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customHeight="1" x14ac:dyDescent="0.2">
      <c r="A155" s="693" t="s">
        <v>256</v>
      </c>
      <c r="B155" s="694"/>
      <c r="C155" s="694"/>
      <c r="D155" s="694"/>
      <c r="E155" s="694"/>
      <c r="F155" s="694"/>
      <c r="G155" s="694"/>
      <c r="H155" s="694"/>
      <c r="I155" s="694"/>
      <c r="J155" s="694"/>
      <c r="K155" s="694"/>
      <c r="L155" s="694"/>
      <c r="M155" s="694"/>
      <c r="N155" s="694"/>
      <c r="O155" s="694"/>
      <c r="P155" s="694"/>
      <c r="Q155" s="694"/>
      <c r="R155" s="694"/>
      <c r="S155" s="694"/>
      <c r="T155" s="694"/>
      <c r="U155" s="694"/>
      <c r="V155" s="694"/>
      <c r="W155" s="694"/>
      <c r="X155" s="694"/>
      <c r="Y155" s="694"/>
      <c r="Z155" s="694"/>
      <c r="AA155" s="48"/>
      <c r="AB155" s="48"/>
      <c r="AC155" s="48"/>
    </row>
    <row r="156" spans="1:68" ht="16.5" customHeight="1" x14ac:dyDescent="0.25">
      <c r="A156" s="552" t="s">
        <v>257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4"/>
      <c r="AB156" s="534"/>
      <c r="AC156" s="534"/>
    </row>
    <row r="157" spans="1:68" ht="14.25" customHeight="1" x14ac:dyDescent="0.25">
      <c r="A157" s="554" t="s">
        <v>135</v>
      </c>
      <c r="B157" s="553"/>
      <c r="C157" s="553"/>
      <c r="D157" s="553"/>
      <c r="E157" s="553"/>
      <c r="F157" s="553"/>
      <c r="G157" s="553"/>
      <c r="H157" s="553"/>
      <c r="I157" s="553"/>
      <c r="J157" s="553"/>
      <c r="K157" s="553"/>
      <c r="L157" s="553"/>
      <c r="M157" s="553"/>
      <c r="N157" s="553"/>
      <c r="O157" s="553"/>
      <c r="P157" s="553"/>
      <c r="Q157" s="553"/>
      <c r="R157" s="553"/>
      <c r="S157" s="553"/>
      <c r="T157" s="553"/>
      <c r="U157" s="553"/>
      <c r="V157" s="553"/>
      <c r="W157" s="553"/>
      <c r="X157" s="553"/>
      <c r="Y157" s="553"/>
      <c r="Z157" s="553"/>
      <c r="AA157" s="535"/>
      <c r="AB157" s="535"/>
      <c r="AC157" s="535"/>
    </row>
    <row r="158" spans="1:68" ht="27" customHeight="1" x14ac:dyDescent="0.25">
      <c r="A158" s="54" t="s">
        <v>258</v>
      </c>
      <c r="B158" s="54" t="s">
        <v>259</v>
      </c>
      <c r="C158" s="31">
        <v>4301020323</v>
      </c>
      <c r="D158" s="546">
        <v>4680115886223</v>
      </c>
      <c r="E158" s="547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4"/>
      <c r="R158" s="544"/>
      <c r="S158" s="544"/>
      <c r="T158" s="545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260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66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7"/>
      <c r="P159" s="557" t="s">
        <v>71</v>
      </c>
      <c r="Q159" s="558"/>
      <c r="R159" s="558"/>
      <c r="S159" s="558"/>
      <c r="T159" s="558"/>
      <c r="U159" s="558"/>
      <c r="V159" s="559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x14ac:dyDescent="0.2">
      <c r="A160" s="553"/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67"/>
      <c r="P160" s="557" t="s">
        <v>71</v>
      </c>
      <c r="Q160" s="558"/>
      <c r="R160" s="558"/>
      <c r="S160" s="558"/>
      <c r="T160" s="558"/>
      <c r="U160" s="558"/>
      <c r="V160" s="559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customHeight="1" x14ac:dyDescent="0.25">
      <c r="A161" s="554" t="s">
        <v>64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535"/>
      <c r="AB161" s="535"/>
      <c r="AC161" s="535"/>
    </row>
    <row r="162" spans="1:68" ht="27" customHeight="1" x14ac:dyDescent="0.25">
      <c r="A162" s="54" t="s">
        <v>261</v>
      </c>
      <c r="B162" s="54" t="s">
        <v>262</v>
      </c>
      <c r="C162" s="31">
        <v>4301031191</v>
      </c>
      <c r="D162" s="546">
        <v>4680115880993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197</v>
      </c>
      <c r="M162" s="33" t="s">
        <v>68</v>
      </c>
      <c r="N162" s="33"/>
      <c r="O162" s="32">
        <v>40</v>
      </c>
      <c r="P162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4"/>
      <c r="R162" s="544"/>
      <c r="S162" s="544"/>
      <c r="T162" s="545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263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4301031204</v>
      </c>
      <c r="D163" s="546">
        <v>4680115881761</v>
      </c>
      <c r="E163" s="547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 t="s">
        <v>197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4301031201</v>
      </c>
      <c r="D164" s="546">
        <v>4680115881563</v>
      </c>
      <c r="E164" s="547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197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4"/>
      <c r="R164" s="544"/>
      <c r="S164" s="544"/>
      <c r="T164" s="545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4301031199</v>
      </c>
      <c r="D165" s="546">
        <v>4680115880986</v>
      </c>
      <c r="E165" s="547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272</v>
      </c>
      <c r="M165" s="33" t="s">
        <v>68</v>
      </c>
      <c r="N165" s="33"/>
      <c r="O165" s="32">
        <v>40</v>
      </c>
      <c r="P165" s="5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4"/>
      <c r="R165" s="544"/>
      <c r="S165" s="544"/>
      <c r="T165" s="545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263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273</v>
      </c>
      <c r="B166" s="54" t="s">
        <v>274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 t="s">
        <v>272</v>
      </c>
      <c r="M166" s="33" t="s">
        <v>68</v>
      </c>
      <c r="N166" s="33"/>
      <c r="O166" s="32">
        <v>40</v>
      </c>
      <c r="P166" s="82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275</v>
      </c>
      <c r="B167" s="54" t="s">
        <v>276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278</v>
      </c>
      <c r="B168" s="54" t="s">
        <v>279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272</v>
      </c>
      <c r="M168" s="33" t="s">
        <v>68</v>
      </c>
      <c r="N168" s="33"/>
      <c r="O168" s="32">
        <v>40</v>
      </c>
      <c r="P168" s="62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269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269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282</v>
      </c>
      <c r="B170" s="54" t="s">
        <v>283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284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6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7"/>
      <c r="P171" s="557" t="s">
        <v>71</v>
      </c>
      <c r="Q171" s="558"/>
      <c r="R171" s="558"/>
      <c r="S171" s="558"/>
      <c r="T171" s="558"/>
      <c r="U171" s="558"/>
      <c r="V171" s="559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7"/>
      <c r="P172" s="557" t="s">
        <v>71</v>
      </c>
      <c r="Q172" s="558"/>
      <c r="R172" s="558"/>
      <c r="S172" s="558"/>
      <c r="T172" s="558"/>
      <c r="U172" s="558"/>
      <c r="V172" s="559"/>
      <c r="W172" s="37" t="s">
        <v>69</v>
      </c>
      <c r="X172" s="541">
        <f>IFERROR(SUM(X162:X170),"0")</f>
        <v>0</v>
      </c>
      <c r="Y172" s="541">
        <f>IFERROR(SUM(Y162:Y170),"0")</f>
        <v>0</v>
      </c>
      <c r="Z172" s="37"/>
      <c r="AA172" s="542"/>
      <c r="AB172" s="542"/>
      <c r="AC172" s="542"/>
    </row>
    <row r="173" spans="1:68" ht="14.25" customHeight="1" x14ac:dyDescent="0.25">
      <c r="A173" s="554" t="s">
        <v>91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285</v>
      </c>
      <c r="B174" s="54" t="s">
        <v>286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287</v>
      </c>
      <c r="L174" s="32"/>
      <c r="M174" s="33" t="s">
        <v>288</v>
      </c>
      <c r="N174" s="33"/>
      <c r="O174" s="32">
        <v>60</v>
      </c>
      <c r="P174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289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290</v>
      </c>
      <c r="B175" s="54" t="s">
        <v>291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287</v>
      </c>
      <c r="L175" s="32"/>
      <c r="M175" s="33" t="s">
        <v>288</v>
      </c>
      <c r="N175" s="33"/>
      <c r="O175" s="32">
        <v>90</v>
      </c>
      <c r="P175" s="7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287</v>
      </c>
      <c r="L176" s="32"/>
      <c r="M176" s="33" t="s">
        <v>288</v>
      </c>
      <c r="N176" s="33"/>
      <c r="O176" s="32">
        <v>90</v>
      </c>
      <c r="P176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292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6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7"/>
      <c r="P177" s="557" t="s">
        <v>71</v>
      </c>
      <c r="Q177" s="558"/>
      <c r="R177" s="558"/>
      <c r="S177" s="558"/>
      <c r="T177" s="558"/>
      <c r="U177" s="558"/>
      <c r="V177" s="559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7"/>
      <c r="P178" s="557" t="s">
        <v>71</v>
      </c>
      <c r="Q178" s="558"/>
      <c r="R178" s="558"/>
      <c r="S178" s="558"/>
      <c r="T178" s="558"/>
      <c r="U178" s="558"/>
      <c r="V178" s="559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295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296</v>
      </c>
      <c r="B180" s="54" t="s">
        <v>297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287</v>
      </c>
      <c r="L180" s="32"/>
      <c r="M180" s="33" t="s">
        <v>288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292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6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7"/>
      <c r="P181" s="557" t="s">
        <v>71</v>
      </c>
      <c r="Q181" s="558"/>
      <c r="R181" s="558"/>
      <c r="S181" s="558"/>
      <c r="T181" s="558"/>
      <c r="U181" s="558"/>
      <c r="V181" s="559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7"/>
      <c r="P182" s="557" t="s">
        <v>71</v>
      </c>
      <c r="Q182" s="558"/>
      <c r="R182" s="558"/>
      <c r="S182" s="558"/>
      <c r="T182" s="558"/>
      <c r="U182" s="558"/>
      <c r="V182" s="559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298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99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299</v>
      </c>
      <c r="B185" s="54" t="s">
        <v>300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301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302</v>
      </c>
      <c r="B186" s="54" t="s">
        <v>303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301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6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7"/>
      <c r="P187" s="557" t="s">
        <v>71</v>
      </c>
      <c r="Q187" s="558"/>
      <c r="R187" s="558"/>
      <c r="S187" s="558"/>
      <c r="T187" s="558"/>
      <c r="U187" s="558"/>
      <c r="V187" s="559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7"/>
      <c r="P188" s="557" t="s">
        <v>71</v>
      </c>
      <c r="Q188" s="558"/>
      <c r="R188" s="558"/>
      <c r="S188" s="558"/>
      <c r="T188" s="558"/>
      <c r="U188" s="558"/>
      <c r="V188" s="559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135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304</v>
      </c>
      <c r="B190" s="54" t="s">
        <v>305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7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306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307</v>
      </c>
      <c r="B191" s="54" t="s">
        <v>308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306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6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7"/>
      <c r="P192" s="557" t="s">
        <v>71</v>
      </c>
      <c r="Q192" s="558"/>
      <c r="R192" s="558"/>
      <c r="S192" s="558"/>
      <c r="T192" s="558"/>
      <c r="U192" s="558"/>
      <c r="V192" s="559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7"/>
      <c r="P193" s="557" t="s">
        <v>71</v>
      </c>
      <c r="Q193" s="558"/>
      <c r="R193" s="558"/>
      <c r="S193" s="558"/>
      <c r="T193" s="558"/>
      <c r="U193" s="558"/>
      <c r="V193" s="559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309</v>
      </c>
      <c r="B195" s="54" t="s">
        <v>310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197</v>
      </c>
      <c r="M195" s="33" t="s">
        <v>68</v>
      </c>
      <c r="N195" s="33"/>
      <c r="O195" s="32">
        <v>40</v>
      </c>
      <c r="P195" s="6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311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312</v>
      </c>
      <c r="B196" s="54" t="s">
        <v>313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197</v>
      </c>
      <c r="M196" s="33" t="s">
        <v>68</v>
      </c>
      <c r="N196" s="33"/>
      <c r="O196" s="32">
        <v>40</v>
      </c>
      <c r="P19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315</v>
      </c>
      <c r="B197" s="54" t="s">
        <v>316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197</v>
      </c>
      <c r="M197" s="33" t="s">
        <v>68</v>
      </c>
      <c r="N197" s="33"/>
      <c r="O197" s="32">
        <v>40</v>
      </c>
      <c r="P197" s="6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318</v>
      </c>
      <c r="B198" s="54" t="s">
        <v>319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197</v>
      </c>
      <c r="M198" s="33" t="s">
        <v>68</v>
      </c>
      <c r="N198" s="33"/>
      <c r="O198" s="32">
        <v>40</v>
      </c>
      <c r="P198" s="81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69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272</v>
      </c>
      <c r="M199" s="33" t="s">
        <v>68</v>
      </c>
      <c r="N199" s="33"/>
      <c r="O199" s="32">
        <v>40</v>
      </c>
      <c r="P199" s="8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311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323</v>
      </c>
      <c r="B200" s="54" t="s">
        <v>324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272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325</v>
      </c>
      <c r="B201" s="54" t="s">
        <v>326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 t="s">
        <v>272</v>
      </c>
      <c r="M201" s="33" t="s">
        <v>68</v>
      </c>
      <c r="N201" s="33"/>
      <c r="O201" s="32">
        <v>40</v>
      </c>
      <c r="P201" s="7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106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327</v>
      </c>
      <c r="B202" s="54" t="s">
        <v>328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272</v>
      </c>
      <c r="M202" s="33" t="s">
        <v>68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6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7"/>
      <c r="P203" s="557" t="s">
        <v>71</v>
      </c>
      <c r="Q203" s="558"/>
      <c r="R203" s="558"/>
      <c r="S203" s="558"/>
      <c r="T203" s="558"/>
      <c r="U203" s="558"/>
      <c r="V203" s="559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7"/>
      <c r="P204" s="557" t="s">
        <v>71</v>
      </c>
      <c r="Q204" s="558"/>
      <c r="R204" s="558"/>
      <c r="S204" s="558"/>
      <c r="T204" s="558"/>
      <c r="U204" s="558"/>
      <c r="V204" s="559"/>
      <c r="W204" s="37" t="s">
        <v>69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customHeight="1" x14ac:dyDescent="0.25">
      <c r="A205" s="554" t="s">
        <v>73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329</v>
      </c>
      <c r="B206" s="54" t="s">
        <v>330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331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332</v>
      </c>
      <c r="B207" s="54" t="s">
        <v>333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214</v>
      </c>
      <c r="M209" s="33" t="s">
        <v>77</v>
      </c>
      <c r="N209" s="33"/>
      <c r="O209" s="32">
        <v>40</v>
      </c>
      <c r="P209" s="59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331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340</v>
      </c>
      <c r="B210" s="54" t="s">
        <v>341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342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343</v>
      </c>
      <c r="B211" s="54" t="s">
        <v>344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214</v>
      </c>
      <c r="M211" s="33" t="s">
        <v>77</v>
      </c>
      <c r="N211" s="33"/>
      <c r="O211" s="32">
        <v>45</v>
      </c>
      <c r="P211" s="71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69</v>
      </c>
      <c r="X211" s="539">
        <v>0</v>
      </c>
      <c r="Y211" s="540">
        <f t="shared" si="15"/>
        <v>0</v>
      </c>
      <c r="Z211" s="36" t="str">
        <f t="shared" si="20"/>
        <v/>
      </c>
      <c r="AA211" s="56"/>
      <c r="AB211" s="57"/>
      <c r="AC211" s="253" t="s">
        <v>337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345</v>
      </c>
      <c r="B212" s="54" t="s">
        <v>346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/>
      <c r="M212" s="33" t="s">
        <v>77</v>
      </c>
      <c r="N212" s="33"/>
      <c r="O212" s="32">
        <v>45</v>
      </c>
      <c r="P212" s="73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337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347</v>
      </c>
      <c r="B213" s="54" t="s">
        <v>348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214</v>
      </c>
      <c r="M213" s="33" t="s">
        <v>84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349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350</v>
      </c>
      <c r="B214" s="54" t="s">
        <v>351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214</v>
      </c>
      <c r="M214" s="33" t="s">
        <v>77</v>
      </c>
      <c r="N214" s="33"/>
      <c r="O214" s="32">
        <v>40</v>
      </c>
      <c r="P214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69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334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6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7"/>
      <c r="P215" s="557" t="s">
        <v>71</v>
      </c>
      <c r="Q215" s="558"/>
      <c r="R215" s="558"/>
      <c r="S215" s="558"/>
      <c r="T215" s="558"/>
      <c r="U215" s="558"/>
      <c r="V215" s="559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0</v>
      </c>
      <c r="Y215" s="541">
        <f>IFERROR(Y206/H206,"0")+IFERROR(Y207/H207,"0")+IFERROR(Y208/H208,"0")+IFERROR(Y209/H209,"0")+IFERROR(Y210/H210,"0")+IFERROR(Y211/H211,"0")+IFERROR(Y212/H212,"0")+IFERROR(Y213/H213,"0")+IFERROR(Y214/H214,"0")</f>
        <v>0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7"/>
      <c r="P216" s="557" t="s">
        <v>71</v>
      </c>
      <c r="Q216" s="558"/>
      <c r="R216" s="558"/>
      <c r="S216" s="558"/>
      <c r="T216" s="558"/>
      <c r="U216" s="558"/>
      <c r="V216" s="559"/>
      <c r="W216" s="37" t="s">
        <v>69</v>
      </c>
      <c r="X216" s="541">
        <f>IFERROR(SUM(X206:X214),"0")</f>
        <v>0</v>
      </c>
      <c r="Y216" s="541">
        <f>IFERROR(SUM(Y206:Y214),"0")</f>
        <v>0</v>
      </c>
      <c r="Z216" s="37"/>
      <c r="AA216" s="542"/>
      <c r="AB216" s="542"/>
      <c r="AC216" s="542"/>
    </row>
    <row r="217" spans="1:68" ht="14.25" customHeight="1" x14ac:dyDescent="0.25">
      <c r="A217" s="554" t="s">
        <v>163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352</v>
      </c>
      <c r="B218" s="54" t="s">
        <v>353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214</v>
      </c>
      <c r="M218" s="33" t="s">
        <v>84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69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354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355</v>
      </c>
      <c r="B219" s="54" t="s">
        <v>356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214</v>
      </c>
      <c r="M219" s="33" t="s">
        <v>77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6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7"/>
      <c r="P220" s="557" t="s">
        <v>71</v>
      </c>
      <c r="Q220" s="558"/>
      <c r="R220" s="558"/>
      <c r="S220" s="558"/>
      <c r="T220" s="558"/>
      <c r="U220" s="558"/>
      <c r="V220" s="559"/>
      <c r="W220" s="37" t="s">
        <v>72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7"/>
      <c r="P221" s="557" t="s">
        <v>71</v>
      </c>
      <c r="Q221" s="558"/>
      <c r="R221" s="558"/>
      <c r="S221" s="558"/>
      <c r="T221" s="558"/>
      <c r="U221" s="558"/>
      <c r="V221" s="559"/>
      <c r="W221" s="37" t="s">
        <v>69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358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99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359</v>
      </c>
      <c r="B224" s="54" t="s">
        <v>360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361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362</v>
      </c>
      <c r="B225" s="54" t="s">
        <v>363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 t="s">
        <v>103</v>
      </c>
      <c r="M226" s="33" t="s">
        <v>104</v>
      </c>
      <c r="N226" s="33"/>
      <c r="O226" s="32">
        <v>55</v>
      </c>
      <c r="P226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 t="s">
        <v>106</v>
      </c>
      <c r="AK226" s="68">
        <v>92.8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 t="s">
        <v>197</v>
      </c>
      <c r="M227" s="33" t="s">
        <v>104</v>
      </c>
      <c r="N227" s="33"/>
      <c r="O227" s="32">
        <v>55</v>
      </c>
      <c r="P227" s="77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361</v>
      </c>
      <c r="AG227" s="64"/>
      <c r="AJ227" s="68" t="s">
        <v>106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368</v>
      </c>
      <c r="B228" s="54" t="s">
        <v>370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372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373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5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376</v>
      </c>
      <c r="B231" s="54" t="s">
        <v>377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378</v>
      </c>
      <c r="B232" s="54" t="s">
        <v>379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 t="s">
        <v>197</v>
      </c>
      <c r="M232" s="33" t="s">
        <v>104</v>
      </c>
      <c r="N232" s="33"/>
      <c r="O232" s="32">
        <v>55</v>
      </c>
      <c r="P232" s="73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367</v>
      </c>
      <c r="AG232" s="64"/>
      <c r="AJ232" s="68" t="s">
        <v>106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378</v>
      </c>
      <c r="B233" s="54" t="s">
        <v>380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6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7"/>
      <c r="P234" s="557" t="s">
        <v>71</v>
      </c>
      <c r="Q234" s="558"/>
      <c r="R234" s="558"/>
      <c r="S234" s="558"/>
      <c r="T234" s="558"/>
      <c r="U234" s="558"/>
      <c r="V234" s="559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7"/>
      <c r="P235" s="557" t="s">
        <v>71</v>
      </c>
      <c r="Q235" s="558"/>
      <c r="R235" s="558"/>
      <c r="S235" s="558"/>
      <c r="T235" s="558"/>
      <c r="U235" s="558"/>
      <c r="V235" s="559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135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381</v>
      </c>
      <c r="B237" s="54" t="s">
        <v>382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383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6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7"/>
      <c r="P238" s="557" t="s">
        <v>71</v>
      </c>
      <c r="Q238" s="558"/>
      <c r="R238" s="558"/>
      <c r="S238" s="558"/>
      <c r="T238" s="558"/>
      <c r="U238" s="558"/>
      <c r="V238" s="559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7"/>
      <c r="P239" s="557" t="s">
        <v>71</v>
      </c>
      <c r="Q239" s="558"/>
      <c r="R239" s="558"/>
      <c r="S239" s="558"/>
      <c r="T239" s="558"/>
      <c r="U239" s="558"/>
      <c r="V239" s="559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384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385</v>
      </c>
      <c r="B241" s="54" t="s">
        <v>386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287</v>
      </c>
      <c r="L241" s="32"/>
      <c r="M241" s="33" t="s">
        <v>288</v>
      </c>
      <c r="N241" s="33"/>
      <c r="O241" s="32">
        <v>45</v>
      </c>
      <c r="P241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387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6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7"/>
      <c r="P242" s="557" t="s">
        <v>71</v>
      </c>
      <c r="Q242" s="558"/>
      <c r="R242" s="558"/>
      <c r="S242" s="558"/>
      <c r="T242" s="558"/>
      <c r="U242" s="558"/>
      <c r="V242" s="559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7"/>
      <c r="P243" s="557" t="s">
        <v>71</v>
      </c>
      <c r="Q243" s="558"/>
      <c r="R243" s="558"/>
      <c r="S243" s="558"/>
      <c r="T243" s="558"/>
      <c r="U243" s="558"/>
      <c r="V243" s="559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388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389</v>
      </c>
      <c r="B245" s="54" t="s">
        <v>390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287</v>
      </c>
      <c r="L245" s="32"/>
      <c r="M245" s="33" t="s">
        <v>288</v>
      </c>
      <c r="N245" s="33"/>
      <c r="O245" s="32">
        <v>90</v>
      </c>
      <c r="P245" s="71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391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392</v>
      </c>
      <c r="B246" s="54" t="s">
        <v>393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287</v>
      </c>
      <c r="L246" s="32"/>
      <c r="M246" s="33" t="s">
        <v>288</v>
      </c>
      <c r="N246" s="33"/>
      <c r="O246" s="32">
        <v>90</v>
      </c>
      <c r="P246" s="66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394</v>
      </c>
      <c r="B247" s="54" t="s">
        <v>395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287</v>
      </c>
      <c r="L247" s="32"/>
      <c r="M247" s="33" t="s">
        <v>288</v>
      </c>
      <c r="N247" s="33"/>
      <c r="O247" s="32">
        <v>90</v>
      </c>
      <c r="P247" s="79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396</v>
      </c>
      <c r="B248" s="54" t="s">
        <v>397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287</v>
      </c>
      <c r="L248" s="32"/>
      <c r="M248" s="33" t="s">
        <v>288</v>
      </c>
      <c r="N248" s="33"/>
      <c r="O248" s="32">
        <v>90</v>
      </c>
      <c r="P248" s="72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398</v>
      </c>
      <c r="B249" s="54" t="s">
        <v>399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287</v>
      </c>
      <c r="L249" s="32"/>
      <c r="M249" s="33" t="s">
        <v>288</v>
      </c>
      <c r="N249" s="33"/>
      <c r="O249" s="32">
        <v>90</v>
      </c>
      <c r="P249" s="56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6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7"/>
      <c r="P250" s="557" t="s">
        <v>71</v>
      </c>
      <c r="Q250" s="558"/>
      <c r="R250" s="558"/>
      <c r="S250" s="558"/>
      <c r="T250" s="558"/>
      <c r="U250" s="558"/>
      <c r="V250" s="559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7"/>
      <c r="P251" s="557" t="s">
        <v>71</v>
      </c>
      <c r="Q251" s="558"/>
      <c r="R251" s="558"/>
      <c r="S251" s="558"/>
      <c r="T251" s="558"/>
      <c r="U251" s="558"/>
      <c r="V251" s="559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400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99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401</v>
      </c>
      <c r="B254" s="54" t="s">
        <v>402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403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404</v>
      </c>
      <c r="B255" s="54" t="s">
        <v>405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407</v>
      </c>
      <c r="B256" s="54" t="s">
        <v>408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413</v>
      </c>
      <c r="B258" s="54" t="s">
        <v>414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7"/>
      <c r="P259" s="557" t="s">
        <v>71</v>
      </c>
      <c r="Q259" s="558"/>
      <c r="R259" s="558"/>
      <c r="S259" s="558"/>
      <c r="T259" s="558"/>
      <c r="U259" s="558"/>
      <c r="V259" s="559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7"/>
      <c r="P260" s="557" t="s">
        <v>71</v>
      </c>
      <c r="Q260" s="558"/>
      <c r="R260" s="558"/>
      <c r="S260" s="558"/>
      <c r="T260" s="558"/>
      <c r="U260" s="558"/>
      <c r="V260" s="559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416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99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417</v>
      </c>
      <c r="B263" s="54" t="s">
        <v>418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419</v>
      </c>
      <c r="B264" s="54" t="s">
        <v>420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422</v>
      </c>
      <c r="B265" s="54" t="s">
        <v>423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367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424</v>
      </c>
      <c r="B266" s="54" t="s">
        <v>425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426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6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7"/>
      <c r="P267" s="557" t="s">
        <v>71</v>
      </c>
      <c r="Q267" s="558"/>
      <c r="R267" s="558"/>
      <c r="S267" s="558"/>
      <c r="T267" s="558"/>
      <c r="U267" s="558"/>
      <c r="V267" s="559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7"/>
      <c r="P268" s="557" t="s">
        <v>71</v>
      </c>
      <c r="Q268" s="558"/>
      <c r="R268" s="558"/>
      <c r="S268" s="558"/>
      <c r="T268" s="558"/>
      <c r="U268" s="558"/>
      <c r="V268" s="559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427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73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428</v>
      </c>
      <c r="B271" s="54" t="s">
        <v>429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430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431</v>
      </c>
      <c r="B272" s="54" t="s">
        <v>432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214</v>
      </c>
      <c r="M272" s="33" t="s">
        <v>84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/>
      <c r="M273" s="33" t="s">
        <v>77</v>
      </c>
      <c r="N273" s="33"/>
      <c r="O273" s="32">
        <v>45</v>
      </c>
      <c r="P273" s="62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430</v>
      </c>
      <c r="AG273" s="64"/>
      <c r="AJ273" s="68" t="s">
        <v>106</v>
      </c>
      <c r="AK273" s="68">
        <v>2.4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6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7"/>
      <c r="P274" s="557" t="s">
        <v>71</v>
      </c>
      <c r="Q274" s="558"/>
      <c r="R274" s="558"/>
      <c r="S274" s="558"/>
      <c r="T274" s="558"/>
      <c r="U274" s="558"/>
      <c r="V274" s="559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7"/>
      <c r="P275" s="557" t="s">
        <v>71</v>
      </c>
      <c r="Q275" s="558"/>
      <c r="R275" s="558"/>
      <c r="S275" s="558"/>
      <c r="T275" s="558"/>
      <c r="U275" s="558"/>
      <c r="V275" s="559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436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64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437</v>
      </c>
      <c r="B278" s="54" t="s">
        <v>438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9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439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440</v>
      </c>
      <c r="B279" s="54" t="s">
        <v>441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6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7"/>
      <c r="P280" s="557" t="s">
        <v>71</v>
      </c>
      <c r="Q280" s="558"/>
      <c r="R280" s="558"/>
      <c r="S280" s="558"/>
      <c r="T280" s="558"/>
      <c r="U280" s="558"/>
      <c r="V280" s="559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7"/>
      <c r="P281" s="557" t="s">
        <v>71</v>
      </c>
      <c r="Q281" s="558"/>
      <c r="R281" s="558"/>
      <c r="S281" s="558"/>
      <c r="T281" s="558"/>
      <c r="U281" s="558"/>
      <c r="V281" s="559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73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443</v>
      </c>
      <c r="B283" s="54" t="s">
        <v>444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445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x14ac:dyDescent="0.2">
      <c r="A284" s="566"/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67"/>
      <c r="P284" s="557" t="s">
        <v>71</v>
      </c>
      <c r="Q284" s="558"/>
      <c r="R284" s="558"/>
      <c r="S284" s="558"/>
      <c r="T284" s="558"/>
      <c r="U284" s="558"/>
      <c r="V284" s="559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x14ac:dyDescent="0.2">
      <c r="A285" s="553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7"/>
      <c r="P285" s="557" t="s">
        <v>71</v>
      </c>
      <c r="Q285" s="558"/>
      <c r="R285" s="558"/>
      <c r="S285" s="558"/>
      <c r="T285" s="558"/>
      <c r="U285" s="558"/>
      <c r="V285" s="559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customHeight="1" x14ac:dyDescent="0.25">
      <c r="A286" s="552" t="s">
        <v>446</v>
      </c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53"/>
      <c r="P286" s="553"/>
      <c r="Q286" s="553"/>
      <c r="R286" s="553"/>
      <c r="S286" s="553"/>
      <c r="T286" s="553"/>
      <c r="U286" s="553"/>
      <c r="V286" s="553"/>
      <c r="W286" s="553"/>
      <c r="X286" s="553"/>
      <c r="Y286" s="553"/>
      <c r="Z286" s="553"/>
      <c r="AA286" s="534"/>
      <c r="AB286" s="534"/>
      <c r="AC286" s="534"/>
    </row>
    <row r="287" spans="1:68" ht="14.25" customHeight="1" x14ac:dyDescent="0.25">
      <c r="A287" s="554" t="s">
        <v>99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5"/>
      <c r="AB287" s="535"/>
      <c r="AC287" s="535"/>
    </row>
    <row r="288" spans="1:68" ht="27" customHeight="1" x14ac:dyDescent="0.25">
      <c r="A288" s="54" t="s">
        <v>447</v>
      </c>
      <c r="B288" s="54" t="s">
        <v>448</v>
      </c>
      <c r="C288" s="31">
        <v>4301012024</v>
      </c>
      <c r="D288" s="546">
        <v>4680115885615</v>
      </c>
      <c r="E288" s="547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4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4"/>
      <c r="R288" s="544"/>
      <c r="S288" s="544"/>
      <c r="T288" s="545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449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customHeight="1" x14ac:dyDescent="0.25">
      <c r="A289" s="54" t="s">
        <v>450</v>
      </c>
      <c r="B289" s="54" t="s">
        <v>451</v>
      </c>
      <c r="C289" s="31">
        <v>4301011858</v>
      </c>
      <c r="D289" s="546">
        <v>4680115885646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452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customHeight="1" x14ac:dyDescent="0.25">
      <c r="A290" s="54" t="s">
        <v>453</v>
      </c>
      <c r="B290" s="54" t="s">
        <v>454</v>
      </c>
      <c r="C290" s="31">
        <v>4301012016</v>
      </c>
      <c r="D290" s="546">
        <v>4680115885554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455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456</v>
      </c>
      <c r="B291" s="54" t="s">
        <v>457</v>
      </c>
      <c r="C291" s="31">
        <v>4301011857</v>
      </c>
      <c r="D291" s="546">
        <v>4680115885622</v>
      </c>
      <c r="E291" s="547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4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4"/>
      <c r="R291" s="544"/>
      <c r="S291" s="544"/>
      <c r="T291" s="545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4301011859</v>
      </c>
      <c r="D292" s="546">
        <v>4680115885608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x14ac:dyDescent="0.2">
      <c r="A293" s="566"/>
      <c r="B293" s="553"/>
      <c r="C293" s="553"/>
      <c r="D293" s="553"/>
      <c r="E293" s="553"/>
      <c r="F293" s="553"/>
      <c r="G293" s="553"/>
      <c r="H293" s="553"/>
      <c r="I293" s="553"/>
      <c r="J293" s="553"/>
      <c r="K293" s="553"/>
      <c r="L293" s="553"/>
      <c r="M293" s="553"/>
      <c r="N293" s="553"/>
      <c r="O293" s="567"/>
      <c r="P293" s="557" t="s">
        <v>71</v>
      </c>
      <c r="Q293" s="558"/>
      <c r="R293" s="558"/>
      <c r="S293" s="558"/>
      <c r="T293" s="558"/>
      <c r="U293" s="558"/>
      <c r="V293" s="559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x14ac:dyDescent="0.2">
      <c r="A294" s="553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7"/>
      <c r="P294" s="557" t="s">
        <v>71</v>
      </c>
      <c r="Q294" s="558"/>
      <c r="R294" s="558"/>
      <c r="S294" s="558"/>
      <c r="T294" s="558"/>
      <c r="U294" s="558"/>
      <c r="V294" s="559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customHeight="1" x14ac:dyDescent="0.25">
      <c r="A295" s="554" t="s">
        <v>64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535"/>
      <c r="AB295" s="535"/>
      <c r="AC295" s="535"/>
    </row>
    <row r="296" spans="1:68" ht="27" customHeight="1" x14ac:dyDescent="0.25">
      <c r="A296" s="54" t="s">
        <v>461</v>
      </c>
      <c r="B296" s="54" t="s">
        <v>462</v>
      </c>
      <c r="C296" s="31">
        <v>4301030878</v>
      </c>
      <c r="D296" s="546">
        <v>4607091387193</v>
      </c>
      <c r="E296" s="547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4"/>
      <c r="R296" s="544"/>
      <c r="S296" s="544"/>
      <c r="T296" s="545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463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customHeight="1" x14ac:dyDescent="0.25">
      <c r="A297" s="54" t="s">
        <v>464</v>
      </c>
      <c r="B297" s="54" t="s">
        <v>465</v>
      </c>
      <c r="C297" s="31">
        <v>4301031153</v>
      </c>
      <c r="D297" s="546">
        <v>4607091387230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40</v>
      </c>
      <c r="P297" s="8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466</v>
      </c>
      <c r="AG297" s="64"/>
      <c r="AJ297" s="68"/>
      <c r="AK297" s="68">
        <v>0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customHeight="1" x14ac:dyDescent="0.25">
      <c r="A298" s="54" t="s">
        <v>467</v>
      </c>
      <c r="B298" s="54" t="s">
        <v>468</v>
      </c>
      <c r="C298" s="31">
        <v>4301031154</v>
      </c>
      <c r="D298" s="546">
        <v>4607091387292</v>
      </c>
      <c r="E298" s="547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469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470</v>
      </c>
      <c r="B299" s="54" t="s">
        <v>471</v>
      </c>
      <c r="C299" s="31">
        <v>4301031152</v>
      </c>
      <c r="D299" s="546">
        <v>4607091387285</v>
      </c>
      <c r="E299" s="547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 t="s">
        <v>272</v>
      </c>
      <c r="M299" s="33" t="s">
        <v>68</v>
      </c>
      <c r="N299" s="33"/>
      <c r="O299" s="32">
        <v>40</v>
      </c>
      <c r="P299" s="73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4"/>
      <c r="R299" s="544"/>
      <c r="S299" s="544"/>
      <c r="T299" s="545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466</v>
      </c>
      <c r="AG299" s="64"/>
      <c r="AJ299" s="68" t="s">
        <v>106</v>
      </c>
      <c r="AK299" s="68">
        <v>37.799999999999997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4301031305</v>
      </c>
      <c r="D300" s="546">
        <v>4607091389845</v>
      </c>
      <c r="E300" s="547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272</v>
      </c>
      <c r="M300" s="33" t="s">
        <v>68</v>
      </c>
      <c r="N300" s="33"/>
      <c r="O300" s="32">
        <v>40</v>
      </c>
      <c r="P300" s="6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474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4301031306</v>
      </c>
      <c r="D301" s="546">
        <v>4680115882881</v>
      </c>
      <c r="E301" s="547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4"/>
      <c r="R301" s="544"/>
      <c r="S301" s="544"/>
      <c r="T301" s="545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4301031066</v>
      </c>
      <c r="D302" s="546">
        <v>4607091383836</v>
      </c>
      <c r="E302" s="547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 t="s">
        <v>214</v>
      </c>
      <c r="M302" s="33" t="s">
        <v>68</v>
      </c>
      <c r="N302" s="33"/>
      <c r="O302" s="32">
        <v>40</v>
      </c>
      <c r="P302" s="5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4"/>
      <c r="R302" s="544"/>
      <c r="S302" s="544"/>
      <c r="T302" s="545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479</v>
      </c>
      <c r="AG302" s="64"/>
      <c r="AJ302" s="68" t="s">
        <v>106</v>
      </c>
      <c r="AK302" s="68">
        <v>25.2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x14ac:dyDescent="0.2">
      <c r="A303" s="566"/>
      <c r="B303" s="553"/>
      <c r="C303" s="553"/>
      <c r="D303" s="553"/>
      <c r="E303" s="553"/>
      <c r="F303" s="553"/>
      <c r="G303" s="553"/>
      <c r="H303" s="553"/>
      <c r="I303" s="553"/>
      <c r="J303" s="553"/>
      <c r="K303" s="553"/>
      <c r="L303" s="553"/>
      <c r="M303" s="553"/>
      <c r="N303" s="553"/>
      <c r="O303" s="567"/>
      <c r="P303" s="557" t="s">
        <v>71</v>
      </c>
      <c r="Q303" s="558"/>
      <c r="R303" s="558"/>
      <c r="S303" s="558"/>
      <c r="T303" s="558"/>
      <c r="U303" s="558"/>
      <c r="V303" s="559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x14ac:dyDescent="0.2">
      <c r="A304" s="553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7"/>
      <c r="P304" s="557" t="s">
        <v>71</v>
      </c>
      <c r="Q304" s="558"/>
      <c r="R304" s="558"/>
      <c r="S304" s="558"/>
      <c r="T304" s="558"/>
      <c r="U304" s="558"/>
      <c r="V304" s="559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customHeight="1" x14ac:dyDescent="0.25">
      <c r="A305" s="554" t="s">
        <v>73</v>
      </c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53"/>
      <c r="P305" s="553"/>
      <c r="Q305" s="553"/>
      <c r="R305" s="553"/>
      <c r="S305" s="553"/>
      <c r="T305" s="553"/>
      <c r="U305" s="553"/>
      <c r="V305" s="553"/>
      <c r="W305" s="553"/>
      <c r="X305" s="553"/>
      <c r="Y305" s="553"/>
      <c r="Z305" s="553"/>
      <c r="AA305" s="535"/>
      <c r="AB305" s="535"/>
      <c r="AC305" s="535"/>
    </row>
    <row r="306" spans="1:68" ht="27" customHeight="1" x14ac:dyDescent="0.25">
      <c r="A306" s="54" t="s">
        <v>480</v>
      </c>
      <c r="B306" s="54" t="s">
        <v>481</v>
      </c>
      <c r="C306" s="31">
        <v>4301051100</v>
      </c>
      <c r="D306" s="546">
        <v>4607091387766</v>
      </c>
      <c r="E306" s="547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/>
      <c r="M306" s="33" t="s">
        <v>77</v>
      </c>
      <c r="N306" s="33"/>
      <c r="O306" s="32">
        <v>40</v>
      </c>
      <c r="P306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4"/>
      <c r="R306" s="544"/>
      <c r="S306" s="544"/>
      <c r="T306" s="545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482</v>
      </c>
      <c r="AG306" s="64"/>
      <c r="AJ306" s="68"/>
      <c r="AK306" s="68">
        <v>0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customHeight="1" x14ac:dyDescent="0.25">
      <c r="A307" s="54" t="s">
        <v>483</v>
      </c>
      <c r="B307" s="54" t="s">
        <v>484</v>
      </c>
      <c r="C307" s="31">
        <v>4301051818</v>
      </c>
      <c r="D307" s="546">
        <v>4607091387957</v>
      </c>
      <c r="E307" s="547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4"/>
      <c r="R307" s="544"/>
      <c r="S307" s="544"/>
      <c r="T307" s="545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485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486</v>
      </c>
      <c r="B308" s="54" t="s">
        <v>487</v>
      </c>
      <c r="C308" s="31">
        <v>4301051819</v>
      </c>
      <c r="D308" s="546">
        <v>4607091387964</v>
      </c>
      <c r="E308" s="547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488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489</v>
      </c>
      <c r="B309" s="54" t="s">
        <v>490</v>
      </c>
      <c r="C309" s="31">
        <v>4301051734</v>
      </c>
      <c r="D309" s="546">
        <v>4680115884588</v>
      </c>
      <c r="E309" s="547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4"/>
      <c r="R309" s="544"/>
      <c r="S309" s="544"/>
      <c r="T309" s="545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491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492</v>
      </c>
      <c r="B310" s="54" t="s">
        <v>493</v>
      </c>
      <c r="C310" s="31">
        <v>4301051578</v>
      </c>
      <c r="D310" s="546">
        <v>4607091387513</v>
      </c>
      <c r="E310" s="547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/>
      <c r="M310" s="33" t="s">
        <v>84</v>
      </c>
      <c r="N310" s="33"/>
      <c r="O310" s="32">
        <v>40</v>
      </c>
      <c r="P310" s="696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4"/>
      <c r="R310" s="544"/>
      <c r="S310" s="544"/>
      <c r="T310" s="545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494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6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7"/>
      <c r="P311" s="557" t="s">
        <v>71</v>
      </c>
      <c r="Q311" s="558"/>
      <c r="R311" s="558"/>
      <c r="S311" s="558"/>
      <c r="T311" s="558"/>
      <c r="U311" s="558"/>
      <c r="V311" s="559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7"/>
      <c r="P312" s="557" t="s">
        <v>71</v>
      </c>
      <c r="Q312" s="558"/>
      <c r="R312" s="558"/>
      <c r="S312" s="558"/>
      <c r="T312" s="558"/>
      <c r="U312" s="558"/>
      <c r="V312" s="559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163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495</v>
      </c>
      <c r="B314" s="54" t="s">
        <v>496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497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498</v>
      </c>
      <c r="B315" s="54" t="s">
        <v>499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69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500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501</v>
      </c>
      <c r="B316" s="54" t="s">
        <v>502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503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6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7"/>
      <c r="P317" s="557" t="s">
        <v>71</v>
      </c>
      <c r="Q317" s="558"/>
      <c r="R317" s="558"/>
      <c r="S317" s="558"/>
      <c r="T317" s="558"/>
      <c r="U317" s="558"/>
      <c r="V317" s="559"/>
      <c r="W317" s="37" t="s">
        <v>72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7"/>
      <c r="P318" s="557" t="s">
        <v>71</v>
      </c>
      <c r="Q318" s="558"/>
      <c r="R318" s="558"/>
      <c r="S318" s="558"/>
      <c r="T318" s="558"/>
      <c r="U318" s="558"/>
      <c r="V318" s="559"/>
      <c r="W318" s="37" t="s">
        <v>69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customHeight="1" x14ac:dyDescent="0.25">
      <c r="A319" s="554" t="s">
        <v>91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504</v>
      </c>
      <c r="B320" s="54" t="s">
        <v>505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506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507</v>
      </c>
      <c r="B321" s="54" t="s">
        <v>508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3" t="s">
        <v>509</v>
      </c>
      <c r="Q321" s="544"/>
      <c r="R321" s="544"/>
      <c r="S321" s="544"/>
      <c r="T321" s="545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506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510</v>
      </c>
      <c r="B322" s="54" t="s">
        <v>511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214</v>
      </c>
      <c r="M322" s="33" t="s">
        <v>94</v>
      </c>
      <c r="N322" s="33"/>
      <c r="O322" s="32">
        <v>180</v>
      </c>
      <c r="P322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512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513</v>
      </c>
      <c r="B323" s="54" t="s">
        <v>514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214</v>
      </c>
      <c r="M323" s="33" t="s">
        <v>94</v>
      </c>
      <c r="N323" s="33"/>
      <c r="O323" s="32">
        <v>180</v>
      </c>
      <c r="P323" s="78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506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6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7"/>
      <c r="P324" s="557" t="s">
        <v>71</v>
      </c>
      <c r="Q324" s="558"/>
      <c r="R324" s="558"/>
      <c r="S324" s="558"/>
      <c r="T324" s="558"/>
      <c r="U324" s="558"/>
      <c r="V324" s="559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7"/>
      <c r="P325" s="557" t="s">
        <v>71</v>
      </c>
      <c r="Q325" s="558"/>
      <c r="R325" s="558"/>
      <c r="S325" s="558"/>
      <c r="T325" s="558"/>
      <c r="U325" s="558"/>
      <c r="V325" s="559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515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516</v>
      </c>
      <c r="B327" s="54" t="s">
        <v>517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214</v>
      </c>
      <c r="M327" s="33" t="s">
        <v>518</v>
      </c>
      <c r="N327" s="33"/>
      <c r="O327" s="32">
        <v>730</v>
      </c>
      <c r="P327" s="7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519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520</v>
      </c>
      <c r="B328" s="54" t="s">
        <v>521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518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69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522</v>
      </c>
      <c r="B329" s="54" t="s">
        <v>523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214</v>
      </c>
      <c r="M329" s="33" t="s">
        <v>518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69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6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7"/>
      <c r="P330" s="557" t="s">
        <v>71</v>
      </c>
      <c r="Q330" s="558"/>
      <c r="R330" s="558"/>
      <c r="S330" s="558"/>
      <c r="T330" s="558"/>
      <c r="U330" s="558"/>
      <c r="V330" s="559"/>
      <c r="W330" s="37" t="s">
        <v>72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7"/>
      <c r="P331" s="557" t="s">
        <v>71</v>
      </c>
      <c r="Q331" s="558"/>
      <c r="R331" s="558"/>
      <c r="S331" s="558"/>
      <c r="T331" s="558"/>
      <c r="U331" s="558"/>
      <c r="V331" s="559"/>
      <c r="W331" s="37" t="s">
        <v>69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524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73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525</v>
      </c>
      <c r="B334" s="54" t="s">
        <v>526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527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528</v>
      </c>
      <c r="B335" s="54" t="s">
        <v>529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214</v>
      </c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530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531</v>
      </c>
      <c r="B336" s="54" t="s">
        <v>532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214</v>
      </c>
      <c r="M336" s="33" t="s">
        <v>84</v>
      </c>
      <c r="N336" s="33"/>
      <c r="O336" s="32">
        <v>40</v>
      </c>
      <c r="P336" s="80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533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7"/>
      <c r="P337" s="557" t="s">
        <v>71</v>
      </c>
      <c r="Q337" s="558"/>
      <c r="R337" s="558"/>
      <c r="S337" s="558"/>
      <c r="T337" s="558"/>
      <c r="U337" s="558"/>
      <c r="V337" s="559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7"/>
      <c r="P338" s="557" t="s">
        <v>71</v>
      </c>
      <c r="Q338" s="558"/>
      <c r="R338" s="558"/>
      <c r="S338" s="558"/>
      <c r="T338" s="558"/>
      <c r="U338" s="558"/>
      <c r="V338" s="559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534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99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536</v>
      </c>
      <c r="B342" s="54" t="s">
        <v>537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/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69</v>
      </c>
      <c r="X342" s="539">
        <v>1000</v>
      </c>
      <c r="Y342" s="540">
        <f t="shared" ref="Y342:Y348" si="31">IFERROR(IF(X342="",0,CEILING((X342/$H342),1)*$H342),"")</f>
        <v>1005</v>
      </c>
      <c r="Z342" s="36">
        <f>IFERROR(IF(Y342=0,"",ROUNDUP(Y342/H342,0)*0.02175),"")</f>
        <v>1.4572499999999999</v>
      </c>
      <c r="AA342" s="56"/>
      <c r="AB342" s="57"/>
      <c r="AC342" s="389" t="s">
        <v>538</v>
      </c>
      <c r="AG342" s="64"/>
      <c r="AJ342" s="68" t="s">
        <v>106</v>
      </c>
      <c r="AK342" s="68">
        <v>15</v>
      </c>
      <c r="BB342" s="390" t="s">
        <v>1</v>
      </c>
      <c r="BM342" s="64">
        <f t="shared" ref="BM342:BM348" si="32">IFERROR(X342*I342/H342,"0")</f>
        <v>1031.3333333333333</v>
      </c>
      <c r="BN342" s="64">
        <f t="shared" ref="BN342:BN348" si="33">IFERROR(Y342*I342/H342,"0")</f>
        <v>1036.49</v>
      </c>
      <c r="BO342" s="64">
        <f t="shared" ref="BO342:BO348" si="34">IFERROR(1/J342*(X342/H342),"0")</f>
        <v>1.3888888888888888</v>
      </c>
      <c r="BP342" s="64">
        <f t="shared" ref="BP342:BP348" si="35">IFERROR(1/J342*(Y342/H342),"0")</f>
        <v>1.3958333333333333</v>
      </c>
    </row>
    <row r="343" spans="1:68" ht="27" customHeight="1" x14ac:dyDescent="0.25">
      <c r="A343" s="54" t="s">
        <v>539</v>
      </c>
      <c r="B343" s="54" t="s">
        <v>540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/>
      <c r="M343" s="33" t="s">
        <v>68</v>
      </c>
      <c r="N343" s="33"/>
      <c r="O343" s="32">
        <v>60</v>
      </c>
      <c r="P343" s="74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69</v>
      </c>
      <c r="X343" s="539">
        <v>1000</v>
      </c>
      <c r="Y343" s="540">
        <f t="shared" si="31"/>
        <v>1005</v>
      </c>
      <c r="Z343" s="36">
        <f>IFERROR(IF(Y343=0,"",ROUNDUP(Y343/H343,0)*0.02175),"")</f>
        <v>1.4572499999999999</v>
      </c>
      <c r="AA343" s="56"/>
      <c r="AB343" s="57"/>
      <c r="AC343" s="391" t="s">
        <v>541</v>
      </c>
      <c r="AG343" s="64"/>
      <c r="AJ343" s="68" t="s">
        <v>106</v>
      </c>
      <c r="AK343" s="68">
        <v>15</v>
      </c>
      <c r="BB343" s="392" t="s">
        <v>1</v>
      </c>
      <c r="BM343" s="64">
        <f t="shared" si="32"/>
        <v>1031.3333333333333</v>
      </c>
      <c r="BN343" s="64">
        <f t="shared" si="33"/>
        <v>1036.49</v>
      </c>
      <c r="BO343" s="64">
        <f t="shared" si="34"/>
        <v>1.3888888888888888</v>
      </c>
      <c r="BP343" s="64">
        <f t="shared" si="35"/>
        <v>1.3958333333333333</v>
      </c>
    </row>
    <row r="344" spans="1:68" ht="37.5" customHeight="1" x14ac:dyDescent="0.25">
      <c r="A344" s="54" t="s">
        <v>542</v>
      </c>
      <c r="B344" s="54" t="s">
        <v>543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69</v>
      </c>
      <c r="X344" s="539">
        <v>0</v>
      </c>
      <c r="Y344" s="540">
        <f t="shared" si="31"/>
        <v>0</v>
      </c>
      <c r="Z344" s="36" t="str">
        <f>IFERROR(IF(Y344=0,"",ROUNDUP(Y344/H344,0)*0.02175),"")</f>
        <v/>
      </c>
      <c r="AA344" s="56"/>
      <c r="AB344" s="57"/>
      <c r="AC344" s="393" t="s">
        <v>544</v>
      </c>
      <c r="AG344" s="64"/>
      <c r="AJ344" s="68" t="s">
        <v>106</v>
      </c>
      <c r="AK344" s="68">
        <v>15</v>
      </c>
      <c r="BB344" s="394" t="s">
        <v>1</v>
      </c>
      <c r="BM344" s="64">
        <f t="shared" si="32"/>
        <v>0</v>
      </c>
      <c r="BN344" s="64">
        <f t="shared" si="33"/>
        <v>0</v>
      </c>
      <c r="BO344" s="64">
        <f t="shared" si="34"/>
        <v>0</v>
      </c>
      <c r="BP344" s="64">
        <f t="shared" si="35"/>
        <v>0</v>
      </c>
    </row>
    <row r="345" spans="1:68" ht="27" customHeight="1" x14ac:dyDescent="0.25">
      <c r="A345" s="54" t="s">
        <v>545</v>
      </c>
      <c r="B345" s="54" t="s">
        <v>546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3" t="s">
        <v>547</v>
      </c>
      <c r="Q345" s="544"/>
      <c r="R345" s="544"/>
      <c r="S345" s="544"/>
      <c r="T345" s="545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549</v>
      </c>
      <c r="B346" s="54" t="s">
        <v>550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541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554</v>
      </c>
      <c r="B348" s="54" t="s">
        <v>555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544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6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7"/>
      <c r="P349" s="557" t="s">
        <v>71</v>
      </c>
      <c r="Q349" s="558"/>
      <c r="R349" s="558"/>
      <c r="S349" s="558"/>
      <c r="T349" s="558"/>
      <c r="U349" s="558"/>
      <c r="V349" s="559"/>
      <c r="W349" s="37" t="s">
        <v>72</v>
      </c>
      <c r="X349" s="541">
        <f>IFERROR(X342/H342,"0")+IFERROR(X343/H343,"0")+IFERROR(X344/H344,"0")+IFERROR(X345/H345,"0")+IFERROR(X346/H346,"0")+IFERROR(X347/H347,"0")+IFERROR(X348/H348,"0")</f>
        <v>133.33333333333334</v>
      </c>
      <c r="Y349" s="541">
        <f>IFERROR(Y342/H342,"0")+IFERROR(Y343/H343,"0")+IFERROR(Y344/H344,"0")+IFERROR(Y345/H345,"0")+IFERROR(Y346/H346,"0")+IFERROR(Y347/H347,"0")+IFERROR(Y348/H348,"0")</f>
        <v>134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2.9144999999999999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7"/>
      <c r="P350" s="557" t="s">
        <v>71</v>
      </c>
      <c r="Q350" s="558"/>
      <c r="R350" s="558"/>
      <c r="S350" s="558"/>
      <c r="T350" s="558"/>
      <c r="U350" s="558"/>
      <c r="V350" s="559"/>
      <c r="W350" s="37" t="s">
        <v>69</v>
      </c>
      <c r="X350" s="541">
        <f>IFERROR(SUM(X342:X348),"0")</f>
        <v>2000</v>
      </c>
      <c r="Y350" s="541">
        <f>IFERROR(SUM(Y342:Y348),"0")</f>
        <v>2010</v>
      </c>
      <c r="Z350" s="37"/>
      <c r="AA350" s="542"/>
      <c r="AB350" s="542"/>
      <c r="AC350" s="542"/>
    </row>
    <row r="351" spans="1:68" ht="14.25" customHeight="1" x14ac:dyDescent="0.25">
      <c r="A351" s="554" t="s">
        <v>135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556</v>
      </c>
      <c r="B352" s="54" t="s">
        <v>557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/>
      <c r="M352" s="33" t="s">
        <v>104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69</v>
      </c>
      <c r="X352" s="539">
        <v>1000</v>
      </c>
      <c r="Y352" s="540">
        <f>IFERROR(IF(X352="",0,CEILING((X352/$H352),1)*$H352),"")</f>
        <v>1005</v>
      </c>
      <c r="Z352" s="36">
        <f>IFERROR(IF(Y352=0,"",ROUNDUP(Y352/H352,0)*0.02175),"")</f>
        <v>1.4572499999999999</v>
      </c>
      <c r="AA352" s="56"/>
      <c r="AB352" s="57"/>
      <c r="AC352" s="403" t="s">
        <v>558</v>
      </c>
      <c r="AG352" s="64"/>
      <c r="AJ352" s="68" t="s">
        <v>106</v>
      </c>
      <c r="AK352" s="68">
        <v>15</v>
      </c>
      <c r="BB352" s="404" t="s">
        <v>1</v>
      </c>
      <c r="BM352" s="64">
        <f>IFERROR(X352*I352/H352,"0")</f>
        <v>1031.3333333333333</v>
      </c>
      <c r="BN352" s="64">
        <f>IFERROR(Y352*I352/H352,"0")</f>
        <v>1036.49</v>
      </c>
      <c r="BO352" s="64">
        <f>IFERROR(1/J352*(X352/H352),"0")</f>
        <v>1.3888888888888888</v>
      </c>
      <c r="BP352" s="64">
        <f>IFERROR(1/J352*(Y352/H352),"0")</f>
        <v>1.3958333333333333</v>
      </c>
    </row>
    <row r="353" spans="1:68" ht="16.5" customHeight="1" x14ac:dyDescent="0.25">
      <c r="A353" s="54" t="s">
        <v>559</v>
      </c>
      <c r="B353" s="54" t="s">
        <v>560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6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7"/>
      <c r="P354" s="557" t="s">
        <v>71</v>
      </c>
      <c r="Q354" s="558"/>
      <c r="R354" s="558"/>
      <c r="S354" s="558"/>
      <c r="T354" s="558"/>
      <c r="U354" s="558"/>
      <c r="V354" s="559"/>
      <c r="W354" s="37" t="s">
        <v>72</v>
      </c>
      <c r="X354" s="541">
        <f>IFERROR(X352/H352,"0")+IFERROR(X353/H353,"0")</f>
        <v>66.666666666666671</v>
      </c>
      <c r="Y354" s="541">
        <f>IFERROR(Y352/H352,"0")+IFERROR(Y353/H353,"0")</f>
        <v>67</v>
      </c>
      <c r="Z354" s="541">
        <f>IFERROR(IF(Z352="",0,Z352),"0")+IFERROR(IF(Z353="",0,Z353),"0")</f>
        <v>1.4572499999999999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7"/>
      <c r="P355" s="557" t="s">
        <v>71</v>
      </c>
      <c r="Q355" s="558"/>
      <c r="R355" s="558"/>
      <c r="S355" s="558"/>
      <c r="T355" s="558"/>
      <c r="U355" s="558"/>
      <c r="V355" s="559"/>
      <c r="W355" s="37" t="s">
        <v>69</v>
      </c>
      <c r="X355" s="541">
        <f>IFERROR(SUM(X352:X353),"0")</f>
        <v>1000</v>
      </c>
      <c r="Y355" s="541">
        <f>IFERROR(SUM(Y352:Y353),"0")</f>
        <v>1005</v>
      </c>
      <c r="Z355" s="37"/>
      <c r="AA355" s="542"/>
      <c r="AB355" s="542"/>
      <c r="AC355" s="542"/>
    </row>
    <row r="356" spans="1:68" ht="14.25" customHeight="1" x14ac:dyDescent="0.25">
      <c r="A356" s="554" t="s">
        <v>73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561</v>
      </c>
      <c r="B357" s="54" t="s">
        <v>562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563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564</v>
      </c>
      <c r="B358" s="54" t="s">
        <v>565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6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69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566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6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7"/>
      <c r="P359" s="557" t="s">
        <v>71</v>
      </c>
      <c r="Q359" s="558"/>
      <c r="R359" s="558"/>
      <c r="S359" s="558"/>
      <c r="T359" s="558"/>
      <c r="U359" s="558"/>
      <c r="V359" s="559"/>
      <c r="W359" s="37" t="s">
        <v>72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7"/>
      <c r="P360" s="557" t="s">
        <v>71</v>
      </c>
      <c r="Q360" s="558"/>
      <c r="R360" s="558"/>
      <c r="S360" s="558"/>
      <c r="T360" s="558"/>
      <c r="U360" s="558"/>
      <c r="V360" s="559"/>
      <c r="W360" s="37" t="s">
        <v>69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163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567</v>
      </c>
      <c r="B362" s="54" t="s">
        <v>568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569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6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7"/>
      <c r="P363" s="557" t="s">
        <v>71</v>
      </c>
      <c r="Q363" s="558"/>
      <c r="R363" s="558"/>
      <c r="S363" s="558"/>
      <c r="T363" s="558"/>
      <c r="U363" s="558"/>
      <c r="V363" s="559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7"/>
      <c r="P364" s="557" t="s">
        <v>71</v>
      </c>
      <c r="Q364" s="558"/>
      <c r="R364" s="558"/>
      <c r="S364" s="558"/>
      <c r="T364" s="558"/>
      <c r="U364" s="558"/>
      <c r="V364" s="559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570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99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571</v>
      </c>
      <c r="B367" s="54" t="s">
        <v>572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573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574</v>
      </c>
      <c r="B368" s="54" t="s">
        <v>575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573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6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7"/>
      <c r="P369" s="557" t="s">
        <v>71</v>
      </c>
      <c r="Q369" s="558"/>
      <c r="R369" s="558"/>
      <c r="S369" s="558"/>
      <c r="T369" s="558"/>
      <c r="U369" s="558"/>
      <c r="V369" s="559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7"/>
      <c r="P370" s="557" t="s">
        <v>71</v>
      </c>
      <c r="Q370" s="558"/>
      <c r="R370" s="558"/>
      <c r="S370" s="558"/>
      <c r="T370" s="558"/>
      <c r="U370" s="558"/>
      <c r="V370" s="559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64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576</v>
      </c>
      <c r="B372" s="54" t="s">
        <v>577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578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576</v>
      </c>
      <c r="B373" s="54" t="s">
        <v>579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580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6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7"/>
      <c r="P374" s="557" t="s">
        <v>71</v>
      </c>
      <c r="Q374" s="558"/>
      <c r="R374" s="558"/>
      <c r="S374" s="558"/>
      <c r="T374" s="558"/>
      <c r="U374" s="558"/>
      <c r="V374" s="559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7"/>
      <c r="P375" s="557" t="s">
        <v>71</v>
      </c>
      <c r="Q375" s="558"/>
      <c r="R375" s="558"/>
      <c r="S375" s="558"/>
      <c r="T375" s="558"/>
      <c r="U375" s="558"/>
      <c r="V375" s="559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73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581</v>
      </c>
      <c r="B377" s="54" t="s">
        <v>582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69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583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584</v>
      </c>
      <c r="B378" s="54" t="s">
        <v>585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583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6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7"/>
      <c r="P379" s="557" t="s">
        <v>71</v>
      </c>
      <c r="Q379" s="558"/>
      <c r="R379" s="558"/>
      <c r="S379" s="558"/>
      <c r="T379" s="558"/>
      <c r="U379" s="558"/>
      <c r="V379" s="559"/>
      <c r="W379" s="37" t="s">
        <v>72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7"/>
      <c r="P380" s="557" t="s">
        <v>71</v>
      </c>
      <c r="Q380" s="558"/>
      <c r="R380" s="558"/>
      <c r="S380" s="558"/>
      <c r="T380" s="558"/>
      <c r="U380" s="558"/>
      <c r="V380" s="559"/>
      <c r="W380" s="37" t="s">
        <v>69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586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587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64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588</v>
      </c>
      <c r="B384" s="54" t="s">
        <v>589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/>
      <c r="M384" s="33" t="s">
        <v>68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590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591</v>
      </c>
      <c r="B385" s="54" t="s">
        <v>592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593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594</v>
      </c>
      <c r="B386" s="54" t="s">
        <v>595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596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597</v>
      </c>
      <c r="B387" s="54" t="s">
        <v>598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590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599</v>
      </c>
      <c r="B388" s="54" t="s">
        <v>600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 t="s">
        <v>272</v>
      </c>
      <c r="M388" s="33" t="s">
        <v>68</v>
      </c>
      <c r="N388" s="33"/>
      <c r="O388" s="32">
        <v>50</v>
      </c>
      <c r="P388" s="73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590</v>
      </c>
      <c r="AG388" s="64"/>
      <c r="AJ388" s="68" t="s">
        <v>106</v>
      </c>
      <c r="AK388" s="68">
        <v>37.799999999999997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601</v>
      </c>
      <c r="B389" s="54" t="s">
        <v>602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 t="s">
        <v>272</v>
      </c>
      <c r="M389" s="33" t="s">
        <v>68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603</v>
      </c>
      <c r="AG389" s="64"/>
      <c r="AJ389" s="68" t="s">
        <v>106</v>
      </c>
      <c r="AK389" s="68">
        <v>37.799999999999997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604</v>
      </c>
      <c r="B390" s="54" t="s">
        <v>605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606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607</v>
      </c>
      <c r="B391" s="54" t="s">
        <v>608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272</v>
      </c>
      <c r="M391" s="33" t="s">
        <v>68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609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610</v>
      </c>
      <c r="B392" s="54" t="s">
        <v>611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606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6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7"/>
      <c r="P393" s="557" t="s">
        <v>71</v>
      </c>
      <c r="Q393" s="558"/>
      <c r="R393" s="558"/>
      <c r="S393" s="558"/>
      <c r="T393" s="558"/>
      <c r="U393" s="558"/>
      <c r="V393" s="559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7"/>
      <c r="P394" s="557" t="s">
        <v>71</v>
      </c>
      <c r="Q394" s="558"/>
      <c r="R394" s="558"/>
      <c r="S394" s="558"/>
      <c r="T394" s="558"/>
      <c r="U394" s="558"/>
      <c r="V394" s="559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73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612</v>
      </c>
      <c r="B396" s="54" t="s">
        <v>613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614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615</v>
      </c>
      <c r="B397" s="54" t="s">
        <v>616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617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6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7"/>
      <c r="P398" s="557" t="s">
        <v>71</v>
      </c>
      <c r="Q398" s="558"/>
      <c r="R398" s="558"/>
      <c r="S398" s="558"/>
      <c r="T398" s="558"/>
      <c r="U398" s="558"/>
      <c r="V398" s="559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7"/>
      <c r="P399" s="557" t="s">
        <v>71</v>
      </c>
      <c r="Q399" s="558"/>
      <c r="R399" s="558"/>
      <c r="S399" s="558"/>
      <c r="T399" s="558"/>
      <c r="U399" s="558"/>
      <c r="V399" s="559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618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135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619</v>
      </c>
      <c r="B402" s="54" t="s">
        <v>620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621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6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7"/>
      <c r="P403" s="557" t="s">
        <v>71</v>
      </c>
      <c r="Q403" s="558"/>
      <c r="R403" s="558"/>
      <c r="S403" s="558"/>
      <c r="T403" s="558"/>
      <c r="U403" s="558"/>
      <c r="V403" s="559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7"/>
      <c r="P404" s="557" t="s">
        <v>71</v>
      </c>
      <c r="Q404" s="558"/>
      <c r="R404" s="558"/>
      <c r="S404" s="558"/>
      <c r="T404" s="558"/>
      <c r="U404" s="558"/>
      <c r="V404" s="559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64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622</v>
      </c>
      <c r="B406" s="54" t="s">
        <v>623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/>
      <c r="M406" s="33" t="s">
        <v>104</v>
      </c>
      <c r="N406" s="33"/>
      <c r="O406" s="32">
        <v>50</v>
      </c>
      <c r="P406" s="6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69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624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625</v>
      </c>
      <c r="B407" s="54" t="s">
        <v>626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627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628</v>
      </c>
      <c r="B408" s="54" t="s">
        <v>629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630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631</v>
      </c>
      <c r="B409" s="54" t="s">
        <v>632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6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7"/>
      <c r="P410" s="557" t="s">
        <v>71</v>
      </c>
      <c r="Q410" s="558"/>
      <c r="R410" s="558"/>
      <c r="S410" s="558"/>
      <c r="T410" s="558"/>
      <c r="U410" s="558"/>
      <c r="V410" s="559"/>
      <c r="W410" s="37" t="s">
        <v>72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7"/>
      <c r="P411" s="557" t="s">
        <v>71</v>
      </c>
      <c r="Q411" s="558"/>
      <c r="R411" s="558"/>
      <c r="S411" s="558"/>
      <c r="T411" s="558"/>
      <c r="U411" s="558"/>
      <c r="V411" s="559"/>
      <c r="W411" s="37" t="s">
        <v>69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633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64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634</v>
      </c>
      <c r="B414" s="54" t="s">
        <v>635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 t="s">
        <v>214</v>
      </c>
      <c r="M414" s="33" t="s">
        <v>68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636</v>
      </c>
      <c r="AG414" s="64"/>
      <c r="AJ414" s="68" t="s">
        <v>106</v>
      </c>
      <c r="AK414" s="68">
        <v>16.8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6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7"/>
      <c r="P415" s="557" t="s">
        <v>71</v>
      </c>
      <c r="Q415" s="558"/>
      <c r="R415" s="558"/>
      <c r="S415" s="558"/>
      <c r="T415" s="558"/>
      <c r="U415" s="558"/>
      <c r="V415" s="559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7"/>
      <c r="P416" s="557" t="s">
        <v>71</v>
      </c>
      <c r="Q416" s="558"/>
      <c r="R416" s="558"/>
      <c r="S416" s="558"/>
      <c r="T416" s="558"/>
      <c r="U416" s="558"/>
      <c r="V416" s="559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637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637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99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638</v>
      </c>
      <c r="B420" s="54" t="s">
        <v>639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81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69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640</v>
      </c>
      <c r="B421" s="54" t="s">
        <v>641</v>
      </c>
      <c r="C421" s="31">
        <v>4301011961</v>
      </c>
      <c r="D421" s="546">
        <v>4680115885271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4"/>
      <c r="R421" s="544"/>
      <c r="S421" s="544"/>
      <c r="T421" s="545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642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643</v>
      </c>
      <c r="B422" s="54" t="s">
        <v>644</v>
      </c>
      <c r="C422" s="31">
        <v>4301011376</v>
      </c>
      <c r="D422" s="546">
        <v>4680115885226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4"/>
      <c r="R422" s="544"/>
      <c r="S422" s="544"/>
      <c r="T422" s="545"/>
      <c r="U422" s="34"/>
      <c r="V422" s="34"/>
      <c r="W422" s="35" t="s">
        <v>69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645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646</v>
      </c>
      <c r="B423" s="54" t="s">
        <v>647</v>
      </c>
      <c r="C423" s="31">
        <v>4301012145</v>
      </c>
      <c r="D423" s="546">
        <v>4607091383522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4"/>
      <c r="R423" s="544"/>
      <c r="S423" s="544"/>
      <c r="T423" s="545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648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customHeight="1" x14ac:dyDescent="0.25">
      <c r="A424" s="54" t="s">
        <v>649</v>
      </c>
      <c r="B424" s="54" t="s">
        <v>650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651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652</v>
      </c>
      <c r="B425" s="54" t="s">
        <v>653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69</v>
      </c>
      <c r="X425" s="539">
        <v>0</v>
      </c>
      <c r="Y425" s="540">
        <f t="shared" si="42"/>
        <v>0</v>
      </c>
      <c r="Z425" s="36" t="str">
        <f t="shared" si="43"/>
        <v/>
      </c>
      <c r="AA425" s="56"/>
      <c r="AB425" s="57"/>
      <c r="AC425" s="469" t="s">
        <v>654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655</v>
      </c>
      <c r="B426" s="54" t="s">
        <v>656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657</v>
      </c>
      <c r="B427" s="54" t="s">
        <v>658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659</v>
      </c>
      <c r="B428" s="54" t="s">
        <v>660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642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661</v>
      </c>
      <c r="B429" s="54" t="s">
        <v>662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664</v>
      </c>
      <c r="B430" s="54" t="s">
        <v>665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/>
      <c r="M430" s="33" t="s">
        <v>104</v>
      </c>
      <c r="N430" s="33"/>
      <c r="O430" s="32">
        <v>60</v>
      </c>
      <c r="P430" s="8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654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6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7"/>
      <c r="P431" s="557" t="s">
        <v>71</v>
      </c>
      <c r="Q431" s="558"/>
      <c r="R431" s="558"/>
      <c r="S431" s="558"/>
      <c r="T431" s="558"/>
      <c r="U431" s="558"/>
      <c r="V431" s="559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0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0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7"/>
      <c r="P432" s="557" t="s">
        <v>71</v>
      </c>
      <c r="Q432" s="558"/>
      <c r="R432" s="558"/>
      <c r="S432" s="558"/>
      <c r="T432" s="558"/>
      <c r="U432" s="558"/>
      <c r="V432" s="559"/>
      <c r="W432" s="37" t="s">
        <v>69</v>
      </c>
      <c r="X432" s="541">
        <f>IFERROR(SUM(X420:X430),"0")</f>
        <v>0</v>
      </c>
      <c r="Y432" s="541">
        <f>IFERROR(SUM(Y420:Y430),"0")</f>
        <v>0</v>
      </c>
      <c r="Z432" s="37"/>
      <c r="AA432" s="542"/>
      <c r="AB432" s="542"/>
      <c r="AC432" s="542"/>
    </row>
    <row r="433" spans="1:68" ht="14.25" customHeight="1" x14ac:dyDescent="0.25">
      <c r="A433" s="554" t="s">
        <v>135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666</v>
      </c>
      <c r="B434" s="54" t="s">
        <v>667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668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customHeight="1" x14ac:dyDescent="0.25">
      <c r="A435" s="54" t="s">
        <v>669</v>
      </c>
      <c r="B435" s="54" t="s">
        <v>670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668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671</v>
      </c>
      <c r="B436" s="54" t="s">
        <v>672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70</v>
      </c>
      <c r="P436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6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7"/>
      <c r="P437" s="557" t="s">
        <v>71</v>
      </c>
      <c r="Q437" s="558"/>
      <c r="R437" s="558"/>
      <c r="S437" s="558"/>
      <c r="T437" s="558"/>
      <c r="U437" s="558"/>
      <c r="V437" s="559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7"/>
      <c r="P438" s="557" t="s">
        <v>71</v>
      </c>
      <c r="Q438" s="558"/>
      <c r="R438" s="558"/>
      <c r="S438" s="558"/>
      <c r="T438" s="558"/>
      <c r="U438" s="558"/>
      <c r="V438" s="559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customHeight="1" x14ac:dyDescent="0.25">
      <c r="A439" s="554" t="s">
        <v>64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673</v>
      </c>
      <c r="B440" s="54" t="s">
        <v>674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2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69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675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676</v>
      </c>
      <c r="B441" s="54" t="s">
        <v>677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2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69</v>
      </c>
      <c r="X441" s="539">
        <v>0</v>
      </c>
      <c r="Y441" s="540">
        <f t="shared" si="48"/>
        <v>0</v>
      </c>
      <c r="Z441" s="36" t="str">
        <f>IFERROR(IF(Y441=0,"",ROUNDUP(Y441/H441,0)*0.01196),"")</f>
        <v/>
      </c>
      <c r="AA441" s="56"/>
      <c r="AB441" s="57"/>
      <c r="AC441" s="489" t="s">
        <v>678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0</v>
      </c>
      <c r="BN441" s="64">
        <f t="shared" si="50"/>
        <v>0</v>
      </c>
      <c r="BO441" s="64">
        <f t="shared" si="51"/>
        <v>0</v>
      </c>
      <c r="BP441" s="64">
        <f t="shared" si="52"/>
        <v>0</v>
      </c>
    </row>
    <row r="442" spans="1:68" ht="27" customHeight="1" x14ac:dyDescent="0.25">
      <c r="A442" s="54" t="s">
        <v>679</v>
      </c>
      <c r="B442" s="54" t="s">
        <v>680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681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682</v>
      </c>
      <c r="B443" s="54" t="s">
        <v>683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 t="s">
        <v>197</v>
      </c>
      <c r="M443" s="33" t="s">
        <v>104</v>
      </c>
      <c r="N443" s="33"/>
      <c r="O443" s="32">
        <v>70</v>
      </c>
      <c r="P443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675</v>
      </c>
      <c r="AG443" s="64"/>
      <c r="AJ443" s="68" t="s">
        <v>106</v>
      </c>
      <c r="AK443" s="68">
        <v>57.6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684</v>
      </c>
      <c r="B444" s="54" t="s">
        <v>685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 t="s">
        <v>197</v>
      </c>
      <c r="M444" s="33" t="s">
        <v>68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678</v>
      </c>
      <c r="AG444" s="64"/>
      <c r="AJ444" s="68" t="s">
        <v>106</v>
      </c>
      <c r="AK444" s="68">
        <v>57.6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686</v>
      </c>
      <c r="B445" s="54" t="s">
        <v>687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 t="s">
        <v>197</v>
      </c>
      <c r="M445" s="33" t="s">
        <v>68</v>
      </c>
      <c r="N445" s="33"/>
      <c r="O445" s="32">
        <v>70</v>
      </c>
      <c r="P445" s="59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681</v>
      </c>
      <c r="AG445" s="64"/>
      <c r="AJ445" s="68" t="s">
        <v>106</v>
      </c>
      <c r="AK445" s="68">
        <v>57.6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6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7"/>
      <c r="P446" s="557" t="s">
        <v>71</v>
      </c>
      <c r="Q446" s="558"/>
      <c r="R446" s="558"/>
      <c r="S446" s="558"/>
      <c r="T446" s="558"/>
      <c r="U446" s="558"/>
      <c r="V446" s="559"/>
      <c r="W446" s="37" t="s">
        <v>72</v>
      </c>
      <c r="X446" s="541">
        <f>IFERROR(X440/H440,"0")+IFERROR(X441/H441,"0")+IFERROR(X442/H442,"0")+IFERROR(X443/H443,"0")+IFERROR(X444/H444,"0")+IFERROR(X445/H445,"0")</f>
        <v>0</v>
      </c>
      <c r="Y446" s="541">
        <f>IFERROR(Y440/H440,"0")+IFERROR(Y441/H441,"0")+IFERROR(Y442/H442,"0")+IFERROR(Y443/H443,"0")+IFERROR(Y444/H444,"0")+IFERROR(Y445/H445,"0")</f>
        <v>0</v>
      </c>
      <c r="Z446" s="541">
        <f>IFERROR(IF(Z440="",0,Z440),"0")+IFERROR(IF(Z441="",0,Z441),"0")+IFERROR(IF(Z442="",0,Z442),"0")+IFERROR(IF(Z443="",0,Z443),"0")+IFERROR(IF(Z444="",0,Z444),"0")+IFERROR(IF(Z445="",0,Z445),"0")</f>
        <v>0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7"/>
      <c r="P447" s="557" t="s">
        <v>71</v>
      </c>
      <c r="Q447" s="558"/>
      <c r="R447" s="558"/>
      <c r="S447" s="558"/>
      <c r="T447" s="558"/>
      <c r="U447" s="558"/>
      <c r="V447" s="559"/>
      <c r="W447" s="37" t="s">
        <v>69</v>
      </c>
      <c r="X447" s="541">
        <f>IFERROR(SUM(X440:X445),"0")</f>
        <v>0</v>
      </c>
      <c r="Y447" s="541">
        <f>IFERROR(SUM(Y440:Y445),"0")</f>
        <v>0</v>
      </c>
      <c r="Z447" s="37"/>
      <c r="AA447" s="542"/>
      <c r="AB447" s="542"/>
      <c r="AC447" s="542"/>
    </row>
    <row r="448" spans="1:68" ht="14.25" customHeight="1" x14ac:dyDescent="0.25">
      <c r="A448" s="554" t="s">
        <v>73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688</v>
      </c>
      <c r="B449" s="54" t="s">
        <v>689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690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691</v>
      </c>
      <c r="B450" s="54" t="s">
        <v>692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693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694</v>
      </c>
      <c r="B451" s="54" t="s">
        <v>695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696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6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7"/>
      <c r="P452" s="557" t="s">
        <v>71</v>
      </c>
      <c r="Q452" s="558"/>
      <c r="R452" s="558"/>
      <c r="S452" s="558"/>
      <c r="T452" s="558"/>
      <c r="U452" s="558"/>
      <c r="V452" s="559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7"/>
      <c r="P453" s="557" t="s">
        <v>71</v>
      </c>
      <c r="Q453" s="558"/>
      <c r="R453" s="558"/>
      <c r="S453" s="558"/>
      <c r="T453" s="558"/>
      <c r="U453" s="558"/>
      <c r="V453" s="559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697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697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99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698</v>
      </c>
      <c r="B457" s="54" t="s">
        <v>699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700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701</v>
      </c>
      <c r="B458" s="54" t="s">
        <v>702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0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703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704</v>
      </c>
      <c r="B459" s="54" t="s">
        <v>705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706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707</v>
      </c>
      <c r="B460" s="54" t="s">
        <v>708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6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700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6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7"/>
      <c r="P461" s="557" t="s">
        <v>71</v>
      </c>
      <c r="Q461" s="558"/>
      <c r="R461" s="558"/>
      <c r="S461" s="558"/>
      <c r="T461" s="558"/>
      <c r="U461" s="558"/>
      <c r="V461" s="559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7"/>
      <c r="P462" s="557" t="s">
        <v>71</v>
      </c>
      <c r="Q462" s="558"/>
      <c r="R462" s="558"/>
      <c r="S462" s="558"/>
      <c r="T462" s="558"/>
      <c r="U462" s="558"/>
      <c r="V462" s="559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135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709</v>
      </c>
      <c r="B464" s="54" t="s">
        <v>710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711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712</v>
      </c>
      <c r="B465" s="54" t="s">
        <v>713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714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715</v>
      </c>
      <c r="B466" s="54" t="s">
        <v>716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717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6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7"/>
      <c r="P467" s="557" t="s">
        <v>71</v>
      </c>
      <c r="Q467" s="558"/>
      <c r="R467" s="558"/>
      <c r="S467" s="558"/>
      <c r="T467" s="558"/>
      <c r="U467" s="558"/>
      <c r="V467" s="559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7"/>
      <c r="P468" s="557" t="s">
        <v>71</v>
      </c>
      <c r="Q468" s="558"/>
      <c r="R468" s="558"/>
      <c r="S468" s="558"/>
      <c r="T468" s="558"/>
      <c r="U468" s="558"/>
      <c r="V468" s="559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64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718</v>
      </c>
      <c r="B470" s="54" t="s">
        <v>719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/>
      <c r="M470" s="33" t="s">
        <v>68</v>
      </c>
      <c r="N470" s="33"/>
      <c r="O470" s="32">
        <v>40</v>
      </c>
      <c r="P470" s="79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720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721</v>
      </c>
      <c r="B471" s="54" t="s">
        <v>722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723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6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7"/>
      <c r="P472" s="557" t="s">
        <v>71</v>
      </c>
      <c r="Q472" s="558"/>
      <c r="R472" s="558"/>
      <c r="S472" s="558"/>
      <c r="T472" s="558"/>
      <c r="U472" s="558"/>
      <c r="V472" s="559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7"/>
      <c r="P473" s="557" t="s">
        <v>71</v>
      </c>
      <c r="Q473" s="558"/>
      <c r="R473" s="558"/>
      <c r="S473" s="558"/>
      <c r="T473" s="558"/>
      <c r="U473" s="558"/>
      <c r="V473" s="559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73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724</v>
      </c>
      <c r="B475" s="54" t="s">
        <v>725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69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726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6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7"/>
      <c r="P476" s="557" t="s">
        <v>71</v>
      </c>
      <c r="Q476" s="558"/>
      <c r="R476" s="558"/>
      <c r="S476" s="558"/>
      <c r="T476" s="558"/>
      <c r="U476" s="558"/>
      <c r="V476" s="559"/>
      <c r="W476" s="37" t="s">
        <v>72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7"/>
      <c r="P477" s="557" t="s">
        <v>71</v>
      </c>
      <c r="Q477" s="558"/>
      <c r="R477" s="558"/>
      <c r="S477" s="558"/>
      <c r="T477" s="558"/>
      <c r="U477" s="558"/>
      <c r="V477" s="559"/>
      <c r="W477" s="37" t="s">
        <v>69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163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727</v>
      </c>
      <c r="B479" s="54" t="s">
        <v>728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729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730</v>
      </c>
      <c r="B480" s="54" t="s">
        <v>731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5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732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6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7"/>
      <c r="P481" s="557" t="s">
        <v>71</v>
      </c>
      <c r="Q481" s="558"/>
      <c r="R481" s="558"/>
      <c r="S481" s="558"/>
      <c r="T481" s="558"/>
      <c r="U481" s="558"/>
      <c r="V481" s="559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7"/>
      <c r="P482" s="557" t="s">
        <v>71</v>
      </c>
      <c r="Q482" s="558"/>
      <c r="R482" s="558"/>
      <c r="S482" s="558"/>
      <c r="T482" s="558"/>
      <c r="U482" s="558"/>
      <c r="V482" s="559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733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135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734</v>
      </c>
      <c r="B485" s="54" t="s">
        <v>735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4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736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6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7"/>
      <c r="P486" s="557" t="s">
        <v>71</v>
      </c>
      <c r="Q486" s="558"/>
      <c r="R486" s="558"/>
      <c r="S486" s="558"/>
      <c r="T486" s="558"/>
      <c r="U486" s="558"/>
      <c r="V486" s="559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7"/>
      <c r="P487" s="557" t="s">
        <v>71</v>
      </c>
      <c r="Q487" s="558"/>
      <c r="R487" s="558"/>
      <c r="S487" s="558"/>
      <c r="T487" s="558"/>
      <c r="U487" s="558"/>
      <c r="V487" s="559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7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8" t="s">
        <v>737</v>
      </c>
      <c r="Q488" s="629"/>
      <c r="R488" s="629"/>
      <c r="S488" s="629"/>
      <c r="T488" s="629"/>
      <c r="U488" s="629"/>
      <c r="V488" s="630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3000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3015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8" t="s">
        <v>738</v>
      </c>
      <c r="Q489" s="629"/>
      <c r="R489" s="629"/>
      <c r="S489" s="629"/>
      <c r="T489" s="629"/>
      <c r="U489" s="629"/>
      <c r="V489" s="630"/>
      <c r="W489" s="37" t="s">
        <v>69</v>
      </c>
      <c r="X489" s="541">
        <f>IFERROR(SUM(BM22:BM485),"0")</f>
        <v>3094</v>
      </c>
      <c r="Y489" s="541">
        <f>IFERROR(SUM(BN22:BN485),"0")</f>
        <v>3109.4700000000003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8" t="s">
        <v>739</v>
      </c>
      <c r="Q490" s="629"/>
      <c r="R490" s="629"/>
      <c r="S490" s="629"/>
      <c r="T490" s="629"/>
      <c r="U490" s="629"/>
      <c r="V490" s="630"/>
      <c r="W490" s="37" t="s">
        <v>740</v>
      </c>
      <c r="X490" s="38">
        <f>ROUNDUP(SUM(BO22:BO485),0)</f>
        <v>5</v>
      </c>
      <c r="Y490" s="38">
        <f>ROUNDUP(SUM(BP22:BP485),0)</f>
        <v>5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8" t="s">
        <v>741</v>
      </c>
      <c r="Q491" s="629"/>
      <c r="R491" s="629"/>
      <c r="S491" s="629"/>
      <c r="T491" s="629"/>
      <c r="U491" s="629"/>
      <c r="V491" s="630"/>
      <c r="W491" s="37" t="s">
        <v>69</v>
      </c>
      <c r="X491" s="541">
        <f>GrossWeightTotal+PalletQtyTotal*25</f>
        <v>3219</v>
      </c>
      <c r="Y491" s="541">
        <f>GrossWeightTotalR+PalletQtyTotalR*25</f>
        <v>3234.4700000000003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8" t="s">
        <v>742</v>
      </c>
      <c r="Q492" s="629"/>
      <c r="R492" s="629"/>
      <c r="S492" s="629"/>
      <c r="T492" s="629"/>
      <c r="U492" s="629"/>
      <c r="V492" s="630"/>
      <c r="W492" s="37" t="s">
        <v>740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200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201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8" t="s">
        <v>743</v>
      </c>
      <c r="Q493" s="629"/>
      <c r="R493" s="629"/>
      <c r="S493" s="629"/>
      <c r="T493" s="629"/>
      <c r="U493" s="629"/>
      <c r="V493" s="630"/>
      <c r="W493" s="39" t="s">
        <v>744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4.3717499999999996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745</v>
      </c>
      <c r="B495" s="536" t="s">
        <v>63</v>
      </c>
      <c r="C495" s="575" t="s">
        <v>97</v>
      </c>
      <c r="D495" s="593"/>
      <c r="E495" s="593"/>
      <c r="F495" s="593"/>
      <c r="G495" s="593"/>
      <c r="H495" s="594"/>
      <c r="I495" s="575" t="s">
        <v>256</v>
      </c>
      <c r="J495" s="593"/>
      <c r="K495" s="593"/>
      <c r="L495" s="593"/>
      <c r="M495" s="593"/>
      <c r="N495" s="593"/>
      <c r="O495" s="593"/>
      <c r="P495" s="593"/>
      <c r="Q495" s="593"/>
      <c r="R495" s="594"/>
      <c r="S495" s="575" t="s">
        <v>534</v>
      </c>
      <c r="T495" s="594"/>
      <c r="U495" s="575" t="s">
        <v>586</v>
      </c>
      <c r="V495" s="593"/>
      <c r="W495" s="594"/>
      <c r="X495" s="536" t="s">
        <v>637</v>
      </c>
      <c r="Y495" s="575" t="s">
        <v>697</v>
      </c>
      <c r="Z495" s="594"/>
      <c r="AB495" s="52"/>
      <c r="AC495" s="52"/>
      <c r="AF495" s="537"/>
    </row>
    <row r="496" spans="1:68" ht="14.25" customHeight="1" thickTop="1" x14ac:dyDescent="0.2">
      <c r="A496" s="598" t="s">
        <v>746</v>
      </c>
      <c r="B496" s="575" t="s">
        <v>63</v>
      </c>
      <c r="C496" s="575" t="s">
        <v>98</v>
      </c>
      <c r="D496" s="575" t="s">
        <v>116</v>
      </c>
      <c r="E496" s="575" t="s">
        <v>170</v>
      </c>
      <c r="F496" s="575" t="s">
        <v>189</v>
      </c>
      <c r="G496" s="575" t="s">
        <v>221</v>
      </c>
      <c r="H496" s="575" t="s">
        <v>97</v>
      </c>
      <c r="I496" s="575" t="s">
        <v>257</v>
      </c>
      <c r="J496" s="575" t="s">
        <v>298</v>
      </c>
      <c r="K496" s="575" t="s">
        <v>358</v>
      </c>
      <c r="L496" s="575" t="s">
        <v>400</v>
      </c>
      <c r="M496" s="575" t="s">
        <v>416</v>
      </c>
      <c r="N496" s="537"/>
      <c r="O496" s="575" t="s">
        <v>427</v>
      </c>
      <c r="P496" s="575" t="s">
        <v>436</v>
      </c>
      <c r="Q496" s="575" t="s">
        <v>446</v>
      </c>
      <c r="R496" s="575" t="s">
        <v>524</v>
      </c>
      <c r="S496" s="575" t="s">
        <v>535</v>
      </c>
      <c r="T496" s="575" t="s">
        <v>570</v>
      </c>
      <c r="U496" s="575" t="s">
        <v>587</v>
      </c>
      <c r="V496" s="575" t="s">
        <v>618</v>
      </c>
      <c r="W496" s="575" t="s">
        <v>633</v>
      </c>
      <c r="X496" s="575" t="s">
        <v>637</v>
      </c>
      <c r="Y496" s="575" t="s">
        <v>697</v>
      </c>
      <c r="Z496" s="575" t="s">
        <v>733</v>
      </c>
      <c r="AB496" s="52"/>
      <c r="AC496" s="52"/>
      <c r="AF496" s="537"/>
    </row>
    <row r="497" spans="1:32" ht="13.5" customHeight="1" thickBot="1" x14ac:dyDescent="0.25">
      <c r="A497" s="599"/>
      <c r="B497" s="576"/>
      <c r="C497" s="576"/>
      <c r="D497" s="576"/>
      <c r="E497" s="576"/>
      <c r="F497" s="576"/>
      <c r="G497" s="576"/>
      <c r="H497" s="576"/>
      <c r="I497" s="576"/>
      <c r="J497" s="576"/>
      <c r="K497" s="576"/>
      <c r="L497" s="576"/>
      <c r="M497" s="576"/>
      <c r="N497" s="537"/>
      <c r="O497" s="576"/>
      <c r="P497" s="576"/>
      <c r="Q497" s="576"/>
      <c r="R497" s="576"/>
      <c r="S497" s="576"/>
      <c r="T497" s="576"/>
      <c r="U497" s="576"/>
      <c r="V497" s="576"/>
      <c r="W497" s="576"/>
      <c r="X497" s="576"/>
      <c r="Y497" s="576"/>
      <c r="Z497" s="576"/>
      <c r="AB497" s="52"/>
      <c r="AC497" s="52"/>
      <c r="AF497" s="537"/>
    </row>
    <row r="498" spans="1:32" ht="18" customHeight="1" thickTop="1" thickBot="1" x14ac:dyDescent="0.25">
      <c r="A498" s="40" t="s">
        <v>747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0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3015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0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41AvFqkvjyRkIo4JkO9q2XXKL2U86OYFLCJKVKmxgQK+VToX0TuANAqYEcfLslByWs2E7ipjganQKtu/OueJjQ==" saltValue="coGjLl1P8+iY2aH3RUuv0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A484:Z484"/>
    <mergeCell ref="P218:T218"/>
    <mergeCell ref="P69:V69"/>
    <mergeCell ref="P311:V311"/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303:V303"/>
    <mergeCell ref="P132:V132"/>
    <mergeCell ref="P72:T72"/>
    <mergeCell ref="A31:O32"/>
    <mergeCell ref="P199:T199"/>
    <mergeCell ref="A478:Z478"/>
    <mergeCell ref="P436:T436"/>
    <mergeCell ref="A33:Z33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P492:V492"/>
    <mergeCell ref="A103:O104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481:V481"/>
    <mergeCell ref="P102:T102"/>
    <mergeCell ref="P196:T196"/>
    <mergeCell ref="A483:Z483"/>
    <mergeCell ref="P281:V281"/>
    <mergeCell ref="D226:E226"/>
    <mergeCell ref="D164:E164"/>
    <mergeCell ref="P62:T62"/>
    <mergeCell ref="P420:T420"/>
    <mergeCell ref="D475:E475"/>
    <mergeCell ref="A488:O493"/>
    <mergeCell ref="P146:T146"/>
    <mergeCell ref="D323:E323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P34:T34"/>
    <mergeCell ref="D257:E257"/>
    <mergeCell ref="P214:T214"/>
    <mergeCell ref="D86:E86"/>
    <mergeCell ref="D384:E384"/>
    <mergeCell ref="D213:E213"/>
    <mergeCell ref="P192:V192"/>
    <mergeCell ref="P284:V284"/>
    <mergeCell ref="Z496:Z497"/>
    <mergeCell ref="D358:E358"/>
    <mergeCell ref="P70:V70"/>
    <mergeCell ref="P337:V337"/>
    <mergeCell ref="A156:Z156"/>
    <mergeCell ref="A454:Z454"/>
    <mergeCell ref="P116:V116"/>
    <mergeCell ref="P32:V32"/>
    <mergeCell ref="P103:V103"/>
    <mergeCell ref="A155:Z155"/>
    <mergeCell ref="P268:V268"/>
    <mergeCell ref="A455:Z455"/>
    <mergeCell ref="P470:T470"/>
    <mergeCell ref="D449:E449"/>
    <mergeCell ref="D321:E321"/>
    <mergeCell ref="P278:T278"/>
    <mergeCell ref="P107:T107"/>
    <mergeCell ref="P101:T101"/>
    <mergeCell ref="E496:E497"/>
    <mergeCell ref="P465:T465"/>
    <mergeCell ref="D386:E386"/>
    <mergeCell ref="G496:G497"/>
    <mergeCell ref="P250:V250"/>
    <mergeCell ref="P63:V63"/>
    <mergeCell ref="Y496:Y497"/>
    <mergeCell ref="A452:O453"/>
    <mergeCell ref="D459:E459"/>
    <mergeCell ref="D288:E28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D373:E373"/>
    <mergeCell ref="D202:E202"/>
    <mergeCell ref="A242:O243"/>
    <mergeCell ref="A179:Z17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P106:T10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P327:T327"/>
    <mergeCell ref="P468:V468"/>
    <mergeCell ref="A439:Z439"/>
    <mergeCell ref="P212:T212"/>
    <mergeCell ref="AA17:AA18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388:T388"/>
    <mergeCell ref="P459:T459"/>
    <mergeCell ref="D465:E465"/>
    <mergeCell ref="D440:E440"/>
    <mergeCell ref="D198:E198"/>
    <mergeCell ref="D296:E296"/>
    <mergeCell ref="P275:V275"/>
    <mergeCell ref="A252:Z252"/>
    <mergeCell ref="D427:E427"/>
    <mergeCell ref="P104:V104"/>
    <mergeCell ref="P27:T27"/>
    <mergeCell ref="A284:O285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Q496:Q497"/>
    <mergeCell ref="S496:S497"/>
    <mergeCell ref="P440:T440"/>
    <mergeCell ref="A418:Z418"/>
    <mergeCell ref="D283:E283"/>
    <mergeCell ref="A356:Z356"/>
    <mergeCell ref="D112:E112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153:O154"/>
    <mergeCell ref="A133:Z133"/>
    <mergeCell ref="D125:E125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D329:E329"/>
    <mergeCell ref="D158:E158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A250:O251"/>
    <mergeCell ref="D308:E308"/>
    <mergeCell ref="D147:E147"/>
    <mergeCell ref="A105:Z105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6 X60 X62 X79 X85 X87 X91 X99 X101 X106 X112 X114:X115 X119 X124 X130 X135 X162:X166 X168 X195:X202 X208:X209 X211 X213:X214 X218:X219 X224 X226:X227 X232 X272:X273 X299:X300 X302 X314:X316 X322:X323 X327 X329 X335:X336 X342:X344 X352 X358 X367 X377 X388:X389 X391 X414 X420 X422 X425 X434 X440:X445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9y8PJp79BpG05yU5ocUJ+0gD5dRtXhpxOqnseo8TQD3TIAiCS9NWto89lY1dmTJl0yZVi8pGDpyXG7yhLcM2Xg==" saltValue="LjZKUcdaKKiXlWRrKZ3l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2025-11-06T09:57:06Z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